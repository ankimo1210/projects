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Sources_Uses" sheetId="3" state="visible" r:id="rId5"/>
    <sheet name="Model" sheetId="4" state="visible" r:id="rId6"/>
    <sheet name="Debt_FCF" sheetId="5" state="visible" r:id="rId7"/>
    <sheet name="Returns" sheetId="6" state="visible" r:id="rId8"/>
    <sheet name="Scenarios" sheetId="7" state="visible" r:id="rId9"/>
    <sheet name="Lev_Sensitivity" sheetId="8" state="visible" r:id="rId10"/>
  </sheets>
  <definedNames>
    <definedName function="false" hidden="false" localSheetId="1" name="_xlnm.Print_Area" vbProcedure="false">Assumptions!$A$1:$J$44</definedName>
    <definedName function="false" hidden="false" localSheetId="0" name="_xlnm.Print_Area" vbProcedure="false">Cover!$B$3:$I$26</definedName>
    <definedName function="false" hidden="false" localSheetId="4" name="_xlnm.Print_Area" vbProcedure="false">Debt_FCF!$A$1:$J$44</definedName>
    <definedName function="false" hidden="false" localSheetId="7" name="_xlnm.Print_Area" vbProcedure="false">Lev_Sensitivity!$A$1:$H$58</definedName>
    <definedName function="false" hidden="false" localSheetId="3" name="_xlnm.Print_Area" vbProcedure="false">Model!$A$1:$J$24</definedName>
    <definedName function="false" hidden="false" localSheetId="5" name="_xlnm.Print_Area" vbProcedure="false">Returns!$A$1:$J$60</definedName>
    <definedName function="false" hidden="false" localSheetId="6" name="_xlnm.Print_Area" vbProcedure="false">Scenarios!$A$1:$J$42</definedName>
    <definedName function="false" hidden="false" localSheetId="2" name="_xlnm.Print_Area" vbProcedure="false">Sources_Uses!$A$1:$J$19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<sst xmlns="http://schemas.openxmlformats.org/spreadsheetml/2006/main" count="464" uniqueCount="345">
  <si>
    <t xml:space="preserve">PROJECT MEASURE</t>
  </si>
  <si>
    <t xml:space="preserve">Take-Private (LBO) Analysis — AISAN TECHNOLOGY CO., LTD.</t>
  </si>
  <si>
    <t xml:space="preserve">Tokyo Stock Exchange (Standard) · Ticker 4667 · Headquartered in Nagoya, Japan</t>
  </si>
  <si>
    <t xml:space="preserve">Deliverable</t>
  </si>
  <si>
    <t xml:space="preserve">Confidential LBO model &amp; investment recommendation</t>
  </si>
  <si>
    <t xml:space="preserve">Prepared for</t>
  </si>
  <si>
    <t xml:space="preserve">Investment Committee (case study)</t>
  </si>
  <si>
    <t xml:space="preserve">Contact</t>
  </si>
  <si>
    <t xml:space="preserve">Ryuji Tomoe</t>
  </si>
  <si>
    <t xml:space="preserve">Currency</t>
  </si>
  <si>
    <t xml:space="preserve">Japanese Yen (¥), figures in millions unless noted</t>
  </si>
  <si>
    <t xml:space="preserve">Reference date</t>
  </si>
  <si>
    <t xml:space="preserve">Reference pricing as of 5-Jun-2026 (post-investigation news; re-base on clean price)</t>
  </si>
  <si>
    <t xml:space="preserve">Status</t>
  </si>
  <si>
    <t xml:space="preserve">Phase-1 screening — preliminary, public information only</t>
  </si>
  <si>
    <t xml:space="preserve">Contents</t>
  </si>
  <si>
    <t xml:space="preserve">1. Assumptions</t>
  </si>
  <si>
    <t xml:space="preserve">Key transaction, financing &amp; operating inputs (blue = editable)</t>
  </si>
  <si>
    <t xml:space="preserve">2. Sources &amp; Uses</t>
  </si>
  <si>
    <t xml:space="preserve">Funding structure and opening capitalization</t>
  </si>
  <si>
    <t xml:space="preserve">3. Operating Model</t>
  </si>
  <si>
    <t xml:space="preserve">Revenue, margin and EBITDA build, FY24A–FY31E</t>
  </si>
  <si>
    <t xml:space="preserve">4. Debt &amp; FCF</t>
  </si>
  <si>
    <t xml:space="preserve">Free-cash-flow build, cash sweep, credit metrics &amp; intra-year seasonality</t>
  </si>
  <si>
    <t xml:space="preserve">5. Returns</t>
  </si>
  <si>
    <t xml:space="preserve">IRR / MOIC, value-creation bridge &amp; sensitivities</t>
  </si>
  <si>
    <t xml:space="preserve">6. Scenarios</t>
  </si>
  <si>
    <t xml:space="preserve">Base / Upside / Downside summary; illustrative LP net returns</t>
  </si>
  <si>
    <t xml:space="preserve">7. Lev_Sensitivity</t>
  </si>
  <si>
    <t xml:space="preserve">Leverage cases (1.0x-3.0x), financing-policy sensitivities (sweep %, interest rate); supports walk-to-price</t>
  </si>
  <si>
    <t xml:space="preserve">DISCLAIMER — Illustrative analysis prepared for a case-study exercise. Based solely on public sources (company disclosure via EDINET/TDnet, IR materials, IRBANK). Figures in ¥mm unless stated. Estimates (D&amp;A, capex, net cash at close, share count net of treasury) require confirmation in confirmatory due diligence. Not investment advice; not an offer or solicitation.</t>
  </si>
  <si>
    <t xml:space="preserve">1 · KEY ASSUMPTIONS</t>
  </si>
  <si>
    <t xml:space="preserve">Blue = hardcoded input / scenario lever · Black = formula · Green = link from another sheet</t>
  </si>
  <si>
    <t xml:space="preserve">Transaction &amp; entry valuation</t>
  </si>
  <si>
    <t xml:space="preserve">Financing structure</t>
  </si>
  <si>
    <t xml:space="preserve">Reference share price (¥, post-investigation disclosure)</t>
  </si>
  <si>
    <t xml:space="preserve">5-Jun-26 close</t>
  </si>
  <si>
    <t xml:space="preserve">New senior debt / FY26E EBITDA (gross)</t>
  </si>
  <si>
    <t xml:space="preserve">Gross senior; note (1)</t>
  </si>
  <si>
    <t xml:space="preserve">Shares outstanding (mm)</t>
  </si>
  <si>
    <t xml:space="preserve">less 268,816 treasury</t>
  </si>
  <si>
    <t xml:space="preserve">New senior debt (term loan)</t>
  </si>
  <si>
    <t xml:space="preserve">Offer premium to reference price</t>
  </si>
  <si>
    <t xml:space="preserve">JP TOB 30-45% typical</t>
  </si>
  <si>
    <t xml:space="preserve">All-in interest rate on debt</t>
  </si>
  <si>
    <t xml:space="preserve">TIBOR/TONA + spread; note (3)</t>
  </si>
  <si>
    <t xml:space="preserve">Offer price per share (¥)</t>
  </si>
  <si>
    <t xml:space="preserve">Cash sweep (% of FCF)</t>
  </si>
  <si>
    <t xml:space="preserve">Mandatory + excess sweep; note (2)</t>
  </si>
  <si>
    <t xml:space="preserve">Equity purchase price</t>
  </si>
  <si>
    <t xml:space="preserve">¥mm</t>
  </si>
  <si>
    <t xml:space="preserve">Minimum operating cash</t>
  </si>
  <si>
    <t xml:space="preserve">Seasonal WC buffer; note (6)</t>
  </si>
  <si>
    <t xml:space="preserve">(+) Existing gross debt</t>
  </si>
  <si>
    <t xml:space="preserve">FY25A ¥51mm</t>
  </si>
  <si>
    <t xml:space="preserve">Transaction &amp; financing fees</t>
  </si>
  <si>
    <t xml:space="preserve">~4-5% of EV (small-cap)</t>
  </si>
  <si>
    <t xml:space="preserve">(–) Cash &amp; equivalents</t>
  </si>
  <si>
    <t xml:space="preserve">FY25A ¥4,176mm</t>
  </si>
  <si>
    <t xml:space="preserve">Excess cash used in funding</t>
  </si>
  <si>
    <t xml:space="preserve">Cash less min cash; note (7)</t>
  </si>
  <si>
    <t xml:space="preserve">Net cash (–) / net debt (+)</t>
  </si>
  <si>
    <t xml:space="preserve">Negative = net cash</t>
  </si>
  <si>
    <t xml:space="preserve">Implied Enterprise Value (EV)</t>
  </si>
  <si>
    <t xml:space="preserve">Tax &amp; exit</t>
  </si>
  <si>
    <t xml:space="preserve">Effective tax rate</t>
  </si>
  <si>
    <t xml:space="preserve">Japan statutory; note (8)</t>
  </si>
  <si>
    <t xml:space="preserve">Entry operating metrics (LTM = FY26E)</t>
  </si>
  <si>
    <t xml:space="preserve">Holding period (years)</t>
  </si>
  <si>
    <t xml:space="preserve">Exit end-FY31E (Mar-2031)</t>
  </si>
  <si>
    <t xml:space="preserve">LTM revenue</t>
  </si>
  <si>
    <t xml:space="preserve">FY26E guidance; note (4)</t>
  </si>
  <si>
    <t xml:space="preserve">Exit EV / EBITDA multiple</t>
  </si>
  <si>
    <t xml:space="preserve">Held ~flat vs entry; note (5)</t>
  </si>
  <si>
    <t xml:space="preserve">LTM EBIT (operating profit)</t>
  </si>
  <si>
    <t xml:space="preserve">LTM D&amp;A</t>
  </si>
  <si>
    <t xml:space="preserve">Est. ~2.8% of sales</t>
  </si>
  <si>
    <t xml:space="preserve">Operating drivers (projection)</t>
  </si>
  <si>
    <t xml:space="preserve">LTM EBITDA</t>
  </si>
  <si>
    <t xml:space="preserve">EBIT + D&amp;A; note (4)</t>
  </si>
  <si>
    <t xml:space="preserve">Driver</t>
  </si>
  <si>
    <t xml:space="preserve">FY27E</t>
  </si>
  <si>
    <t xml:space="preserve">FY28E</t>
  </si>
  <si>
    <t xml:space="preserve">FY29E</t>
  </si>
  <si>
    <t xml:space="preserve">FY30E</t>
  </si>
  <si>
    <t xml:space="preserve">Entry EV / LTM EBITDA</t>
  </si>
  <si>
    <t xml:space="preserve">Revenue growth %</t>
  </si>
  <si>
    <t xml:space="preserve">Entry EV / LTM EBIT</t>
  </si>
  <si>
    <t xml:space="preserve">Revenue growth % (FY31E)</t>
  </si>
  <si>
    <t xml:space="preserve">Offer P / FY26E net income</t>
  </si>
  <si>
    <t xml:space="preserve">FY26E NI ¥382mm</t>
  </si>
  <si>
    <t xml:space="preserve">EBIT margin %</t>
  </si>
  <si>
    <t xml:space="preserve">FY26E net income (¥mm)</t>
  </si>
  <si>
    <t xml:space="preserve">FY26E guidance</t>
  </si>
  <si>
    <t xml:space="preserve">EBIT margin % (FY31E)</t>
  </si>
  <si>
    <t xml:space="preserve">D&amp;A (¥mm)</t>
  </si>
  <si>
    <t xml:space="preserve">D&amp;A (¥mm, FY31E)</t>
  </si>
  <si>
    <t xml:space="preserve">Capex (% of revenue)</t>
  </si>
  <si>
    <t xml:space="preserve">ΔNWC %</t>
  </si>
  <si>
    <t xml:space="preserve">of Δrevenue</t>
  </si>
  <si>
    <t xml:space="preserve">Premium reference points</t>
  </si>
  <si>
    <t xml:space="preserve">Last close (5-Jun-26)</t>
  </si>
  <si>
    <t xml:space="preserve">Pre-announcement close (3-Apr-26)</t>
  </si>
  <si>
    <t xml:space="preserve">3-month VWAP</t>
  </si>
  <si>
    <t xml:space="preserve">6-month VWAP</t>
  </si>
  <si>
    <t xml:space="preserve">Latest close (10-Jun-26; Tier IV listing-news spike)</t>
  </si>
  <si>
    <t xml:space="preserve">NOTES ON KEY ASSUMPTIONS — sizing logic</t>
  </si>
  <si>
    <t xml:space="preserve">(1)</t>
  </si>
  <si>
    <t xml:space="preserve">Senior leverage: 2.0x gross on FY26E EBITDA = ¥1,600mm. Japanese senior LBO debt typically supports ~2-4x EBITDA; sized at the conservative end given the pending subsidiary investigation, delayed FY26 results and a small, lumpy EBITDA base. Net debt at close ~¥800mm (~1.0x net) after the minimum-cash buffer.</t>
  </si>
  <si>
    <t xml:space="preserve">(2)</t>
  </si>
  <si>
    <t xml:space="preserve">Cash sweep: 80% of FCF — standard mandatory-amortisation + excess-cash-sweep covenant; the retained 20% preserves capex / working-capital flexibility. Not a material return driver: 100% sweep lifts IRR by only ~2bp (16.77% vs 16.75%).</t>
  </si>
  <si>
    <t xml:space="preserve">(3)</t>
  </si>
  <si>
    <t xml:space="preserve">Interest: 3.5% all-in (TIBOR/TONA base + margin, post-BOJ normalisation), charged on beginning-of-year balances; no interest income on cash (conservative). +100bp / +200bp moves base IRR by only ~4bp / ~8bp at 2.0x (see Lev_Sensitivity).</t>
  </si>
  <si>
    <t xml:space="preserve">(4)</t>
  </si>
  <si>
    <t xml:space="preserve">EBITDA base: FY26E company guidance (revenue ¥7,200mm / OP ¥600mm, TDnet 27-Jan-2026) + estimated D&amp;A, used as the LTM proxy because FY26 results disclosure is delayed by the investigation. Re-base on audited figures in confirmatory DD.</t>
  </si>
  <si>
    <t xml:space="preserve">(5)</t>
  </si>
  <si>
    <t xml:space="preserve">Exit multiple: 10.0x EV/EBITDA, held ~flat vs the 10.1x entry multiple — no multiple expansion underwritten.</t>
  </si>
  <si>
    <t xml:space="preserve">(6)</t>
  </si>
  <si>
    <t xml:space="preserve">Minimum operating cash: ¥800mm (~1.3 months of revenue) against the seasonal Q1-Q3 working-capital burn of public-sector-weighted revenue collection (Q4/March-end concentration).</t>
  </si>
  <si>
    <t xml:space="preserve">(7)</t>
  </si>
  <si>
    <t xml:space="preserve">Excess cash: ¥3,400mm (FY25A cash less minimum cash) part-funds the purchase; availability / extraction is a confirmatory-DD gate, not underwritten (see Returns cash-availability sensitivity).</t>
  </si>
  <si>
    <t xml:space="preserve">(8)</t>
  </si>
  <si>
    <t xml:space="preserve">Tax: 31% effective ≈ Japan statutory corporate rate; no NOLs or tax structuring assumed.</t>
  </si>
  <si>
    <t xml:space="preserve">Source: share / price / guidance data per docs/FACT_CHECK_2026-06.md (company IR, TDnet, IRBANK; retrieved 7-Jun-2026); financing terms are deal-team assumptions pending lender soundings.</t>
  </si>
  <si>
    <t xml:space="preserve">2 · SOURCES &amp; USES OF FUNDS</t>
  </si>
  <si>
    <t xml:space="preserve">Funding of the take-private and opening (post-close) capitalization · ¥mm</t>
  </si>
  <si>
    <t xml:space="preserve">USES OF FUNDS</t>
  </si>
  <si>
    <t xml:space="preserve">%</t>
  </si>
  <si>
    <t xml:space="preserve">SOURCES OF FUNDS</t>
  </si>
  <si>
    <t xml:space="preserve">x EBITDA</t>
  </si>
  <si>
    <t xml:space="preserve">Purchase of equity</t>
  </si>
  <si>
    <t xml:space="preserve">New senior term loan</t>
  </si>
  <si>
    <t xml:space="preserve">Repay existing debt</t>
  </si>
  <si>
    <t xml:space="preserve">Excess cash on balance sheet</t>
  </si>
  <si>
    <t xml:space="preserve">Sponsor equity (plug)</t>
  </si>
  <si>
    <t xml:space="preserve">Total uses</t>
  </si>
  <si>
    <t xml:space="preserve">Total sources</t>
  </si>
  <si>
    <t xml:space="preserve">Balance check (sources – uses)</t>
  </si>
  <si>
    <t xml:space="preserve">OPENING (POST-CLOSE) CAPITALIZATION</t>
  </si>
  <si>
    <t xml:space="preserve">Senior term loan</t>
  </si>
  <si>
    <t xml:space="preserve">Aisan is net-cash (FY25A ≈ ¥4.1bn). Excess cash and low new debt give</t>
  </si>
  <si>
    <t xml:space="preserve">Cash (minimum operating)</t>
  </si>
  <si>
    <t xml:space="preserve">approximately zero net debt at close; acquisition leverage is deliberately</t>
  </si>
  <si>
    <t xml:space="preserve">Net debt at close</t>
  </si>
  <si>
    <t xml:space="preserve">constrained pending QoE, investigation outcome, seasonality &amp; lender diligence.</t>
  </si>
  <si>
    <t xml:space="preserve">Net debt / LTM EBITDA</t>
  </si>
  <si>
    <t xml:space="preserve">Sponsor equity</t>
  </si>
  <si>
    <t xml:space="preserve">Equity % of total capitalization</t>
  </si>
  <si>
    <t xml:space="preserve">Source: inputs per Assumptions (notes 1-8); structure illustrative pending financing commitments and DD on cash availability.</t>
  </si>
  <si>
    <t xml:space="preserve">3 · OPERATING MODEL</t>
  </si>
  <si>
    <t xml:space="preserve">Historical actuals (FY24A–FY26E) and base-case projection · ¥mm · FYE March</t>
  </si>
  <si>
    <t xml:space="preserve">Fiscal year (March)</t>
  </si>
  <si>
    <t xml:space="preserve">FY24A</t>
  </si>
  <si>
    <t xml:space="preserve">FY25A</t>
  </si>
  <si>
    <t xml:space="preserve">FY26E</t>
  </si>
  <si>
    <t xml:space="preserve">FY31E</t>
  </si>
  <si>
    <t xml:space="preserve">Revenue</t>
  </si>
  <si>
    <t xml:space="preserve">   growth %</t>
  </si>
  <si>
    <t xml:space="preserve">EBIT (operating profit)</t>
  </si>
  <si>
    <t xml:space="preserve">   EBIT margin %</t>
  </si>
  <si>
    <t xml:space="preserve">(+) Depreciation &amp; amortization</t>
  </si>
  <si>
    <t xml:space="preserve">EBITDA</t>
  </si>
  <si>
    <t xml:space="preserve">   EBITDA margin %</t>
  </si>
  <si>
    <t xml:space="preserve">Segment context (FY26E estimate)</t>
  </si>
  <si>
    <t xml:space="preserve">Public (surveying &amp; civil-engineering software)</t>
  </si>
  <si>
    <t xml:space="preserve">~55-60% of sales</t>
  </si>
  <si>
    <t xml:space="preserve">~20-26% margin — stable, recurring, gov-linked</t>
  </si>
  <si>
    <t xml:space="preserve">Mobility &amp; DX (MMS, HD maps, autonomous driving)</t>
  </si>
  <si>
    <t xml:space="preserve">~40-45% of sales</t>
  </si>
  <si>
    <t xml:space="preserve">Low / negative margin — lumpy, Q4-weighted, optionality</t>
  </si>
  <si>
    <t xml:space="preserve">Revenue concentrates in Q4 (Mar) as public projects close; Q1 is typically a loss.</t>
  </si>
  <si>
    <t xml:space="preserve">Source: company FY26 H1 results (TDnet, 12-Nov-2025); IRBANK. FY24A–FY25A per securities reports (EDINET).</t>
  </si>
  <si>
    <t xml:space="preserve">ILLUSTRATIVE SEGMENT ECONOMICS (FY26E) — reported / estimated; consolidated model is top-down</t>
  </si>
  <si>
    <t xml:space="preserve">Segment</t>
  </si>
  <si>
    <t xml:space="preserve">Rev share</t>
  </si>
  <si>
    <t xml:space="preserve">Segment margin</t>
  </si>
  <si>
    <t xml:space="preserve">Growth</t>
  </si>
  <si>
    <t xml:space="preserve">Value-up lever</t>
  </si>
  <si>
    <t xml:space="preserve">Public (surveying / civil-eng. software)</t>
  </si>
  <si>
    <t xml:space="preserve">~55-60%</t>
  </si>
  <si>
    <t xml:space="preserve">~26% (H1 FY26)</t>
  </si>
  <si>
    <t xml:space="preserve">+3-5%</t>
  </si>
  <si>
    <t xml:space="preserve">pricing, maintenance, software mix</t>
  </si>
  <si>
    <t xml:space="preserve">Mobility / DX (MMS, HD maps, AV)</t>
  </si>
  <si>
    <t xml:space="preserve">~40-45%</t>
  </si>
  <si>
    <t xml:space="preserve">negative → breakeven</t>
  </si>
  <si>
    <t xml:space="preserve">+8-15%</t>
  </si>
  <si>
    <t xml:space="preserve">JV / partnership, selective investment</t>
  </si>
  <si>
    <t xml:space="preserve">Corporate / other</t>
  </si>
  <si>
    <t xml:space="preserve">n.m.</t>
  </si>
  <si>
    <t xml:space="preserve">cost drag</t>
  </si>
  <si>
    <t xml:space="preserve">overhead rationalisation</t>
  </si>
  <si>
    <t xml:space="preserve">Illustrative split per H1 FY26 reported segment data + estimates; to be verified in DD. Not a bottom-up driver of the consolidated projection above.</t>
  </si>
  <si>
    <t xml:space="preserve">4 · FREE CASH FLOW &amp; DEBT SCHEDULE</t>
  </si>
  <si>
    <t xml:space="preserve">Levered FCF, cash sweep and credit metrics over the holding period · ¥mm</t>
  </si>
  <si>
    <t xml:space="preserve">EBIT</t>
  </si>
  <si>
    <t xml:space="preserve">(–) Interest expense</t>
  </si>
  <si>
    <t xml:space="preserve">Pre-tax income</t>
  </si>
  <si>
    <t xml:space="preserve">(–) Tax</t>
  </si>
  <si>
    <t xml:space="preserve">Net income</t>
  </si>
  <si>
    <t xml:space="preserve">(+) D&amp;A</t>
  </si>
  <si>
    <t xml:space="preserve">(–) Capex</t>
  </si>
  <si>
    <t xml:space="preserve">(–) Increase in net working capital</t>
  </si>
  <si>
    <t xml:space="preserve">Free cash flow (after interest &amp; tax)</t>
  </si>
  <si>
    <t xml:space="preserve">SENIOR DEBT SCHEDULE</t>
  </si>
  <si>
    <t xml:space="preserve">Beginning balance</t>
  </si>
  <si>
    <t xml:space="preserve">(–) Debt paydown (cash sweep)</t>
  </si>
  <si>
    <t xml:space="preserve">Ending balance</t>
  </si>
  <si>
    <t xml:space="preserve">FCF retained in cash (after sweep)</t>
  </si>
  <si>
    <t xml:space="preserve">Cash balance (end of year)</t>
  </si>
  <si>
    <t xml:space="preserve">Net debt (end of year)</t>
  </si>
  <si>
    <t xml:space="preserve">CREDIT METRICS</t>
  </si>
  <si>
    <t xml:space="preserve">Net debt / EBITDA</t>
  </si>
  <si>
    <t xml:space="preserve">EBITDA / interest</t>
  </si>
  <si>
    <t xml:space="preserve">FCF / beginning debt (cash yield)</t>
  </si>
  <si>
    <t xml:space="preserve">Gross debt / EBITDA</t>
  </si>
  <si>
    <t xml:space="preserve">INTRA-YEAR SEASONALITY — illustrative quarterly phasing (FY27E)</t>
  </si>
  <si>
    <t xml:space="preserve">Q1</t>
  </si>
  <si>
    <t xml:space="preserve">Q2</t>
  </si>
  <si>
    <t xml:space="preserve">Q3</t>
  </si>
  <si>
    <t xml:space="preserve">Q4</t>
  </si>
  <si>
    <t xml:space="preserve">Revenue phasing (% of year)</t>
  </si>
  <si>
    <t xml:space="preserve">Revenue (¥mm)</t>
  </si>
  <si>
    <t xml:space="preserve">Operating costs (even spread)</t>
  </si>
  <si>
    <t xml:space="preserve">EBITDA (¥mm)</t>
  </si>
  <si>
    <t xml:space="preserve">Interest, tax, capex, ΔNWC (even)</t>
  </si>
  <si>
    <t xml:space="preserve">Cash balance (from ¥800mm floor)</t>
  </si>
  <si>
    <t xml:space="preserve">min (trough)</t>
  </si>
  <si>
    <t xml:space="preserve">Even-cost phasing puts the trough ~¥0.1bn below zero at H1-end (Q2) — arrange a working-capital RCF (~¥0.5bn) and verify actual quarterly phasing in DD.</t>
  </si>
  <si>
    <t xml:space="preserve">Year-end ties to the debt schedule: Q4 cash + sweep (¥350mm) = year-end cash balance (¥888mm).</t>
  </si>
  <si>
    <t xml:space="preserve">Source: model-derived from Assumptions; sweep &amp; interest mechanics per Assumptions notes (2)/(3); quarterly phasing illustrative (blue).</t>
  </si>
  <si>
    <t xml:space="preserve">5 · RETURNS ANALYSIS</t>
  </si>
  <si>
    <t xml:space="preserve">Base-case IRR / MOIC, value-creation bridge and sensitivities · ¥mm</t>
  </si>
  <si>
    <t xml:space="preserve">EXIT (END FY31E · MAR-2031)</t>
  </si>
  <si>
    <t xml:space="preserve">VALUE-CREATION BRIDGE (equity, ¥mm)</t>
  </si>
  <si>
    <t xml:space="preserve">Exit EBITDA (FY31E)</t>
  </si>
  <si>
    <t xml:space="preserve">Entry equity</t>
  </si>
  <si>
    <t xml:space="preserve">EBITDA growth (at entry multiple)</t>
  </si>
  <si>
    <t xml:space="preserve">Exit enterprise value</t>
  </si>
  <si>
    <t xml:space="preserve">Multiple change (on exit EBITDA)</t>
  </si>
  <si>
    <t xml:space="preserve">(–) Net debt / (+) net cash at exit</t>
  </si>
  <si>
    <t xml:space="preserve">Deleveraging, FCF &amp; fees (net)</t>
  </si>
  <si>
    <t xml:space="preserve">Exit equity value to sponsor</t>
  </si>
  <si>
    <t xml:space="preserve">Exit equity value</t>
  </si>
  <si>
    <t xml:space="preserve">(reconciles to exit equity at left, C9)</t>
  </si>
  <si>
    <t xml:space="preserve">RETURNS</t>
  </si>
  <si>
    <t xml:space="preserve">Sponsor equity invested (entry)</t>
  </si>
  <si>
    <t xml:space="preserve">Equity value at exit</t>
  </si>
  <si>
    <t xml:space="preserve">MOIC (x)</t>
  </si>
  <si>
    <t xml:space="preserve">Gross IRR (%)</t>
  </si>
  <si>
    <t xml:space="preserve">← single entry / single exit</t>
  </si>
  <si>
    <t xml:space="preserve">SENSITIVITY — Gross IRR</t>
  </si>
  <si>
    <t xml:space="preserve">Rows: offer premium  ·  Columns: exit EV/EBITDA  ·  base operating case held constant</t>
  </si>
  <si>
    <t xml:space="preserve">IRR</t>
  </si>
  <si>
    <t xml:space="preserve">MOIC sensitivity</t>
  </si>
  <si>
    <t xml:space="preserve">MOIC</t>
  </si>
  <si>
    <t xml:space="preserve">WALK-TO-PRICE — max offer clearing the IRR hurdle (base operating case)</t>
  </si>
  <si>
    <t xml:space="preserve">Hurdle gross IRR</t>
  </si>
  <si>
    <t xml:space="preserve">Exit equity (base)</t>
  </si>
  <si>
    <t xml:space="preserve">Max sponsor equity</t>
  </si>
  <si>
    <t xml:space="preserve">Max equity purchase price</t>
  </si>
  <si>
    <t xml:space="preserve">Max offer per share (¥)</t>
  </si>
  <si>
    <t xml:space="preserve">Implied premium vs reference</t>
  </si>
  <si>
    <t xml:space="preserve">Implied premium vs 6m VWAP</t>
  </si>
  <si>
    <t xml:space="preserve">CASH AVAILABILITY SENSITIVITY — excess-cash extraction is a DD item, not underwritten</t>
  </si>
  <si>
    <t xml:space="preserve">Case</t>
  </si>
  <si>
    <t xml:space="preserve">Sponsor eq.</t>
  </si>
  <si>
    <t xml:space="preserve">Exit eq.</t>
  </si>
  <si>
    <t xml:space="preserve">Gross IRR</t>
  </si>
  <si>
    <t xml:space="preserve">Full extraction (base)</t>
  </si>
  <si>
    <t xml:space="preserve">Cash retained in company</t>
  </si>
  <si>
    <t xml:space="preserve">Trapped / unavailable cash</t>
  </si>
  <si>
    <t xml:space="preserve">Full = cash funds buy-out at close; Retained = sponsor funds in full, cash stays; Trapped = cash unrecoverable.</t>
  </si>
  <si>
    <t xml:space="preserve">MANAGEMENT INCENTIVE PLAN (MIP) DILUTION — base case, gross of fees / carry</t>
  </si>
  <si>
    <t xml:space="preserve">MIP dilution</t>
  </si>
  <si>
    <t xml:space="preserve">IRR is gross; MIP/fees/carry reduce net returns and widen the gap to a clean 20% hurdle.</t>
  </si>
  <si>
    <t xml:space="preserve">Source: model-derived. Returns gross of fees / carry / MIP except where shown; 20% hurdle per standard PE underwriting.</t>
  </si>
  <si>
    <t xml:space="preserve">6 · SCENARIO SUMMARY</t>
  </si>
  <si>
    <t xml:space="preserve">Base case links to the live model; Upside / Downside use the same return engine with documented inputs · ¥mm</t>
  </si>
  <si>
    <t xml:space="preserve">Driver / output</t>
  </si>
  <si>
    <t xml:space="preserve">Downside</t>
  </si>
  <si>
    <t xml:space="preserve">Base</t>
  </si>
  <si>
    <t xml:space="preserve">Upside</t>
  </si>
  <si>
    <t xml:space="preserve">Revenue CAGR (entry→exit)</t>
  </si>
  <si>
    <t xml:space="preserve">Scenario logic</t>
  </si>
  <si>
    <t xml:space="preserve">Exit EBITDA margin</t>
  </si>
  <si>
    <t xml:space="preserve">Downside: public budgets soften, Mobility/DX stays loss-making; flat margins, multiple de-rates to 8x. ≈ capital preservation.</t>
  </si>
  <si>
    <t xml:space="preserve">Exit EBITDA (¥mm)</t>
  </si>
  <si>
    <t xml:space="preserve">Base: mid-single-digit growth, gradual margin lift to 12% via mix &amp; cost discipline; exit 10x; returns remain below a clean 20% hurdle.</t>
  </si>
  <si>
    <t xml:space="preserve">Exit EV/EBITDA</t>
  </si>
  <si>
    <t xml:space="preserve">Upside: Mobility/DX turns profitable &amp; scales (Level-4 AV / HD-map tailwind), margin to ~16%, strategic exit at 11.5x, securities monetized.</t>
  </si>
  <si>
    <t xml:space="preserve">Net cash (+)/debt(–) at exit</t>
  </si>
  <si>
    <t xml:space="preserve">Entry sponsor equity</t>
  </si>
  <si>
    <t xml:space="preserve">Key insight: even a modestly levered (2.0x gross senior) take-private remains below a typical 20%+ PE hurdle. The case rests on DD-cleared value-up levers</t>
  </si>
  <si>
    <t xml:space="preserve">(balance-sheet optimization, margin expansion, and a strategic re-rating of the autonomous-driving / HD-map franchise).</t>
  </si>
  <si>
    <t xml:space="preserve">ILLUSTRATIVE NET RETURNS TO LPs — fund economics applied to the base case</t>
  </si>
  <si>
    <t xml:space="preserve">Gross exit equity (base, ¥mm)</t>
  </si>
  <si>
    <t xml:space="preserve">Management fee (p.a., × 5 yrs)</t>
  </si>
  <si>
    <t xml:space="preserve">Carried interest</t>
  </si>
  <si>
    <t xml:space="preserve">Preferred return (p.a.)</t>
  </si>
  <si>
    <t xml:space="preserve">Carried interest (¥mm)</t>
  </si>
  <si>
    <t xml:space="preserve">Management fees (¥mm)</t>
  </si>
  <si>
    <t xml:space="preserve">Net proceeds to LPs (¥mm)</t>
  </si>
  <si>
    <t xml:space="preserve">Net MOIC / Net IRR</t>
  </si>
  <si>
    <t xml:space="preserve">Illustrative 2/20-style economics with an 8% pref and 5% MIP; fee base simplified to invested equity. Net ~1.84x / ~13.0% vs 2.17x / 16.8% gross — the gross-to-net gap widens the shortfall to a 20% gross hurdle.</t>
  </si>
  <si>
    <t xml:space="preserve">Source: Base = live model; Downside / Upside = documented judgment inputs (blue), see scenario logic at right. Exit net-cash overrides vs mechanical 2.0x/80% schedule (= +1.5bn / +2.6bn): Downside embeds remediation costs &amp; trapped-cash risk.</t>
  </si>
  <si>
    <t xml:space="preserve">STRATEGIC-OWNER PERSPECTIVE — synergy walk to the 20% hurdle (illustrative)</t>
  </si>
  <si>
    <t xml:space="preserve">None</t>
  </si>
  <si>
    <t xml:space="preserve">Required</t>
  </si>
  <si>
    <t xml:space="preserve">Stretch</t>
  </si>
  <si>
    <t xml:space="preserve">Synergy EBITDA at exit (¥mm)</t>
  </si>
  <si>
    <t xml:space="preserve">Supportable offer (¥/share)</t>
  </si>
  <si>
    <t xml:space="preserve">Implied premium vs reference ¥1,680</t>
  </si>
  <si>
    <t xml:space="preserve">Synergy EBITDA required to support the full +37% offer (¥mm)</t>
  </si>
  <si>
    <t xml:space="preserve">of FY31E EBITDA (≈2.5% of FY31E revenue)</t>
  </si>
  <si>
    <t xml:space="preserve">Synergy sources for a mobility-platform owner (illustrative): HD-map licensing &amp; maintenance for robotaxi ODDs · mapping-as-a-service for fleet operations · joint municipal AV-transport projects · Level-4 SI for platform pilots. Context: AISAN is a Tier IV shareholder (2017) and Autoware-ecosystem map partner (AutowareMaps, 2018; AV-taxi pilot 2019).</t>
  </si>
  <si>
    <t xml:space="preserve">Strategic premium discipline still applies — do not pay away 100% of synergies; gating DD (investigation, restatement, cash availability) is unchanged under a strategic lens.</t>
  </si>
  <si>
    <t xml:space="preserve">7 · LEVERAGE &amp; FINANCING SENSITIVITY — illustrative only</t>
  </si>
  <si>
    <t xml:space="preserve">Interest held flat at 3.5%; 80% cash sweep per base financing policy; lender appetite / seasonality / investigation outcome unverified.</t>
  </si>
  <si>
    <t xml:space="preserve">Debt / EBITDA</t>
  </si>
  <si>
    <t xml:space="preserve">New debt</t>
  </si>
  <si>
    <t xml:space="preserve">Exit equity</t>
  </si>
  <si>
    <t xml:space="preserve">Ending debt</t>
  </si>
  <si>
    <t xml:space="preserve">Ending cash</t>
  </si>
  <si>
    <t xml:space="preserve">Mini debt schedules</t>
  </si>
  <si>
    <t xml:space="preserve">1.0x debt / EBITDA</t>
  </si>
  <si>
    <t xml:space="preserve">Fiscal year</t>
  </si>
  <si>
    <t xml:space="preserve">Beginning debt</t>
  </si>
  <si>
    <t xml:space="preserve">UFCF</t>
  </si>
  <si>
    <t xml:space="preserve">Cash interest</t>
  </si>
  <si>
    <t xml:space="preserve">FCF after interest</t>
  </si>
  <si>
    <t xml:space="preserve">Debt paydown</t>
  </si>
  <si>
    <t xml:space="preserve">2.0x debt / EBITDA</t>
  </si>
  <si>
    <t xml:space="preserve">2.5x debt / EBITDA</t>
  </si>
  <si>
    <t xml:space="preserve">3.0x debt / EBITDA</t>
  </si>
  <si>
    <t xml:space="preserve">FINANCING POLICY SENSITIVITY — at base leverage (2.0x) and base operating case</t>
  </si>
  <si>
    <t xml:space="preserve">Cash sweep 80% of FCF (base)</t>
  </si>
  <si>
    <t xml:space="preserve">Cash sweep 100% of FCF</t>
  </si>
  <si>
    <t xml:space="preserve">Interest rate 3.5% all-in (base)</t>
  </si>
  <si>
    <t xml:space="preserve">Interest rate 4.5% all-in</t>
  </si>
  <si>
    <t xml:space="preserve">Interest rate 5.5% all-in</t>
  </si>
  <si>
    <t xml:space="preserve">Source: mini debt schedules (below print range); UFCF from Debt_FCF; sponsor equity from Sources &amp; Uses.</t>
  </si>
  <si>
    <t xml:space="preserve">Mini schedule — cash sweep 100% (input D60)</t>
  </si>
  <si>
    <t xml:space="preserve">Mini schedule — interest 4.5% (input D68)</t>
  </si>
  <si>
    <t xml:space="preserve">Mini schedule — interest 5.5% (input D76)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</si>
</sst>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¥#,##0;&quot;(¥&quot;#,##0\)"/>
    <numFmt numFmtId="166" formatCode="0.0\x"/>
    <numFmt numFmtId="167" formatCode="#,##0.0;\(#,##0.0\);\-"/>
    <numFmt numFmtId="168" formatCode="#,##0;\(#,##0\);\-"/>
    <numFmt numFmtId="169" formatCode="0.0%;\(0.0%\);\-"/>
    <numFmt numFmtId="170" formatCode="0"/>
    <numFmt numFmtId="171" formatCode="0.0%"/>
    <numFmt numFmtId="172" formatCode="\¥#,##0"/>
    <numFmt numFmtId="173" formatCode="0.00\x"/>
    <numFmt numFmtId="174" formatCode="0%"/>
    <numFmt numFmtId="175" formatCode="#,##0"/>
    <numFmt numFmtId="176" formatCode="0.0%&quot; of FY31E revenue&quot;"/>
    <numFmt numFmtId="177" formatCode="0.0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Arial"/>
      <family val="0"/>
      <charset val="1"/>
    </font>
    <font>
      <b val="true"/>
      <sz val="18"/>
      <color rgb="FF1E2761"/>
      <name val="Georgia"/>
      <family val="0"/>
      <charset val="1"/>
    </font>
    <font>
      <sz val="12"/>
      <color rgb="FF1E2761"/>
      <name val="Georgia"/>
      <family val="0"/>
      <charset val="1"/>
    </font>
    <font>
      <i val="true"/>
      <sz val="8"/>
      <color rgb="FF7F7F7F"/>
      <name val="Arial"/>
      <family val="0"/>
      <charset val="1"/>
    </font>
    <font>
      <b val="true"/>
      <sz val="9"/>
      <color rgb="FF1E276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2"/>
      <color rgb="FF1E2761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7F7F7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8A951"/>
      </bottom>
      <diagonal/>
    </border>
    <border diagonalUp="false" diagonalDown="false">
      <left/>
      <right/>
      <top/>
      <bottom style="thin">
        <color rgb="FF1E2761"/>
      </bottom>
      <diagonal/>
    </border>
    <border diagonalUp="false" diagonalDown="false">
      <left/>
      <right/>
      <top style="thin">
        <color rgb="FF1E2761"/>
      </top>
      <bottom style="thin">
        <color rgb="FF1E2761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 diagonalUp="false" diagonalDown="false">
      <left style="medium">
        <color rgb="FF1E2761"/>
      </left>
      <right style="medium">
        <color rgb="FF1E2761"/>
      </right>
      <top style="medium">
        <color rgb="FF1E2761"/>
      </top>
      <bottom style="medium">
        <color rgb="FF1E276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A951"/>
      <rgbColor rgb="FFFF6600"/>
      <rgbColor rgb="FF595959"/>
      <rgbColor rgb="FF7F7F7F"/>
      <rgbColor rgb="FF1E2761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10" min="3" style="1" width="11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2"/>
      <c r="B3" s="3" t="s">
        <v>0</v>
      </c>
      <c r="C3" s="3"/>
      <c r="D3" s="3"/>
      <c r="E3" s="3"/>
      <c r="F3" s="3"/>
      <c r="G3" s="3"/>
      <c r="H3" s="3"/>
      <c r="I3" s="3"/>
    </row>
    <row r="4" customFormat="false" ht="15.75" hidden="false" customHeight="true" outlineLevel="0" collapsed="false">
      <c r="A4" s="2"/>
      <c r="B4" s="4" t="s">
        <v>1</v>
      </c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A5" s="2"/>
      <c r="B5" s="5" t="s">
        <v>2</v>
      </c>
      <c r="C5" s="5"/>
      <c r="D5" s="5"/>
      <c r="E5" s="5"/>
      <c r="F5" s="5"/>
      <c r="G5" s="5"/>
      <c r="H5" s="5"/>
      <c r="I5" s="5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</row>
    <row r="7" customFormat="false" ht="6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</row>
    <row r="8" customFormat="false" ht="18" hidden="false" customHeight="true" outlineLevel="0" collapsed="false">
      <c r="A8" s="2"/>
      <c r="B8" s="6" t="s">
        <v>3</v>
      </c>
      <c r="C8" s="7" t="s">
        <v>4</v>
      </c>
      <c r="D8" s="7"/>
      <c r="E8" s="7"/>
      <c r="F8" s="7"/>
      <c r="G8" s="7"/>
      <c r="H8" s="7"/>
      <c r="I8" s="7"/>
    </row>
    <row r="9" customFormat="false" ht="18" hidden="false" customHeight="true" outlineLevel="0" collapsed="false">
      <c r="A9" s="2"/>
      <c r="B9" s="6" t="s">
        <v>5</v>
      </c>
      <c r="C9" s="7" t="s">
        <v>6</v>
      </c>
      <c r="D9" s="7"/>
      <c r="E9" s="7"/>
      <c r="F9" s="7"/>
      <c r="G9" s="7"/>
      <c r="H9" s="7"/>
      <c r="I9" s="7"/>
    </row>
    <row r="10" customFormat="false" ht="18" hidden="false" customHeight="true" outlineLevel="0" collapsed="false">
      <c r="A10" s="2"/>
      <c r="B10" s="6" t="s">
        <v>7</v>
      </c>
      <c r="C10" s="7" t="s">
        <v>8</v>
      </c>
      <c r="D10" s="7"/>
      <c r="E10" s="7"/>
      <c r="F10" s="7"/>
      <c r="G10" s="7"/>
      <c r="H10" s="7"/>
      <c r="I10" s="7"/>
    </row>
    <row r="11" customFormat="false" ht="18" hidden="false" customHeight="true" outlineLevel="0" collapsed="false">
      <c r="A11" s="2"/>
      <c r="B11" s="6" t="s">
        <v>9</v>
      </c>
      <c r="C11" s="7" t="s">
        <v>10</v>
      </c>
      <c r="D11" s="7"/>
      <c r="E11" s="7"/>
      <c r="F11" s="7"/>
      <c r="G11" s="7"/>
      <c r="H11" s="7"/>
      <c r="I11" s="7"/>
    </row>
    <row r="12" customFormat="false" ht="18" hidden="false" customHeight="true" outlineLevel="0" collapsed="false">
      <c r="A12" s="2"/>
      <c r="B12" s="6" t="s">
        <v>11</v>
      </c>
      <c r="C12" s="7" t="s">
        <v>12</v>
      </c>
      <c r="D12" s="7"/>
      <c r="E12" s="7"/>
      <c r="F12" s="7"/>
      <c r="G12" s="7"/>
      <c r="H12" s="7"/>
      <c r="I12" s="7"/>
    </row>
    <row r="13" customFormat="false" ht="18" hidden="false" customHeight="true" outlineLevel="0" collapsed="false">
      <c r="A13" s="2"/>
      <c r="B13" s="6" t="s">
        <v>13</v>
      </c>
      <c r="C13" s="7" t="s">
        <v>14</v>
      </c>
      <c r="D13" s="7"/>
      <c r="E13" s="7"/>
      <c r="F13" s="7"/>
      <c r="G13" s="7"/>
      <c r="H13" s="7"/>
      <c r="I13" s="7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</row>
    <row r="15" customFormat="false" ht="15" hidden="false" customHeight="true" outlineLevel="0" collapsed="false">
      <c r="A15" s="2"/>
      <c r="B15" s="8" t="s">
        <v>15</v>
      </c>
      <c r="C15" s="9"/>
      <c r="D15" s="10"/>
      <c r="E15" s="10"/>
      <c r="F15" s="10"/>
      <c r="G15" s="10"/>
      <c r="H15" s="10"/>
      <c r="I15" s="10"/>
    </row>
    <row r="16" customFormat="false" ht="15.75" hidden="false" customHeight="true" outlineLevel="0" collapsed="false">
      <c r="A16" s="2"/>
      <c r="B16" s="11" t="s">
        <v>16</v>
      </c>
      <c r="C16" s="12" t="s">
        <v>17</v>
      </c>
      <c r="D16" s="12"/>
      <c r="E16" s="12"/>
      <c r="F16" s="12"/>
      <c r="G16" s="12"/>
      <c r="H16" s="12"/>
      <c r="I16" s="12"/>
    </row>
    <row r="17" customFormat="false" ht="15.75" hidden="false" customHeight="true" outlineLevel="0" collapsed="false">
      <c r="A17" s="2"/>
      <c r="B17" s="11" t="s">
        <v>18</v>
      </c>
      <c r="C17" s="12" t="s">
        <v>19</v>
      </c>
      <c r="D17" s="12"/>
      <c r="E17" s="12"/>
      <c r="F17" s="12"/>
      <c r="G17" s="12"/>
      <c r="H17" s="12"/>
      <c r="I17" s="12"/>
    </row>
    <row r="18" customFormat="false" ht="15.75" hidden="false" customHeight="true" outlineLevel="0" collapsed="false">
      <c r="A18" s="2"/>
      <c r="B18" s="11" t="s">
        <v>20</v>
      </c>
      <c r="C18" s="12" t="s">
        <v>21</v>
      </c>
      <c r="D18" s="12"/>
      <c r="E18" s="12"/>
      <c r="F18" s="12"/>
      <c r="G18" s="12"/>
      <c r="H18" s="12"/>
      <c r="I18" s="12"/>
    </row>
    <row r="19" customFormat="false" ht="15.75" hidden="false" customHeight="true" outlineLevel="0" collapsed="false">
      <c r="A19" s="2"/>
      <c r="B19" s="11" t="s">
        <v>22</v>
      </c>
      <c r="C19" s="12" t="s">
        <v>23</v>
      </c>
      <c r="D19" s="12"/>
      <c r="E19" s="12"/>
      <c r="F19" s="12"/>
      <c r="G19" s="12"/>
      <c r="H19" s="12"/>
      <c r="I19" s="12"/>
    </row>
    <row r="20" customFormat="false" ht="15.75" hidden="false" customHeight="true" outlineLevel="0" collapsed="false">
      <c r="A20" s="2"/>
      <c r="B20" s="11" t="s">
        <v>24</v>
      </c>
      <c r="C20" s="12" t="s">
        <v>25</v>
      </c>
      <c r="D20" s="12"/>
      <c r="E20" s="12"/>
      <c r="F20" s="12"/>
      <c r="G20" s="12"/>
      <c r="H20" s="12"/>
      <c r="I20" s="12"/>
    </row>
    <row r="21" customFormat="false" ht="15.75" hidden="false" customHeight="true" outlineLevel="0" collapsed="false">
      <c r="A21" s="2"/>
      <c r="B21" s="11" t="s">
        <v>26</v>
      </c>
      <c r="C21" s="12" t="s">
        <v>27</v>
      </c>
      <c r="D21" s="12"/>
      <c r="E21" s="12"/>
      <c r="F21" s="12"/>
      <c r="G21" s="12"/>
      <c r="H21" s="12"/>
      <c r="I21" s="12"/>
    </row>
    <row r="22" customFormat="false" ht="15" hidden="false" customHeight="true" outlineLevel="0" collapsed="false">
      <c r="A22" s="2"/>
      <c r="B22" s="11" t="s">
        <v>28</v>
      </c>
      <c r="C22" s="13" t="s">
        <v>29</v>
      </c>
      <c r="D22" s="2"/>
      <c r="E22" s="2"/>
      <c r="F22" s="2"/>
      <c r="G22" s="2"/>
      <c r="H22" s="2"/>
      <c r="I22" s="2"/>
    </row>
    <row r="23" customFormat="false" ht="15" hidden="false" customHeight="true" outlineLevel="0" collapsed="false">
      <c r="A23" s="2"/>
      <c r="B23" s="14" t="s">
        <v>30</v>
      </c>
      <c r="C23" s="14"/>
      <c r="D23" s="14"/>
      <c r="E23" s="14"/>
      <c r="F23" s="14"/>
      <c r="G23" s="14"/>
      <c r="H23" s="14"/>
      <c r="I23" s="14"/>
    </row>
    <row r="24" customFormat="false" ht="15" hidden="false" customHeight="true" outlineLevel="0" collapsed="false">
      <c r="A24" s="2"/>
      <c r="B24" s="14"/>
      <c r="C24" s="14"/>
      <c r="D24" s="14"/>
      <c r="E24" s="14"/>
      <c r="F24" s="14"/>
      <c r="G24" s="14"/>
      <c r="H24" s="14"/>
      <c r="I24" s="14"/>
    </row>
    <row r="25" customFormat="false" ht="15" hidden="false" customHeight="true" outlineLevel="0" collapsed="false">
      <c r="A25" s="2"/>
      <c r="B25" s="14"/>
      <c r="C25" s="14"/>
      <c r="D25" s="14"/>
      <c r="E25" s="14"/>
      <c r="F25" s="14"/>
      <c r="G25" s="14"/>
      <c r="H25" s="14"/>
      <c r="I25" s="14"/>
    </row>
    <row r="26" customFormat="false" ht="15" hidden="false" customHeight="true" outlineLevel="0" collapsed="false">
      <c r="A26" s="2"/>
      <c r="B26" s="14"/>
      <c r="C26" s="14"/>
      <c r="D26" s="14"/>
      <c r="E26" s="14"/>
      <c r="F26" s="14"/>
      <c r="G26" s="14"/>
      <c r="H26" s="14"/>
      <c r="I26" s="14"/>
    </row>
  </sheetData>
  <mergeCells count="16">
    <mergeCell ref="B3:I3"/>
    <mergeCell ref="B4:I4"/>
    <mergeCell ref="B5:I5"/>
    <mergeCell ref="C8:I8"/>
    <mergeCell ref="C9:I9"/>
    <mergeCell ref="C10:I10"/>
    <mergeCell ref="C11:I11"/>
    <mergeCell ref="C12:I12"/>
    <mergeCell ref="C13:I13"/>
    <mergeCell ref="C16:I16"/>
    <mergeCell ref="C17:I17"/>
    <mergeCell ref="C18:I18"/>
    <mergeCell ref="C19:I19"/>
    <mergeCell ref="C20:I20"/>
    <mergeCell ref="C21:I21"/>
    <mergeCell ref="B23:I26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4" min="3" style="1" width="14"/>
    <col collapsed="false" customWidth="true" hidden="false" outlineLevel="0" max="5" min="5" style="1" width="3"/>
    <col collapsed="false" customWidth="true" hidden="false" outlineLevel="0" max="6" min="6" style="1" width="40"/>
    <col collapsed="false" customWidth="true" hidden="false" outlineLevel="0" max="7" min="7" style="1" width="13"/>
    <col collapsed="false" customWidth="true" hidden="false" outlineLevel="0" max="10" min="8" style="1" width="11"/>
  </cols>
  <sheetData>
    <row r="1" customFormat="false" ht="25.5" hidden="false" customHeight="true" outlineLevel="0" collapsed="false">
      <c r="A1" s="15" t="s">
        <v>31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3.5" hidden="false" customHeight="true" outlineLevel="0" collapsed="false">
      <c r="A2" s="5" t="s">
        <v>32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2"/>
      <c r="B4" s="8" t="s">
        <v>33</v>
      </c>
      <c r="C4" s="9"/>
      <c r="D4" s="9"/>
      <c r="E4" s="2"/>
      <c r="F4" s="8" t="s">
        <v>34</v>
      </c>
      <c r="G4" s="9"/>
      <c r="H4" s="16"/>
      <c r="I4" s="2"/>
      <c r="J4" s="2"/>
    </row>
    <row r="5" customFormat="false" ht="15" hidden="false" customHeight="true" outlineLevel="0" collapsed="false">
      <c r="A5" s="2"/>
      <c r="B5" s="17" t="s">
        <v>35</v>
      </c>
      <c r="C5" s="18" t="n">
        <v>1680</v>
      </c>
      <c r="D5" s="19" t="s">
        <v>36</v>
      </c>
      <c r="E5" s="2"/>
      <c r="F5" s="17" t="s">
        <v>37</v>
      </c>
      <c r="G5" s="20" t="n">
        <v>2</v>
      </c>
      <c r="H5" s="19" t="s">
        <v>38</v>
      </c>
      <c r="I5" s="2"/>
      <c r="J5" s="2"/>
    </row>
    <row r="6" customFormat="false" ht="15" hidden="false" customHeight="true" outlineLevel="0" collapsed="false">
      <c r="A6" s="2"/>
      <c r="B6" s="17" t="s">
        <v>39</v>
      </c>
      <c r="C6" s="21" t="n">
        <f aca="false">(5548979-268816)/1000000</f>
        <v>5.280163</v>
      </c>
      <c r="D6" s="19" t="s">
        <v>40</v>
      </c>
      <c r="E6" s="2"/>
      <c r="F6" s="11" t="s">
        <v>41</v>
      </c>
      <c r="G6" s="22" t="n">
        <f aca="false">G5*C19</f>
        <v>1600</v>
      </c>
      <c r="H6" s="23"/>
      <c r="I6" s="2"/>
      <c r="J6" s="2"/>
    </row>
    <row r="7" customFormat="false" ht="15" hidden="false" customHeight="true" outlineLevel="0" collapsed="false">
      <c r="A7" s="2"/>
      <c r="B7" s="17" t="s">
        <v>42</v>
      </c>
      <c r="C7" s="24" t="n">
        <v>0.37</v>
      </c>
      <c r="D7" s="25" t="s">
        <v>43</v>
      </c>
      <c r="E7" s="2"/>
      <c r="F7" s="17" t="s">
        <v>44</v>
      </c>
      <c r="G7" s="24" t="n">
        <v>0.035</v>
      </c>
      <c r="H7" s="19" t="s">
        <v>45</v>
      </c>
      <c r="I7" s="2"/>
      <c r="J7" s="2"/>
    </row>
    <row r="8" customFormat="false" ht="15" hidden="false" customHeight="true" outlineLevel="0" collapsed="false">
      <c r="A8" s="2"/>
      <c r="B8" s="11" t="s">
        <v>46</v>
      </c>
      <c r="C8" s="26" t="n">
        <f aca="false">C5*(1+C7)</f>
        <v>2301.6</v>
      </c>
      <c r="D8" s="2"/>
      <c r="E8" s="2"/>
      <c r="F8" s="17" t="s">
        <v>47</v>
      </c>
      <c r="G8" s="24" t="n">
        <v>0.8</v>
      </c>
      <c r="H8" s="19" t="s">
        <v>48</v>
      </c>
      <c r="I8" s="2"/>
      <c r="J8" s="2"/>
    </row>
    <row r="9" customFormat="false" ht="15" hidden="false" customHeight="true" outlineLevel="0" collapsed="false">
      <c r="A9" s="2"/>
      <c r="B9" s="11" t="s">
        <v>49</v>
      </c>
      <c r="C9" s="22" t="n">
        <f aca="false">C8*C6</f>
        <v>12152.8231608</v>
      </c>
      <c r="D9" s="19" t="s">
        <v>50</v>
      </c>
      <c r="E9" s="2"/>
      <c r="F9" s="17" t="s">
        <v>51</v>
      </c>
      <c r="G9" s="27" t="n">
        <v>800</v>
      </c>
      <c r="H9" s="19" t="s">
        <v>52</v>
      </c>
      <c r="I9" s="2"/>
      <c r="J9" s="2"/>
    </row>
    <row r="10" customFormat="false" ht="15" hidden="false" customHeight="true" outlineLevel="0" collapsed="false">
      <c r="A10" s="2"/>
      <c r="B10" s="17" t="s">
        <v>53</v>
      </c>
      <c r="C10" s="27" t="n">
        <v>100</v>
      </c>
      <c r="D10" s="19" t="s">
        <v>54</v>
      </c>
      <c r="E10" s="2"/>
      <c r="F10" s="17" t="s">
        <v>55</v>
      </c>
      <c r="G10" s="27" t="n">
        <v>400</v>
      </c>
      <c r="H10" s="19" t="s">
        <v>56</v>
      </c>
      <c r="I10" s="2"/>
      <c r="J10" s="2"/>
    </row>
    <row r="11" customFormat="false" ht="15" hidden="false" customHeight="true" outlineLevel="0" collapsed="false">
      <c r="A11" s="2"/>
      <c r="B11" s="17" t="s">
        <v>57</v>
      </c>
      <c r="C11" s="27" t="n">
        <v>4200</v>
      </c>
      <c r="D11" s="19" t="s">
        <v>58</v>
      </c>
      <c r="E11" s="2"/>
      <c r="F11" s="17" t="s">
        <v>59</v>
      </c>
      <c r="G11" s="28" t="n">
        <f aca="false">C11-G9</f>
        <v>3400</v>
      </c>
      <c r="H11" s="19" t="s">
        <v>60</v>
      </c>
      <c r="I11" s="2"/>
      <c r="J11" s="2"/>
    </row>
    <row r="12" customFormat="false" ht="15" hidden="false" customHeight="true" outlineLevel="0" collapsed="false">
      <c r="A12" s="2"/>
      <c r="B12" s="17" t="s">
        <v>61</v>
      </c>
      <c r="C12" s="28" t="n">
        <f aca="false">C10-C11</f>
        <v>-4100</v>
      </c>
      <c r="D12" s="19" t="s">
        <v>62</v>
      </c>
      <c r="E12" s="2"/>
      <c r="F12" s="2"/>
      <c r="G12" s="2"/>
      <c r="H12" s="2"/>
      <c r="I12" s="2"/>
      <c r="J12" s="2"/>
    </row>
    <row r="13" customFormat="false" ht="15" hidden="false" customHeight="true" outlineLevel="0" collapsed="false">
      <c r="A13" s="2"/>
      <c r="B13" s="11" t="s">
        <v>63</v>
      </c>
      <c r="C13" s="22" t="n">
        <f aca="false">C9+C12</f>
        <v>8052.8231608</v>
      </c>
      <c r="D13" s="2"/>
      <c r="E13" s="2"/>
      <c r="F13" s="8" t="s">
        <v>64</v>
      </c>
      <c r="G13" s="9"/>
      <c r="H13" s="16"/>
      <c r="I13" s="2"/>
      <c r="J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17" t="s">
        <v>65</v>
      </c>
      <c r="G14" s="24" t="n">
        <v>0.31</v>
      </c>
      <c r="H14" s="19" t="s">
        <v>66</v>
      </c>
      <c r="I14" s="2"/>
      <c r="J14" s="2"/>
    </row>
    <row r="15" customFormat="false" ht="15" hidden="false" customHeight="true" outlineLevel="0" collapsed="false">
      <c r="A15" s="2"/>
      <c r="B15" s="8" t="s">
        <v>67</v>
      </c>
      <c r="C15" s="9"/>
      <c r="D15" s="9"/>
      <c r="E15" s="2"/>
      <c r="F15" s="17" t="s">
        <v>68</v>
      </c>
      <c r="G15" s="29" t="n">
        <v>5</v>
      </c>
      <c r="H15" s="19" t="s">
        <v>69</v>
      </c>
      <c r="I15" s="2"/>
      <c r="J15" s="2"/>
    </row>
    <row r="16" customFormat="false" ht="15" hidden="false" customHeight="true" outlineLevel="0" collapsed="false">
      <c r="A16" s="2"/>
      <c r="B16" s="17" t="s">
        <v>70</v>
      </c>
      <c r="C16" s="27" t="n">
        <v>7200</v>
      </c>
      <c r="D16" s="19" t="s">
        <v>71</v>
      </c>
      <c r="E16" s="2"/>
      <c r="F16" s="17" t="s">
        <v>72</v>
      </c>
      <c r="G16" s="20" t="n">
        <v>10</v>
      </c>
      <c r="H16" s="19" t="s">
        <v>73</v>
      </c>
      <c r="I16" s="2"/>
      <c r="J16" s="2"/>
    </row>
    <row r="17" customFormat="false" ht="15" hidden="false" customHeight="true" outlineLevel="0" collapsed="false">
      <c r="A17" s="2"/>
      <c r="B17" s="17" t="s">
        <v>74</v>
      </c>
      <c r="C17" s="27" t="n">
        <v>600</v>
      </c>
      <c r="D17" s="19" t="s">
        <v>71</v>
      </c>
      <c r="E17" s="2"/>
      <c r="F17" s="2"/>
      <c r="G17" s="2"/>
      <c r="H17" s="2"/>
      <c r="I17" s="2"/>
      <c r="J17" s="2"/>
    </row>
    <row r="18" customFormat="false" ht="15" hidden="false" customHeight="true" outlineLevel="0" collapsed="false">
      <c r="A18" s="2"/>
      <c r="B18" s="17" t="s">
        <v>75</v>
      </c>
      <c r="C18" s="27" t="n">
        <v>200</v>
      </c>
      <c r="D18" s="19" t="s">
        <v>76</v>
      </c>
      <c r="E18" s="2"/>
      <c r="F18" s="8" t="s">
        <v>77</v>
      </c>
      <c r="G18" s="9"/>
      <c r="H18" s="16"/>
      <c r="I18" s="16"/>
      <c r="J18" s="16"/>
    </row>
    <row r="19" customFormat="false" ht="15" hidden="false" customHeight="true" outlineLevel="0" collapsed="false">
      <c r="A19" s="2"/>
      <c r="B19" s="11" t="s">
        <v>78</v>
      </c>
      <c r="C19" s="22" t="n">
        <f aca="false">C17+C18</f>
        <v>800</v>
      </c>
      <c r="D19" s="23" t="s">
        <v>79</v>
      </c>
      <c r="E19" s="2"/>
      <c r="F19" s="6" t="s">
        <v>80</v>
      </c>
      <c r="G19" s="30" t="s">
        <v>81</v>
      </c>
      <c r="H19" s="30" t="s">
        <v>82</v>
      </c>
      <c r="I19" s="30" t="s">
        <v>83</v>
      </c>
      <c r="J19" s="30" t="s">
        <v>84</v>
      </c>
    </row>
    <row r="20" customFormat="false" ht="15" hidden="false" customHeight="true" outlineLevel="0" collapsed="false">
      <c r="A20" s="2"/>
      <c r="B20" s="11" t="s">
        <v>85</v>
      </c>
      <c r="C20" s="31" t="n">
        <f aca="false">C13/C19</f>
        <v>10.066028951</v>
      </c>
      <c r="D20" s="2"/>
      <c r="E20" s="2"/>
      <c r="F20" s="17" t="s">
        <v>86</v>
      </c>
      <c r="G20" s="24" t="n">
        <v>0.07</v>
      </c>
      <c r="H20" s="24" t="n">
        <v>0.07</v>
      </c>
      <c r="I20" s="24" t="n">
        <v>0.06</v>
      </c>
      <c r="J20" s="24" t="n">
        <v>0.06</v>
      </c>
    </row>
    <row r="21" customFormat="false" ht="15" hidden="false" customHeight="true" outlineLevel="0" collapsed="false">
      <c r="A21" s="2"/>
      <c r="B21" s="17" t="s">
        <v>87</v>
      </c>
      <c r="C21" s="32" t="n">
        <f aca="false">C13/C17</f>
        <v>13.4213719346667</v>
      </c>
      <c r="D21" s="2"/>
      <c r="E21" s="2"/>
      <c r="F21" s="17" t="s">
        <v>88</v>
      </c>
      <c r="G21" s="24" t="n">
        <v>0.05</v>
      </c>
      <c r="H21" s="2"/>
      <c r="I21" s="2"/>
      <c r="J21" s="2"/>
    </row>
    <row r="22" customFormat="false" ht="15" hidden="false" customHeight="true" outlineLevel="0" collapsed="false">
      <c r="A22" s="2"/>
      <c r="B22" s="17" t="s">
        <v>89</v>
      </c>
      <c r="C22" s="32" t="n">
        <f aca="false">C9/C23</f>
        <v>31.8136731958115</v>
      </c>
      <c r="D22" s="19" t="s">
        <v>90</v>
      </c>
      <c r="E22" s="2"/>
      <c r="F22" s="17" t="s">
        <v>91</v>
      </c>
      <c r="G22" s="24" t="n">
        <v>0.092</v>
      </c>
      <c r="H22" s="24" t="n">
        <v>0.1</v>
      </c>
      <c r="I22" s="24" t="n">
        <v>0.108</v>
      </c>
      <c r="J22" s="24" t="n">
        <v>0.114</v>
      </c>
    </row>
    <row r="23" customFormat="false" ht="15" hidden="false" customHeight="true" outlineLevel="0" collapsed="false">
      <c r="A23" s="2"/>
      <c r="B23" s="2" t="s">
        <v>92</v>
      </c>
      <c r="C23" s="2" t="n">
        <v>382</v>
      </c>
      <c r="D23" s="23" t="s">
        <v>93</v>
      </c>
      <c r="E23" s="2"/>
      <c r="F23" s="17" t="s">
        <v>94</v>
      </c>
      <c r="G23" s="24" t="n">
        <v>0.12</v>
      </c>
      <c r="H23" s="2"/>
      <c r="I23" s="2"/>
      <c r="J23" s="2"/>
    </row>
    <row r="24" customFormat="false" ht="15" hidden="false" customHeight="true" outlineLevel="0" collapsed="false">
      <c r="A24" s="2"/>
      <c r="B24" s="2"/>
      <c r="C24" s="2"/>
      <c r="D24" s="2"/>
      <c r="E24" s="2"/>
      <c r="F24" s="17" t="s">
        <v>95</v>
      </c>
      <c r="G24" s="27" t="n">
        <v>210</v>
      </c>
      <c r="H24" s="27" t="n">
        <v>220</v>
      </c>
      <c r="I24" s="27" t="n">
        <v>235</v>
      </c>
      <c r="J24" s="27" t="n">
        <v>250</v>
      </c>
    </row>
    <row r="25" customFormat="false" ht="15" hidden="false" customHeight="true" outlineLevel="0" collapsed="false">
      <c r="A25" s="2"/>
      <c r="B25" s="2"/>
      <c r="C25" s="2"/>
      <c r="D25" s="2"/>
      <c r="E25" s="2"/>
      <c r="F25" s="17" t="s">
        <v>96</v>
      </c>
      <c r="G25" s="27" t="n">
        <v>265</v>
      </c>
      <c r="H25" s="2"/>
      <c r="I25" s="2"/>
      <c r="J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17" t="s">
        <v>97</v>
      </c>
      <c r="G26" s="24" t="n">
        <v>0.025</v>
      </c>
      <c r="H26" s="33" t="s">
        <v>98</v>
      </c>
      <c r="I26" s="24" t="n">
        <v>0.06</v>
      </c>
      <c r="J26" s="34" t="s">
        <v>99</v>
      </c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true" outlineLevel="0" collapsed="false">
      <c r="A28" s="2"/>
      <c r="B28" s="35" t="s">
        <v>100</v>
      </c>
      <c r="C28" s="16"/>
      <c r="D28" s="16"/>
      <c r="E28" s="2"/>
      <c r="F28" s="2"/>
      <c r="G28" s="2"/>
      <c r="H28" s="2"/>
      <c r="I28" s="2"/>
      <c r="J28" s="2"/>
    </row>
    <row r="29" customFormat="false" ht="15" hidden="false" customHeight="true" outlineLevel="0" collapsed="false">
      <c r="A29" s="2"/>
      <c r="B29" s="2" t="s">
        <v>101</v>
      </c>
      <c r="C29" s="36" t="n">
        <f aca="false">C5</f>
        <v>1680</v>
      </c>
      <c r="D29" s="37" t="n">
        <f aca="false">C8/C29-1</f>
        <v>0.37</v>
      </c>
      <c r="E29" s="2"/>
      <c r="F29" s="2"/>
      <c r="G29" s="2"/>
      <c r="H29" s="2"/>
      <c r="I29" s="2"/>
      <c r="J29" s="2"/>
    </row>
    <row r="30" customFormat="false" ht="15" hidden="false" customHeight="true" outlineLevel="0" collapsed="false">
      <c r="A30" s="2"/>
      <c r="B30" s="2" t="s">
        <v>102</v>
      </c>
      <c r="C30" s="18" t="n">
        <v>1780</v>
      </c>
      <c r="D30" s="37" t="n">
        <f aca="false">C8/C30-1</f>
        <v>0.293033707865169</v>
      </c>
      <c r="E30" s="2"/>
      <c r="F30" s="2"/>
      <c r="G30" s="2"/>
      <c r="H30" s="2"/>
      <c r="I30" s="2"/>
      <c r="J30" s="2"/>
    </row>
    <row r="31" customFormat="false" ht="15" hidden="false" customHeight="true" outlineLevel="0" collapsed="false">
      <c r="A31" s="2"/>
      <c r="B31" s="2" t="s">
        <v>103</v>
      </c>
      <c r="C31" s="18" t="n">
        <v>1739.79090267983</v>
      </c>
      <c r="D31" s="37" t="n">
        <f aca="false">C8/C31-1</f>
        <v>0.322917596853051</v>
      </c>
      <c r="E31" s="2"/>
      <c r="F31" s="2"/>
      <c r="G31" s="2"/>
      <c r="H31" s="2"/>
      <c r="I31" s="2"/>
      <c r="J31" s="2"/>
    </row>
    <row r="32" customFormat="false" ht="15" hidden="false" customHeight="true" outlineLevel="0" collapsed="false">
      <c r="A32" s="2"/>
      <c r="B32" s="2" t="s">
        <v>104</v>
      </c>
      <c r="C32" s="18" t="n">
        <v>1928.85421313507</v>
      </c>
      <c r="D32" s="37" t="n">
        <f aca="false">C8/C32-1</f>
        <v>0.193247257530722</v>
      </c>
      <c r="E32" s="2"/>
      <c r="F32" s="2"/>
      <c r="G32" s="2"/>
      <c r="H32" s="2"/>
      <c r="I32" s="2"/>
      <c r="J32" s="2"/>
    </row>
    <row r="33" customFormat="false" ht="15" hidden="false" customHeight="true" outlineLevel="0" collapsed="false">
      <c r="A33" s="2"/>
      <c r="B33" s="38" t="s">
        <v>105</v>
      </c>
      <c r="C33" s="39" t="n">
        <v>1847</v>
      </c>
      <c r="D33" s="37" t="n">
        <f aca="false">$C$8/C33-1</f>
        <v>0.24612885760693</v>
      </c>
      <c r="E33" s="2"/>
      <c r="F33" s="2"/>
      <c r="G33" s="2"/>
      <c r="H33" s="2"/>
      <c r="I33" s="2"/>
      <c r="J33" s="2"/>
    </row>
    <row r="34" customFormat="false" ht="15" hidden="false" customHeight="true" outlineLevel="0" collapsed="false">
      <c r="A34" s="2"/>
      <c r="B34" s="35" t="s">
        <v>106</v>
      </c>
      <c r="C34" s="16"/>
      <c r="D34" s="16"/>
      <c r="E34" s="16"/>
      <c r="F34" s="16"/>
      <c r="G34" s="16"/>
      <c r="H34" s="16"/>
      <c r="I34" s="16"/>
      <c r="J34" s="16"/>
    </row>
    <row r="35" customFormat="false" ht="36" hidden="false" customHeight="true" outlineLevel="0" collapsed="false">
      <c r="A35" s="40" t="s">
        <v>107</v>
      </c>
      <c r="B35" s="41" t="s">
        <v>108</v>
      </c>
      <c r="C35" s="41"/>
      <c r="D35" s="41"/>
      <c r="E35" s="41"/>
      <c r="F35" s="41"/>
      <c r="G35" s="41"/>
      <c r="H35" s="41"/>
      <c r="I35" s="41"/>
      <c r="J35" s="41"/>
    </row>
    <row r="36" customFormat="false" ht="36" hidden="false" customHeight="true" outlineLevel="0" collapsed="false">
      <c r="A36" s="40" t="s">
        <v>109</v>
      </c>
      <c r="B36" s="41" t="s">
        <v>110</v>
      </c>
      <c r="C36" s="41"/>
      <c r="D36" s="41"/>
      <c r="E36" s="41"/>
      <c r="F36" s="41"/>
      <c r="G36" s="41"/>
      <c r="H36" s="41"/>
      <c r="I36" s="41"/>
      <c r="J36" s="41"/>
    </row>
    <row r="37" customFormat="false" ht="36" hidden="false" customHeight="true" outlineLevel="0" collapsed="false">
      <c r="A37" s="40" t="s">
        <v>111</v>
      </c>
      <c r="B37" s="41" t="s">
        <v>112</v>
      </c>
      <c r="C37" s="41"/>
      <c r="D37" s="41"/>
      <c r="E37" s="41"/>
      <c r="F37" s="41"/>
      <c r="G37" s="41"/>
      <c r="H37" s="41"/>
      <c r="I37" s="41"/>
      <c r="J37" s="41"/>
    </row>
    <row r="38" customFormat="false" ht="36" hidden="false" customHeight="true" outlineLevel="0" collapsed="false">
      <c r="A38" s="40" t="s">
        <v>113</v>
      </c>
      <c r="B38" s="41" t="s">
        <v>114</v>
      </c>
      <c r="C38" s="41"/>
      <c r="D38" s="41"/>
      <c r="E38" s="41"/>
      <c r="F38" s="41"/>
      <c r="G38" s="41"/>
      <c r="H38" s="41"/>
      <c r="I38" s="41"/>
      <c r="J38" s="41"/>
    </row>
    <row r="39" customFormat="false" ht="13.5" hidden="false" customHeight="true" outlineLevel="0" collapsed="false">
      <c r="A39" s="40" t="s">
        <v>115</v>
      </c>
      <c r="B39" s="41" t="s">
        <v>116</v>
      </c>
      <c r="C39" s="41"/>
      <c r="D39" s="41"/>
      <c r="E39" s="41"/>
      <c r="F39" s="41"/>
      <c r="G39" s="41"/>
      <c r="H39" s="41"/>
      <c r="I39" s="41"/>
      <c r="J39" s="41"/>
    </row>
    <row r="40" customFormat="false" ht="24.75" hidden="false" customHeight="true" outlineLevel="0" collapsed="false">
      <c r="A40" s="40" t="s">
        <v>117</v>
      </c>
      <c r="B40" s="41" t="s">
        <v>118</v>
      </c>
      <c r="C40" s="41"/>
      <c r="D40" s="41"/>
      <c r="E40" s="41"/>
      <c r="F40" s="41"/>
      <c r="G40" s="41"/>
      <c r="H40" s="41"/>
      <c r="I40" s="41"/>
      <c r="J40" s="41"/>
    </row>
    <row r="41" customFormat="false" ht="24.75" hidden="false" customHeight="true" outlineLevel="0" collapsed="false">
      <c r="A41" s="40" t="s">
        <v>119</v>
      </c>
      <c r="B41" s="41" t="s">
        <v>120</v>
      </c>
      <c r="C41" s="41"/>
      <c r="D41" s="41"/>
      <c r="E41" s="41"/>
      <c r="F41" s="41"/>
      <c r="G41" s="41"/>
      <c r="H41" s="41"/>
      <c r="I41" s="41"/>
      <c r="J41" s="41"/>
    </row>
    <row r="42" customFormat="false" ht="13.5" hidden="false" customHeight="true" outlineLevel="0" collapsed="false">
      <c r="A42" s="40" t="s">
        <v>121</v>
      </c>
      <c r="B42" s="41" t="s">
        <v>122</v>
      </c>
      <c r="C42" s="41"/>
      <c r="D42" s="41"/>
      <c r="E42" s="41"/>
      <c r="F42" s="41"/>
      <c r="G42" s="41"/>
      <c r="H42" s="41"/>
      <c r="I42" s="41"/>
      <c r="J42" s="41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5" hidden="false" customHeight="true" outlineLevel="0" collapsed="false">
      <c r="A44" s="2"/>
      <c r="B44" s="42" t="s">
        <v>123</v>
      </c>
      <c r="C44" s="2"/>
      <c r="D44" s="2"/>
      <c r="E44" s="2"/>
      <c r="F44" s="2"/>
      <c r="G44" s="2"/>
      <c r="H44" s="2"/>
      <c r="I44" s="2"/>
      <c r="J44" s="2"/>
    </row>
  </sheetData>
  <mergeCells count="10">
    <mergeCell ref="A1:J1"/>
    <mergeCell ref="A2:J2"/>
    <mergeCell ref="B35:J35"/>
    <mergeCell ref="B36:J36"/>
    <mergeCell ref="B37:J37"/>
    <mergeCell ref="B38:J38"/>
    <mergeCell ref="B39:J39"/>
    <mergeCell ref="B40:J40"/>
    <mergeCell ref="B41:J41"/>
    <mergeCell ref="B42:J4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11"/>
    <col collapsed="false" customWidth="true" hidden="false" outlineLevel="0" max="5" min="5" style="1" width="3"/>
    <col collapsed="false" customWidth="true" hidden="false" outlineLevel="0" max="6" min="6" style="1" width="34"/>
    <col collapsed="false" customWidth="true" hidden="false" outlineLevel="0" max="7" min="7" style="1" width="14"/>
    <col collapsed="false" customWidth="true" hidden="false" outlineLevel="0" max="10" min="8" style="1" width="11"/>
  </cols>
  <sheetData>
    <row r="1" customFormat="false" ht="25.5" hidden="false" customHeight="true" outlineLevel="0" collapsed="false">
      <c r="A1" s="15" t="s">
        <v>124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3.5" hidden="false" customHeight="true" outlineLevel="0" collapsed="false">
      <c r="A2" s="5" t="s">
        <v>125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2"/>
      <c r="B4" s="43" t="s">
        <v>126</v>
      </c>
      <c r="C4" s="44" t="s">
        <v>50</v>
      </c>
      <c r="D4" s="44" t="s">
        <v>127</v>
      </c>
      <c r="E4" s="2"/>
      <c r="F4" s="43" t="s">
        <v>128</v>
      </c>
      <c r="G4" s="44" t="s">
        <v>50</v>
      </c>
      <c r="H4" s="44" t="s">
        <v>129</v>
      </c>
      <c r="I4" s="2"/>
      <c r="J4" s="2"/>
    </row>
    <row r="5" customFormat="false" ht="15" hidden="false" customHeight="true" outlineLevel="0" collapsed="false">
      <c r="A5" s="2"/>
      <c r="B5" s="17" t="s">
        <v>130</v>
      </c>
      <c r="C5" s="45" t="n">
        <f aca="false">Assumptions!C9</f>
        <v>12152.8231608</v>
      </c>
      <c r="D5" s="46" t="n">
        <f aca="false">C5/$C$8</f>
        <v>0.960483127469207</v>
      </c>
      <c r="E5" s="2"/>
      <c r="F5" s="17" t="s">
        <v>131</v>
      </c>
      <c r="G5" s="45" t="n">
        <f aca="false">Assumptions!G6</f>
        <v>1600</v>
      </c>
      <c r="H5" s="47" t="n">
        <f aca="false">G5/Assumptions!C19</f>
        <v>2</v>
      </c>
      <c r="I5" s="2"/>
      <c r="J5" s="2"/>
    </row>
    <row r="6" customFormat="false" ht="15" hidden="false" customHeight="true" outlineLevel="0" collapsed="false">
      <c r="A6" s="2"/>
      <c r="B6" s="17" t="s">
        <v>132</v>
      </c>
      <c r="C6" s="45" t="n">
        <f aca="false">Assumptions!C10</f>
        <v>100</v>
      </c>
      <c r="D6" s="46" t="n">
        <f aca="false">C6/$C$8</f>
        <v>0.00790337450615861</v>
      </c>
      <c r="E6" s="2"/>
      <c r="F6" s="17" t="s">
        <v>133</v>
      </c>
      <c r="G6" s="45" t="n">
        <f aca="false">Assumptions!G11</f>
        <v>3400</v>
      </c>
      <c r="H6" s="2"/>
      <c r="I6" s="2"/>
      <c r="J6" s="2"/>
    </row>
    <row r="7" customFormat="false" ht="15" hidden="false" customHeight="true" outlineLevel="0" collapsed="false">
      <c r="A7" s="2"/>
      <c r="B7" s="17" t="s">
        <v>55</v>
      </c>
      <c r="C7" s="45" t="n">
        <f aca="false">Assumptions!G10</f>
        <v>400</v>
      </c>
      <c r="D7" s="46" t="n">
        <f aca="false">C7/$C$8</f>
        <v>0.0316134980246345</v>
      </c>
      <c r="E7" s="2"/>
      <c r="F7" s="17" t="s">
        <v>134</v>
      </c>
      <c r="G7" s="22" t="n">
        <f aca="false">C8-G5-G6</f>
        <v>7652.8231608</v>
      </c>
      <c r="H7" s="2"/>
      <c r="I7" s="2"/>
      <c r="J7" s="2"/>
    </row>
    <row r="8" customFormat="false" ht="15" hidden="false" customHeight="true" outlineLevel="0" collapsed="false">
      <c r="A8" s="2"/>
      <c r="B8" s="48" t="s">
        <v>135</v>
      </c>
      <c r="C8" s="49" t="n">
        <f aca="false">SUM(C5:C7)</f>
        <v>12652.8231608</v>
      </c>
      <c r="D8" s="50" t="n">
        <f aca="false">C8/$C$8</f>
        <v>1</v>
      </c>
      <c r="E8" s="2"/>
      <c r="F8" s="48" t="s">
        <v>136</v>
      </c>
      <c r="G8" s="49" t="n">
        <f aca="false">SUM(G5:G7)</f>
        <v>12652.8231608</v>
      </c>
      <c r="H8" s="51"/>
      <c r="I8" s="2"/>
      <c r="J8" s="2"/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</row>
    <row r="10" customFormat="false" ht="15" hidden="false" customHeight="true" outlineLevel="0" collapsed="false">
      <c r="A10" s="2"/>
      <c r="B10" s="2"/>
      <c r="C10" s="2"/>
      <c r="D10" s="2"/>
      <c r="E10" s="2"/>
      <c r="F10" s="52" t="s">
        <v>137</v>
      </c>
      <c r="G10" s="53" t="n">
        <f aca="false">G8-C8</f>
        <v>0</v>
      </c>
      <c r="H10" s="2"/>
      <c r="I10" s="2"/>
      <c r="J10" s="2"/>
    </row>
    <row r="11" customFormat="false" ht="15" hidden="false" customHeight="true" outlineLevel="0" collapsed="false">
      <c r="A11" s="2"/>
      <c r="B11" s="8" t="s">
        <v>138</v>
      </c>
      <c r="C11" s="9"/>
      <c r="D11" s="10"/>
      <c r="E11" s="2"/>
      <c r="F11" s="2"/>
      <c r="G11" s="2"/>
      <c r="H11" s="2"/>
      <c r="I11" s="2"/>
      <c r="J11" s="2"/>
    </row>
    <row r="12" customFormat="false" ht="15" hidden="false" customHeight="true" outlineLevel="0" collapsed="false">
      <c r="A12" s="2"/>
      <c r="B12" s="17" t="s">
        <v>139</v>
      </c>
      <c r="C12" s="28" t="n">
        <f aca="false">G5</f>
        <v>1600</v>
      </c>
      <c r="D12" s="2"/>
      <c r="E12" s="2"/>
      <c r="F12" s="52" t="s">
        <v>140</v>
      </c>
      <c r="G12" s="2"/>
      <c r="H12" s="2"/>
      <c r="I12" s="2"/>
      <c r="J12" s="2"/>
    </row>
    <row r="13" customFormat="false" ht="15" hidden="false" customHeight="true" outlineLevel="0" collapsed="false">
      <c r="A13" s="2"/>
      <c r="B13" s="17" t="s">
        <v>141</v>
      </c>
      <c r="C13" s="45" t="n">
        <f aca="false">Assumptions!G9</f>
        <v>800</v>
      </c>
      <c r="D13" s="2"/>
      <c r="E13" s="2"/>
      <c r="F13" s="52" t="s">
        <v>142</v>
      </c>
      <c r="G13" s="2"/>
      <c r="H13" s="2"/>
      <c r="I13" s="2"/>
      <c r="J13" s="2"/>
    </row>
    <row r="14" customFormat="false" ht="15" hidden="false" customHeight="true" outlineLevel="0" collapsed="false">
      <c r="A14" s="2"/>
      <c r="B14" s="6" t="s">
        <v>143</v>
      </c>
      <c r="C14" s="54" t="n">
        <f aca="false">C12-C13</f>
        <v>800</v>
      </c>
      <c r="D14" s="2"/>
      <c r="E14" s="2"/>
      <c r="F14" s="52" t="s">
        <v>144</v>
      </c>
      <c r="G14" s="2"/>
      <c r="H14" s="2"/>
      <c r="I14" s="2"/>
      <c r="J14" s="2"/>
    </row>
    <row r="15" customFormat="false" ht="15" hidden="false" customHeight="true" outlineLevel="0" collapsed="false">
      <c r="A15" s="2"/>
      <c r="B15" s="17" t="s">
        <v>145</v>
      </c>
      <c r="C15" s="32" t="n">
        <f aca="false">C14/Assumptions!C19</f>
        <v>1</v>
      </c>
      <c r="D15" s="2"/>
      <c r="E15" s="2"/>
      <c r="F15" s="2"/>
      <c r="G15" s="2"/>
      <c r="H15" s="2"/>
      <c r="I15" s="2"/>
      <c r="J15" s="2"/>
    </row>
    <row r="16" customFormat="false" ht="15" hidden="false" customHeight="true" outlineLevel="0" collapsed="false">
      <c r="A16" s="2"/>
      <c r="B16" s="17" t="s">
        <v>146</v>
      </c>
      <c r="C16" s="28" t="n">
        <f aca="false">G7</f>
        <v>7652.8231608</v>
      </c>
      <c r="D16" s="2"/>
      <c r="E16" s="2"/>
      <c r="F16" s="2"/>
      <c r="G16" s="2"/>
      <c r="H16" s="2"/>
      <c r="I16" s="2"/>
      <c r="J16" s="2"/>
    </row>
    <row r="17" customFormat="false" ht="15" hidden="false" customHeight="true" outlineLevel="0" collapsed="false">
      <c r="A17" s="2"/>
      <c r="B17" s="17" t="s">
        <v>147</v>
      </c>
      <c r="C17" s="55" t="n">
        <f aca="false">C16/(C16+C12)</f>
        <v>0.827079803407627</v>
      </c>
      <c r="D17" s="2"/>
      <c r="E17" s="2"/>
      <c r="F17" s="2"/>
      <c r="G17" s="2"/>
      <c r="H17" s="2"/>
      <c r="I17" s="2"/>
      <c r="J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true" outlineLevel="0" collapsed="false">
      <c r="A19" s="42" t="s">
        <v>148</v>
      </c>
      <c r="B19" s="2"/>
      <c r="C19" s="2"/>
      <c r="D19" s="2"/>
      <c r="E19" s="2"/>
      <c r="F19" s="2"/>
      <c r="G19" s="2"/>
      <c r="H19" s="2"/>
      <c r="I19" s="2"/>
      <c r="J19" s="2"/>
    </row>
  </sheetData>
  <mergeCells count="2">
    <mergeCell ref="A1:J1"/>
    <mergeCell ref="A2:J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10" min="3" style="1" width="11.5"/>
  </cols>
  <sheetData>
    <row r="1" customFormat="false" ht="25.5" hidden="false" customHeight="true" outlineLevel="0" collapsed="false">
      <c r="A1" s="15" t="s">
        <v>149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3.5" hidden="false" customHeight="true" outlineLevel="0" collapsed="false">
      <c r="A2" s="5" t="s">
        <v>150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2"/>
      <c r="B4" s="43" t="s">
        <v>151</v>
      </c>
      <c r="C4" s="44" t="s">
        <v>152</v>
      </c>
      <c r="D4" s="44" t="s">
        <v>153</v>
      </c>
      <c r="E4" s="44" t="s">
        <v>154</v>
      </c>
      <c r="F4" s="44" t="s">
        <v>81</v>
      </c>
      <c r="G4" s="44" t="s">
        <v>82</v>
      </c>
      <c r="H4" s="44" t="s">
        <v>83</v>
      </c>
      <c r="I4" s="44" t="s">
        <v>84</v>
      </c>
      <c r="J4" s="44" t="s">
        <v>155</v>
      </c>
    </row>
    <row r="5" customFormat="false" ht="15" hidden="false" customHeight="true" outlineLevel="0" collapsed="false">
      <c r="A5" s="2"/>
      <c r="B5" s="11" t="s">
        <v>156</v>
      </c>
      <c r="C5" s="27" t="n">
        <v>5479</v>
      </c>
      <c r="D5" s="27" t="n">
        <v>6221</v>
      </c>
      <c r="E5" s="27" t="n">
        <v>7200</v>
      </c>
      <c r="F5" s="28" t="n">
        <f aca="false">E5*(1+Assumptions!G20)</f>
        <v>7704</v>
      </c>
      <c r="G5" s="28" t="n">
        <f aca="false">F5*(1+Assumptions!H20)</f>
        <v>8243.28</v>
      </c>
      <c r="H5" s="28" t="n">
        <f aca="false">G5*(1+Assumptions!I20)</f>
        <v>8737.8768</v>
      </c>
      <c r="I5" s="28" t="n">
        <f aca="false">H5*(1+Assumptions!J20)</f>
        <v>9262.149408</v>
      </c>
      <c r="J5" s="28" t="n">
        <f aca="false">I5*(1+Assumptions!G21)</f>
        <v>9725.2568784</v>
      </c>
    </row>
    <row r="6" customFormat="false" ht="15" hidden="false" customHeight="true" outlineLevel="0" collapsed="false">
      <c r="A6" s="2"/>
      <c r="B6" s="56" t="s">
        <v>157</v>
      </c>
      <c r="C6" s="2"/>
      <c r="D6" s="57" t="n">
        <f aca="false">D5/C5-1</f>
        <v>0.135426172659244</v>
      </c>
      <c r="E6" s="57" t="n">
        <f aca="false">E5/D5-1</f>
        <v>0.157370197717409</v>
      </c>
      <c r="F6" s="57" t="n">
        <f aca="false">F5/E5-1</f>
        <v>0.0700000000000001</v>
      </c>
      <c r="G6" s="57" t="n">
        <f aca="false">G5/F5-1</f>
        <v>0.0700000000000001</v>
      </c>
      <c r="H6" s="57" t="n">
        <f aca="false">H5/G5-1</f>
        <v>0.0600000000000001</v>
      </c>
      <c r="I6" s="57" t="n">
        <f aca="false">I5/H5-1</f>
        <v>0.0600000000000001</v>
      </c>
      <c r="J6" s="57" t="n">
        <f aca="false">J5/I5-1</f>
        <v>0.05</v>
      </c>
    </row>
    <row r="7" customFormat="false" ht="15" hidden="false" customHeight="true" outlineLevel="0" collapsed="false">
      <c r="A7" s="2"/>
      <c r="B7" s="11" t="s">
        <v>158</v>
      </c>
      <c r="C7" s="27" t="n">
        <v>450</v>
      </c>
      <c r="D7" s="27" t="n">
        <v>449</v>
      </c>
      <c r="E7" s="27" t="n">
        <v>600</v>
      </c>
      <c r="F7" s="28" t="n">
        <f aca="false">F5*Assumptions!G22</f>
        <v>708.768</v>
      </c>
      <c r="G7" s="28" t="n">
        <f aca="false">G5*Assumptions!H22</f>
        <v>824.328</v>
      </c>
      <c r="H7" s="28" t="n">
        <f aca="false">H5*Assumptions!I22</f>
        <v>943.6906944</v>
      </c>
      <c r="I7" s="28" t="n">
        <f aca="false">I5*Assumptions!J22</f>
        <v>1055.885032512</v>
      </c>
      <c r="J7" s="28" t="n">
        <f aca="false">J5*Assumptions!G23</f>
        <v>1167.030825408</v>
      </c>
    </row>
    <row r="8" customFormat="false" ht="15" hidden="false" customHeight="true" outlineLevel="0" collapsed="false">
      <c r="A8" s="2"/>
      <c r="B8" s="56" t="s">
        <v>159</v>
      </c>
      <c r="C8" s="57" t="n">
        <f aca="false">C7/C5</f>
        <v>0.0821317758715094</v>
      </c>
      <c r="D8" s="57" t="n">
        <f aca="false">D7/D5</f>
        <v>0.072174891496544</v>
      </c>
      <c r="E8" s="57" t="n">
        <f aca="false">E7/E5</f>
        <v>0.0833333333333333</v>
      </c>
      <c r="F8" s="57" t="n">
        <f aca="false">F7/F5</f>
        <v>0.092</v>
      </c>
      <c r="G8" s="57" t="n">
        <f aca="false">G7/G5</f>
        <v>0.1</v>
      </c>
      <c r="H8" s="57" t="n">
        <f aca="false">H7/H5</f>
        <v>0.108</v>
      </c>
      <c r="I8" s="57" t="n">
        <f aca="false">I7/I5</f>
        <v>0.114</v>
      </c>
      <c r="J8" s="57" t="n">
        <f aca="false">J7/J5</f>
        <v>0.12</v>
      </c>
    </row>
    <row r="9" customFormat="false" ht="15" hidden="false" customHeight="true" outlineLevel="0" collapsed="false">
      <c r="A9" s="2"/>
      <c r="B9" s="17" t="s">
        <v>160</v>
      </c>
      <c r="C9" s="27" t="n">
        <v>200</v>
      </c>
      <c r="D9" s="27" t="n">
        <v>205</v>
      </c>
      <c r="E9" s="27" t="n">
        <v>200</v>
      </c>
      <c r="F9" s="45" t="n">
        <f aca="false">Assumptions!G24</f>
        <v>210</v>
      </c>
      <c r="G9" s="45" t="n">
        <f aca="false">Assumptions!H24</f>
        <v>220</v>
      </c>
      <c r="H9" s="45" t="n">
        <f aca="false">Assumptions!I24</f>
        <v>235</v>
      </c>
      <c r="I9" s="45" t="n">
        <f aca="false">Assumptions!J24</f>
        <v>250</v>
      </c>
      <c r="J9" s="45" t="n">
        <f aca="false">Assumptions!G25</f>
        <v>265</v>
      </c>
    </row>
    <row r="10" customFormat="false" ht="15" hidden="false" customHeight="true" outlineLevel="0" collapsed="false">
      <c r="A10" s="2"/>
      <c r="B10" s="48" t="s">
        <v>161</v>
      </c>
      <c r="C10" s="49" t="n">
        <f aca="false">C7+C9</f>
        <v>650</v>
      </c>
      <c r="D10" s="49" t="n">
        <f aca="false">D7+D9</f>
        <v>654</v>
      </c>
      <c r="E10" s="49" t="n">
        <f aca="false">E7+E9</f>
        <v>800</v>
      </c>
      <c r="F10" s="49" t="n">
        <f aca="false">F7+F9</f>
        <v>918.768</v>
      </c>
      <c r="G10" s="49" t="n">
        <f aca="false">G7+G9</f>
        <v>1044.328</v>
      </c>
      <c r="H10" s="49" t="n">
        <f aca="false">H7+H9</f>
        <v>1178.6906944</v>
      </c>
      <c r="I10" s="49" t="n">
        <f aca="false">I7+I9</f>
        <v>1305.885032512</v>
      </c>
      <c r="J10" s="49" t="n">
        <f aca="false">J7+J9</f>
        <v>1432.030825408</v>
      </c>
    </row>
    <row r="11" customFormat="false" ht="15" hidden="false" customHeight="true" outlineLevel="0" collapsed="false">
      <c r="A11" s="2"/>
      <c r="B11" s="56" t="s">
        <v>162</v>
      </c>
      <c r="C11" s="57" t="n">
        <f aca="false">C10/C5</f>
        <v>0.118634787369958</v>
      </c>
      <c r="D11" s="57" t="n">
        <f aca="false">D10/D5</f>
        <v>0.105127792959331</v>
      </c>
      <c r="E11" s="57" t="n">
        <f aca="false">E10/E5</f>
        <v>0.111111111111111</v>
      </c>
      <c r="F11" s="57" t="n">
        <f aca="false">F10/F5</f>
        <v>0.119258566978193</v>
      </c>
      <c r="G11" s="57" t="n">
        <f aca="false">G10/G5</f>
        <v>0.126688405586126</v>
      </c>
      <c r="H11" s="57" t="n">
        <f aca="false">H10/H5</f>
        <v>0.13489440528619</v>
      </c>
      <c r="I11" s="57" t="n">
        <f aca="false">I10/I5</f>
        <v>0.140991574956032</v>
      </c>
      <c r="J11" s="57" t="n">
        <f aca="false">J10/J5</f>
        <v>0.147248637574661</v>
      </c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customFormat="false" ht="15" hidden="false" customHeight="true" outlineLevel="0" collapsed="false">
      <c r="A13" s="2"/>
      <c r="B13" s="8" t="s">
        <v>163</v>
      </c>
      <c r="C13" s="16"/>
      <c r="D13" s="16"/>
      <c r="E13" s="16"/>
      <c r="F13" s="16"/>
      <c r="G13" s="16"/>
      <c r="H13" s="16"/>
      <c r="I13" s="16"/>
      <c r="J13" s="16"/>
    </row>
    <row r="14" customFormat="false" ht="15" hidden="false" customHeight="true" outlineLevel="0" collapsed="false">
      <c r="A14" s="2"/>
      <c r="B14" s="17" t="s">
        <v>164</v>
      </c>
      <c r="C14" s="2"/>
      <c r="D14" s="2"/>
      <c r="E14" s="13" t="s">
        <v>165</v>
      </c>
      <c r="F14" s="2"/>
      <c r="G14" s="58" t="s">
        <v>166</v>
      </c>
      <c r="H14" s="58"/>
      <c r="I14" s="58"/>
      <c r="J14" s="58"/>
    </row>
    <row r="15" customFormat="false" ht="15" hidden="false" customHeight="true" outlineLevel="0" collapsed="false">
      <c r="A15" s="2"/>
      <c r="B15" s="17" t="s">
        <v>167</v>
      </c>
      <c r="C15" s="2"/>
      <c r="D15" s="2"/>
      <c r="E15" s="13" t="s">
        <v>168</v>
      </c>
      <c r="F15" s="2"/>
      <c r="G15" s="58" t="s">
        <v>169</v>
      </c>
      <c r="H15" s="58"/>
      <c r="I15" s="58"/>
      <c r="J15" s="58"/>
    </row>
    <row r="16" customFormat="false" ht="15" hidden="false" customHeight="true" outlineLevel="0" collapsed="false">
      <c r="A16" s="2"/>
      <c r="B16" s="52" t="s">
        <v>170</v>
      </c>
      <c r="C16" s="2"/>
      <c r="D16" s="2"/>
      <c r="E16" s="2"/>
      <c r="F16" s="2"/>
      <c r="G16" s="2"/>
      <c r="H16" s="2"/>
      <c r="I16" s="2"/>
      <c r="J16" s="2"/>
    </row>
    <row r="17" customFormat="false" ht="15" hidden="false" customHeight="true" outlineLevel="0" collapsed="false">
      <c r="A17" s="2"/>
      <c r="B17" s="52" t="s">
        <v>171</v>
      </c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9.5" hidden="false" customHeight="true" outlineLevel="0" collapsed="false">
      <c r="A19" s="2"/>
      <c r="B19" s="35" t="s">
        <v>172</v>
      </c>
      <c r="C19" s="16"/>
      <c r="D19" s="16"/>
      <c r="E19" s="16"/>
      <c r="F19" s="16"/>
      <c r="G19" s="16"/>
      <c r="H19" s="16"/>
      <c r="I19" s="16"/>
      <c r="J19" s="16"/>
    </row>
    <row r="20" customFormat="false" ht="25.5" hidden="false" customHeight="true" outlineLevel="0" collapsed="false">
      <c r="A20" s="2"/>
      <c r="B20" s="59" t="s">
        <v>173</v>
      </c>
      <c r="C20" s="59" t="s">
        <v>174</v>
      </c>
      <c r="D20" s="59" t="s">
        <v>175</v>
      </c>
      <c r="E20" s="59"/>
      <c r="F20" s="59" t="s">
        <v>176</v>
      </c>
      <c r="G20" s="59" t="s">
        <v>177</v>
      </c>
      <c r="H20" s="59"/>
      <c r="I20" s="59"/>
      <c r="J20" s="59"/>
    </row>
    <row r="21" customFormat="false" ht="15" hidden="false" customHeight="true" outlineLevel="0" collapsed="false">
      <c r="A21" s="2"/>
      <c r="B21" s="2" t="s">
        <v>178</v>
      </c>
      <c r="C21" s="2" t="s">
        <v>179</v>
      </c>
      <c r="D21" s="60" t="s">
        <v>180</v>
      </c>
      <c r="E21" s="60"/>
      <c r="F21" s="2" t="s">
        <v>181</v>
      </c>
      <c r="G21" s="60" t="s">
        <v>182</v>
      </c>
      <c r="H21" s="60"/>
      <c r="I21" s="60"/>
      <c r="J21" s="60"/>
    </row>
    <row r="22" customFormat="false" ht="15" hidden="false" customHeight="true" outlineLevel="0" collapsed="false">
      <c r="A22" s="2"/>
      <c r="B22" s="2" t="s">
        <v>183</v>
      </c>
      <c r="C22" s="2" t="s">
        <v>184</v>
      </c>
      <c r="D22" s="60" t="s">
        <v>185</v>
      </c>
      <c r="E22" s="60"/>
      <c r="F22" s="2" t="s">
        <v>186</v>
      </c>
      <c r="G22" s="60" t="s">
        <v>187</v>
      </c>
      <c r="H22" s="60"/>
      <c r="I22" s="60"/>
      <c r="J22" s="60"/>
    </row>
    <row r="23" customFormat="false" ht="15" hidden="false" customHeight="true" outlineLevel="0" collapsed="false">
      <c r="A23" s="2"/>
      <c r="B23" s="2" t="s">
        <v>188</v>
      </c>
      <c r="C23" s="2" t="s">
        <v>189</v>
      </c>
      <c r="D23" s="60" t="s">
        <v>190</v>
      </c>
      <c r="E23" s="60"/>
      <c r="F23" s="2" t="s">
        <v>189</v>
      </c>
      <c r="G23" s="60" t="s">
        <v>191</v>
      </c>
      <c r="H23" s="60"/>
      <c r="I23" s="60"/>
      <c r="J23" s="60"/>
    </row>
    <row r="24" customFormat="false" ht="15" hidden="false" customHeight="true" outlineLevel="0" collapsed="false">
      <c r="A24" s="2"/>
      <c r="B24" s="42" t="s">
        <v>192</v>
      </c>
      <c r="C24" s="2"/>
      <c r="D24" s="2"/>
      <c r="E24" s="2"/>
      <c r="F24" s="2"/>
      <c r="G24" s="2"/>
      <c r="H24" s="2"/>
      <c r="I24" s="2"/>
      <c r="J24" s="2"/>
    </row>
  </sheetData>
  <mergeCells count="12">
    <mergeCell ref="A1:J1"/>
    <mergeCell ref="A2:J2"/>
    <mergeCell ref="G14:J14"/>
    <mergeCell ref="G15:J15"/>
    <mergeCell ref="D20:E20"/>
    <mergeCell ref="G20:J20"/>
    <mergeCell ref="D21:E21"/>
    <mergeCell ref="G21:J21"/>
    <mergeCell ref="D22:E22"/>
    <mergeCell ref="G22:J22"/>
    <mergeCell ref="D23:E23"/>
    <mergeCell ref="G23:J23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10" min="3" style="1" width="11.5"/>
  </cols>
  <sheetData>
    <row r="1" customFormat="false" ht="25.5" hidden="false" customHeight="true" outlineLevel="0" collapsed="false">
      <c r="A1" s="15" t="s">
        <v>193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3.5" hidden="false" customHeight="true" outlineLevel="0" collapsed="false">
      <c r="A2" s="5" t="s">
        <v>194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2"/>
      <c r="B4" s="43" t="s">
        <v>151</v>
      </c>
      <c r="C4" s="44" t="s">
        <v>152</v>
      </c>
      <c r="D4" s="44" t="s">
        <v>153</v>
      </c>
      <c r="E4" s="44" t="s">
        <v>154</v>
      </c>
      <c r="F4" s="44" t="s">
        <v>81</v>
      </c>
      <c r="G4" s="44" t="s">
        <v>82</v>
      </c>
      <c r="H4" s="44" t="s">
        <v>83</v>
      </c>
      <c r="I4" s="44" t="s">
        <v>84</v>
      </c>
      <c r="J4" s="44" t="s">
        <v>155</v>
      </c>
    </row>
    <row r="5" customFormat="false" ht="15" hidden="false" customHeight="true" outlineLevel="0" collapsed="false">
      <c r="A5" s="2"/>
      <c r="B5" s="17" t="s">
        <v>195</v>
      </c>
      <c r="C5" s="2"/>
      <c r="D5" s="2"/>
      <c r="E5" s="2"/>
      <c r="F5" s="45" t="n">
        <f aca="false">Model!F7</f>
        <v>708.768</v>
      </c>
      <c r="G5" s="45" t="n">
        <f aca="false">Model!G7</f>
        <v>824.328</v>
      </c>
      <c r="H5" s="45" t="n">
        <f aca="false">Model!H7</f>
        <v>943.6906944</v>
      </c>
      <c r="I5" s="45" t="n">
        <f aca="false">Model!I7</f>
        <v>1055.885032512</v>
      </c>
      <c r="J5" s="45" t="n">
        <f aca="false">Model!J7</f>
        <v>1167.030825408</v>
      </c>
    </row>
    <row r="6" customFormat="false" ht="15" hidden="false" customHeight="true" outlineLevel="0" collapsed="false">
      <c r="A6" s="2"/>
      <c r="B6" s="17" t="s">
        <v>196</v>
      </c>
      <c r="C6" s="2"/>
      <c r="D6" s="2"/>
      <c r="E6" s="2"/>
      <c r="F6" s="28" t="n">
        <f aca="false">-(F16)*Assumptions!G7</f>
        <v>-56</v>
      </c>
      <c r="G6" s="28" t="n">
        <f aca="false">-(G16)*Assumptions!G7</f>
        <v>-43.74804224</v>
      </c>
      <c r="H6" s="28" t="n">
        <f aca="false">-(H16)*Assumptions!G7</f>
        <v>-29.1835238560768</v>
      </c>
      <c r="I6" s="28" t="n">
        <f aca="false">-(I16)*Assumptions!G7</f>
        <v>-11.8826817051682</v>
      </c>
      <c r="J6" s="28" t="n">
        <f aca="false">-(J16)*Assumptions!G7</f>
        <v>-0</v>
      </c>
    </row>
    <row r="7" customFormat="false" ht="15" hidden="false" customHeight="true" outlineLevel="0" collapsed="false">
      <c r="A7" s="2"/>
      <c r="B7" s="17" t="s">
        <v>197</v>
      </c>
      <c r="C7" s="2"/>
      <c r="D7" s="2"/>
      <c r="E7" s="2"/>
      <c r="F7" s="28" t="n">
        <f aca="false">F5+F6</f>
        <v>652.768</v>
      </c>
      <c r="G7" s="28" t="n">
        <f aca="false">G5+G6</f>
        <v>780.57995776</v>
      </c>
      <c r="H7" s="28" t="n">
        <f aca="false">H5+H6</f>
        <v>914.507170543923</v>
      </c>
      <c r="I7" s="28" t="n">
        <f aca="false">I5+I6</f>
        <v>1044.00235080683</v>
      </c>
      <c r="J7" s="28" t="n">
        <f aca="false">J5+J6</f>
        <v>1167.030825408</v>
      </c>
    </row>
    <row r="8" customFormat="false" ht="15" hidden="false" customHeight="true" outlineLevel="0" collapsed="false">
      <c r="A8" s="2"/>
      <c r="B8" s="17" t="s">
        <v>198</v>
      </c>
      <c r="C8" s="2"/>
      <c r="D8" s="2"/>
      <c r="E8" s="2"/>
      <c r="F8" s="28" t="n">
        <f aca="false">-MAX(0,F7)*Assumptions!G14</f>
        <v>-202.35808</v>
      </c>
      <c r="G8" s="28" t="n">
        <f aca="false">-MAX(0,G7)*Assumptions!G14</f>
        <v>-241.9797869056</v>
      </c>
      <c r="H8" s="28" t="n">
        <f aca="false">-MAX(0,H7)*Assumptions!G14</f>
        <v>-283.497222868616</v>
      </c>
      <c r="I8" s="28" t="n">
        <f aca="false">-MAX(0,I7)*Assumptions!G14</f>
        <v>-323.640728750118</v>
      </c>
      <c r="J8" s="28" t="n">
        <f aca="false">-MAX(0,J7)*Assumptions!G14</f>
        <v>-361.77955587648</v>
      </c>
    </row>
    <row r="9" customFormat="false" ht="15" hidden="false" customHeight="true" outlineLevel="0" collapsed="false">
      <c r="A9" s="2"/>
      <c r="B9" s="11" t="s">
        <v>199</v>
      </c>
      <c r="C9" s="2"/>
      <c r="D9" s="2"/>
      <c r="E9" s="2"/>
      <c r="F9" s="22" t="n">
        <f aca="false">F7+F8</f>
        <v>450.40992</v>
      </c>
      <c r="G9" s="22" t="n">
        <f aca="false">G7+G8</f>
        <v>538.6001708544</v>
      </c>
      <c r="H9" s="22" t="n">
        <f aca="false">H7+H8</f>
        <v>631.009947675307</v>
      </c>
      <c r="I9" s="22" t="n">
        <f aca="false">I7+I8</f>
        <v>720.361622056714</v>
      </c>
      <c r="J9" s="22" t="n">
        <f aca="false">J7+J8</f>
        <v>805.25126953152</v>
      </c>
    </row>
    <row r="10" customFormat="false" ht="15" hidden="false" customHeight="true" outlineLevel="0" collapsed="false">
      <c r="A10" s="2"/>
      <c r="B10" s="17" t="s">
        <v>200</v>
      </c>
      <c r="C10" s="2"/>
      <c r="D10" s="2"/>
      <c r="E10" s="2"/>
      <c r="F10" s="45" t="n">
        <f aca="false">Model!F9</f>
        <v>210</v>
      </c>
      <c r="G10" s="45" t="n">
        <f aca="false">Model!G9</f>
        <v>220</v>
      </c>
      <c r="H10" s="45" t="n">
        <f aca="false">Model!H9</f>
        <v>235</v>
      </c>
      <c r="I10" s="45" t="n">
        <f aca="false">Model!I9</f>
        <v>250</v>
      </c>
      <c r="J10" s="45" t="n">
        <f aca="false">Model!J9</f>
        <v>265</v>
      </c>
    </row>
    <row r="11" customFormat="false" ht="15" hidden="false" customHeight="true" outlineLevel="0" collapsed="false">
      <c r="A11" s="2"/>
      <c r="B11" s="17" t="s">
        <v>201</v>
      </c>
      <c r="C11" s="2"/>
      <c r="D11" s="2"/>
      <c r="E11" s="2"/>
      <c r="F11" s="28" t="n">
        <f aca="false">-Model!F5*Assumptions!G26</f>
        <v>-192.6</v>
      </c>
      <c r="G11" s="28" t="n">
        <f aca="false">-Model!G5*Assumptions!G26</f>
        <v>-206.082</v>
      </c>
      <c r="H11" s="28" t="n">
        <f aca="false">-Model!H5*Assumptions!G26</f>
        <v>-218.44692</v>
      </c>
      <c r="I11" s="28" t="n">
        <f aca="false">-Model!I5*Assumptions!G26</f>
        <v>-231.5537352</v>
      </c>
      <c r="J11" s="28" t="n">
        <f aca="false">-Model!J5*Assumptions!G26</f>
        <v>-243.13142196</v>
      </c>
    </row>
    <row r="12" customFormat="false" ht="15" hidden="false" customHeight="true" outlineLevel="0" collapsed="false">
      <c r="A12" s="2"/>
      <c r="B12" s="17" t="s">
        <v>202</v>
      </c>
      <c r="C12" s="2"/>
      <c r="D12" s="2"/>
      <c r="E12" s="2"/>
      <c r="F12" s="28" t="n">
        <f aca="false">-(Model!F5-Model!E5)*Assumptions!I26</f>
        <v>-30.24</v>
      </c>
      <c r="G12" s="28" t="n">
        <f aca="false">-(Model!G5-Model!F5)*Assumptions!I26</f>
        <v>-32.3568</v>
      </c>
      <c r="H12" s="28" t="n">
        <f aca="false">-(Model!H5-Model!G5)*Assumptions!I26</f>
        <v>-29.6758080000001</v>
      </c>
      <c r="I12" s="28" t="n">
        <f aca="false">-(Model!I5-Model!H5)*Assumptions!I26</f>
        <v>-31.4563564800001</v>
      </c>
      <c r="J12" s="28" t="n">
        <f aca="false">-(Model!J5-Model!I5)*Assumptions!I26</f>
        <v>-27.786448224</v>
      </c>
    </row>
    <row r="13" customFormat="false" ht="15" hidden="false" customHeight="true" outlineLevel="0" collapsed="false">
      <c r="A13" s="2"/>
      <c r="B13" s="48" t="s">
        <v>203</v>
      </c>
      <c r="C13" s="51"/>
      <c r="D13" s="51"/>
      <c r="E13" s="51"/>
      <c r="F13" s="49" t="n">
        <f aca="false">F9+F10+F11+F12</f>
        <v>437.56992</v>
      </c>
      <c r="G13" s="49" t="n">
        <f aca="false">G9+G10+G11+G12</f>
        <v>520.1613708544</v>
      </c>
      <c r="H13" s="49" t="n">
        <f aca="false">H9+H10+H11+H12</f>
        <v>617.887219675307</v>
      </c>
      <c r="I13" s="49" t="n">
        <f aca="false">I9+I10+I11+I12</f>
        <v>707.351530376714</v>
      </c>
      <c r="J13" s="49" t="n">
        <f aca="false">J9+J10+J11+J12</f>
        <v>799.33339934752</v>
      </c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customFormat="false" ht="15" hidden="false" customHeight="true" outlineLevel="0" collapsed="false">
      <c r="A15" s="2"/>
      <c r="B15" s="8" t="s">
        <v>204</v>
      </c>
      <c r="C15" s="16"/>
      <c r="D15" s="16"/>
      <c r="E15" s="9"/>
      <c r="F15" s="9"/>
      <c r="G15" s="9"/>
      <c r="H15" s="9"/>
      <c r="I15" s="9"/>
      <c r="J15" s="9"/>
    </row>
    <row r="16" customFormat="false" ht="15" hidden="false" customHeight="true" outlineLevel="0" collapsed="false">
      <c r="A16" s="2"/>
      <c r="B16" s="17" t="s">
        <v>205</v>
      </c>
      <c r="C16" s="2"/>
      <c r="D16" s="2"/>
      <c r="E16" s="2"/>
      <c r="F16" s="45" t="n">
        <f aca="false">Sources_Uses!G5</f>
        <v>1600</v>
      </c>
      <c r="G16" s="28" t="n">
        <f aca="false">F18</f>
        <v>1249.944064</v>
      </c>
      <c r="H16" s="28" t="n">
        <f aca="false">G18</f>
        <v>833.81496731648</v>
      </c>
      <c r="I16" s="28" t="n">
        <f aca="false">H18</f>
        <v>339.505191576234</v>
      </c>
      <c r="J16" s="28" t="n">
        <f aca="false">I18</f>
        <v>0</v>
      </c>
    </row>
    <row r="17" customFormat="false" ht="15" hidden="false" customHeight="true" outlineLevel="0" collapsed="false">
      <c r="A17" s="2"/>
      <c r="B17" s="17" t="s">
        <v>206</v>
      </c>
      <c r="C17" s="2"/>
      <c r="D17" s="2"/>
      <c r="E17" s="2"/>
      <c r="F17" s="28" t="n">
        <f aca="false">-MIN(F16,MAX(0,F13)*Assumptions!G8)</f>
        <v>-350.055936</v>
      </c>
      <c r="G17" s="28" t="n">
        <f aca="false">-MIN(G16,MAX(0,G13)*Assumptions!G8)</f>
        <v>-416.12909668352</v>
      </c>
      <c r="H17" s="28" t="n">
        <f aca="false">-MIN(H16,MAX(0,H13)*Assumptions!G8)</f>
        <v>-494.309775740246</v>
      </c>
      <c r="I17" s="28" t="n">
        <f aca="false">-MIN(I16,MAX(0,I13)*Assumptions!G8)</f>
        <v>-339.505191576234</v>
      </c>
      <c r="J17" s="28" t="n">
        <f aca="false">-MIN(J16,MAX(0,J13)*Assumptions!G8)</f>
        <v>-0</v>
      </c>
    </row>
    <row r="18" customFormat="false" ht="15" hidden="false" customHeight="true" outlineLevel="0" collapsed="false">
      <c r="A18" s="2"/>
      <c r="B18" s="48" t="s">
        <v>207</v>
      </c>
      <c r="C18" s="51"/>
      <c r="D18" s="51"/>
      <c r="E18" s="51"/>
      <c r="F18" s="49" t="n">
        <f aca="false">F16+F17</f>
        <v>1249.944064</v>
      </c>
      <c r="G18" s="49" t="n">
        <f aca="false">G16+G17</f>
        <v>833.81496731648</v>
      </c>
      <c r="H18" s="49" t="n">
        <f aca="false">H16+H17</f>
        <v>339.505191576234</v>
      </c>
      <c r="I18" s="49" t="n">
        <f aca="false">I16+I17</f>
        <v>0</v>
      </c>
      <c r="J18" s="49" t="n">
        <f aca="false">J16+J17</f>
        <v>0</v>
      </c>
    </row>
    <row r="19" customFormat="false" ht="15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true" outlineLevel="0" collapsed="false">
      <c r="A20" s="2"/>
      <c r="B20" s="56" t="s">
        <v>208</v>
      </c>
      <c r="C20" s="2"/>
      <c r="D20" s="2"/>
      <c r="E20" s="2"/>
      <c r="F20" s="61" t="n">
        <f aca="false">MAX(0,F13)+F17</f>
        <v>87.513984</v>
      </c>
      <c r="G20" s="61" t="n">
        <f aca="false">MAX(0,G13)+G17</f>
        <v>104.03227417088</v>
      </c>
      <c r="H20" s="61" t="n">
        <f aca="false">MAX(0,H13)+H17</f>
        <v>123.577443935061</v>
      </c>
      <c r="I20" s="61" t="n">
        <f aca="false">MAX(0,I13)+I17</f>
        <v>367.84633880048</v>
      </c>
      <c r="J20" s="61" t="n">
        <f aca="false">MAX(0,J13)+J17</f>
        <v>799.33339934752</v>
      </c>
    </row>
    <row r="21" customFormat="false" ht="15" hidden="false" customHeight="true" outlineLevel="0" collapsed="false">
      <c r="A21" s="2"/>
      <c r="B21" s="17" t="s">
        <v>209</v>
      </c>
      <c r="C21" s="2"/>
      <c r="D21" s="2"/>
      <c r="E21" s="2"/>
      <c r="F21" s="28" t="n">
        <f aca="false">Assumptions!G9+F20</f>
        <v>887.513984</v>
      </c>
      <c r="G21" s="28" t="n">
        <f aca="false">F21+G20</f>
        <v>991.54625817088</v>
      </c>
      <c r="H21" s="28" t="n">
        <f aca="false">G21+H20</f>
        <v>1115.12370210594</v>
      </c>
      <c r="I21" s="28" t="n">
        <f aca="false">H21+I20</f>
        <v>1482.97004090642</v>
      </c>
      <c r="J21" s="28" t="n">
        <f aca="false">I21+J20</f>
        <v>2282.30344025394</v>
      </c>
    </row>
    <row r="22" customFormat="false" ht="15" hidden="false" customHeight="true" outlineLevel="0" collapsed="false">
      <c r="A22" s="2"/>
      <c r="B22" s="48" t="s">
        <v>210</v>
      </c>
      <c r="C22" s="51"/>
      <c r="D22" s="51"/>
      <c r="E22" s="51"/>
      <c r="F22" s="49" t="n">
        <f aca="false">F18-F21</f>
        <v>362.43008</v>
      </c>
      <c r="G22" s="49" t="n">
        <f aca="false">G18-G21</f>
        <v>-157.7312908544</v>
      </c>
      <c r="H22" s="49" t="n">
        <f aca="false">H18-H21</f>
        <v>-775.618510529707</v>
      </c>
      <c r="I22" s="49" t="n">
        <f aca="false">I18-I21</f>
        <v>-1482.97004090642</v>
      </c>
      <c r="J22" s="49" t="n">
        <f aca="false">J18-J21</f>
        <v>-2282.30344025394</v>
      </c>
    </row>
    <row r="23" customFormat="false" ht="1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true" outlineLevel="0" collapsed="false">
      <c r="A24" s="2"/>
      <c r="B24" s="8" t="s">
        <v>211</v>
      </c>
      <c r="C24" s="16"/>
      <c r="D24" s="16"/>
      <c r="E24" s="9"/>
      <c r="F24" s="9"/>
      <c r="G24" s="9"/>
      <c r="H24" s="9"/>
      <c r="I24" s="9"/>
      <c r="J24" s="9"/>
    </row>
    <row r="25" customFormat="false" ht="15" hidden="false" customHeight="true" outlineLevel="0" collapsed="false">
      <c r="A25" s="2"/>
      <c r="B25" s="17" t="s">
        <v>212</v>
      </c>
      <c r="C25" s="2"/>
      <c r="D25" s="2"/>
      <c r="E25" s="2"/>
      <c r="F25" s="32" t="n">
        <f aca="false">F22/Model!F10</f>
        <v>0.394473991257858</v>
      </c>
      <c r="G25" s="32" t="n">
        <f aca="false">G22/Model!G10</f>
        <v>-0.151036159955876</v>
      </c>
      <c r="H25" s="32" t="n">
        <f aca="false">H22/Model!H10</f>
        <v>-0.658033964478295</v>
      </c>
      <c r="I25" s="32" t="n">
        <f aca="false">I22/Model!I10</f>
        <v>-1.13560535880695</v>
      </c>
      <c r="J25" s="32" t="n">
        <f aca="false">J22/Model!J10</f>
        <v>-1.59375301128989</v>
      </c>
    </row>
    <row r="26" customFormat="false" ht="15" hidden="false" customHeight="true" outlineLevel="0" collapsed="false">
      <c r="A26" s="2"/>
      <c r="B26" s="17" t="s">
        <v>213</v>
      </c>
      <c r="C26" s="2"/>
      <c r="D26" s="2"/>
      <c r="E26" s="2"/>
      <c r="F26" s="32" t="n">
        <f aca="false">IFERROR(Model!F10/-F6,"n.m.")</f>
        <v>16.4065714285714</v>
      </c>
      <c r="G26" s="32" t="n">
        <f aca="false">IFERROR(Model!G10/-G6,"n.m.")</f>
        <v>23.8714225032256</v>
      </c>
      <c r="H26" s="32" t="n">
        <f aca="false">IFERROR(Model!H10/-H6,"n.m.")</f>
        <v>40.3889091739881</v>
      </c>
      <c r="I26" s="32" t="n">
        <f aca="false">IFERROR(Model!I10/-I6,"n.m.")</f>
        <v>109.898174916528</v>
      </c>
      <c r="J26" s="32" t="str">
        <f aca="false">IFERROR(Model!J10/-J6,"n.m.")</f>
        <v>n.m.</v>
      </c>
    </row>
    <row r="27" customFormat="false" ht="15" hidden="false" customHeight="true" outlineLevel="0" collapsed="false">
      <c r="A27" s="2"/>
      <c r="B27" s="17" t="s">
        <v>214</v>
      </c>
      <c r="C27" s="2"/>
      <c r="D27" s="2"/>
      <c r="E27" s="2"/>
      <c r="F27" s="55" t="n">
        <f aca="false">IFERROR(F13/F16,"n.m.")</f>
        <v>0.2734812</v>
      </c>
      <c r="G27" s="55" t="n">
        <f aca="false">IFERROR(G13/G16,"n.m.")</f>
        <v>0.416147718794559</v>
      </c>
      <c r="H27" s="55" t="n">
        <f aca="false">IFERROR(H13/H16,"n.m.")</f>
        <v>0.741036373650011</v>
      </c>
      <c r="I27" s="55" t="n">
        <f aca="false">IFERROR(I13/I16,"n.m.")</f>
        <v>2.08347780218813</v>
      </c>
      <c r="J27" s="55" t="str">
        <f aca="false">IFERROR(J13/J16,"n.m.")</f>
        <v>n.m.</v>
      </c>
    </row>
    <row r="28" customFormat="false" ht="15" hidden="false" customHeight="true" outlineLevel="0" collapsed="false">
      <c r="A28" s="2"/>
      <c r="B28" s="2" t="s">
        <v>215</v>
      </c>
      <c r="C28" s="2"/>
      <c r="D28" s="2"/>
      <c r="E28" s="2"/>
      <c r="F28" s="62" t="n">
        <f aca="false">IFERROR(F18/Model!F10,"n.m.")</f>
        <v>1.36045668112081</v>
      </c>
      <c r="G28" s="62" t="n">
        <f aca="false">IFERROR(G18/Model!G10,"n.m.")</f>
        <v>0.798422494959898</v>
      </c>
      <c r="H28" s="62" t="n">
        <f aca="false">IFERROR(H18/Model!H10,"n.m.")</f>
        <v>0.288035863173634</v>
      </c>
      <c r="I28" s="62" t="n">
        <f aca="false">IFERROR(I18/Model!I10,"n.m.")</f>
        <v>0</v>
      </c>
      <c r="J28" s="62" t="n">
        <f aca="false">IFERROR(J18/Model!J10,"n.m.")</f>
        <v>0</v>
      </c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true" outlineLevel="0" collapsed="false">
      <c r="A30" s="42"/>
      <c r="B30" s="2"/>
      <c r="C30" s="2"/>
      <c r="D30" s="2"/>
      <c r="E30" s="2"/>
      <c r="F30" s="2"/>
      <c r="G30" s="2"/>
      <c r="H30" s="2"/>
      <c r="I30" s="2"/>
      <c r="J30" s="2"/>
    </row>
    <row r="32" customFormat="false" ht="15" hidden="false" customHeight="true" outlineLevel="0" collapsed="false">
      <c r="B32" s="35" t="s">
        <v>216</v>
      </c>
      <c r="C32" s="63"/>
      <c r="D32" s="63"/>
      <c r="E32" s="63"/>
      <c r="F32" s="63"/>
      <c r="G32" s="63"/>
    </row>
    <row r="33" customFormat="false" ht="15" hidden="false" customHeight="true" outlineLevel="0" collapsed="false">
      <c r="B33" s="64"/>
      <c r="C33" s="65" t="s">
        <v>217</v>
      </c>
      <c r="D33" s="65" t="s">
        <v>218</v>
      </c>
      <c r="E33" s="65" t="s">
        <v>219</v>
      </c>
      <c r="F33" s="65" t="s">
        <v>220</v>
      </c>
      <c r="G33" s="65" t="s">
        <v>81</v>
      </c>
    </row>
    <row r="34" customFormat="false" ht="15" hidden="false" customHeight="true" outlineLevel="0" collapsed="false">
      <c r="B34" s="1" t="s">
        <v>221</v>
      </c>
      <c r="C34" s="66" t="n">
        <v>0.15</v>
      </c>
      <c r="D34" s="66" t="n">
        <v>0.2</v>
      </c>
      <c r="E34" s="66" t="n">
        <v>0.25</v>
      </c>
      <c r="F34" s="66" t="n">
        <v>0.4</v>
      </c>
      <c r="G34" s="67" t="n">
        <f aca="false">SUM(C34:F34)</f>
        <v>1</v>
      </c>
    </row>
    <row r="35" customFormat="false" ht="15" hidden="false" customHeight="true" outlineLevel="0" collapsed="false">
      <c r="B35" s="1" t="s">
        <v>222</v>
      </c>
      <c r="C35" s="68" t="n">
        <f aca="false">C34*Model!$F$5</f>
        <v>1155.6</v>
      </c>
      <c r="D35" s="68" t="n">
        <f aca="false">D34*Model!$F$5</f>
        <v>1540.8</v>
      </c>
      <c r="E35" s="68" t="n">
        <f aca="false">E34*Model!$F$5</f>
        <v>1926</v>
      </c>
      <c r="F35" s="68" t="n">
        <f aca="false">F34*Model!$F$5</f>
        <v>3081.6</v>
      </c>
      <c r="G35" s="68" t="n">
        <f aca="false">SUM(C35:F35)</f>
        <v>7704</v>
      </c>
    </row>
    <row r="36" customFormat="false" ht="15" hidden="false" customHeight="true" outlineLevel="0" collapsed="false">
      <c r="B36" s="1" t="s">
        <v>223</v>
      </c>
      <c r="C36" s="68" t="n">
        <f aca="false">-(Model!$F$5-Model!$F$10)/4</f>
        <v>-1696.308</v>
      </c>
      <c r="D36" s="68" t="n">
        <f aca="false">-(Model!$F$5-Model!$F$10)/4</f>
        <v>-1696.308</v>
      </c>
      <c r="E36" s="68" t="n">
        <f aca="false">-(Model!$F$5-Model!$F$10)/4</f>
        <v>-1696.308</v>
      </c>
      <c r="F36" s="68" t="n">
        <f aca="false">-(Model!$F$5-Model!$F$10)/4</f>
        <v>-1696.308</v>
      </c>
      <c r="G36" s="68" t="n">
        <f aca="false">SUM(C36:F36)</f>
        <v>-6785.232</v>
      </c>
    </row>
    <row r="37" customFormat="false" ht="15" hidden="false" customHeight="true" outlineLevel="0" collapsed="false">
      <c r="B37" s="1" t="s">
        <v>224</v>
      </c>
      <c r="C37" s="68" t="n">
        <f aca="false">C35+C36</f>
        <v>-540.708</v>
      </c>
      <c r="D37" s="68" t="n">
        <f aca="false">D35+D36</f>
        <v>-155.508</v>
      </c>
      <c r="E37" s="68" t="n">
        <f aca="false">E35+E36</f>
        <v>229.692</v>
      </c>
      <c r="F37" s="68" t="n">
        <f aca="false">F35+F36</f>
        <v>1385.292</v>
      </c>
      <c r="G37" s="68" t="n">
        <f aca="false">SUM(C37:F37)</f>
        <v>918.768000000001</v>
      </c>
    </row>
    <row r="38" customFormat="false" ht="15" hidden="false" customHeight="true" outlineLevel="0" collapsed="false">
      <c r="B38" s="1" t="s">
        <v>225</v>
      </c>
      <c r="C38" s="68" t="n">
        <f aca="false">($F$6+$F$8+$F$11+$F$12)/4</f>
        <v>-120.29952</v>
      </c>
      <c r="D38" s="68" t="n">
        <f aca="false">($F$6+$F$8+$F$11+$F$12)/4</f>
        <v>-120.29952</v>
      </c>
      <c r="E38" s="68" t="n">
        <f aca="false">($F$6+$F$8+$F$11+$F$12)/4</f>
        <v>-120.29952</v>
      </c>
      <c r="F38" s="68" t="n">
        <f aca="false">($F$6+$F$8+$F$11+$F$12)/4</f>
        <v>-120.29952</v>
      </c>
      <c r="G38" s="68" t="n">
        <f aca="false">SUM(C38:F38)</f>
        <v>-481.19808</v>
      </c>
    </row>
    <row r="39" customFormat="false" ht="15" hidden="false" customHeight="true" outlineLevel="0" collapsed="false">
      <c r="B39" s="69" t="s">
        <v>226</v>
      </c>
      <c r="C39" s="68" t="n">
        <f aca="false">Assumptions!G9+C37+C38</f>
        <v>138.99248</v>
      </c>
      <c r="D39" s="68" t="n">
        <f aca="false">C39+D37+D38</f>
        <v>-136.81504</v>
      </c>
      <c r="E39" s="68" t="n">
        <f aca="false">D39+E37+E38</f>
        <v>-27.42256</v>
      </c>
      <c r="F39" s="68" t="n">
        <f aca="false">E39+F37+F38</f>
        <v>1237.56992</v>
      </c>
      <c r="G39" s="68" t="n">
        <f aca="false">F39</f>
        <v>1237.56992</v>
      </c>
      <c r="H39" s="68" t="n">
        <f aca="false">MIN(C39:F39)</f>
        <v>-136.81504</v>
      </c>
      <c r="I39" s="42" t="s">
        <v>227</v>
      </c>
    </row>
    <row r="41" customFormat="false" ht="15" hidden="false" customHeight="true" outlineLevel="0" collapsed="false">
      <c r="B41" s="42" t="s">
        <v>228</v>
      </c>
    </row>
    <row r="42" customFormat="false" ht="15" hidden="false" customHeight="true" outlineLevel="0" collapsed="false">
      <c r="B42" s="42" t="s">
        <v>229</v>
      </c>
    </row>
    <row r="43" customFormat="false" ht="15" hidden="false" customHeight="true" outlineLevel="0" collapsed="false">
      <c r="A43" s="42"/>
    </row>
    <row r="44" customFormat="false" ht="15" hidden="false" customHeight="true" outlineLevel="0" collapsed="false">
      <c r="A44" s="42" t="s">
        <v>230</v>
      </c>
    </row>
  </sheetData>
  <mergeCells count="2">
    <mergeCell ref="A1:J1"/>
    <mergeCell ref="A2:J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9"/>
    <col collapsed="false" customWidth="true" hidden="false" outlineLevel="0" max="10" min="6" style="1" width="11.5"/>
  </cols>
  <sheetData>
    <row r="1" customFormat="false" ht="25.5" hidden="false" customHeight="true" outlineLevel="0" collapsed="false">
      <c r="A1" s="15" t="s">
        <v>231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3.5" hidden="false" customHeight="true" outlineLevel="0" collapsed="false">
      <c r="A2" s="5" t="s">
        <v>232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2"/>
      <c r="B4" s="8" t="s">
        <v>233</v>
      </c>
      <c r="C4" s="8"/>
      <c r="D4" s="10"/>
      <c r="E4" s="2"/>
      <c r="F4" s="8" t="s">
        <v>234</v>
      </c>
      <c r="G4" s="8"/>
      <c r="H4" s="8"/>
      <c r="I4" s="8"/>
      <c r="J4" s="8"/>
    </row>
    <row r="5" customFormat="false" ht="15" hidden="false" customHeight="true" outlineLevel="0" collapsed="false">
      <c r="A5" s="2"/>
      <c r="B5" s="17" t="s">
        <v>235</v>
      </c>
      <c r="C5" s="45" t="n">
        <f aca="false">Model!J10</f>
        <v>1432.030825408</v>
      </c>
      <c r="D5" s="2"/>
      <c r="E5" s="2"/>
      <c r="F5" s="11" t="s">
        <v>236</v>
      </c>
      <c r="G5" s="2"/>
      <c r="H5" s="2"/>
      <c r="I5" s="2"/>
      <c r="J5" s="22" t="n">
        <f aca="false">Sources_Uses!G7</f>
        <v>7652.8231608</v>
      </c>
    </row>
    <row r="6" customFormat="false" ht="15" hidden="false" customHeight="true" outlineLevel="0" collapsed="false">
      <c r="A6" s="2"/>
      <c r="B6" s="17" t="s">
        <v>72</v>
      </c>
      <c r="C6" s="70" t="n">
        <f aca="false">Assumptions!G16</f>
        <v>10</v>
      </c>
      <c r="D6" s="2"/>
      <c r="E6" s="2"/>
      <c r="F6" s="17" t="s">
        <v>237</v>
      </c>
      <c r="G6" s="2"/>
      <c r="H6" s="2"/>
      <c r="I6" s="2"/>
      <c r="J6" s="28" t="n">
        <f aca="false">(Model!J10-Assumptions!C19)*Assumptions!C13/Assumptions!C19</f>
        <v>6362.04058648136</v>
      </c>
    </row>
    <row r="7" customFormat="false" ht="15" hidden="false" customHeight="true" outlineLevel="0" collapsed="false">
      <c r="A7" s="2"/>
      <c r="B7" s="11" t="s">
        <v>238</v>
      </c>
      <c r="C7" s="22" t="n">
        <f aca="false">C5*C6</f>
        <v>14320.30825408</v>
      </c>
      <c r="D7" s="2"/>
      <c r="E7" s="2"/>
      <c r="F7" s="17" t="s">
        <v>239</v>
      </c>
      <c r="G7" s="2"/>
      <c r="H7" s="2"/>
      <c r="I7" s="2"/>
      <c r="J7" s="28" t="n">
        <f aca="false">(Assumptions!G16-Assumptions!C13/Assumptions!C19)*Model!J10</f>
        <v>-94.5554932013593</v>
      </c>
    </row>
    <row r="8" customFormat="false" ht="15" hidden="false" customHeight="true" outlineLevel="0" collapsed="false">
      <c r="A8" s="2"/>
      <c r="B8" s="17" t="s">
        <v>240</v>
      </c>
      <c r="C8" s="45" t="n">
        <f aca="false">-Debt_FCF!J22</f>
        <v>2282.30344025394</v>
      </c>
      <c r="D8" s="2"/>
      <c r="E8" s="2"/>
      <c r="F8" s="17" t="s">
        <v>241</v>
      </c>
      <c r="G8" s="2"/>
      <c r="H8" s="2"/>
      <c r="I8" s="2"/>
      <c r="J8" s="28" t="n">
        <f aca="false">(Sources_Uses!C14-Debt_FCF!J22)-(Sources_Uses!G7-(Assumptions!C13-Sources_Uses!C14))</f>
        <v>2682.30344025394</v>
      </c>
    </row>
    <row r="9" customFormat="false" ht="15" hidden="false" customHeight="true" outlineLevel="0" collapsed="false">
      <c r="A9" s="2"/>
      <c r="B9" s="48" t="s">
        <v>242</v>
      </c>
      <c r="C9" s="49" t="n">
        <f aca="false">C7+C8</f>
        <v>16602.6116943339</v>
      </c>
      <c r="D9" s="2"/>
      <c r="E9" s="2"/>
      <c r="F9" s="48" t="s">
        <v>243</v>
      </c>
      <c r="G9" s="51"/>
      <c r="H9" s="51"/>
      <c r="I9" s="51"/>
      <c r="J9" s="49" t="n">
        <f aca="false">SUM(J5:J8)</f>
        <v>16602.6116943339</v>
      </c>
    </row>
    <row r="10" customFormat="false" ht="15" hidden="false" customHeight="true" outlineLevel="0" collapsed="false">
      <c r="A10" s="2"/>
      <c r="B10" s="2"/>
      <c r="C10" s="2"/>
      <c r="D10" s="2"/>
      <c r="E10" s="2"/>
      <c r="F10" s="52" t="s">
        <v>244</v>
      </c>
      <c r="G10" s="2"/>
      <c r="H10" s="2"/>
      <c r="I10" s="2"/>
      <c r="J10" s="2"/>
    </row>
    <row r="11" customFormat="false" ht="15" hidden="false" customHeight="true" outlineLevel="0" collapsed="false">
      <c r="A11" s="2"/>
      <c r="B11" s="8" t="s">
        <v>245</v>
      </c>
      <c r="C11" s="10"/>
      <c r="D11" s="10"/>
      <c r="E11" s="2"/>
      <c r="F11" s="2"/>
      <c r="G11" s="2"/>
      <c r="H11" s="2"/>
      <c r="I11" s="2"/>
      <c r="J11" s="2"/>
    </row>
    <row r="12" customFormat="false" ht="15" hidden="false" customHeight="true" outlineLevel="0" collapsed="false">
      <c r="A12" s="2"/>
      <c r="B12" s="17" t="s">
        <v>246</v>
      </c>
      <c r="C12" s="45" t="n">
        <f aca="false">Sources_Uses!G7</f>
        <v>7652.8231608</v>
      </c>
      <c r="D12" s="2"/>
      <c r="E12" s="2"/>
      <c r="F12" s="2"/>
      <c r="G12" s="2"/>
      <c r="H12" s="2"/>
      <c r="I12" s="2"/>
      <c r="J12" s="2"/>
    </row>
    <row r="13" customFormat="false" ht="15" hidden="false" customHeight="true" outlineLevel="0" collapsed="false">
      <c r="A13" s="2"/>
      <c r="B13" s="17" t="s">
        <v>247</v>
      </c>
      <c r="C13" s="28" t="n">
        <f aca="false">C9</f>
        <v>16602.6116943339</v>
      </c>
      <c r="D13" s="2"/>
      <c r="E13" s="2"/>
      <c r="F13" s="2"/>
      <c r="G13" s="2"/>
      <c r="H13" s="2"/>
      <c r="I13" s="2"/>
      <c r="J13" s="2"/>
    </row>
    <row r="14" customFormat="false" ht="15" hidden="false" customHeight="true" outlineLevel="0" collapsed="false">
      <c r="A14" s="2"/>
      <c r="B14" s="17" t="s">
        <v>68</v>
      </c>
      <c r="C14" s="71" t="n">
        <f aca="false">Assumptions!G15</f>
        <v>5</v>
      </c>
      <c r="D14" s="2"/>
      <c r="E14" s="2"/>
      <c r="F14" s="2"/>
      <c r="G14" s="2"/>
      <c r="H14" s="2"/>
      <c r="I14" s="2"/>
      <c r="J14" s="2"/>
    </row>
    <row r="15" customFormat="false" ht="15" hidden="false" customHeight="true" outlineLevel="0" collapsed="false">
      <c r="A15" s="2"/>
      <c r="B15" s="6" t="s">
        <v>248</v>
      </c>
      <c r="C15" s="72" t="n">
        <f aca="false">C13/C12</f>
        <v>2.16947541390704</v>
      </c>
      <c r="D15" s="2"/>
      <c r="E15" s="2"/>
      <c r="F15" s="2"/>
      <c r="G15" s="2"/>
      <c r="H15" s="2"/>
      <c r="I15" s="2"/>
      <c r="J15" s="2"/>
    </row>
    <row r="16" customFormat="false" ht="15" hidden="false" customHeight="true" outlineLevel="0" collapsed="false">
      <c r="A16" s="2"/>
      <c r="B16" s="6" t="s">
        <v>249</v>
      </c>
      <c r="C16" s="73" t="n">
        <f aca="false">(C13/C12)^(1/C14)-1</f>
        <v>0.167537790433618</v>
      </c>
      <c r="D16" s="52" t="s">
        <v>250</v>
      </c>
      <c r="E16" s="2"/>
      <c r="F16" s="2"/>
      <c r="G16" s="2"/>
      <c r="H16" s="2"/>
      <c r="I16" s="2"/>
      <c r="J16" s="2"/>
    </row>
    <row r="17" customFormat="false" ht="15" hidden="false" customHeight="tru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true" outlineLevel="0" collapsed="false">
      <c r="A19" s="2"/>
      <c r="B19" s="8" t="s">
        <v>251</v>
      </c>
      <c r="C19" s="10"/>
      <c r="D19" s="10"/>
      <c r="E19" s="10"/>
      <c r="F19" s="10"/>
      <c r="G19" s="10"/>
      <c r="H19" s="10"/>
      <c r="I19" s="10"/>
      <c r="J19" s="10"/>
    </row>
    <row r="20" customFormat="false" ht="15" hidden="false" customHeight="true" outlineLevel="0" collapsed="false">
      <c r="A20" s="2"/>
      <c r="B20" s="52" t="s">
        <v>252</v>
      </c>
      <c r="C20" s="2"/>
      <c r="D20" s="2"/>
      <c r="E20" s="2"/>
      <c r="F20" s="2"/>
      <c r="G20" s="2"/>
      <c r="H20" s="2"/>
      <c r="I20" s="2"/>
      <c r="J20" s="2"/>
    </row>
    <row r="21" customFormat="false" ht="15" hidden="false" customHeight="true" outlineLevel="0" collapsed="false">
      <c r="A21" s="2"/>
      <c r="B21" s="2"/>
      <c r="C21" s="2"/>
      <c r="D21" s="2"/>
      <c r="E21" s="74" t="s">
        <v>253</v>
      </c>
      <c r="F21" s="75" t="n">
        <v>8</v>
      </c>
      <c r="G21" s="75" t="n">
        <v>9</v>
      </c>
      <c r="H21" s="75" t="n">
        <v>10</v>
      </c>
      <c r="I21" s="75" t="n">
        <v>11</v>
      </c>
      <c r="J21" s="75" t="n">
        <v>12</v>
      </c>
    </row>
    <row r="22" customFormat="false" ht="15" hidden="false" customHeight="true" outlineLevel="0" collapsed="false">
      <c r="A22" s="2"/>
      <c r="B22" s="2"/>
      <c r="C22" s="2"/>
      <c r="D22" s="2"/>
      <c r="E22" s="76" t="n">
        <v>0.25</v>
      </c>
      <c r="F22" s="77" t="n">
        <f aca="false">((F$21*Model!J10+(-Debt_FCF!J22))/(Assumptions!C5*(1+$E22)*Assumptions!C6+(Assumptions!C10+Assumptions!G10)-(Sources_Uses!G5+Assumptions!G11)))^(1/Assumptions!G15)-1</f>
        <v>0.158331719146682</v>
      </c>
      <c r="G22" s="77" t="n">
        <f aca="false">((G$21*Model!J10+(-Debt_FCF!J22))/(Assumptions!C5*(1+$E22)*Assumptions!C6+(Assumptions!C10+Assumptions!G10)-(Sources_Uses!G5+Assumptions!G11)))^(1/Assumptions!G15)-1</f>
        <v>0.181531245409032</v>
      </c>
      <c r="H22" s="78" t="n">
        <f aca="false">((H$21*Model!J10+(-Debt_FCF!J22))/(Assumptions!C5*(1+$E22)*Assumptions!C6+(Assumptions!C10+Assumptions!G10)-(Sources_Uses!G5+Assumptions!G11)))^(1/Assumptions!G15)-1</f>
        <v>0.203039954684392</v>
      </c>
      <c r="I22" s="78" t="n">
        <f aca="false">((I$21*Model!J10+(-Debt_FCF!J22))/(Assumptions!C5*(1+$E22)*Assumptions!C6+(Assumptions!C10+Assumptions!G10)-(Sources_Uses!G5+Assumptions!G11)))^(1/Assumptions!G15)-1</f>
        <v>0.223112139586871</v>
      </c>
      <c r="J22" s="78" t="n">
        <f aca="false">((J$21*Model!J10+(-Debt_FCF!J22))/(Assumptions!C5*(1+$E22)*Assumptions!C6+(Assumptions!C10+Assumptions!G10)-(Sources_Uses!G5+Assumptions!G11)))^(1/Assumptions!G15)-1</f>
        <v>0.241947155914819</v>
      </c>
    </row>
    <row r="23" customFormat="false" ht="15" hidden="false" customHeight="true" outlineLevel="0" collapsed="false">
      <c r="A23" s="2"/>
      <c r="B23" s="2"/>
      <c r="C23" s="2"/>
      <c r="D23" s="2"/>
      <c r="E23" s="76" t="n">
        <v>0.3</v>
      </c>
      <c r="F23" s="77" t="n">
        <f aca="false">((F$21*Model!J10+(-Debt_FCF!J22))/(Assumptions!C5*(1+$E23)*Assumptions!C6+(Assumptions!C10+Assumptions!G10)-(Sources_Uses!G5+Assumptions!G11)))^(1/Assumptions!G15)-1</f>
        <v>0.143336160830733</v>
      </c>
      <c r="G23" s="77" t="n">
        <f aca="false">((G$21*Model!J10+(-Debt_FCF!J22))/(Assumptions!C5*(1+$E23)*Assumptions!C6+(Assumptions!C10+Assumptions!G10)-(Sources_Uses!G5+Assumptions!G11)))^(1/Assumptions!G15)-1</f>
        <v>0.166235350114289</v>
      </c>
      <c r="H23" s="77" t="n">
        <f aca="false">((H$21*Model!J10+(-Debt_FCF!J22))/(Assumptions!C5*(1+$E23)*Assumptions!C6+(Assumptions!C10+Assumptions!G10)-(Sources_Uses!G5+Assumptions!G11)))^(1/Assumptions!G15)-1</f>
        <v>0.187465611429615</v>
      </c>
      <c r="I23" s="78" t="n">
        <f aca="false">((I$21*Model!J10+(-Debt_FCF!J22))/(Assumptions!C5*(1+$E23)*Assumptions!C6+(Assumptions!C10+Assumptions!G10)-(Sources_Uses!G5+Assumptions!G11)))^(1/Assumptions!G15)-1</f>
        <v>0.207277945363447</v>
      </c>
      <c r="J23" s="78" t="n">
        <f aca="false">((J$21*Model!J10+(-Debt_FCF!J22))/(Assumptions!C5*(1+$E23)*Assumptions!C6+(Assumptions!C10+Assumptions!G10)-(Sources_Uses!G5+Assumptions!G11)))^(1/Assumptions!G15)-1</f>
        <v>0.225869126889103</v>
      </c>
    </row>
    <row r="24" customFormat="false" ht="15" hidden="false" customHeight="true" outlineLevel="0" collapsed="false">
      <c r="A24" s="2"/>
      <c r="B24" s="2"/>
      <c r="C24" s="2"/>
      <c r="D24" s="2"/>
      <c r="E24" s="76" t="n">
        <v>0.35</v>
      </c>
      <c r="F24" s="77" t="n">
        <f aca="false">((F$21*Model!J10+(-Debt_FCF!J22))/(Assumptions!C5*(1+$E24)*Assumptions!C6+(Assumptions!C10+Assumptions!G10)-(Sources_Uses!G5+Assumptions!G11)))^(1/Assumptions!G15)-1</f>
        <v>0.129434839549239</v>
      </c>
      <c r="G24" s="77" t="n">
        <f aca="false">((G$21*Model!J10+(-Debt_FCF!J22))/(Assumptions!C5*(1+$E24)*Assumptions!C6+(Assumptions!C10+Assumptions!G10)-(Sources_Uses!G5+Assumptions!G11)))^(1/Assumptions!G15)-1</f>
        <v>0.152055607666543</v>
      </c>
      <c r="H24" s="77" t="n">
        <f aca="false">((H$21*Model!J10+(-Debt_FCF!J22))/(Assumptions!C5*(1+$E24)*Assumptions!C6+(Assumptions!C10+Assumptions!G10)-(Sources_Uses!G5+Assumptions!G11)))^(1/Assumptions!G15)-1</f>
        <v>0.17302773957641</v>
      </c>
      <c r="I24" s="77" t="n">
        <f aca="false">((I$21*Model!J10+(-Debt_FCF!J22))/(Assumptions!C5*(1+$E24)*Assumptions!C6+(Assumptions!C10+Assumptions!G10)-(Sources_Uses!G5+Assumptions!G11)))^(1/Assumptions!G15)-1</f>
        <v>0.19259918405989</v>
      </c>
      <c r="J24" s="78" t="n">
        <f aca="false">((J$21*Model!J10+(-Debt_FCF!J22))/(Assumptions!C5*(1+$E24)*Assumptions!C6+(Assumptions!C10+Assumptions!G10)-(Sources_Uses!G5+Assumptions!G11)))^(1/Assumptions!G15)-1</f>
        <v>0.210964323589985</v>
      </c>
    </row>
    <row r="25" customFormat="false" ht="15" hidden="false" customHeight="true" outlineLevel="0" collapsed="false">
      <c r="A25" s="2"/>
      <c r="B25" s="2"/>
      <c r="C25" s="2"/>
      <c r="D25" s="2"/>
      <c r="E25" s="76" t="n">
        <v>0.4</v>
      </c>
      <c r="F25" s="77" t="n">
        <f aca="false">((F$21*Model!J10+(-Debt_FCF!J22))/(Assumptions!C5*(1+$E25)*Assumptions!C6+(Assumptions!C10+Assumptions!G10)-(Sources_Uses!G5+Assumptions!G11)))^(1/Assumptions!G15)-1</f>
        <v>0.11648972976616</v>
      </c>
      <c r="G25" s="77" t="n">
        <f aca="false">((G$21*Model!J10+(-Debt_FCF!J22))/(Assumptions!C5*(1+$E25)*Assumptions!C6+(Assumptions!C10+Assumptions!G10)-(Sources_Uses!G5+Assumptions!G11)))^(1/Assumptions!G15)-1</f>
        <v>0.138851228099673</v>
      </c>
      <c r="H25" s="77" t="n">
        <f aca="false">((H$21*Model!J10+(-Debt_FCF!J22))/(Assumptions!C5*(1+$E25)*Assumptions!C6+(Assumptions!C10+Assumptions!G10)-(Sources_Uses!G5+Assumptions!G11)))^(1/Assumptions!G15)-1</f>
        <v>0.159582986204472</v>
      </c>
      <c r="I25" s="77" t="n">
        <f aca="false">((I$21*Model!J10+(-Debt_FCF!J22))/(Assumptions!C5*(1+$E25)*Assumptions!C6+(Assumptions!C10+Assumptions!G10)-(Sources_Uses!G5+Assumptions!G11)))^(1/Assumptions!G15)-1</f>
        <v>0.178930110976376</v>
      </c>
      <c r="J25" s="77" t="n">
        <f aca="false">((J$21*Model!J10+(-Debt_FCF!J22))/(Assumptions!C5*(1+$E25)*Assumptions!C6+(Assumptions!C10+Assumptions!G10)-(Sources_Uses!G5+Assumptions!G11)))^(1/Assumptions!G15)-1</f>
        <v>0.197084756957774</v>
      </c>
    </row>
    <row r="26" customFormat="false" ht="15" hidden="false" customHeight="true" outlineLevel="0" collapsed="false">
      <c r="A26" s="2"/>
      <c r="B26" s="2"/>
      <c r="C26" s="2"/>
      <c r="D26" s="2"/>
      <c r="E26" s="76" t="n">
        <v>0.45</v>
      </c>
      <c r="F26" s="77" t="n">
        <f aca="false">((F$21*Model!J10+(-Debt_FCF!J22))/(Assumptions!C5*(1+$E26)*Assumptions!C6+(Assumptions!C10+Assumptions!G10)-(Sources_Uses!G5+Assumptions!G11)))^(1/Assumptions!G15)-1</f>
        <v>0.104386761530463</v>
      </c>
      <c r="G26" s="77" t="n">
        <f aca="false">((G$21*Model!J10+(-Debt_FCF!J22))/(Assumptions!C5*(1+$E26)*Assumptions!C6+(Assumptions!C10+Assumptions!G10)-(Sources_Uses!G5+Assumptions!G11)))^(1/Assumptions!G15)-1</f>
        <v>0.126505856824506</v>
      </c>
      <c r="H26" s="77" t="n">
        <f aca="false">((H$21*Model!J10+(-Debt_FCF!J22))/(Assumptions!C5*(1+$E26)*Assumptions!C6+(Assumptions!C10+Assumptions!G10)-(Sources_Uses!G5+Assumptions!G11)))^(1/Assumptions!G15)-1</f>
        <v>0.147012878594413</v>
      </c>
      <c r="I26" s="77" t="n">
        <f aca="false">((I$21*Model!J10+(-Debt_FCF!J22))/(Assumptions!C5*(1+$E26)*Assumptions!C6+(Assumptions!C10+Assumptions!G10)-(Sources_Uses!G5+Assumptions!G11)))^(1/Assumptions!G15)-1</f>
        <v>0.166150276729051</v>
      </c>
      <c r="J26" s="77" t="n">
        <f aca="false">((J$21*Model!J10+(-Debt_FCF!J22))/(Assumptions!C5*(1+$E26)*Assumptions!C6+(Assumptions!C10+Assumptions!G10)-(Sources_Uses!G5+Assumptions!G11)))^(1/Assumptions!G15)-1</f>
        <v>0.18410812277778</v>
      </c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customFormat="false" ht="15" hidden="false" customHeight="true" outlineLevel="0" collapsed="false">
      <c r="A28" s="2"/>
      <c r="B28" s="8" t="s">
        <v>254</v>
      </c>
      <c r="C28" s="10"/>
      <c r="D28" s="10"/>
      <c r="E28" s="10"/>
      <c r="F28" s="10"/>
      <c r="G28" s="10"/>
      <c r="H28" s="10"/>
      <c r="I28" s="10"/>
      <c r="J28" s="10"/>
    </row>
    <row r="29" customFormat="false" ht="15" hidden="false" customHeight="true" outlineLevel="0" collapsed="false">
      <c r="A29" s="2"/>
      <c r="B29" s="2"/>
      <c r="C29" s="2"/>
      <c r="D29" s="2"/>
      <c r="E29" s="74" t="s">
        <v>255</v>
      </c>
      <c r="F29" s="75" t="n">
        <v>8</v>
      </c>
      <c r="G29" s="75" t="n">
        <v>9</v>
      </c>
      <c r="H29" s="75" t="n">
        <v>10</v>
      </c>
      <c r="I29" s="75" t="n">
        <v>11</v>
      </c>
      <c r="J29" s="75" t="n">
        <v>12</v>
      </c>
    </row>
    <row r="30" customFormat="false" ht="15" hidden="false" customHeight="true" outlineLevel="0" collapsed="false">
      <c r="A30" s="2"/>
      <c r="B30" s="2"/>
      <c r="C30" s="2"/>
      <c r="D30" s="2"/>
      <c r="E30" s="76" t="n">
        <v>0.25</v>
      </c>
      <c r="F30" s="79" t="n">
        <f aca="false">(F$29*Model!J10+(-Debt_FCF!J22))/(Assumptions!C5*(1+$E30)*Assumptions!C6+(Assumptions!C10+Assumptions!G10)-(Sources_Uses!G5+Assumptions!G11))</f>
        <v>2.08528176253349</v>
      </c>
      <c r="G30" s="79" t="n">
        <f aca="false">(G$29*Model!J10+(-Debt_FCF!J22))/(Assumptions!C5*(1+$E30)*Assumptions!C6+(Assumptions!C10+Assumptions!G10)-(Sources_Uses!G5+Assumptions!G11))</f>
        <v>2.3026400539216</v>
      </c>
      <c r="H30" s="79" t="n">
        <f aca="false">(H$29*Model!J10+(-Debt_FCF!J22))/(Assumptions!C5*(1+$E30)*Assumptions!C6+(Assumptions!C10+Assumptions!G10)-(Sources_Uses!G5+Assumptions!G11))</f>
        <v>2.51999834530971</v>
      </c>
      <c r="I30" s="79" t="n">
        <f aca="false">(I$29*Model!J10+(-Debt_FCF!J22))/(Assumptions!C5*(1+$E30)*Assumptions!C6+(Assumptions!C10+Assumptions!G10)-(Sources_Uses!G5+Assumptions!G11))</f>
        <v>2.73735663669781</v>
      </c>
      <c r="J30" s="79" t="n">
        <f aca="false">(J$29*Model!J10+(-Debt_FCF!J22))/(Assumptions!C5*(1+$E30)*Assumptions!C6+(Assumptions!C10+Assumptions!G10)-(Sources_Uses!G5+Assumptions!G11))</f>
        <v>2.95471492808592</v>
      </c>
    </row>
    <row r="31" customFormat="false" ht="15" hidden="false" customHeight="true" outlineLevel="0" collapsed="false">
      <c r="A31" s="2"/>
      <c r="B31" s="2"/>
      <c r="C31" s="2"/>
      <c r="D31" s="2"/>
      <c r="E31" s="76" t="n">
        <v>0.3</v>
      </c>
      <c r="F31" s="79" t="n">
        <f aca="false">(F$29*Model!J10+(-Debt_FCF!J22))/(Assumptions!C5*(1+$E31)*Assumptions!C6+(Assumptions!C10+Assumptions!G10)-(Sources_Uses!G5+Assumptions!G11))</f>
        <v>1.95375317470729</v>
      </c>
      <c r="G31" s="79" t="n">
        <f aca="false">(G$29*Model!J10+(-Debt_FCF!J22))/(Assumptions!C5*(1+$E31)*Assumptions!C6+(Assumptions!C10+Assumptions!G10)-(Sources_Uses!G5+Assumptions!G11))</f>
        <v>2.1574016501692</v>
      </c>
      <c r="H31" s="79" t="n">
        <f aca="false">(H$29*Model!J10+(-Debt_FCF!J22))/(Assumptions!C5*(1+$E31)*Assumptions!C6+(Assumptions!C10+Assumptions!G10)-(Sources_Uses!G5+Assumptions!G11))</f>
        <v>2.3610501256311</v>
      </c>
      <c r="I31" s="79" t="n">
        <f aca="false">(I$29*Model!J10+(-Debt_FCF!J22))/(Assumptions!C5*(1+$E31)*Assumptions!C6+(Assumptions!C10+Assumptions!G10)-(Sources_Uses!G5+Assumptions!G11))</f>
        <v>2.56469860109301</v>
      </c>
      <c r="J31" s="79" t="n">
        <f aca="false">(J$29*Model!J10+(-Debt_FCF!J22))/(Assumptions!C5*(1+$E31)*Assumptions!C6+(Assumptions!C10+Assumptions!G10)-(Sources_Uses!G5+Assumptions!G11))</f>
        <v>2.76834707655492</v>
      </c>
    </row>
    <row r="32" customFormat="false" ht="15" hidden="false" customHeight="true" outlineLevel="0" collapsed="false">
      <c r="A32" s="2"/>
      <c r="B32" s="2"/>
      <c r="C32" s="2"/>
      <c r="D32" s="2"/>
      <c r="E32" s="76" t="n">
        <v>0.35</v>
      </c>
      <c r="F32" s="79" t="n">
        <f aca="false">(F$29*Model!J10+(-Debt_FCF!J22))/(Assumptions!C5*(1+$E32)*Assumptions!C6+(Assumptions!C10+Assumptions!G10)-(Sources_Uses!G5+Assumptions!G11))</f>
        <v>1.83783238969809</v>
      </c>
      <c r="G32" s="79" t="n">
        <f aca="false">(G$29*Model!J10+(-Debt_FCF!J22))/(Assumptions!C5*(1+$E32)*Assumptions!C6+(Assumptions!C10+Assumptions!G10)-(Sources_Uses!G5+Assumptions!G11))</f>
        <v>2.02939792067802</v>
      </c>
      <c r="H32" s="79" t="n">
        <f aca="false">(H$29*Model!J10+(-Debt_FCF!J22))/(Assumptions!C5*(1+$E32)*Assumptions!C6+(Assumptions!C10+Assumptions!G10)-(Sources_Uses!G5+Assumptions!G11))</f>
        <v>2.22096345165796</v>
      </c>
      <c r="I32" s="79" t="n">
        <f aca="false">(I$29*Model!J10+(-Debt_FCF!J22))/(Assumptions!C5*(1+$E32)*Assumptions!C6+(Assumptions!C10+Assumptions!G10)-(Sources_Uses!G5+Assumptions!G11))</f>
        <v>2.41252898263789</v>
      </c>
      <c r="J32" s="79" t="n">
        <f aca="false">(J$29*Model!J10+(-Debt_FCF!J22))/(Assumptions!C5*(1+$E32)*Assumptions!C6+(Assumptions!C10+Assumptions!G10)-(Sources_Uses!G5+Assumptions!G11))</f>
        <v>2.60409451361782</v>
      </c>
    </row>
    <row r="33" customFormat="false" ht="15" hidden="false" customHeight="true" outlineLevel="0" collapsed="false">
      <c r="A33" s="2"/>
      <c r="B33" s="2"/>
      <c r="C33" s="2"/>
      <c r="D33" s="2"/>
      <c r="E33" s="76" t="n">
        <v>0.4</v>
      </c>
      <c r="F33" s="79" t="n">
        <f aca="false">(F$29*Model!J10+(-Debt_FCF!J22))/(Assumptions!C5*(1+$E33)*Assumptions!C6+(Assumptions!C10+Assumptions!G10)-(Sources_Uses!G5+Assumptions!G11))</f>
        <v>1.73489686580605</v>
      </c>
      <c r="G33" s="79" t="n">
        <f aca="false">(G$29*Model!J10+(-Debt_FCF!J22))/(Assumptions!C5*(1+$E33)*Assumptions!C6+(Assumptions!C10+Assumptions!G10)-(Sources_Uses!G5+Assumptions!G11))</f>
        <v>1.91573296443861</v>
      </c>
      <c r="H33" s="79" t="n">
        <f aca="false">(H$29*Model!J10+(-Debt_FCF!J22))/(Assumptions!C5*(1+$E33)*Assumptions!C6+(Assumptions!C10+Assumptions!G10)-(Sources_Uses!G5+Assumptions!G11))</f>
        <v>2.09656906307117</v>
      </c>
      <c r="I33" s="79" t="n">
        <f aca="false">(I$29*Model!J10+(-Debt_FCF!J22))/(Assumptions!C5*(1+$E33)*Assumptions!C6+(Assumptions!C10+Assumptions!G10)-(Sources_Uses!G5+Assumptions!G11))</f>
        <v>2.27740516170373</v>
      </c>
      <c r="J33" s="79" t="n">
        <f aca="false">(J$29*Model!J10+(-Debt_FCF!J22))/(Assumptions!C5*(1+$E33)*Assumptions!C6+(Assumptions!C10+Assumptions!G10)-(Sources_Uses!G5+Assumptions!G11))</f>
        <v>2.45824126033629</v>
      </c>
    </row>
    <row r="34" customFormat="false" ht="15" hidden="false" customHeight="true" outlineLevel="0" collapsed="false">
      <c r="A34" s="2"/>
      <c r="B34" s="2"/>
      <c r="C34" s="2"/>
      <c r="D34" s="2"/>
      <c r="E34" s="76" t="n">
        <v>0.45</v>
      </c>
      <c r="F34" s="79" t="n">
        <f aca="false">(F$29*Model!J10+(-Debt_FCF!J22))/(Assumptions!C5*(1+$E34)*Assumptions!C6+(Assumptions!C10+Assumptions!G10)-(Sources_Uses!G5+Assumptions!G11))</f>
        <v>1.64288044461014</v>
      </c>
      <c r="G34" s="79" t="n">
        <f aca="false">(G$29*Model!J10+(-Debt_FCF!J22))/(Assumptions!C5*(1+$E34)*Assumptions!C6+(Assumptions!C10+Assumptions!G10)-(Sources_Uses!G5+Assumptions!G11))</f>
        <v>1.81412525805039</v>
      </c>
      <c r="H34" s="79" t="n">
        <f aca="false">(H$29*Model!J10+(-Debt_FCF!J22))/(Assumptions!C5*(1+$E34)*Assumptions!C6+(Assumptions!C10+Assumptions!G10)-(Sources_Uses!G5+Assumptions!G11))</f>
        <v>1.98537007149063</v>
      </c>
      <c r="I34" s="79" t="n">
        <f aca="false">(I$29*Model!J10+(-Debt_FCF!J22))/(Assumptions!C5*(1+$E34)*Assumptions!C6+(Assumptions!C10+Assumptions!G10)-(Sources_Uses!G5+Assumptions!G11))</f>
        <v>2.15661488493088</v>
      </c>
      <c r="J34" s="79" t="n">
        <f aca="false">(J$29*Model!J10+(-Debt_FCF!J22))/(Assumptions!C5*(1+$E34)*Assumptions!C6+(Assumptions!C10+Assumptions!G10)-(Sources_Uses!G5+Assumptions!G11))</f>
        <v>2.32785969837113</v>
      </c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5" hidden="false" customHeight="true" outlineLevel="0" collapsed="false">
      <c r="A37" s="2"/>
      <c r="B37" s="35" t="s">
        <v>256</v>
      </c>
      <c r="C37" s="2"/>
      <c r="D37" s="2"/>
      <c r="E37" s="2"/>
      <c r="F37" s="2"/>
      <c r="G37" s="2"/>
      <c r="H37" s="2"/>
      <c r="I37" s="2"/>
      <c r="J37" s="2"/>
    </row>
    <row r="38" customFormat="false" ht="15" hidden="false" customHeight="true" outlineLevel="0" collapsed="false">
      <c r="A38" s="2"/>
      <c r="B38" s="2" t="s">
        <v>257</v>
      </c>
      <c r="C38" s="37" t="n">
        <v>0.2</v>
      </c>
      <c r="D38" s="2"/>
      <c r="E38" s="2"/>
      <c r="F38" s="2"/>
      <c r="G38" s="2"/>
      <c r="H38" s="2"/>
      <c r="I38" s="2"/>
      <c r="J38" s="2"/>
    </row>
    <row r="39" customFormat="false" ht="15" hidden="false" customHeight="true" outlineLevel="0" collapsed="false">
      <c r="A39" s="2"/>
      <c r="B39" s="2" t="s">
        <v>258</v>
      </c>
      <c r="C39" s="80" t="n">
        <f aca="false">C9</f>
        <v>16602.6116943339</v>
      </c>
      <c r="D39" s="2"/>
      <c r="E39" s="2"/>
      <c r="F39" s="2"/>
      <c r="G39" s="2"/>
      <c r="H39" s="2"/>
      <c r="I39" s="2"/>
      <c r="J39" s="2"/>
    </row>
    <row r="40" customFormat="false" ht="15" hidden="false" customHeight="true" outlineLevel="0" collapsed="false">
      <c r="A40" s="2"/>
      <c r="B40" s="2" t="s">
        <v>259</v>
      </c>
      <c r="C40" s="80" t="n">
        <f aca="false">C39/(1+C38)^C14</f>
        <v>6672.21727685103</v>
      </c>
      <c r="D40" s="2"/>
      <c r="E40" s="2"/>
      <c r="F40" s="2"/>
      <c r="G40" s="2"/>
      <c r="H40" s="2"/>
      <c r="I40" s="2"/>
      <c r="J40" s="2"/>
    </row>
    <row r="41" customFormat="false" ht="15" hidden="false" customHeight="true" outlineLevel="0" collapsed="false">
      <c r="A41" s="2"/>
      <c r="B41" s="2" t="s">
        <v>260</v>
      </c>
      <c r="C41" s="80" t="n">
        <f aca="false">C40+Sources_Uses!G5+Assumptions!G11-Assumptions!G10-Assumptions!C10</f>
        <v>11172.217276851</v>
      </c>
      <c r="D41" s="2"/>
      <c r="E41" s="2"/>
      <c r="F41" s="2"/>
      <c r="G41" s="2"/>
      <c r="H41" s="2"/>
      <c r="I41" s="2"/>
      <c r="J41" s="2"/>
    </row>
    <row r="42" customFormat="false" ht="15" hidden="false" customHeight="true" outlineLevel="0" collapsed="false">
      <c r="A42" s="2"/>
      <c r="B42" s="2" t="s">
        <v>261</v>
      </c>
      <c r="C42" s="81" t="n">
        <f aca="false">C41/Assumptions!C6</f>
        <v>2115.8849218956</v>
      </c>
      <c r="D42" s="2"/>
      <c r="E42" s="2"/>
      <c r="F42" s="2"/>
      <c r="G42" s="2"/>
      <c r="H42" s="2"/>
      <c r="I42" s="2"/>
      <c r="J42" s="2"/>
    </row>
    <row r="43" customFormat="false" ht="15" hidden="false" customHeight="true" outlineLevel="0" collapsed="false">
      <c r="A43" s="2"/>
      <c r="B43" s="2" t="s">
        <v>262</v>
      </c>
      <c r="C43" s="37" t="n">
        <f aca="false">C42/Assumptions!C5-1</f>
        <v>0.259455310652142</v>
      </c>
      <c r="D43" s="2"/>
      <c r="E43" s="2"/>
      <c r="F43" s="2"/>
      <c r="G43" s="2"/>
      <c r="H43" s="2"/>
      <c r="I43" s="2"/>
      <c r="J43" s="2"/>
    </row>
    <row r="44" customFormat="false" ht="15" hidden="false" customHeight="true" outlineLevel="0" collapsed="false">
      <c r="A44" s="2"/>
      <c r="B44" s="2" t="s">
        <v>263</v>
      </c>
      <c r="C44" s="37" t="n">
        <f aca="false">C42/Assumptions!C32-1</f>
        <v>0.0969646681884462</v>
      </c>
      <c r="D44" s="2"/>
      <c r="E44" s="2"/>
      <c r="F44" s="2"/>
      <c r="G44" s="2"/>
      <c r="H44" s="2"/>
      <c r="I44" s="2"/>
      <c r="J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9.5" hidden="false" customHeight="true" outlineLevel="0" collapsed="false">
      <c r="A47" s="2"/>
      <c r="B47" s="35" t="s">
        <v>264</v>
      </c>
      <c r="C47" s="2"/>
      <c r="D47" s="2"/>
      <c r="E47" s="2"/>
      <c r="F47" s="2"/>
      <c r="G47" s="2"/>
      <c r="H47" s="2"/>
      <c r="I47" s="2"/>
      <c r="J47" s="2"/>
    </row>
    <row r="48" customFormat="false" ht="25.5" hidden="false" customHeight="true" outlineLevel="0" collapsed="false">
      <c r="A48" s="2"/>
      <c r="B48" s="59" t="s">
        <v>265</v>
      </c>
      <c r="C48" s="59" t="s">
        <v>266</v>
      </c>
      <c r="D48" s="59" t="s">
        <v>267</v>
      </c>
      <c r="E48" s="59" t="s">
        <v>255</v>
      </c>
      <c r="F48" s="59" t="s">
        <v>268</v>
      </c>
      <c r="G48" s="2"/>
      <c r="H48" s="2"/>
      <c r="I48" s="2"/>
      <c r="J48" s="2"/>
    </row>
    <row r="49" customFormat="false" ht="15" hidden="false" customHeight="true" outlineLevel="0" collapsed="false">
      <c r="A49" s="2"/>
      <c r="B49" s="2" t="s">
        <v>269</v>
      </c>
      <c r="C49" s="80" t="n">
        <f aca="false">C12</f>
        <v>7652.8231608</v>
      </c>
      <c r="D49" s="80" t="n">
        <f aca="false">C9</f>
        <v>16602.6116943339</v>
      </c>
      <c r="E49" s="62" t="n">
        <f aca="false">D49/C49</f>
        <v>2.16947541390704</v>
      </c>
      <c r="F49" s="37" t="n">
        <f aca="false">(D49/C49)^(1/$C$14)-1</f>
        <v>0.167537790433618</v>
      </c>
      <c r="G49" s="2"/>
      <c r="H49" s="2"/>
      <c r="I49" s="2"/>
      <c r="J49" s="2"/>
    </row>
    <row r="50" customFormat="false" ht="15" hidden="false" customHeight="true" outlineLevel="0" collapsed="false">
      <c r="A50" s="2"/>
      <c r="B50" s="2" t="s">
        <v>270</v>
      </c>
      <c r="C50" s="80" t="n">
        <f aca="false">C12+Assumptions!G11</f>
        <v>11052.8231608</v>
      </c>
      <c r="D50" s="80" t="n">
        <f aca="false">C9+Assumptions!G11</f>
        <v>20002.6116943339</v>
      </c>
      <c r="E50" s="62" t="n">
        <f aca="false">D50/C50</f>
        <v>1.8097287365707</v>
      </c>
      <c r="F50" s="37" t="n">
        <f aca="false">(D50/C50)^(1/$C$14)-1</f>
        <v>0.125959310734597</v>
      </c>
      <c r="G50" s="2"/>
      <c r="H50" s="2"/>
      <c r="I50" s="2"/>
      <c r="J50" s="2"/>
    </row>
    <row r="51" customFormat="false" ht="15" hidden="false" customHeight="true" outlineLevel="0" collapsed="false">
      <c r="A51" s="2"/>
      <c r="B51" s="2" t="s">
        <v>271</v>
      </c>
      <c r="C51" s="80" t="n">
        <f aca="false">C12+Assumptions!G11</f>
        <v>11052.8231608</v>
      </c>
      <c r="D51" s="80" t="n">
        <f aca="false">C9</f>
        <v>16602.6116943339</v>
      </c>
      <c r="E51" s="62" t="n">
        <f aca="false">D51/C51</f>
        <v>1.50211502100358</v>
      </c>
      <c r="F51" s="37" t="n">
        <f aca="false">(D51/C51)^(1/$C$14)-1</f>
        <v>0.0847774229335039</v>
      </c>
      <c r="G51" s="2"/>
      <c r="H51" s="2"/>
      <c r="I51" s="2"/>
      <c r="J51" s="2"/>
    </row>
    <row r="52" customFormat="false" ht="15" hidden="false" customHeight="true" outlineLevel="0" collapsed="false">
      <c r="A52" s="2"/>
      <c r="B52" s="42" t="s">
        <v>272</v>
      </c>
      <c r="C52" s="2"/>
      <c r="D52" s="2"/>
      <c r="E52" s="2"/>
      <c r="F52" s="2"/>
      <c r="G52" s="2"/>
      <c r="H52" s="2"/>
      <c r="I52" s="2"/>
      <c r="J52" s="2"/>
    </row>
    <row r="53" customFormat="false" ht="19.5" hidden="false" customHeight="true" outlineLevel="0" collapsed="false">
      <c r="A53" s="2"/>
      <c r="B53" s="35" t="s">
        <v>273</v>
      </c>
      <c r="C53" s="2"/>
      <c r="D53" s="2"/>
      <c r="E53" s="2"/>
      <c r="F53" s="2"/>
      <c r="G53" s="2"/>
      <c r="H53" s="2"/>
      <c r="I53" s="2"/>
      <c r="J53" s="2"/>
    </row>
    <row r="54" customFormat="false" ht="21.75" hidden="false" customHeight="true" outlineLevel="0" collapsed="false">
      <c r="A54" s="2"/>
      <c r="B54" s="59" t="s">
        <v>274</v>
      </c>
      <c r="C54" s="59" t="s">
        <v>255</v>
      </c>
      <c r="D54" s="59" t="s">
        <v>268</v>
      </c>
      <c r="E54" s="2"/>
      <c r="F54" s="2"/>
      <c r="G54" s="2"/>
      <c r="H54" s="2"/>
      <c r="I54" s="2"/>
      <c r="J54" s="2"/>
    </row>
    <row r="55" customFormat="false" ht="15" hidden="false" customHeight="true" outlineLevel="0" collapsed="false">
      <c r="A55" s="2"/>
      <c r="B55" s="66" t="n">
        <v>0</v>
      </c>
      <c r="C55" s="62" t="n">
        <f aca="false">$C$9*(1-B55)/$C$12</f>
        <v>2.16947541390704</v>
      </c>
      <c r="D55" s="37" t="n">
        <f aca="false">($C$9*(1-B55)/$C$12)^(1/$C$14)-1</f>
        <v>0.167537790433618</v>
      </c>
      <c r="E55" s="2"/>
      <c r="F55" s="2"/>
      <c r="G55" s="2"/>
      <c r="H55" s="2"/>
      <c r="I55" s="2"/>
      <c r="J55" s="2"/>
    </row>
    <row r="56" customFormat="false" ht="15" hidden="false" customHeight="true" outlineLevel="0" collapsed="false">
      <c r="A56" s="2"/>
      <c r="B56" s="66" t="n">
        <v>0.05</v>
      </c>
      <c r="C56" s="62" t="n">
        <f aca="false">$C$9*(1-B56)/$C$12</f>
        <v>2.06100164321169</v>
      </c>
      <c r="D56" s="37" t="n">
        <f aca="false">($C$9*(1-B56)/$C$12)^(1/$C$14)-1</f>
        <v>0.155621644855761</v>
      </c>
      <c r="E56" s="2"/>
      <c r="F56" s="2"/>
      <c r="G56" s="2"/>
      <c r="H56" s="2"/>
      <c r="I56" s="2"/>
      <c r="J56" s="2"/>
    </row>
    <row r="57" customFormat="false" ht="15" hidden="false" customHeight="true" outlineLevel="0" collapsed="false">
      <c r="A57" s="2"/>
      <c r="B57" s="66" t="n">
        <v>0.1</v>
      </c>
      <c r="C57" s="62" t="n">
        <f aca="false">$C$9*(1-B57)/$C$12</f>
        <v>1.95252787251633</v>
      </c>
      <c r="D57" s="37" t="n">
        <f aca="false">($C$9*(1-B57)/$C$12)^(1/$C$14)-1</f>
        <v>0.14319271549763</v>
      </c>
      <c r="E57" s="2"/>
      <c r="F57" s="2"/>
      <c r="G57" s="2"/>
      <c r="H57" s="2"/>
      <c r="I57" s="2"/>
      <c r="J57" s="2"/>
    </row>
    <row r="58" customFormat="false" ht="15" hidden="false" customHeight="true" outlineLevel="0" collapsed="false">
      <c r="A58" s="2"/>
      <c r="B58" s="42" t="s">
        <v>275</v>
      </c>
      <c r="C58" s="2"/>
      <c r="D58" s="2"/>
      <c r="E58" s="2"/>
      <c r="F58" s="2"/>
      <c r="G58" s="2"/>
      <c r="H58" s="2"/>
      <c r="I58" s="2"/>
      <c r="J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5" hidden="false" customHeight="true" outlineLevel="0" collapsed="false">
      <c r="A60" s="42" t="s">
        <v>276</v>
      </c>
      <c r="B60" s="2"/>
      <c r="C60" s="2"/>
      <c r="D60" s="2"/>
      <c r="E60" s="2"/>
      <c r="F60" s="2"/>
      <c r="G60" s="2"/>
      <c r="H60" s="2"/>
      <c r="I60" s="2"/>
      <c r="J60" s="2"/>
    </row>
  </sheetData>
  <mergeCells count="2">
    <mergeCell ref="A1:J1"/>
    <mergeCell ref="A2:J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8"/>
    <col collapsed="false" customWidth="true" hidden="false" outlineLevel="0" max="5" min="3" style="1" width="15"/>
    <col collapsed="false" customWidth="true" hidden="false" outlineLevel="0" max="6" min="6" style="1" width="3"/>
    <col collapsed="false" customWidth="true" hidden="false" outlineLevel="0" max="7" min="7" style="1" width="44"/>
  </cols>
  <sheetData>
    <row r="1" customFormat="false" ht="25.5" hidden="false" customHeight="true" outlineLevel="0" collapsed="false">
      <c r="A1" s="15" t="s">
        <v>277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3.5" hidden="false" customHeight="true" outlineLevel="0" collapsed="false">
      <c r="A2" s="5" t="s">
        <v>278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2"/>
      <c r="B4" s="43" t="s">
        <v>279</v>
      </c>
      <c r="C4" s="82" t="s">
        <v>280</v>
      </c>
      <c r="D4" s="82" t="s">
        <v>281</v>
      </c>
      <c r="E4" s="82" t="s">
        <v>282</v>
      </c>
      <c r="F4" s="2"/>
      <c r="G4" s="2"/>
      <c r="H4" s="2"/>
      <c r="I4" s="2"/>
      <c r="J4" s="2"/>
    </row>
    <row r="5" customFormat="false" ht="15.75" hidden="false" customHeight="true" outlineLevel="0" collapsed="false">
      <c r="A5" s="2"/>
      <c r="B5" s="17" t="s">
        <v>283</v>
      </c>
      <c r="C5" s="83" t="n">
        <v>0.03</v>
      </c>
      <c r="D5" s="84" t="n">
        <f aca="false">(Model!J5/Model!E5)^(1/Assumptions!G15)-1</f>
        <v>0.0619735912061172</v>
      </c>
      <c r="E5" s="83" t="n">
        <v>0.08</v>
      </c>
      <c r="F5" s="2"/>
      <c r="G5" s="85" t="s">
        <v>284</v>
      </c>
      <c r="H5" s="85"/>
      <c r="I5" s="85"/>
      <c r="J5" s="85"/>
    </row>
    <row r="6" customFormat="false" ht="39.75" hidden="false" customHeight="true" outlineLevel="0" collapsed="false">
      <c r="A6" s="2"/>
      <c r="B6" s="17" t="s">
        <v>285</v>
      </c>
      <c r="C6" s="83" t="n">
        <v>0.115</v>
      </c>
      <c r="D6" s="84" t="n">
        <f aca="false">Model!J10/Model!J5</f>
        <v>0.147248637574661</v>
      </c>
      <c r="E6" s="83" t="n">
        <v>0.16</v>
      </c>
      <c r="F6" s="2"/>
      <c r="G6" s="86" t="s">
        <v>286</v>
      </c>
      <c r="H6" s="86"/>
      <c r="I6" s="86"/>
      <c r="J6" s="86"/>
    </row>
    <row r="7" customFormat="false" ht="61.5" hidden="false" customHeight="true" outlineLevel="0" collapsed="false">
      <c r="A7" s="2"/>
      <c r="B7" s="17" t="s">
        <v>287</v>
      </c>
      <c r="C7" s="87" t="n">
        <v>960</v>
      </c>
      <c r="D7" s="45" t="n">
        <f aca="false">Model!J10</f>
        <v>1432.030825408</v>
      </c>
      <c r="E7" s="87" t="n">
        <v>1690</v>
      </c>
      <c r="F7" s="2"/>
      <c r="G7" s="86" t="s">
        <v>288</v>
      </c>
      <c r="H7" s="86"/>
      <c r="I7" s="86"/>
      <c r="J7" s="86"/>
    </row>
    <row r="8" customFormat="false" ht="49.5" hidden="false" customHeight="true" outlineLevel="0" collapsed="false">
      <c r="A8" s="2"/>
      <c r="B8" s="17" t="s">
        <v>289</v>
      </c>
      <c r="C8" s="88" t="n">
        <v>8</v>
      </c>
      <c r="D8" s="70" t="n">
        <f aca="false">Assumptions!G16</f>
        <v>10</v>
      </c>
      <c r="E8" s="88" t="n">
        <v>11.5</v>
      </c>
      <c r="F8" s="2"/>
      <c r="G8" s="86" t="s">
        <v>290</v>
      </c>
      <c r="H8" s="86"/>
      <c r="I8" s="86"/>
      <c r="J8" s="86"/>
    </row>
    <row r="9" customFormat="false" ht="7.5" hidden="false" customHeight="true" outlineLevel="0" collapsed="false">
      <c r="A9" s="2"/>
      <c r="B9" s="17" t="s">
        <v>291</v>
      </c>
      <c r="C9" s="87" t="n">
        <v>-500</v>
      </c>
      <c r="D9" s="45" t="n">
        <f aca="false">-Debt_FCF!J22</f>
        <v>2282.30344025394</v>
      </c>
      <c r="E9" s="87" t="n">
        <v>2000</v>
      </c>
      <c r="F9" s="2"/>
      <c r="G9" s="89"/>
      <c r="H9" s="2"/>
      <c r="I9" s="2"/>
      <c r="J9" s="2"/>
    </row>
    <row r="10" customFormat="false" ht="30" hidden="false" customHeight="true" outlineLevel="0" collapsed="false">
      <c r="A10" s="2"/>
      <c r="B10" s="17" t="s">
        <v>292</v>
      </c>
      <c r="C10" s="45" t="n">
        <f aca="false">Sources_Uses!G7</f>
        <v>7652.8231608</v>
      </c>
      <c r="D10" s="45" t="n">
        <f aca="false">Sources_Uses!G7</f>
        <v>7652.8231608</v>
      </c>
      <c r="E10" s="45" t="n">
        <f aca="false">Sources_Uses!G7</f>
        <v>7652.8231608</v>
      </c>
      <c r="F10" s="2"/>
      <c r="G10" s="86" t="s">
        <v>293</v>
      </c>
      <c r="H10" s="86"/>
      <c r="I10" s="86"/>
      <c r="J10" s="86"/>
    </row>
    <row r="11" customFormat="false" ht="30" hidden="false" customHeight="true" outlineLevel="0" collapsed="false">
      <c r="A11" s="2"/>
      <c r="B11" s="2"/>
      <c r="C11" s="2"/>
      <c r="D11" s="2"/>
      <c r="E11" s="2"/>
      <c r="F11" s="2"/>
      <c r="G11" s="86" t="s">
        <v>294</v>
      </c>
      <c r="H11" s="86"/>
      <c r="I11" s="86"/>
      <c r="J11" s="86"/>
    </row>
    <row r="12" customFormat="false" ht="15" hidden="false" customHeight="true" outlineLevel="0" collapsed="false">
      <c r="A12" s="2"/>
      <c r="B12" s="90" t="s">
        <v>243</v>
      </c>
      <c r="C12" s="91" t="n">
        <f aca="false">C7*C8+C9</f>
        <v>7180</v>
      </c>
      <c r="D12" s="91" t="n">
        <f aca="false">D7*D8+D9</f>
        <v>16602.6116943339</v>
      </c>
      <c r="E12" s="91" t="n">
        <f aca="false">E7*E8+E9</f>
        <v>21435</v>
      </c>
      <c r="F12" s="2"/>
      <c r="G12" s="2"/>
      <c r="H12" s="2"/>
      <c r="I12" s="2"/>
      <c r="J12" s="2"/>
    </row>
    <row r="13" customFormat="false" ht="15" hidden="false" customHeight="true" outlineLevel="0" collapsed="false">
      <c r="A13" s="2"/>
      <c r="B13" s="6" t="s">
        <v>248</v>
      </c>
      <c r="C13" s="72" t="n">
        <f aca="false">C12/C10</f>
        <v>0.938215851736658</v>
      </c>
      <c r="D13" s="72" t="n">
        <f aca="false">D12/D10</f>
        <v>2.16947541390704</v>
      </c>
      <c r="E13" s="72" t="n">
        <f aca="false">E12/E10</f>
        <v>2.80092712840881</v>
      </c>
      <c r="F13" s="2"/>
      <c r="G13" s="2"/>
      <c r="H13" s="2"/>
      <c r="I13" s="2"/>
      <c r="J13" s="2"/>
    </row>
    <row r="14" customFormat="false" ht="15" hidden="false" customHeight="true" outlineLevel="0" collapsed="false">
      <c r="A14" s="2"/>
      <c r="B14" s="6" t="s">
        <v>249</v>
      </c>
      <c r="C14" s="73" t="n">
        <f aca="false">(C12/C10)^(1/Assumptions!G15)-1</f>
        <v>-0.0126740466031766</v>
      </c>
      <c r="D14" s="73" t="n">
        <f aca="false">(D12/D10)^(1/Assumptions!G15)-1</f>
        <v>0.167537790433618</v>
      </c>
      <c r="E14" s="73" t="n">
        <f aca="false">(E12/E10)^(1/Assumptions!G15)-1</f>
        <v>0.228741034400974</v>
      </c>
      <c r="F14" s="2"/>
      <c r="G14" s="2"/>
      <c r="H14" s="2"/>
      <c r="I14" s="2"/>
      <c r="J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customFormat="false" ht="15" hidden="false" customHeight="true" outlineLevel="0" collapsed="false">
      <c r="A16" s="42"/>
      <c r="B16" s="2"/>
      <c r="C16" s="2"/>
      <c r="D16" s="2"/>
      <c r="E16" s="2"/>
      <c r="F16" s="2"/>
      <c r="G16" s="2"/>
      <c r="H16" s="2"/>
      <c r="I16" s="2"/>
      <c r="J16" s="2"/>
    </row>
    <row r="18" customFormat="false" ht="15" hidden="false" customHeight="true" outlineLevel="0" collapsed="false">
      <c r="A18" s="35" t="s">
        <v>295</v>
      </c>
      <c r="B18" s="63"/>
      <c r="C18" s="63"/>
      <c r="D18" s="63"/>
      <c r="E18" s="63"/>
    </row>
    <row r="19" customFormat="false" ht="15" hidden="false" customHeight="true" outlineLevel="0" collapsed="false">
      <c r="B19" s="1" t="s">
        <v>296</v>
      </c>
      <c r="C19" s="68" t="n">
        <f aca="false">Returns!C9</f>
        <v>16602.6116943339</v>
      </c>
    </row>
    <row r="20" customFormat="false" ht="15" hidden="false" customHeight="true" outlineLevel="0" collapsed="false">
      <c r="B20" s="1" t="s">
        <v>274</v>
      </c>
      <c r="C20" s="67" t="n">
        <f aca="false">Returns!B56</f>
        <v>0.05</v>
      </c>
    </row>
    <row r="21" customFormat="false" ht="15" hidden="false" customHeight="true" outlineLevel="0" collapsed="false">
      <c r="B21" s="1" t="s">
        <v>297</v>
      </c>
      <c r="C21" s="92" t="n">
        <v>0.02</v>
      </c>
    </row>
    <row r="22" customFormat="false" ht="15" hidden="false" customHeight="true" outlineLevel="0" collapsed="false">
      <c r="B22" s="1" t="s">
        <v>298</v>
      </c>
      <c r="C22" s="66" t="n">
        <v>0.2</v>
      </c>
    </row>
    <row r="23" customFormat="false" ht="15" hidden="false" customHeight="true" outlineLevel="0" collapsed="false">
      <c r="B23" s="1" t="s">
        <v>299</v>
      </c>
      <c r="C23" s="66" t="n">
        <v>0.08</v>
      </c>
    </row>
    <row r="24" customFormat="false" ht="15" hidden="false" customHeight="true" outlineLevel="0" collapsed="false">
      <c r="B24" s="1" t="s">
        <v>300</v>
      </c>
      <c r="C24" s="68" t="n">
        <f aca="false">MAX(0,(C19*(1-C20)-Returns!C12)-Returns!C12*((1+C23)^Returns!C14-1))*C22</f>
        <v>905.594634533695</v>
      </c>
    </row>
    <row r="25" customFormat="false" ht="15" hidden="false" customHeight="true" outlineLevel="0" collapsed="false">
      <c r="B25" s="1" t="s">
        <v>301</v>
      </c>
      <c r="C25" s="68" t="n">
        <f aca="false">Returns!C12*C21*Returns!C14</f>
        <v>765.28231608</v>
      </c>
    </row>
    <row r="26" customFormat="false" ht="15" hidden="false" customHeight="true" outlineLevel="0" collapsed="false">
      <c r="B26" s="1" t="s">
        <v>302</v>
      </c>
      <c r="C26" s="68" t="n">
        <f aca="false">C19*(1-C20)-C24-C25</f>
        <v>14101.6041590036</v>
      </c>
    </row>
    <row r="27" customFormat="false" ht="15" hidden="false" customHeight="true" outlineLevel="0" collapsed="false">
      <c r="B27" s="69" t="s">
        <v>303</v>
      </c>
      <c r="C27" s="93" t="n">
        <f aca="false">C26/Returns!C12</f>
        <v>1.84266692992935</v>
      </c>
      <c r="D27" s="94" t="n">
        <f aca="false">(C26/Returns!C12)^(1/Returns!C14)-1</f>
        <v>0.130028425970038</v>
      </c>
    </row>
    <row r="29" customFormat="false" ht="15" hidden="false" customHeight="true" outlineLevel="0" collapsed="false">
      <c r="A29" s="42" t="s">
        <v>304</v>
      </c>
    </row>
    <row r="31" customFormat="false" ht="15" hidden="false" customHeight="true" outlineLevel="0" collapsed="false">
      <c r="A31" s="42" t="s">
        <v>305</v>
      </c>
    </row>
    <row r="33" customFormat="false" ht="15" hidden="false" customHeight="true" outlineLevel="0" collapsed="false">
      <c r="A33" s="35" t="s">
        <v>306</v>
      </c>
      <c r="B33" s="63"/>
      <c r="C33" s="63"/>
      <c r="D33" s="63"/>
      <c r="E33" s="63"/>
    </row>
    <row r="34" customFormat="false" ht="15" hidden="false" customHeight="true" outlineLevel="0" collapsed="false">
      <c r="C34" s="69" t="s">
        <v>307</v>
      </c>
      <c r="D34" s="69" t="s">
        <v>308</v>
      </c>
      <c r="E34" s="69" t="s">
        <v>309</v>
      </c>
    </row>
    <row r="35" customFormat="false" ht="15" hidden="false" customHeight="true" outlineLevel="0" collapsed="false">
      <c r="B35" s="1" t="s">
        <v>310</v>
      </c>
      <c r="C35" s="95" t="n">
        <v>0</v>
      </c>
      <c r="D35" s="68" t="n">
        <f aca="false">C39</f>
        <v>244.006123314791</v>
      </c>
      <c r="E35" s="95" t="n">
        <v>500</v>
      </c>
    </row>
    <row r="36" customFormat="false" ht="15" hidden="false" customHeight="true" outlineLevel="0" collapsed="false">
      <c r="B36" s="69" t="s">
        <v>311</v>
      </c>
      <c r="C36" s="96" t="n">
        <f aca="false">((Returns!$C$9+Assumptions!$G$16*C35)/(1+Returns!$C$38)^Returns!$C$14+Sources_Uses!$G$5+Assumptions!$G$11-Assumptions!$G$10-Assumptions!$C$10)/Assumptions!$C$6</f>
        <v>2115.8849218956</v>
      </c>
      <c r="D36" s="96" t="n">
        <f aca="false">((Returns!$C$9+Assumptions!$G$16*D35)/(1+Returns!$C$38)^Returns!$C$14+Sources_Uses!$G$5+Assumptions!$G$11-Assumptions!$G$10-Assumptions!$C$10)/Assumptions!$C$6</f>
        <v>2301.6</v>
      </c>
      <c r="E36" s="96" t="n">
        <f aca="false">((Returns!$C$9+Assumptions!$G$16*E35)/(1+Returns!$C$38)^Returns!$C$14+Sources_Uses!$G$5+Assumptions!$G$11-Assumptions!$G$10-Assumptions!$C$10)/Assumptions!$C$6</f>
        <v>2496.43905631954</v>
      </c>
    </row>
    <row r="37" customFormat="false" ht="15" hidden="false" customHeight="true" outlineLevel="0" collapsed="false">
      <c r="B37" s="1" t="s">
        <v>312</v>
      </c>
      <c r="C37" s="97" t="n">
        <f aca="false">C36/Assumptions!$C$5-1</f>
        <v>0.259455310652142</v>
      </c>
      <c r="D37" s="97" t="n">
        <f aca="false">D36/Assumptions!$C$5-1</f>
        <v>0.37</v>
      </c>
      <c r="E37" s="97" t="n">
        <f aca="false">E36/Assumptions!$C$5-1</f>
        <v>0.485975628761629</v>
      </c>
    </row>
    <row r="39" customFormat="false" ht="15" hidden="false" customHeight="true" outlineLevel="0" collapsed="false">
      <c r="B39" s="69" t="s">
        <v>313</v>
      </c>
      <c r="C39" s="98" t="n">
        <f aca="false">((Assumptions!C9+Assumptions!C10+Assumptions!G10-Sources_Uses!G5-Assumptions!G11)*(1+Returns!C38)^Returns!C14-Returns!C9)/Assumptions!G16</f>
        <v>244.006123314791</v>
      </c>
      <c r="D39" s="97" t="n">
        <f aca="false">C39/Model!J10</f>
        <v>0.170391669638307</v>
      </c>
      <c r="E39" s="99" t="s">
        <v>314</v>
      </c>
      <c r="F39" s="97"/>
      <c r="G39" s="23"/>
    </row>
    <row r="41" customFormat="false" ht="15" hidden="false" customHeight="true" outlineLevel="0" collapsed="false">
      <c r="A41" s="42" t="s">
        <v>315</v>
      </c>
    </row>
    <row r="42" customFormat="false" ht="15" hidden="false" customHeight="true" outlineLevel="0" collapsed="false">
      <c r="A42" s="42" t="s">
        <v>316</v>
      </c>
    </row>
  </sheetData>
  <mergeCells count="8">
    <mergeCell ref="A1:J1"/>
    <mergeCell ref="A2:J2"/>
    <mergeCell ref="G5:J5"/>
    <mergeCell ref="G6:J6"/>
    <mergeCell ref="G7:J7"/>
    <mergeCell ref="G8:J8"/>
    <mergeCell ref="G10:J10"/>
    <mergeCell ref="G11:J11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26"/>
  </cols>
  <sheetData>
    <row r="1" customFormat="false" ht="15" hidden="false" customHeight="true" outlineLevel="0" collapsed="false">
      <c r="A1" s="100" t="s">
        <v>317</v>
      </c>
      <c r="B1" s="101"/>
      <c r="C1" s="101"/>
      <c r="D1" s="101"/>
      <c r="E1" s="101"/>
      <c r="F1" s="101"/>
      <c r="G1" s="101"/>
      <c r="H1" s="101"/>
    </row>
    <row r="2" customFormat="false" ht="15" hidden="false" customHeight="true" outlineLevel="0" collapsed="false">
      <c r="A2" s="42" t="s">
        <v>318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30" hidden="false" customHeight="true" outlineLevel="0" collapsed="false">
      <c r="A4" s="59" t="s">
        <v>319</v>
      </c>
      <c r="B4" s="59" t="s">
        <v>320</v>
      </c>
      <c r="C4" s="59" t="s">
        <v>146</v>
      </c>
      <c r="D4" s="59" t="s">
        <v>321</v>
      </c>
      <c r="E4" s="59" t="s">
        <v>255</v>
      </c>
      <c r="F4" s="59" t="s">
        <v>253</v>
      </c>
      <c r="G4" s="59" t="s">
        <v>322</v>
      </c>
      <c r="H4" s="59" t="s">
        <v>323</v>
      </c>
    </row>
    <row r="5" customFormat="false" ht="15" hidden="false" customHeight="true" outlineLevel="0" collapsed="false">
      <c r="A5" s="102" t="n">
        <v>1</v>
      </c>
      <c r="B5" s="80" t="n">
        <f aca="false">A5*Assumptions!$C$19</f>
        <v>800</v>
      </c>
      <c r="C5" s="80" t="n">
        <f aca="false">Assumptions!$C$9+Assumptions!$C$10+Assumptions!$G$10-B5-Assumptions!$G$11</f>
        <v>8452.8231608</v>
      </c>
      <c r="D5" s="80" t="n">
        <f aca="false">Returns!$C$7+H19-G19</f>
        <v>17469.8977433401</v>
      </c>
      <c r="E5" s="62" t="n">
        <f aca="false">D5/C5</f>
        <v>2.06675301387551</v>
      </c>
      <c r="F5" s="37" t="n">
        <f aca="false">(D5/C5)^(1/Assumptions!$G$15)-1</f>
        <v>0.156265894891881</v>
      </c>
      <c r="G5" s="80" t="n">
        <f aca="false">G19</f>
        <v>0</v>
      </c>
      <c r="H5" s="80" t="n">
        <f aca="false">H19</f>
        <v>3149.58948926007</v>
      </c>
    </row>
    <row r="6" customFormat="false" ht="15" hidden="false" customHeight="true" outlineLevel="0" collapsed="false">
      <c r="A6" s="103" t="n">
        <v>2</v>
      </c>
      <c r="B6" s="104" t="n">
        <f aca="false">A6*Assumptions!$C$19</f>
        <v>1600</v>
      </c>
      <c r="C6" s="104" t="n">
        <f aca="false">Assumptions!$C$9+Assumptions!$C$10+Assumptions!$G$10-B6-Assumptions!$G$11</f>
        <v>7652.8231608</v>
      </c>
      <c r="D6" s="104" t="n">
        <f aca="false">Returns!$C$7+H28-G28</f>
        <v>16602.6116943339</v>
      </c>
      <c r="E6" s="105" t="n">
        <f aca="false">D6/C6</f>
        <v>2.16947541390704</v>
      </c>
      <c r="F6" s="106" t="n">
        <f aca="false">(D6/C6)^(1/Assumptions!$G$15)-1</f>
        <v>0.167537790433618</v>
      </c>
      <c r="G6" s="104" t="n">
        <f aca="false">G28</f>
        <v>0</v>
      </c>
      <c r="H6" s="104" t="n">
        <f aca="false">H28</f>
        <v>2282.30344025394</v>
      </c>
    </row>
    <row r="7" customFormat="false" ht="15" hidden="false" customHeight="true" outlineLevel="0" collapsed="false">
      <c r="A7" s="102" t="n">
        <v>2.5</v>
      </c>
      <c r="B7" s="80" t="n">
        <f aca="false">A7*Assumptions!$C$19</f>
        <v>2000</v>
      </c>
      <c r="C7" s="80" t="n">
        <f aca="false">Assumptions!$C$9+Assumptions!$C$10+Assumptions!$G$10-B7-Assumptions!$G$11</f>
        <v>7252.8231608</v>
      </c>
      <c r="D7" s="80" t="n">
        <f aca="false">Returns!$C$7+H37-G37</f>
        <v>16157.8759567185</v>
      </c>
      <c r="E7" s="62" t="n">
        <f aca="false">D7/C7</f>
        <v>2.22780503515492</v>
      </c>
      <c r="F7" s="37" t="n">
        <f aca="false">(D7/C7)^(1/Assumptions!$G$15)-1</f>
        <v>0.173749543146416</v>
      </c>
      <c r="G7" s="80" t="n">
        <f aca="false">G37</f>
        <v>0</v>
      </c>
      <c r="H7" s="80" t="n">
        <f aca="false">H37</f>
        <v>1837.56770263849</v>
      </c>
    </row>
    <row r="8" customFormat="false" ht="15" hidden="false" customHeight="true" outlineLevel="0" collapsed="false">
      <c r="A8" s="102" t="n">
        <v>3</v>
      </c>
      <c r="B8" s="80" t="n">
        <f aca="false">A8*Assumptions!$C$19</f>
        <v>2400</v>
      </c>
      <c r="C8" s="80" t="n">
        <f aca="false">Assumptions!$C$9+Assumptions!$C$10+Assumptions!$G$10-B8-Assumptions!$G$11</f>
        <v>6852.8231608</v>
      </c>
      <c r="D8" s="80" t="n">
        <f aca="false">Returns!$C$7+H46-G46</f>
        <v>15707.6732379127</v>
      </c>
      <c r="E8" s="62" t="n">
        <f aca="false">D8/C8</f>
        <v>2.29214629785938</v>
      </c>
      <c r="F8" s="37" t="n">
        <f aca="false">(D8/C8)^(1/Assumptions!$G$15)-1</f>
        <v>0.180452365160633</v>
      </c>
      <c r="G8" s="80" t="n">
        <f aca="false">G46</f>
        <v>10.1080129338227</v>
      </c>
      <c r="H8" s="80" t="n">
        <f aca="false">H46</f>
        <v>1397.47299676654</v>
      </c>
    </row>
    <row r="9" customFormat="false" ht="15" hidden="false" customHeight="true" outlineLevel="0" collapsed="false">
      <c r="A9" s="2"/>
      <c r="B9" s="2"/>
      <c r="C9" s="2"/>
      <c r="D9" s="2"/>
      <c r="E9" s="2"/>
      <c r="F9" s="2"/>
      <c r="G9" s="2"/>
      <c r="H9" s="2"/>
    </row>
    <row r="10" customFormat="false" ht="15" hidden="false" customHeight="true" outlineLevel="0" collapsed="false">
      <c r="A10" s="2"/>
      <c r="B10" s="2"/>
      <c r="C10" s="2"/>
      <c r="D10" s="2"/>
      <c r="E10" s="2"/>
      <c r="F10" s="2"/>
      <c r="G10" s="2"/>
      <c r="H10" s="2"/>
    </row>
    <row r="11" customFormat="false" ht="15" hidden="false" customHeight="true" outlineLevel="0" collapsed="false">
      <c r="A11" s="69" t="s">
        <v>324</v>
      </c>
      <c r="B11" s="2"/>
      <c r="C11" s="2"/>
      <c r="D11" s="2"/>
      <c r="E11" s="2"/>
      <c r="F11" s="2"/>
      <c r="G11" s="2"/>
      <c r="H11" s="2"/>
    </row>
    <row r="12" customFormat="false" ht="15" hidden="false" customHeight="tru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true" outlineLevel="0" collapsed="false">
      <c r="A13" s="69" t="s">
        <v>325</v>
      </c>
      <c r="B13" s="2"/>
      <c r="C13" s="2"/>
      <c r="D13" s="2"/>
      <c r="E13" s="2"/>
      <c r="F13" s="2"/>
      <c r="G13" s="2"/>
      <c r="H13" s="2"/>
    </row>
    <row r="14" customFormat="false" ht="30" hidden="false" customHeight="true" outlineLevel="0" collapsed="false">
      <c r="A14" s="59" t="s">
        <v>326</v>
      </c>
      <c r="B14" s="59" t="s">
        <v>327</v>
      </c>
      <c r="C14" s="59" t="s">
        <v>328</v>
      </c>
      <c r="D14" s="59" t="s">
        <v>329</v>
      </c>
      <c r="E14" s="59" t="s">
        <v>330</v>
      </c>
      <c r="F14" s="59" t="s">
        <v>331</v>
      </c>
      <c r="G14" s="59" t="s">
        <v>322</v>
      </c>
      <c r="H14" s="59" t="s">
        <v>323</v>
      </c>
    </row>
    <row r="15" customFormat="false" ht="15" hidden="false" customHeight="true" outlineLevel="0" collapsed="false">
      <c r="A15" s="2" t="s">
        <v>81</v>
      </c>
      <c r="B15" s="80" t="n">
        <f aca="false">B5</f>
        <v>800</v>
      </c>
      <c r="C15" s="80" t="n">
        <f aca="false">Debt_FCF!F5*(1-Assumptions!$G$14)+Debt_FCF!F10+Debt_FCF!F11+Debt_FCF!F12</f>
        <v>476.20992</v>
      </c>
      <c r="D15" s="80" t="n">
        <f aca="false">B15*Assumptions!$G$7</f>
        <v>28</v>
      </c>
      <c r="E15" s="80" t="n">
        <f aca="false">C15-D15*(1-Assumptions!$G$14)</f>
        <v>456.88992</v>
      </c>
      <c r="F15" s="80" t="n">
        <f aca="false">-MIN(B15,MAX(0,E15)*Assumptions!$G$8)</f>
        <v>-365.511936</v>
      </c>
      <c r="G15" s="80" t="n">
        <f aca="false">B15+F15</f>
        <v>434.488064</v>
      </c>
      <c r="H15" s="80" t="n">
        <f aca="false">Assumptions!$G$9+MAX(0,E15+F15)</f>
        <v>891.377984</v>
      </c>
    </row>
    <row r="16" customFormat="false" ht="15" hidden="false" customHeight="true" outlineLevel="0" collapsed="false">
      <c r="A16" s="2" t="s">
        <v>82</v>
      </c>
      <c r="B16" s="80" t="n">
        <f aca="false">G15</f>
        <v>434.488064</v>
      </c>
      <c r="C16" s="80" t="n">
        <f aca="false">Debt_FCF!G5*(1-Assumptions!$G$14)+Debt_FCF!G10+Debt_FCF!G11+Debt_FCF!G12</f>
        <v>550.34752</v>
      </c>
      <c r="D16" s="80" t="n">
        <f aca="false">B16*Assumptions!$G$7</f>
        <v>15.20708224</v>
      </c>
      <c r="E16" s="80" t="n">
        <f aca="false">C16-D16*(1-Assumptions!$G$14)</f>
        <v>539.8546332544</v>
      </c>
      <c r="F16" s="80" t="n">
        <f aca="false">-MIN(B16,MAX(0,E16)*Assumptions!$G$8)</f>
        <v>-431.88370660352</v>
      </c>
      <c r="G16" s="80" t="n">
        <f aca="false">B16+F16</f>
        <v>2.60435739648</v>
      </c>
      <c r="H16" s="80" t="n">
        <f aca="false">H15+MAX(0,E16+F16)</f>
        <v>999.34891065088</v>
      </c>
    </row>
    <row r="17" customFormat="false" ht="15" hidden="false" customHeight="true" outlineLevel="0" collapsed="false">
      <c r="A17" s="2" t="s">
        <v>83</v>
      </c>
      <c r="B17" s="80" t="n">
        <f aca="false">G16</f>
        <v>2.60435739648</v>
      </c>
      <c r="C17" s="80" t="n">
        <f aca="false">Debt_FCF!H5*(1-Assumptions!$G$14)+Debt_FCF!H10+Debt_FCF!H11+Debt_FCF!H12</f>
        <v>638.023851136</v>
      </c>
      <c r="D17" s="80" t="n">
        <f aca="false">B17*Assumptions!$G$7</f>
        <v>0.0911525088767999</v>
      </c>
      <c r="E17" s="80" t="n">
        <f aca="false">C17-D17*(1-Assumptions!$G$14)</f>
        <v>637.960955904875</v>
      </c>
      <c r="F17" s="80" t="n">
        <f aca="false">-MIN(B17,MAX(0,E17)*Assumptions!$G$8)</f>
        <v>-2.60435739648</v>
      </c>
      <c r="G17" s="80" t="n">
        <f aca="false">B17+F17</f>
        <v>0</v>
      </c>
      <c r="H17" s="80" t="n">
        <f aca="false">H16+MAX(0,E17+F17)</f>
        <v>1634.70550915927</v>
      </c>
    </row>
    <row r="18" customFormat="false" ht="15" hidden="false" customHeight="true" outlineLevel="0" collapsed="false">
      <c r="A18" s="2" t="s">
        <v>84</v>
      </c>
      <c r="B18" s="80" t="n">
        <f aca="false">G17</f>
        <v>0</v>
      </c>
      <c r="C18" s="80" t="n">
        <f aca="false">Debt_FCF!I5*(1-Assumptions!$G$14)+Debt_FCF!I10+Debt_FCF!I11+Debt_FCF!I12</f>
        <v>715.55058075328</v>
      </c>
      <c r="D18" s="80" t="n">
        <f aca="false">B18*Assumptions!$G$7</f>
        <v>0</v>
      </c>
      <c r="E18" s="80" t="n">
        <f aca="false">C18-D18*(1-Assumptions!$G$14)</f>
        <v>715.55058075328</v>
      </c>
      <c r="F18" s="80" t="n">
        <f aca="false">-MIN(B18,MAX(0,E18)*Assumptions!$G$8)</f>
        <v>-0</v>
      </c>
      <c r="G18" s="80" t="n">
        <f aca="false">B18+F18</f>
        <v>0</v>
      </c>
      <c r="H18" s="80" t="n">
        <f aca="false">H17+MAX(0,E18+F18)</f>
        <v>2350.25608991255</v>
      </c>
    </row>
    <row r="19" customFormat="false" ht="15" hidden="false" customHeight="true" outlineLevel="0" collapsed="false">
      <c r="A19" s="2" t="s">
        <v>155</v>
      </c>
      <c r="B19" s="80" t="n">
        <f aca="false">G18</f>
        <v>0</v>
      </c>
      <c r="C19" s="80" t="n">
        <f aca="false">Debt_FCF!J5*(1-Assumptions!$G$14)+Debt_FCF!J10+Debt_FCF!J11+Debt_FCF!J12</f>
        <v>799.33339934752</v>
      </c>
      <c r="D19" s="80" t="n">
        <f aca="false">B19*Assumptions!$G$7</f>
        <v>0</v>
      </c>
      <c r="E19" s="80" t="n">
        <f aca="false">C19-D19*(1-Assumptions!$G$14)</f>
        <v>799.33339934752</v>
      </c>
      <c r="F19" s="80" t="n">
        <f aca="false">-MIN(B19,MAX(0,E19)*Assumptions!$G$8)</f>
        <v>-0</v>
      </c>
      <c r="G19" s="80" t="n">
        <f aca="false">B19+F19</f>
        <v>0</v>
      </c>
      <c r="H19" s="80" t="n">
        <f aca="false">H18+MAX(0,E19+F19)</f>
        <v>3149.58948926007</v>
      </c>
    </row>
    <row r="20" customFormat="false" ht="15" hidden="false" customHeight="true" outlineLevel="0" collapsed="false">
      <c r="A20" s="2"/>
      <c r="B20" s="2"/>
      <c r="C20" s="2"/>
      <c r="D20" s="2"/>
      <c r="E20" s="2"/>
      <c r="F20" s="2"/>
      <c r="G20" s="2"/>
      <c r="H20" s="2"/>
    </row>
    <row r="21" customFormat="false" ht="15" hidden="false" customHeight="true" outlineLevel="0" collapsed="false">
      <c r="A21" s="2"/>
      <c r="B21" s="2"/>
      <c r="C21" s="2"/>
      <c r="D21" s="2"/>
      <c r="E21" s="2"/>
      <c r="F21" s="2"/>
      <c r="G21" s="2"/>
      <c r="H21" s="2"/>
    </row>
    <row r="22" customFormat="false" ht="15" hidden="false" customHeight="true" outlineLevel="0" collapsed="false">
      <c r="A22" s="69" t="s">
        <v>332</v>
      </c>
      <c r="B22" s="2"/>
      <c r="C22" s="2"/>
      <c r="D22" s="2"/>
      <c r="E22" s="2"/>
      <c r="F22" s="2"/>
      <c r="G22" s="2"/>
      <c r="H22" s="2"/>
    </row>
    <row r="23" customFormat="false" ht="30" hidden="false" customHeight="true" outlineLevel="0" collapsed="false">
      <c r="A23" s="59" t="s">
        <v>326</v>
      </c>
      <c r="B23" s="59" t="s">
        <v>327</v>
      </c>
      <c r="C23" s="59" t="s">
        <v>328</v>
      </c>
      <c r="D23" s="59" t="s">
        <v>329</v>
      </c>
      <c r="E23" s="59" t="s">
        <v>330</v>
      </c>
      <c r="F23" s="59" t="s">
        <v>331</v>
      </c>
      <c r="G23" s="59" t="s">
        <v>322</v>
      </c>
      <c r="H23" s="59" t="s">
        <v>323</v>
      </c>
    </row>
    <row r="24" customFormat="false" ht="15" hidden="false" customHeight="true" outlineLevel="0" collapsed="false">
      <c r="A24" s="2" t="s">
        <v>81</v>
      </c>
      <c r="B24" s="80" t="n">
        <f aca="false">B6</f>
        <v>1600</v>
      </c>
      <c r="C24" s="80" t="n">
        <f aca="false">Debt_FCF!F5*(1-Assumptions!$G$14)+Debt_FCF!F10+Debt_FCF!F11+Debt_FCF!F12</f>
        <v>476.20992</v>
      </c>
      <c r="D24" s="80" t="n">
        <f aca="false">B24*Assumptions!$G$7</f>
        <v>56</v>
      </c>
      <c r="E24" s="80" t="n">
        <f aca="false">C24-D24*(1-Assumptions!$G$14)</f>
        <v>437.56992</v>
      </c>
      <c r="F24" s="80" t="n">
        <f aca="false">-MIN(B24,MAX(0,E24)*Assumptions!$G$8)</f>
        <v>-350.055936</v>
      </c>
      <c r="G24" s="80" t="n">
        <f aca="false">B24+F24</f>
        <v>1249.944064</v>
      </c>
      <c r="H24" s="80" t="n">
        <f aca="false">Assumptions!$G$9+MAX(0,E24+F24)</f>
        <v>887.513984</v>
      </c>
    </row>
    <row r="25" customFormat="false" ht="15" hidden="false" customHeight="true" outlineLevel="0" collapsed="false">
      <c r="A25" s="2" t="s">
        <v>82</v>
      </c>
      <c r="B25" s="80" t="n">
        <f aca="false">G24</f>
        <v>1249.944064</v>
      </c>
      <c r="C25" s="80" t="n">
        <f aca="false">Debt_FCF!G5*(1-Assumptions!$G$14)+Debt_FCF!G10+Debt_FCF!G11+Debt_FCF!G12</f>
        <v>550.34752</v>
      </c>
      <c r="D25" s="80" t="n">
        <f aca="false">B25*Assumptions!$G$7</f>
        <v>43.74804224</v>
      </c>
      <c r="E25" s="80" t="n">
        <f aca="false">C25-D25*(1-Assumptions!$G$14)</f>
        <v>520.1613708544</v>
      </c>
      <c r="F25" s="80" t="n">
        <f aca="false">-MIN(B25,MAX(0,E25)*Assumptions!$G$8)</f>
        <v>-416.12909668352</v>
      </c>
      <c r="G25" s="80" t="n">
        <f aca="false">B25+F25</f>
        <v>833.81496731648</v>
      </c>
      <c r="H25" s="80" t="n">
        <f aca="false">H24+MAX(0,E25+F25)</f>
        <v>991.54625817088</v>
      </c>
    </row>
    <row r="26" customFormat="false" ht="15" hidden="false" customHeight="true" outlineLevel="0" collapsed="false">
      <c r="A26" s="2" t="s">
        <v>83</v>
      </c>
      <c r="B26" s="80" t="n">
        <f aca="false">G25</f>
        <v>833.81496731648</v>
      </c>
      <c r="C26" s="80" t="n">
        <f aca="false">Debt_FCF!H5*(1-Assumptions!$G$14)+Debt_FCF!H10+Debt_FCF!H11+Debt_FCF!H12</f>
        <v>638.023851136</v>
      </c>
      <c r="D26" s="80" t="n">
        <f aca="false">B26*Assumptions!$G$7</f>
        <v>29.1835238560768</v>
      </c>
      <c r="E26" s="80" t="n">
        <f aca="false">C26-D26*(1-Assumptions!$G$14)</f>
        <v>617.887219675307</v>
      </c>
      <c r="F26" s="80" t="n">
        <f aca="false">-MIN(B26,MAX(0,E26)*Assumptions!$G$8)</f>
        <v>-494.309775740246</v>
      </c>
      <c r="G26" s="80" t="n">
        <f aca="false">B26+F26</f>
        <v>339.505191576234</v>
      </c>
      <c r="H26" s="80" t="n">
        <f aca="false">H25+MAX(0,E26+F26)</f>
        <v>1115.12370210594</v>
      </c>
    </row>
    <row r="27" customFormat="false" ht="15" hidden="false" customHeight="true" outlineLevel="0" collapsed="false">
      <c r="A27" s="2" t="s">
        <v>84</v>
      </c>
      <c r="B27" s="80" t="n">
        <f aca="false">G26</f>
        <v>339.505191576234</v>
      </c>
      <c r="C27" s="80" t="n">
        <f aca="false">Debt_FCF!I5*(1-Assumptions!$G$14)+Debt_FCF!I10+Debt_FCF!I11+Debt_FCF!I12</f>
        <v>715.55058075328</v>
      </c>
      <c r="D27" s="80" t="n">
        <f aca="false">B27*Assumptions!$G$7</f>
        <v>11.8826817051682</v>
      </c>
      <c r="E27" s="80" t="n">
        <f aca="false">C27-D27*(1-Assumptions!$G$14)</f>
        <v>707.351530376714</v>
      </c>
      <c r="F27" s="80" t="n">
        <f aca="false">-MIN(B27,MAX(0,E27)*Assumptions!$G$8)</f>
        <v>-339.505191576234</v>
      </c>
      <c r="G27" s="80" t="n">
        <f aca="false">B27+F27</f>
        <v>0</v>
      </c>
      <c r="H27" s="80" t="n">
        <f aca="false">H26+MAX(0,E27+F27)</f>
        <v>1482.97004090642</v>
      </c>
    </row>
    <row r="28" customFormat="false" ht="15" hidden="false" customHeight="true" outlineLevel="0" collapsed="false">
      <c r="A28" s="2" t="s">
        <v>155</v>
      </c>
      <c r="B28" s="80" t="n">
        <f aca="false">G27</f>
        <v>0</v>
      </c>
      <c r="C28" s="80" t="n">
        <f aca="false">Debt_FCF!J5*(1-Assumptions!$G$14)+Debt_FCF!J10+Debt_FCF!J11+Debt_FCF!J12</f>
        <v>799.33339934752</v>
      </c>
      <c r="D28" s="80" t="n">
        <f aca="false">B28*Assumptions!$G$7</f>
        <v>0</v>
      </c>
      <c r="E28" s="80" t="n">
        <f aca="false">C28-D28*(1-Assumptions!$G$14)</f>
        <v>799.33339934752</v>
      </c>
      <c r="F28" s="80" t="n">
        <f aca="false">-MIN(B28,MAX(0,E28)*Assumptions!$G$8)</f>
        <v>-0</v>
      </c>
      <c r="G28" s="80" t="n">
        <f aca="false">B28+F28</f>
        <v>0</v>
      </c>
      <c r="H28" s="80" t="n">
        <f aca="false">H27+MAX(0,E28+F28)</f>
        <v>2282.30344025394</v>
      </c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</row>
    <row r="30" customFormat="false" ht="15" hidden="false" customHeight="true" outlineLevel="0" collapsed="false">
      <c r="A30" s="2"/>
      <c r="B30" s="2"/>
      <c r="C30" s="2"/>
      <c r="D30" s="2"/>
      <c r="E30" s="2"/>
      <c r="F30" s="2"/>
      <c r="G30" s="2"/>
      <c r="H30" s="2"/>
    </row>
    <row r="31" customFormat="false" ht="15" hidden="false" customHeight="true" outlineLevel="0" collapsed="false">
      <c r="A31" s="69" t="s">
        <v>333</v>
      </c>
      <c r="B31" s="2"/>
      <c r="C31" s="2"/>
      <c r="D31" s="2"/>
      <c r="E31" s="2"/>
      <c r="F31" s="2"/>
      <c r="G31" s="2"/>
      <c r="H31" s="2"/>
    </row>
    <row r="32" customFormat="false" ht="30" hidden="false" customHeight="true" outlineLevel="0" collapsed="false">
      <c r="A32" s="59" t="s">
        <v>326</v>
      </c>
      <c r="B32" s="59" t="s">
        <v>327</v>
      </c>
      <c r="C32" s="59" t="s">
        <v>328</v>
      </c>
      <c r="D32" s="59" t="s">
        <v>329</v>
      </c>
      <c r="E32" s="59" t="s">
        <v>330</v>
      </c>
      <c r="F32" s="59" t="s">
        <v>331</v>
      </c>
      <c r="G32" s="59" t="s">
        <v>322</v>
      </c>
      <c r="H32" s="59" t="s">
        <v>323</v>
      </c>
    </row>
    <row r="33" customFormat="false" ht="15" hidden="false" customHeight="true" outlineLevel="0" collapsed="false">
      <c r="A33" s="2" t="s">
        <v>81</v>
      </c>
      <c r="B33" s="80" t="n">
        <f aca="false">B7</f>
        <v>2000</v>
      </c>
      <c r="C33" s="80" t="n">
        <f aca="false">Debt_FCF!F5*(1-Assumptions!$G$14)+Debt_FCF!F10+Debt_FCF!F11+Debt_FCF!F12</f>
        <v>476.20992</v>
      </c>
      <c r="D33" s="80" t="n">
        <f aca="false">B33*Assumptions!$G$7</f>
        <v>70</v>
      </c>
      <c r="E33" s="80" t="n">
        <f aca="false">C33-D33*(1-Assumptions!$G$14)</f>
        <v>427.90992</v>
      </c>
      <c r="F33" s="80" t="n">
        <f aca="false">-MIN(B33,MAX(0,E33)*Assumptions!$G$8)</f>
        <v>-342.327936</v>
      </c>
      <c r="G33" s="80" t="n">
        <f aca="false">B33+F33</f>
        <v>1657.672064</v>
      </c>
      <c r="H33" s="80" t="n">
        <f aca="false">Assumptions!$G$9+MAX(0,E33+F33)</f>
        <v>885.581984</v>
      </c>
    </row>
    <row r="34" customFormat="false" ht="15" hidden="false" customHeight="true" outlineLevel="0" collapsed="false">
      <c r="A34" s="2" t="s">
        <v>82</v>
      </c>
      <c r="B34" s="80" t="n">
        <f aca="false">G33</f>
        <v>1657.672064</v>
      </c>
      <c r="C34" s="80" t="n">
        <f aca="false">Debt_FCF!G5*(1-Assumptions!$G$14)+Debt_FCF!G10+Debt_FCF!G11+Debt_FCF!G12</f>
        <v>550.34752</v>
      </c>
      <c r="D34" s="80" t="n">
        <f aca="false">B34*Assumptions!$G$7</f>
        <v>58.01852224</v>
      </c>
      <c r="E34" s="80" t="n">
        <f aca="false">C34-D34*(1-Assumptions!$G$14)</f>
        <v>510.3147396544</v>
      </c>
      <c r="F34" s="80" t="n">
        <f aca="false">-MIN(B34,MAX(0,E34)*Assumptions!$G$8)</f>
        <v>-408.25179172352</v>
      </c>
      <c r="G34" s="80" t="n">
        <f aca="false">B34+F34</f>
        <v>1249.42027227648</v>
      </c>
      <c r="H34" s="80" t="n">
        <f aca="false">H33+MAX(0,E34+F34)</f>
        <v>987.64493193088</v>
      </c>
    </row>
    <row r="35" customFormat="false" ht="15" hidden="false" customHeight="true" outlineLevel="0" collapsed="false">
      <c r="A35" s="2" t="s">
        <v>83</v>
      </c>
      <c r="B35" s="80" t="n">
        <f aca="false">G34</f>
        <v>1249.42027227648</v>
      </c>
      <c r="C35" s="80" t="n">
        <f aca="false">Debt_FCF!H5*(1-Assumptions!$G$14)+Debt_FCF!H10+Debt_FCF!H11+Debt_FCF!H12</f>
        <v>638.023851136</v>
      </c>
      <c r="D35" s="80" t="n">
        <f aca="false">B35*Assumptions!$G$7</f>
        <v>43.7297095296768</v>
      </c>
      <c r="E35" s="80" t="n">
        <f aca="false">C35-D35*(1-Assumptions!$G$14)</f>
        <v>607.850351560523</v>
      </c>
      <c r="F35" s="80" t="n">
        <f aca="false">-MIN(B35,MAX(0,E35)*Assumptions!$G$8)</f>
        <v>-486.280281248418</v>
      </c>
      <c r="G35" s="80" t="n">
        <f aca="false">B35+F35</f>
        <v>763.139991028062</v>
      </c>
      <c r="H35" s="80" t="n">
        <f aca="false">H34+MAX(0,E35+F35)</f>
        <v>1109.21500224298</v>
      </c>
    </row>
    <row r="36" customFormat="false" ht="15" hidden="false" customHeight="true" outlineLevel="0" collapsed="false">
      <c r="A36" s="2" t="s">
        <v>84</v>
      </c>
      <c r="B36" s="80" t="n">
        <f aca="false">G35</f>
        <v>763.139991028062</v>
      </c>
      <c r="C36" s="80" t="n">
        <f aca="false">Debt_FCF!I5*(1-Assumptions!$G$14)+Debt_FCF!I10+Debt_FCF!I11+Debt_FCF!I12</f>
        <v>715.55058075328</v>
      </c>
      <c r="D36" s="80" t="n">
        <f aca="false">B36*Assumptions!$G$7</f>
        <v>26.7098996859822</v>
      </c>
      <c r="E36" s="80" t="n">
        <f aca="false">C36-D36*(1-Assumptions!$G$14)</f>
        <v>697.120749969952</v>
      </c>
      <c r="F36" s="80" t="n">
        <f aca="false">-MIN(B36,MAX(0,E36)*Assumptions!$G$8)</f>
        <v>-557.696599975962</v>
      </c>
      <c r="G36" s="80" t="n">
        <f aca="false">B36+F36</f>
        <v>205.4433910521</v>
      </c>
      <c r="H36" s="80" t="n">
        <f aca="false">H35+MAX(0,E36+F36)</f>
        <v>1248.63915223698</v>
      </c>
    </row>
    <row r="37" customFormat="false" ht="15" hidden="false" customHeight="true" outlineLevel="0" collapsed="false">
      <c r="A37" s="2" t="s">
        <v>155</v>
      </c>
      <c r="B37" s="80" t="n">
        <f aca="false">G36</f>
        <v>205.4433910521</v>
      </c>
      <c r="C37" s="80" t="n">
        <f aca="false">Debt_FCF!J5*(1-Assumptions!$G$14)+Debt_FCF!J10+Debt_FCF!J11+Debt_FCF!J12</f>
        <v>799.33339934752</v>
      </c>
      <c r="D37" s="80" t="n">
        <f aca="false">B37*Assumptions!$G$7</f>
        <v>7.19051868682349</v>
      </c>
      <c r="E37" s="80" t="n">
        <f aca="false">C37-D37*(1-Assumptions!$G$14)</f>
        <v>794.371941453612</v>
      </c>
      <c r="F37" s="80" t="n">
        <f aca="false">-MIN(B37,MAX(0,E37)*Assumptions!$G$8)</f>
        <v>-205.4433910521</v>
      </c>
      <c r="G37" s="80" t="n">
        <f aca="false">B37+F37</f>
        <v>0</v>
      </c>
      <c r="H37" s="80" t="n">
        <f aca="false">H36+MAX(0,E37+F37)</f>
        <v>1837.56770263849</v>
      </c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5" hidden="false" customHeight="true" outlineLevel="0" collapsed="false">
      <c r="A40" s="69" t="s">
        <v>334</v>
      </c>
      <c r="B40" s="2"/>
      <c r="C40" s="2"/>
      <c r="D40" s="2"/>
      <c r="E40" s="2"/>
      <c r="F40" s="2"/>
      <c r="G40" s="2"/>
      <c r="H40" s="2"/>
    </row>
    <row r="41" customFormat="false" ht="30" hidden="false" customHeight="true" outlineLevel="0" collapsed="false">
      <c r="A41" s="59" t="s">
        <v>326</v>
      </c>
      <c r="B41" s="59" t="s">
        <v>327</v>
      </c>
      <c r="C41" s="59" t="s">
        <v>328</v>
      </c>
      <c r="D41" s="59" t="s">
        <v>329</v>
      </c>
      <c r="E41" s="59" t="s">
        <v>330</v>
      </c>
      <c r="F41" s="59" t="s">
        <v>331</v>
      </c>
      <c r="G41" s="59" t="s">
        <v>322</v>
      </c>
      <c r="H41" s="59" t="s">
        <v>323</v>
      </c>
    </row>
    <row r="42" customFormat="false" ht="15" hidden="false" customHeight="true" outlineLevel="0" collapsed="false">
      <c r="A42" s="2" t="s">
        <v>81</v>
      </c>
      <c r="B42" s="80" t="n">
        <f aca="false">B8</f>
        <v>2400</v>
      </c>
      <c r="C42" s="80" t="n">
        <f aca="false">Debt_FCF!F5*(1-Assumptions!$G$14)+Debt_FCF!F10+Debt_FCF!F11+Debt_FCF!F12</f>
        <v>476.20992</v>
      </c>
      <c r="D42" s="80" t="n">
        <f aca="false">B42*Assumptions!$G$7</f>
        <v>84</v>
      </c>
      <c r="E42" s="80" t="n">
        <f aca="false">C42-D42*(1-Assumptions!$G$14)</f>
        <v>418.24992</v>
      </c>
      <c r="F42" s="80" t="n">
        <f aca="false">-MIN(B42,MAX(0,E42)*Assumptions!$G$8)</f>
        <v>-334.599936</v>
      </c>
      <c r="G42" s="80" t="n">
        <f aca="false">B42+F42</f>
        <v>2065.400064</v>
      </c>
      <c r="H42" s="80" t="n">
        <f aca="false">Assumptions!$G$9+MAX(0,E42+F42)</f>
        <v>883.649984</v>
      </c>
    </row>
    <row r="43" customFormat="false" ht="15" hidden="false" customHeight="true" outlineLevel="0" collapsed="false">
      <c r="A43" s="2" t="s">
        <v>82</v>
      </c>
      <c r="B43" s="80" t="n">
        <f aca="false">G42</f>
        <v>2065.400064</v>
      </c>
      <c r="C43" s="80" t="n">
        <f aca="false">Debt_FCF!G5*(1-Assumptions!$G$14)+Debt_FCF!G10+Debt_FCF!G11+Debt_FCF!G12</f>
        <v>550.34752</v>
      </c>
      <c r="D43" s="80" t="n">
        <f aca="false">B43*Assumptions!$G$7</f>
        <v>72.28900224</v>
      </c>
      <c r="E43" s="80" t="n">
        <f aca="false">C43-D43*(1-Assumptions!$G$14)</f>
        <v>500.4681084544</v>
      </c>
      <c r="F43" s="80" t="n">
        <f aca="false">-MIN(B43,MAX(0,E43)*Assumptions!$G$8)</f>
        <v>-400.37448676352</v>
      </c>
      <c r="G43" s="80" t="n">
        <f aca="false">B43+F43</f>
        <v>1665.02557723648</v>
      </c>
      <c r="H43" s="80" t="n">
        <f aca="false">H42+MAX(0,E43+F43)</f>
        <v>983.74360569088</v>
      </c>
    </row>
    <row r="44" customFormat="false" ht="15" hidden="false" customHeight="true" outlineLevel="0" collapsed="false">
      <c r="A44" s="2" t="s">
        <v>83</v>
      </c>
      <c r="B44" s="80" t="n">
        <f aca="false">G43</f>
        <v>1665.02557723648</v>
      </c>
      <c r="C44" s="80" t="n">
        <f aca="false">Debt_FCF!H5*(1-Assumptions!$G$14)+Debt_FCF!H10+Debt_FCF!H11+Debt_FCF!H12</f>
        <v>638.023851136</v>
      </c>
      <c r="D44" s="80" t="n">
        <f aca="false">B44*Assumptions!$G$7</f>
        <v>58.2758952032768</v>
      </c>
      <c r="E44" s="80" t="n">
        <f aca="false">C44-D44*(1-Assumptions!$G$14)</f>
        <v>597.813483445739</v>
      </c>
      <c r="F44" s="80" t="n">
        <f aca="false">-MIN(B44,MAX(0,E44)*Assumptions!$G$8)</f>
        <v>-478.250786756591</v>
      </c>
      <c r="G44" s="80" t="n">
        <f aca="false">B44+F44</f>
        <v>1186.77479047989</v>
      </c>
      <c r="H44" s="80" t="n">
        <f aca="false">H43+MAX(0,E44+F44)</f>
        <v>1103.30630238003</v>
      </c>
    </row>
    <row r="45" customFormat="false" ht="15" hidden="false" customHeight="true" outlineLevel="0" collapsed="false">
      <c r="A45" s="2" t="s">
        <v>84</v>
      </c>
      <c r="B45" s="80" t="n">
        <f aca="false">G44</f>
        <v>1186.77479047989</v>
      </c>
      <c r="C45" s="80" t="n">
        <f aca="false">Debt_FCF!I5*(1-Assumptions!$G$14)+Debt_FCF!I10+Debt_FCF!I11+Debt_FCF!I12</f>
        <v>715.55058075328</v>
      </c>
      <c r="D45" s="80" t="n">
        <f aca="false">B45*Assumptions!$G$7</f>
        <v>41.5371176667961</v>
      </c>
      <c r="E45" s="80" t="n">
        <f aca="false">C45-D45*(1-Assumptions!$G$14)</f>
        <v>686.889969563191</v>
      </c>
      <c r="F45" s="80" t="n">
        <f aca="false">-MIN(B45,MAX(0,E45)*Assumptions!$G$8)</f>
        <v>-549.511975650553</v>
      </c>
      <c r="G45" s="80" t="n">
        <f aca="false">B45+F45</f>
        <v>637.262814829336</v>
      </c>
      <c r="H45" s="80" t="n">
        <f aca="false">H44+MAX(0,E45+F45)</f>
        <v>1240.68429629267</v>
      </c>
    </row>
    <row r="46" customFormat="false" ht="15" hidden="false" customHeight="true" outlineLevel="0" collapsed="false">
      <c r="A46" s="2" t="s">
        <v>155</v>
      </c>
      <c r="B46" s="80" t="n">
        <f aca="false">G45</f>
        <v>637.262814829336</v>
      </c>
      <c r="C46" s="80" t="n">
        <f aca="false">Debt_FCF!J5*(1-Assumptions!$G$14)+Debt_FCF!J10+Debt_FCF!J11+Debt_FCF!J12</f>
        <v>799.33339934752</v>
      </c>
      <c r="D46" s="80" t="n">
        <f aca="false">B46*Assumptions!$G$7</f>
        <v>22.3041985190268</v>
      </c>
      <c r="E46" s="80" t="n">
        <f aca="false">C46-D46*(1-Assumptions!$G$14)</f>
        <v>783.943502369392</v>
      </c>
      <c r="F46" s="80" t="n">
        <f aca="false">-MIN(B46,MAX(0,E46)*Assumptions!$G$8)</f>
        <v>-627.154801895513</v>
      </c>
      <c r="G46" s="80" t="n">
        <f aca="false">B46+F46</f>
        <v>10.1080129338227</v>
      </c>
      <c r="H46" s="80" t="n">
        <f aca="false">H45+MAX(0,E46+F46)</f>
        <v>1397.47299676654</v>
      </c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</row>
    <row r="49" customFormat="false" ht="15" hidden="false" customHeight="true" outlineLevel="0" collapsed="false">
      <c r="A49" s="35" t="s">
        <v>335</v>
      </c>
      <c r="B49" s="16"/>
      <c r="C49" s="16"/>
      <c r="D49" s="16"/>
      <c r="E49" s="16"/>
      <c r="F49" s="16"/>
      <c r="G49" s="16"/>
      <c r="H49" s="16"/>
    </row>
    <row r="50" customFormat="false" ht="15" hidden="false" customHeight="true" outlineLevel="0" collapsed="false">
      <c r="A50" s="65" t="s">
        <v>265</v>
      </c>
      <c r="B50" s="65" t="s">
        <v>255</v>
      </c>
      <c r="C50" s="65" t="s">
        <v>253</v>
      </c>
      <c r="D50" s="65"/>
      <c r="E50" s="65"/>
      <c r="F50" s="65"/>
      <c r="G50" s="65"/>
      <c r="H50" s="65"/>
    </row>
    <row r="51" customFormat="false" ht="15" hidden="false" customHeight="true" outlineLevel="0" collapsed="false">
      <c r="A51" s="69" t="s">
        <v>336</v>
      </c>
      <c r="B51" s="93" t="n">
        <f aca="false">E6</f>
        <v>2.16947541390704</v>
      </c>
      <c r="C51" s="107" t="n">
        <f aca="false">F6</f>
        <v>0.167537790433618</v>
      </c>
      <c r="D51" s="2"/>
      <c r="E51" s="2"/>
      <c r="F51" s="2"/>
      <c r="G51" s="2"/>
      <c r="H51" s="2"/>
    </row>
    <row r="52" customFormat="false" ht="15" hidden="false" customHeight="true" outlineLevel="0" collapsed="false">
      <c r="A52" s="2" t="s">
        <v>337</v>
      </c>
      <c r="B52" s="62" t="n">
        <f aca="false">(Returns!$C$7+H66-G66)/$C$6</f>
        <v>2.1713785768188</v>
      </c>
      <c r="C52" s="108" t="n">
        <f aca="false">B52^(1/Assumptions!$G$15)-1</f>
        <v>0.167742562086309</v>
      </c>
      <c r="D52" s="2"/>
      <c r="E52" s="2"/>
      <c r="F52" s="2"/>
      <c r="G52" s="2"/>
      <c r="H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</row>
    <row r="54" customFormat="false" ht="15" hidden="false" customHeight="true" outlineLevel="0" collapsed="false">
      <c r="A54" s="69" t="s">
        <v>338</v>
      </c>
      <c r="B54" s="93" t="n">
        <f aca="false">E6</f>
        <v>2.16947541390704</v>
      </c>
      <c r="C54" s="107" t="n">
        <f aca="false">F6</f>
        <v>0.167537790433618</v>
      </c>
      <c r="D54" s="2"/>
      <c r="E54" s="2"/>
      <c r="F54" s="2"/>
      <c r="G54" s="2"/>
      <c r="H54" s="2"/>
    </row>
    <row r="55" customFormat="false" ht="15" hidden="false" customHeight="true" outlineLevel="0" collapsed="false">
      <c r="A55" s="2" t="s">
        <v>339</v>
      </c>
      <c r="B55" s="62" t="n">
        <f aca="false">(Returns!$C$7+H74-G74)/$C$6</f>
        <v>2.16566237218306</v>
      </c>
      <c r="C55" s="108" t="n">
        <f aca="false">B55^(1/Assumptions!$G$15)-1</f>
        <v>0.167127091754572</v>
      </c>
      <c r="D55" s="2"/>
      <c r="E55" s="2"/>
      <c r="F55" s="2"/>
      <c r="G55" s="2"/>
      <c r="H55" s="2"/>
    </row>
    <row r="56" customFormat="false" ht="15" hidden="false" customHeight="true" outlineLevel="0" collapsed="false">
      <c r="A56" s="2" t="s">
        <v>340</v>
      </c>
      <c r="B56" s="62" t="n">
        <f aca="false">(Returns!$C$7+H82-G82)/$C$6</f>
        <v>2.16176500707708</v>
      </c>
      <c r="C56" s="108" t="n">
        <f aca="false">B56^(1/Assumptions!$G$15)-1</f>
        <v>0.166706712439319</v>
      </c>
      <c r="D56" s="2"/>
      <c r="E56" s="2"/>
      <c r="F56" s="2"/>
      <c r="G56" s="2"/>
      <c r="H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</row>
    <row r="58" customFormat="false" ht="15" hidden="false" customHeight="true" outlineLevel="0" collapsed="false">
      <c r="A58" s="42" t="s">
        <v>341</v>
      </c>
      <c r="B58" s="2"/>
      <c r="C58" s="2"/>
      <c r="D58" s="2"/>
      <c r="E58" s="2"/>
      <c r="F58" s="2"/>
      <c r="G58" s="2"/>
      <c r="H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</row>
    <row r="60" customFormat="false" ht="15" hidden="false" customHeight="true" outlineLevel="0" collapsed="false">
      <c r="A60" s="69" t="s">
        <v>342</v>
      </c>
      <c r="B60" s="2"/>
      <c r="C60" s="2"/>
      <c r="D60" s="2" t="n">
        <v>1</v>
      </c>
      <c r="E60" s="2"/>
      <c r="F60" s="2"/>
      <c r="G60" s="2"/>
      <c r="H60" s="2"/>
    </row>
    <row r="61" customFormat="false" ht="15" hidden="false" customHeight="true" outlineLevel="0" collapsed="false">
      <c r="A61" s="65" t="s">
        <v>326</v>
      </c>
      <c r="B61" s="65" t="s">
        <v>327</v>
      </c>
      <c r="C61" s="65" t="s">
        <v>328</v>
      </c>
      <c r="D61" s="65" t="s">
        <v>329</v>
      </c>
      <c r="E61" s="65" t="s">
        <v>330</v>
      </c>
      <c r="F61" s="65" t="s">
        <v>331</v>
      </c>
      <c r="G61" s="65" t="s">
        <v>322</v>
      </c>
      <c r="H61" s="65" t="s">
        <v>323</v>
      </c>
    </row>
    <row r="62" customFormat="false" ht="15" hidden="false" customHeight="true" outlineLevel="0" collapsed="false">
      <c r="A62" s="2" t="s">
        <v>81</v>
      </c>
      <c r="B62" s="80" t="n">
        <f aca="false">$B$6</f>
        <v>1600</v>
      </c>
      <c r="C62" s="2" t="n">
        <f aca="false">Debt_FCF!F5*(1-Assumptions!$G$14)+Debt_FCF!F10+Debt_FCF!F11+Debt_FCF!F12</f>
        <v>476.20992</v>
      </c>
      <c r="D62" s="2" t="n">
        <f aca="false">B62*Assumptions!$G$7</f>
        <v>56</v>
      </c>
      <c r="E62" s="2" t="n">
        <f aca="false">C62-D62*(1-Assumptions!$G$14)</f>
        <v>437.56992</v>
      </c>
      <c r="F62" s="2" t="n">
        <f aca="false">-MIN(B62,MAX(0,E62)*$D$60)</f>
        <v>-437.56992</v>
      </c>
      <c r="G62" s="2" t="n">
        <f aca="false">B62+F62</f>
        <v>1162.43008</v>
      </c>
      <c r="H62" s="2" t="n">
        <f aca="false">Assumptions!$G$9+MAX(0,E62+F62)</f>
        <v>800</v>
      </c>
    </row>
    <row r="63" customFormat="false" ht="15" hidden="false" customHeight="true" outlineLevel="0" collapsed="false">
      <c r="A63" s="2" t="s">
        <v>82</v>
      </c>
      <c r="B63" s="2" t="n">
        <f aca="false">G62</f>
        <v>1162.43008</v>
      </c>
      <c r="C63" s="2" t="n">
        <f aca="false">Debt_FCF!G5*(1-Assumptions!$G$14)+Debt_FCF!G10+Debt_FCF!G11+Debt_FCF!G12</f>
        <v>550.34752</v>
      </c>
      <c r="D63" s="2" t="n">
        <f aca="false">B63*Assumptions!$G$7</f>
        <v>40.6850528</v>
      </c>
      <c r="E63" s="2" t="n">
        <f aca="false">C63-D63*(1-Assumptions!$G$14)</f>
        <v>522.274833568</v>
      </c>
      <c r="F63" s="2" t="n">
        <f aca="false">-MIN(B63,MAX(0,E63)*$D$60)</f>
        <v>-522.274833568</v>
      </c>
      <c r="G63" s="2" t="n">
        <f aca="false">B63+F63</f>
        <v>640.155246432</v>
      </c>
      <c r="H63" s="2" t="n">
        <f aca="false">H62+MAX(0,E63+F63)</f>
        <v>800</v>
      </c>
    </row>
    <row r="64" customFormat="false" ht="15" hidden="false" customHeight="true" outlineLevel="0" collapsed="false">
      <c r="A64" s="2" t="s">
        <v>83</v>
      </c>
      <c r="B64" s="2" t="n">
        <f aca="false">G63</f>
        <v>640.155246432</v>
      </c>
      <c r="C64" s="2" t="n">
        <f aca="false">Debt_FCF!H5*(1-Assumptions!$G$14)+Debt_FCF!H10+Debt_FCF!H11+Debt_FCF!H12</f>
        <v>638.023851136</v>
      </c>
      <c r="D64" s="2" t="n">
        <f aca="false">B64*Assumptions!$G$7</f>
        <v>22.40543362512</v>
      </c>
      <c r="E64" s="2" t="n">
        <f aca="false">C64-D64*(1-Assumptions!$G$14)</f>
        <v>622.564101934667</v>
      </c>
      <c r="F64" s="2" t="n">
        <f aca="false">-MIN(B64,MAX(0,E64)*$D$60)</f>
        <v>-622.564101934667</v>
      </c>
      <c r="G64" s="2" t="n">
        <f aca="false">B64+F64</f>
        <v>17.5911444973328</v>
      </c>
      <c r="H64" s="2" t="n">
        <f aca="false">H63+MAX(0,E64+F64)</f>
        <v>800</v>
      </c>
    </row>
    <row r="65" customFormat="false" ht="15" hidden="false" customHeight="true" outlineLevel="0" collapsed="false">
      <c r="A65" s="2" t="s">
        <v>84</v>
      </c>
      <c r="B65" s="2" t="n">
        <f aca="false">G64</f>
        <v>17.5911444973328</v>
      </c>
      <c r="C65" s="2" t="n">
        <f aca="false">Debt_FCF!I5*(1-Assumptions!$G$14)+Debt_FCF!I10+Debt_FCF!I11+Debt_FCF!I12</f>
        <v>715.55058075328</v>
      </c>
      <c r="D65" s="2" t="n">
        <f aca="false">B65*Assumptions!$G$7</f>
        <v>0.615690057406649</v>
      </c>
      <c r="E65" s="2" t="n">
        <f aca="false">C65-D65*(1-Assumptions!$G$14)</f>
        <v>715.12575461367</v>
      </c>
      <c r="F65" s="2" t="n">
        <f aca="false">-MIN(B65,MAX(0,E65)*$D$60)</f>
        <v>-17.5911444973328</v>
      </c>
      <c r="G65" s="2" t="n">
        <f aca="false">B65+F65</f>
        <v>0</v>
      </c>
      <c r="H65" s="2" t="n">
        <f aca="false">H64+MAX(0,E65+F65)</f>
        <v>1497.53461011634</v>
      </c>
    </row>
    <row r="66" customFormat="false" ht="15" hidden="false" customHeight="true" outlineLevel="0" collapsed="false">
      <c r="A66" s="2" t="s">
        <v>155</v>
      </c>
      <c r="B66" s="2" t="n">
        <f aca="false">G65</f>
        <v>0</v>
      </c>
      <c r="C66" s="2" t="n">
        <f aca="false">Debt_FCF!J5*(1-Assumptions!$G$14)+Debt_FCF!J10+Debt_FCF!J11+Debt_FCF!J12</f>
        <v>799.33339934752</v>
      </c>
      <c r="D66" s="2" t="n">
        <f aca="false">B66*Assumptions!$G$7</f>
        <v>0</v>
      </c>
      <c r="E66" s="2" t="n">
        <f aca="false">C66-D66*(1-Assumptions!$G$14)</f>
        <v>799.33339934752</v>
      </c>
      <c r="F66" s="2" t="n">
        <f aca="false">-MIN(B66,MAX(0,E66)*$D$60)</f>
        <v>-0</v>
      </c>
      <c r="G66" s="2" t="n">
        <f aca="false">B66+F66</f>
        <v>0</v>
      </c>
      <c r="H66" s="2" t="n">
        <f aca="false">H65+MAX(0,E66+F66)</f>
        <v>2296.86800946386</v>
      </c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</row>
    <row r="68" customFormat="false" ht="15" hidden="false" customHeight="true" outlineLevel="0" collapsed="false">
      <c r="A68" s="69" t="s">
        <v>343</v>
      </c>
      <c r="B68" s="2"/>
      <c r="C68" s="2"/>
      <c r="D68" s="2" t="n">
        <v>0.045</v>
      </c>
      <c r="E68" s="2"/>
      <c r="F68" s="2"/>
      <c r="G68" s="2"/>
      <c r="H68" s="2"/>
    </row>
    <row r="69" customFormat="false" ht="15" hidden="false" customHeight="true" outlineLevel="0" collapsed="false">
      <c r="A69" s="65" t="s">
        <v>326</v>
      </c>
      <c r="B69" s="65" t="s">
        <v>327</v>
      </c>
      <c r="C69" s="65" t="s">
        <v>328</v>
      </c>
      <c r="D69" s="65" t="s">
        <v>329</v>
      </c>
      <c r="E69" s="65" t="s">
        <v>330</v>
      </c>
      <c r="F69" s="65" t="s">
        <v>331</v>
      </c>
      <c r="G69" s="65" t="s">
        <v>322</v>
      </c>
      <c r="H69" s="65" t="s">
        <v>323</v>
      </c>
    </row>
    <row r="70" customFormat="false" ht="15" hidden="false" customHeight="true" outlineLevel="0" collapsed="false">
      <c r="A70" s="2" t="s">
        <v>81</v>
      </c>
      <c r="B70" s="80" t="n">
        <f aca="false">$B$6</f>
        <v>1600</v>
      </c>
      <c r="C70" s="2" t="n">
        <f aca="false">Debt_FCF!F5*(1-Assumptions!$G$14)+Debt_FCF!F10+Debt_FCF!F11+Debt_FCF!F12</f>
        <v>476.20992</v>
      </c>
      <c r="D70" s="2" t="n">
        <f aca="false">B70*$D$68</f>
        <v>72</v>
      </c>
      <c r="E70" s="2" t="n">
        <f aca="false">C70-D70*(1-Assumptions!$G$14)</f>
        <v>426.52992</v>
      </c>
      <c r="F70" s="2" t="n">
        <f aca="false">-MIN(B70,MAX(0,E70)*Assumptions!$G$8)</f>
        <v>-341.223936</v>
      </c>
      <c r="G70" s="2" t="n">
        <f aca="false">B70+F70</f>
        <v>1258.776064</v>
      </c>
      <c r="H70" s="2" t="n">
        <f aca="false">Assumptions!$G$9+MAX(0,E70+F70)</f>
        <v>885.305984</v>
      </c>
    </row>
    <row r="71" customFormat="false" ht="15" hidden="false" customHeight="true" outlineLevel="0" collapsed="false">
      <c r="A71" s="2" t="s">
        <v>82</v>
      </c>
      <c r="B71" s="2" t="n">
        <f aca="false">G70</f>
        <v>1258.776064</v>
      </c>
      <c r="C71" s="2" t="n">
        <f aca="false">Debt_FCF!G5*(1-Assumptions!$G$14)+Debt_FCF!G10+Debt_FCF!G11+Debt_FCF!G12</f>
        <v>550.34752</v>
      </c>
      <c r="D71" s="2" t="n">
        <f aca="false">B71*$D$68</f>
        <v>56.64492288</v>
      </c>
      <c r="E71" s="2" t="n">
        <f aca="false">C71-D71*(1-Assumptions!$G$14)</f>
        <v>511.2625232128</v>
      </c>
      <c r="F71" s="2" t="n">
        <f aca="false">-MIN(B71,MAX(0,E71)*Assumptions!$G$8)</f>
        <v>-409.01001857024</v>
      </c>
      <c r="G71" s="2" t="n">
        <f aca="false">B71+F71</f>
        <v>849.76604542976</v>
      </c>
      <c r="H71" s="2" t="n">
        <f aca="false">H70+MAX(0,E71+F71)</f>
        <v>987.55848864256</v>
      </c>
    </row>
    <row r="72" customFormat="false" ht="15" hidden="false" customHeight="true" outlineLevel="0" collapsed="false">
      <c r="A72" s="2" t="s">
        <v>83</v>
      </c>
      <c r="B72" s="2" t="n">
        <f aca="false">G71</f>
        <v>849.76604542976</v>
      </c>
      <c r="C72" s="2" t="n">
        <f aca="false">Debt_FCF!H5*(1-Assumptions!$G$14)+Debt_FCF!H10+Debt_FCF!H11+Debt_FCF!H12</f>
        <v>638.023851136</v>
      </c>
      <c r="D72" s="2" t="n">
        <f aca="false">B72*$D$68</f>
        <v>38.2394720443392</v>
      </c>
      <c r="E72" s="2" t="n">
        <f aca="false">C72-D72*(1-Assumptions!$G$14)</f>
        <v>611.638615425406</v>
      </c>
      <c r="F72" s="2" t="n">
        <f aca="false">-MIN(B72,MAX(0,E72)*Assumptions!$G$8)</f>
        <v>-489.310892340325</v>
      </c>
      <c r="G72" s="2" t="n">
        <f aca="false">B72+F72</f>
        <v>360.455153089435</v>
      </c>
      <c r="H72" s="2" t="n">
        <f aca="false">H71+MAX(0,E72+F72)</f>
        <v>1109.88621172764</v>
      </c>
    </row>
    <row r="73" customFormat="false" ht="15" hidden="false" customHeight="true" outlineLevel="0" collapsed="false">
      <c r="A73" s="2" t="s">
        <v>84</v>
      </c>
      <c r="B73" s="2" t="n">
        <f aca="false">G72</f>
        <v>360.455153089435</v>
      </c>
      <c r="C73" s="2" t="n">
        <f aca="false">Debt_FCF!I5*(1-Assumptions!$G$14)+Debt_FCF!I10+Debt_FCF!I11+Debt_FCF!I12</f>
        <v>715.55058075328</v>
      </c>
      <c r="D73" s="2" t="n">
        <f aca="false">B73*$D$68</f>
        <v>16.2204818890246</v>
      </c>
      <c r="E73" s="2" t="n">
        <f aca="false">C73-D73*(1-Assumptions!$G$14)</f>
        <v>704.358448249853</v>
      </c>
      <c r="F73" s="2" t="n">
        <f aca="false">-MIN(B73,MAX(0,E73)*Assumptions!$G$8)</f>
        <v>-360.455153089435</v>
      </c>
      <c r="G73" s="2" t="n">
        <f aca="false">B73+F73</f>
        <v>0</v>
      </c>
      <c r="H73" s="2" t="n">
        <f aca="false">H72+MAX(0,E73+F73)</f>
        <v>1453.78950688806</v>
      </c>
    </row>
    <row r="74" customFormat="false" ht="15" hidden="false" customHeight="true" outlineLevel="0" collapsed="false">
      <c r="A74" s="2" t="s">
        <v>155</v>
      </c>
      <c r="B74" s="2" t="n">
        <f aca="false">G73</f>
        <v>0</v>
      </c>
      <c r="C74" s="2" t="n">
        <f aca="false">Debt_FCF!J5*(1-Assumptions!$G$14)+Debt_FCF!J10+Debt_FCF!J11+Debt_FCF!J12</f>
        <v>799.33339934752</v>
      </c>
      <c r="D74" s="2" t="n">
        <f aca="false">B74*$D$68</f>
        <v>0</v>
      </c>
      <c r="E74" s="2" t="n">
        <f aca="false">C74-D74*(1-Assumptions!$G$14)</f>
        <v>799.33339934752</v>
      </c>
      <c r="F74" s="2" t="n">
        <f aca="false">-MIN(B74,MAX(0,E74)*Assumptions!$G$8)</f>
        <v>-0</v>
      </c>
      <c r="G74" s="2" t="n">
        <f aca="false">B74+F74</f>
        <v>0</v>
      </c>
      <c r="H74" s="2" t="n">
        <f aca="false">H73+MAX(0,E74+F74)</f>
        <v>2253.12290623558</v>
      </c>
    </row>
    <row r="75" customFormat="false" ht="15" hidden="false" customHeight="true" outlineLevel="0" collapsed="false">
      <c r="A75" s="2"/>
      <c r="B75" s="2"/>
      <c r="C75" s="2"/>
      <c r="D75" s="2"/>
      <c r="E75" s="2"/>
      <c r="F75" s="2"/>
      <c r="G75" s="2"/>
      <c r="H75" s="2"/>
    </row>
    <row r="76" customFormat="false" ht="15" hidden="false" customHeight="true" outlineLevel="0" collapsed="false">
      <c r="A76" s="69" t="s">
        <v>344</v>
      </c>
      <c r="B76" s="2"/>
      <c r="C76" s="2"/>
      <c r="D76" s="2" t="n">
        <v>0.055</v>
      </c>
      <c r="E76" s="2"/>
      <c r="F76" s="2"/>
      <c r="G76" s="2"/>
      <c r="H76" s="2"/>
    </row>
    <row r="77" customFormat="false" ht="15" hidden="false" customHeight="true" outlineLevel="0" collapsed="false">
      <c r="A77" s="65" t="s">
        <v>326</v>
      </c>
      <c r="B77" s="65" t="s">
        <v>327</v>
      </c>
      <c r="C77" s="65" t="s">
        <v>328</v>
      </c>
      <c r="D77" s="65" t="s">
        <v>329</v>
      </c>
      <c r="E77" s="65" t="s">
        <v>330</v>
      </c>
      <c r="F77" s="65" t="s">
        <v>331</v>
      </c>
      <c r="G77" s="65" t="s">
        <v>322</v>
      </c>
      <c r="H77" s="65" t="s">
        <v>323</v>
      </c>
    </row>
    <row r="78" customFormat="false" ht="15" hidden="false" customHeight="true" outlineLevel="0" collapsed="false">
      <c r="A78" s="2" t="s">
        <v>81</v>
      </c>
      <c r="B78" s="80" t="n">
        <f aca="false">$B$6</f>
        <v>1600</v>
      </c>
      <c r="C78" s="2" t="n">
        <f aca="false">Debt_FCF!F5*(1-Assumptions!$G$14)+Debt_FCF!F10+Debt_FCF!F11+Debt_FCF!F12</f>
        <v>476.20992</v>
      </c>
      <c r="D78" s="2" t="n">
        <f aca="false">B78*$D$76</f>
        <v>88</v>
      </c>
      <c r="E78" s="2" t="n">
        <f aca="false">C78-D78*(1-Assumptions!$G$14)</f>
        <v>415.48992</v>
      </c>
      <c r="F78" s="2" t="n">
        <f aca="false">-MIN(B78,MAX(0,E78)*Assumptions!$G$8)</f>
        <v>-332.391936</v>
      </c>
      <c r="G78" s="2" t="n">
        <f aca="false">B78+F78</f>
        <v>1267.608064</v>
      </c>
      <c r="H78" s="2" t="n">
        <f aca="false">Assumptions!$G$9+MAX(0,E78+F78)</f>
        <v>883.097984</v>
      </c>
    </row>
    <row r="79" customFormat="false" ht="15" hidden="false" customHeight="true" outlineLevel="0" collapsed="false">
      <c r="A79" s="2" t="s">
        <v>82</v>
      </c>
      <c r="B79" s="2" t="n">
        <f aca="false">G78</f>
        <v>1267.608064</v>
      </c>
      <c r="C79" s="2" t="n">
        <f aca="false">Debt_FCF!G5*(1-Assumptions!$G$14)+Debt_FCF!G10+Debt_FCF!G11+Debt_FCF!G12</f>
        <v>550.34752</v>
      </c>
      <c r="D79" s="2" t="n">
        <f aca="false">B79*$D$76</f>
        <v>69.71844352</v>
      </c>
      <c r="E79" s="2" t="n">
        <f aca="false">C79-D79*(1-Assumptions!$G$14)</f>
        <v>502.2417939712</v>
      </c>
      <c r="F79" s="2" t="n">
        <f aca="false">-MIN(B79,MAX(0,E79)*Assumptions!$G$8)</f>
        <v>-401.79343517696</v>
      </c>
      <c r="G79" s="2" t="n">
        <f aca="false">B79+F79</f>
        <v>865.81462882304</v>
      </c>
      <c r="H79" s="2" t="n">
        <f aca="false">H78+MAX(0,E79+F79)</f>
        <v>983.54634279424</v>
      </c>
    </row>
    <row r="80" customFormat="false" ht="15" hidden="false" customHeight="true" outlineLevel="0" collapsed="false">
      <c r="A80" s="2" t="s">
        <v>83</v>
      </c>
      <c r="B80" s="2" t="n">
        <f aca="false">G79</f>
        <v>865.81462882304</v>
      </c>
      <c r="C80" s="2" t="n">
        <f aca="false">Debt_FCF!H5*(1-Assumptions!$G$14)+Debt_FCF!H10+Debt_FCF!H11+Debt_FCF!H12</f>
        <v>638.023851136</v>
      </c>
      <c r="D80" s="2" t="n">
        <f aca="false">B80*$D$76</f>
        <v>47.6198045852672</v>
      </c>
      <c r="E80" s="2" t="n">
        <f aca="false">C80-D80*(1-Assumptions!$G$14)</f>
        <v>605.166185972166</v>
      </c>
      <c r="F80" s="2" t="n">
        <f aca="false">-MIN(B80,MAX(0,E80)*Assumptions!$G$8)</f>
        <v>-484.132948777733</v>
      </c>
      <c r="G80" s="2" t="n">
        <f aca="false">B80+F80</f>
        <v>381.681680045308</v>
      </c>
      <c r="H80" s="2" t="n">
        <f aca="false">H79+MAX(0,E80+F80)</f>
        <v>1104.57957998867</v>
      </c>
    </row>
    <row r="81" customFormat="false" ht="15" hidden="false" customHeight="true" outlineLevel="0" collapsed="false">
      <c r="A81" s="2" t="s">
        <v>84</v>
      </c>
      <c r="B81" s="2" t="n">
        <f aca="false">G80</f>
        <v>381.681680045308</v>
      </c>
      <c r="C81" s="2" t="n">
        <f aca="false">Debt_FCF!I5*(1-Assumptions!$G$14)+Debt_FCF!I10+Debt_FCF!I11+Debt_FCF!I12</f>
        <v>715.55058075328</v>
      </c>
      <c r="D81" s="2" t="n">
        <f aca="false">B81*$D$76</f>
        <v>20.9924924024919</v>
      </c>
      <c r="E81" s="2" t="n">
        <f aca="false">C81-D81*(1-Assumptions!$G$14)</f>
        <v>701.065760995561</v>
      </c>
      <c r="F81" s="2" t="n">
        <f aca="false">-MIN(B81,MAX(0,E81)*Assumptions!$G$8)</f>
        <v>-381.681680045308</v>
      </c>
      <c r="G81" s="2" t="n">
        <f aca="false">B81+F81</f>
        <v>0</v>
      </c>
      <c r="H81" s="2" t="n">
        <f aca="false">H80+MAX(0,E81+F81)</f>
        <v>1423.96366093893</v>
      </c>
    </row>
    <row r="82" customFormat="false" ht="15" hidden="false" customHeight="true" outlineLevel="0" collapsed="false">
      <c r="A82" s="2" t="s">
        <v>155</v>
      </c>
      <c r="B82" s="2" t="n">
        <f aca="false">G81</f>
        <v>0</v>
      </c>
      <c r="C82" s="2" t="n">
        <f aca="false">Debt_FCF!J5*(1-Assumptions!$G$14)+Debt_FCF!J10+Debt_FCF!J11+Debt_FCF!J12</f>
        <v>799.33339934752</v>
      </c>
      <c r="D82" s="2" t="n">
        <f aca="false">B82*$D$76</f>
        <v>0</v>
      </c>
      <c r="E82" s="2" t="n">
        <f aca="false">C82-D82*(1-Assumptions!$G$14)</f>
        <v>799.33339934752</v>
      </c>
      <c r="F82" s="2" t="n">
        <f aca="false">-MIN(B82,MAX(0,E82)*Assumptions!$G$8)</f>
        <v>-0</v>
      </c>
      <c r="G82" s="2" t="n">
        <f aca="false">B82+F82</f>
        <v>0</v>
      </c>
      <c r="H82" s="2" t="n">
        <f aca="false">H81+MAX(0,E82+F82)</f>
        <v>2223.29706028645</v>
      </c>
    </row>
  </sheetData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2026-06-07T12:24:47Z</dcterms:created>
  <dc:creator>Investment Team</dc:creator>
  <dc:description/>
  <dc:language>en-US</dc:language>
  <cp:lastModifiedBy/>
  <dcterms:modified xsi:type="dcterms:W3CDTF">2026-06-11T11:40:20Z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