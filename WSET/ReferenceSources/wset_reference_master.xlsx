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b1957c262f34daf" /></Relationships>
</file>

<file path=xl/workbook.xml><?xml version="1.0" encoding="utf-8"?>
<x:workbook xmlns:x="http://schemas.openxmlformats.org/spreadsheetml/2006/main">
  <x:sheets>
    <x:sheet xmlns:r="http://schemas.openxmlformats.org/officeDocument/2006/relationships" name="README" sheetId="1" r:id="R8c537e2b47c648a4"/>
    <x:sheet xmlns:r="http://schemas.openxmlformats.org/officeDocument/2006/relationships" name="用語" sheetId="2" r:id="Re72f622db92045a7"/>
    <x:sheet xmlns:r="http://schemas.openxmlformats.org/officeDocument/2006/relationships" name="別名" sheetId="3" r:id="Rde00448dff5f42d8"/>
    <x:sheet xmlns:r="http://schemas.openxmlformats.org/officeDocument/2006/relationships" name="格付け制度" sheetId="4" r:id="R0ae971d12b184c60"/>
    <x:sheet xmlns:r="http://schemas.openxmlformats.org/officeDocument/2006/relationships" name="格付け項目" sheetId="5" r:id="R6d4915045e0c48ab"/>
    <x:sheet xmlns:r="http://schemas.openxmlformats.org/officeDocument/2006/relationships" name="情報源" sheetId="6" r:id="R936c94eaff3c4b32"/>
    <x:sheet xmlns:r="http://schemas.openxmlformats.org/officeDocument/2006/relationships" name="ラベル定義" sheetId="7" r:id="R6db8392a2de3447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b/>
      <x:sz val="11"/>
      <x:color rgb="FFFFFFFF"/>
      <x:name val="Carlito"/>
    </x:font>
    <x:font>
      <x:sz val="11"/>
      <x:color rgb="FF262626"/>
      <x:name val="Carlito"/>
    </x:font>
    <x:font>
      <x:b/>
      <x:sz val="18"/>
      <x:color rgb="FFFFFFFF"/>
      <x:name val="Carlito"/>
    </x:font>
    <x:font>
      <x:b/>
      <x:sz val="11"/>
      <x:color rgb="FF262626"/>
      <x:name val="Carlito"/>
    </x:font>
    <x:font>
      <x:sz val="10"/>
      <x:color rgb="FF1F2937"/>
      <x:name val="Aptos"/>
    </x:font>
  </x:fonts>
  <x:fills count="6">
    <x:fill>
      <x:patternFill patternType="none"/>
    </x:fill>
    <x:fill>
      <x:patternFill patternType="gray125"/>
    </x:fill>
    <x:fill>
      <x:patternFill patternType="solid">
        <x:fgColor rgb="FF7A1631"/>
      </x:patternFill>
    </x:fill>
    <x:fill>
      <x:patternFill patternType="solid">
        <x:fgColor rgb="FFF6EBCF"/>
      </x:patternFill>
    </x:fill>
    <x:fill>
      <x:patternFill patternType="solid">
        <x:fgColor rgb="FFD9EEF7"/>
      </x:patternFill>
    </x:fill>
    <x:fill>
      <x:patternFill patternType="solid">
        <x:fgColor rgb="FFFFFFFF"/>
      </x:patternFill>
    </x:fill>
  </x:fills>
  <x:borders count="15">
    <x:border/>
    <x:border>
      <x:bottom style="double">
        <x:color rgb="FFD6B25E"/>
      </x:bottom>
    </x:border>
    <x:border>
      <x:bottom style="thin">
        <x:color rgb="FFD8D8D8"/>
      </x:bottom>
    </x:border>
    <x:border>
      <x:top style="thin">
        <x:color rgb="FFD8D8D8"/>
      </x:top>
      <x:bottom style="thin">
        <x:color rgb="FFD8D8D8"/>
      </x:bottom>
    </x:border>
    <x:border>
      <x:top style="thin">
        <x:color rgb="FFD8D8D8"/>
      </x:top>
    </x:border>
    <x:border>
      <x:left style="thin">
        <x:color rgb="FFD8D8D8"/>
      </x:left>
      <x:right style="thin">
        <x:color rgb="FFD8D8D8"/>
      </x:right>
      <x:top style="thin">
        <x:color rgb="FFD8D8D8"/>
      </x:top>
      <x:bottom style="thin">
        <x:color rgb="FFD8D8D8"/>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4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4" fillId="3" borderId="5" xfId="0" applyNumberFormat="1" applyFont="1" applyFill="1" applyBorder="1"/>
    <x:xf numFmtId="0" fontId="0" fillId="0" borderId="5" xfId="0" applyNumberFormat="1" applyFont="1" applyFill="1" applyBorder="1"/>
    <x:xf numFmtId="200" fontId="0" fillId="0" borderId="5"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5" fillId="0"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0" borderId="14" xfId="0" applyNumberFormat="1" applyFont="1" applyFill="1" applyBorder="1" applyAlignment="1">
      <x:alignment vertical="top" wrapText="1"/>
    </x:xf>
    <x:xf numFmtId="0" fontId="5" fillId="4" borderId="6" xfId="0" applyNumberFormat="1" applyFont="1" applyFill="1" applyBorder="1" applyAlignment="1">
      <x:alignment vertical="top" wrapText="1"/>
    </x:xf>
    <x:xf numFmtId="0" fontId="5" fillId="4" borderId="7" xfId="0" applyNumberFormat="1" applyFont="1" applyFill="1" applyBorder="1" applyAlignment="1">
      <x:alignment vertical="top" wrapText="1"/>
    </x:xf>
    <x:xf numFmtId="0" fontId="5" fillId="4" borderId="8"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5" borderId="11" xfId="0" applyNumberFormat="1" applyFont="1" applyFill="1" applyBorder="1" applyAlignment="1">
      <x:alignment vertical="top" wrapText="1"/>
    </x:xf>
    <x:xf numFmtId="0" fontId="5" fillId="4" borderId="9" xfId="0" applyNumberFormat="1" applyFont="1" applyFill="1" applyBorder="1" applyAlignment="1">
      <x:alignment vertical="top" wrapText="1"/>
    </x:xf>
    <x:xf numFmtId="0" fontId="5" fillId="4" borderId="10" xfId="0" applyNumberFormat="1" applyFont="1" applyFill="1" applyBorder="1" applyAlignment="1">
      <x:alignment vertical="top" wrapText="1"/>
    </x:xf>
    <x:xf numFmtId="0" fontId="5" fillId="4" borderId="11" xfId="0" applyNumberFormat="1" applyFont="1" applyFill="1" applyBorder="1" applyAlignment="1">
      <x:alignment vertical="top" wrapText="1"/>
    </x:xf>
    <x:xf numFmtId="0" fontId="5" fillId="4" borderId="12" xfId="0" applyNumberFormat="1" applyFont="1" applyFill="1" applyBorder="1" applyAlignment="1">
      <x:alignment vertical="top" wrapText="1"/>
    </x:xf>
    <x:xf numFmtId="0" fontId="5" fillId="4" borderId="13" xfId="0" applyNumberFormat="1" applyFont="1" applyFill="1" applyBorder="1" applyAlignment="1">
      <x:alignment vertical="top" wrapText="1"/>
    </x:xf>
    <x:xf numFmtId="0" fontId="5" fillId="4" borderId="1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410ababd6504ede" /><Relationship Type="http://schemas.openxmlformats.org/officeDocument/2006/relationships/theme" Target="/xl/theme/theme1.xml" Id="R76963a67a35f4af0" /><Relationship Type="http://schemas.openxmlformats.org/officeDocument/2006/relationships/sharedStrings" Target="/xl/sharedStrings.xml" Id="R74023294bf724c99" /><Relationship Type="http://schemas.openxmlformats.org/officeDocument/2006/relationships/worksheet" Target="/xl/worksheets/sheet1.xml" Id="R8c537e2b47c648a4" /><Relationship Type="http://schemas.openxmlformats.org/officeDocument/2006/relationships/worksheet" Target="/xl/worksheets/sheet2.xml" Id="Re72f622db92045a7" /><Relationship Type="http://schemas.openxmlformats.org/officeDocument/2006/relationships/worksheet" Target="/xl/worksheets/sheet3.xml" Id="Rde00448dff5f42d8" /><Relationship Type="http://schemas.openxmlformats.org/officeDocument/2006/relationships/worksheet" Target="/xl/worksheets/sheet4.xml" Id="R0ae971d12b184c60" /><Relationship Type="http://schemas.openxmlformats.org/officeDocument/2006/relationships/worksheet" Target="/xl/worksheets/sheet5.xml" Id="R6d4915045e0c48ab" /><Relationship Type="http://schemas.openxmlformats.org/officeDocument/2006/relationships/worksheet" Target="/xl/worksheets/sheet6.xml" Id="R936c94eaff3c4b32" /><Relationship Type="http://schemas.openxmlformats.org/officeDocument/2006/relationships/worksheet" Target="/xl/worksheets/sheet7.xml" Id="R6db8392a2de3447a" /></Relationships>
</file>

<file path=xl/tables/table1.xml><?xml version="1.0" encoding="utf-8"?>
<x:table xmlns:x="http://schemas.openxmlformats.org/spreadsheetml/2006/main" id="1" name="GlossaryTerms" displayName="GlossaryTerms" ref="A1:O681" headerRowCount="1" totalsRowCount="0" totalsRowShown="0">
  <x:autoFilter ref="A1:O681"/>
  <x:tableColumns count="15">
    <x:tableColumn id="1" name="term_id"/>
    <x:tableColumn id="2" name="日本語"/>
    <x:tableColumn id="3" name="English"/>
    <x:tableColumn id="4" name="Français"/>
    <x:tableColumn id="5" name="読み"/>
    <x:tableColumn id="6" name="種別"/>
    <x:tableColumn id="7" name="概要"/>
    <x:tableColumn id="8" name="詳細"/>
    <x:tableColumn id="9" name="国"/>
    <x:tableColumn id="10" name="産地"/>
    <x:tableColumn id="11" name="ラベル"/>
    <x:tableColumn id="12" name="関連用語IDs"/>
    <x:tableColumn id="13" name="source_id"/>
    <x:tableColumn id="14" name="確認日"/>
    <x:tableColumn id="15" name="公開"/>
  </x:tableColumns>
  <x:tableStyleInfo name="TableStyleMedium2" showFirstColumn="0" showLastColumn="0" showRowStripes="1" showColumnStripes="0"/>
</x:table>
</file>

<file path=xl/tables/table2.xml><?xml version="1.0" encoding="utf-8"?>
<x:table xmlns:x="http://schemas.openxmlformats.org/spreadsheetml/2006/main" id="2" name="GlossaryAliases" displayName="GlossaryAliases" ref="A1:E225" headerRowCount="1" totalsRowCount="0" totalsRowShown="0">
  <x:autoFilter ref="A1:E225"/>
  <x:tableColumns count="5">
    <x:tableColumn id="1" name="alias_id"/>
    <x:tableColumn id="2" name="term_id"/>
    <x:tableColumn id="3" name="表記"/>
    <x:tableColumn id="4" name="言語"/>
    <x:tableColumn id="5" name="別名種別"/>
  </x:tableColumns>
  <x:tableStyleInfo name="TableStyleMedium2" showFirstColumn="0" showLastColumn="0" showRowStripes="1" showColumnStripes="0"/>
</x:table>
</file>

<file path=xl/tables/table3.xml><?xml version="1.0" encoding="utf-8"?>
<x:table xmlns:x="http://schemas.openxmlformats.org/spreadsheetml/2006/main" id="3" name="ClassificationSystems" displayName="ClassificationSystems" ref="A1:H7" headerRowCount="1" totalsRowCount="0" totalsRowShown="0">
  <x:autoFilter ref="A1:H7"/>
  <x:tableColumns count="8">
    <x:tableColumn id="1" name="system_id"/>
    <x:tableColumn id="2" name="地域"/>
    <x:tableColumn id="3" name="日本語名"/>
    <x:tableColumn id="4" name="English"/>
    <x:tableColumn id="5" name="Français"/>
    <x:tableColumn id="6" name="概要"/>
    <x:tableColumn id="7" name="基準日"/>
    <x:tableColumn id="8" name="source_id"/>
  </x:tableColumns>
  <x:tableStyleInfo name="TableStyleMedium2" showFirstColumn="0" showLastColumn="0" showRowStripes="1" showColumnStripes="0"/>
</x:table>
</file>

<file path=xl/tables/table4.xml><?xml version="1.0" encoding="utf-8"?>
<x:table xmlns:x="http://schemas.openxmlformats.org/spreadsheetml/2006/main" id="4" name="ClassificationEntries" displayName="ClassificationEntries" ref="A1:K280" headerRowCount="1" totalsRowCount="0" totalsRowShown="0">
  <x:autoFilter ref="A1:K280"/>
  <x:tableColumns count="11">
    <x:tableColumn id="1" name="entry_id"/>
    <x:tableColumn id="2" name="system_id"/>
    <x:tableColumn id="3" name="日本語名"/>
    <x:tableColumn id="4" name="原語名"/>
    <x:tableColumn id="5" name="階級"/>
    <x:tableColumn id="6" name="村・アペラシオン"/>
    <x:tableColumn id="7" name="サブリージョン"/>
    <x:tableColumn id="8" name="対象種別"/>
    <x:tableColumn id="9" name="term_id"/>
    <x:tableColumn id="10" name="注記"/>
    <x:tableColumn id="11" name="source_id"/>
  </x:tableColumns>
  <x:tableStyleInfo name="TableStyleMedium2" showFirstColumn="0" showLastColumn="0" showRowStripes="1" showColumnStripes="0"/>
</x:table>
</file>

<file path=xl/tables/table5.xml><?xml version="1.0" encoding="utf-8"?>
<x:table xmlns:x="http://schemas.openxmlformats.org/spreadsheetml/2006/main" id="5" name="ReferenceSources" displayName="ReferenceSources" ref="A1:E7" headerRowCount="1" totalsRowCount="0" totalsRowShown="0">
  <x:autoFilter ref="A1:E7"/>
  <x:tableColumns count="5">
    <x:tableColumn id="1" name="source_id"/>
    <x:tableColumn id="2" name="名称"/>
    <x:tableColumn id="3" name="URL"/>
    <x:tableColumn id="4" name="基準日"/>
    <x:tableColumn id="5" name="確認日"/>
  </x:tableColumns>
  <x:tableStyleInfo name="TableStyleMedium2" showFirstColumn="0" showLastColumn="0" showRowStripes="1" showColumnStripes="0"/>
</x:table>
</file>

<file path=xl/tables/table6.xml><?xml version="1.0" encoding="utf-8"?>
<x:table xmlns:x="http://schemas.openxmlformats.org/spreadsheetml/2006/main" id="6" name="LabelDefinitions" displayName="LabelDefinitions" ref="A1:D11" headerRowCount="1" totalsRowCount="0" totalsRowShown="0">
  <x:autoFilter ref="A1:D11"/>
  <x:tableColumns count="4">
    <x:tableColumn id="1" name="label_id"/>
    <x:tableColumn id="2" name="ラベル"/>
    <x:tableColumn id="3" name="グループ"/>
    <x:tableColumn id="4" name="説明"/>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8474ac3371945f6" /></Relationships>
</file>

<file path=xl/worksheets/_rels/sheet3.xml.rels>&#65279;<?xml version="1.0" encoding="utf-8"?><Relationships xmlns="http://schemas.openxmlformats.org/package/2006/relationships"><Relationship Type="http://schemas.openxmlformats.org/officeDocument/2006/relationships/table" Target="/xl/tables/table2.xml" Id="Rdc09de4beded4e97" /></Relationships>
</file>

<file path=xl/worksheets/_rels/sheet4.xml.rels>&#65279;<?xml version="1.0" encoding="utf-8"?><Relationships xmlns="http://schemas.openxmlformats.org/package/2006/relationships"><Relationship Type="http://schemas.openxmlformats.org/officeDocument/2006/relationships/table" Target="/xl/tables/table3.xml" Id="Raa0753c94d264ddb" /></Relationships>
</file>

<file path=xl/worksheets/_rels/sheet5.xml.rels>&#65279;<?xml version="1.0" encoding="utf-8"?><Relationships xmlns="http://schemas.openxmlformats.org/package/2006/relationships"><Relationship Type="http://schemas.openxmlformats.org/officeDocument/2006/relationships/table" Target="/xl/tables/table4.xml" Id="R0daa829dd59342ba" /></Relationships>
</file>

<file path=xl/worksheets/_rels/sheet6.xml.rels>&#65279;<?xml version="1.0" encoding="utf-8"?><Relationships xmlns="http://schemas.openxmlformats.org/package/2006/relationships"><Relationship Type="http://schemas.openxmlformats.org/officeDocument/2006/relationships/table" Target="/xl/tables/table5.xml" Id="Rc53a3caa74a64a57" /></Relationships>
</file>

<file path=xl/worksheets/_rels/sheet7.xml.rels>&#65279;<?xml version="1.0" encoding="utf-8"?><Relationships xmlns="http://schemas.openxmlformats.org/package/2006/relationships"><Relationship Type="http://schemas.openxmlformats.org/officeDocument/2006/relationships/table" Target="/xl/tables/table6.xml" Id="R18eefa819cec40f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42" customHeight="1">
      <x:c r="A1" s="17" t="str">
        <x:v>WSET学習 — 用語辞書・格付けデータ正本</x:v>
      </x:c>
      <x:c r="B1" s="17"/>
      <x:c r="C1" s="17"/>
      <x:c r="D1" s="17"/>
      <x:c r="E1" s="17"/>
      <x:c r="F1" s="17"/>
      <x:c r="G1" s="17"/>
      <x:c r="H1" s="17"/>
    </x:row>
    <x:row r="3">
      <x:c r="A3" s="20" t="str">
        <x:v>収録内容</x:v>
      </x:c>
      <x:c r="B3" s="20" t="str">
        <x:v>件数</x:v>
      </x:c>
    </x:row>
    <x:row r="4">
      <x:c r="A4" s="21" t="str">
        <x:v>用語</x:v>
      </x:c>
      <x:c r="B4" s="22" t="n">
        <x:f>COUNTA('用語'!A2:A681)</x:f>
        <x:v>680</x:v>
      </x:c>
    </x:row>
    <x:row r="5">
      <x:c r="A5" s="21" t="str">
        <x:v>別名</x:v>
      </x:c>
      <x:c r="B5" s="22" t="n">
        <x:f>COUNTA('別名'!A2:A225)</x:f>
        <x:v>224</x:v>
      </x:c>
    </x:row>
    <x:row r="6">
      <x:c r="A6" s="21" t="str">
        <x:v>格付け制度</x:v>
      </x:c>
      <x:c r="B6" s="22" t="n">
        <x:f>COUNTA('格付け制度'!A2:A7)</x:f>
        <x:v>6</x:v>
      </x:c>
    </x:row>
    <x:row r="7">
      <x:c r="A7" s="21" t="str">
        <x:v>格付け項目</x:v>
      </x:c>
      <x:c r="B7" s="22" t="n">
        <x:f>COUNTA('格付け項目'!A2:A280)</x:f>
        <x:v>279</x:v>
      </x:c>
    </x:row>
    <x:row r="8">
      <x:c r="A8" s="21" t="str">
        <x:v>情報源</x:v>
      </x:c>
      <x:c r="B8" s="22" t="n">
        <x:v>31</x:v>
      </x:c>
    </x:row>
    <x:row r="10">
      <x:c r="A10" s="19" t="str">
        <x:v>運用ルール</x:v>
      </x:c>
      <x:c r="B10" s="19"/>
      <x:c r="C10" s="19"/>
      <x:c r="D10" s="19"/>
      <x:c r="E10" s="19"/>
      <x:c r="F10" s="19"/>
      <x:c r="G10" s="19"/>
      <x:c r="H10" s="19"/>
    </x:row>
    <x:row r="11">
      <x:c r="A11" s="24" t="str">
        <x:v>• このExcelを正本とし、scripts/build_reference_pack.pyでアプリ用JSONを生成します。</x:v>
      </x:c>
      <x:c r="B11" s="24"/>
      <x:c r="C11" s="24"/>
      <x:c r="D11" s="24"/>
      <x:c r="E11" s="24"/>
      <x:c r="F11" s="24"/>
      <x:c r="G11" s="24"/>
      <x:c r="H11" s="24"/>
    </x:row>
    <x:row r="12">
      <x:c r="A12" s="24" t="str">
        <x:v>• 日本語を表示名とし、可能な範囲で英語・フランス語の原語／訳語を保持します。</x:v>
      </x:c>
      <x:c r="B12" s="24"/>
      <x:c r="C12" s="24"/>
      <x:c r="D12" s="24"/>
      <x:c r="E12" s="24"/>
      <x:c r="F12" s="24"/>
      <x:c r="G12" s="24"/>
      <x:c r="H12" s="24"/>
    </x:row>
    <x:row r="13">
      <x:c r="A13" s="24" t="str">
        <x:v>• 別名は検索と問題内用語照合に使用します。短すぎる別名や意味が競合する別名は避けます。</x:v>
      </x:c>
      <x:c r="B13" s="24"/>
      <x:c r="C13" s="24"/>
      <x:c r="D13" s="24"/>
      <x:c r="E13" s="24"/>
      <x:c r="F13" s="24"/>
      <x:c r="G13" s="24"/>
      <x:c r="H13" s="24"/>
    </x:row>
    <x:row r="14">
      <x:c r="A14" s="24" t="str">
        <x:v>• 格付け制度は地域ごとに対象が異なります。シャトー、畑・AOC、村を混同しません。</x:v>
      </x:c>
      <x:c r="B14" s="24"/>
      <x:c r="C14" s="24"/>
      <x:c r="D14" s="24"/>
      <x:c r="E14" s="24"/>
      <x:c r="F14" s="24"/>
      <x:c r="G14" s="24"/>
      <x:c r="H14" s="24"/>
    </x:row>
    <x:row r="15">
      <x:c r="A15" s="24" t="str">
        <x:v>• 格付けには基準日と情報源を持たせ、制度改定時に更新します。</x:v>
      </x:c>
      <x:c r="B15" s="24"/>
      <x:c r="C15" s="24"/>
      <x:c r="D15" s="24"/>
      <x:c r="E15" s="24"/>
      <x:c r="F15" s="24"/>
      <x:c r="G15" s="24"/>
      <x:c r="H15" s="24"/>
    </x:row>
    <x:row r="16">
      <x:c r="A16" s="24" t="str">
        <x:v>• 公開列がYの用語だけアプリへ収録します。</x:v>
      </x:c>
      <x:c r="B16" s="24"/>
      <x:c r="C16" s="24"/>
      <x:c r="D16" s="24"/>
      <x:c r="E16" s="24"/>
      <x:c r="F16" s="24"/>
      <x:c r="G16" s="24"/>
      <x:c r="H16" s="24"/>
    </x:row>
  </x:sheetData>
  <x:mergeCells>
    <x:mergeCell ref="A1:H1"/>
    <x:mergeCell ref="A10:H10"/>
    <x:mergeCell ref="A11:H11"/>
    <x:mergeCell ref="A12:H12"/>
    <x:mergeCell ref="A13:H13"/>
    <x:mergeCell ref="A14:H14"/>
    <x:mergeCell ref="A15:H15"/>
    <x:mergeCell ref="A16:H1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24" hidden="0" customWidth="1"/>
    <x:col min="4" max="4" width="24" hidden="0" customWidth="1"/>
    <x:col min="5" max="5" width="18" hidden="0" customWidth="1"/>
    <x:col min="6" max="6" width="16" hidden="0" customWidth="1"/>
    <x:col min="7" max="7" width="44" hidden="0" customWidth="1"/>
    <x:col min="8" max="8" width="64" hidden="0" customWidth="1"/>
    <x:col min="9" max="9" width="16" hidden="0" customWidth="1"/>
    <x:col min="10" max="10" width="22" hidden="0" customWidth="1"/>
    <x:col min="11" max="11" width="28" hidden="0" customWidth="1"/>
    <x:col min="12" max="12" width="26" hidden="0" customWidth="1"/>
    <x:col min="13" max="13" width="24" hidden="0" customWidth="1"/>
    <x:col min="14" max="14" width="14" hidden="0" customWidth="1"/>
    <x:col min="15" max="15" width="10" hidden="0" customWidth="1"/>
  </x:cols>
  <x:sheetData>
    <x:row r="1" ht="15" hidden="0" customHeight="1">
      <x:c r="A1" s="5" t="str">
        <x:v>term_id</x:v>
      </x:c>
      <x:c r="B1" s="5" t="str">
        <x:v>日本語</x:v>
      </x:c>
      <x:c r="C1" s="5" t="str">
        <x:v>English</x:v>
      </x:c>
      <x:c r="D1" s="5" t="str">
        <x:v>Français</x:v>
      </x:c>
      <x:c r="E1" s="5" t="str">
        <x:v>読み</x:v>
      </x:c>
      <x:c r="F1" s="5" t="str">
        <x:v>種別</x:v>
      </x:c>
      <x:c r="G1" s="5" t="str">
        <x:v>概要</x:v>
      </x:c>
      <x:c r="H1" s="5" t="str">
        <x:v>詳細</x:v>
      </x:c>
      <x:c r="I1" s="5" t="str">
        <x:v>国</x:v>
      </x:c>
      <x:c r="J1" s="5" t="str">
        <x:v>産地</x:v>
      </x:c>
      <x:c r="K1" s="5" t="str">
        <x:v>ラベル</x:v>
      </x:c>
      <x:c r="L1" s="5" t="str">
        <x:v>関連用語IDs</x:v>
      </x:c>
      <x:c r="M1" s="5" t="str">
        <x:v>source_id</x:v>
      </x:c>
      <x:c r="N1" s="5" t="str">
        <x:v>確認日</x:v>
      </x:c>
      <x:c r="O1" s="5" t="str">
        <x:v>公開</x:v>
      </x:c>
    </x:row>
    <x:row r="2" ht="52.79999923706055" hidden="0" customHeight="1">
      <x:c r="A2" s="13" t="str">
        <x:v>term-4c7812cd4986</x:v>
      </x:c>
      <x:c r="B2" s="13" t="str">
        <x:v>アイレン</x:v>
      </x:c>
      <x:c r="C2" s="13" t="str"/>
      <x:c r="D2" s="13" t="str"/>
      <x:c r="E2" s="13" t="str"/>
      <x:c r="F2" s="13" t="str">
        <x:v>品種</x:v>
      </x:c>
      <x:c r="G2" s="13" t="str">
        <x:v>アイレンはワイン用ブドウ品種。暑く乾燥した条件に耐え、低密植の株仕立てで安定した収量を得やすい。病害が少なく機械化もしやすいため、大量の中立的な白ワインや蒸留原料を生産できる。</x:v>
      </x:c>
      <x:c r="H2" s="13" t="str">
        <x:v>栽培・成熟：暑く乾燥した条件に耐え、低密植の株仕立てで安定した収量を得やすい。病害が少なく機械化もしやすいため、大量の中立的な白ワインや蒸留原料を生産できる。主要な関連産地：ラ・マンチャ。気候、収穫時の成熟度、抽出や熟成方法により、酸・香り・ボディの現れ方が変わる。</x:v>
      </x:c>
      <x:c r="I2" s="13" t="str"/>
      <x:c r="J2" s="13" t="str"/>
      <x:c r="K2" s="13" t="str">
        <x:v>品種;ブドウ</x:v>
      </x:c>
      <x:c r="L2" s="13" t="str"/>
      <x:c r="M2" s="13" t="str">
        <x:v>spain_official_wine</x:v>
      </x:c>
      <x:c r="N2" s="13" t="str">
        <x:v>2026-07-12</x:v>
      </x:c>
      <x:c r="O2" s="13" t="str">
        <x:v>Y</x:v>
      </x:c>
    </x:row>
    <x:row r="3" ht="52.79999923706055" hidden="0" customHeight="1">
      <x:c r="A3" s="14" t="str">
        <x:v>term-ce4daef0ebec</x:v>
      </x:c>
      <x:c r="B3" s="14" t="str">
        <x:v>アギオルギティコ</x:v>
      </x:c>
      <x:c r="C3" s="14" t="str"/>
      <x:c r="D3" s="14" t="str"/>
      <x:c r="E3" s="14" t="str"/>
      <x:c r="F3" s="14" t="str">
        <x:v>品種</x:v>
      </x:c>
      <x:c r="G3" s="14" t="str">
        <x:v>アギオルギティコはワイン用ブドウ品種。成熟を緩やかにし、低地より高い酸と引き締まった構造を保つ。</x:v>
      </x:c>
      <x:c r="H3" s="14" t="str">
        <x:v>栽培・成熟：熟した赤・黒系果実、中程度の酸とタンニン、柔らかなスパイスを持つ赤。標高の異なる畑から、軽い果実味中心から樽熟成の濃厚なスタイルまで造られる。典型的なスタイル：成熟を緩やかにし、低地より高い酸と引き締まった構造を保つ。主要な関連産地：ネメア、ナウサ、サントリーニ。</x:v>
      </x:c>
      <x:c r="I3" s="14" t="str"/>
      <x:c r="J3" s="14" t="str"/>
      <x:c r="K3" s="14" t="str">
        <x:v>品種;ブドウ</x:v>
      </x:c>
      <x:c r="L3" s="14" t="str"/>
      <x:c r="M3" s="14" t="str">
        <x:v>greece_official_wine</x:v>
      </x:c>
      <x:c r="N3" s="14" t="str">
        <x:v>2026-07-12</x:v>
      </x:c>
      <x:c r="O3" s="14" t="str">
        <x:v>Y</x:v>
      </x:c>
    </x:row>
    <x:row r="4" ht="52.79999923706055" hidden="0" customHeight="1">
      <x:c r="A4" s="14" t="str">
        <x:v>term-5d339687d250</x:v>
      </x:c>
      <x:c r="B4" s="14" t="str">
        <x:v>アシルティコ</x:v>
      </x:c>
      <x:c r="C4" s="14" t="str"/>
      <x:c r="D4" s="14" t="str"/>
      <x:c r="E4" s="14" t="str"/>
      <x:c r="F4" s="14" t="str">
        <x:v>品種</x:v>
      </x:c>
      <x:c r="G4" s="14" t="str">
        <x:v>アシルティコはワイン用ブドウ品種。砂質・火山性土壌がフィロキセラの活動に不利だから。</x:v>
      </x:c>
      <x:c r="H4" s="14" t="str">
        <x:v>栽培・成熟：品種自体の酸保持能力と、海風・夜間の冷却が働くから。Assyrtikoの酸保持能力・海風・夜間冷却を正しく示しており、品種の酸、タンニン、芳香、果皮または成熟特性がワインのスタイルを形作る。典型的なスタイル：砂質・火山性土壌がフィロキセラの活動に不利だから。主要な関連産地：サントリーニ、ネメア。</x:v>
      </x:c>
      <x:c r="I4" s="14" t="str"/>
      <x:c r="J4" s="14" t="str"/>
      <x:c r="K4" s="14" t="str">
        <x:v>品種;ブドウ</x:v>
      </x:c>
      <x:c r="L4" s="14" t="str"/>
      <x:c r="M4" s="14" t="str">
        <x:v>greece_official_wine</x:v>
      </x:c>
      <x:c r="N4" s="14" t="str">
        <x:v>2026-07-12</x:v>
      </x:c>
      <x:c r="O4" s="14" t="str">
        <x:v>Y</x:v>
      </x:c>
    </x:row>
    <x:row r="5" ht="39.599998474121094" hidden="0" customHeight="1">
      <x:c r="A5" s="14" t="str">
        <x:v>term-10e111c9ea27</x:v>
      </x:c>
      <x:c r="B5" s="14" t="str">
        <x:v>アラゴネス</x:v>
      </x:c>
      <x:c r="C5" s="14" t="str"/>
      <x:c r="D5" s="14" t="str"/>
      <x:c r="E5" s="14" t="str"/>
      <x:c r="F5" s="14" t="str">
        <x:v>品種</x:v>
      </x:c>
      <x:c r="G5" s="14" t="str">
        <x:v>アラゴネスはワイン用ブドウ品種。熟した黒系果実、高めのアルコール、柔らかなタンニンを持つ豊かな赤。</x:v>
      </x:c>
      <x:c r="H5" s="14" t="str">
        <x:v>栽培・成熟：熟した黒系果実、高めのアルコール、柔らかなタンニンを持つ豊かな赤。主要な関連産地：アレンテージョ。気候、収穫時の成熟度、抽出や熟成方法により、酸・香り・ボディの現れ方が変わる。</x:v>
      </x:c>
      <x:c r="I5" s="14" t="str"/>
      <x:c r="J5" s="14" t="str"/>
      <x:c r="K5" s="14" t="str">
        <x:v>品種;ブドウ</x:v>
      </x:c>
      <x:c r="L5" s="14" t="str"/>
      <x:c r="M5" s="14" t="str">
        <x:v>portugal_official_wine</x:v>
      </x:c>
      <x:c r="N5" s="14" t="str">
        <x:v>2026-07-12</x:v>
      </x:c>
      <x:c r="O5" s="14" t="str">
        <x:v>Y</x:v>
      </x:c>
    </x:row>
    <x:row r="6" ht="66" hidden="0" customHeight="1">
      <x:c r="A6" s="14" t="str">
        <x:v>term-056204598540</x:v>
      </x:c>
      <x:c r="B6" s="14" t="str">
        <x:v>アリアニコ</x:v>
      </x:c>
      <x:c r="C6" s="14" t="str"/>
      <x:c r="D6" s="14" t="str"/>
      <x:c r="E6" s="14" t="str"/>
      <x:c r="F6" s="14" t="str">
        <x:v>品種</x:v>
      </x:c>
      <x:c r="G6" s="14" t="str">
        <x:v>アリアニコはワイン用ブドウ品種。アリアニコから造る高酸・高タンニンで長期熟成可能な赤だから。高標高の冷涼な内陸で晩熟品種がゆっくり成熟し、黒系果実、煙、革の複雑性を持つ。</x:v>
      </x:c>
      <x:c r="H6" s="14" t="str">
        <x:v>栽培・成熟：火山性の高標高斜面と大きな日較差でアリアニコがゆっくり成熟するため。南イタリアでも夜間が冷涼で、晩熟品種の酸を保ちながら黒系果実とタンニンを発達させる。典型的なスタイル：アリアニコから造る高酸・高タンニンで長期熟成可能な赤だから。高標高の冷涼な内陸で晩熟品種がゆっくり成熟し、黒系果実、煙、革の複雑性を持つ。主要な関連産地：タウラージ、アリアニコ・デル・ヴルトゥレ。</x:v>
      </x:c>
      <x:c r="I6" s="14" t="str"/>
      <x:c r="J6" s="14" t="str"/>
      <x:c r="K6" s="14" t="str">
        <x:v>品種;ブドウ</x:v>
      </x:c>
      <x:c r="L6" s="14" t="str"/>
      <x:c r="M6" s="14" t="str">
        <x:v>italy_official_wine</x:v>
      </x:c>
      <x:c r="N6" s="14" t="str">
        <x:v>2026-07-12</x:v>
      </x:c>
      <x:c r="O6" s="14" t="str">
        <x:v>Y</x:v>
      </x:c>
    </x:row>
    <x:row r="7" ht="66" hidden="0" customHeight="1">
      <x:c r="A7" s="14" t="str">
        <x:v>term-05b652a4432d</x:v>
      </x:c>
      <x:c r="B7" s="14" t="str">
        <x:v>アルバリーニョ</x:v>
      </x:c>
      <x:c r="C7" s="14" t="str">
        <x:v>Albariño</x:v>
      </x:c>
      <x:c r="D7" s="14" t="str">
        <x:v>Albariño</x:v>
      </x:c>
      <x:c r="E7" s="14" t="str"/>
      <x:c r="F7" s="14" t="str">
        <x:v>品種</x:v>
      </x:c>
      <x:c r="G7" s="14" t="str">
        <x:v>アルバリーニョはワイン用ブドウ品種。大西洋の影響を受ける温和で湿潤な気候が、成熟を穏やかに進めるため。海洋の冷却により酸が保たれ、香りの強い辛口白ワインになりやすい。</x:v>
      </x:c>
      <x:c r="H7" s="14" t="str">
        <x:v>栽培・成熟：大西洋に近い冷涼で湿潤な気候と花崗岩質土壌。成熟がゆっくり進み、柑橘、核果、花、高い酸を保つ。棚仕立てで風通しを確保する。典型的なスタイル：大西洋の影響を受ける温和で湿潤な気候が、成熟を穏やかに進めるため。海洋の冷却により酸が保たれ、香りの強い辛口白ワインになりやすい。主要な関連産地：リアス・バイシャス、ヴァル・ド・サルネス、ルエダ。</x:v>
      </x:c>
      <x:c r="I7" s="14" t="str"/>
      <x:c r="J7" s="14" t="str"/>
      <x:c r="K7" s="14" t="str">
        <x:v>品種;ブドウ</x:v>
      </x:c>
      <x:c r="L7" s="14" t="str"/>
      <x:c r="M7" s="14" t="str">
        <x:v>spain_official_wine</x:v>
      </x:c>
      <x:c r="N7" s="14" t="str">
        <x:v>2026-07-12</x:v>
      </x:c>
      <x:c r="O7" s="14" t="str">
        <x:v>Y</x:v>
      </x:c>
    </x:row>
    <x:row r="8" ht="52.79999923706055" hidden="0" customHeight="1">
      <x:c r="A8" s="14" t="str">
        <x:v>term-db3c6dfb76a4</x:v>
      </x:c>
      <x:c r="B8" s="14" t="str">
        <x:v>アルフロシェイロ</x:v>
      </x:c>
      <x:c r="C8" s="14" t="str"/>
      <x:c r="D8" s="14" t="str"/>
      <x:c r="E8" s="14" t="str"/>
      <x:c r="F8" s="14" t="str">
        <x:v>品種</x:v>
      </x:c>
      <x:c r="G8" s="14" t="str">
        <x:v>アルフロシェイロはワイン用ブドウ品種。山地に囲まれた高標高の花崗岩畑で夜間が冷涼になるため。標高と山の保護が成熟を緩やかにし、トウリガ・ナシオナルなどから香り高く引き締まった赤を生む。</x:v>
      </x:c>
      <x:c r="H8" s="14" t="str">
        <x:v>栽培・成熟：山地に囲まれた高標高の花崗岩畑で夜間が冷涼になるため。標高と山の保護が成熟を緩やかにし、トウリガ・ナシオナルなどから香り高く引き締まった赤を生む。主要な関連産地：ダン。気候、収穫時の成熟度、抽出や熟成方法により、酸・香り・ボディの現れ方が変わる。</x:v>
      </x:c>
      <x:c r="I8" s="14" t="str"/>
      <x:c r="J8" s="14" t="str"/>
      <x:c r="K8" s="14" t="str">
        <x:v>品種;ブドウ</x:v>
      </x:c>
      <x:c r="L8" s="14" t="str"/>
      <x:c r="M8" s="14" t="str">
        <x:v>portugal_official_wine</x:v>
      </x:c>
      <x:c r="N8" s="14" t="str">
        <x:v>2026-07-12</x:v>
      </x:c>
      <x:c r="O8" s="14" t="str">
        <x:v>Y</x:v>
      </x:c>
    </x:row>
    <x:row r="9" ht="39.599998474121094" hidden="0" customHeight="1">
      <x:c r="A9" s="14" t="str">
        <x:v>term-71bc34286ee1</x:v>
      </x:c>
      <x:c r="B9" s="14" t="str">
        <x:v>アルヴァリーニョ</x:v>
      </x:c>
      <x:c r="C9" s="14" t="str"/>
      <x:c r="D9" s="14" t="str"/>
      <x:c r="E9" s="14" t="str"/>
      <x:c r="F9" s="14" t="str">
        <x:v>品種</x:v>
      </x:c>
      <x:c r="G9" s="14" t="str">
        <x:v>アルヴァリーニョはワイン用ブドウ品種。ブドウを樹上凍結し、水分を氷として分離する。</x:v>
      </x:c>
      <x:c r="H9" s="14" t="str">
        <x:v>栽培・成熟：周囲の山が海洋影響を一部遮り、より暖かく乾燥して成熟が進むから。典型的なスタイル：ブドウを樹上凍結し、水分を氷として分離する。主要な関連産地：ヴィーニョ・ヴェルデ、モンサオン・エ・メルガソ。</x:v>
      </x:c>
      <x:c r="I9" s="14" t="str"/>
      <x:c r="J9" s="14" t="str"/>
      <x:c r="K9" s="14" t="str">
        <x:v>品種;ブドウ</x:v>
      </x:c>
      <x:c r="L9" s="14" t="str"/>
      <x:c r="M9" s="14" t="str">
        <x:v>portugal_official_wine</x:v>
      </x:c>
      <x:c r="N9" s="14" t="str">
        <x:v>2026-07-12</x:v>
      </x:c>
      <x:c r="O9" s="14" t="str">
        <x:v>Y</x:v>
      </x:c>
    </x:row>
    <x:row r="10" ht="52.79999923706055" hidden="0" customHeight="1">
      <x:c r="A10" s="14" t="str">
        <x:v>term-1244a1d388b2</x:v>
      </x:c>
      <x:c r="B10" s="14" t="str">
        <x:v>オーセロワ</x:v>
      </x:c>
      <x:c r="C10" s="14" t="str"/>
      <x:c r="D10" s="14" t="str"/>
      <x:c r="E10" s="14" t="str"/>
      <x:c r="F10" s="14" t="str">
        <x:v>品種</x:v>
      </x:c>
      <x:c r="G10" s="14" t="str">
        <x:v>オーセロワはワイン用ブドウ品種。ピノ・ブランとオーセロワ。アルザスの比較的乾燥した気候で栽培され、伝統的方式のフレッシュで果実味のある発泡性ワインに適する。</x:v>
      </x:c>
      <x:c r="H10" s="14" t="str">
        <x:v>栽培・成熟：ピノ・ブランとオーセロワ。アルザスの比較的乾燥した気候で栽培され、伝統的方式のフレッシュで果実味のある発泡性ワインに適する。主要な関連産地：アルザス。気候、収穫時の成熟度、抽出や熟成方法により、酸・香り・ボディの現れ方が変わる。</x:v>
      </x:c>
      <x:c r="I10" s="14" t="str"/>
      <x:c r="J10" s="14" t="str"/>
      <x:c r="K10" s="14" t="str">
        <x:v>品種;ブドウ</x:v>
      </x:c>
      <x:c r="L10" s="14" t="str"/>
      <x:c r="M10" s="14" t="str">
        <x:v>alsace_official_terroir</x:v>
      </x:c>
      <x:c r="N10" s="14" t="str">
        <x:v>2026-07-12</x:v>
      </x:c>
      <x:c r="O10" s="14" t="str">
        <x:v>Y</x:v>
      </x:c>
    </x:row>
    <x:row r="11" ht="79.19999694824219" hidden="0" customHeight="1">
      <x:c r="A11" s="14" t="str">
        <x:v>term-f2c340ce7b7b</x:v>
      </x:c>
      <x:c r="B11" s="14" t="str">
        <x:v>カベルネ・ソーヴィニヨン</x:v>
      </x:c>
      <x:c r="C11" s="14" t="str">
        <x:v>Cabernet Sauvignon</x:v>
      </x:c>
      <x:c r="D11" s="14" t="str">
        <x:v>Cabernet Sauvignon</x:v>
      </x:c>
      <x:c r="E11" s="14" t="str"/>
      <x:c r="F11" s="14" t="str">
        <x:v>品種</x:v>
      </x:c>
      <x:c r="G11" s="14" t="str">
        <x:v>カベルネ・ソーヴィニヨンはワイン用ブドウ品種。サン・パブロ湾からの霧や風、標高、斜面、土壌の違い。冷却の強さや成熟速度が異なり、果実の熟度、酸、タンニン、香りに差が生じる。</x:v>
      </x:c>
      <x:c r="H11" s="14" t="str">
        <x:v>栽培・成熟：暖かく乾燥した日中とアンデスからの冷涼な夜風により、完全成熟と酸保持を両立できる。日照の多い半乾燥気候で病害が少なく、灌漑を用いて水分を管理しながら黒品種を成熟させる。典型的なスタイル：サン・パブロ湾からの霧や風、標高、斜面、土壌の違い。冷却の強さや成熟速度が異なり、果実の熟度、酸、タンニン、香りに差が生じる。主要な関連産地：ステレンボッシュ、クナワラ、メドック、ナパ・ヴァレー。</x:v>
      </x:c>
      <x:c r="I11" s="14" t="str"/>
      <x:c r="J11" s="14" t="str"/>
      <x:c r="K11" s="14" t="str">
        <x:v>品種;ブドウ</x:v>
      </x:c>
      <x:c r="L11" s="14" t="str"/>
      <x:c r="M11" s="14" t="str">
        <x:v>bordeaux_official_grapes</x:v>
      </x:c>
      <x:c r="N11" s="14" t="str">
        <x:v>2026-07-12</x:v>
      </x:c>
      <x:c r="O11" s="14" t="str">
        <x:v>Y</x:v>
      </x:c>
    </x:row>
    <x:row r="12" ht="79.19999694824219" hidden="0" customHeight="1">
      <x:c r="A12" s="14" t="str">
        <x:v>term-e319ef6f70ab</x:v>
      </x:c>
      <x:c r="B12" s="14" t="str">
        <x:v>カベルネ・フラン</x:v>
      </x:c>
      <x:c r="C12" s="14" t="str">
        <x:v>Cabernet Franc</x:v>
      </x:c>
      <x:c r="D12" s="14" t="str">
        <x:v>Cabernet Franc</x:v>
      </x:c>
      <x:c r="E12" s="14" t="str"/>
      <x:c r="F12" s="14" t="str">
        <x:v>品種</x:v>
      </x:c>
      <x:c r="G12" s="14" t="str">
        <x:v>カベルネ・フランはワイン用ブドウ品種。赤い果実、ハーブ、高い酸、軽めのボディと穏やかなタンニン。暖まりやすい砂利土壌から、早く成熟し若飲みしやすい赤を得る。</x:v>
      </x:c>
      <x:c r="H12" s="14" t="str">
        <x:v>栽培・成熟：粘土や石灰岩を含む比較的冷涼な右岸の条件で、カベルネ・ソーヴィニヨンより成熟しやすい。メルロは早熟で粘土質土壌に適し、カベルネ・フランも比較的早く成熟するため、右岸の気候と土壌で安定した成熟を得やすい。典型的なスタイル：赤い果実、ハーブ、高い酸、軽めのボディと穏やかなタンニン。暖まりやすい砂利土壌から、早く成熟し若飲みしやすい赤を得る。主要な関連産地：ボルドー、サンテミリオン、シノン、ソミュール・シャンピニー。</x:v>
      </x:c>
      <x:c r="I12" s="14" t="str"/>
      <x:c r="J12" s="14" t="str"/>
      <x:c r="K12" s="14" t="str">
        <x:v>品種;ブドウ</x:v>
      </x:c>
      <x:c r="L12" s="14" t="str"/>
      <x:c r="M12" s="14" t="str">
        <x:v>bordeaux_official_grapes</x:v>
      </x:c>
      <x:c r="N12" s="14" t="str">
        <x:v>2026-07-12</x:v>
      </x:c>
      <x:c r="O12" s="14" t="str">
        <x:v>Y</x:v>
      </x:c>
    </x:row>
    <x:row r="13" ht="52.79999923706055" hidden="0" customHeight="1">
      <x:c r="A13" s="14" t="str">
        <x:v>term-46809a5dc9c8</x:v>
      </x:c>
      <x:c r="B13" s="14" t="str">
        <x:v>カリニェナ</x:v>
      </x:c>
      <x:c r="C13" s="14" t="str"/>
      <x:c r="D13" s="14" t="str"/>
      <x:c r="E13" s="14" t="str"/>
      <x:c r="F13" s="14" t="str">
        <x:v>品種</x:v>
      </x:c>
      <x:c r="G13" s="14" t="str">
        <x:v>カリニェナはワイン用ブドウ品種。急斜面のリコレリャ土壌、古木ガルナッチャとカリニャン、低収量、手作業。低収量と手作業、土地の希少性、濃厚なワインへの需要が価格を高める。</x:v>
      </x:c>
      <x:c r="H13" s="14" t="str">
        <x:v>栽培・成熟：急斜面のリコレリャ土壌、古木ガルナッチャとカリニャン、低収量、手作業。低収量と手作業、土地の希少性、濃厚なワインへの需要が価格を高める。主要な関連産地：カタルーニャ、プリオラート。</x:v>
      </x:c>
      <x:c r="I13" s="14" t="str"/>
      <x:c r="J13" s="14" t="str"/>
      <x:c r="K13" s="14" t="str">
        <x:v>品種;ブドウ</x:v>
      </x:c>
      <x:c r="L13" s="14" t="str"/>
      <x:c r="M13" s="14" t="str">
        <x:v>rhone_official_terroir</x:v>
      </x:c>
      <x:c r="N13" s="14" t="str">
        <x:v>2026-07-12</x:v>
      </x:c>
      <x:c r="O13" s="14" t="str">
        <x:v>Y</x:v>
      </x:c>
    </x:row>
    <x:row r="14" ht="66" hidden="0" customHeight="1">
      <x:c r="A14" s="14" t="str">
        <x:v>term-6e1e83da5857</x:v>
      </x:c>
      <x:c r="B14" s="14" t="str">
        <x:v>カリニャン</x:v>
      </x:c>
      <x:c r="C14" s="14" t="str"/>
      <x:c r="D14" s="14" t="str"/>
      <x:c r="E14" s="14" t="str"/>
      <x:c r="F14" s="14" t="str">
        <x:v>品種</x:v>
      </x:c>
      <x:c r="G14" s="14" t="str">
        <x:v>カリニャンはワイン用ブドウ品種。低収量の古木が濃い色、酸、タンニン、野生のハーブ香を与えるため。古木の低収量が、濃い果実、酸、タンニン、ハーブ香をもたらす。</x:v>
      </x:c>
      <x:c r="H14" s="14" t="str">
        <x:v>栽培・成熟：暑く乾燥した気候と低収量の古木が、小粒で風味の濃い果実を生むため。乾燥と風が病害を抑え、痩せた斜面の古木は収量が低く、高アルコールで濃厚なワインになりやすい。典型的なスタイル：低収量の古木が濃い色、酸、タンニン、野生のハーブ香を与えるため。古木の低収量が、濃い果実、酸、タンニン、ハーブ香をもたらす。主要な関連産地：ルーション、ミネルヴォワ、フィトゥー、コルビエール。</x:v>
      </x:c>
      <x:c r="I14" s="14" t="str"/>
      <x:c r="J14" s="14" t="str"/>
      <x:c r="K14" s="14" t="str">
        <x:v>品種;ブドウ</x:v>
      </x:c>
      <x:c r="L14" s="14" t="str"/>
      <x:c r="M14" s="14" t="str">
        <x:v>rhone_official_terroir</x:v>
      </x:c>
      <x:c r="N14" s="14" t="str">
        <x:v>2026-07-12</x:v>
      </x:c>
      <x:c r="O14" s="14" t="str">
        <x:v>Y</x:v>
      </x:c>
    </x:row>
    <x:row r="15" ht="66" hidden="0" customHeight="1">
      <x:c r="A15" s="14" t="str">
        <x:v>term-8042b6702ebb</x:v>
      </x:c>
      <x:c r="B15" s="14" t="str">
        <x:v>カルメネール</x:v>
      </x:c>
      <x:c r="C15" s="14" t="str">
        <x:v>Carménère</x:v>
      </x:c>
      <x:c r="D15" s="14" t="str">
        <x:v>Carménère</x:v>
      </x:c>
      <x:c r="E15" s="14" t="str"/>
      <x:c r="F15" s="14" t="str">
        <x:v>品種</x:v>
      </x:c>
      <x:c r="G15" s="14" t="str">
        <x:v>カルメネールはワイン用ブドウ品種。より内陸で温暖になり、海洋冷却が弱いから。</x:v>
      </x:c>
      <x:c r="H15" s="14" t="str">
        <x:v>栽培・成熟：温暖で日照が多く、生育期間が長いため、晩熟な品種の青い風味を減らしやすい。カルメネールは晩熟で、十分な熱と長い秋がないと青いピラジン香が残りやすい。コルチャグアの暖かさが果実とタンニンの成熟を支える。典型的なスタイル：より内陸で温暖になり、海洋冷却が弱いから。主要な関連産地：コルチャグア・ヴァレー、カチャポアル、コルチャグア、マウレ・ヴァレー。</x:v>
      </x:c>
      <x:c r="I15" s="14" t="str"/>
      <x:c r="J15" s="14" t="str"/>
      <x:c r="K15" s="14" t="str">
        <x:v>品種;ブドウ</x:v>
      </x:c>
      <x:c r="L15" s="14" t="str"/>
      <x:c r="M15" s="14" t="str">
        <x:v>chile_official_wine</x:v>
      </x:c>
      <x:c r="N15" s="14" t="str">
        <x:v>2026-07-12</x:v>
      </x:c>
      <x:c r="O15" s="14" t="str">
        <x:v>Y</x:v>
      </x:c>
    </x:row>
    <x:row r="16" ht="52.79999923706055" hidden="0" customHeight="1">
      <x:c r="A16" s="14" t="str">
        <x:v>term-01814d7485b1</x:v>
      </x:c>
      <x:c r="B16" s="14" t="str">
        <x:v>ガメイ</x:v>
      </x:c>
      <x:c r="C16" s="14" t="str">
        <x:v>Gamay</x:v>
      </x:c>
      <x:c r="D16" s="14" t="str">
        <x:v>Gamay</x:v>
      </x:c>
      <x:c r="E16" s="14" t="str"/>
      <x:c r="F16" s="14" t="str">
        <x:v>品種</x:v>
      </x:c>
      <x:c r="G16" s="14" t="str">
        <x:v>ガメイはワイン用ブドウ品種。ガメイから造る、赤い果実、スミレ、軽やかなタンニンを持つ香り高い赤。花崗岩質の斜面と炭酸ガス浸漬系の醸造により、繊細で芳香の高いスタイルになる。</x:v>
      </x:c>
      <x:c r="H16" s="14" t="str">
        <x:v>栽培・成熟：低収量のガメイから、より深い色、濃い果実味、しっかりしたタンニンを得るため。典型的なスタイル：ガメイから造る、赤い果実、スミレ、軽やかなタンニンを持つ香り高い赤。花崗岩質の斜面と炭酸ガス浸漬系の醸造により、繊細で芳香の高いスタイルになる。主要な関連産地：ボージョレ、フルーリー、モルゴン。</x:v>
      </x:c>
      <x:c r="I16" s="14" t="str"/>
      <x:c r="J16" s="14" t="str"/>
      <x:c r="K16" s="14" t="str">
        <x:v>品種;ブドウ</x:v>
      </x:c>
      <x:c r="L16" s="14" t="str"/>
      <x:c r="M16" s="14" t="str">
        <x:v>bourgogne_official_profiles</x:v>
      </x:c>
      <x:c r="N16" s="14" t="str">
        <x:v>2026-07-12</x:v>
      </x:c>
      <x:c r="O16" s="14" t="str">
        <x:v>Y</x:v>
      </x:c>
    </x:row>
    <x:row r="17" ht="66" hidden="0" customHeight="1">
      <x:c r="A17" s="14" t="str">
        <x:v>term-f6b6cd0b6fe9</x:v>
      </x:c>
      <x:c r="B17" s="14" t="str">
        <x:v>ガルガーネガ</x:v>
      </x:c>
      <x:c r="C17" s="14" t="str">
        <x:v>Garganega</x:v>
      </x:c>
      <x:c r="D17" s="14" t="str">
        <x:v>Garganega</x:v>
      </x:c>
      <x:c r="E17" s="14" t="str"/>
      <x:c r="F17" s="14" t="str">
        <x:v>品種</x:v>
      </x:c>
      <x:c r="G17" s="14" t="str">
        <x:v>ガルガーネガはワイン用ブドウ品種。歴史的な丘陵地帯で、排水と日照に恵まれ、収量を抑えたガルガーネガを得やすい。クラッシコ地区の丘陵畑は平地より排水性と日照に恵まれ、凝縮したガルガーネガから、より風味と酸のあるワインを造りやすい。</x:v>
      </x:c>
      <x:c r="H17" s="14" t="str">
        <x:v>栽培・成熟：収量を適正に抑え、日照と風通しのよい斜面区画を選ぶ。典型的なスタイル：歴史的な丘陵地帯で、排水と日照に恵まれ、収量を抑えたガルガーネガを得やすい。クラッシコ地区の丘陵畑は平地より排水性と日照に恵まれ、凝縮したガルガーネガから、より風味と酸のあるワインを造りやすい。主要な関連産地：ソアーヴェ・クラッシコ、ヴェネト、ピノ・グリージョ・デッレ・ヴェネツィエ。</x:v>
      </x:c>
      <x:c r="I17" s="14" t="str"/>
      <x:c r="J17" s="14" t="str"/>
      <x:c r="K17" s="14" t="str">
        <x:v>品種;ブドウ</x:v>
      </x:c>
      <x:c r="L17" s="14" t="str"/>
      <x:c r="M17" s="14" t="str">
        <x:v>italy_official_wine</x:v>
      </x:c>
      <x:c r="N17" s="14" t="str">
        <x:v>2026-07-12</x:v>
      </x:c>
      <x:c r="O17" s="14" t="str">
        <x:v>Y</x:v>
      </x:c>
    </x:row>
    <x:row r="18" ht="52.79999923706055" hidden="0" customHeight="1">
      <x:c r="A18" s="14" t="str">
        <x:v>term-6dd0710cb21b</x:v>
      </x:c>
      <x:c r="B18" s="14" t="str">
        <x:v>ガルナッチャ</x:v>
      </x:c>
      <x:c r="C18" s="14" t="str">
        <x:v>Garnacha</x:v>
      </x:c>
      <x:c r="D18" s="14" t="str">
        <x:v>Garnacha</x:v>
      </x:c>
      <x:c r="E18" s="14" t="str"/>
      <x:c r="F18" s="14" t="str">
        <x:v>品種</x:v>
      </x:c>
      <x:c r="G18" s="14" t="str">
        <x:v>ガルナッチャはワイン用ブドウ品種。ガルナッチャから造る、熟した赤系果実と中程度の色を持つ辛口ロゼ。</x:v>
      </x:c>
      <x:c r="H18" s="14" t="str">
        <x:v>栽培・成熟：地中海性の影響が強く、標高が低めで夏が暑く乾燥するため。糖度が高まりやすく、熟した赤系果実と豊かなボディをブレンドへ与える。典型的なスタイル：ガルナッチャから造る、熟した赤系果実と中程度の色を持つ辛口ロゼ。主要な関連産地：プリオラート、カタルーニャ、ナバーラ、カバ。</x:v>
      </x:c>
      <x:c r="I18" s="14" t="str"/>
      <x:c r="J18" s="14" t="str"/>
      <x:c r="K18" s="14" t="str">
        <x:v>品種;ブドウ</x:v>
      </x:c>
      <x:c r="L18" s="14" t="str"/>
      <x:c r="M18" s="14" t="str">
        <x:v>rhone_official_terroir</x:v>
      </x:c>
      <x:c r="N18" s="14" t="str">
        <x:v>2026-07-12</x:v>
      </x:c>
      <x:c r="O18" s="14" t="str">
        <x:v>Y</x:v>
      </x:c>
    </x:row>
    <x:row r="19" ht="39.599998474121094" hidden="0" customHeight="1">
      <x:c r="A19" s="14" t="str">
        <x:v>term-64ef3239157b</x:v>
      </x:c>
      <x:c r="B19" s="14" t="str">
        <x:v>クシノマヴロ</x:v>
      </x:c>
      <x:c r="C19" s="14" t="str"/>
      <x:c r="D19" s="14" t="str"/>
      <x:c r="E19" s="14" t="str"/>
      <x:c r="F19" s="14" t="str">
        <x:v>品種</x:v>
      </x:c>
      <x:c r="G19" s="14" t="str">
        <x:v>クシノマヴロはワイン用ブドウ品種。高い酸とタンニン、赤系果実、トマト、オリーブを思わせる複雑な香りを持つため。</x:v>
      </x:c>
      <x:c r="H19" s="14" t="str">
        <x:v>栽培・成熟：高い酸とタンニン、淡めの色、赤系果実とトマト・オリーブの香り。典型的なスタイル：高い酸とタンニン、赤系果実、トマト、オリーブを思わせる複雑な香りを持つため。主要な関連産地：ナウサ、ネメア。</x:v>
      </x:c>
      <x:c r="I19" s="14" t="str"/>
      <x:c r="J19" s="14" t="str"/>
      <x:c r="K19" s="14" t="str">
        <x:v>品種;ブドウ</x:v>
      </x:c>
      <x:c r="L19" s="14" t="str"/>
      <x:c r="M19" s="14" t="str">
        <x:v>greece_official_wine</x:v>
      </x:c>
      <x:c r="N19" s="14" t="str">
        <x:v>2026-07-12</x:v>
      </x:c>
      <x:c r="O19" s="14" t="str">
        <x:v>Y</x:v>
      </x:c>
    </x:row>
    <x:row r="20" ht="52.79999923706055" hidden="0" customHeight="1">
      <x:c r="A20" s="14" t="str">
        <x:v>term-0ed2a8a3b892</x:v>
      </x:c>
      <x:c r="B20" s="14" t="str">
        <x:v>グリューナー・ヴェルトリーナー</x:v>
      </x:c>
      <x:c r="C20" s="14" t="str"/>
      <x:c r="D20" s="14" t="str"/>
      <x:c r="E20" s="14" t="str"/>
      <x:c r="F20" s="14" t="str">
        <x:v>品種</x:v>
      </x:c>
      <x:c r="G20" s="14" t="str">
        <x:v>グリューナー・ヴェルトリーナーはワイン用ブドウ品種。高い酸、柑橘、青リンゴ、白胡椒を持つ辛口白。レス土壌と大陸性気候から、フレッシュで品種のスパイシーさを明瞭に表す。</x:v>
      </x:c>
      <x:c r="H20" s="14" t="str">
        <x:v>栽培・成熟：暖かな日中、冷涼な夜、ドナウ川の影響、標高差。典型的なスタイル：高い酸、柑橘、青リンゴ、白胡椒を持つ辛口白。レス土壌と大陸性気候から、フレッシュで品種のスパイシーさを明瞭に表す。主要な関連産地：ヴァッハウ、カンプタール、クレムスタール、ヴァインフィアテル。</x:v>
      </x:c>
      <x:c r="I20" s="14" t="str"/>
      <x:c r="J20" s="14" t="str"/>
      <x:c r="K20" s="14" t="str">
        <x:v>品種;ブドウ</x:v>
      </x:c>
      <x:c r="L20" s="14" t="str"/>
      <x:c r="M20" s="14" t="str">
        <x:v>austria_official_wine</x:v>
      </x:c>
      <x:c r="N20" s="14" t="str">
        <x:v>2026-07-12</x:v>
      </x:c>
      <x:c r="O20" s="14" t="str">
        <x:v>Y</x:v>
      </x:c>
    </x:row>
    <x:row r="21" ht="79.19999694824219" hidden="0" customHeight="1">
      <x:c r="A21" s="14" t="str">
        <x:v>term-b61064b4b62d</x:v>
      </x:c>
      <x:c r="B21" s="14" t="str">
        <x:v>グルナッシュ</x:v>
      </x:c>
      <x:c r="C21" s="14" t="str">
        <x:v>Grenache</x:v>
      </x:c>
      <x:c r="D21" s="14" t="str">
        <x:v>Grenache</x:v>
      </x:c>
      <x:c r="E21" s="14" t="str"/>
      <x:c r="F21" s="14" t="str">
        <x:v>品種</x:v>
      </x:c>
      <x:c r="G21" s="14" t="str">
        <x:v>グルナッシュはワイン用ブドウ品種。温暖な地中海性気候に、湾からの海風と一部の標高差が加わるため。暖かさが完熟を促し、午後の海風が畑を冷却して酸と香りを保つ。</x:v>
      </x:c>
      <x:c r="H21" s="14" t="str">
        <x:v>栽培・成熟：暑く乾燥した気候と低収量の古木が、小粒で風味の濃い果実を生むため。乾燥と風が病害を抑え、痩せた斜面の古木は収量が低く、高アルコールで濃厚なワインになりやすい。典型的なスタイル：温暖な地中海性気候に、湾からの海風と一部の標高差が加わるため。暖かさが完熟を促し、午後の海風が畑を冷却して酸と香りを保つ。主要な関連産地：マクラーレン・ヴェイル、南部ローヌ、シャトーヌフ・デュ・パプ、ジゴンダス。</x:v>
      </x:c>
      <x:c r="I21" s="14" t="str"/>
      <x:c r="J21" s="14" t="str"/>
      <x:c r="K21" s="14" t="str">
        <x:v>品種;ブドウ</x:v>
      </x:c>
      <x:c r="L21" s="14" t="str"/>
      <x:c r="M21" s="14" t="str">
        <x:v>rhone_official_terroir</x:v>
      </x:c>
      <x:c r="N21" s="14" t="str">
        <x:v>2026-07-12</x:v>
      </x:c>
      <x:c r="O21" s="14" t="str">
        <x:v>Y</x:v>
      </x:c>
    </x:row>
    <x:row r="22" ht="52.79999923706055" hidden="0" customHeight="1">
      <x:c r="A22" s="14" t="str">
        <x:v>term-95973da124c1</x:v>
      </x:c>
      <x:c r="B22" s="14" t="str">
        <x:v>グレケット</x:v>
      </x:c>
      <x:c r="C22" s="14" t="str"/>
      <x:c r="D22" s="14" t="str"/>
      <x:c r="E22" s="14" t="str"/>
      <x:c r="F22" s="14" t="str">
        <x:v>品種</x:v>
      </x:c>
      <x:c r="G22" s="14" t="str">
        <x:v>グレケットはワイン用ブドウ品種。グレケットとトレッビアーノ系品種から造る、軽快で高酸の辛口から中辛口白。ウンブリアの丘陵から、柑橘、リンゴ、アーモンドを思わせる白を造る。</x:v>
      </x:c>
      <x:c r="H22" s="14" t="str">
        <x:v>栽培・成熟：グレケットとトレッビアーノ系品種から造る、軽快で高酸の辛口から中辛口白。ウンブリアの丘陵から、柑橘、リンゴ、アーモンドを思わせる白を造る。主要な関連産地：オルヴィエート。気候、収穫時の成熟度、抽出や熟成方法により、酸・香り・ボディの現れ方が変わる。</x:v>
      </x:c>
      <x:c r="I22" s="14" t="str"/>
      <x:c r="J22" s="14" t="str"/>
      <x:c r="K22" s="14" t="str">
        <x:v>品種;ブドウ</x:v>
      </x:c>
      <x:c r="L22" s="14" t="str"/>
      <x:c r="M22" s="14" t="str">
        <x:v>italy_official_wine</x:v>
      </x:c>
      <x:c r="N22" s="14" t="str">
        <x:v>2026-07-12</x:v>
      </x:c>
      <x:c r="O22" s="14" t="str">
        <x:v>Y</x:v>
      </x:c>
    </x:row>
    <x:row r="23" ht="52.79999923706055" hidden="0" customHeight="1">
      <x:c r="A23" s="14" t="str">
        <x:v>term-1ee726e167f9</x:v>
      </x:c>
      <x:c r="B23" s="14" t="str">
        <x:v>グレラ</x:v>
      </x:c>
      <x:c r="C23" s="14" t="str"/>
      <x:c r="D23" s="14" t="str"/>
      <x:c r="E23" s="14" t="str"/>
      <x:c r="F23" s="14" t="str">
        <x:v>品種</x:v>
      </x:c>
      <x:c r="G23" s="14" t="str">
        <x:v>グレラはワイン用ブドウ品種。急斜面で手作業が多く、収量が制限され、評価の高い産地名への需要があるから。</x:v>
      </x:c>
      <x:c r="H23" s="14" t="str">
        <x:v>栽培・成熟：グレーラの洋梨、リンゴ、花のような一次香を保ちやすく、効率的に生産できるから。典型的なスタイル：急斜面で手作業が多く、収量が制限され、評価の高い産地名への需要があるから。主要な関連産地：プロセッコ、コネリアーノ・ヴァルドッビアーデネ。</x:v>
      </x:c>
      <x:c r="I23" s="14" t="str"/>
      <x:c r="J23" s="14" t="str"/>
      <x:c r="K23" s="14" t="str">
        <x:v>品種;ブドウ</x:v>
      </x:c>
      <x:c r="L23" s="14" t="str"/>
      <x:c r="M23" s="14" t="str">
        <x:v>italy_official_wine</x:v>
      </x:c>
      <x:c r="N23" s="14" t="str">
        <x:v>2026-07-12</x:v>
      </x:c>
      <x:c r="O23" s="14" t="str">
        <x:v>Y</x:v>
      </x:c>
    </x:row>
    <x:row r="24" ht="79.19999694824219" hidden="0" customHeight="1">
      <x:c r="A24" s="14" t="str">
        <x:v>term-c35d105c495c</x:v>
      </x:c>
      <x:c r="B24" s="14" t="str">
        <x:v>グレーラ</x:v>
      </x:c>
      <x:c r="C24" s="14" t="str">
        <x:v>Glera</x:v>
      </x:c>
      <x:c r="D24" s="14" t="str">
        <x:v>Glera</x:v>
      </x:c>
      <x:c r="E24" s="14" t="str"/>
      <x:c r="F24" s="14" t="str">
        <x:v>品種</x:v>
      </x:c>
      <x:c r="G24" s="14" t="str">
        <x:v>グレーラはワイン用ブドウ品種。洋梨、リンゴ、花の繊細な一次香を持ち、早い消費に適する。密閉タンクで低温発酵すると、グレーラの軽やかな果実香を保持しながら効率的に発泡性を得られる。</x:v>
      </x:c>
      <x:c r="H24" s="14" t="str">
        <x:v>栽培・成熟：洋梨、青リンゴ、白い花を思わせる繊細な香り。グレーラは比較的軽いボディと高めの酸を持ち、洋梨、リンゴ、メロン、花などのフレッシュな香りを示す。典型的なスタイル：洋梨、リンゴ、花の繊細な一次香を持ち、早い消費に適する。密閉タンクで低温発酵すると、グレーラの軽やかな果実香を保持しながら効率的に発泡性を得られる。主要な関連産地：プロセッコ、コネリアーノ・ヴァルドッビアーデネ、カルティッツェ。</x:v>
      </x:c>
      <x:c r="I24" s="14" t="str"/>
      <x:c r="J24" s="14" t="str"/>
      <x:c r="K24" s="14" t="str">
        <x:v>品種;ブドウ</x:v>
      </x:c>
      <x:c r="L24" s="14" t="str"/>
      <x:c r="M24" s="14" t="str">
        <x:v>italy_official_wine</x:v>
      </x:c>
      <x:c r="N24" s="14" t="str">
        <x:v>2026-07-12</x:v>
      </x:c>
      <x:c r="O24" s="14" t="str">
        <x:v>Y</x:v>
      </x:c>
    </x:row>
    <x:row r="25" ht="52.79999923706055" hidden="0" customHeight="1">
      <x:c r="A25" s="14" t="str">
        <x:v>term-e345cdb17ccd</x:v>
      </x:c>
      <x:c r="B25" s="14" t="str">
        <x:v>ゲヴュルツトラミネール</x:v>
      </x:c>
      <x:c r="C25" s="14" t="str">
        <x:v>Gewürztraminer</x:v>
      </x:c>
      <x:c r="D25" s="14" t="str">
        <x:v>Gewurztraminer</x:v>
      </x:c>
      <x:c r="E25" s="14" t="str"/>
      <x:c r="F25" s="14" t="str">
        <x:v>品種</x:v>
      </x:c>
      <x:c r="G25" s="14" t="str">
        <x:v>ゲヴュルツトラミネールはワイン用ブドウ品種。ヴォージュ山脈の雨陰による乾燥した晴天と長い生育期間。乾燥と日照が健全な果実の成熟を促し、香りと糖度を高めやすい。</x:v>
      </x:c>
      <x:c r="H25" s="14" t="str">
        <x:v>栽培・成熟：ヴォージュ山脈の雨陰による乾燥した晴天と長い生育期間。乾燥と日照が健全な果実の成熟を促し、香りと糖度を高めやすい。主要な関連産地：アルザス。気候、収穫時の成熟度、抽出や熟成方法により、酸・香り・ボディの現れ方が変わる。</x:v>
      </x:c>
      <x:c r="I25" s="14" t="str"/>
      <x:c r="J25" s="14" t="str"/>
      <x:c r="K25" s="14" t="str">
        <x:v>品種;ブドウ</x:v>
      </x:c>
      <x:c r="L25" s="14" t="str"/>
      <x:c r="M25" s="14" t="str">
        <x:v>alsace_official_terroir</x:v>
      </x:c>
      <x:c r="N25" s="14" t="str">
        <x:v>2026-07-12</x:v>
      </x:c>
      <x:c r="O25" s="14" t="str">
        <x:v>Y</x:v>
      </x:c>
    </x:row>
    <x:row r="26" ht="52.79999923706055" hidden="0" customHeight="1">
      <x:c r="A26" s="14" t="str">
        <x:v>term-7c0c350da8b9</x:v>
      </x:c>
      <x:c r="B26" s="14" t="str">
        <x:v>コルテーゼ</x:v>
      </x:c>
      <x:c r="C26" s="14" t="str">
        <x:v>Cortese</x:v>
      </x:c>
      <x:c r="D26" s="14" t="str">
        <x:v>Cortese</x:v>
      </x:c>
      <x:c r="E26" s="14" t="str"/>
      <x:c r="F26" s="14" t="str">
        <x:v>品種</x:v>
      </x:c>
      <x:c r="G26" s="14" t="str">
        <x:v>コルテーゼはワイン用ブドウ品種。コルテーゼから造る、高い酸と柑橘・青リンゴを持つ辛口白。ピエモンテ南東部の比較的冷涼な丘陵でコルテーゼを栽培し、爽やかな酸と繊細な香りを得る。</x:v>
      </x:c>
      <x:c r="H26" s="14" t="str">
        <x:v>栽培・成熟：コルテーゼから造る、高い酸と柑橘・青リンゴを持つ辛口白。ピエモンテ南東部の比較的冷涼な丘陵でコルテーゼを栽培し、爽やかな酸と繊細な香りを得る。主要な関連産地：ガヴィ。気候、収穫時の成熟度、抽出や熟成方法により、酸・香り・ボディの現れ方が変わる。</x:v>
      </x:c>
      <x:c r="I26" s="14" t="str"/>
      <x:c r="J26" s="14" t="str"/>
      <x:c r="K26" s="14" t="str">
        <x:v>品種;ブドウ</x:v>
      </x:c>
      <x:c r="L26" s="14" t="str"/>
      <x:c r="M26" s="14" t="str">
        <x:v>italy_official_wine</x:v>
      </x:c>
      <x:c r="N26" s="14" t="str">
        <x:v>2026-07-12</x:v>
      </x:c>
      <x:c r="O26" s="14" t="str">
        <x:v>Y</x:v>
      </x:c>
    </x:row>
    <x:row r="27" ht="92.4000015258789" hidden="0" customHeight="1">
      <x:c r="A27" s="14" t="str">
        <x:v>term-c7cfb5140777</x:v>
      </x:c>
      <x:c r="B27" s="14" t="str">
        <x:v>コルヴィーナ</x:v>
      </x:c>
      <x:c r="C27" s="14" t="str"/>
      <x:c r="D27" s="14" t="str"/>
      <x:c r="E27" s="14" t="str"/>
      <x:c r="F27" s="14" t="str">
        <x:v>品種</x:v>
      </x:c>
      <x:c r="G27" s="14" t="str">
        <x:v>コルヴィーナはワイン用ブドウ品種。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H27" s="14" t="str">
        <x:v>栽培・成熟：アマローネ用の乾燥ブドウの搾りかすと再発酵し、色・アルコール・風味を増すため。残った糖と抽出成分が若いヴァルポリチェッラへ移り、より豊かなスタイルになる。典型的なスタイル：収穫後にブドウを乾燥させて糖と風味を濃縮し、その糖の多くを発酵させる。アパッシメントで水分を減らした高糖度果汁を発酵するため、高いアルコール、豊かなボディ、乾燥果実風味を持つ辛口になりやすい。主要な関連産地：ヴァルポリチェッラ、ヴェネト、アマローネ、アマローネ・デッラ・ヴァルポリチェッラ。</x:v>
      </x:c>
      <x:c r="I27" s="14" t="str"/>
      <x:c r="J27" s="14" t="str"/>
      <x:c r="K27" s="14" t="str">
        <x:v>品種;ブドウ</x:v>
      </x:c>
      <x:c r="L27" s="14" t="str"/>
      <x:c r="M27" s="14" t="str">
        <x:v>italy_official_wine</x:v>
      </x:c>
      <x:c r="N27" s="14" t="str">
        <x:v>2026-07-12</x:v>
      </x:c>
      <x:c r="O27" s="14" t="str">
        <x:v>Y</x:v>
      </x:c>
    </x:row>
    <x:row r="28" ht="66" hidden="0" customHeight="1">
      <x:c r="A28" s="14" t="str">
        <x:v>term-ef3633756a35</x:v>
      </x:c>
      <x:c r="B28" s="14" t="str">
        <x:v>サンジョヴェーゼ</x:v>
      </x:c>
      <x:c r="C28" s="14" t="str">
        <x:v>Sangiovese</x:v>
      </x:c>
      <x:c r="D28" s="14" t="str">
        <x:v>Sangiovese</x:v>
      </x:c>
      <x:c r="E28" s="14" t="str"/>
      <x:c r="F28" s="14" t="str">
        <x:v>品種</x:v>
      </x:c>
      <x:c r="G28" s="14" t="str">
        <x:v>サンジョヴェーゼはワイン用ブドウ品種。温暖で乾燥した丘陵地でサンジョヴェーゼが十分に成熟し、高い酸とタンニンを保つため。</x:v>
      </x:c>
      <x:c r="H28" s="14" t="str">
        <x:v>栽培・成熟：高い酸、中程度以上のタンニン、サワーチェリー、乾燥ハーブを持つ辛口赤。標高ある丘陵とサンジョヴェーゼの高酸・タンニンが典型的な構造を作る。典型的なスタイル：温暖で乾燥した丘陵地でサンジョヴェーゼが十分に成熟し、高い酸とタンニンを保つため。主要な関連産地：キアンティ・クラッシコ、ブルネッロ・ディ・モンタルチーノ、トスカーナ、ヴィーノ・ノービレ・ディ・モンテプルチアーノ。</x:v>
      </x:c>
      <x:c r="I28" s="14" t="str"/>
      <x:c r="J28" s="14" t="str"/>
      <x:c r="K28" s="14" t="str">
        <x:v>品種;ブドウ</x:v>
      </x:c>
      <x:c r="L28" s="14" t="str"/>
      <x:c r="M28" s="14" t="str">
        <x:v>italy_official_wine</x:v>
      </x:c>
      <x:c r="N28" s="14" t="str">
        <x:v>2026-07-12</x:v>
      </x:c>
      <x:c r="O28" s="14" t="str">
        <x:v>Y</x:v>
      </x:c>
    </x:row>
    <x:row r="29" ht="66" hidden="0" customHeight="1">
      <x:c r="A29" s="14" t="str">
        <x:v>term-66de06e80864</x:v>
      </x:c>
      <x:c r="B29" s="14" t="str">
        <x:v>サンソー</x:v>
      </x:c>
      <x:c r="C29" s="14" t="str"/>
      <x:c r="D29" s="14" t="str"/>
      <x:c r="E29" s="14" t="str"/>
      <x:c r="F29" s="14" t="str">
        <x:v>品種</x:v>
      </x:c>
      <x:c r="G29" s="14" t="str">
        <x:v>サンソーはワイン用ブドウ品種。黒ブドウを直接圧搾するか、ごく短時間だけ果皮浸漬する。色とタンニンの抽出を抑え、淡い色、柑橘・赤系果実、爽やかな酸を持つスタイルを目指す。</x:v>
      </x:c>
      <x:c r="H29" s="14" t="str">
        <x:v>栽培・成熟：南に位置し海洋の影響が強く、気温が低いため。高緯度と海風・降雨により成熟が緩やかで、酸と軽い果実味を保つ。典型的なスタイル：黒ブドウを直接圧搾するか、ごく短時間だけ果皮浸漬する。色とタンニンの抽出を抑え、淡い色、柑橘・赤系果実、爽やかな酸を持つスタイルを目指す。主要な関連産地：タヴェル、プロヴァンス、イタタ、ビオ・ビオ。</x:v>
      </x:c>
      <x:c r="I29" s="14" t="str"/>
      <x:c r="J29" s="14" t="str"/>
      <x:c r="K29" s="14" t="str">
        <x:v>品種;ブドウ</x:v>
      </x:c>
      <x:c r="L29" s="14" t="str"/>
      <x:c r="M29" s="14" t="str">
        <x:v>rhone_official_terroir</x:v>
      </x:c>
      <x:c r="N29" s="14" t="str">
        <x:v>2026-07-12</x:v>
      </x:c>
      <x:c r="O29" s="14" t="str">
        <x:v>Y</x:v>
      </x:c>
    </x:row>
    <x:row r="30" ht="52.79999923706055" hidden="0" customHeight="1">
      <x:c r="A30" s="14" t="str">
        <x:v>term-cd5c9308aeb7</x:v>
      </x:c>
      <x:c r="B30" s="14" t="str">
        <x:v>シャルドネ</x:v>
      </x:c>
      <x:c r="C30" s="14" t="str">
        <x:v>Chardonnay</x:v>
      </x:c>
      <x:c r="D30" s="14" t="str">
        <x:v>Chardonnay</x:v>
      </x:c>
      <x:c r="E30" s="14" t="str"/>
      <x:c r="F30" s="14" t="str">
        <x:v>品種</x:v>
      </x:c>
      <x:c r="G30" s="14" t="str">
        <x:v>シャルドネはワイン用ブドウ品種。高い酸、柑橘・花の繊細さ、長期熟成能力。冷涼なコート・デ・ブランなどで育つシャルドネは、線の細い構造と鮮度を与える。</x:v>
      </x:c>
      <x:c r="H30" s="14" t="str">
        <x:v>栽培・成熟：標高と海洋性の冷却により、成熟が遅く酸が保たれる。典型的なスタイル：高い酸、柑橘・花の繊細さ、長期熟成能力。冷涼なコート・デ・ブランなどで育つシャルドネは、線の細い構造と鮮度を与える。主要な関連産地：シャンパーニュ、ブルゴーニュ、タスマニア、マールボロ。</x:v>
      </x:c>
      <x:c r="I30" s="14" t="str"/>
      <x:c r="J30" s="14" t="str"/>
      <x:c r="K30" s="14" t="str">
        <x:v>品種;ブドウ</x:v>
      </x:c>
      <x:c r="L30" s="14" t="str"/>
      <x:c r="M30" s="14" t="str">
        <x:v>bourgogne_official_profiles</x:v>
      </x:c>
      <x:c r="N30" s="14" t="str">
        <x:v>2026-07-12</x:v>
      </x:c>
      <x:c r="O30" s="14" t="str">
        <x:v>Y</x:v>
      </x:c>
    </x:row>
    <x:row r="31" ht="66" hidden="0" customHeight="1">
      <x:c r="A31" s="14" t="str">
        <x:v>term-a6d22f5f32d6</x:v>
      </x:c>
      <x:c r="B31" s="14" t="str">
        <x:v>シュナン・ブラン</x:v>
      </x:c>
      <x:c r="C31" s="14" t="str">
        <x:v>Chenin Blanc</x:v>
      </x:c>
      <x:c r="D31" s="14" t="str">
        <x:v>Chenin Blanc</x:v>
      </x:c>
      <x:c r="E31" s="14" t="str"/>
      <x:c r="F31" s="14" t="str">
        <x:v>品種</x:v>
      </x:c>
      <x:c r="G31" s="14" t="str">
        <x:v>シュナン・ブランはワイン用ブドウ品種。高い酸を保ち、リンゴや柑橘の風味と熟成能力を持つ。高い酸が二次発酵と熟成後も鮮度を支え、品種の熟成力も複雑性へ寄与する。</x:v>
      </x:c>
      <x:c r="H31" s="14" t="str">
        <x:v>栽培・成熟：古木の低収量と深い根が、乾燥条件で小粒の凝縮果を生むため。低収量と深根性が、暑く乾燥した地域で濃度と複雑性を高める。典型的なスタイル：高い酸を保ち、リンゴや柑橘の風味と熟成能力を持つ。高い酸が二次発酵と熟成後も鮮度を支え、品種の熟成力も複雑性へ寄与する。主要な関連産地：スワートランド、ロワール、ヴーヴレ、ヴーヴレ・ソーミュール。</x:v>
      </x:c>
      <x:c r="I31" s="14" t="str"/>
      <x:c r="J31" s="14" t="str"/>
      <x:c r="K31" s="14" t="str">
        <x:v>品種;ブドウ</x:v>
      </x:c>
      <x:c r="L31" s="14" t="str"/>
      <x:c r="M31" s="14" t="str">
        <x:v>wset_questions_1100_v6</x:v>
      </x:c>
      <x:c r="N31" s="14" t="str">
        <x:v>2026-07-12</x:v>
      </x:c>
      <x:c r="O31" s="14" t="str">
        <x:v>Y</x:v>
      </x:c>
    </x:row>
    <x:row r="32" ht="52.79999923706055" hidden="0" customHeight="1">
      <x:c r="A32" s="14" t="str">
        <x:v>term-80453da78832</x:v>
      </x:c>
      <x:c r="B32" s="14" t="str">
        <x:v>シュペートブルグンダー</x:v>
      </x:c>
      <x:c r="C32" s="14" t="str"/>
      <x:c r="D32" s="14" t="str"/>
      <x:c r="E32" s="14" t="str"/>
      <x:c r="F32" s="14" t="str">
        <x:v>品種</x:v>
      </x:c>
      <x:c r="G32" s="14" t="str">
        <x:v>シュペートブルグンダーはワイン用ブドウ品種。ドイツの中でも温暖で日照が多く、黒ブドウが十分に成熟しやすい。南西部の温暖な気候がピノ・ノワールの色、果実味、アルコールを高め、樽熟成に適するワインを生む。</x:v>
      </x:c>
      <x:c r="H32" s="14" t="str">
        <x:v>栽培・成熟：ドイツの中でも温暖で日照が多く、黒ブドウが十分に成熟しやすい。南西部の温暖な気候がピノ・ノワールの色、果実味、アルコールを高め、樽熟成に適するワインを生む。主要な関連産地：バーデン。</x:v>
      </x:c>
      <x:c r="I32" s="14" t="str"/>
      <x:c r="J32" s="14" t="str"/>
      <x:c r="K32" s="14" t="str">
        <x:v>品種;ブドウ</x:v>
      </x:c>
      <x:c r="L32" s="14" t="str"/>
      <x:c r="M32" s="14" t="str">
        <x:v>bourgogne_official_profiles</x:v>
      </x:c>
      <x:c r="N32" s="14" t="str">
        <x:v>2026-07-12</x:v>
      </x:c>
      <x:c r="O32" s="14" t="str">
        <x:v>Y</x:v>
      </x:c>
    </x:row>
    <x:row r="33" ht="52.79999923706055" hidden="0" customHeight="1">
      <x:c r="A33" s="14" t="str">
        <x:v>term-f33d6c9b7f02</x:v>
      </x:c>
      <x:c r="B33" s="14" t="str">
        <x:v>シラー</x:v>
      </x:c>
      <x:c r="C33" s="14" t="str">
        <x:v>Syrah</x:v>
      </x:c>
      <x:c r="D33" s="14" t="str">
        <x:v>Syrah</x:v>
      </x:c>
      <x:c r="E33" s="14" t="str"/>
      <x:c r="F33" s="14" t="str">
        <x:v>品種</x:v>
      </x:c>
      <x:c r="G33" s="14" t="str">
        <x:v>シラーはワイン用ブドウ品種。黒系果実、黒胡椒、花、高い酸、中程度以上のタンニン。花崗岩の急斜面では成熟と排水に恵まれ、北部ローヌらしい香りと構造が得られる。</x:v>
      </x:c>
      <x:c r="H33" s="14" t="str">
        <x:v>栽培・成熟：白胡椒、赤系果実、高い酸を持つ中程度のボディの赤。典型的なスタイル：黒系果実、黒胡椒、花、高い酸、中程度以上のタンニン。花崗岩の急斜面では成熟と排水に恵まれ、北部ローヌらしい香りと構造が得られる。主要な関連産地：コート・ロティ、ホークス・ベイ、エルミタージュ、コルナス。</x:v>
      </x:c>
      <x:c r="I33" s="14" t="str"/>
      <x:c r="J33" s="14" t="str"/>
      <x:c r="K33" s="14" t="str">
        <x:v>品種;ブドウ</x:v>
      </x:c>
      <x:c r="L33" s="14" t="str"/>
      <x:c r="M33" s="14" t="str">
        <x:v>rhone_official_terroir</x:v>
      </x:c>
      <x:c r="N33" s="14" t="str">
        <x:v>2026-07-12</x:v>
      </x:c>
      <x:c r="O33" s="14" t="str">
        <x:v>Y</x:v>
      </x:c>
    </x:row>
    <x:row r="34" ht="52.79999923706055" hidden="0" customHeight="1">
      <x:c r="A34" s="14" t="str">
        <x:v>term-3cbfd0c8cfbb</x:v>
      </x:c>
      <x:c r="B34" s="14" t="str">
        <x:v>シラーズ</x:v>
      </x:c>
      <x:c r="C34" s="14" t="str">
        <x:v>Shiraz</x:v>
      </x:c>
      <x:c r="D34" s="14" t="str">
        <x:v>Syrah</x:v>
      </x:c>
      <x:c r="E34" s="14" t="str"/>
      <x:c r="F34" s="14" t="str">
        <x:v>品種</x:v>
      </x:c>
      <x:c r="G34" s="14" t="str">
        <x:v>シラーズはワイン用ブドウ品種。温暖な地中海性気候に、湾からの海風と一部の標高差が加わるため。暖かさが完熟を促し、午後の海風が畑を冷却して酸と香りを保つ。</x:v>
      </x:c>
      <x:c r="H34" s="14" t="str">
        <x:v>栽培・成熟：フルボディ、高いアルコール、熟した黒系果実、甘いスパイス。典型的なスタイル：温暖な地中海性気候に、湾からの海風と一部の標高差が加わるため。暖かさが完熟を促し、午後の海風が畑を冷却して酸と香りを保つ。主要な関連産地：バロッサ・ヴァレー、マクラーレン・ヴェイル、イーデン・ヴァレー、クナワラ。</x:v>
      </x:c>
      <x:c r="I34" s="14" t="str"/>
      <x:c r="J34" s="14" t="str"/>
      <x:c r="K34" s="14" t="str">
        <x:v>品種;ブドウ</x:v>
      </x:c>
      <x:c r="L34" s="14" t="str"/>
      <x:c r="M34" s="14" t="str">
        <x:v>rhone_official_terroir</x:v>
      </x:c>
      <x:c r="N34" s="14" t="str">
        <x:v>2026-07-12</x:v>
      </x:c>
      <x:c r="O34" s="14" t="str">
        <x:v>Y</x:v>
      </x:c>
    </x:row>
    <x:row r="35" ht="92.4000015258789" hidden="0" customHeight="1">
      <x:c r="A35" s="14" t="str">
        <x:v>term-9c14f4ade279</x:v>
      </x:c>
      <x:c r="B35" s="14" t="str">
        <x:v>シルヴァーナー</x:v>
      </x:c>
      <x:c r="C35" s="14" t="str"/>
      <x:c r="D35" s="14" t="str"/>
      <x:c r="E35" s="14" t="str"/>
      <x:c r="F35" s="14" t="str">
        <x:v>品種</x:v>
      </x:c>
      <x:c r="G35" s="14" t="str">
        <x:v>シルヴァーナーはワイン用ブドウ品種。中立的な果実香、土やハーブを思わせる風味、十分な酸を持つ辛口白。</x:v>
      </x:c>
      <x:c r="H35" s="14" t="str">
        <x:v>栽培・成熟：中程度以上の酸、リンゴやハーブ、土を思わせる風味を持つ辛口白。大陸性の冷涼な気候と石灰質土壌で、リースリングより中立的だが土地の特徴を表す白になる。典型的なスタイル：中立的な果実香、土やハーブを思わせる風味、十分な酸を持つ辛口白。Franken Silvanerの中立性・土・ハーブ・辛口を正しく示しており、品種の酸、タンニン、芳香、果皮または成熟特性がワインのスタイルを形作る。主要な関連産地：フランケン、ラインヘッセン。</x:v>
      </x:c>
      <x:c r="I35" s="14" t="str"/>
      <x:c r="J35" s="14" t="str"/>
      <x:c r="K35" s="14" t="str">
        <x:v>品種;ブドウ</x:v>
      </x:c>
      <x:c r="L35" s="14" t="str"/>
      <x:c r="M35" s="14" t="str">
        <x:v>alsace_official_terroir</x:v>
      </x:c>
      <x:c r="N35" s="14" t="str">
        <x:v>2026-07-12</x:v>
      </x:c>
      <x:c r="O35" s="14" t="str">
        <x:v>Y</x:v>
      </x:c>
    </x:row>
    <x:row r="36" ht="66" hidden="0" customHeight="1">
      <x:c r="A36" s="14" t="str">
        <x:v>term-cd516a819d52</x:v>
      </x:c>
      <x:c r="B36" s="14" t="str">
        <x:v>ジンファンデル</x:v>
      </x:c>
      <x:c r="C36" s="14" t="str"/>
      <x:c r="D36" s="14" t="str"/>
      <x:c r="E36" s="14" t="str"/>
      <x:c r="F36" s="14" t="str">
        <x:v>品種</x:v>
      </x:c>
      <x:c r="G36" s="14" t="str">
        <x:v>ジンファンデルはワイン用ブドウ品種。熟したブラックベリーやプラム、高めのアルコール、豊かなボディ。</x:v>
      </x:c>
      <x:c r="H36" s="14" t="str">
        <x:v>栽培・成熟：土地・ブドウ価格、収量、規模の経済、ブランド需要が異なるから。土地・収量・規模・ブランドによる価格差が、単位当たりの生産費、供給量、在庫負担または市場需要を通じてワイン価格へ影響する。典型的なスタイル：熟したブラックベリーやプラム、高めのアルコール、豊かなボディ。主要な関連産地：ソノマ、ドライ・クリーク・ヴァレー、パソ・ロブレス、メンドシーノ郡。</x:v>
      </x:c>
      <x:c r="I36" s="14" t="str"/>
      <x:c r="J36" s="14" t="str"/>
      <x:c r="K36" s="14" t="str">
        <x:v>品種;ブドウ</x:v>
      </x:c>
      <x:c r="L36" s="14" t="str"/>
      <x:c r="M36" s="14" t="str">
        <x:v>usa_official_wine</x:v>
      </x:c>
      <x:c r="N36" s="14" t="str">
        <x:v>2026-07-12</x:v>
      </x:c>
      <x:c r="O36" s="14" t="str">
        <x:v>Y</x:v>
      </x:c>
    </x:row>
    <x:row r="37" ht="66" hidden="0" customHeight="1">
      <x:c r="A37" s="14" t="str">
        <x:v>term-7c26883502a0</x:v>
      </x:c>
      <x:c r="B37" s="14" t="str">
        <x:v>セミヨン</x:v>
      </x:c>
      <x:c r="C37" s="14" t="str">
        <x:v>Sémillon</x:v>
      </x:c>
      <x:c r="D37" s="14" t="str">
        <x:v>Sémillon</x:v>
      </x:c>
      <x:c r="E37" s="14" t="str"/>
      <x:c r="F37" s="14" t="str">
        <x:v>品種</x:v>
      </x:c>
      <x:c r="G37" s="14" t="str">
        <x:v>セミヨンはワイン用ブドウ品種。ソーヴィニヨン・ブランとセミヨンのブレンドで、高い酸、柑橘、ハーブ、オーク由来の複雑性を持つ。</x:v>
      </x:c>
      <x:c r="H37" s="14" t="str">
        <x:v>栽培・成熟：低めのアルコール、高い酸、軽いボディで、瓶熟成によりトーストや蜂蜜の香りが発達する。若いうちは軽快で中立的だが、瓶熟成でトーストや蜂蜜のような複雑性が生じる。典型的なスタイル：ソーヴィニヨン・ブランとセミヨンのブレンドで、高い酸、柑橘、ハーブ、オーク由来の複雑性を持つ。主要な関連産地：ソーテルヌ、ハンター・ヴァレー、ボルドー、ペサック・レオニャン。</x:v>
      </x:c>
      <x:c r="I37" s="14" t="str"/>
      <x:c r="J37" s="14" t="str"/>
      <x:c r="K37" s="14" t="str">
        <x:v>品種;ブドウ</x:v>
      </x:c>
      <x:c r="L37" s="14" t="str"/>
      <x:c r="M37" s="14" t="str">
        <x:v>bordeaux_official_grapes</x:v>
      </x:c>
      <x:c r="N37" s="14" t="str">
        <x:v>2026-07-12</x:v>
      </x:c>
      <x:c r="O37" s="14" t="str">
        <x:v>Y</x:v>
      </x:c>
    </x:row>
    <x:row r="38" ht="39.599998474121094" hidden="0" customHeight="1">
      <x:c r="A38" s="14" t="str">
        <x:v>term-ebd7781081b9</x:v>
      </x:c>
      <x:c r="B38" s="14" t="str">
        <x:v>ソーヴィニヨン・ブラン</x:v>
      </x:c>
      <x:c r="C38" s="14" t="str">
        <x:v>Sauvignon Blanc</x:v>
      </x:c>
      <x:c r="D38" s="14" t="str">
        <x:v>Sauvignon Blanc</x:v>
      </x:c>
      <x:c r="E38" s="14" t="str"/>
      <x:c r="F38" s="14" t="str">
        <x:v>品種</x:v>
      </x:c>
      <x:c r="G38" s="14" t="str">
        <x:v>ソーヴィニヨン・ブランはワイン用ブドウ品種。Sancerreは高酸・柑橘・石質感、Marlboroughは強い果実・青草香。</x:v>
      </x:c>
      <x:c r="H38" s="14" t="str">
        <x:v>栽培・成熟：太平洋からの冷たい海風と朝霧による冷却。典型的なスタイル：Sancerreは高酸・柑橘・石質感、Marlboroughは強い果実・青草香。主要な関連産地：マールボロ、ソーテルヌ、カサブランカ・ヴァレー、サンセール。</x:v>
      </x:c>
      <x:c r="I38" s="14" t="str"/>
      <x:c r="J38" s="14" t="str"/>
      <x:c r="K38" s="14" t="str">
        <x:v>品種;ブドウ</x:v>
      </x:c>
      <x:c r="L38" s="14" t="str"/>
      <x:c r="M38" s="14" t="str">
        <x:v>bordeaux_official_grapes</x:v>
      </x:c>
      <x:c r="N38" s="14" t="str">
        <x:v>2026-07-12</x:v>
      </x:c>
      <x:c r="O38" s="14" t="str">
        <x:v>Y</x:v>
      </x:c>
    </x:row>
    <x:row r="39" ht="52.79999923706055" hidden="0" customHeight="1">
      <x:c r="A39" s="14" t="str">
        <x:v>term-7759fe2cf84e</x:v>
      </x:c>
      <x:c r="B39" s="14" t="str">
        <x:v>チャレッロ</x:v>
      </x:c>
      <x:c r="C39" s="14" t="str"/>
      <x:c r="D39" s="14" t="str"/>
      <x:c r="E39" s="14" t="str"/>
      <x:c r="F39" s="14" t="str">
        <x:v>品種</x:v>
      </x:c>
      <x:c r="G39" s="14" t="str">
        <x:v>チャレッロはワイン用ブドウ品種。酸、ボディ、構造を与え、熟成に耐える骨格を作る。</x:v>
      </x:c>
      <x:c r="H39" s="14" t="str">
        <x:v>栽培・成熟：マカベオの穏やかな果実、チャレッロの酸と構造、パレリャーダの繊細な香り。三品種の成熟時期と成分の違いをブレンドし、果実味、骨格、芳香の均衡を作る。典型的なスタイル：酸、ボディ、構造を与え、熟成に耐える骨格を作る。主要な関連産地：カバ。</x:v>
      </x:c>
      <x:c r="I39" s="14" t="str"/>
      <x:c r="J39" s="14" t="str"/>
      <x:c r="K39" s="14" t="str">
        <x:v>品種;ブドウ</x:v>
      </x:c>
      <x:c r="L39" s="14" t="str"/>
      <x:c r="M39" s="14" t="str">
        <x:v>spain_official_wine</x:v>
      </x:c>
      <x:c r="N39" s="14" t="str">
        <x:v>2026-07-12</x:v>
      </x:c>
      <x:c r="O39" s="14" t="str">
        <x:v>Y</x:v>
      </x:c>
    </x:row>
    <x:row r="40" ht="52.79999923706055" hidden="0" customHeight="1">
      <x:c r="A40" s="14" t="str">
        <x:v>term-aedf20f12284</x:v>
      </x:c>
      <x:c r="B40" s="14" t="str">
        <x:v>ティンタ・カン</x:v>
      </x:c>
      <x:c r="C40" s="14" t="str"/>
      <x:c r="D40" s="14" t="str"/>
      <x:c r="E40" s="14" t="str"/>
      <x:c r="F40" s="14" t="str">
        <x:v>品種</x:v>
      </x:c>
      <x:c r="G40" s="14" t="str">
        <x:v>ティンタ・カンはワイン用ブドウ品種。高い酸、タンニン、スパイスを与え、熟成能力を高める。収量は低いが、暑い地域でも酸を保ち、甘味とアルコールの重さを引き締める。</x:v>
      </x:c>
      <x:c r="H40" s="14" t="str">
        <x:v>栽培・成熟：高い酸、タンニン、スパイスを与え、熟成能力を高める。収量は低いが、暑い地域でも酸を保ち、甘味とアルコールの重さを引き締める。主要な関連産地：ドウロ。気候、収穫時の成熟度、抽出や熟成方法により、酸・香り・ボディの現れ方が変わる。</x:v>
      </x:c>
      <x:c r="I40" s="14" t="str"/>
      <x:c r="J40" s="14" t="str"/>
      <x:c r="K40" s="14" t="str">
        <x:v>品種;ブドウ</x:v>
      </x:c>
      <x:c r="L40" s="14" t="str"/>
      <x:c r="M40" s="14" t="str">
        <x:v>portugal_official_wine</x:v>
      </x:c>
      <x:c r="N40" s="14" t="str">
        <x:v>2026-07-12</x:v>
      </x:c>
      <x:c r="O40" s="14" t="str">
        <x:v>Y</x:v>
      </x:c>
    </x:row>
    <x:row r="41" ht="52.79999923706055" hidden="0" customHeight="1">
      <x:c r="A41" s="14" t="str">
        <x:v>term-0a88b0845943</x:v>
      </x:c>
      <x:c r="B41" s="14" t="str">
        <x:v>ティンタ・デ・トロ</x:v>
      </x:c>
      <x:c r="C41" s="14" t="str"/>
      <x:c r="D41" s="14" t="str"/>
      <x:c r="E41" s="14" t="str"/>
      <x:c r="F41" s="14" t="str">
        <x:v>品種</x:v>
      </x:c>
      <x:c r="G41" s="14" t="str">
        <x:v>ティンタ・デ・トロはワイン用ブドウ品種。暑く乾燥した大陸性気候と古木の低収量により、糖、色、タンニンが高くなるため。標高の高い台地でも日中は暑く、厚い果皮のテンプラニーリョ系統が濃縮した果実を生む。</x:v>
      </x:c>
      <x:c r="H41" s="14" t="str">
        <x:v>栽培・成熟：暑く乾燥した大陸性気候と古木の低収量により、糖、色、タンニンが高くなるため。標高の高い台地でも日中は暑く、厚い果皮のテンプラニーリョ系統が濃縮した果実を生む。主要な関連産地：トロ。</x:v>
      </x:c>
      <x:c r="I41" s="14" t="str"/>
      <x:c r="J41" s="14" t="str"/>
      <x:c r="K41" s="14" t="str">
        <x:v>品種;ブドウ</x:v>
      </x:c>
      <x:c r="L41" s="14" t="str"/>
      <x:c r="M41" s="14" t="str">
        <x:v>spain_official_wine</x:v>
      </x:c>
      <x:c r="N41" s="14" t="str">
        <x:v>2026-07-12</x:v>
      </x:c>
      <x:c r="O41" s="14" t="str">
        <x:v>Y</x:v>
      </x:c>
    </x:row>
    <x:row r="42" ht="52.79999923706055" hidden="0" customHeight="1">
      <x:c r="A42" s="14" t="str">
        <x:v>term-8e895e8be940</x:v>
      </x:c>
      <x:c r="B42" s="14" t="str">
        <x:v>ティンタ・バロッカ</x:v>
      </x:c>
      <x:c r="C42" s="14" t="str"/>
      <x:c r="D42" s="14" t="str"/>
      <x:c r="E42" s="14" t="str"/>
      <x:c r="F42" s="14" t="str">
        <x:v>品種</x:v>
      </x:c>
      <x:c r="G42" s="14" t="str">
        <x:v>ティンタ・バロッカはワイン用ブドウ品種。早く成熟し、高い糖度と豊かな果実味を得やすい。暑い場所では過熟しやすいが、冷涼な区画ではポートのアルコールとボディを補う。</x:v>
      </x:c>
      <x:c r="H42" s="14" t="str">
        <x:v>栽培・成熟：早く成熟し、高い糖度と豊かな果実味を得やすい。暑い場所では過熟しやすいが、冷涼な区画ではポートのアルコールとボディを補う。主要な関連産地：ドウロ。気候、収穫時の成熟度、抽出や熟成方法により、酸・香り・ボディの現れ方が変わる。</x:v>
      </x:c>
      <x:c r="I42" s="14" t="str"/>
      <x:c r="J42" s="14" t="str"/>
      <x:c r="K42" s="14" t="str">
        <x:v>品種;ブドウ</x:v>
      </x:c>
      <x:c r="L42" s="14" t="str"/>
      <x:c r="M42" s="14" t="str">
        <x:v>portugal_official_wine</x:v>
      </x:c>
      <x:c r="N42" s="14" t="str">
        <x:v>2026-07-12</x:v>
      </x:c>
      <x:c r="O42" s="14" t="str">
        <x:v>Y</x:v>
      </x:c>
    </x:row>
    <x:row r="43" ht="39.599998474121094" hidden="0" customHeight="1">
      <x:c r="A43" s="14" t="str">
        <x:v>term-367ef1cfc916</x:v>
      </x:c>
      <x:c r="B43" s="14" t="str">
        <x:v>ティンタ・ロリス</x:v>
      </x:c>
      <x:c r="C43" s="14" t="str"/>
      <x:c r="D43" s="14" t="str"/>
      <x:c r="E43" s="14" t="str"/>
      <x:c r="F43" s="14" t="str">
        <x:v>品種</x:v>
      </x:c>
      <x:c r="G43" s="14" t="str">
        <x:v>ティンタ・ロリスはワイン用ブドウ品種。熟した赤・黒系果実、ボディ、タンニンによる構造。</x:v>
      </x:c>
      <x:c r="H43" s="14" t="str">
        <x:v>栽培・成熟：赤系果実、ボディ、タンニン、比較的早い成熟。テンプラニーリョと同一品種で、ブレンドへ果実味と構造を加える。典型的なスタイル：熟した赤・黒系果実、ボディ、タンニンによる構造。主要な関連産地：ドウロ、ダン。</x:v>
      </x:c>
      <x:c r="I43" s="14" t="str"/>
      <x:c r="J43" s="14" t="str"/>
      <x:c r="K43" s="14" t="str">
        <x:v>品種;ブドウ</x:v>
      </x:c>
      <x:c r="L43" s="14" t="str"/>
      <x:c r="M43" s="14" t="str">
        <x:v>portugal_official_wine</x:v>
      </x:c>
      <x:c r="N43" s="14" t="str">
        <x:v>2026-07-12</x:v>
      </x:c>
      <x:c r="O43" s="14" t="str">
        <x:v>Y</x:v>
      </x:c>
    </x:row>
    <x:row r="44" ht="66" hidden="0" customHeight="1">
      <x:c r="A44" s="14" t="str">
        <x:v>term-8d9e8fb51794</x:v>
      </x:c>
      <x:c r="B44" s="14" t="str">
        <x:v>テンプラニーリョ</x:v>
      </x:c>
      <x:c r="C44" s="14" t="str">
        <x:v>Tempranillo</x:v>
      </x:c>
      <x:c r="D44" s="14" t="str">
        <x:v>Tempranillo</x:v>
      </x:c>
      <x:c r="E44" s="14" t="str"/>
      <x:c r="F44" s="14" t="str">
        <x:v>品種</x:v>
      </x:c>
      <x:c r="G44" s="14" t="str">
        <x:v>テンプラニーリョはワイン用ブドウ品種。熟した赤系果実、中程度の酸とタンニンを持つ、比較的手頃な辛口赤。暑く乾燥した内陸気候で成熟し、近代的な温度管理により果実味中心のスタイルを造れる。</x:v>
      </x:c>
      <x:c r="H44" s="14" t="str">
        <x:v>栽培・成熟：高い標高と大きな日較差により、昼に成熟し夜に酸を保つ。典型的なスタイル：熟した赤系果実、中程度の酸とタンニンを持つ、比較的手頃な辛口赤。暑く乾燥した内陸気候で成熟し、近代的な温度管理により果実味中心のスタイルを造れる。主要な関連産地：リオハ、リベラ・デル・ドゥエロ、リオハ・アルタ、リオハ・オリエンタル。</x:v>
      </x:c>
      <x:c r="I44" s="14" t="str"/>
      <x:c r="J44" s="14" t="str"/>
      <x:c r="K44" s="14" t="str">
        <x:v>品種;ブドウ</x:v>
      </x:c>
      <x:c r="L44" s="14" t="str"/>
      <x:c r="M44" s="14" t="str">
        <x:v>spain_official_wine</x:v>
      </x:c>
      <x:c r="N44" s="14" t="str">
        <x:v>2026-07-12</x:v>
      </x:c>
      <x:c r="O44" s="14" t="str">
        <x:v>Y</x:v>
      </x:c>
    </x:row>
    <x:row r="45" ht="52.79999923706055" hidden="0" customHeight="1">
      <x:c r="A45" s="14" t="str">
        <x:v>term-3cc4f9234b51</x:v>
      </x:c>
      <x:c r="B45" s="14" t="str">
        <x:v>トゥリガ・ナショナルほか</x:v>
      </x:c>
      <x:c r="C45" s="14" t="str"/>
      <x:c r="D45" s="14" t="str"/>
      <x:c r="E45" s="14" t="str"/>
      <x:c r="F45" s="14" t="str">
        <x:v>品種</x:v>
      </x:c>
      <x:c r="G45" s="14" t="str">
        <x:v>トゥリガ・ナショナルほかはワイン用ブドウ品種。発酵途中で酒精強化するまでの短時間に、十分な色とタンニンを抽出する必要があるため。甘味を残すため早く発酵を止めるので、足踏み等で抽出を加速する。</x:v>
      </x:c>
      <x:c r="H45" s="14" t="str">
        <x:v>栽培・成熟：発酵途中で酒精強化するまでの短時間に、十分な色とタンニンを抽出する必要があるため。甘味を残すため早く発酵を止めるので、足踏み等で抽出を加速する。主要な関連産地：ドウロ、ポート。気候、収穫時の成熟度、抽出や熟成方法により、酸・香り・ボディの現れ方が変わる。</x:v>
      </x:c>
      <x:c r="I45" s="14" t="str"/>
      <x:c r="J45" s="14" t="str"/>
      <x:c r="K45" s="14" t="str">
        <x:v>品種;ブドウ</x:v>
      </x:c>
      <x:c r="L45" s="14" t="str"/>
      <x:c r="M45" s="14" t="str">
        <x:v>portugal_official_wine</x:v>
      </x:c>
      <x:c r="N45" s="14" t="str">
        <x:v>2026-07-12</x:v>
      </x:c>
      <x:c r="O45" s="14" t="str">
        <x:v>Y</x:v>
      </x:c>
    </x:row>
    <x:row r="46" ht="52.79999923706055" hidden="0" customHeight="1">
      <x:c r="A46" s="14" t="str">
        <x:v>term-a03c29eff364</x:v>
      </x:c>
      <x:c r="B46" s="14" t="str">
        <x:v>トウリガ・ナシオナル</x:v>
      </x:c>
      <x:c r="C46" s="14" t="str"/>
      <x:c r="D46" s="14" t="str"/>
      <x:c r="E46" s="14" t="str"/>
      <x:c r="F46" s="14" t="str">
        <x:v>品種</x:v>
      </x:c>
      <x:c r="G46" s="14" t="str">
        <x:v>トウリガ・ナシオナルはワイン用ブドウ品種。深い色、高いタンニン、黒系果実と花の香り、長期熟成力。</x:v>
      </x:c>
      <x:c r="H46" s="14" t="str">
        <x:v>栽培・成熟：深い色、高いタンニン、黒系果実と花の香り、長期熟成力を与える。低収量で栽培が難しい一方、凝縮した構造と芳香を持ち、高級ルビー系ポートの骨格となる。典型的なスタイル：深い色、高いタンニン、黒系果実と花の香り、長期熟成力。主要な関連産地：ドウロ、ダン。</x:v>
      </x:c>
      <x:c r="I46" s="14" t="str"/>
      <x:c r="J46" s="14" t="str"/>
      <x:c r="K46" s="14" t="str">
        <x:v>品種;ブドウ</x:v>
      </x:c>
      <x:c r="L46" s="14" t="str"/>
      <x:c r="M46" s="14" t="str">
        <x:v>portugal_official_wine</x:v>
      </x:c>
      <x:c r="N46" s="14" t="str">
        <x:v>2026-07-12</x:v>
      </x:c>
      <x:c r="O46" s="14" t="str">
        <x:v>Y</x:v>
      </x:c>
    </x:row>
    <x:row r="47" ht="52.79999923706055" hidden="0" customHeight="1">
      <x:c r="A47" s="14" t="str">
        <x:v>term-ae44abb3b96a</x:v>
      </x:c>
      <x:c r="B47" s="14" t="str">
        <x:v>トウリガ・ナシオナルほか</x:v>
      </x:c>
      <x:c r="C47" s="14" t="str"/>
      <x:c r="D47" s="14" t="str"/>
      <x:c r="E47" s="14" t="str"/>
      <x:c r="F47" s="14" t="str">
        <x:v>品種</x:v>
      </x:c>
      <x:c r="G47" s="14" t="str">
        <x:v>トウリガ・ナシオナルほかはワイン用ブドウ品種。急斜面の低収量畑と厚い果皮の土着黒品種が、濃い果実とタンニンを与えるため。暑く乾燥した斜面と低収量の品種構成が、濃厚な果実味と強い構造を生む。</x:v>
      </x:c>
      <x:c r="H47" s="14" t="str">
        <x:v>栽培・成熟：急斜面の低収量畑と厚い果皮の土着黒品種が、濃い果実とタンニンを与えるため。暑く乾燥した斜面と低収量の品種構成が、濃厚な果実味と強い構造を生む。主要な関連産地：ドウロ。気候、収穫時の成熟度、抽出や熟成方法により、酸・香り・ボディの現れ方が変わる。</x:v>
      </x:c>
      <x:c r="I47" s="14" t="str"/>
      <x:c r="J47" s="14" t="str"/>
      <x:c r="K47" s="14" t="str">
        <x:v>品種;ブドウ</x:v>
      </x:c>
      <x:c r="L47" s="14" t="str"/>
      <x:c r="M47" s="14" t="str">
        <x:v>portugal_official_wine</x:v>
      </x:c>
      <x:c r="N47" s="14" t="str">
        <x:v>2026-07-12</x:v>
      </x:c>
      <x:c r="O47" s="14" t="str">
        <x:v>Y</x:v>
      </x:c>
    </x:row>
    <x:row r="48" ht="52.79999923706055" hidden="0" customHeight="1">
      <x:c r="A48" s="14" t="str">
        <x:v>term-e1fd05dd827d</x:v>
      </x:c>
      <x:c r="B48" s="14" t="str">
        <x:v>トウリガ・フランカ</x:v>
      </x:c>
      <x:c r="C48" s="14" t="str"/>
      <x:c r="D48" s="14" t="str"/>
      <x:c r="E48" s="14" t="str"/>
      <x:c r="F48" s="14" t="str">
        <x:v>品種</x:v>
      </x:c>
      <x:c r="G48" s="14" t="str">
        <x:v>トウリガ・フランカはワイン用ブドウ品種。香り高い赤・黒系果実、花、色、比較的安定した収量を与える。トウリガ・ナシオナルより栽培しやすく、香りと構造を補う重要品種である。</x:v>
      </x:c>
      <x:c r="H48" s="14" t="str">
        <x:v>栽培・成熟：香り高い赤・黒系果実、花、色、比較的安定した収量。栽培しやすく、トウリガ・ナシオナルを補完する重要品種である。典型的なスタイル：香り高い赤・黒系果実、花、色、比較的安定した収量を与える。トウリガ・ナシオナルより栽培しやすく、香りと構造を補う重要品種である。主要な関連産地：ドウロ。</x:v>
      </x:c>
      <x:c r="I48" s="14" t="str"/>
      <x:c r="J48" s="14" t="str"/>
      <x:c r="K48" s="14" t="str">
        <x:v>品種;ブドウ</x:v>
      </x:c>
      <x:c r="L48" s="14" t="str"/>
      <x:c r="M48" s="14" t="str">
        <x:v>portugal_official_wine</x:v>
      </x:c>
      <x:c r="N48" s="14" t="str">
        <x:v>2026-07-12</x:v>
      </x:c>
      <x:c r="O48" s="14" t="str">
        <x:v>Y</x:v>
      </x:c>
    </x:row>
    <x:row r="49" ht="39.599998474121094" hidden="0" customHeight="1">
      <x:c r="A49" s="14" t="str">
        <x:v>term-b45b11fd060f</x:v>
      </x:c>
      <x:c r="B49" s="14" t="str">
        <x:v>トリンカデイラほか</x:v>
      </x:c>
      <x:c r="C49" s="14" t="str"/>
      <x:c r="D49" s="14" t="str"/>
      <x:c r="E49" s="14" t="str"/>
      <x:c r="F49" s="14" t="str">
        <x:v>品種</x:v>
      </x:c>
      <x:c r="G49" s="14" t="str">
        <x:v>トリンカデイラほかはワイン用ブドウ品種。熟した黒系果実、高めのアルコール、柔らかなタンニンを持つ豊かな赤。</x:v>
      </x:c>
      <x:c r="H49" s="14" t="str">
        <x:v>栽培・成熟：熟した黒系果実、高めのアルコール、柔らかなタンニンを持つ豊かな赤。主要な関連産地：アレンテージョ。気候、収穫時の成熟度、抽出や熟成方法により、酸・香り・ボディの現れ方が変わる。</x:v>
      </x:c>
      <x:c r="I49" s="14" t="str"/>
      <x:c r="J49" s="14" t="str"/>
      <x:c r="K49" s="14" t="str">
        <x:v>品種;ブドウ</x:v>
      </x:c>
      <x:c r="L49" s="14" t="str"/>
      <x:c r="M49" s="14" t="str">
        <x:v>portugal_official_wine</x:v>
      </x:c>
      <x:c r="N49" s="14" t="str">
        <x:v>2026-07-12</x:v>
      </x:c>
      <x:c r="O49" s="14" t="str">
        <x:v>Y</x:v>
      </x:c>
    </x:row>
    <x:row r="50" ht="66" hidden="0" customHeight="1">
      <x:c r="A50" s="14" t="str">
        <x:v>term-52cbc3d82b16</x:v>
      </x:c>
      <x:c r="B50" s="14" t="str">
        <x:v>トレッビアーノ</x:v>
      </x:c>
      <x:c r="C50" s="14" t="str"/>
      <x:c r="D50" s="14" t="str"/>
      <x:c r="E50" s="14" t="str"/>
      <x:c r="F50" s="14" t="str">
        <x:v>品種</x:v>
      </x:c>
      <x:c r="G50" s="14" t="str">
        <x:v>トレッビアーノはワイン用ブドウ品種。マルヴァジアとトレッビアーノ主体の、軽いボディと花・柑橘を持つ白。ローマ近郊の火山性丘陵で造られ、若いうちに飲むフレッシュな白が中心である。</x:v>
      </x:c>
      <x:c r="H50" s="14" t="str">
        <x:v>栽培・成熟：グレケットとトレッビアーノ系品種から造る、軽快で高酸の辛口から中辛口白。ウンブリアの丘陵から、柑橘、リンゴ、アーモンドを思わせる白を造る。典型的なスタイル：マルヴァジアとトレッビアーノ主体の、軽いボディと花・柑橘を持つ白。ローマ近郊の火山性丘陵で造られ、若いうちに飲むフレッシュな白が中心である。主要な関連産地：オルヴィエート、フラスカーティ。</x:v>
      </x:c>
      <x:c r="I50" s="14" t="str"/>
      <x:c r="J50" s="14" t="str"/>
      <x:c r="K50" s="14" t="str">
        <x:v>品種;ブドウ</x:v>
      </x:c>
      <x:c r="L50" s="14" t="str"/>
      <x:c r="M50" s="14" t="str">
        <x:v>italy_official_wine</x:v>
      </x:c>
      <x:c r="N50" s="14" t="str">
        <x:v>2026-07-12</x:v>
      </x:c>
      <x:c r="O50" s="14" t="str">
        <x:v>Y</x:v>
      </x:c>
    </x:row>
    <x:row r="51" ht="52.79999923706055" hidden="0" customHeight="1">
      <x:c r="A51" s="14" t="str">
        <x:v>term-2f1fb805254d</x:v>
      </x:c>
      <x:c r="B51" s="14" t="str">
        <x:v>トレパット</x:v>
      </x:c>
      <x:c r="C51" s="14" t="str"/>
      <x:c r="D51" s="14" t="str"/>
      <x:c r="E51" s="14" t="str"/>
      <x:c r="F51" s="14" t="str">
        <x:v>品種</x:v>
      </x:c>
      <x:c r="G51" s="14" t="str">
        <x:v>トレパットはワイン用ブドウ品種。ガルナッチャ、トレパット、ピノ・ノワールなど黒ブドウを短時間果皮浸漬する。黒ブドウから必要な色だけを抽出してベースワインを造り、その後伝統的方式で発泡性を得る。</x:v>
      </x:c>
      <x:c r="H51" s="14" t="str">
        <x:v>栽培・成熟：ガルナッチャ、トレパット、ピノ・ノワールなど黒ブドウを短時間果皮浸漬する。黒ブドウから必要な色だけを抽出してベースワインを造り、その後伝統的方式で発泡性を得る。主要な関連産地：カバ。</x:v>
      </x:c>
      <x:c r="I51" s="14" t="str"/>
      <x:c r="J51" s="14" t="str"/>
      <x:c r="K51" s="14" t="str">
        <x:v>品種;ブドウ</x:v>
      </x:c>
      <x:c r="L51" s="14" t="str"/>
      <x:c r="M51" s="14" t="str">
        <x:v>spain_official_wine</x:v>
      </x:c>
      <x:c r="N51" s="14" t="str">
        <x:v>2026-07-12</x:v>
      </x:c>
      <x:c r="O51" s="14" t="str">
        <x:v>Y</x:v>
      </x:c>
    </x:row>
    <x:row r="52" ht="52.79999923706055" hidden="0" customHeight="1">
      <x:c r="A52" s="14" t="str">
        <x:v>term-2694a2857756</x:v>
      </x:c>
      <x:c r="B52" s="14" t="str">
        <x:v>トロンテス</x:v>
      </x:c>
      <x:c r="C52" s="14" t="str"/>
      <x:c r="D52" s="14" t="str"/>
      <x:c r="E52" s="14" t="str"/>
      <x:c r="F52" s="14" t="str">
        <x:v>品種</x:v>
      </x:c>
      <x:c r="G52" s="14" t="str">
        <x:v>トロンテスはワイン用ブドウ品種。極めて高い標高、強い日照、冷涼な夜。</x:v>
      </x:c>
      <x:c r="H52" s="14" t="str">
        <x:v>栽培・成熟：高標高、強い日照、冷涼な夜、乾燥した気候。典型的なスタイル：極めて高い標高、強い日照、冷涼な夜。主要な関連産地：カファジャテ、サルタ、メンドーサ。気候、収穫時の成熟度、抽出や熟成方法により、酸・香り・ボディの現れ方が変わる。</x:v>
      </x:c>
      <x:c r="I52" s="14" t="str"/>
      <x:c r="J52" s="14" t="str"/>
      <x:c r="K52" s="14" t="str">
        <x:v>品種;ブドウ</x:v>
      </x:c>
      <x:c r="L52" s="14" t="str"/>
      <x:c r="M52" s="14" t="str">
        <x:v>argentina_official_wine</x:v>
      </x:c>
      <x:c r="N52" s="14" t="str">
        <x:v>2026-07-12</x:v>
      </x:c>
      <x:c r="O52" s="14" t="str">
        <x:v>Y</x:v>
      </x:c>
    </x:row>
    <x:row r="53" ht="52.79999923706055" hidden="0" customHeight="1">
      <x:c r="A53" s="14" t="str">
        <x:v>term-f5ceb1ab84a0</x:v>
      </x:c>
      <x:c r="B53" s="14" t="str">
        <x:v>ネッビオーロ</x:v>
      </x:c>
      <x:c r="C53" s="14" t="str">
        <x:v>Nebbiolo</x:v>
      </x:c>
      <x:c r="D53" s="14" t="str">
        <x:v>Nebbiolo</x:v>
      </x:c>
      <x:c r="E53" s="14" t="str"/>
      <x:c r="F53" s="14" t="str">
        <x:v>品種</x:v>
      </x:c>
      <x:c r="G53" s="14" t="str">
        <x:v>ネッビオーロはワイン用ブドウ品種。Baroloは一般により力強く長熟、Barbarescoはやや早く飲み頃になりやすい。</x:v>
      </x:c>
      <x:c r="H53" s="14" t="str">
        <x:v>栽培・成熟：晩熟で、糖、香り、タンニンの成熟に十分な時間を要するから。長い秋と日当たりのよい斜面が、酸を保ちながらフェノール類の成熟を進める。典型的なスタイル：Baroloは一般により力強く長熟、Barbarescoはやや早く飲み頃になりやすい。主要な関連産地：バローロ、バルバレスコ。</x:v>
      </x:c>
      <x:c r="I53" s="14" t="str"/>
      <x:c r="J53" s="14" t="str"/>
      <x:c r="K53" s="14" t="str">
        <x:v>品種;ブドウ</x:v>
      </x:c>
      <x:c r="L53" s="14" t="str"/>
      <x:c r="M53" s="14" t="str">
        <x:v>italy_official_wine</x:v>
      </x:c>
      <x:c r="N53" s="14" t="str">
        <x:v>2026-07-12</x:v>
      </x:c>
      <x:c r="O53" s="14" t="str">
        <x:v>Y</x:v>
      </x:c>
    </x:row>
    <x:row r="54" ht="52.79999923706055" hidden="0" customHeight="1">
      <x:c r="A54" s="14" t="str">
        <x:v>term-7a5bdd96d18c</x:v>
      </x:c>
      <x:c r="B54" s="14" t="str">
        <x:v>ネレッロ・マスカレーゼ</x:v>
      </x:c>
      <x:c r="C54" s="14" t="str"/>
      <x:c r="D54" s="14" t="str"/>
      <x:c r="E54" s="14" t="str"/>
      <x:c r="F54" s="14" t="str">
        <x:v>品種</x:v>
      </x:c>
      <x:c r="G54" s="14" t="str">
        <x:v>ネレッロ・マスカレーゼはワイン用ブドウ品種。Etnaは高標高で高酸・繊細、Primitivoは温暖で熟した高アルコール赤。</x:v>
      </x:c>
      <x:c r="H54" s="14" t="str">
        <x:v>栽培・成熟：高標高の火山斜面でネレッロ・マスカレーゼを栽培するため。標高による冷涼な夜が酸を保持し、果皮色素が比較的少ない品種から、香り高く引き締まった赤が造られる。典型的なスタイル：Etnaは高標高で高酸・繊細、Primitivoは温暖で熟した高アルコール赤。主要な関連産地：エトナ、プーリア。</x:v>
      </x:c>
      <x:c r="I54" s="14" t="str"/>
      <x:c r="J54" s="14" t="str"/>
      <x:c r="K54" s="14" t="str">
        <x:v>品種;ブドウ</x:v>
      </x:c>
      <x:c r="L54" s="14" t="str"/>
      <x:c r="M54" s="14" t="str">
        <x:v>italy_official_wine</x:v>
      </x:c>
      <x:c r="N54" s="14" t="str">
        <x:v>2026-07-12</x:v>
      </x:c>
      <x:c r="O54" s="14" t="str">
        <x:v>Y</x:v>
      </x:c>
    </x:row>
    <x:row r="55" ht="39.599998474121094" hidden="0" customHeight="1">
      <x:c r="A55" s="14" t="str">
        <x:v>term-18e83370b5dc</x:v>
      </x:c>
      <x:c r="B55" s="14" t="str">
        <x:v>ネロ・ダーヴォラ</x:v>
      </x:c>
      <x:c r="C55" s="14" t="str"/>
      <x:c r="D55" s="14" t="str"/>
      <x:c r="E55" s="14" t="str"/>
      <x:c r="F55" s="14" t="str">
        <x:v>品種</x:v>
      </x:c>
      <x:c r="G55" s="14" t="str">
        <x:v>ネロ・ダーヴォラはワイン用ブドウ品種。熟した黒いチェリーとプラム、中程度以上の酸とタンニン、スパイスを持つ赤。</x:v>
      </x:c>
      <x:c r="H55" s="14" t="str">
        <x:v>栽培・成熟：熟した黒いチェリーとプラム、中程度以上の酸とタンニン、スパイスを持つ赤。主要な関連産地：シチリア。気候、収穫時の成熟度、抽出や熟成方法により、酸・香り・ボディの現れ方が変わる。</x:v>
      </x:c>
      <x:c r="I55" s="14" t="str"/>
      <x:c r="J55" s="14" t="str"/>
      <x:c r="K55" s="14" t="str">
        <x:v>品種;ブドウ</x:v>
      </x:c>
      <x:c r="L55" s="14" t="str"/>
      <x:c r="M55" s="14" t="str">
        <x:v>italy_official_wine</x:v>
      </x:c>
      <x:c r="N55" s="14" t="str">
        <x:v>2026-07-12</x:v>
      </x:c>
      <x:c r="O55" s="14" t="str">
        <x:v>Y</x:v>
      </x:c>
    </x:row>
    <x:row r="56" ht="79.19999694824219" hidden="0" customHeight="1">
      <x:c r="A56" s="14" t="str">
        <x:v>term-1e1347954d1b</x:v>
      </x:c>
      <x:c r="B56" s="14" t="str">
        <x:v>バガ</x:v>
      </x:c>
      <x:c r="C56" s="14" t="str"/>
      <x:c r="D56" s="14" t="str"/>
      <x:c r="E56" s="14" t="str"/>
      <x:c r="F56" s="14" t="str">
        <x:v>品種</x:v>
      </x:c>
      <x:c r="G56" s="14" t="str">
        <x:v>バガはワイン用ブドウ品種。高い酸とタンニン、赤・黒系果実を持ち、熟成力が高い。Bagaの高酸・高タンニン・熟成力を正しく示しており、品種の酸、タンニン、芳香、果皮または成熟特性がワインのスタイルを形作る。</x:v>
      </x:c>
      <x:c r="H56" s="14" t="str">
        <x:v>栽培・成熟：海洋性の冷涼な気候で高い酸を保ち、厚い果皮から高いタンニンを得るため。バガは晩熟で色とタンニンが高く、適切に成熟すると赤系果実と土の複雑性を持つ構造的な赤になる。典型的なスタイル：高い酸とタンニン、赤・黒系果実を持ち、熟成力が高い。Bagaの高酸・高タンニン・熟成力を正しく示しており、品種の酸、タンニン、芳香、果皮または成熟特性がワインのスタイルを形作る。主要な関連産地：バイラーダ。</x:v>
      </x:c>
      <x:c r="I56" s="14" t="str"/>
      <x:c r="J56" s="14" t="str"/>
      <x:c r="K56" s="14" t="str">
        <x:v>品種;ブドウ</x:v>
      </x:c>
      <x:c r="L56" s="14" t="str"/>
      <x:c r="M56" s="14" t="str">
        <x:v>portugal_official_wine</x:v>
      </x:c>
      <x:c r="N56" s="14" t="str">
        <x:v>2026-07-12</x:v>
      </x:c>
      <x:c r="O56" s="14" t="str">
        <x:v>Y</x:v>
      </x:c>
    </x:row>
    <x:row r="57" ht="39.599998474121094" hidden="0" customHeight="1">
      <x:c r="A57" s="14" t="str">
        <x:v>term-22da9b42cdfc</x:v>
      </x:c>
      <x:c r="B57" s="14" t="str">
        <x:v>パイス</x:v>
      </x:c>
      <x:c r="C57" s="14" t="str"/>
      <x:c r="D57" s="14" t="str"/>
      <x:c r="E57" s="14" t="str"/>
      <x:c r="F57" s="14" t="str">
        <x:v>品種</x:v>
      </x:c>
      <x:c r="G57" s="14" t="str">
        <x:v>パイスはワイン用ブドウ品種。南に位置し海洋の影響が強く、気温が低いため。高緯度と海風・降雨により成熟が緩やかで、酸と軽い果実味を保つ。</x:v>
      </x:c>
      <x:c r="H57" s="14" t="str">
        <x:v>栽培・成熟：南に位置し海洋の影響が強く、気温が低いため。高緯度と海風・降雨により成熟が緩やかで、酸と軽い果実味を保つ。主要な関連産地：イタタ、ビオ・ビオ。気候、収穫時の成熟度、抽出や熟成方法により、酸・香り・ボディの現れ方が変わる。</x:v>
      </x:c>
      <x:c r="I57" s="14" t="str"/>
      <x:c r="J57" s="14" t="str"/>
      <x:c r="K57" s="14" t="str">
        <x:v>品種;ブドウ</x:v>
      </x:c>
      <x:c r="L57" s="14" t="str"/>
      <x:c r="M57" s="14" t="str">
        <x:v>chile_official_wine</x:v>
      </x:c>
      <x:c r="N57" s="14" t="str">
        <x:v>2026-07-12</x:v>
      </x:c>
      <x:c r="O57" s="14" t="str">
        <x:v>Y</x:v>
      </x:c>
    </x:row>
    <x:row r="58" ht="66" hidden="0" customHeight="1">
      <x:c r="A58" s="14" t="str">
        <x:v>term-e9bb0a0968f4</x:v>
      </x:c>
      <x:c r="B58" s="14" t="str">
        <x:v>パレリャーダ</x:v>
      </x:c>
      <x:c r="C58" s="14" t="str"/>
      <x:c r="D58" s="14" t="str"/>
      <x:c r="E58" s="14" t="str"/>
      <x:c r="F58" s="14" t="str">
        <x:v>品種</x:v>
      </x:c>
      <x:c r="G58" s="14" t="str">
        <x:v>パレリャーダはワイン用ブドウ品種。マカベオの穏やかな果実、チャレッロの酸と構造、パレリャーダの繊細な香り。三品種の成熟時期と成分の違いをブレンドし、果実味、骨格、芳香の均衡を作る。</x:v>
      </x:c>
      <x:c r="H58" s="14" t="str">
        <x:v>栽培・成熟：高標高で酸を保ち、繊細な花と柑橘の香りを与える。晩熟のパレリャーダは冷涼な高地で最良となり、ブレンドへ軽やかさと香りを加える。典型的なスタイル：マカベオの穏やかな果実、チャレッロの酸と構造、パレリャーダの繊細な香り。三品種の成熟時期と成分の違いをブレンドし、果実味、骨格、芳香の均衡を作る。主要な関連産地：カバ。</x:v>
      </x:c>
      <x:c r="I58" s="14" t="str"/>
      <x:c r="J58" s="14" t="str"/>
      <x:c r="K58" s="14" t="str">
        <x:v>品種;ブドウ</x:v>
      </x:c>
      <x:c r="L58" s="14" t="str"/>
      <x:c r="M58" s="14" t="str">
        <x:v>spain_official_wine</x:v>
      </x:c>
      <x:c r="N58" s="14" t="str">
        <x:v>2026-07-12</x:v>
      </x:c>
      <x:c r="O58" s="14" t="str">
        <x:v>Y</x:v>
      </x:c>
    </x:row>
    <x:row r="59" ht="52.79999923706055" hidden="0" customHeight="1">
      <x:c r="A59" s="14" t="str">
        <x:v>term-bc0cb08a3cd9</x:v>
      </x:c>
      <x:c r="B59" s="14" t="str">
        <x:v>パロミノ</x:v>
      </x:c>
      <x:c r="C59" s="14" t="str">
        <x:v>Palomino</x:v>
      </x:c>
      <x:c r="D59" s="14" t="str">
        <x:v>Palomino</x:v>
      </x:c>
      <x:c r="E59" s="14" t="str"/>
      <x:c r="F59" s="14" t="str">
        <x:v>品種</x:v>
      </x:c>
      <x:c r="G59" s="14" t="str">
        <x:v>パロミノはワイン用ブドウ品種。比較的中立的な香りと穏やかな酸を持ち、熟成工程の特徴を表しやすい。品種香が控えめなため、フロール、アセトアルデヒド、酸化由来の風味が前面に出る。</x:v>
      </x:c>
      <x:c r="H59" s="14" t="str">
        <x:v>栽培・成熟：低い自然酸を補い、発酵と熟成中のバランスと微生物安定性を高める。典型的なスタイル：比較的中立的な香りと穏やかな酸を持ち、熟成工程の特徴を表しやすい。品種香が控えめなため、フロール、アセトアルデヒド、酸化由来の風味が前面に出る。主要な関連産地：ヘレス、サンルーカル・デ・バラメダ。</x:v>
      </x:c>
      <x:c r="I59" s="14" t="str"/>
      <x:c r="J59" s="14" t="str"/>
      <x:c r="K59" s="14" t="str">
        <x:v>品種;ブドウ</x:v>
      </x:c>
      <x:c r="L59" s="14" t="str"/>
      <x:c r="M59" s="14" t="str">
        <x:v>spain_official_wine</x:v>
      </x:c>
      <x:c r="N59" s="14" t="str">
        <x:v>2026-07-12</x:v>
      </x:c>
      <x:c r="O59" s="14" t="str">
        <x:v>Y</x:v>
      </x:c>
    </x:row>
    <x:row r="60" ht="52.79999923706055" hidden="0" customHeight="1">
      <x:c r="A60" s="14" t="str">
        <x:v>term-35f50fd2411b</x:v>
      </x:c>
      <x:c r="B60" s="14" t="str">
        <x:v>ピクプール</x:v>
      </x:c>
      <x:c r="C60" s="14" t="str"/>
      <x:c r="D60" s="14" t="str"/>
      <x:c r="E60" s="14" t="str"/>
      <x:c r="F60" s="14" t="str">
        <x:v>品種</x:v>
      </x:c>
      <x:c r="G60" s="14" t="str">
        <x:v>ピクプールはワイン用ブドウ品種。高い酸、軽いボディ、レモンと青リンゴを持つ辛口白。地中海沿岸の海風の影響を受け、酸を保つピクプールから魚介向きの爽やかな白を造る。</x:v>
      </x:c>
      <x:c r="H60" s="14" t="str">
        <x:v>栽培・成熟：高い酸、軽いボディ、レモンと青リンゴを持つ辛口白。地中海沿岸の海風の影響を受け、酸を保つピクプールから魚介向きの爽やかな白を造る。主要な関連産地：ピクプール・ド・ピネ。気候、収穫時の成熟度、抽出や熟成方法により、酸・香り・ボディの現れ方が変わる。</x:v>
      </x:c>
      <x:c r="I60" s="14" t="str"/>
      <x:c r="J60" s="14" t="str"/>
      <x:c r="K60" s="14" t="str">
        <x:v>品種;ブドウ</x:v>
      </x:c>
      <x:c r="L60" s="14" t="str"/>
      <x:c r="M60" s="14" t="str">
        <x:v>rhone_official_terroir</x:v>
      </x:c>
      <x:c r="N60" s="14" t="str">
        <x:v>2026-07-12</x:v>
      </x:c>
      <x:c r="O60" s="14" t="str">
        <x:v>Y</x:v>
      </x:c>
    </x:row>
    <x:row r="61" ht="39.599998474121094" hidden="0" customHeight="1">
      <x:c r="A61" s="14" t="str">
        <x:v>term-837aa50433bd</x:v>
      </x:c>
      <x:c r="B61" s="14" t="str">
        <x:v>ピノ・グリ</x:v>
      </x:c>
      <x:c r="C61" s="14" t="str">
        <x:v>Pinot Gris</x:v>
      </x:c>
      <x:c r="D61" s="14" t="str">
        <x:v>Pinot Gris</x:v>
      </x:c>
      <x:c r="E61" s="14" t="str"/>
      <x:c r="F61" s="14" t="str">
        <x:v>品種</x:v>
      </x:c>
      <x:c r="G61" s="14" t="str">
        <x:v>ピノ・グリはワイン用ブドウ品種。ヴォージュ山脈の雨陰による乾燥した晴天と長い生育期間。乾燥と日照が健全な果実の成熟を促し、香りと糖度を高めやすい。</x:v>
      </x:c>
      <x:c r="H61" s="14" t="str">
        <x:v>栽培・成熟：ヴォージュ山脈の雨陰による乾燥した晴天と長い生育期間。乾燥と日照が健全な果実の成熟を促し、香りと糖度を高めやすい。主要な関連産地：アルザス。気候、収穫時の成熟度、抽出や熟成方法により、酸・香り・ボディの現れ方が変わる。</x:v>
      </x:c>
      <x:c r="I61" s="14" t="str"/>
      <x:c r="J61" s="14" t="str"/>
      <x:c r="K61" s="14" t="str">
        <x:v>品種;ブドウ</x:v>
      </x:c>
      <x:c r="L61" s="14" t="str"/>
      <x:c r="M61" s="14" t="str">
        <x:v>alsace_official_terroir</x:v>
      </x:c>
      <x:c r="N61" s="14" t="str">
        <x:v>2026-07-12</x:v>
      </x:c>
      <x:c r="O61" s="14" t="str">
        <x:v>Y</x:v>
      </x:c>
    </x:row>
    <x:row r="62" ht="66" hidden="0" customHeight="1">
      <x:c r="A62" s="14" t="str">
        <x:v>term-2a0523caaee7</x:v>
      </x:c>
      <x:c r="B62" s="14" t="str">
        <x:v>ピノ・グリージョ</x:v>
      </x:c>
      <x:c r="C62" s="14" t="str">
        <x:v>Pinot Grigio</x:v>
      </x:c>
      <x:c r="D62" s="14" t="str">
        <x:v>Pinot Gris</x:v>
      </x:c>
      <x:c r="E62" s="14" t="str"/>
      <x:c r="F62" s="14" t="str">
        <x:v>品種</x:v>
      </x:c>
      <x:c r="G62" s="14" t="str">
        <x:v>ピノ・グリージョはワイン用ブドウ品種。アルプスの冷気とアドリア海の温和な影響が、日較差と長い成熟期間を生むため。</x:v>
      </x:c>
      <x:c r="H62" s="14" t="str">
        <x:v>栽培・成熟：高標高と大きな日較差により、酸と香りを保ちやすい。山岳気候の冷涼な夜が、ピノ・グリージョの鮮度と芳香を保つ。典型的なスタイル：アルプスの冷気とアドリア海の温和な影響が、日較差と長い成熟期間を生むため。主要な関連産地：アルト・アディジェ、コッリオ、ソアーヴェ・クラッシコ、ピノ・グリージョ・デッレ・ヴェネツィエ。</x:v>
      </x:c>
      <x:c r="I62" s="14" t="str"/>
      <x:c r="J62" s="14" t="str"/>
      <x:c r="K62" s="14" t="str">
        <x:v>品種;ブドウ</x:v>
      </x:c>
      <x:c r="L62" s="14" t="str"/>
      <x:c r="M62" s="14" t="str">
        <x:v>italy_official_wine</x:v>
      </x:c>
      <x:c r="N62" s="14" t="str">
        <x:v>2026-07-12</x:v>
      </x:c>
      <x:c r="O62" s="14" t="str">
        <x:v>Y</x:v>
      </x:c>
    </x:row>
    <x:row r="63" ht="39.599998474121094" hidden="0" customHeight="1">
      <x:c r="A63" s="14" t="str">
        <x:v>term-848dce0bf5ef</x:v>
      </x:c>
      <x:c r="B63" s="14" t="str">
        <x:v>ピノ・ネロ</x:v>
      </x:c>
      <x:c r="C63" s="14" t="str"/>
      <x:c r="D63" s="14" t="str"/>
      <x:c r="E63" s="14" t="str"/>
      <x:c r="F63" s="14" t="str">
        <x:v>品種</x:v>
      </x:c>
      <x:c r="G63" s="14" t="str">
        <x:v>ピノ・ネロはワイン用ブドウ品種。シャルドネやピノ・ネロを用いる伝統的方式で、長い澱熟成を行う高品質発泡性ワイン。</x:v>
      </x:c>
      <x:c r="H63" s="14" t="str">
        <x:v>栽培・成熟：シャルドネやピノ・ネロを用いる伝統的方式で、長い澱熟成を行う高品質発泡性ワイン。主要な関連産地：フランチャコルタ。気候、収穫時の成熟度、抽出や熟成方法により、酸・香り・ボディの現れ方が変わる。</x:v>
      </x:c>
      <x:c r="I63" s="14" t="str"/>
      <x:c r="J63" s="14" t="str"/>
      <x:c r="K63" s="14" t="str">
        <x:v>品種;ブドウ</x:v>
      </x:c>
      <x:c r="L63" s="14" t="str"/>
      <x:c r="M63" s="14" t="str">
        <x:v>bourgogne_official_profiles</x:v>
      </x:c>
      <x:c r="N63" s="14" t="str">
        <x:v>2026-07-12</x:v>
      </x:c>
      <x:c r="O63" s="14" t="str">
        <x:v>Y</x:v>
      </x:c>
    </x:row>
    <x:row r="64" ht="79.19999694824219" hidden="0" customHeight="1">
      <x:c r="A64" s="14" t="str">
        <x:v>term-8a3522eab015</x:v>
      </x:c>
      <x:c r="B64" s="14" t="str">
        <x:v>ピノ・ノワール</x:v>
      </x:c>
      <x:c r="C64" s="14" t="str">
        <x:v>Pinot Noir</x:v>
      </x:c>
      <x:c r="D64" s="14" t="str">
        <x:v>Pinot Noir</x:v>
      </x:c>
      <x:c r="E64" s="14" t="str"/>
      <x:c r="F64" s="14" t="str">
        <x:v>品種</x:v>
      </x:c>
      <x:c r="G64" s="14" t="str">
        <x:v>ピノ・ノワールはワイン用ブドウ品種。赤・黒系果実、花、甘いスパイス、絹のような質感と高い熟成力。優良な東向き斜面と低収量により、香りの複雑性と凝縮した構造を兼ね備える。</x:v>
      </x:c>
      <x:c r="H64" s="14" t="str">
        <x:v>栽培・成熟：冷涼から温和な気候と長い生育期間により、酸と繊細な香りを保ちながら成熟できるため。ピノ・ノワールの早熟性に合い、過度な糖度上昇を避けながら風味を発達させやすい。典型的なスタイル：赤・黒系果実、花、甘いスパイス、絹のような質感と高い熟成力。優良な東向き斜面と低収量により、香りの複雑性と凝縮した構造を兼ね備える。主要な関連産地：シャンパーニュ、マールボロ、セントラル・オタゴ、タスマニア。</x:v>
      </x:c>
      <x:c r="I64" s="14" t="str"/>
      <x:c r="J64" s="14" t="str"/>
      <x:c r="K64" s="14" t="str">
        <x:v>品種;ブドウ</x:v>
      </x:c>
      <x:c r="L64" s="14" t="str"/>
      <x:c r="M64" s="14" t="str">
        <x:v>bourgogne_official_profiles</x:v>
      </x:c>
      <x:c r="N64" s="14" t="str">
        <x:v>2026-07-12</x:v>
      </x:c>
      <x:c r="O64" s="14" t="str">
        <x:v>Y</x:v>
      </x:c>
    </x:row>
    <x:row r="65" ht="52.79999923706055" hidden="0" customHeight="1">
      <x:c r="A65" s="14" t="str">
        <x:v>term-b73f315b3ee4</x:v>
      </x:c>
      <x:c r="B65" s="14" t="str">
        <x:v>ピノ・ブラン</x:v>
      </x:c>
      <x:c r="C65" s="14" t="str"/>
      <x:c r="D65" s="14" t="str"/>
      <x:c r="E65" s="14" t="str"/>
      <x:c r="F65" s="14" t="str">
        <x:v>品種</x:v>
      </x:c>
      <x:c r="G65" s="14" t="str">
        <x:v>ピノ・ブランはワイン用ブドウ品種。ピノ・ブランとオーセロワ。アルザスの比較的乾燥した気候で栽培され、伝統的方式のフレッシュで果実味のある発泡性ワインに適する。</x:v>
      </x:c>
      <x:c r="H65" s="14" t="str">
        <x:v>栽培・成熟：ピノ・ブランとオーセロワ。アルザスの比較的乾燥した気候で栽培され、伝統的方式のフレッシュで果実味のある発泡性ワインに適する。主要な関連産地：アルザス。気候、収穫時の成熟度、抽出や熟成方法により、酸・香り・ボディの現れ方が変わる。</x:v>
      </x:c>
      <x:c r="I65" s="14" t="str"/>
      <x:c r="J65" s="14" t="str"/>
      <x:c r="K65" s="14" t="str">
        <x:v>品種;ブドウ</x:v>
      </x:c>
      <x:c r="L65" s="14" t="str"/>
      <x:c r="M65" s="14" t="str">
        <x:v>alsace_official_terroir</x:v>
      </x:c>
      <x:c r="N65" s="14" t="str">
        <x:v>2026-07-12</x:v>
      </x:c>
      <x:c r="O65" s="14" t="str">
        <x:v>Y</x:v>
      </x:c>
    </x:row>
    <x:row r="66" ht="52.79999923706055" hidden="0" customHeight="1">
      <x:c r="A66" s="14" t="str">
        <x:v>term-8023df41d3d8</x:v>
      </x:c>
      <x:c r="B66" s="14" t="str">
        <x:v>フィアーノ</x:v>
      </x:c>
      <x:c r="C66" s="14" t="str"/>
      <x:c r="D66" s="14" t="str"/>
      <x:c r="E66" s="14" t="str"/>
      <x:c r="F66" s="14" t="str">
        <x:v>品種</x:v>
      </x:c>
      <x:c r="G66" s="14" t="str">
        <x:v>フィアーノはワイン用ブドウ品種。高い酸と十分な果実濃度を持ち、熟成で蜂蜜、ナッツ、煙の香りが発達するため。カンパーニアの高標高丘陵で成熟が緩やかに進み、構造のある白を生む。</x:v>
      </x:c>
      <x:c r="H66" s="14" t="str">
        <x:v>栽培・成熟：高い酸と十分な果実濃度を持ち、熟成で蜂蜜、ナッツ、煙の香りが発達するため。カンパーニアの高標高丘陵で成熟が緩やかに進み、構造のある白を生む。主要な関連産地：フィアーノ・ディ・アヴェッリーノ。</x:v>
      </x:c>
      <x:c r="I66" s="14" t="str"/>
      <x:c r="J66" s="14" t="str"/>
      <x:c r="K66" s="14" t="str">
        <x:v>品種;ブドウ</x:v>
      </x:c>
      <x:c r="L66" s="14" t="str"/>
      <x:c r="M66" s="14" t="str">
        <x:v>italy_official_wine</x:v>
      </x:c>
      <x:c r="N66" s="14" t="str">
        <x:v>2026-07-12</x:v>
      </x:c>
      <x:c r="O66" s="14" t="str">
        <x:v>Y</x:v>
      </x:c>
    </x:row>
    <x:row r="67" ht="39.599998474121094" hidden="0" customHeight="1">
      <x:c r="A67" s="14" t="str">
        <x:v>term-09c7d8f633c0</x:v>
      </x:c>
      <x:c r="B67" s="14" t="str">
        <x:v>フリウラーノ</x:v>
      </x:c>
      <x:c r="C67" s="14" t="str"/>
      <x:c r="D67" s="14" t="str"/>
      <x:c r="E67" s="14" t="str"/>
      <x:c r="F67" s="14" t="str">
        <x:v>品種</x:v>
      </x:c>
      <x:c r="G67" s="14" t="str">
        <x:v>フリウラーノはワイン用ブドウ品種。アルプスの冷気とアドリア海の温和な影響が、日較差と長い成熟期間を生むため。</x:v>
      </x:c>
      <x:c r="H67" s="14" t="str">
        <x:v>栽培・成熟：アルプスの冷気とアドリア海の温和な影響が、日較差と長い成熟期間を生むため。主要な関連産地：コッリオ。気候、収穫時の成熟度、抽出や熟成方法により、酸・香り・ボディの現れ方が変わる。</x:v>
      </x:c>
      <x:c r="I67" s="14" t="str"/>
      <x:c r="J67" s="14" t="str"/>
      <x:c r="K67" s="14" t="str">
        <x:v>品種;ブドウ</x:v>
      </x:c>
      <x:c r="L67" s="14" t="str"/>
      <x:c r="M67" s="14" t="str">
        <x:v>italy_official_wine</x:v>
      </x:c>
      <x:c r="N67" s="14" t="str">
        <x:v>2026-07-12</x:v>
      </x:c>
      <x:c r="O67" s="14" t="str">
        <x:v>Y</x:v>
      </x:c>
    </x:row>
    <x:row r="68" ht="52.79999923706055" hidden="0" customHeight="1">
      <x:c r="A68" s="14" t="str">
        <x:v>term-c08a6ad96952</x:v>
      </x:c>
      <x:c r="B68" s="14" t="str">
        <x:v>フルミント</x:v>
      </x:c>
      <x:c r="C68" s="14" t="str"/>
      <x:c r="D68" s="14" t="str"/>
      <x:c r="E68" s="14" t="str"/>
      <x:c r="F68" s="14" t="str">
        <x:v>品種</x:v>
      </x:c>
      <x:c r="G68" s="14" t="str">
        <x:v>フルミントはワイン用ブドウ品種。排水と日照を確保し、霧がたまる低地より健全な成熟を得やすい。</x:v>
      </x:c>
      <x:c r="H68" s="14" t="str">
        <x:v>栽培・成熟：高い酸と晩熟性を持ち、貴腐や濃縮後もバランスを保てる。Furmintの高酸・晩熟性・甘口熟成力を正しく示しており、品種の酸、タンニン、芳香、果皮または成熟特性がワインのスタイルを形作る。典型的なスタイル：排水と日照を確保し、霧がたまる低地より健全な成熟を得やすい。主要な関連産地：トカイ、ソーテルヌ。</x:v>
      </x:c>
      <x:c r="I68" s="14" t="str"/>
      <x:c r="J68" s="14" t="str"/>
      <x:c r="K68" s="14" t="str">
        <x:v>品種;ブドウ</x:v>
      </x:c>
      <x:c r="L68" s="14" t="str"/>
      <x:c r="M68" s="14" t="str">
        <x:v>hungary_official_wine</x:v>
      </x:c>
      <x:c r="N68" s="14" t="str">
        <x:v>2026-07-12</x:v>
      </x:c>
      <x:c r="O68" s="14" t="str">
        <x:v>Y</x:v>
      </x:c>
    </x:row>
    <x:row r="69" ht="52.79999923706055" hidden="0" customHeight="1">
      <x:c r="A69" s="14" t="str">
        <x:v>term-f0119a6c8649</x:v>
      </x:c>
      <x:c r="B69" s="14" t="str">
        <x:v>プリミティーヴォ</x:v>
      </x:c>
      <x:c r="C69" s="14" t="str"/>
      <x:c r="D69" s="14" t="str"/>
      <x:c r="E69" s="14" t="str"/>
      <x:c r="F69" s="14" t="str">
        <x:v>品種</x:v>
      </x:c>
      <x:c r="G69" s="14" t="str">
        <x:v>プリミティーヴォはワイン用ブドウ品種。Etnaは高標高で高酸・繊細、Primitivoは温暖で熟した高アルコール赤。</x:v>
      </x:c>
      <x:c r="H69" s="14" t="str">
        <x:v>栽培・成熟：熟した黒系果実、ジャムを思わせる風味、高いアルコールを持つ豊かな赤。暑く乾燥した条件で高い糖度まで成熟し、濃厚で果実味豊かなスタイルになる。典型的なスタイル：Etnaは高標高で高酸・繊細、Primitivoは温暖で熟した高アルコール赤。主要な関連産地：プーリア、エトナ。</x:v>
      </x:c>
      <x:c r="I69" s="14" t="str"/>
      <x:c r="J69" s="14" t="str"/>
      <x:c r="K69" s="14" t="str">
        <x:v>品種;ブドウ</x:v>
      </x:c>
      <x:c r="L69" s="14" t="str"/>
      <x:c r="M69" s="14" t="str">
        <x:v>italy_official_wine</x:v>
      </x:c>
      <x:c r="N69" s="14" t="str">
        <x:v>2026-07-12</x:v>
      </x:c>
      <x:c r="O69" s="14" t="str">
        <x:v>Y</x:v>
      </x:c>
    </x:row>
    <x:row r="70" ht="52.79999923706055" hidden="0" customHeight="1">
      <x:c r="A70" s="14" t="str">
        <x:v>term-fdf8fa0f9020</x:v>
      </x:c>
      <x:c r="B70" s="14" t="str">
        <x:v>ペドロ・ヒメネス</x:v>
      </x:c>
      <x:c r="C70" s="14" t="str"/>
      <x:c r="D70" s="14" t="str"/>
      <x:c r="E70" s="14" t="str"/>
      <x:c r="F70" s="14" t="str">
        <x:v>品種</x:v>
      </x:c>
      <x:c r="G70" s="14" t="str">
        <x:v>ペドロ・ヒメネスはワイン用ブドウ品種。水分を蒸発させ、糖と風味を極度に濃縮する。レーズン状の果実を圧搾して非常に糖度の高い果汁を得るため、発酵は限定的で、濃厚な甘口になる。</x:v>
      </x:c>
      <x:c r="H70" s="14" t="str">
        <x:v>栽培・成熟：ブドウを天日乾燥し、水分を失わせて糖と風味を濃縮する。典型的なスタイル：水分を蒸発させ、糖と風味を極度に濃縮する。レーズン状の果実を圧搾して非常に糖度の高い果汁を得るため、発酵は限定的で、濃厚な甘口になる。主要な関連産地：ヘレス、モンティーリャ・モリレス。</x:v>
      </x:c>
      <x:c r="I70" s="14" t="str"/>
      <x:c r="J70" s="14" t="str"/>
      <x:c r="K70" s="14" t="str">
        <x:v>品種;ブドウ</x:v>
      </x:c>
      <x:c r="L70" s="14" t="str"/>
      <x:c r="M70" s="14" t="str">
        <x:v>spain_official_wine</x:v>
      </x:c>
      <x:c r="N70" s="14" t="str">
        <x:v>2026-07-12</x:v>
      </x:c>
      <x:c r="O70" s="14" t="str">
        <x:v>Y</x:v>
      </x:c>
    </x:row>
    <x:row r="71" ht="39.599998474121094" hidden="0" customHeight="1">
      <x:c r="A71" s="14" t="str">
        <x:v>term-346c1b5d8e42</x:v>
      </x:c>
      <x:c r="B71" s="14" t="str">
        <x:v>ポート主要黒ブドウ</x:v>
      </x:c>
      <x:c r="C71" s="14" t="str"/>
      <x:c r="D71" s="14" t="str"/>
      <x:c r="E71" s="14" t="str"/>
      <x:c r="F71" s="14" t="str">
        <x:v>品種</x:v>
      </x:c>
      <x:c r="G71" s="14" t="str">
        <x:v>ポートに使われる主要黒ブドウ群。トウリガ・ナシオナル、トウリガ・フランカ、ティンタ・ロリス、ティンタ・カン、ティンタ・バロッカなどが中心。</x:v>
      </x:c>
      <x:c r="H71" s="14" t="str">
        <x:v>各品種は色、タンニン、花香、黒系果実、収量や耐暑性を補完する。ドウロの暑く乾燥した斜面で混植・ブレンドされ、酒精強化後も濃い果実味と熟成に耐える構造をつくる。</x:v>
      </x:c>
      <x:c r="I71" s="14" t="str"/>
      <x:c r="J71" s="14" t="str"/>
      <x:c r="K71" s="14" t="str">
        <x:v>品種;ブドウ</x:v>
      </x:c>
      <x:c r="L71" s="14" t="str"/>
      <x:c r="M71" s="14" t="str">
        <x:v>jki_vivc_official</x:v>
      </x:c>
      <x:c r="N71" s="14" t="str">
        <x:v>2026-07-12</x:v>
      </x:c>
      <x:c r="O71" s="14" t="str">
        <x:v>Y</x:v>
      </x:c>
    </x:row>
    <x:row r="72" ht="66" hidden="0" customHeight="1">
      <x:c r="A72" s="14" t="str">
        <x:v>term-c7f5639007f3</x:v>
      </x:c>
      <x:c r="B72" s="14" t="str">
        <x:v>マカベオ</x:v>
      </x:c>
      <x:c r="C72" s="14" t="str"/>
      <x:c r="D72" s="14" t="str"/>
      <x:c r="E72" s="14" t="str"/>
      <x:c r="F72" s="14" t="str">
        <x:v>品種</x:v>
      </x:c>
      <x:c r="G72" s="14" t="str">
        <x:v>マカベオはワイン用ブドウ品種。穏やかなリンゴや花の香りと比較的中立的な果実味。マカベオはブレンドの基礎となり、パレリャーダやチャレッロの酸・構造と組み合わせやすい。</x:v>
      </x:c>
      <x:c r="H72" s="14" t="str">
        <x:v>栽培・成熟：マカベオの穏やかな果実、チャレッロの酸と構造、パレリャーダの繊細な香り。三品種の成熟時期と成分の違いをブレンドし、果実味、骨格、芳香の均衡を作る。典型的なスタイル：穏やかなリンゴや花の香りと比較的中立的な果実味。マカベオはブレンドの基礎となり、パレリャーダやチャレッロの酸・構造と組み合わせやすい。主要な関連産地：カバ。</x:v>
      </x:c>
      <x:c r="I72" s="14" t="str"/>
      <x:c r="J72" s="14" t="str"/>
      <x:c r="K72" s="14" t="str">
        <x:v>品種;ブドウ</x:v>
      </x:c>
      <x:c r="L72" s="14" t="str"/>
      <x:c r="M72" s="14" t="str">
        <x:v>spain_official_wine</x:v>
      </x:c>
      <x:c r="N72" s="14" t="str">
        <x:v>2026-07-12</x:v>
      </x:c>
      <x:c r="O72" s="14" t="str">
        <x:v>Y</x:v>
      </x:c>
    </x:row>
    <x:row r="73" ht="79.19999694824219" hidden="0" customHeight="1">
      <x:c r="A73" s="14" t="str">
        <x:v>term-c9fed68aaf57</x:v>
      </x:c>
      <x:c r="B73" s="14" t="str">
        <x:v>マスカット</x:v>
      </x:c>
      <x:c r="C73" s="14" t="str"/>
      <x:c r="D73" s="14" t="str"/>
      <x:c r="E73" s="14" t="str"/>
      <x:c r="F73" s="14" t="str">
        <x:v>品種</x:v>
      </x:c>
      <x:c r="G73" s="14" t="str">
        <x:v>マスカットはワイン用ブドウ品種。レーズン、糖蜜、キャラメル、コーヒー、ナッツを思わせる濃厚な風味。温暖な環境で樽熟成と蒸発が進み、色が濃くなり、乾燥果実、キャラメル、ランシオなどの複雑な酸化熟成香が発達する。</x:v>
      </x:c>
      <x:c r="H73" s="14" t="str">
        <x:v>栽培・成熟：暑く乾燥した大陸性気候と長い日照。高温と乾燥により病害が少なく、果実を長く樹上に残して過熟・部分乾燥させられる。典型的なスタイル：レーズン、糖蜜、キャラメル、コーヒー、ナッツを思わせる濃厚な風味。温暖な環境で樽熟成と蒸発が進み、色が濃くなり、乾燥果実、キャラメル、ランシオなどの複雑な酸化熟成香が発達する。主要な関連産地：ラザグレン、ミュスカ・ド・ボーム・ド・ヴニーズ、ボーム・ド・ヴニーズ、ミュスカ・ドゥ・ボーム・ドゥ・ヴニーズ。</x:v>
      </x:c>
      <x:c r="I73" s="14" t="str"/>
      <x:c r="J73" s="14" t="str"/>
      <x:c r="K73" s="14" t="str">
        <x:v>品種;ブドウ</x:v>
      </x:c>
      <x:c r="L73" s="14" t="str"/>
      <x:c r="M73" s="14" t="str">
        <x:v>australia_official_wine</x:v>
      </x:c>
      <x:c r="N73" s="14" t="str">
        <x:v>2026-07-12</x:v>
      </x:c>
      <x:c r="O73" s="14" t="str">
        <x:v>Y</x:v>
      </x:c>
    </x:row>
    <x:row r="74" ht="52.79999923706055" hidden="0" customHeight="1">
      <x:c r="A74" s="14" t="str">
        <x:v>term-a138993e763f</x:v>
      </x:c>
      <x:c r="B74" s="14" t="str">
        <x:v>マスカット・ア・プティ・グラン・ルージュ</x:v>
      </x:c>
      <x:c r="C74" s="14" t="str"/>
      <x:c r="D74" s="14" t="str"/>
      <x:c r="E74" s="14" t="str"/>
      <x:c r="F74" s="14" t="str">
        <x:v>品種</x:v>
      </x:c>
      <x:c r="G74" s="14" t="str">
        <x:v>マスカット・ア・プティ・グラン・ルージュはワイン用ブドウ品種。発酵の早い段階で酒精強化し、酵母の活動を止める。高アルコールのスピリッツで酵母を止め、芳香と残糖を保持する。</x:v>
      </x:c>
      <x:c r="H74" s="14" t="str">
        <x:v>栽培・成熟：発酵の早い段階で酒精強化し、酵母の活動を止める。高アルコールのスピリッツで酵母を止め、芳香と残糖を保持する。主要な関連産地：ラザグレン。気候、収穫時の成熟度、抽出や熟成方法により、酸・香り・ボディの現れ方が変わる。</x:v>
      </x:c>
      <x:c r="I74" s="14" t="str"/>
      <x:c r="J74" s="14" t="str"/>
      <x:c r="K74" s="14" t="str">
        <x:v>品種;ブドウ</x:v>
      </x:c>
      <x:c r="L74" s="14" t="str"/>
      <x:c r="M74" s="14" t="str">
        <x:v>australia_official_wine</x:v>
      </x:c>
      <x:c r="N74" s="14" t="str">
        <x:v>2026-07-12</x:v>
      </x:c>
      <x:c r="O74" s="14" t="str">
        <x:v>Y</x:v>
      </x:c>
    </x:row>
    <x:row r="75" ht="66" hidden="0" customHeight="1">
      <x:c r="A75" s="14" t="str">
        <x:v>term-c36d514e7005</x:v>
      </x:c>
      <x:c r="B75" s="14" t="str">
        <x:v>マスカット・ブラン・ア・プティ・グラン</x:v>
      </x:c>
      <x:c r="C75" s="14" t="str"/>
      <x:c r="D75" s="14" t="str"/>
      <x:c r="E75" s="14" t="str"/>
      <x:c r="F75" s="14" t="str">
        <x:v>品種</x:v>
      </x:c>
      <x:c r="G75" s="14" t="str">
        <x:v>マスカット・ブラン・ア・プティ・グランはワイン用ブドウ品種。マスカット・ブラン・ア・プティ・グランの芳香性。品種由来のテルペンが、ブドウ、バラ、オレンジの花、桃を思わせる香りを与える。</x:v>
      </x:c>
      <x:c r="H75" s="14" t="str">
        <x:v>栽培・成熟：強い品種香と高い糖度を得て、酒精強化後も豊かな甘味を残すため。地中海性の日照でマスカットのテルペンと糖を発達させ、発酵途中で止める。典型的なスタイル：マスカット・ブラン・ア・プティ・グランの芳香性。品種由来のテルペンが、ブドウ、バラ、オレンジの花、桃を思わせる香りを与える。主要な関連産地：ボーム・ド・ヴニーズ。</x:v>
      </x:c>
      <x:c r="I75" s="14" t="str"/>
      <x:c r="J75" s="14" t="str"/>
      <x:c r="K75" s="14" t="str">
        <x:v>品種;ブドウ</x:v>
      </x:c>
      <x:c r="L75" s="14" t="str"/>
      <x:c r="M75" s="14" t="str">
        <x:v>wset_questions_1100_v6</x:v>
      </x:c>
      <x:c r="N75" s="14" t="str">
        <x:v>2026-07-12</x:v>
      </x:c>
      <x:c r="O75" s="14" t="str">
        <x:v>Y</x:v>
      </x:c>
    </x:row>
    <x:row r="76" ht="66" hidden="0" customHeight="1">
      <x:c r="A76" s="14" t="str">
        <x:v>term-3f4eeb9cd8b9</x:v>
      </x:c>
      <x:c r="B76" s="14" t="str">
        <x:v>マルベック</x:v>
      </x:c>
      <x:c r="C76" s="14" t="str">
        <x:v>Malbec</x:v>
      </x:c>
      <x:c r="D76" s="14" t="str">
        <x:v>Malbec</x:v>
      </x:c>
      <x:c r="E76" s="14" t="str"/>
      <x:c r="F76" s="14" t="str">
        <x:v>品種</x:v>
      </x:c>
      <x:c r="G76" s="14" t="str">
        <x:v>マルベックはワイン用ブドウ品種。Ucoは高標高で高酸・花香、Lujánは温暖で熟した黒果実と豊かなボディ。</x:v>
      </x:c>
      <x:c r="H76" s="14" t="str">
        <x:v>栽培・成熟：標高のある乾燥した畑で、強い日射と灌漑を管理し、十分に成熟させる。標高による涼しい夜で酸を保ちつつ、強い日射と乾燥条件で色と果実を成熟させ、灌漑により適度な水分ストレスを管理できる。典型的なスタイル：Ucoは高標高で高酸・花香、Lujánは温暖で熟した黒果実と豊かなボディ。主要な関連産地：メンドーサ、ウコ・ヴァレー、ルハン・デ・クージョ、カファジャテ。</x:v>
      </x:c>
      <x:c r="I76" s="14" t="str"/>
      <x:c r="J76" s="14" t="str"/>
      <x:c r="K76" s="14" t="str">
        <x:v>品種;ブドウ</x:v>
      </x:c>
      <x:c r="L76" s="14" t="str"/>
      <x:c r="M76" s="14" t="str">
        <x:v>argentina_official_wine</x:v>
      </x:c>
      <x:c r="N76" s="14" t="str">
        <x:v>2026-07-12</x:v>
      </x:c>
      <x:c r="O76" s="14" t="str">
        <x:v>Y</x:v>
      </x:c>
    </x:row>
    <x:row r="77" ht="52.79999923706055" hidden="0" customHeight="1">
      <x:c r="A77" s="14" t="str">
        <x:v>term-13f3ca4db06e</x:v>
      </x:c>
      <x:c r="B77" s="14" t="str">
        <x:v>マルヴァジア</x:v>
      </x:c>
      <x:c r="C77" s="14" t="str"/>
      <x:c r="D77" s="14" t="str"/>
      <x:c r="E77" s="14" t="str"/>
      <x:c r="F77" s="14" t="str">
        <x:v>品種</x:v>
      </x:c>
      <x:c r="G77" s="14" t="str">
        <x:v>マルヴァジアはワイン用ブドウ品種。マルヴァジアとトレッビアーノ主体の、軽いボディと花・柑橘を持つ白。ローマ近郊の火山性丘陵で造られ、若いうちに飲むフレッシュな白が中心である。</x:v>
      </x:c>
      <x:c r="H77" s="14" t="str">
        <x:v>栽培・成熟：マルヴァジアとトレッビアーノ主体の、軽いボディと花・柑橘を持つ白。ローマ近郊の火山性丘陵で造られ、若いうちに飲むフレッシュな白が中心である。主要な関連産地：フラスカーティ。気候、収穫時の成熟度、抽出や熟成方法により、酸・香り・ボディの現れ方が変わる。</x:v>
      </x:c>
      <x:c r="I77" s="14" t="str"/>
      <x:c r="J77" s="14" t="str"/>
      <x:c r="K77" s="14" t="str">
        <x:v>品種;ブドウ</x:v>
      </x:c>
      <x:c r="L77" s="14" t="str"/>
      <x:c r="M77" s="14" t="str">
        <x:v>italy_official_wine</x:v>
      </x:c>
      <x:c r="N77" s="14" t="str">
        <x:v>2026-07-12</x:v>
      </x:c>
      <x:c r="O77" s="14" t="str">
        <x:v>Y</x:v>
      </x:c>
    </x:row>
    <x:row r="78" ht="39.599998474121094" hidden="0" customHeight="1">
      <x:c r="A78" s="14" t="str">
        <x:v>term-2ec98f818937</x:v>
      </x:c>
      <x:c r="B78" s="14" t="str">
        <x:v>ミュスカ・ブラン・ア・プティ・グラン</x:v>
      </x:c>
      <x:c r="C78" s="14" t="str"/>
      <x:c r="D78" s="14" t="str"/>
      <x:c r="E78" s="14" t="str"/>
      <x:c r="F78" s="14" t="str">
        <x:v>品種</x:v>
      </x:c>
      <x:c r="G78" s="14" t="str">
        <x:v>ミュスカ・ブラン・ア・プティ・グランはワイン用ブドウ品種。発酵を途中で冷却・濾過して止め、未発酵糖と低いアルコールを残すため。</x:v>
      </x:c>
      <x:c r="H78" s="14" t="str">
        <x:v>栽培・成熟：発酵を途中で冷却・濾過して止め、未発酵糖と低いアルコールを残すため。主要な関連産地：アスティ。気候、収穫時の成熟度、抽出や熟成方法により、酸・香り・ボディの現れ方が変わる。</x:v>
      </x:c>
      <x:c r="I78" s="14" t="str"/>
      <x:c r="J78" s="14" t="str"/>
      <x:c r="K78" s="14" t="str">
        <x:v>品種;ブドウ</x:v>
      </x:c>
      <x:c r="L78" s="14" t="str"/>
      <x:c r="M78" s="14" t="str">
        <x:v>italy_official_wine</x:v>
      </x:c>
      <x:c r="N78" s="14" t="str">
        <x:v>2026-07-12</x:v>
      </x:c>
      <x:c r="O78" s="14" t="str">
        <x:v>Y</x:v>
      </x:c>
    </x:row>
    <x:row r="79" ht="79.19999694824219" hidden="0" customHeight="1">
      <x:c r="A79" s="14" t="str">
        <x:v>term-3b7cc8219508</x:v>
      </x:c>
      <x:c r="B79" s="14" t="str">
        <x:v>ムニエ</x:v>
      </x:c>
      <x:c r="C79" s="14" t="str"/>
      <x:c r="D79" s="14" t="str"/>
      <x:c r="E79" s="14" t="str"/>
      <x:c r="F79" s="14" t="str">
        <x:v>品種</x:v>
      </x:c>
      <x:c r="G79" s="14" t="str">
        <x:v>ムニエはワイン用ブドウ品種。芽吹きが遅く成熟が早めで、果実味豊かで若いうちから親しみやすいワインを与える。霜害を避けやすく冷涼な谷でも成熟しやすいため、ヴィンテージ差のある地域で安定した原料となる。</x:v>
      </x:c>
      <x:c r="H79" s="14" t="str">
        <x:v>栽培・成熟：芽吹きが遅く成熟が早めで、霜の起こりやすい谷でも安定して熟す。粘土質で冷涼な畑に適応し、果実味豊かで若いうちから親しみやすいベースワインを生む。典型的なスタイル：芽吹きが遅く成熟が早めで、果実味豊かで若いうちから親しみやすいワインを与える。霜害を避けやすく冷涼な谷でも成熟しやすいため、ヴィンテージ差のある地域で安定した原料となる。主要な関連産地：シャンパーニュ、イングランド南部、ヴァレ・ド・ラ・マルヌ。</x:v>
      </x:c>
      <x:c r="I79" s="14" t="str"/>
      <x:c r="J79" s="14" t="str"/>
      <x:c r="K79" s="14" t="str">
        <x:v>品種;ブドウ</x:v>
      </x:c>
      <x:c r="L79" s="14" t="str"/>
      <x:c r="M79" s="14" t="str">
        <x:v>champagne_official_terroir</x:v>
      </x:c>
      <x:c r="N79" s="14" t="str">
        <x:v>2026-07-12</x:v>
      </x:c>
      <x:c r="O79" s="14" t="str">
        <x:v>Y</x:v>
      </x:c>
    </x:row>
    <x:row r="80" ht="39.599998474121094" hidden="0" customHeight="1">
      <x:c r="A80" s="14" t="str">
        <x:v>term-b871a44cb0c2</x:v>
      </x:c>
      <x:c r="B80" s="14" t="str">
        <x:v>ムロン・ド・ブルゴーニュ</x:v>
      </x:c>
      <x:c r="C80" s="14" t="str"/>
      <x:c r="D80" s="14" t="str"/>
      <x:c r="E80" s="14" t="str"/>
      <x:c r="F80" s="14" t="str">
        <x:v>品種</x:v>
      </x:c>
      <x:c r="G80" s="14" t="str">
        <x:v>ムロン・ド・ブルゴーニュはワイン用ブドウ品種。高い酸、軽いボディ、柑橘と塩味を思わせる風味、澱由来のわずかな厚み。</x:v>
      </x:c>
      <x:c r="H80" s="14" t="str">
        <x:v>栽培・成熟：高い酸、軽いボディ、柑橘と塩味を思わせる風味、澱由来のわずかな厚み。主要な関連産地：ミュスカデ・セーヴル・エ・メーヌ。気候、収穫時の成熟度、抽出や熟成方法により、酸・香り・ボディの現れ方が変わる。</x:v>
      </x:c>
      <x:c r="I80" s="14" t="str"/>
      <x:c r="J80" s="14" t="str"/>
      <x:c r="K80" s="14" t="str">
        <x:v>品種;ブドウ</x:v>
      </x:c>
      <x:c r="L80" s="14" t="str"/>
      <x:c r="M80" s="14" t="str">
        <x:v>wset_questions_1100_v6</x:v>
      </x:c>
      <x:c r="N80" s="14" t="str">
        <x:v>2026-07-12</x:v>
      </x:c>
      <x:c r="O80" s="14" t="str">
        <x:v>Y</x:v>
      </x:c>
    </x:row>
    <x:row r="81" ht="79.19999694824219" hidden="0" customHeight="1">
      <x:c r="A81" s="14" t="str">
        <x:v>term-27f6408ebc08</x:v>
      </x:c>
      <x:c r="B81" s="14" t="str">
        <x:v>ムロン・ブラン</x:v>
      </x:c>
      <x:c r="C81" s="14" t="str"/>
      <x:c r="D81" s="14" t="str"/>
      <x:c r="E81" s="14" t="str"/>
      <x:c r="F81" s="14" t="str">
        <x:v>品種</x:v>
      </x:c>
      <x:c r="G81" s="14" t="str">
        <x:v>ムロン・ブランはワイン用ブドウ品種。ワインを酵母の細かい澱と接触させて熟成したこと。Sur Lieの澱上熟成の意味を正しく示しており、原産地、ブドウの成熟度、熟成期間、品質格付けのどれを表す用語かを区別する必要がある。</x:v>
      </x:c>
      <x:c r="H81" s="14" t="str">
        <x:v>栽培・成熟：高い酸、軽めのボディ、控えめな果実風味、澱由来のわずかな厚み。冷涼な海洋性環境のムロン・ブランに、澱との接触が質感や複雑さを加える。典型的なスタイル：ワインを酵母の細かい澱と接触させて熟成したこと。Sur Lieの澱上熟成の意味を正しく示しており、原産地、ブドウの成熟度、熟成期間、品質格付けのどれを表す用語かを区別する必要がある。主要な関連産地：ミュスカデ・セーヴル・エ・メーヌ、ミュスカデ。</x:v>
      </x:c>
      <x:c r="I81" s="14" t="str"/>
      <x:c r="J81" s="14" t="str"/>
      <x:c r="K81" s="14" t="str">
        <x:v>品種;ブドウ</x:v>
      </x:c>
      <x:c r="L81" s="14" t="str"/>
      <x:c r="M81" s="14" t="str">
        <x:v>wset_questions_1100_v6</x:v>
      </x:c>
      <x:c r="N81" s="14" t="str">
        <x:v>2026-07-12</x:v>
      </x:c>
      <x:c r="O81" s="14" t="str">
        <x:v>Y</x:v>
      </x:c>
    </x:row>
    <x:row r="82" ht="66" hidden="0" customHeight="1">
      <x:c r="A82" s="14" t="str">
        <x:v>term-aca8186e4b2d</x:v>
      </x:c>
      <x:c r="B82" s="14" t="str">
        <x:v>ムーニエ</x:v>
      </x:c>
      <x:c r="C82" s="14" t="str">
        <x:v>Meunier</x:v>
      </x:c>
      <x:c r="D82" s="14" t="str">
        <x:v>Meunier</x:v>
      </x:c>
      <x:c r="E82" s="14" t="str"/>
      <x:c r="F82" s="14" t="str">
        <x:v>品種</x:v>
      </x:c>
      <x:c r="G82" s="14" t="str">
        <x:v>ムーニエはワイン用ブドウ品種。ブドウが高い酸と低めの糖度を保ち、繊細な香りのベースワインになる。二次発酵でアルコールが増えるため、高酸・低潜在アルコールの果実が適する。</x:v>
      </x:c>
      <x:c r="H82" s="14" t="str">
        <x:v>栽培・成熟：萌芽が遅く比較的早熟で、霜の影響を受けやすい地域でも安定して成熟しやすいから。遅い萌芽で春霜を避けやすく、比較的早く成熟するため冷涼な条件に適応しやすい。典型的なスタイル：ブドウが高い酸と低めの糖度を保ち、繊細な香りのベースワインになる。二次発酵でアルコールが増えるため、高酸・低潜在アルコールの果実が適する。主要な関連産地：シャンパーニュ、ヴァレ・ドゥ・ラ・マルヌ。</x:v>
      </x:c>
      <x:c r="I82" s="14" t="str"/>
      <x:c r="J82" s="14" t="str"/>
      <x:c r="K82" s="14" t="str">
        <x:v>品種;ブドウ</x:v>
      </x:c>
      <x:c r="L82" s="14" t="str"/>
      <x:c r="M82" s="14" t="str">
        <x:v>champagne_official_terroir</x:v>
      </x:c>
      <x:c r="N82" s="14" t="str">
        <x:v>2026-07-12</x:v>
      </x:c>
      <x:c r="O82" s="14" t="str">
        <x:v>Y</x:v>
      </x:c>
    </x:row>
    <x:row r="83" ht="79.19999694824219" hidden="0" customHeight="1">
      <x:c r="A83" s="14" t="str">
        <x:v>term-7e4123d63506</x:v>
      </x:c>
      <x:c r="B83" s="14" t="str">
        <x:v>ムールヴェードル</x:v>
      </x:c>
      <x:c r="C83" s="14" t="str"/>
      <x:c r="D83" s="14" t="str"/>
      <x:c r="E83" s="14" t="str"/>
      <x:c r="F83" s="14" t="str">
        <x:v>品種</x:v>
      </x:c>
      <x:c r="G83" s="14" t="str">
        <x:v>ムールヴェードルはワイン用ブドウ品種。標高の高い斜面と冷涼な夜が成熟を緩やかにするため。ダンテル・ド・モンミライユ周辺の高い畑は昼夜差を生み、熟した果実味と構造を両立しやすい。</x:v>
      </x:c>
      <x:c r="H83" s="14" t="str">
        <x:v>栽培・成熟：温暖で日照の多い地中海性気候が、晩熟な品種を十分に成熟させる。ムールヴェードルは晩熟で高い熱量を必要とし、バンドールの暖かく乾燥した条件で、濃い果実味、高いタンニン、熟成能力を得やすい。典型的なスタイル：標高の高い斜面と冷涼な夜が成熟を緩やかにするため。ダンテル・ド・モンミライユ周辺の高い畑は昼夜差を生み、熟した果実味と構造を両立しやすい。主要な関連産地：プロヴァンス、バンドール、シャトーヌフ・デュ・パプ、ジゴンダス。</x:v>
      </x:c>
      <x:c r="I83" s="14" t="str"/>
      <x:c r="J83" s="14" t="str"/>
      <x:c r="K83" s="14" t="str">
        <x:v>品種;ブドウ</x:v>
      </x:c>
      <x:c r="L83" s="14" t="str"/>
      <x:c r="M83" s="14" t="str">
        <x:v>rhone_official_terroir</x:v>
      </x:c>
      <x:c r="N83" s="14" t="str">
        <x:v>2026-07-12</x:v>
      </x:c>
      <x:c r="O83" s="14" t="str">
        <x:v>Y</x:v>
      </x:c>
    </x:row>
    <x:row r="84" ht="92.4000015258789" hidden="0" customHeight="1">
      <x:c r="A84" s="14" t="str">
        <x:v>term-2a0610c58883</x:v>
      </x:c>
      <x:c r="B84" s="14" t="str">
        <x:v>メルロ</x:v>
      </x:c>
      <x:c r="C84" s="14" t="str">
        <x:v>Merlot</x:v>
      </x:c>
      <x:c r="D84" s="14" t="str">
        <x:v>Merlot</x:v>
      </x:c>
      <x:c r="E84" s="14" t="str"/>
      <x:c r="F84" s="14" t="str">
        <x:v>品種</x:v>
      </x:c>
      <x:c r="G84" s="14" t="str">
        <x:v>メルロはワイン用ブドウ品種。カベルネ・ソーヴィニヨン主体で、黒系果実、高いタンニン、杉や鉛筆を思わせる香りを持つ。水はけのよい砂利質土壌がカベルネ・ソーヴィニヨンの成熟を助け、長期熟成向きの構造あるワインを生む。</x:v>
      </x:c>
      <x:c r="H84" s="14" t="str">
        <x:v>栽培・成熟：粘土や石灰岩を含む比較的冷涼な右岸の条件で、カベルネ・ソーヴィニヨンより成熟しやすい。メルロは早熟で粘土質土壌に適し、カベルネ・フランも比較的早く成熟するため、右岸の気候と土壌で安定した成熟を得やすい。典型的なスタイル：カベルネ・ソーヴィニヨン主体で、黒系果実、高いタンニン、杉や鉛筆を思わせる香りを持つ。水はけのよい砂利質土壌がカベルネ・ソーヴィニヨンの成熟を助け、長期熟成向きの構造あるワインを生む。主要な関連産地：ボルドー、ポムロール、サンテミリオン、ワシントン。</x:v>
      </x:c>
      <x:c r="I84" s="14" t="str"/>
      <x:c r="J84" s="14" t="str"/>
      <x:c r="K84" s="14" t="str">
        <x:v>品種;ブドウ</x:v>
      </x:c>
      <x:c r="L84" s="14" t="str"/>
      <x:c r="M84" s="14" t="str">
        <x:v>bordeaux_official_grapes</x:v>
      </x:c>
      <x:c r="N84" s="14" t="str">
        <x:v>2026-07-12</x:v>
      </x:c>
      <x:c r="O84" s="14" t="str">
        <x:v>Y</x:v>
      </x:c>
    </x:row>
    <x:row r="85" ht="52.79999923706055" hidden="0" customHeight="1">
      <x:c r="A85" s="14" t="str">
        <x:v>term-386445df5f53</x:v>
      </x:c>
      <x:c r="B85" s="14" t="str">
        <x:v>メンシア</x:v>
      </x:c>
      <x:c r="C85" s="14" t="str"/>
      <x:c r="D85" s="14" t="str"/>
      <x:c r="E85" s="14" t="str"/>
      <x:c r="F85" s="14" t="str">
        <x:v>品種</x:v>
      </x:c>
      <x:c r="G85" s="14" t="str">
        <x:v>メンシアはワイン用ブドウ品種。北西スペインの比較的冷涼な気候と高い斜面に古木が多いため。大西洋の影響と標高が成熟を緩やかにし、古木の低収量が赤系果実と花の濃度を高める。</x:v>
      </x:c>
      <x:c r="H85" s="14" t="str">
        <x:v>栽培・成熟：北西スペインの比較的冷涼な気候と高い斜面に古木が多いため。大西洋の影響と標高が成熟を緩やかにし、古木の低収量が赤系果実と花の濃度を高める。主要な関連産地：ビエルソ。気候、収穫時の成熟度、抽出や熟成方法により、酸・香り・ボディの現れ方が変わる。</x:v>
      </x:c>
      <x:c r="I85" s="14" t="str"/>
      <x:c r="J85" s="14" t="str"/>
      <x:c r="K85" s="14" t="str">
        <x:v>品種;ブドウ</x:v>
      </x:c>
      <x:c r="L85" s="14" t="str"/>
      <x:c r="M85" s="14" t="str">
        <x:v>spain_official_wine</x:v>
      </x:c>
      <x:c r="N85" s="14" t="str">
        <x:v>2026-07-12</x:v>
      </x:c>
      <x:c r="O85" s="14" t="str">
        <x:v>Y</x:v>
      </x:c>
    </x:row>
    <x:row r="86" ht="66" hidden="0" customHeight="1">
      <x:c r="A86" s="14" t="str">
        <x:v>term-395836aed32a</x:v>
      </x:c>
      <x:c r="B86" s="14" t="str">
        <x:v>モスカテル</x:v>
      </x:c>
      <x:c r="C86" s="14" t="str"/>
      <x:c r="D86" s="14" t="str"/>
      <x:c r="E86" s="14" t="str"/>
      <x:c r="F86" s="14" t="str">
        <x:v>品種</x:v>
      </x:c>
      <x:c r="G86" s="14" t="str">
        <x:v>モスカテルはワイン用ブドウ品種。PXはレーズン、糖蜜、コーヒーが中心で、モスカテルは花、ブドウ、オレンジ皮の品種香が強い。PXの濃い乾燥果実香と、モスカテルの芳香性品種香を正しく区別している。</x:v>
      </x:c>
      <x:c r="H86" s="14" t="str">
        <x:v>栽培・成熟：オレンジの花、ブドウ、乾燥した柑橘、レーズン。芳香性のモスカテルを天日乾燥または濃縮して造るため、強い品種香と甘味を持つ。典型的なスタイル：PXはレーズン、糖蜜、コーヒーが中心で、モスカテルは花、ブドウ、オレンジ皮の品種香が強い。PXの濃い乾燥果実香と、モスカテルの芳香性品種香を正しく区別している。主要な関連産地：ヘレス、イタタ、ビオ・ビオ、チピオナ。</x:v>
      </x:c>
      <x:c r="I86" s="14" t="str"/>
      <x:c r="J86" s="14" t="str"/>
      <x:c r="K86" s="14" t="str">
        <x:v>品種;ブドウ</x:v>
      </x:c>
      <x:c r="L86" s="14" t="str"/>
      <x:c r="M86" s="14" t="str">
        <x:v>spain_official_wine</x:v>
      </x:c>
      <x:c r="N86" s="14" t="str">
        <x:v>2026-07-12</x:v>
      </x:c>
      <x:c r="O86" s="14" t="str">
        <x:v>Y</x:v>
      </x:c>
    </x:row>
    <x:row r="87" ht="52.79999923706055" hidden="0" customHeight="1">
      <x:c r="A87" s="14" t="str">
        <x:v>term-152b55a50929</x:v>
      </x:c>
      <x:c r="B87" s="14" t="str">
        <x:v>モスカート・ビアンコ</x:v>
      </x:c>
      <x:c r="C87" s="14" t="str"/>
      <x:c r="D87" s="14" t="str"/>
      <x:c r="E87" s="14" t="str"/>
      <x:c r="F87" s="14" t="str">
        <x:v>品種</x:v>
      </x:c>
      <x:c r="G87" s="14" t="str">
        <x:v>モスカート・ビアンコはワイン用ブドウ品種。目的のバランスに達した時点で冷却し、酵母を濾過除去して発酵を止める。糖の一部だけを発酵し、残糖、高い芳香、低アルコールを保つ。</x:v>
      </x:c>
      <x:c r="H87" s="14" t="str">
        <x:v>栽培・成熟：収穫時のマスカット香を保ち、需要に合わせて発酵時期を選べる。未発酵果汁を低温で安定させ、必要な時期にタンク発酵できる。典型的なスタイル：目的のバランスに達した時点で冷却し、酵母を濾過除去して発酵を止める。糖の一部だけを発酵し、残糖、高い芳香、低アルコールを保つ。主要な関連産地：アスティ、ピエモンテ。</x:v>
      </x:c>
      <x:c r="I87" s="14" t="str"/>
      <x:c r="J87" s="14" t="str"/>
      <x:c r="K87" s="14" t="str">
        <x:v>品種;ブドウ</x:v>
      </x:c>
      <x:c r="L87" s="14" t="str"/>
      <x:c r="M87" s="14" t="str">
        <x:v>italy_official_wine</x:v>
      </x:c>
      <x:c r="N87" s="14" t="str">
        <x:v>2026-07-12</x:v>
      </x:c>
      <x:c r="O87" s="14" t="str">
        <x:v>Y</x:v>
      </x:c>
    </x:row>
    <x:row r="88" ht="52.79999923706055" hidden="0" customHeight="1">
      <x:c r="A88" s="14" t="str">
        <x:v>term-478a1e75a323</x:v>
      </x:c>
      <x:c r="B88" s="14" t="str">
        <x:v>モナストレル</x:v>
      </x:c>
      <x:c r="C88" s="14" t="str"/>
      <x:c r="D88" s="14" t="str"/>
      <x:c r="E88" s="14" t="str"/>
      <x:c r="F88" s="14" t="str">
        <x:v>品種</x:v>
      </x:c>
      <x:c r="G88" s="14" t="str">
        <x:v>モナストレルはワイン用ブドウ品種。暑く乾燥した高原で、耐乾性の高い晩熟品種が高い糖度まで成熟するため。古木の低収量と大きな日較差により、黒系果実、ハーブ、強いタンニンを持つ。</x:v>
      </x:c>
      <x:c r="H88" s="14" t="str">
        <x:v>栽培・成熟：暑く乾燥した高原で、耐乾性の高い晩熟品種が高い糖度まで成熟するため。古木の低収量と大きな日較差により、黒系果実、ハーブ、強いタンニンを持つ。主要な関連産地：フミーリャ。気候、収穫時の成熟度、抽出や熟成方法により、酸・香り・ボディの現れ方が変わる。</x:v>
      </x:c>
      <x:c r="I88" s="14" t="str"/>
      <x:c r="J88" s="14" t="str"/>
      <x:c r="K88" s="14" t="str">
        <x:v>品種;ブドウ</x:v>
      </x:c>
      <x:c r="L88" s="14" t="str"/>
      <x:c r="M88" s="14" t="str">
        <x:v>rhone_official_terroir</x:v>
      </x:c>
      <x:c r="N88" s="14" t="str">
        <x:v>2026-07-12</x:v>
      </x:c>
      <x:c r="O88" s="14" t="str">
        <x:v>Y</x:v>
      </x:c>
    </x:row>
    <x:row r="89" ht="52.79999923706055" hidden="0" customHeight="1">
      <x:c r="A89" s="14" t="str">
        <x:v>term-69a21aa82924</x:v>
      </x:c>
      <x:c r="B89" s="14" t="str">
        <x:v>モンテプルチアーノ</x:v>
      </x:c>
      <x:c r="C89" s="14" t="str"/>
      <x:c r="D89" s="14" t="str"/>
      <x:c r="E89" s="14" t="str"/>
      <x:c r="F89" s="14" t="str">
        <x:v>品種</x:v>
      </x:c>
      <x:c r="G89" s="14" t="str">
        <x:v>モンテプルチアーノはワイン用ブドウ品種。深い色、熟した黒系果実、中程度以上のタンニンを持つ赤ワイン。アドリア海と山地の影響を受けるアブルッツォで、モンテプルチアーノ種が十分に成熟し、果実味豊かな赤になる。</x:v>
      </x:c>
      <x:c r="H89" s="14" t="str">
        <x:v>栽培・成熟：深い色、熟した黒系果実、中程度以上のタンニンを持つ赤ワイン。アドリア海と山地の影響を受けるアブルッツォで、モンテプルチアーノ種が十分に成熟し、果実味豊かな赤になる。主要な関連産地：モンテプルチアーノ・ダブルッツォ。</x:v>
      </x:c>
      <x:c r="I89" s="14" t="str"/>
      <x:c r="J89" s="14" t="str"/>
      <x:c r="K89" s="14" t="str">
        <x:v>品種;ブドウ</x:v>
      </x:c>
      <x:c r="L89" s="14" t="str"/>
      <x:c r="M89" s="14" t="str">
        <x:v>italy_official_wine</x:v>
      </x:c>
      <x:c r="N89" s="14" t="str">
        <x:v>2026-07-12</x:v>
      </x:c>
      <x:c r="O89" s="14" t="str">
        <x:v>Y</x:v>
      </x:c>
    </x:row>
    <x:row r="90" ht="39.599998474121094" hidden="0" customHeight="1">
      <x:c r="A90" s="14" t="str">
        <x:v>term-c62d503f717e</x:v>
      </x:c>
      <x:c r="B90" s="14" t="str">
        <x:v>モーザック</x:v>
      </x:c>
      <x:c r="C90" s="14" t="str"/>
      <x:c r="D90" s="14" t="str"/>
      <x:c r="E90" s="14" t="str"/>
      <x:c r="F90" s="14" t="str">
        <x:v>品種</x:v>
      </x:c>
      <x:c r="G90" s="14" t="str">
        <x:v>モーザックはワイン用ブドウ品種。モーザックは青リンゴや乾燥ハーブを思わせる風味を与え、伝統的方式の発泡性ワインに用いられる。</x:v>
      </x:c>
      <x:c r="H90" s="14" t="str">
        <x:v>栽培・成熟：モーザックは青リンゴや乾燥ハーブを思わせる風味を与え、伝統的方式の発泡性ワインに用いられる。主要な関連産地：リムー。気候、収穫時の成熟度、抽出や熟成方法により、酸・香り・ボディの現れ方が変わる。</x:v>
      </x:c>
      <x:c r="I90" s="14" t="str"/>
      <x:c r="J90" s="14" t="str"/>
      <x:c r="K90" s="14" t="str">
        <x:v>品種;ブドウ</x:v>
      </x:c>
      <x:c r="L90" s="14" t="str"/>
      <x:c r="M90" s="14" t="str">
        <x:v>wset_questions_1100_v6</x:v>
      </x:c>
      <x:c r="N90" s="14" t="str">
        <x:v>2026-07-12</x:v>
      </x:c>
      <x:c r="O90" s="14" t="str">
        <x:v>Y</x:v>
      </x:c>
    </x:row>
    <x:row r="91" ht="66" hidden="0" customHeight="1">
      <x:c r="A91" s="14" t="str">
        <x:v>term-4e7a12a4d8fa</x:v>
      </x:c>
      <x:c r="B91" s="14" t="str">
        <x:v>リースリング</x:v>
      </x:c>
      <x:c r="C91" s="14" t="str">
        <x:v>Riesling</x:v>
      </x:c>
      <x:c r="D91" s="14" t="str">
        <x:v>Riesling</x:v>
      </x:c>
      <x:c r="E91" s="14" t="str"/>
      <x:c r="F91" s="14" t="str">
        <x:v>品種</x:v>
      </x:c>
      <x:c r="G91" s="14" t="str">
        <x:v>リースリングはワイン用ブドウ品種。急な南向き粘板岩斜面が日射を受け、川が熱を反射して成熟を助けるため。冷涼な気候でも高い酸を保ちながら、低アルコールで花・柑橘・核果の香りを発達させる。</x:v>
      </x:c>
      <x:c r="H91" s="14" t="str">
        <x:v>栽培・成熟：ハールト山地の雨陰で比較的温暖かつ乾燥し、ブドウが高い成熟度に達しやすい。典型的なスタイル：急な南向き粘板岩斜面が日射を受け、川が熱を反射して成熟を助けるため。冷涼な気候でも高い酸を保ちながら、低アルコールで花・柑橘・核果の香りを発達させる。主要な関連産地：モーゼル、ナイアガラ半島、オカナガン・ヴァレー、ヴァッハウ。</x:v>
      </x:c>
      <x:c r="I91" s="14" t="str"/>
      <x:c r="J91" s="14" t="str"/>
      <x:c r="K91" s="14" t="str">
        <x:v>品種;ブドウ</x:v>
      </x:c>
      <x:c r="L91" s="14" t="str"/>
      <x:c r="M91" s="14" t="str">
        <x:v>alsace_official_terroir</x:v>
      </x:c>
      <x:c r="N91" s="14" t="str">
        <x:v>2026-07-12</x:v>
      </x:c>
      <x:c r="O91" s="14" t="str">
        <x:v>Y</x:v>
      </x:c>
    </x:row>
    <x:row r="92" ht="52.79999923706055" hidden="0" customHeight="1">
      <x:c r="A92" s="14" t="str">
        <x:v>term-8b777eabe051</x:v>
      </x:c>
      <x:c r="B92" s="14" t="str">
        <x:v>ロウレイロ</x:v>
      </x:c>
      <x:c r="C92" s="14" t="str"/>
      <x:c r="D92" s="14" t="str"/>
      <x:c r="E92" s="14" t="str"/>
      <x:c r="F92" s="14" t="str">
        <x:v>品種</x:v>
      </x:c>
      <x:c r="G92" s="14" t="str">
        <x:v>ロウレイロはワイン用ブドウ品種。ブドウを樹上凍結し、水分を氷として分離する。</x:v>
      </x:c>
      <x:c r="H92" s="14" t="str">
        <x:v>栽培・成熟：花や柑橘を思わせる香りと高い酸。Loureiroの花・柑橘・高酸を正しく示しており、品種の酸、タンニン、芳香、果皮または成熟特性がワインのスタイルを形作る。典型的なスタイル：ブドウを樹上凍結し、水分を氷として分離する。主要な関連産地：ヴィーニョ・ヴェルデ。</x:v>
      </x:c>
      <x:c r="I92" s="14" t="str"/>
      <x:c r="J92" s="14" t="str"/>
      <x:c r="K92" s="14" t="str">
        <x:v>品種;ブドウ</x:v>
      </x:c>
      <x:c r="L92" s="14" t="str"/>
      <x:c r="M92" s="14" t="str">
        <x:v>portugal_official_wine</x:v>
      </x:c>
      <x:c r="N92" s="14" t="str">
        <x:v>2026-07-12</x:v>
      </x:c>
      <x:c r="O92" s="14" t="str">
        <x:v>Y</x:v>
      </x:c>
    </x:row>
    <x:row r="93" ht="52.79999923706055" hidden="0" customHeight="1">
      <x:c r="A93" s="14" t="str">
        <x:v>term-1c9cb2dba59e</x:v>
      </x:c>
      <x:c r="B93" s="14" t="str">
        <x:v>ヴィオニエ</x:v>
      </x:c>
      <x:c r="C93" s="14" t="str">
        <x:v>Viognier</x:v>
      </x:c>
      <x:c r="D93" s="14" t="str">
        <x:v>Viognier</x:v>
      </x:c>
      <x:c r="E93" s="14" t="str"/>
      <x:c r="F93" s="14" t="str">
        <x:v>品種</x:v>
      </x:c>
      <x:c r="G93" s="14" t="str">
        <x:v>ヴィオニエはワイン用ブドウ品種。香りを高め、共色素作用で色の安定に寄与し、質感をやや柔らかくする。ヴィオニエの花香を加え、共色素作用でシラーの色を安定させ、口当たりを和らげる場合がある。</x:v>
      </x:c>
      <x:c r="H93" s="14" t="str">
        <x:v>栽培・成熟：急斜面の低収量畑、栽培の難しさ、限られた生産量、ヴィオニエの芳香性。典型的なスタイル：香りを高め、共色素作用で色の安定に寄与し、質感をやや柔らかくする。ヴィオニエの花香を加え、共色素作用でシラーの色を安定させ、口当たりを和らげる場合がある。主要な関連産地：北部ローヌ、コンドリュー、コート・ロティ。</x:v>
      </x:c>
      <x:c r="I93" s="14" t="str"/>
      <x:c r="J93" s="14" t="str"/>
      <x:c r="K93" s="14" t="str">
        <x:v>品種;ブドウ</x:v>
      </x:c>
      <x:c r="L93" s="14" t="str"/>
      <x:c r="M93" s="14" t="str">
        <x:v>rhone_official_terroir</x:v>
      </x:c>
      <x:c r="N93" s="14" t="str">
        <x:v>2026-07-12</x:v>
      </x:c>
      <x:c r="O93" s="14" t="str">
        <x:v>Y</x:v>
      </x:c>
    </x:row>
    <x:row r="94" ht="92.4000015258789" hidden="0" customHeight="1">
      <x:c r="A94" s="14" t="str">
        <x:v>term-b7dcafc51de9</x:v>
      </x:c>
      <x:c r="B94" s="14" t="str">
        <x:v>ヴィダル</x:v>
      </x:c>
      <x:c r="C94" s="14" t="str"/>
      <x:c r="D94" s="14" t="str"/>
      <x:c r="E94" s="14" t="str"/>
      <x:c r="F94" s="14" t="str">
        <x:v>品種</x:v>
      </x:c>
      <x:c r="G94" s="14" t="str">
        <x:v>ヴィダルはワイン用ブドウ品種。Rieslingは高い酸と繊細な柑橘、Vidalは厚い果皮と豊かなトロピカル果実を示しやすい。</x:v>
      </x:c>
      <x:c r="H94" s="14" t="str">
        <x:v>栽培・成熟：厚い果皮と耐寒性があり、樹上で長く健全性を保ちやすい。Vidalの厚皮・耐寒性・樹上健全性を正しく示しており、品種の酸、タンニン、芳香、果皮または成熟特性がワインのスタイルを形作る。典型的なスタイル：Rieslingは高い酸と繊細な柑橘、Vidalは厚い果皮と豊かなトロピカル果実を示しやすい。RieslingとVidalの酸・果実・果皮特性を正しく示しており、品種の酸、タンニン、芳香、果皮または成熟特性がワインのスタイルを形作る。主要な関連産地：ナイアガラ半島、オカナガン・ヴァレー、オンタリオ、ナイアガラ。</x:v>
      </x:c>
      <x:c r="I94" s="14" t="str"/>
      <x:c r="J94" s="14" t="str"/>
      <x:c r="K94" s="14" t="str">
        <x:v>品種;ブドウ</x:v>
      </x:c>
      <x:c r="L94" s="14" t="str"/>
      <x:c r="M94" s="14" t="str">
        <x:v>canada_official_wine</x:v>
      </x:c>
      <x:c r="N94" s="14" t="str">
        <x:v>2026-07-12</x:v>
      </x:c>
      <x:c r="O94" s="14" t="str">
        <x:v>Y</x:v>
      </x:c>
    </x:row>
    <x:row r="95" ht="52.79999923706055" hidden="0" customHeight="1">
      <x:c r="A95" s="14" t="str">
        <x:v>term-2a861df2262b</x:v>
      </x:c>
      <x:c r="B95" s="14" t="str">
        <x:v>ヴェルシュリースリング</x:v>
      </x:c>
      <x:c r="C95" s="14" t="str"/>
      <x:c r="D95" s="14" t="str"/>
      <x:c r="E95" s="14" t="str"/>
      <x:c r="F95" s="14" t="str">
        <x:v>品種</x:v>
      </x:c>
      <x:c r="G95" s="14" t="str">
        <x:v>ヴェルシュリースリングはワイン用ブドウ品種。湖が秋の湿度と朝霧を与え、午後の乾燥で貴腐の発達を助けるから。</x:v>
      </x:c>
      <x:c r="H95" s="14" t="str">
        <x:v>栽培・成熟：ノイジードラー湖周辺の朝霧と、その後の暖かく乾いた条件。湖からの湿気が朝に貴腐菌の発生を促し、午後の乾燥が果粒の水分蒸発と健全な濃縮を助ける。典型的なスタイル：湖が秋の湿度と朝霧を与え、午後の乾燥で貴腐の発達を助けるから。主要な関連産地：ブルゲンラント。</x:v>
      </x:c>
      <x:c r="I95" s="14" t="str"/>
      <x:c r="J95" s="14" t="str"/>
      <x:c r="K95" s="14" t="str">
        <x:v>品種;ブドウ</x:v>
      </x:c>
      <x:c r="L95" s="14" t="str"/>
      <x:c r="M95" s="14" t="str">
        <x:v>austria_official_wine</x:v>
      </x:c>
      <x:c r="N95" s="14" t="str">
        <x:v>2026-07-12</x:v>
      </x:c>
      <x:c r="O95" s="14" t="str">
        <x:v>Y</x:v>
      </x:c>
    </x:row>
    <x:row r="96" ht="66" hidden="0" customHeight="1">
      <x:c r="A96" s="14" t="str">
        <x:v>term-3a1a819df362</x:v>
      </x:c>
      <x:c r="B96" s="14" t="str">
        <x:v>ヴェルシュリースリングほか</x:v>
      </x:c>
      <x:c r="C96" s="14" t="str"/>
      <x:c r="D96" s="14" t="str"/>
      <x:c r="E96" s="14" t="str"/>
      <x:c r="F96" s="14" t="str">
        <x:v>品種</x:v>
      </x:c>
      <x:c r="G96" s="14" t="str">
        <x:v>ヴェルシュリースリングほかはワイン用ブドウ品種。浅い湖と湿地が秋の朝に湿度を与え、暖かく乾燥した午後が果実を濃縮するため。湖による霧がボトリティスの発生を促し、その後の乾燥した条件が水分蒸発と糖の濃縮を助ける。</x:v>
      </x:c>
      <x:c r="H96" s="14" t="str">
        <x:v>栽培・成熟：浅い湖と湿地が秋の朝に湿度を与え、暖かく乾燥した午後が果実を濃縮するため。湖による霧がボトリティスの発生を促し、その後の乾燥した条件が水分蒸発と糖の濃縮を助ける。主要な関連産地：ノイジードラーゼー。</x:v>
      </x:c>
      <x:c r="I96" s="14" t="str"/>
      <x:c r="J96" s="14" t="str"/>
      <x:c r="K96" s="14" t="str">
        <x:v>品種;ブドウ</x:v>
      </x:c>
      <x:c r="L96" s="14" t="str"/>
      <x:c r="M96" s="14" t="str">
        <x:v>austria_official_wine</x:v>
      </x:c>
      <x:c r="N96" s="14" t="str">
        <x:v>2026-07-12</x:v>
      </x:c>
      <x:c r="O96" s="14" t="str">
        <x:v>Y</x:v>
      </x:c>
    </x:row>
    <x:row r="97" ht="52.79999923706055" hidden="0" customHeight="1">
      <x:c r="A97" s="14" t="str">
        <x:v>term-e81830f9b7b3</x:v>
      </x:c>
      <x:c r="B97" s="14" t="str">
        <x:v>ヴェルディッキオ</x:v>
      </x:c>
      <x:c r="C97" s="14" t="str"/>
      <x:c r="D97" s="14" t="str"/>
      <x:c r="E97" s="14" t="str"/>
      <x:c r="F97" s="14" t="str">
        <x:v>品種</x:v>
      </x:c>
      <x:c r="G97" s="14" t="str">
        <x:v>ヴェルディッキオはワイン用ブドウ品種。高い酸と十分な果実濃度があり、若いうちは柑橘、熟成するとナッツや蜂蜜の複雑性を持つ。酸と濃度があり、熟成でアーモンド、蜂蜜、ナッツの複雑性を発達させる。</x:v>
      </x:c>
      <x:c r="H97" s="14" t="str">
        <x:v>栽培・成熟：高い酸と十分な果実濃度があり、若いうちは柑橘、熟成するとナッツや蜂蜜の複雑性を持つ。酸と濃度があり、熟成でアーモンド、蜂蜜、ナッツの複雑性を発達させる。主要な関連産地：ヴェルディッキオ・デイ・カステッリ・ディ・イエージ。</x:v>
      </x:c>
      <x:c r="I97" s="14" t="str"/>
      <x:c r="J97" s="14" t="str"/>
      <x:c r="K97" s="14" t="str">
        <x:v>品種;ブドウ</x:v>
      </x:c>
      <x:c r="L97" s="14" t="str"/>
      <x:c r="M97" s="14" t="str">
        <x:v>italy_official_wine</x:v>
      </x:c>
      <x:c r="N97" s="14" t="str">
        <x:v>2026-07-12</x:v>
      </x:c>
      <x:c r="O97" s="14" t="str">
        <x:v>Y</x:v>
      </x:c>
    </x:row>
    <x:row r="98" ht="66" hidden="0" customHeight="1">
      <x:c r="A98" s="14" t="str">
        <x:v>term-27869d1df992</x:v>
      </x:c>
      <x:c r="B98" s="14" t="str">
        <x:v>ヴェルデホ</x:v>
      </x:c>
      <x:c r="C98" s="14" t="str"/>
      <x:c r="D98" s="14" t="str"/>
      <x:c r="E98" s="14" t="str"/>
      <x:c r="F98" s="14" t="str">
        <x:v>品種</x:v>
      </x:c>
      <x:c r="G98" s="14" t="str">
        <x:v>ヴェルデホはワイン用ブドウ品種。Rías Baixasは海洋性のAlbariño、Ruedaは内陸高原のVerdejoで知られる。</x:v>
      </x:c>
      <x:c r="H98" s="14" t="str">
        <x:v>栽培・成熟：高い標高による大きな日較差が、昼の成熟と夜の酸保持を両立するため。暖かな日中が風味成熟を進め、冷涼な夜が呼吸による酸の減少を抑える。典型的なスタイル：Rías Baixasは海洋性のAlbariño、Ruedaは内陸高原のVerdejoで知られる。主要な関連産地：ルエダ、リアス・バイシャス。</x:v>
      </x:c>
      <x:c r="I98" s="14" t="str"/>
      <x:c r="J98" s="14" t="str"/>
      <x:c r="K98" s="14" t="str">
        <x:v>品種;ブドウ</x:v>
      </x:c>
      <x:c r="L98" s="14" t="str"/>
      <x:c r="M98" s="14" t="str">
        <x:v>spain_official_wine</x:v>
      </x:c>
      <x:c r="N98" s="14" t="str">
        <x:v>2026-07-12</x:v>
      </x:c>
      <x:c r="O98" s="14" t="str">
        <x:v>Y</x:v>
      </x:c>
    </x:row>
    <x:row r="99" ht="52.79999923706055" hidden="0" customHeight="1">
      <x:c r="A99" s="14" t="str">
        <x:v>term-e1939ea8614b</x:v>
      </x:c>
      <x:c r="B99" s="14" t="str">
        <x:v>ヴェルメンティーノ</x:v>
      </x:c>
      <x:c r="C99" s="14" t="str"/>
      <x:c r="D99" s="14" t="str"/>
      <x:c r="E99" s="14" t="str"/>
      <x:c r="F99" s="14" t="str">
        <x:v>品種</x:v>
      </x:c>
      <x:c r="G99" s="14" t="str">
        <x:v>ヴェルメンティーノはワイン用ブドウ品種。高い酸、柑橘、白い花、ハーブ、わずかな塩味を思わせる辛口白。サルデーニャ北東部の花崗岩質土壌と海風により、芳香と爽やかさを保つ。</x:v>
      </x:c>
      <x:c r="H99" s="14" t="str">
        <x:v>栽培・成熟：高い酸、柑橘、白い花、ハーブ、わずかな塩味を思わせる辛口白。サルデーニャ北東部の花崗岩質土壌と海風により、芳香と爽やかさを保つ。主要な関連産地：ヴェルメンティーノ・ディ・ガッルーラ。</x:v>
      </x:c>
      <x:c r="I99" s="14" t="str"/>
      <x:c r="J99" s="14" t="str"/>
      <x:c r="K99" s="14" t="str">
        <x:v>品種;ブドウ</x:v>
      </x:c>
      <x:c r="L99" s="14" t="str"/>
      <x:c r="M99" s="14" t="str">
        <x:v>italy_official_wine</x:v>
      </x:c>
      <x:c r="N99" s="14" t="str">
        <x:v>2026-07-12</x:v>
      </x:c>
      <x:c r="O99" s="14" t="str">
        <x:v>Y</x:v>
      </x:c>
    </x:row>
    <x:row r="100" ht="39.599998474121094" hidden="0" customHeight="1">
      <x:c r="A100" s="14" t="str">
        <x:v>term-8aeeabe0a31e</x:v>
      </x:c>
      <x:c r="B100" s="14" t="str">
        <x:v>国際品種・地域品種</x:v>
      </x:c>
      <x:c r="C100" s="14" t="str"/>
      <x:c r="D100" s="14" t="str"/>
      <x:c r="E100" s="14" t="str"/>
      <x:c r="F100" s="14" t="str">
        <x:v>品種</x:v>
      </x:c>
      <x:c r="G100" s="14" t="str">
        <x:v>国際品種は複数国で広く栽培される品種、地域品種は特定産地との結び付きが強い品種を指す比較用の分類。</x:v>
      </x:c>
      <x:c r="H100" s="14" t="str">
        <x:v>国際品種は産地をまたいで比較しやすい一方、地域品種は地域の気候・土壌・伝統的製法を理解する手掛かりになる。実際の分類は固定的ではなく、栽培面積や市場での認知により境界が変わり得る。</x:v>
      </x:c>
      <x:c r="I100" s="14" t="str"/>
      <x:c r="J100" s="14" t="str"/>
      <x:c r="K100" s="14" t="str">
        <x:v>品種;ブドウ</x:v>
      </x:c>
      <x:c r="L100" s="14" t="str"/>
      <x:c r="M100" s="14" t="str">
        <x:v>jki_vivc_official</x:v>
      </x:c>
      <x:c r="N100" s="14" t="str">
        <x:v>2026-07-12</x:v>
      </x:c>
      <x:c r="O100" s="14" t="str">
        <x:v>Y</x:v>
      </x:c>
    </x:row>
    <x:row r="101" ht="39.599998474121094" hidden="0" customHeight="1">
      <x:c r="A101" s="14" t="str">
        <x:v>term-1abbb103cb0c</x:v>
      </x:c>
      <x:c r="B101" s="14" t="str">
        <x:v>土着品種・国際品種</x:v>
      </x:c>
      <x:c r="C101" s="14" t="str"/>
      <x:c r="D101" s="14" t="str"/>
      <x:c r="E101" s="14" t="str"/>
      <x:c r="F101" s="14" t="str">
        <x:v>品種</x:v>
      </x:c>
      <x:c r="G101" s="14" t="str">
        <x:v>土着品種は特定地域で長く栽培されてきた品種、国際品種は世界の複数産地で広く栽培される品種。</x:v>
      </x:c>
      <x:c r="H101" s="14" t="str">
        <x:v>土着品種は地域固有の気候、土壌、食文化と結び付きやすく、原産地の個性を示す。国際品種はカベルネ・ソーヴィニヨンやシャルドネのように広範囲で栽培され、産地差を比較しやすい。</x:v>
      </x:c>
      <x:c r="I101" s="14" t="str"/>
      <x:c r="J101" s="14" t="str"/>
      <x:c r="K101" s="14" t="str">
        <x:v>品種;ブドウ</x:v>
      </x:c>
      <x:c r="L101" s="14" t="str"/>
      <x:c r="M101" s="14" t="str">
        <x:v>jki_vivc_official</x:v>
      </x:c>
      <x:c r="N101" s="14" t="str">
        <x:v>2026-07-12</x:v>
      </x:c>
      <x:c r="O101" s="14" t="str">
        <x:v>Y</x:v>
      </x:c>
    </x:row>
    <x:row r="102" ht="39.599998474121094" hidden="0" customHeight="1">
      <x:c r="A102" s="14" t="str">
        <x:v>term-a12ed9cf2aa0</x:v>
      </x:c>
      <x:c r="B102" s="14" t="str">
        <x:v>白ブドウ品種</x:v>
      </x:c>
      <x:c r="C102" s="14" t="str"/>
      <x:c r="D102" s="14" t="str"/>
      <x:c r="E102" s="14" t="str"/>
      <x:c r="F102" s="14" t="str">
        <x:v>品種</x:v>
      </x:c>
      <x:c r="G102" s="14" t="str">
        <x:v>白ワインを主に造る淡色果皮のブドウ品種の総称。酸、糖、芳香成分と果皮由来成分の差がスタイルを決める。</x:v>
      </x:c>
      <x:c r="H102" s="14" t="str">
        <x:v>シャルドネのように醸造法を反映しやすい品種、ソーヴィニヨン・ブランやマスカットのように品種香が明瞭な品種、リースリングやシュナン・ブランのように高い酸を保つ品種など、栽培特性と典型香は大きく異なる。</x:v>
      </x:c>
      <x:c r="I102" s="14" t="str"/>
      <x:c r="J102" s="14" t="str"/>
      <x:c r="K102" s="14" t="str">
        <x:v>品種;ブドウ</x:v>
      </x:c>
      <x:c r="L102" s="14" t="str"/>
      <x:c r="M102" s="14" t="str">
        <x:v>jki_vivc_official</x:v>
      </x:c>
      <x:c r="N102" s="14" t="str">
        <x:v>2026-07-12</x:v>
      </x:c>
      <x:c r="O102" s="14" t="str">
        <x:v>Y</x:v>
      </x:c>
    </x:row>
    <x:row r="103" ht="39.599998474121094" hidden="0" customHeight="1">
      <x:c r="A103" s="14" t="str">
        <x:v>term-73e5e4100c4d</x:v>
      </x:c>
      <x:c r="B103" s="14" t="str">
        <x:v>複数の土着黒品種</x:v>
      </x:c>
      <x:c r="C103" s="14" t="str"/>
      <x:c r="D103" s="14" t="str"/>
      <x:c r="E103" s="14" t="str"/>
      <x:c r="F103" s="14" t="str">
        <x:v>品種</x:v>
      </x:c>
      <x:c r="G103" s="14" t="str">
        <x:v>一つの地域に固有または伝統的な複数の黒ブドウを、混植またはブレンドして使う構成。</x:v>
      </x:c>
      <x:c r="H103" s="14" t="str">
        <x:v>品種ごとに成熟時期、酸、色、タンニン、香りが異なるため、組み合わせにより年ごとの変動を抑え、味わいの複雑さと均衡を得られる。ドウロなど、単一品種よりブレンドが地域スタイルを表す産地で重要。</x:v>
      </x:c>
      <x:c r="I103" s="14" t="str"/>
      <x:c r="J103" s="14" t="str"/>
      <x:c r="K103" s="14" t="str">
        <x:v>品種;ブドウ</x:v>
      </x:c>
      <x:c r="L103" s="14" t="str"/>
      <x:c r="M103" s="14" t="str">
        <x:v>jki_vivc_official</x:v>
      </x:c>
      <x:c r="N103" s="14" t="str">
        <x:v>2026-07-12</x:v>
      </x:c>
      <x:c r="O103" s="14" t="str">
        <x:v>Y</x:v>
      </x:c>
    </x:row>
    <x:row r="104" ht="39.599998474121094" hidden="0" customHeight="1">
      <x:c r="A104" s="14" t="str">
        <x:v>term-e45fa1a3c463</x:v>
      </x:c>
      <x:c r="B104" s="14" t="str">
        <x:v>黒ブドウ品種</x:v>
      </x:c>
      <x:c r="C104" s="14" t="str"/>
      <x:c r="D104" s="14" t="str"/>
      <x:c r="E104" s="14" t="str"/>
      <x:c r="F104" s="14" t="str">
        <x:v>品種</x:v>
      </x:c>
      <x:c r="G104" s="14" t="str">
        <x:v>赤・ロゼワインを主に造る濃色果皮のブドウ品種の総称。果皮の色素とタンニンが色、構造、熟成力に関わる。</x:v>
      </x:c>
      <x:c r="H104" s="14" t="str">
        <x:v>果皮接触の長さ、抽出温度、成熟度で色とタンニン量が変わる。ピノ・ノワールのように淡色で繊細な品種から、カベルネ・ソーヴィニヨンのように色とタンニンが高い品種まで幅がある。</x:v>
      </x:c>
      <x:c r="I104" s="14" t="str"/>
      <x:c r="J104" s="14" t="str"/>
      <x:c r="K104" s="14" t="str">
        <x:v>品種;ブドウ</x:v>
      </x:c>
      <x:c r="L104" s="14" t="str"/>
      <x:c r="M104" s="14" t="str">
        <x:v>jki_vivc_official</x:v>
      </x:c>
      <x:c r="N104" s="14" t="str">
        <x:v>2026-07-12</x:v>
      </x:c>
      <x:c r="O104" s="14" t="str">
        <x:v>Y</x:v>
      </x:c>
    </x:row>
    <x:row r="105" ht="66" hidden="0" customHeight="1">
      <x:c r="A105" s="14" t="str">
        <x:v>term-af027284fbf9</x:v>
      </x:c>
      <x:c r="B105" s="14" t="str">
        <x:v>アルゼンチン</x:v>
      </x:c>
      <x:c r="C105" s="14" t="str">
        <x:v>Argentina</x:v>
      </x:c>
      <x:c r="D105" s="14" t="str">
        <x:v>Argentine</x:v>
      </x:c>
      <x:c r="E105" s="14" t="str"/>
      <x:c r="F105" s="14" t="str">
        <x:v>国</x:v>
      </x:c>
      <x:c r="G105" s="14" t="str">
        <x:v>アンデス山脈の雨陰にある乾燥地が中心で、雪解け水の灌漑と高標高の大きな日較差が成熟と酸保持を両立させる。メンドーサのマルベックが代表的で、サルタでは高標高のトロンテス、パタゴニアでは冷涼なピノ・ノワールも重要。</x:v>
      </x:c>
      <x:c r="H105" s="14" t="str">
        <x:v>アンデス山脈の雨陰にある乾燥地が中心で、雪解け水の灌漑と高標高の大きな日較差が成熟と酸保持を両立させる。メンドーサのマルベックが代表的で、サルタでは高標高のトロンテス、パタゴニアでは冷涼なピノ・ノワールも重要。</x:v>
      </x:c>
      <x:c r="I105" s="14" t="str">
        <x:v>アルゼンチン</x:v>
      </x:c>
      <x:c r="J105" s="14" t="str"/>
      <x:c r="K105" s="14" t="str">
        <x:v>地理;国;アルゼンチン</x:v>
      </x:c>
      <x:c r="L105" s="14" t="str"/>
      <x:c r="M105" s="14" t="str">
        <x:v>argentina_official_wine</x:v>
      </x:c>
      <x:c r="N105" s="14" t="str">
        <x:v>2026-07-12</x:v>
      </x:c>
      <x:c r="O105" s="14" t="str">
        <x:v>Y</x:v>
      </x:c>
    </x:row>
    <x:row r="106" ht="66" hidden="0" customHeight="1">
      <x:c r="A106" s="14" t="str">
        <x:v>term-67a9ed2cd62b</x:v>
      </x:c>
      <x:c r="B106" s="14" t="str">
        <x:v>イタリア</x:v>
      </x:c>
      <x:c r="C106" s="14" t="str">
        <x:v>Italy</x:v>
      </x:c>
      <x:c r="D106" s="14" t="str">
        <x:v>Italie</x:v>
      </x:c>
      <x:c r="E106" s="14" t="str"/>
      <x:c r="F106" s="14" t="str">
        <x:v>国</x:v>
      </x:c>
      <x:c r="G106" s="14" t="str">
        <x:v>アルプスから地中海の島々まで気候・標高・土壌が大きく変化し、土着品種と原産地呼称の組み合わせが核となる。サンジョヴェーゼ、ネッビオーロ、コルヴィーナ、ガルガーネガなどが、軽快な白から長期熟成型赤、陰干し・発泡性まで多様なスタイルを生む。</x:v>
      </x:c>
      <x:c r="H106" s="14" t="str">
        <x:v>アルプスから地中海の島々まで気候・標高・土壌が大きく変化し、土着品種と原産地呼称の組み合わせが核となる。サンジョヴェーゼ、ネッビオーロ、コルヴィーナ、ガルガーネガなどが、軽快な白から長期熟成型赤、陰干し・発泡性まで多様なスタイルを生む。</x:v>
      </x:c>
      <x:c r="I106" s="14" t="str">
        <x:v>イタリア</x:v>
      </x:c>
      <x:c r="J106" s="14" t="str"/>
      <x:c r="K106" s="14" t="str">
        <x:v>地理;国;イタリア</x:v>
      </x:c>
      <x:c r="L106" s="14" t="str"/>
      <x:c r="M106" s="14" t="str">
        <x:v>italy_official_wine</x:v>
      </x:c>
      <x:c r="N106" s="14" t="str">
        <x:v>2026-07-12</x:v>
      </x:c>
      <x:c r="O106" s="14" t="str">
        <x:v>Y</x:v>
      </x:c>
    </x:row>
    <x:row r="107" ht="66" hidden="0" customHeight="1">
      <x:c r="A107" s="14" t="str">
        <x:v>term-45b17a686735</x:v>
      </x:c>
      <x:c r="B107" s="14" t="str">
        <x:v>オーストラリア</x:v>
      </x:c>
      <x:c r="C107" s="14" t="str">
        <x:v>Australia</x:v>
      </x:c>
      <x:c r="D107" s="14" t="str">
        <x:v>Australie</x:v>
      </x:c>
      <x:c r="E107" s="14" t="str"/>
      <x:c r="F107" s="14" t="str">
        <x:v>国</x:v>
      </x:c>
      <x:c r="G107" s="14" t="str">
        <x:v>広い国土に温暖な内陸から海洋性の冷涼産地まであり、灌漑、標高、海風が地域差をつくる。シラーズが象徴的だが、タスマニアの発泡性、クレア／イーデンのリースリング、マーガレット・リヴァーのカベルネとシャルドネなど地域ごとの得意分野が明確。</x:v>
      </x:c>
      <x:c r="H107" s="14" t="str">
        <x:v>広い国土に温暖な内陸から海洋性の冷涼産地まであり、灌漑、標高、海風が地域差をつくる。シラーズが象徴的だが、タスマニアの発泡性、クレア／イーデンのリースリング、マーガレット・リヴァーのカベルネとシャルドネなど地域ごとの得意分野が明確。</x:v>
      </x:c>
      <x:c r="I107" s="14" t="str">
        <x:v>オーストラリア</x:v>
      </x:c>
      <x:c r="J107" s="14" t="str"/>
      <x:c r="K107" s="14" t="str">
        <x:v>地理;国;オーストラリア</x:v>
      </x:c>
      <x:c r="L107" s="14" t="str"/>
      <x:c r="M107" s="14" t="str">
        <x:v>australia_official_wine</x:v>
      </x:c>
      <x:c r="N107" s="14" t="str">
        <x:v>2026-07-12</x:v>
      </x:c>
      <x:c r="O107" s="14" t="str">
        <x:v>Y</x:v>
      </x:c>
    </x:row>
    <x:row r="108" ht="66" hidden="0" customHeight="1">
      <x:c r="A108" s="14" t="str">
        <x:v>term-1ea0b4418377</x:v>
      </x:c>
      <x:c r="B108" s="14" t="str">
        <x:v>オーストリア</x:v>
      </x:c>
      <x:c r="C108" s="14" t="str">
        <x:v>Austria</x:v>
      </x:c>
      <x:c r="D108" s="14" t="str">
        <x:v>Autriche</x:v>
      </x:c>
      <x:c r="E108" s="14" t="str"/>
      <x:c r="F108" s="14" t="str">
        <x:v>国</x:v>
      </x:c>
      <x:c r="G108" s="14" t="str">
        <x:v>大陸性気候の東部産地が中心で、ドナウ川沿いの斜面やレス、片麻岩などの土壌が品種表現に影響する。グリューナー・ヴェルトリーナーとリースリングの辛口白が重要で、ブルゲンラントではブラウフレンキッシュや貴腐甘口も造られる。</x:v>
      </x:c>
      <x:c r="H108" s="14" t="str">
        <x:v>大陸性気候の東部産地が中心で、ドナウ川沿いの斜面やレス、片麻岩などの土壌が品種表現に影響する。グリューナー・ヴェルトリーナーとリースリングの辛口白が重要で、ブルゲンラントではブラウフレンキッシュや貴腐甘口も造られる。</x:v>
      </x:c>
      <x:c r="I108" s="14" t="str">
        <x:v>オーストリア</x:v>
      </x:c>
      <x:c r="J108" s="14" t="str"/>
      <x:c r="K108" s="14" t="str">
        <x:v>地理;国;オーストリア</x:v>
      </x:c>
      <x:c r="L108" s="14" t="str"/>
      <x:c r="M108" s="14" t="str">
        <x:v>austria_official_wine</x:v>
      </x:c>
      <x:c r="N108" s="14" t="str">
        <x:v>2026-07-12</x:v>
      </x:c>
      <x:c r="O108" s="14" t="str">
        <x:v>Y</x:v>
      </x:c>
    </x:row>
    <x:row r="109" ht="66" hidden="0" customHeight="1">
      <x:c r="A109" s="14" t="str">
        <x:v>term-514bc46c6643</x:v>
      </x:c>
      <x:c r="B109" s="14" t="str">
        <x:v>カナダ</x:v>
      </x:c>
      <x:c r="C109" s="14" t="str">
        <x:v>Canada</x:v>
      </x:c>
      <x:c r="D109" s="14" t="str">
        <x:v>Canada</x:v>
      </x:c>
      <x:c r="E109" s="14" t="str"/>
      <x:c r="F109" s="14" t="str">
        <x:v>国</x:v>
      </x:c>
      <x:c r="G109" s="14" t="str">
        <x:v>オンタリオとブリティッシュ・コロンビアが中心。五大湖・ナイアガラ断崖やオカナガンの湖が気温を緩和し、冷涼地らしい酸を保つ。リースリング、シャルドネ、ピノ・ノワール、カベルネ・フランに加え、冬の低温を生かしたアイスワインが代表的。</x:v>
      </x:c>
      <x:c r="H109" s="14" t="str">
        <x:v>オンタリオとブリティッシュ・コロンビアが中心。五大湖・ナイアガラ断崖やオカナガンの湖が気温を緩和し、冷涼地らしい酸を保つ。リースリング、シャルドネ、ピノ・ノワール、カベルネ・フランに加え、冬の低温を生かしたアイスワインが代表的。</x:v>
      </x:c>
      <x:c r="I109" s="14" t="str">
        <x:v>カナダ</x:v>
      </x:c>
      <x:c r="J109" s="14" t="str"/>
      <x:c r="K109" s="14" t="str">
        <x:v>地理;国;カナダ</x:v>
      </x:c>
      <x:c r="L109" s="14" t="str"/>
      <x:c r="M109" s="14" t="str">
        <x:v>canada_official_wine</x:v>
      </x:c>
      <x:c r="N109" s="14" t="str">
        <x:v>2026-07-12</x:v>
      </x:c>
      <x:c r="O109" s="14" t="str">
        <x:v>Y</x:v>
      </x:c>
    </x:row>
    <x:row r="110" ht="52.79999923706055" hidden="0" customHeight="1">
      <x:c r="A110" s="14" t="str">
        <x:v>term-ae1e7a46ed40</x:v>
      </x:c>
      <x:c r="B110" s="14" t="str">
        <x:v>ギリシャ</x:v>
      </x:c>
      <x:c r="C110" s="14" t="str">
        <x:v>Greece</x:v>
      </x:c>
      <x:c r="D110" s="14" t="str">
        <x:v>Grèce</x:v>
      </x:c>
      <x:c r="E110" s="14" t="str"/>
      <x:c r="F110" s="14" t="str">
        <x:v>国</x:v>
      </x:c>
      <x:c r="G110" s="14" t="str">
        <x:v>山地・高標高とエーゲ海の島々が多く、海風、乾燥、火山性・石灰質土壌が地域差をつくる。サントリーニのアシルティコ、ナウサのクシノマヴロ、ネメアのアギオルギティコなど、土着品種が高い酸や個性的な香味を示す。</x:v>
      </x:c>
      <x:c r="H110" s="14" t="str">
        <x:v>山地・高標高とエーゲ海の島々が多く、海風、乾燥、火山性・石灰質土壌が地域差をつくる。サントリーニのアシルティコ、ナウサのクシノマヴロ、ネメアのアギオルギティコなど、土着品種が高い酸や個性的な香味を示す。</x:v>
      </x:c>
      <x:c r="I110" s="14" t="str">
        <x:v>ギリシャ</x:v>
      </x:c>
      <x:c r="J110" s="14" t="str"/>
      <x:c r="K110" s="14" t="str">
        <x:v>地理;国;ギリシャ</x:v>
      </x:c>
      <x:c r="L110" s="14" t="str"/>
      <x:c r="M110" s="14" t="str">
        <x:v>greece_official_wine</x:v>
      </x:c>
      <x:c r="N110" s="14" t="str">
        <x:v>2026-07-12</x:v>
      </x:c>
      <x:c r="O110" s="14" t="str">
        <x:v>Y</x:v>
      </x:c>
    </x:row>
    <x:row r="111" ht="66" hidden="0" customHeight="1">
      <x:c r="A111" s="14" t="str">
        <x:v>term-7f1681deee26</x:v>
      </x:c>
      <x:c r="B111" s="14" t="str">
        <x:v>スペイン</x:v>
      </x:c>
      <x:c r="C111" s="14" t="str">
        <x:v>Spain</x:v>
      </x:c>
      <x:c r="D111" s="14" t="str">
        <x:v>Espagne</x:v>
      </x:c>
      <x:c r="E111" s="14" t="str"/>
      <x:c r="F111" s="14" t="str">
        <x:v>国</x:v>
      </x:c>
      <x:c r="G111" s="14" t="str">
        <x:v>中央高原の暑く乾燥した大陸性気候、北西部の湿潤な海洋性気候、地中海沿岸が共存する。テンプラニーリョ、ガルナッチャ、アルバリーニョ、ベルデホ、パロミノなどが、熟成赤、爽快な白、カバ、シェリーまで幅広いスタイルを担う。</x:v>
      </x:c>
      <x:c r="H111" s="14" t="str">
        <x:v>中央高原の暑く乾燥した大陸性気候、北西部の湿潤な海洋性気候、地中海沿岸が共存する。テンプラニーリョ、ガルナッチャ、アルバリーニョ、ベルデホ、パロミノなどが、熟成赤、爽快な白、カバ、シェリーまで幅広いスタイルを担う。</x:v>
      </x:c>
      <x:c r="I111" s="14" t="str">
        <x:v>スペイン</x:v>
      </x:c>
      <x:c r="J111" s="14" t="str"/>
      <x:c r="K111" s="14" t="str">
        <x:v>地理;国;スペイン</x:v>
      </x:c>
      <x:c r="L111" s="14" t="str"/>
      <x:c r="M111" s="14" t="str">
        <x:v>spain_official_wine</x:v>
      </x:c>
      <x:c r="N111" s="14" t="str">
        <x:v>2026-07-12</x:v>
      </x:c>
      <x:c r="O111" s="14" t="str">
        <x:v>Y</x:v>
      </x:c>
    </x:row>
    <x:row r="112" ht="52.79999923706055" hidden="0" customHeight="1">
      <x:c r="A112" s="14" t="str">
        <x:v>term-b0bd1b747ff2</x:v>
      </x:c>
      <x:c r="B112" s="14" t="str">
        <x:v>チリ</x:v>
      </x:c>
      <x:c r="C112" s="14" t="str">
        <x:v>Chile</x:v>
      </x:c>
      <x:c r="D112" s="14" t="str">
        <x:v>Chili</x:v>
      </x:c>
      <x:c r="E112" s="14" t="str"/>
      <x:c r="F112" s="14" t="str">
        <x:v>国</x:v>
      </x:c>
      <x:c r="G112" s="14" t="str">
        <x:v>太平洋、海岸山脈、アンデスに挟まれた南北に長い産地で、フンボルト海流、標高、山風が冷却効果をもたらす。内陸はカベルネやカルメネール、沿岸はソーヴィニヨン・ブランやシャルドネ、南部は冷涼品種に向く。</x:v>
      </x:c>
      <x:c r="H112" s="14" t="str">
        <x:v>太平洋、海岸山脈、アンデスに挟まれた南北に長い産地で、フンボルト海流、標高、山風が冷却効果をもたらす。内陸はカベルネやカルメネール、沿岸はソーヴィニヨン・ブランやシャルドネ、南部は冷涼品種に向く。</x:v>
      </x:c>
      <x:c r="I112" s="14" t="str">
        <x:v>チリ</x:v>
      </x:c>
      <x:c r="J112" s="14" t="str"/>
      <x:c r="K112" s="14" t="str">
        <x:v>地理;国;チリ</x:v>
      </x:c>
      <x:c r="L112" s="14" t="str"/>
      <x:c r="M112" s="14" t="str">
        <x:v>chile_official_wine</x:v>
      </x:c>
      <x:c r="N112" s="14" t="str">
        <x:v>2026-07-12</x:v>
      </x:c>
      <x:c r="O112" s="14" t="str">
        <x:v>Y</x:v>
      </x:c>
    </x:row>
    <x:row r="113" ht="52.79999923706055" hidden="0" customHeight="1">
      <x:c r="A113" s="14" t="str">
        <x:v>term-f5526525be70</x:v>
      </x:c>
      <x:c r="B113" s="14" t="str">
        <x:v>ドイツ</x:v>
      </x:c>
      <x:c r="C113" s="14" t="str">
        <x:v>Germany</x:v>
      </x:c>
      <x:c r="D113" s="14" t="str">
        <x:v>Allemagne</x:v>
      </x:c>
      <x:c r="E113" s="14" t="str"/>
      <x:c r="F113" s="14" t="str">
        <x:v>国</x:v>
      </x:c>
      <x:c r="G113" s="14" t="str">
        <x:v>北緯の高い冷涼産地で、河川沿いの急斜面、日照を集める方位、粘板岩や石灰質土壌が成熟を助ける。リースリングが中心で、高い酸を軸に辛口から貴腐甘口まで造られ、ファルツやバーデンではより豊かな辛口や赤も重要。</x:v>
      </x:c>
      <x:c r="H113" s="14" t="str">
        <x:v>北緯の高い冷涼産地で、河川沿いの急斜面、日照を集める方位、粘板岩や石灰質土壌が成熟を助ける。リースリングが中心で、高い酸を軸に辛口から貴腐甘口まで造られ、ファルツやバーデンではより豊かな辛口や赤も重要。</x:v>
      </x:c>
      <x:c r="I113" s="14" t="str">
        <x:v>ドイツ</x:v>
      </x:c>
      <x:c r="J113" s="14" t="str"/>
      <x:c r="K113" s="14" t="str">
        <x:v>地理;国;ドイツ</x:v>
      </x:c>
      <x:c r="L113" s="14" t="str"/>
      <x:c r="M113" s="14" t="str">
        <x:v>germany_official_regions</x:v>
      </x:c>
      <x:c r="N113" s="14" t="str">
        <x:v>2026-07-12</x:v>
      </x:c>
      <x:c r="O113" s="14" t="str">
        <x:v>Y</x:v>
      </x:c>
    </x:row>
    <x:row r="114" ht="52.79999923706055" hidden="0" customHeight="1">
      <x:c r="A114" s="14" t="str">
        <x:v>term-b0a7e8b47eeb</x:v>
      </x:c>
      <x:c r="B114" s="14" t="str">
        <x:v>ニュージーランド</x:v>
      </x:c>
      <x:c r="C114" s="14" t="str">
        <x:v>New Zealand</x:v>
      </x:c>
      <x:c r="D114" s="14" t="str">
        <x:v>Nouvelle-Zélande</x:v>
      </x:c>
      <x:c r="E114" s="14" t="str"/>
      <x:c r="F114" s="14" t="str">
        <x:v>国</x:v>
      </x:c>
      <x:c r="G114" s="14" t="str">
        <x:v>海洋性気候と強い日照、冷涼な夜、長い生育期により、鮮明な果実香と高い酸を得やすい。マールボロのソーヴィニヨン・ブラン、セントラル・オタゴのピノ・ノワール、ホークス・ベイのシラーとボルドー系品種が代表的。</x:v>
      </x:c>
      <x:c r="H114" s="14" t="str">
        <x:v>海洋性気候と強い日照、冷涼な夜、長い生育期により、鮮明な果実香と高い酸を得やすい。マールボロのソーヴィニヨン・ブラン、セントラル・オタゴのピノ・ノワール、ホークス・ベイのシラーとボルドー系品種が代表的。</x:v>
      </x:c>
      <x:c r="I114" s="14" t="str">
        <x:v>ニュージーランド</x:v>
      </x:c>
      <x:c r="J114" s="14" t="str"/>
      <x:c r="K114" s="14" t="str">
        <x:v>地理;国;ニュージーランド</x:v>
      </x:c>
      <x:c r="L114" s="14" t="str"/>
      <x:c r="M114" s="14" t="str">
        <x:v>nz_official_wine</x:v>
      </x:c>
      <x:c r="N114" s="14" t="str">
        <x:v>2026-07-12</x:v>
      </x:c>
      <x:c r="O114" s="14" t="str">
        <x:v>Y</x:v>
      </x:c>
    </x:row>
    <x:row r="115" ht="52.79999923706055" hidden="0" customHeight="1">
      <x:c r="A115" s="14" t="str">
        <x:v>term-150c0cf6278e</x:v>
      </x:c>
      <x:c r="B115" s="14" t="str">
        <x:v>ハンガリー</x:v>
      </x:c>
      <x:c r="C115" s="14" t="str">
        <x:v>Hungary</x:v>
      </x:c>
      <x:c r="D115" s="14" t="str">
        <x:v>Hongrie</x:v>
      </x:c>
      <x:c r="E115" s="14" t="str"/>
      <x:c r="F115" s="14" t="str">
        <x:v>国</x:v>
      </x:c>
      <x:c r="G115" s="14" t="str">
        <x:v>カルパチア盆地の大陸性気候と火山性土壌を持つ産地が多い。トカイではフルミントを中心に高酸の辛口と貴腐甘口のアスーを造り、地域固有の品種と地下セラーでの熟成がスタイルを形づくる。</x:v>
      </x:c>
      <x:c r="H115" s="14" t="str">
        <x:v>カルパチア盆地の大陸性気候と火山性土壌を持つ産地が多い。トカイではフルミントを中心に高酸の辛口と貴腐甘口のアスーを造り、地域固有の品種と地下セラーでの熟成がスタイルを形づくる。</x:v>
      </x:c>
      <x:c r="I115" s="14" t="str">
        <x:v>ハンガリー</x:v>
      </x:c>
      <x:c r="J115" s="14" t="str"/>
      <x:c r="K115" s="14" t="str">
        <x:v>地理;国;ハンガリー</x:v>
      </x:c>
      <x:c r="L115" s="14" t="str"/>
      <x:c r="M115" s="14" t="str">
        <x:v>hungary_official_wine</x:v>
      </x:c>
      <x:c r="N115" s="14" t="str">
        <x:v>2026-07-12</x:v>
      </x:c>
      <x:c r="O115" s="14" t="str">
        <x:v>Y</x:v>
      </x:c>
    </x:row>
    <x:row r="116" ht="66" hidden="0" customHeight="1">
      <x:c r="A116" s="14" t="str">
        <x:v>term-f8b6010de8a1</x:v>
      </x:c>
      <x:c r="B116" s="14" t="str">
        <x:v>フランス</x:v>
      </x:c>
      <x:c r="C116" s="14" t="str">
        <x:v>France</x:v>
      </x:c>
      <x:c r="D116" s="14" t="str">
        <x:v>France</x:v>
      </x:c>
      <x:c r="E116" s="14" t="str"/>
      <x:c r="F116" s="14" t="str">
        <x:v>国</x:v>
      </x:c>
      <x:c r="G116" s="14" t="str">
        <x:v>海洋性・大陸性・地中海性の気候と多様な石灰岩、粘土、砂利、花崗岩、粘板岩が地域ごとの品種選択を決める。ボルドーのブレンド、ブルゴーニュのピノ・ノワール／シャルドネ、ローヌのシラー／グルナッシュ、ロワールやシャンパーニュなど産地名がスタイルを表す。</x:v>
      </x:c>
      <x:c r="H116" s="14" t="str">
        <x:v>海洋性・大陸性・地中海性の気候と多様な石灰岩、粘土、砂利、花崗岩、粘板岩が地域ごとの品種選択を決める。ボルドーのブレンド、ブルゴーニュのピノ・ノワール／シャルドネ、ローヌのシラー／グルナッシュ、ロワールやシャンパーニュなど産地名がスタイルを表す。</x:v>
      </x:c>
      <x:c r="I116" s="14" t="str">
        <x:v>フランス</x:v>
      </x:c>
      <x:c r="J116" s="14" t="str"/>
      <x:c r="K116" s="14" t="str">
        <x:v>地理;国;フランス</x:v>
      </x:c>
      <x:c r="L116" s="14" t="str"/>
      <x:c r="M116" s="14" t="str">
        <x:v>wset_questions_1100_v6</x:v>
      </x:c>
      <x:c r="N116" s="14" t="str">
        <x:v>2026-07-12</x:v>
      </x:c>
      <x:c r="O116" s="14" t="str">
        <x:v>Y</x:v>
      </x:c>
    </x:row>
    <x:row r="117" ht="52.79999923706055" hidden="0" customHeight="1">
      <x:c r="A117" s="14" t="str">
        <x:v>term-c7ad78773b6f</x:v>
      </x:c>
      <x:c r="B117" s="14" t="str">
        <x:v>ポルトガル</x:v>
      </x:c>
      <x:c r="C117" s="14" t="str">
        <x:v>Portugal</x:v>
      </x:c>
      <x:c r="D117" s="14" t="str">
        <x:v>Portugal</x:v>
      </x:c>
      <x:c r="E117" s="14" t="str"/>
      <x:c r="F117" s="14" t="str">
        <x:v>国</x:v>
      </x:c>
      <x:c r="G117" s="14" t="str">
        <x:v>大西洋の影響を強く受ける北西部から、内陸の暑く乾燥した地域まで変化が大きい。多くの土着品種を混植・ブレンドし、ヴィーニョ・ヴェルデの軽快な白、ドウロの濃縮した赤とポート、ダンやバイラーダの酸を保つ赤白を生む。</x:v>
      </x:c>
      <x:c r="H117" s="14" t="str">
        <x:v>大西洋の影響を強く受ける北西部から、内陸の暑く乾燥した地域まで変化が大きい。多くの土着品種を混植・ブレンドし、ヴィーニョ・ヴェルデの軽快な白、ドウロの濃縮した赤とポート、ダンやバイラーダの酸を保つ赤白を生む。</x:v>
      </x:c>
      <x:c r="I117" s="14" t="str">
        <x:v>ポルトガル</x:v>
      </x:c>
      <x:c r="J117" s="14" t="str"/>
      <x:c r="K117" s="14" t="str">
        <x:v>地理;国;ポルトガル</x:v>
      </x:c>
      <x:c r="L117" s="14" t="str"/>
      <x:c r="M117" s="14" t="str">
        <x:v>portugal_official_wine</x:v>
      </x:c>
      <x:c r="N117" s="14" t="str">
        <x:v>2026-07-12</x:v>
      </x:c>
      <x:c r="O117" s="14" t="str">
        <x:v>Y</x:v>
      </x:c>
    </x:row>
    <x:row r="118" ht="66" hidden="0" customHeight="1">
      <x:c r="A118" s="14" t="str">
        <x:v>term-336dba546ef3</x:v>
      </x:c>
      <x:c r="B118" s="14" t="str">
        <x:v>南アフリカ</x:v>
      </x:c>
      <x:c r="C118" s="14" t="str">
        <x:v>South Africa</x:v>
      </x:c>
      <x:c r="D118" s="14" t="str">
        <x:v>Afrique du Sud</x:v>
      </x:c>
      <x:c r="E118" s="14" t="str"/>
      <x:c r="F118" s="14" t="str">
        <x:v>国</x:v>
      </x:c>
      <x:c r="G118" s="14" t="str">
        <x:v>西ケープの地中海性気候が中心で、海流と海風が沿岸を冷却し、古い花崗岩・頁岩・砂岩など多様な土壌がある。シュナン・ブラン、ピノタージュ、カベルネ、シラーが重要で、ステレンボッシュ、スワートランド、ケープ・サウス・コーストでスタイルが分かれる。</x:v>
      </x:c>
      <x:c r="H118" s="14" t="str">
        <x:v>西ケープの地中海性気候が中心で、海流と海風が沿岸を冷却し、古い花崗岩・頁岩・砂岩など多様な土壌がある。シュナン・ブラン、ピノタージュ、カベルネ、シラーが重要で、ステレンボッシュ、スワートランド、ケープ・サウス・コーストでスタイルが分かれる。</x:v>
      </x:c>
      <x:c r="I118" s="14" t="str">
        <x:v>南アフリカ</x:v>
      </x:c>
      <x:c r="J118" s="14" t="str"/>
      <x:c r="K118" s="14" t="str">
        <x:v>地理;国;南アフリカ</x:v>
      </x:c>
      <x:c r="L118" s="14" t="str"/>
      <x:c r="M118" s="14" t="str">
        <x:v>south_africa_official_wine</x:v>
      </x:c>
      <x:c r="N118" s="14" t="str">
        <x:v>2026-07-12</x:v>
      </x:c>
      <x:c r="O118" s="14" t="str">
        <x:v>Y</x:v>
      </x:c>
    </x:row>
    <x:row r="119" ht="66" hidden="0" customHeight="1">
      <x:c r="A119" s="14" t="str">
        <x:v>term-1fd1015b28fa</x:v>
      </x:c>
      <x:c r="B119" s="14" t="str">
        <x:v>米国</x:v>
      </x:c>
      <x:c r="C119" s="14" t="str">
        <x:v>United States</x:v>
      </x:c>
      <x:c r="D119" s="14" t="str">
        <x:v>États-Unis</x:v>
      </x:c>
      <x:c r="E119" s="14" t="str"/>
      <x:c r="F119" s="14" t="str">
        <x:v>国</x:v>
      </x:c>
      <x:c r="G119" s="14" t="str">
        <x:v>カリフォルニア、オレゴン、ワシントン、ニューヨークなど気候の異なる産地を持つ。太平洋の寒流と霧、山地の標高、内陸の大きな日較差、湖の緩和効果が品種適性を決め、カベルネ、ピノ・ノワール、シャルドネ、ジンファンデル、リースリングなどが重要。</x:v>
      </x:c>
      <x:c r="H119" s="14" t="str">
        <x:v>カリフォルニア、オレゴン、ワシントン、ニューヨークなど気候の異なる産地を持つ。太平洋の寒流と霧、山地の標高、内陸の大きな日較差、湖の緩和効果が品種適性を決め、カベルネ、ピノ・ノワール、シャルドネ、ジンファンデル、リースリングなどが重要。</x:v>
      </x:c>
      <x:c r="I119" s="14" t="str">
        <x:v>米国</x:v>
      </x:c>
      <x:c r="J119" s="14" t="str"/>
      <x:c r="K119" s="14" t="str">
        <x:v>地理;国;米国</x:v>
      </x:c>
      <x:c r="L119" s="14" t="str"/>
      <x:c r="M119" s="14" t="str">
        <x:v>usa_official_wine</x:v>
      </x:c>
      <x:c r="N119" s="14" t="str">
        <x:v>2026-07-12</x:v>
      </x:c>
      <x:c r="O119" s="14" t="str">
        <x:v>Y</x:v>
      </x:c>
    </x:row>
    <x:row r="120" ht="52.79999923706055" hidden="0" customHeight="1">
      <x:c r="A120" s="14" t="str">
        <x:v>term-3f0ef1e249e0</x:v>
      </x:c>
      <x:c r="B120" s="14" t="str">
        <x:v>英国</x:v>
      </x:c>
      <x:c r="C120" s="14" t="str">
        <x:v>United Kingdom</x:v>
      </x:c>
      <x:c r="D120" s="14" t="str">
        <x:v>Royaume-Uni</x:v>
      </x:c>
      <x:c r="E120" s="14" t="str"/>
      <x:c r="F120" s="14" t="str">
        <x:v>国</x:v>
      </x:c>
      <x:c r="G120" s="14" t="str">
        <x:v>冷涼な海洋性気候のため酸が高く保たれ、南部の白亜質・石灰質土壌を中心にシャルドネ、ピノ・ノワール、ムニエから伝統的方式の発泡性ワインを造る。バッカスなどによる香り高い辛口白も増えている。</x:v>
      </x:c>
      <x:c r="H120" s="14" t="str">
        <x:v>冷涼な海洋性気候のため酸が高く保たれ、南部の白亜質・石灰質土壌を中心にシャルドネ、ピノ・ノワール、ムニエから伝統的方式の発泡性ワインを造る。バッカスなどによる香り高い辛口白も増えている。</x:v>
      </x:c>
      <x:c r="I120" s="14" t="str">
        <x:v>英国</x:v>
      </x:c>
      <x:c r="J120" s="14" t="str"/>
      <x:c r="K120" s="14" t="str">
        <x:v>地理;国;英国</x:v>
      </x:c>
      <x:c r="L120" s="14" t="str"/>
      <x:c r="M120" s="14" t="str">
        <x:v>uk_official_wine</x:v>
      </x:c>
      <x:c r="N120" s="14" t="str">
        <x:v>2026-07-12</x:v>
      </x:c>
      <x:c r="O120" s="14" t="str">
        <x:v>Y</x:v>
      </x:c>
    </x:row>
    <x:row r="121" ht="66" hidden="0" customHeight="1">
      <x:c r="A121" s="14" t="str">
        <x:v>term-e41988dd2cc9</x:v>
      </x:c>
      <x:c r="B121" s="14" t="str">
        <x:v>Ambonnay</x:v>
      </x:c>
      <x:c r="C121" s="14" t="str"/>
      <x:c r="D121" s="14" t="str">
        <x:v>Ambonnay</x:v>
      </x:c>
      <x:c r="E121" s="14" t="str"/>
      <x:c r="F121" s="14" t="str">
        <x:v>村</x:v>
      </x:c>
      <x:c r="G121" s="14" t="str">
        <x:v>AmbonnayはシャンパーニュのGrand Cru対象村。Montagne de Reimsに位置し、ピノ・ノワールが中心。</x:v>
      </x:c>
      <x:c r="H12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1" s="14" t="str">
        <x:v>フランス</x:v>
      </x:c>
      <x:c r="J121" s="14" t="str">
        <x:v>Ambonnay</x:v>
      </x:c>
      <x:c r="K121" s="14" t="str">
        <x:v>格付け;Grand Cru;champagne_cru_2025</x:v>
      </x:c>
      <x:c r="L121" s="14" t="str"/>
      <x:c r="M121" s="14" t="str">
        <x:v>champagne_official_terroir</x:v>
      </x:c>
      <x:c r="N121" s="14" t="str">
        <x:v>2026-07-12</x:v>
      </x:c>
      <x:c r="O121" s="14" t="str">
        <x:v>Y</x:v>
      </x:c>
    </x:row>
    <x:row r="122" ht="79.19999694824219" hidden="0" customHeight="1">
      <x:c r="A122" s="14" t="str">
        <x:v>term-0c8e86c948c1</x:v>
      </x:c>
      <x:c r="B122" s="14" t="str">
        <x:v>Avenay-Val-d’Or</x:v>
      </x:c>
      <x:c r="C122" s="14" t="str"/>
      <x:c r="D122" s="14" t="str">
        <x:v>Avenay-Val-d’Or</x:v>
      </x:c>
      <x:c r="E122" s="14" t="str"/>
      <x:c r="F122" s="14" t="str">
        <x:v>村</x:v>
      </x:c>
      <x:c r="G122" s="14" t="str">
        <x:v>Avenay-Val-d’OrはシャンパーニュのPremier Cru対象村。Grande Vallée de la Marneに位置し、ピノ・ノワールとムニエが中心。</x:v>
      </x:c>
      <x:c r="H122"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22" s="14" t="str">
        <x:v>フランス</x:v>
      </x:c>
      <x:c r="J122" s="14" t="str">
        <x:v>Avenay-Val-d’Or</x:v>
      </x:c>
      <x:c r="K122" s="14" t="str">
        <x:v>格付け;Premier Cru;champagne_cru_2025</x:v>
      </x:c>
      <x:c r="L122" s="14" t="str"/>
      <x:c r="M122" s="14" t="str">
        <x:v>champagne_official_terroir</x:v>
      </x:c>
      <x:c r="N122" s="14" t="str">
        <x:v>2026-07-12</x:v>
      </x:c>
      <x:c r="O122" s="14" t="str">
        <x:v>Y</x:v>
      </x:c>
    </x:row>
    <x:row r="123" ht="66" hidden="0" customHeight="1">
      <x:c r="A123" s="14" t="str">
        <x:v>term-62a707311865</x:v>
      </x:c>
      <x:c r="B123" s="14" t="str">
        <x:v>Avize</x:v>
      </x:c>
      <x:c r="C123" s="14" t="str"/>
      <x:c r="D123" s="14" t="str">
        <x:v>Avize</x:v>
      </x:c>
      <x:c r="E123" s="14" t="str"/>
      <x:c r="F123" s="14" t="str">
        <x:v>村</x:v>
      </x:c>
      <x:c r="G123" s="14" t="str">
        <x:v>AvizeはシャンパーニュのGrand Cru対象村。Côte des Blancsに位置し、シャルドネが中心。</x:v>
      </x:c>
      <x:c r="H123"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23" s="14" t="str">
        <x:v>フランス</x:v>
      </x:c>
      <x:c r="J123" s="14" t="str">
        <x:v>Avize</x:v>
      </x:c>
      <x:c r="K123" s="14" t="str">
        <x:v>格付け;Grand Cru;champagne_cru_2025</x:v>
      </x:c>
      <x:c r="L123" s="14" t="str"/>
      <x:c r="M123" s="14" t="str">
        <x:v>champagne_official_terroir</x:v>
      </x:c>
      <x:c r="N123" s="14" t="str">
        <x:v>2026-07-12</x:v>
      </x:c>
      <x:c r="O123" s="14" t="str">
        <x:v>Y</x:v>
      </x:c>
    </x:row>
    <x:row r="124" ht="79.19999694824219" hidden="0" customHeight="1">
      <x:c r="A124" s="14" t="str">
        <x:v>term-c5f34eaf833d</x:v>
      </x:c>
      <x:c r="B124" s="14" t="str">
        <x:v>Ay</x:v>
      </x:c>
      <x:c r="C124" s="14" t="str"/>
      <x:c r="D124" s="14" t="str">
        <x:v>Ay</x:v>
      </x:c>
      <x:c r="E124" s="14" t="str"/>
      <x:c r="F124" s="14" t="str">
        <x:v>村</x:v>
      </x:c>
      <x:c r="G124" s="14" t="str">
        <x:v>AyはシャンパーニュのGrand Cru対象村。Grande Vallée de la Marneに位置し、ピノ・ノワールとムニエが中心。</x:v>
      </x:c>
      <x:c r="H124"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24" s="14" t="str">
        <x:v>フランス</x:v>
      </x:c>
      <x:c r="J124" s="14" t="str">
        <x:v>Ay</x:v>
      </x:c>
      <x:c r="K124" s="14" t="str">
        <x:v>格付け;Grand Cru;champagne_cru_2025</x:v>
      </x:c>
      <x:c r="L124" s="14" t="str"/>
      <x:c r="M124" s="14" t="str">
        <x:v>champagne_official_terroir</x:v>
      </x:c>
      <x:c r="N124" s="14" t="str">
        <x:v>2026-07-12</x:v>
      </x:c>
      <x:c r="O124" s="14" t="str">
        <x:v>Y</x:v>
      </x:c>
    </x:row>
    <x:row r="125" ht="66" hidden="0" customHeight="1">
      <x:c r="A125" s="14" t="str">
        <x:v>term-53f82dee6063</x:v>
      </x:c>
      <x:c r="B125" s="14" t="str">
        <x:v>Beaumont-sur-Vesle</x:v>
      </x:c>
      <x:c r="C125" s="14" t="str"/>
      <x:c r="D125" s="14" t="str">
        <x:v>Beaumont-sur-Vesle</x:v>
      </x:c>
      <x:c r="E125" s="14" t="str"/>
      <x:c r="F125" s="14" t="str">
        <x:v>村</x:v>
      </x:c>
      <x:c r="G125" s="14" t="str">
        <x:v>Beaumont-sur-VesleはシャンパーニュのGrand Cru対象村。Montagne de Reimsに位置し、ピノ・ノワールが中心。</x:v>
      </x:c>
      <x:c r="H125"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5" s="14" t="str">
        <x:v>フランス</x:v>
      </x:c>
      <x:c r="J125" s="14" t="str">
        <x:v>Beaumont-sur-Vesle</x:v>
      </x:c>
      <x:c r="K125" s="14" t="str">
        <x:v>格付け;Grand Cru;champagne_cru_2025</x:v>
      </x:c>
      <x:c r="L125" s="14" t="str"/>
      <x:c r="M125" s="14" t="str">
        <x:v>champagne_official_terroir</x:v>
      </x:c>
      <x:c r="N125" s="14" t="str">
        <x:v>2026-07-12</x:v>
      </x:c>
      <x:c r="O125" s="14" t="str">
        <x:v>Y</x:v>
      </x:c>
    </x:row>
    <x:row r="126" ht="66" hidden="0" customHeight="1">
      <x:c r="A126" s="14" t="str">
        <x:v>term-b3f1e89e4ddd</x:v>
      </x:c>
      <x:c r="B126" s="14" t="str">
        <x:v>Bergères-lès-Vertus</x:v>
      </x:c>
      <x:c r="C126" s="14" t="str"/>
      <x:c r="D126" s="14" t="str">
        <x:v>Bergères-lès-Vertus</x:v>
      </x:c>
      <x:c r="E126" s="14" t="str"/>
      <x:c r="F126" s="14" t="str">
        <x:v>村</x:v>
      </x:c>
      <x:c r="G126" s="14" t="str">
        <x:v>Bergères-lès-VertusはシャンパーニュのPremier Cru対象村。Côte des Blancs南部に位置し、シャルドネが中心。</x:v>
      </x:c>
      <x:c r="H126" s="14" t="str">
        <x:v>地質・立地：白亜質を基盤に粘土・泥灰土が混じる斜面が多く、コート・デ・ブランの南端に連なる。品種と味わい：このサブリージョンではシャルドネが中心で、一般に柑橘と白い果実、高い酸を軸に、北部よりやや丸みを帯びることがあるベースワイン。シャンパーニュの旧エシェル・デ・クリュは村単位の格付けであり、同じ村内でも区画の方位、表土、栽培・醸造によって表現は変わる。</x:v>
      </x:c>
      <x:c r="I126" s="14" t="str">
        <x:v>フランス</x:v>
      </x:c>
      <x:c r="J126" s="14" t="str">
        <x:v>Bergères-lès-Vertus</x:v>
      </x:c>
      <x:c r="K126" s="14" t="str">
        <x:v>格付け;Premier Cru;champagne_cru_2025</x:v>
      </x:c>
      <x:c r="L126" s="14" t="str"/>
      <x:c r="M126" s="14" t="str">
        <x:v>champagne_official_terroir</x:v>
      </x:c>
      <x:c r="N126" s="14" t="str">
        <x:v>2026-07-12</x:v>
      </x:c>
      <x:c r="O126" s="14" t="str">
        <x:v>Y</x:v>
      </x:c>
    </x:row>
    <x:row r="127" ht="66" hidden="0" customHeight="1">
      <x:c r="A127" s="14" t="str">
        <x:v>term-438384c45943</x:v>
      </x:c>
      <x:c r="B127" s="14" t="str">
        <x:v>Bezannes</x:v>
      </x:c>
      <x:c r="C127" s="14" t="str"/>
      <x:c r="D127" s="14" t="str">
        <x:v>Bezannes</x:v>
      </x:c>
      <x:c r="E127" s="14" t="str"/>
      <x:c r="F127" s="14" t="str">
        <x:v>村</x:v>
      </x:c>
      <x:c r="G127" s="14" t="str">
        <x:v>BezannesはシャンパーニュのPremier Cru対象村。Montagne de Reimsに位置し、ピノ・ノワールが中心。</x:v>
      </x:c>
      <x:c r="H12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7" s="14" t="str">
        <x:v>フランス</x:v>
      </x:c>
      <x:c r="J127" s="14" t="str">
        <x:v>Bezannes</x:v>
      </x:c>
      <x:c r="K127" s="14" t="str">
        <x:v>格付け;Premier Cru;champagne_cru_2025</x:v>
      </x:c>
      <x:c r="L127" s="14" t="str"/>
      <x:c r="M127" s="14" t="str">
        <x:v>champagne_official_terroir</x:v>
      </x:c>
      <x:c r="N127" s="14" t="str">
        <x:v>2026-07-12</x:v>
      </x:c>
      <x:c r="O127" s="14" t="str">
        <x:v>Y</x:v>
      </x:c>
    </x:row>
    <x:row r="128" ht="66" hidden="0" customHeight="1">
      <x:c r="A128" s="14" t="str">
        <x:v>term-5d0fe831218f</x:v>
      </x:c>
      <x:c r="B128" s="14" t="str">
        <x:v>Billy-le-Grand</x:v>
      </x:c>
      <x:c r="C128" s="14" t="str"/>
      <x:c r="D128" s="14" t="str">
        <x:v>Billy-le-Grand</x:v>
      </x:c>
      <x:c r="E128" s="14" t="str"/>
      <x:c r="F128" s="14" t="str">
        <x:v>村</x:v>
      </x:c>
      <x:c r="G128" s="14" t="str">
        <x:v>Billy-le-GrandはシャンパーニュのPremier Cru対象村。Montagne de Reimsに位置し、ピノ・ノワールが中心。</x:v>
      </x:c>
      <x:c r="H128"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8" s="14" t="str">
        <x:v>フランス</x:v>
      </x:c>
      <x:c r="J128" s="14" t="str">
        <x:v>Billy-le-Grand</x:v>
      </x:c>
      <x:c r="K128" s="14" t="str">
        <x:v>格付け;Premier Cru;champagne_cru_2025</x:v>
      </x:c>
      <x:c r="L128" s="14" t="str"/>
      <x:c r="M128" s="14" t="str">
        <x:v>champagne_official_terroir</x:v>
      </x:c>
      <x:c r="N128" s="14" t="str">
        <x:v>2026-07-12</x:v>
      </x:c>
      <x:c r="O128" s="14" t="str">
        <x:v>Y</x:v>
      </x:c>
    </x:row>
    <x:row r="129" ht="66" hidden="0" customHeight="1">
      <x:c r="A129" s="14" t="str">
        <x:v>term-0380312134d8</x:v>
      </x:c>
      <x:c r="B129" s="14" t="str">
        <x:v>Bisseuil</x:v>
      </x:c>
      <x:c r="C129" s="14" t="str"/>
      <x:c r="D129" s="14" t="str">
        <x:v>Bisseuil</x:v>
      </x:c>
      <x:c r="E129" s="14" t="str"/>
      <x:c r="F129" s="14" t="str">
        <x:v>村</x:v>
      </x:c>
      <x:c r="G129" s="14" t="str">
        <x:v>BisseuilはシャンパーニュのPremier Cru対象村。Montagne de Reimsに位置し、ピノ・ノワールが中心。</x:v>
      </x:c>
      <x:c r="H12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29" s="14" t="str">
        <x:v>フランス</x:v>
      </x:c>
      <x:c r="J129" s="14" t="str">
        <x:v>Bisseuil</x:v>
      </x:c>
      <x:c r="K129" s="14" t="str">
        <x:v>格付け;Premier Cru;champagne_cru_2025</x:v>
      </x:c>
      <x:c r="L129" s="14" t="str"/>
      <x:c r="M129" s="14" t="str">
        <x:v>champagne_official_terroir</x:v>
      </x:c>
      <x:c r="N129" s="14" t="str">
        <x:v>2026-07-12</x:v>
      </x:c>
      <x:c r="O129" s="14" t="str">
        <x:v>Y</x:v>
      </x:c>
    </x:row>
    <x:row r="130" ht="66" hidden="0" customHeight="1">
      <x:c r="A130" s="14" t="str">
        <x:v>term-0ed2c846ca21</x:v>
      </x:c>
      <x:c r="B130" s="14" t="str">
        <x:v>Bouzy</x:v>
      </x:c>
      <x:c r="C130" s="14" t="str"/>
      <x:c r="D130" s="14" t="str">
        <x:v>Bouzy</x:v>
      </x:c>
      <x:c r="E130" s="14" t="str"/>
      <x:c r="F130" s="14" t="str">
        <x:v>村</x:v>
      </x:c>
      <x:c r="G130" s="14" t="str">
        <x:v>BouzyはシャンパーニュのGrand Cru対象村。Montagne de Reimsに位置し、ピノ・ノワールが中心。</x:v>
      </x:c>
      <x:c r="H130"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0" s="14" t="str">
        <x:v>フランス</x:v>
      </x:c>
      <x:c r="J130" s="14" t="str">
        <x:v>Bouzy</x:v>
      </x:c>
      <x:c r="K130" s="14" t="str">
        <x:v>格付け;Grand Cru;champagne_cru_2025</x:v>
      </x:c>
      <x:c r="L130" s="14" t="str"/>
      <x:c r="M130" s="14" t="str">
        <x:v>champagne_official_terroir</x:v>
      </x:c>
      <x:c r="N130" s="14" t="str">
        <x:v>2026-07-12</x:v>
      </x:c>
      <x:c r="O130" s="14" t="str">
        <x:v>Y</x:v>
      </x:c>
    </x:row>
    <x:row r="131" ht="66" hidden="0" customHeight="1">
      <x:c r="A131" s="14" t="str">
        <x:v>term-de450cd7fd85</x:v>
      </x:c>
      <x:c r="B131" s="14" t="str">
        <x:v>Chamery</x:v>
      </x:c>
      <x:c r="C131" s="14" t="str"/>
      <x:c r="D131" s="14" t="str">
        <x:v>Chamery</x:v>
      </x:c>
      <x:c r="E131" s="14" t="str"/>
      <x:c r="F131" s="14" t="str">
        <x:v>村</x:v>
      </x:c>
      <x:c r="G131" s="14" t="str">
        <x:v>ChameryはシャンパーニュのPremier Cru対象村。Montagne de Reimsに位置し、ピノ・ノワールが中心。</x:v>
      </x:c>
      <x:c r="H13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1" s="14" t="str">
        <x:v>フランス</x:v>
      </x:c>
      <x:c r="J131" s="14" t="str">
        <x:v>Chamery</x:v>
      </x:c>
      <x:c r="K131" s="14" t="str">
        <x:v>格付け;Premier Cru;champagne_cru_2025</x:v>
      </x:c>
      <x:c r="L131" s="14" t="str"/>
      <x:c r="M131" s="14" t="str">
        <x:v>champagne_official_terroir</x:v>
      </x:c>
      <x:c r="N131" s="14" t="str">
        <x:v>2026-07-12</x:v>
      </x:c>
      <x:c r="O131" s="14" t="str">
        <x:v>Y</x:v>
      </x:c>
    </x:row>
    <x:row r="132" ht="79.19999694824219" hidden="0" customHeight="1">
      <x:c r="A132" s="14" t="str">
        <x:v>term-c6074d73e410</x:v>
      </x:c>
      <x:c r="B132" s="14" t="str">
        <x:v>Champillon</x:v>
      </x:c>
      <x:c r="C132" s="14" t="str"/>
      <x:c r="D132" s="14" t="str">
        <x:v>Champillon</x:v>
      </x:c>
      <x:c r="E132" s="14" t="str"/>
      <x:c r="F132" s="14" t="str">
        <x:v>村</x:v>
      </x:c>
      <x:c r="G132" s="14" t="str">
        <x:v>ChampillonはシャンパーニュのPremier Cru対象村。Grande Vallée de la Marneに位置し、ピノ・ノワールとムニエが中心。</x:v>
      </x:c>
      <x:c r="H132"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32" s="14" t="str">
        <x:v>フランス</x:v>
      </x:c>
      <x:c r="J132" s="14" t="str">
        <x:v>Champillon</x:v>
      </x:c>
      <x:c r="K132" s="14" t="str">
        <x:v>格付け;Premier Cru;champagne_cru_2025</x:v>
      </x:c>
      <x:c r="L132" s="14" t="str"/>
      <x:c r="M132" s="14" t="str">
        <x:v>champagne_official_terroir</x:v>
      </x:c>
      <x:c r="N132" s="14" t="str">
        <x:v>2026-07-12</x:v>
      </x:c>
      <x:c r="O132" s="14" t="str">
        <x:v>Y</x:v>
      </x:c>
    </x:row>
    <x:row r="133" ht="66" hidden="0" customHeight="1">
      <x:c r="A133" s="14" t="str">
        <x:v>term-28b4574646fc</x:v>
      </x:c>
      <x:c r="B133" s="14" t="str">
        <x:v>Chigny-lès-Roses</x:v>
      </x:c>
      <x:c r="C133" s="14" t="str"/>
      <x:c r="D133" s="14" t="str">
        <x:v>Chigny-lès-Roses</x:v>
      </x:c>
      <x:c r="E133" s="14" t="str"/>
      <x:c r="F133" s="14" t="str">
        <x:v>村</x:v>
      </x:c>
      <x:c r="G133" s="14" t="str">
        <x:v>Chigny-lès-RosesはシャンパーニュのPremier Cru対象村。Montagne de Reimsに位置し、ピノ・ノワールが中心。</x:v>
      </x:c>
      <x:c r="H13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3" s="14" t="str">
        <x:v>フランス</x:v>
      </x:c>
      <x:c r="J133" s="14" t="str">
        <x:v>Chigny-lès-Roses</x:v>
      </x:c>
      <x:c r="K133" s="14" t="str">
        <x:v>格付け;Premier Cru;champagne_cru_2025</x:v>
      </x:c>
      <x:c r="L133" s="14" t="str"/>
      <x:c r="M133" s="14" t="str">
        <x:v>champagne_official_terroir</x:v>
      </x:c>
      <x:c r="N133" s="14" t="str">
        <x:v>2026-07-12</x:v>
      </x:c>
      <x:c r="O133" s="14" t="str">
        <x:v>Y</x:v>
      </x:c>
    </x:row>
    <x:row r="134" ht="66" hidden="0" customHeight="1">
      <x:c r="A134" s="14" t="str">
        <x:v>term-1bbff1d1d104</x:v>
      </x:c>
      <x:c r="B134" s="14" t="str">
        <x:v>Chouilly</x:v>
      </x:c>
      <x:c r="C134" s="14" t="str"/>
      <x:c r="D134" s="14" t="str">
        <x:v>Chouilly</x:v>
      </x:c>
      <x:c r="E134" s="14" t="str"/>
      <x:c r="F134" s="14" t="str">
        <x:v>村</x:v>
      </x:c>
      <x:c r="G134" s="14" t="str">
        <x:v>ChouillyはシャンパーニュのGrand Cru対象村。Côte des Blancsに位置し、シャルドネが中心。</x:v>
      </x:c>
      <x:c r="H134"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34" s="14" t="str">
        <x:v>フランス</x:v>
      </x:c>
      <x:c r="J134" s="14" t="str">
        <x:v>Chouilly</x:v>
      </x:c>
      <x:c r="K134" s="14" t="str">
        <x:v>格付け;Grand Cru;champagne_cru_2025</x:v>
      </x:c>
      <x:c r="L134" s="14" t="str"/>
      <x:c r="M134" s="14" t="str">
        <x:v>champagne_official_terroir</x:v>
      </x:c>
      <x:c r="N134" s="14" t="str">
        <x:v>2026-07-12</x:v>
      </x:c>
      <x:c r="O134" s="14" t="str">
        <x:v>Y</x:v>
      </x:c>
    </x:row>
    <x:row r="135" ht="66" hidden="0" customHeight="1">
      <x:c r="A135" s="14" t="str">
        <x:v>term-deb6cbe23b3d</x:v>
      </x:c>
      <x:c r="B135" s="14" t="str">
        <x:v>Coligny (Val-des-Marais)</x:v>
      </x:c>
      <x:c r="C135" s="14" t="str"/>
      <x:c r="D135" s="14" t="str">
        <x:v>Coligny (Val-des-Marais)</x:v>
      </x:c>
      <x:c r="E135" s="14" t="str"/>
      <x:c r="F135" s="14" t="str">
        <x:v>村</x:v>
      </x:c>
      <x:c r="G135" s="14" t="str">
        <x:v>Coligny (Val-des-Marais)はシャンパーニュのPremier Cru対象村。Côte de Sézanneに位置し、シャルドネが中心。</x:v>
      </x:c>
      <x:c r="H135" s="14" t="str">
        <x:v>地質・立地：白亜質と泥灰土を持つ南向き斜面が比較的高い熟度を助ける。品種と味わい：このサブリージョンではシャルドネが中心で、一般に熟した柑橘・核果と十分な酸を持ち、コート・デ・ブランより幅のある果実味を示しやすいベースワイン。シャンパーニュの旧エシェル・デ・クリュは村単位の格付けであり、同じ村内でも区画の方位、表土、栽培・醸造によって表現は変わる。</x:v>
      </x:c>
      <x:c r="I135" s="14" t="str">
        <x:v>フランス</x:v>
      </x:c>
      <x:c r="J135" s="14" t="str">
        <x:v>Coligny (Val-des-Marais)</x:v>
      </x:c>
      <x:c r="K135" s="14" t="str">
        <x:v>格付け;Premier Cru;champagne_cru_2025</x:v>
      </x:c>
      <x:c r="L135" s="14" t="str"/>
      <x:c r="M135" s="14" t="str">
        <x:v>champagne_official_terroir</x:v>
      </x:c>
      <x:c r="N135" s="14" t="str">
        <x:v>2026-07-12</x:v>
      </x:c>
      <x:c r="O135" s="14" t="str">
        <x:v>Y</x:v>
      </x:c>
    </x:row>
    <x:row r="136" ht="66" hidden="0" customHeight="1">
      <x:c r="A136" s="14" t="str">
        <x:v>term-b1ad0c7ec6c3</x:v>
      </x:c>
      <x:c r="B136" s="14" t="str">
        <x:v>Cormontreuil</x:v>
      </x:c>
      <x:c r="C136" s="14" t="str"/>
      <x:c r="D136" s="14" t="str">
        <x:v>Cormontreuil</x:v>
      </x:c>
      <x:c r="E136" s="14" t="str"/>
      <x:c r="F136" s="14" t="str">
        <x:v>村</x:v>
      </x:c>
      <x:c r="G136" s="14" t="str">
        <x:v>CormontreuilはシャンパーニュのPremier Cru対象村。Montagne de Reimsに位置し、ピノ・ノワールが中心。</x:v>
      </x:c>
      <x:c r="H136"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6" s="14" t="str">
        <x:v>フランス</x:v>
      </x:c>
      <x:c r="J136" s="14" t="str">
        <x:v>Cormontreuil</x:v>
      </x:c>
      <x:c r="K136" s="14" t="str">
        <x:v>格付け;Premier Cru;champagne_cru_2025</x:v>
      </x:c>
      <x:c r="L136" s="14" t="str"/>
      <x:c r="M136" s="14" t="str">
        <x:v>champagne_official_terroir</x:v>
      </x:c>
      <x:c r="N136" s="14" t="str">
        <x:v>2026-07-12</x:v>
      </x:c>
      <x:c r="O136" s="14" t="str">
        <x:v>Y</x:v>
      </x:c>
    </x:row>
    <x:row r="137" ht="66" hidden="0" customHeight="1">
      <x:c r="A137" s="14" t="str">
        <x:v>term-f2e7ffbfb8f2</x:v>
      </x:c>
      <x:c r="B137" s="14" t="str">
        <x:v>Coulommes-la-Montagne</x:v>
      </x:c>
      <x:c r="C137" s="14" t="str"/>
      <x:c r="D137" s="14" t="str">
        <x:v>Coulommes-la-Montagne</x:v>
      </x:c>
      <x:c r="E137" s="14" t="str"/>
      <x:c r="F137" s="14" t="str">
        <x:v>村</x:v>
      </x:c>
      <x:c r="G137" s="14" t="str">
        <x:v>Coulommes-la-MontagneはシャンパーニュのPremier Cru対象村。Montagne de Reimsに位置し、ピノ・ノワールが中心。</x:v>
      </x:c>
      <x:c r="H13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37" s="14" t="str">
        <x:v>フランス</x:v>
      </x:c>
      <x:c r="J137" s="14" t="str">
        <x:v>Coulommes-la-Montagne</x:v>
      </x:c>
      <x:c r="K137" s="14" t="str">
        <x:v>格付け;Premier Cru;champagne_cru_2025</x:v>
      </x:c>
      <x:c r="L137" s="14" t="str"/>
      <x:c r="M137" s="14" t="str">
        <x:v>champagne_official_terroir</x:v>
      </x:c>
      <x:c r="N137" s="14" t="str">
        <x:v>2026-07-12</x:v>
      </x:c>
      <x:c r="O137" s="14" t="str">
        <x:v>Y</x:v>
      </x:c>
    </x:row>
    <x:row r="138" ht="66" hidden="0" customHeight="1">
      <x:c r="A138" s="14" t="str">
        <x:v>term-963dd3be86e5</x:v>
      </x:c>
      <x:c r="B138" s="14" t="str">
        <x:v>Cramant</x:v>
      </x:c>
      <x:c r="C138" s="14" t="str"/>
      <x:c r="D138" s="14" t="str">
        <x:v>Cramant</x:v>
      </x:c>
      <x:c r="E138" s="14" t="str"/>
      <x:c r="F138" s="14" t="str">
        <x:v>村</x:v>
      </x:c>
      <x:c r="G138" s="14" t="str">
        <x:v>CramantはシャンパーニュのGrand Cru対象村。Côte des Blancsに位置し、シャルドネが中心。</x:v>
      </x:c>
      <x:c r="H138"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38" s="14" t="str">
        <x:v>フランス</x:v>
      </x:c>
      <x:c r="J138" s="14" t="str">
        <x:v>Cramant</x:v>
      </x:c>
      <x:c r="K138" s="14" t="str">
        <x:v>格付け;Grand Cru;champagne_cru_2025</x:v>
      </x:c>
      <x:c r="L138" s="14" t="str"/>
      <x:c r="M138" s="14" t="str">
        <x:v>champagne_official_terroir</x:v>
      </x:c>
      <x:c r="N138" s="14" t="str">
        <x:v>2026-07-12</x:v>
      </x:c>
      <x:c r="O138" s="14" t="str">
        <x:v>Y</x:v>
      </x:c>
    </x:row>
    <x:row r="139" ht="66" hidden="0" customHeight="1">
      <x:c r="A139" s="14" t="str">
        <x:v>term-0c971b61838e</x:v>
      </x:c>
      <x:c r="B139" s="14" t="str">
        <x:v>Cuis</x:v>
      </x:c>
      <x:c r="C139" s="14" t="str"/>
      <x:c r="D139" s="14" t="str">
        <x:v>Cuis</x:v>
      </x:c>
      <x:c r="E139" s="14" t="str"/>
      <x:c r="F139" s="14" t="str">
        <x:v>村</x:v>
      </x:c>
      <x:c r="G139" s="14" t="str">
        <x:v>CuisはシャンパーニュのPremier Cru対象村。Côte des Blancsに位置し、シャルドネが中心。</x:v>
      </x:c>
      <x:c r="H139"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39" s="14" t="str">
        <x:v>フランス</x:v>
      </x:c>
      <x:c r="J139" s="14" t="str">
        <x:v>Cuis</x:v>
      </x:c>
      <x:c r="K139" s="14" t="str">
        <x:v>格付け;Premier Cru;champagne_cru_2025</x:v>
      </x:c>
      <x:c r="L139" s="14" t="str"/>
      <x:c r="M139" s="14" t="str">
        <x:v>champagne_official_terroir</x:v>
      </x:c>
      <x:c r="N139" s="14" t="str">
        <x:v>2026-07-12</x:v>
      </x:c>
      <x:c r="O139" s="14" t="str">
        <x:v>Y</x:v>
      </x:c>
    </x:row>
    <x:row r="140" ht="79.19999694824219" hidden="0" customHeight="1">
      <x:c r="A140" s="14" t="str">
        <x:v>term-e46436317140</x:v>
      </x:c>
      <x:c r="B140" s="14" t="str">
        <x:v>Cumières</x:v>
      </x:c>
      <x:c r="C140" s="14" t="str"/>
      <x:c r="D140" s="14" t="str">
        <x:v>Cumières</x:v>
      </x:c>
      <x:c r="E140" s="14" t="str"/>
      <x:c r="F140" s="14" t="str">
        <x:v>村</x:v>
      </x:c>
      <x:c r="G140" s="14" t="str">
        <x:v>CumièresはシャンパーニュのPremier Cru対象村。Grande Vallée de la Marneに位置し、ピノ・ノワールとムニエが中心。</x:v>
      </x:c>
      <x:c r="H140"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40" s="14" t="str">
        <x:v>フランス</x:v>
      </x:c>
      <x:c r="J140" s="14" t="str">
        <x:v>Cumières</x:v>
      </x:c>
      <x:c r="K140" s="14" t="str">
        <x:v>格付け;Premier Cru;champagne_cru_2025</x:v>
      </x:c>
      <x:c r="L140" s="14" t="str"/>
      <x:c r="M140" s="14" t="str">
        <x:v>champagne_official_terroir</x:v>
      </x:c>
      <x:c r="N140" s="14" t="str">
        <x:v>2026-07-12</x:v>
      </x:c>
      <x:c r="O140" s="14" t="str">
        <x:v>Y</x:v>
      </x:c>
    </x:row>
    <x:row r="141" ht="79.19999694824219" hidden="0" customHeight="1">
      <x:c r="A141" s="14" t="str">
        <x:v>term-1bf793e8006c</x:v>
      </x:c>
      <x:c r="B141" s="14" t="str">
        <x:v>Dizy</x:v>
      </x:c>
      <x:c r="C141" s="14" t="str"/>
      <x:c r="D141" s="14" t="str">
        <x:v>Dizy</x:v>
      </x:c>
      <x:c r="E141" s="14" t="str"/>
      <x:c r="F141" s="14" t="str">
        <x:v>村</x:v>
      </x:c>
      <x:c r="G141" s="14" t="str">
        <x:v>DizyはシャンパーニュのPremier Cru対象村。Grande Vallée de la Marneに位置し、ピノ・ノワールとムニエが中心。</x:v>
      </x:c>
      <x:c r="H141"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41" s="14" t="str">
        <x:v>フランス</x:v>
      </x:c>
      <x:c r="J141" s="14" t="str">
        <x:v>Dizy</x:v>
      </x:c>
      <x:c r="K141" s="14" t="str">
        <x:v>格付け;Premier Cru;champagne_cru_2025</x:v>
      </x:c>
      <x:c r="L141" s="14" t="str"/>
      <x:c r="M141" s="14" t="str">
        <x:v>champagne_official_terroir</x:v>
      </x:c>
      <x:c r="N141" s="14" t="str">
        <x:v>2026-07-12</x:v>
      </x:c>
      <x:c r="O141" s="14" t="str">
        <x:v>Y</x:v>
      </x:c>
    </x:row>
    <x:row r="142" ht="66" hidden="0" customHeight="1">
      <x:c r="A142" s="14" t="str">
        <x:v>term-a7dc4c177804</x:v>
      </x:c>
      <x:c r="B142" s="14" t="str">
        <x:v>Ecueil</x:v>
      </x:c>
      <x:c r="C142" s="14" t="str"/>
      <x:c r="D142" s="14" t="str">
        <x:v>Ecueil</x:v>
      </x:c>
      <x:c r="E142" s="14" t="str"/>
      <x:c r="F142" s="14" t="str">
        <x:v>村</x:v>
      </x:c>
      <x:c r="G142" s="14" t="str">
        <x:v>EcueilはシャンパーニュのPremier Cru対象村。Montagne de Reimsに位置し、ピノ・ノワールが中心。</x:v>
      </x:c>
      <x:c r="H142"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2" s="14" t="str">
        <x:v>フランス</x:v>
      </x:c>
      <x:c r="J142" s="14" t="str">
        <x:v>Ecueil</x:v>
      </x:c>
      <x:c r="K142" s="14" t="str">
        <x:v>格付け;Premier Cru;champagne_cru_2025</x:v>
      </x:c>
      <x:c r="L142" s="14" t="str"/>
      <x:c r="M142" s="14" t="str">
        <x:v>champagne_official_terroir</x:v>
      </x:c>
      <x:c r="N142" s="14" t="str">
        <x:v>2026-07-12</x:v>
      </x:c>
      <x:c r="O142" s="14" t="str">
        <x:v>Y</x:v>
      </x:c>
    </x:row>
    <x:row r="143" ht="66" hidden="0" customHeight="1">
      <x:c r="A143" s="14" t="str">
        <x:v>term-0585d7fff718</x:v>
      </x:c>
      <x:c r="B143" s="14" t="str">
        <x:v>Etrechy</x:v>
      </x:c>
      <x:c r="C143" s="14" t="str"/>
      <x:c r="D143" s="14" t="str">
        <x:v>Etrechy</x:v>
      </x:c>
      <x:c r="E143" s="14" t="str"/>
      <x:c r="F143" s="14" t="str">
        <x:v>村</x:v>
      </x:c>
      <x:c r="G143" s="14" t="str">
        <x:v>EtrechyはシャンパーニュのPremier Cru対象村。Côte de Sézanneに位置し、シャルドネが中心。</x:v>
      </x:c>
      <x:c r="H143" s="14" t="str">
        <x:v>地質・立地：白亜質と泥灰土を持つ南向き斜面が比較的高い熟度を助ける。品種と味わい：このサブリージョンではシャルドネが中心で、一般に熟した柑橘・核果と十分な酸を持ち、コート・デ・ブランより幅のある果実味を示しやすいベースワイン。シャンパーニュの旧エシェル・デ・クリュは村単位の格付けであり、同じ村内でも区画の方位、表土、栽培・醸造によって表現は変わる。</x:v>
      </x:c>
      <x:c r="I143" s="14" t="str">
        <x:v>フランス</x:v>
      </x:c>
      <x:c r="J143" s="14" t="str">
        <x:v>Etrechy</x:v>
      </x:c>
      <x:c r="K143" s="14" t="str">
        <x:v>格付け;Premier Cru;champagne_cru_2025</x:v>
      </x:c>
      <x:c r="L143" s="14" t="str"/>
      <x:c r="M143" s="14" t="str">
        <x:v>champagne_official_terroir</x:v>
      </x:c>
      <x:c r="N143" s="14" t="str">
        <x:v>2026-07-12</x:v>
      </x:c>
      <x:c r="O143" s="14" t="str">
        <x:v>Y</x:v>
      </x:c>
    </x:row>
    <x:row r="144" ht="66" hidden="0" customHeight="1">
      <x:c r="A144" s="14" t="str">
        <x:v>term-bc44fbe1a3a4</x:v>
      </x:c>
      <x:c r="B144" s="14" t="str">
        <x:v>Grauves</x:v>
      </x:c>
      <x:c r="C144" s="14" t="str"/>
      <x:c r="D144" s="14" t="str">
        <x:v>Grauves</x:v>
      </x:c>
      <x:c r="E144" s="14" t="str"/>
      <x:c r="F144" s="14" t="str">
        <x:v>村</x:v>
      </x:c>
      <x:c r="G144" s="14" t="str">
        <x:v>GrauvesはシャンパーニュのPremier Cru対象村。Côte des Blancsに位置し、シャルドネが中心。</x:v>
      </x:c>
      <x:c r="H144"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44" s="14" t="str">
        <x:v>フランス</x:v>
      </x:c>
      <x:c r="J144" s="14" t="str">
        <x:v>Grauves</x:v>
      </x:c>
      <x:c r="K144" s="14" t="str">
        <x:v>格付け;Premier Cru;champagne_cru_2025</x:v>
      </x:c>
      <x:c r="L144" s="14" t="str"/>
      <x:c r="M144" s="14" t="str">
        <x:v>champagne_official_terroir</x:v>
      </x:c>
      <x:c r="N144" s="14" t="str">
        <x:v>2026-07-12</x:v>
      </x:c>
      <x:c r="O144" s="14" t="str">
        <x:v>Y</x:v>
      </x:c>
    </x:row>
    <x:row r="145" ht="79.19999694824219" hidden="0" customHeight="1">
      <x:c r="A145" s="14" t="str">
        <x:v>term-124705053d5c</x:v>
      </x:c>
      <x:c r="B145" s="14" t="str">
        <x:v>Hautvillers</x:v>
      </x:c>
      <x:c r="C145" s="14" t="str"/>
      <x:c r="D145" s="14" t="str">
        <x:v>Hautvillers</x:v>
      </x:c>
      <x:c r="E145" s="14" t="str"/>
      <x:c r="F145" s="14" t="str">
        <x:v>村</x:v>
      </x:c>
      <x:c r="G145" s="14" t="str">
        <x:v>HautvillersはシャンパーニュのPremier Cru対象村。Grande Vallée de la Marneに位置し、ピノ・ノワールとムニエが中心。</x:v>
      </x:c>
      <x:c r="H145"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45" s="14" t="str">
        <x:v>フランス</x:v>
      </x:c>
      <x:c r="J145" s="14" t="str">
        <x:v>Hautvillers</x:v>
      </x:c>
      <x:c r="K145" s="14" t="str">
        <x:v>格付け;Premier Cru;champagne_cru_2025</x:v>
      </x:c>
      <x:c r="L145" s="14" t="str"/>
      <x:c r="M145" s="14" t="str">
        <x:v>champagne_official_terroir</x:v>
      </x:c>
      <x:c r="N145" s="14" t="str">
        <x:v>2026-07-12</x:v>
      </x:c>
      <x:c r="O145" s="14" t="str">
        <x:v>Y</x:v>
      </x:c>
    </x:row>
    <x:row r="146" ht="66" hidden="0" customHeight="1">
      <x:c r="A146" s="14" t="str">
        <x:v>term-4d55ca4bd3fd</x:v>
      </x:c>
      <x:c r="B146" s="14" t="str">
        <x:v>Jouy-lès-Reims</x:v>
      </x:c>
      <x:c r="C146" s="14" t="str"/>
      <x:c r="D146" s="14" t="str">
        <x:v>Jouy-lès-Reims</x:v>
      </x:c>
      <x:c r="E146" s="14" t="str"/>
      <x:c r="F146" s="14" t="str">
        <x:v>村</x:v>
      </x:c>
      <x:c r="G146" s="14" t="str">
        <x:v>Jouy-lès-ReimsはシャンパーニュのPremier Cru対象村。Montagne de Reimsに位置し、ピノ・ノワールが中心。</x:v>
      </x:c>
      <x:c r="H146"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6" s="14" t="str">
        <x:v>フランス</x:v>
      </x:c>
      <x:c r="J146" s="14" t="str">
        <x:v>Jouy-lès-Reims</x:v>
      </x:c>
      <x:c r="K146" s="14" t="str">
        <x:v>格付け;Premier Cru;champagne_cru_2025</x:v>
      </x:c>
      <x:c r="L146" s="14" t="str"/>
      <x:c r="M146" s="14" t="str">
        <x:v>champagne_official_terroir</x:v>
      </x:c>
      <x:c r="N146" s="14" t="str">
        <x:v>2026-07-12</x:v>
      </x:c>
      <x:c r="O146" s="14" t="str">
        <x:v>Y</x:v>
      </x:c>
    </x:row>
    <x:row r="147" ht="66" hidden="0" customHeight="1">
      <x:c r="A147" s="14" t="str">
        <x:v>term-e506f4c43e8f</x:v>
      </x:c>
      <x:c r="B147" s="14" t="str">
        <x:v>Le Mesnil-sur-Oger</x:v>
      </x:c>
      <x:c r="C147" s="14" t="str"/>
      <x:c r="D147" s="14" t="str">
        <x:v>Le Mesnil-sur-Oger</x:v>
      </x:c>
      <x:c r="E147" s="14" t="str"/>
      <x:c r="F147" s="14" t="str">
        <x:v>村</x:v>
      </x:c>
      <x:c r="G147" s="14" t="str">
        <x:v>Le Mesnil-sur-OgerはシャンパーニュのGrand Cru対象村。Côte des Blancsに位置し、シャルドネが中心。</x:v>
      </x:c>
      <x:c r="H147"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47" s="14" t="str">
        <x:v>フランス</x:v>
      </x:c>
      <x:c r="J147" s="14" t="str">
        <x:v>Le Mesnil-sur-Oger</x:v>
      </x:c>
      <x:c r="K147" s="14" t="str">
        <x:v>格付け;Grand Cru;champagne_cru_2025</x:v>
      </x:c>
      <x:c r="L147" s="14" t="str"/>
      <x:c r="M147" s="14" t="str">
        <x:v>champagne_official_terroir</x:v>
      </x:c>
      <x:c r="N147" s="14" t="str">
        <x:v>2026-07-12</x:v>
      </x:c>
      <x:c r="O147" s="14" t="str">
        <x:v>Y</x:v>
      </x:c>
    </x:row>
    <x:row r="148" ht="66" hidden="0" customHeight="1">
      <x:c r="A148" s="14" t="str">
        <x:v>term-f9acf4b044d5</x:v>
      </x:c>
      <x:c r="B148" s="14" t="str">
        <x:v>Les Mesneux</x:v>
      </x:c>
      <x:c r="C148" s="14" t="str"/>
      <x:c r="D148" s="14" t="str">
        <x:v>Les Mesneux</x:v>
      </x:c>
      <x:c r="E148" s="14" t="str"/>
      <x:c r="F148" s="14" t="str">
        <x:v>村</x:v>
      </x:c>
      <x:c r="G148" s="14" t="str">
        <x:v>Les MesneuxはシャンパーニュのPremier Cru対象村。Montagne de Reimsに位置し、ピノ・ノワールが中心。</x:v>
      </x:c>
      <x:c r="H148"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8" s="14" t="str">
        <x:v>フランス</x:v>
      </x:c>
      <x:c r="J148" s="14" t="str">
        <x:v>Les Mesneux</x:v>
      </x:c>
      <x:c r="K148" s="14" t="str">
        <x:v>格付け;Premier Cru;champagne_cru_2025</x:v>
      </x:c>
      <x:c r="L148" s="14" t="str"/>
      <x:c r="M148" s="14" t="str">
        <x:v>champagne_official_terroir</x:v>
      </x:c>
      <x:c r="N148" s="14" t="str">
        <x:v>2026-07-12</x:v>
      </x:c>
      <x:c r="O148" s="14" t="str">
        <x:v>Y</x:v>
      </x:c>
    </x:row>
    <x:row r="149" ht="66" hidden="0" customHeight="1">
      <x:c r="A149" s="14" t="str">
        <x:v>term-bcce4bd4ae9b</x:v>
      </x:c>
      <x:c r="B149" s="14" t="str">
        <x:v>Louvois</x:v>
      </x:c>
      <x:c r="C149" s="14" t="str"/>
      <x:c r="D149" s="14" t="str">
        <x:v>Louvois</x:v>
      </x:c>
      <x:c r="E149" s="14" t="str"/>
      <x:c r="F149" s="14" t="str">
        <x:v>村</x:v>
      </x:c>
      <x:c r="G149" s="14" t="str">
        <x:v>LouvoisはシャンパーニュのGrand Cru対象村。Montagne de Reimsに位置し、ピノ・ノワールが中心。</x:v>
      </x:c>
      <x:c r="H14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49" s="14" t="str">
        <x:v>フランス</x:v>
      </x:c>
      <x:c r="J149" s="14" t="str">
        <x:v>Louvois</x:v>
      </x:c>
      <x:c r="K149" s="14" t="str">
        <x:v>格付け;Grand Cru;champagne_cru_2025</x:v>
      </x:c>
      <x:c r="L149" s="14" t="str"/>
      <x:c r="M149" s="14" t="str">
        <x:v>champagne_official_terroir</x:v>
      </x:c>
      <x:c r="N149" s="14" t="str">
        <x:v>2026-07-12</x:v>
      </x:c>
      <x:c r="O149" s="14" t="str">
        <x:v>Y</x:v>
      </x:c>
    </x:row>
    <x:row r="150" ht="66" hidden="0" customHeight="1">
      <x:c r="A150" s="14" t="str">
        <x:v>term-48046e98a88f</x:v>
      </x:c>
      <x:c r="B150" s="14" t="str">
        <x:v>Ludes</x:v>
      </x:c>
      <x:c r="C150" s="14" t="str"/>
      <x:c r="D150" s="14" t="str">
        <x:v>Ludes</x:v>
      </x:c>
      <x:c r="E150" s="14" t="str"/>
      <x:c r="F150" s="14" t="str">
        <x:v>村</x:v>
      </x:c>
      <x:c r="G150" s="14" t="str">
        <x:v>LudesはシャンパーニュのPremier Cru対象村。Montagne de Reimsに位置し、ピノ・ノワールが中心。</x:v>
      </x:c>
      <x:c r="H150"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0" s="14" t="str">
        <x:v>フランス</x:v>
      </x:c>
      <x:c r="J150" s="14" t="str">
        <x:v>Ludes</x:v>
      </x:c>
      <x:c r="K150" s="14" t="str">
        <x:v>格付け;Premier Cru;champagne_cru_2025</x:v>
      </x:c>
      <x:c r="L150" s="14" t="str"/>
      <x:c r="M150" s="14" t="str">
        <x:v>champagne_official_terroir</x:v>
      </x:c>
      <x:c r="N150" s="14" t="str">
        <x:v>2026-07-12</x:v>
      </x:c>
      <x:c r="O150" s="14" t="str">
        <x:v>Y</x:v>
      </x:c>
    </x:row>
    <x:row r="151" ht="66" hidden="0" customHeight="1">
      <x:c r="A151" s="14" t="str">
        <x:v>term-30bb06c345ce</x:v>
      </x:c>
      <x:c r="B151" s="14" t="str">
        <x:v>Mailly-Champagne</x:v>
      </x:c>
      <x:c r="C151" s="14" t="str"/>
      <x:c r="D151" s="14" t="str">
        <x:v>Mailly-Champagne</x:v>
      </x:c>
      <x:c r="E151" s="14" t="str"/>
      <x:c r="F151" s="14" t="str">
        <x:v>村</x:v>
      </x:c>
      <x:c r="G151" s="14" t="str">
        <x:v>Mailly-ChampagneはシャンパーニュのGrand Cru対象村。Montagne de Reimsに位置し、ピノ・ノワールが中心。</x:v>
      </x:c>
      <x:c r="H15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1" s="14" t="str">
        <x:v>フランス</x:v>
      </x:c>
      <x:c r="J151" s="14" t="str">
        <x:v>Mailly-Champagne</x:v>
      </x:c>
      <x:c r="K151" s="14" t="str">
        <x:v>格付け;Grand Cru;champagne_cru_2025</x:v>
      </x:c>
      <x:c r="L151" s="14" t="str"/>
      <x:c r="M151" s="14" t="str">
        <x:v>champagne_official_terroir</x:v>
      </x:c>
      <x:c r="N151" s="14" t="str">
        <x:v>2026-07-12</x:v>
      </x:c>
      <x:c r="O151" s="14" t="str">
        <x:v>Y</x:v>
      </x:c>
    </x:row>
    <x:row r="152" ht="79.19999694824219" hidden="0" customHeight="1">
      <x:c r="A152" s="14" t="str">
        <x:v>term-f1e6031b5795</x:v>
      </x:c>
      <x:c r="B152" s="14" t="str">
        <x:v>Mareuil-sur-Ay</x:v>
      </x:c>
      <x:c r="C152" s="14" t="str"/>
      <x:c r="D152" s="14" t="str">
        <x:v>Mareuil-sur-Ay</x:v>
      </x:c>
      <x:c r="E152" s="14" t="str"/>
      <x:c r="F152" s="14" t="str">
        <x:v>村</x:v>
      </x:c>
      <x:c r="G152" s="14" t="str">
        <x:v>Mareuil-sur-AyはシャンパーニュのPremier Cru対象村。Grande Vallée de la Marneに位置し、ピノ・ノワールとムニエが中心。</x:v>
      </x:c>
      <x:c r="H152"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52" s="14" t="str">
        <x:v>フランス</x:v>
      </x:c>
      <x:c r="J152" s="14" t="str">
        <x:v>Mareuil-sur-Ay</x:v>
      </x:c>
      <x:c r="K152" s="14" t="str">
        <x:v>格付け;Premier Cru;champagne_cru_2025</x:v>
      </x:c>
      <x:c r="L152" s="14" t="str"/>
      <x:c r="M152" s="14" t="str">
        <x:v>champagne_official_terroir</x:v>
      </x:c>
      <x:c r="N152" s="14" t="str">
        <x:v>2026-07-12</x:v>
      </x:c>
      <x:c r="O152" s="14" t="str">
        <x:v>Y</x:v>
      </x:c>
    </x:row>
    <x:row r="153" ht="66" hidden="0" customHeight="1">
      <x:c r="A153" s="14" t="str">
        <x:v>term-995194ebbc3d</x:v>
      </x:c>
      <x:c r="B153" s="14" t="str">
        <x:v>Montbré</x:v>
      </x:c>
      <x:c r="C153" s="14" t="str"/>
      <x:c r="D153" s="14" t="str">
        <x:v>Montbré</x:v>
      </x:c>
      <x:c r="E153" s="14" t="str"/>
      <x:c r="F153" s="14" t="str">
        <x:v>村</x:v>
      </x:c>
      <x:c r="G153" s="14" t="str">
        <x:v>MontbréはシャンパーニュのPremier Cru対象村。Montagne de Reimsに位置し、ピノ・ノワールが中心。</x:v>
      </x:c>
      <x:c r="H15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3" s="14" t="str">
        <x:v>フランス</x:v>
      </x:c>
      <x:c r="J153" s="14" t="str">
        <x:v>Montbré</x:v>
      </x:c>
      <x:c r="K153" s="14" t="str">
        <x:v>格付け;Premier Cru;champagne_cru_2025</x:v>
      </x:c>
      <x:c r="L153" s="14" t="str"/>
      <x:c r="M153" s="14" t="str">
        <x:v>champagne_official_terroir</x:v>
      </x:c>
      <x:c r="N153" s="14" t="str">
        <x:v>2026-07-12</x:v>
      </x:c>
      <x:c r="O153" s="14" t="str">
        <x:v>Y</x:v>
      </x:c>
    </x:row>
    <x:row r="154" ht="79.19999694824219" hidden="0" customHeight="1">
      <x:c r="A154" s="14" t="str">
        <x:v>term-082db24855f4</x:v>
      </x:c>
      <x:c r="B154" s="14" t="str">
        <x:v>Mutigny</x:v>
      </x:c>
      <x:c r="C154" s="14" t="str"/>
      <x:c r="D154" s="14" t="str">
        <x:v>Mutigny</x:v>
      </x:c>
      <x:c r="E154" s="14" t="str"/>
      <x:c r="F154" s="14" t="str">
        <x:v>村</x:v>
      </x:c>
      <x:c r="G154" s="14" t="str">
        <x:v>MutignyはシャンパーニュのPremier Cru対象村。Grande Vallée de la Marneに位置し、ピノ・ノワールとムニエが中心。</x:v>
      </x:c>
      <x:c r="H154"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54" s="14" t="str">
        <x:v>フランス</x:v>
      </x:c>
      <x:c r="J154" s="14" t="str">
        <x:v>Mutigny</x:v>
      </x:c>
      <x:c r="K154" s="14" t="str">
        <x:v>格付け;Premier Cru;champagne_cru_2025</x:v>
      </x:c>
      <x:c r="L154" s="14" t="str"/>
      <x:c r="M154" s="14" t="str">
        <x:v>champagne_official_terroir</x:v>
      </x:c>
      <x:c r="N154" s="14" t="str">
        <x:v>2026-07-12</x:v>
      </x:c>
      <x:c r="O154" s="14" t="str">
        <x:v>Y</x:v>
      </x:c>
    </x:row>
    <x:row r="155" ht="66" hidden="0" customHeight="1">
      <x:c r="A155" s="14" t="str">
        <x:v>term-a8a92c8e041e</x:v>
      </x:c>
      <x:c r="B155" s="14" t="str">
        <x:v>Oger</x:v>
      </x:c>
      <x:c r="C155" s="14" t="str"/>
      <x:c r="D155" s="14" t="str">
        <x:v>Oger</x:v>
      </x:c>
      <x:c r="E155" s="14" t="str"/>
      <x:c r="F155" s="14" t="str">
        <x:v>村</x:v>
      </x:c>
      <x:c r="G155" s="14" t="str">
        <x:v>OgerはシャンパーニュのGrand Cru対象村。Côte des Blancsに位置し、シャルドネが中心。</x:v>
      </x:c>
      <x:c r="H155"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55" s="14" t="str">
        <x:v>フランス</x:v>
      </x:c>
      <x:c r="J155" s="14" t="str">
        <x:v>Oger</x:v>
      </x:c>
      <x:c r="K155" s="14" t="str">
        <x:v>格付け;Grand Cru;champagne_cru_2025</x:v>
      </x:c>
      <x:c r="L155" s="14" t="str"/>
      <x:c r="M155" s="14" t="str">
        <x:v>champagne_official_terroir</x:v>
      </x:c>
      <x:c r="N155" s="14" t="str">
        <x:v>2026-07-12</x:v>
      </x:c>
      <x:c r="O155" s="14" t="str">
        <x:v>Y</x:v>
      </x:c>
    </x:row>
    <x:row r="156" ht="66" hidden="0" customHeight="1">
      <x:c r="A156" s="14" t="str">
        <x:v>term-fe1cd32cb66a</x:v>
      </x:c>
      <x:c r="B156" s="14" t="str">
        <x:v>Oiry</x:v>
      </x:c>
      <x:c r="C156" s="14" t="str"/>
      <x:c r="D156" s="14" t="str">
        <x:v>Oiry</x:v>
      </x:c>
      <x:c r="E156" s="14" t="str"/>
      <x:c r="F156" s="14" t="str">
        <x:v>村</x:v>
      </x:c>
      <x:c r="G156" s="14" t="str">
        <x:v>OiryはシャンパーニュのGrand Cru対象村。Côte des Blancsに位置し、シャルドネが中心。</x:v>
      </x:c>
      <x:c r="H156" s="14" t="str">
        <x:v>地質・立地：露出した白亜質の下層土が排水と保水を両立し、斜面が日照を確保する。品種と味わい：このサブリージョンではシャルドネが中心で、一般に高い酸、柑橘・白い花、繊細な石灰質の印象を持つ、緊張感と熟成力のあるベースワイン。シャンパーニュの旧エシェル・デ・クリュは村単位の格付けであり、同じ村内でも区画の方位、表土、栽培・醸造によって表現は変わる。</x:v>
      </x:c>
      <x:c r="I156" s="14" t="str">
        <x:v>フランス</x:v>
      </x:c>
      <x:c r="J156" s="14" t="str">
        <x:v>Oiry</x:v>
      </x:c>
      <x:c r="K156" s="14" t="str">
        <x:v>格付け;Grand Cru;champagne_cru_2025</x:v>
      </x:c>
      <x:c r="L156" s="14" t="str"/>
      <x:c r="M156" s="14" t="str">
        <x:v>champagne_official_terroir</x:v>
      </x:c>
      <x:c r="N156" s="14" t="str">
        <x:v>2026-07-12</x:v>
      </x:c>
      <x:c r="O156" s="14" t="str">
        <x:v>Y</x:v>
      </x:c>
    </x:row>
    <x:row r="157" ht="66" hidden="0" customHeight="1">
      <x:c r="A157" s="14" t="str">
        <x:v>term-1d068b6db8eb</x:v>
      </x:c>
      <x:c r="B157" s="14" t="str">
        <x:v>Pargny-lès-Reims</x:v>
      </x:c>
      <x:c r="C157" s="14" t="str"/>
      <x:c r="D157" s="14" t="str">
        <x:v>Pargny-lès-Reims</x:v>
      </x:c>
      <x:c r="E157" s="14" t="str"/>
      <x:c r="F157" s="14" t="str">
        <x:v>村</x:v>
      </x:c>
      <x:c r="G157" s="14" t="str">
        <x:v>Pargny-lès-ReimsはシャンパーニュのPremier Cru対象村。Montagne de Reimsに位置し、ピノ・ノワールが中心。</x:v>
      </x:c>
      <x:c r="H15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7" s="14" t="str">
        <x:v>フランス</x:v>
      </x:c>
      <x:c r="J157" s="14" t="str">
        <x:v>Pargny-lès-Reims</x:v>
      </x:c>
      <x:c r="K157" s="14" t="str">
        <x:v>格付け;Premier Cru;champagne_cru_2025</x:v>
      </x:c>
      <x:c r="L157" s="14" t="str"/>
      <x:c r="M157" s="14" t="str">
        <x:v>champagne_official_terroir</x:v>
      </x:c>
      <x:c r="N157" s="14" t="str">
        <x:v>2026-07-12</x:v>
      </x:c>
      <x:c r="O157" s="14" t="str">
        <x:v>Y</x:v>
      </x:c>
    </x:row>
    <x:row r="158" ht="79.19999694824219" hidden="0" customHeight="1">
      <x:c r="A158" s="14" t="str">
        <x:v>term-8a97d2873b7a</x:v>
      </x:c>
      <x:c r="B158" s="14" t="str">
        <x:v>Pierry</x:v>
      </x:c>
      <x:c r="C158" s="14" t="str"/>
      <x:c r="D158" s="14" t="str">
        <x:v>Pierry</x:v>
      </x:c>
      <x:c r="E158" s="14" t="str"/>
      <x:c r="F158" s="14" t="str">
        <x:v>村</x:v>
      </x:c>
      <x:c r="G158" s="14" t="str">
        <x:v>PierryはシャンパーニュのPremier Cru対象村。Grande Vallée de la Marneに位置し、ピノ・ノワールとムニエが中心。</x:v>
      </x:c>
      <x:c r="H158"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58" s="14" t="str">
        <x:v>フランス</x:v>
      </x:c>
      <x:c r="J158" s="14" t="str">
        <x:v>Pierry</x:v>
      </x:c>
      <x:c r="K158" s="14" t="str">
        <x:v>格付け;Premier Cru;champagne_cru_2025</x:v>
      </x:c>
      <x:c r="L158" s="14" t="str"/>
      <x:c r="M158" s="14" t="str">
        <x:v>champagne_official_terroir</x:v>
      </x:c>
      <x:c r="N158" s="14" t="str">
        <x:v>2026-07-12</x:v>
      </x:c>
      <x:c r="O158" s="14" t="str">
        <x:v>Y</x:v>
      </x:c>
    </x:row>
    <x:row r="159" ht="66" hidden="0" customHeight="1">
      <x:c r="A159" s="14" t="str">
        <x:v>term-2b7430d9ea02</x:v>
      </x:c>
      <x:c r="B159" s="14" t="str">
        <x:v>Puisieulx</x:v>
      </x:c>
      <x:c r="C159" s="14" t="str"/>
      <x:c r="D159" s="14" t="str">
        <x:v>Puisieulx</x:v>
      </x:c>
      <x:c r="E159" s="14" t="str"/>
      <x:c r="F159" s="14" t="str">
        <x:v>村</x:v>
      </x:c>
      <x:c r="G159" s="14" t="str">
        <x:v>PuisieulxはシャンパーニュのGrand Cru対象村。Montagne de Reimsに位置し、ピノ・ノワールが中心。</x:v>
      </x:c>
      <x:c r="H15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59" s="14" t="str">
        <x:v>フランス</x:v>
      </x:c>
      <x:c r="J159" s="14" t="str">
        <x:v>Puisieulx</x:v>
      </x:c>
      <x:c r="K159" s="14" t="str">
        <x:v>格付け;Grand Cru;champagne_cru_2025</x:v>
      </x:c>
      <x:c r="L159" s="14" t="str"/>
      <x:c r="M159" s="14" t="str">
        <x:v>champagne_official_terroir</x:v>
      </x:c>
      <x:c r="N159" s="14" t="str">
        <x:v>2026-07-12</x:v>
      </x:c>
      <x:c r="O159" s="14" t="str">
        <x:v>Y</x:v>
      </x:c>
    </x:row>
    <x:row r="160" ht="66" hidden="0" customHeight="1">
      <x:c r="A160" s="14" t="str">
        <x:v>term-a463a86c56af</x:v>
      </x:c>
      <x:c r="B160" s="14" t="str">
        <x:v>Rilly-la-Montagne</x:v>
      </x:c>
      <x:c r="C160" s="14" t="str"/>
      <x:c r="D160" s="14" t="str">
        <x:v>Rilly-la-Montagne</x:v>
      </x:c>
      <x:c r="E160" s="14" t="str"/>
      <x:c r="F160" s="14" t="str">
        <x:v>村</x:v>
      </x:c>
      <x:c r="G160" s="14" t="str">
        <x:v>Rilly-la-MontagneはシャンパーニュのPremier Cru対象村。Montagne de Reimsに位置し、ピノ・ノワールが中心。</x:v>
      </x:c>
      <x:c r="H160"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0" s="14" t="str">
        <x:v>フランス</x:v>
      </x:c>
      <x:c r="J160" s="14" t="str">
        <x:v>Rilly-la-Montagne</x:v>
      </x:c>
      <x:c r="K160" s="14" t="str">
        <x:v>格付け;Premier Cru;champagne_cru_2025</x:v>
      </x:c>
      <x:c r="L160" s="14" t="str"/>
      <x:c r="M160" s="14" t="str">
        <x:v>champagne_official_terroir</x:v>
      </x:c>
      <x:c r="N160" s="14" t="str">
        <x:v>2026-07-12</x:v>
      </x:c>
      <x:c r="O160" s="14" t="str">
        <x:v>Y</x:v>
      </x:c>
    </x:row>
    <x:row r="161" ht="66" hidden="0" customHeight="1">
      <x:c r="A161" s="14" t="str">
        <x:v>term-315040d63d1b</x:v>
      </x:c>
      <x:c r="B161" s="14" t="str">
        <x:v>Sacy</x:v>
      </x:c>
      <x:c r="C161" s="14" t="str"/>
      <x:c r="D161" s="14" t="str">
        <x:v>Sacy</x:v>
      </x:c>
      <x:c r="E161" s="14" t="str"/>
      <x:c r="F161" s="14" t="str">
        <x:v>村</x:v>
      </x:c>
      <x:c r="G161" s="14" t="str">
        <x:v>SacyはシャンパーニュのPremier Cru対象村。Montagne de Reimsに位置し、ピノ・ノワールが中心。</x:v>
      </x:c>
      <x:c r="H16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1" s="14" t="str">
        <x:v>フランス</x:v>
      </x:c>
      <x:c r="J161" s="14" t="str">
        <x:v>Sacy</x:v>
      </x:c>
      <x:c r="K161" s="14" t="str">
        <x:v>格付け;Premier Cru;champagne_cru_2025</x:v>
      </x:c>
      <x:c r="L161" s="14" t="str"/>
      <x:c r="M161" s="14" t="str">
        <x:v>champagne_official_terroir</x:v>
      </x:c>
      <x:c r="N161" s="14" t="str">
        <x:v>2026-07-12</x:v>
      </x:c>
      <x:c r="O161" s="14" t="str">
        <x:v>Y</x:v>
      </x:c>
    </x:row>
    <x:row r="162" ht="66" hidden="0" customHeight="1">
      <x:c r="A162" s="14" t="str">
        <x:v>term-eca85bcdbb3b</x:v>
      </x:c>
      <x:c r="B162" s="14" t="str">
        <x:v>Sermiers</x:v>
      </x:c>
      <x:c r="C162" s="14" t="str"/>
      <x:c r="D162" s="14" t="str">
        <x:v>Sermiers</x:v>
      </x:c>
      <x:c r="E162" s="14" t="str"/>
      <x:c r="F162" s="14" t="str">
        <x:v>村</x:v>
      </x:c>
      <x:c r="G162" s="14" t="str">
        <x:v>SermiersはシャンパーニュのPremier Cru対象村。Montagne de Reimsに位置し、ピノ・ノワールが中心。</x:v>
      </x:c>
      <x:c r="H162"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2" s="14" t="str">
        <x:v>フランス</x:v>
      </x:c>
      <x:c r="J162" s="14" t="str">
        <x:v>Sermiers</x:v>
      </x:c>
      <x:c r="K162" s="14" t="str">
        <x:v>格付け;Premier Cru;champagne_cru_2025</x:v>
      </x:c>
      <x:c r="L162" s="14" t="str"/>
      <x:c r="M162" s="14" t="str">
        <x:v>champagne_official_terroir</x:v>
      </x:c>
      <x:c r="N162" s="14" t="str">
        <x:v>2026-07-12</x:v>
      </x:c>
      <x:c r="O162" s="14" t="str">
        <x:v>Y</x:v>
      </x:c>
    </x:row>
    <x:row r="163" ht="66" hidden="0" customHeight="1">
      <x:c r="A163" s="14" t="str">
        <x:v>term-3932be23d0fe</x:v>
      </x:c>
      <x:c r="B163" s="14" t="str">
        <x:v>Sillery</x:v>
      </x:c>
      <x:c r="C163" s="14" t="str"/>
      <x:c r="D163" s="14" t="str">
        <x:v>Sillery</x:v>
      </x:c>
      <x:c r="E163" s="14" t="str"/>
      <x:c r="F163" s="14" t="str">
        <x:v>村</x:v>
      </x:c>
      <x:c r="G163" s="14" t="str">
        <x:v>SilleryはシャンパーニュのGrand Cru対象村。Montagne de Reimsに位置し、ピノ・ノワールが中心。</x:v>
      </x:c>
      <x:c r="H16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3" s="14" t="str">
        <x:v>フランス</x:v>
      </x:c>
      <x:c r="J163" s="14" t="str">
        <x:v>Sillery</x:v>
      </x:c>
      <x:c r="K163" s="14" t="str">
        <x:v>格付け;Grand Cru;champagne_cru_2025</x:v>
      </x:c>
      <x:c r="L163" s="14" t="str"/>
      <x:c r="M163" s="14" t="str">
        <x:v>champagne_official_terroir</x:v>
      </x:c>
      <x:c r="N163" s="14" t="str">
        <x:v>2026-07-12</x:v>
      </x:c>
      <x:c r="O163" s="14" t="str">
        <x:v>Y</x:v>
      </x:c>
    </x:row>
    <x:row r="164" ht="66" hidden="0" customHeight="1">
      <x:c r="A164" s="14" t="str">
        <x:v>term-3f2ca5d82ddf</x:v>
      </x:c>
      <x:c r="B164" s="14" t="str">
        <x:v>Taissy</x:v>
      </x:c>
      <x:c r="C164" s="14" t="str"/>
      <x:c r="D164" s="14" t="str">
        <x:v>Taissy</x:v>
      </x:c>
      <x:c r="E164" s="14" t="str"/>
      <x:c r="F164" s="14" t="str">
        <x:v>村</x:v>
      </x:c>
      <x:c r="G164" s="14" t="str">
        <x:v>TaissyはシャンパーニュのPremier Cru対象村。Montagne de Reimsに位置し、ピノ・ノワールが中心。</x:v>
      </x:c>
      <x:c r="H164"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4" s="14" t="str">
        <x:v>フランス</x:v>
      </x:c>
      <x:c r="J164" s="14" t="str">
        <x:v>Taissy</x:v>
      </x:c>
      <x:c r="K164" s="14" t="str">
        <x:v>格付け;Premier Cru;champagne_cru_2025</x:v>
      </x:c>
      <x:c r="L164" s="14" t="str"/>
      <x:c r="M164" s="14" t="str">
        <x:v>champagne_official_terroir</x:v>
      </x:c>
      <x:c r="N164" s="14" t="str">
        <x:v>2026-07-12</x:v>
      </x:c>
      <x:c r="O164" s="14" t="str">
        <x:v>Y</x:v>
      </x:c>
    </x:row>
    <x:row r="165" ht="66" hidden="0" customHeight="1">
      <x:c r="A165" s="14" t="str">
        <x:v>term-6deea5452010</x:v>
      </x:c>
      <x:c r="B165" s="14" t="str">
        <x:v>Tauxières</x:v>
      </x:c>
      <x:c r="C165" s="14" t="str"/>
      <x:c r="D165" s="14" t="str">
        <x:v>Tauxières</x:v>
      </x:c>
      <x:c r="E165" s="14" t="str"/>
      <x:c r="F165" s="14" t="str">
        <x:v>村</x:v>
      </x:c>
      <x:c r="G165" s="14" t="str">
        <x:v>TauxièresはシャンパーニュのPremier Cru対象村。Montagne de Reimsに位置し、ピノ・ノワールが中心。</x:v>
      </x:c>
      <x:c r="H165"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5" s="14" t="str">
        <x:v>フランス</x:v>
      </x:c>
      <x:c r="J165" s="14" t="str">
        <x:v>Tauxières</x:v>
      </x:c>
      <x:c r="K165" s="14" t="str">
        <x:v>格付け;Premier Cru;champagne_cru_2025</x:v>
      </x:c>
      <x:c r="L165" s="14" t="str"/>
      <x:c r="M165" s="14" t="str">
        <x:v>champagne_official_terroir</x:v>
      </x:c>
      <x:c r="N165" s="14" t="str">
        <x:v>2026-07-12</x:v>
      </x:c>
      <x:c r="O165" s="14" t="str">
        <x:v>Y</x:v>
      </x:c>
    </x:row>
    <x:row r="166" ht="79.19999694824219" hidden="0" customHeight="1">
      <x:c r="A166" s="14" t="str">
        <x:v>term-95c34de6c37b</x:v>
      </x:c>
      <x:c r="B166" s="14" t="str">
        <x:v>Tours-sur-Marne</x:v>
      </x:c>
      <x:c r="C166" s="14" t="str"/>
      <x:c r="D166" s="14" t="str">
        <x:v>Tours-sur-Marne</x:v>
      </x:c>
      <x:c r="E166" s="14" t="str"/>
      <x:c r="F166" s="14" t="str">
        <x:v>村</x:v>
      </x:c>
      <x:c r="G166" s="14" t="str">
        <x:v>Tours-sur-MarneはシャンパーニュのGrand Cru対象村。Grande Vallée de la Marneに位置し、ピノ・ノワールとムニエが中心。</x:v>
      </x:c>
      <x:c r="H166" s="14" t="str">
        <x:v>地質・立地：マルヌ川沿いの斜面に白亜質、泥灰土、粘土が現れ、川と斜面が局地気候を緩和する。品種と味わい：このサブリージョンではピノ・ノワールとムニエが中心で、一般に熟した赤い果実としなやかな質感を持ち、村によって骨格あるピノ・ノワールから果実味豊かなムニエまで幅がある。シャンパーニュの旧エシェル・デ・クリュは村単位の格付けであり、同じ村内でも区画の方位、表土、栽培・醸造によって表現は変わる。</x:v>
      </x:c>
      <x:c r="I166" s="14" t="str">
        <x:v>フランス</x:v>
      </x:c>
      <x:c r="J166" s="14" t="str">
        <x:v>Tours-sur-Marne</x:v>
      </x:c>
      <x:c r="K166" s="14" t="str">
        <x:v>格付け;Grand Cru;champagne_cru_2025</x:v>
      </x:c>
      <x:c r="L166" s="14" t="str"/>
      <x:c r="M166" s="14" t="str">
        <x:v>champagne_official_terroir</x:v>
      </x:c>
      <x:c r="N166" s="14" t="str">
        <x:v>2026-07-12</x:v>
      </x:c>
      <x:c r="O166" s="14" t="str">
        <x:v>Y</x:v>
      </x:c>
    </x:row>
    <x:row r="167" ht="66" hidden="0" customHeight="1">
      <x:c r="A167" s="14" t="str">
        <x:v>term-773454d56139</x:v>
      </x:c>
      <x:c r="B167" s="14" t="str">
        <x:v>Trois-Puits</x:v>
      </x:c>
      <x:c r="C167" s="14" t="str"/>
      <x:c r="D167" s="14" t="str">
        <x:v>Trois-Puits</x:v>
      </x:c>
      <x:c r="E167" s="14" t="str"/>
      <x:c r="F167" s="14" t="str">
        <x:v>村</x:v>
      </x:c>
      <x:c r="G167" s="14" t="str">
        <x:v>Trois-PuitsはシャンパーニュのPremier Cru対象村。Montagne de Reimsに位置し、ピノ・ノワールが中心。</x:v>
      </x:c>
      <x:c r="H16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67" s="14" t="str">
        <x:v>フランス</x:v>
      </x:c>
      <x:c r="J167" s="14" t="str">
        <x:v>Trois-Puits</x:v>
      </x:c>
      <x:c r="K167" s="14" t="str">
        <x:v>格付け;Premier Cru;champagne_cru_2025</x:v>
      </x:c>
      <x:c r="L167" s="14" t="str"/>
      <x:c r="M167" s="14" t="str">
        <x:v>champagne_official_terroir</x:v>
      </x:c>
      <x:c r="N167" s="14" t="str">
        <x:v>2026-07-12</x:v>
      </x:c>
      <x:c r="O167" s="14" t="str">
        <x:v>Y</x:v>
      </x:c>
    </x:row>
    <x:row r="168" ht="66" hidden="0" customHeight="1">
      <x:c r="A168" s="14" t="str">
        <x:v>term-64969cd6db38</x:v>
      </x:c>
      <x:c r="B168" s="14" t="str">
        <x:v>Trépail</x:v>
      </x:c>
      <x:c r="C168" s="14" t="str"/>
      <x:c r="D168" s="14" t="str">
        <x:v>Trépail</x:v>
      </x:c>
      <x:c r="E168" s="14" t="str"/>
      <x:c r="F168" s="14" t="str">
        <x:v>村</x:v>
      </x:c>
      <x:c r="G168" s="14" t="str">
        <x:v>TrépailはシャンパーニュのPremier Cru対象村。Montagne de Reimsに位置し、シャルドネが中心。</x:v>
      </x:c>
      <x:c r="H168" s="14" t="str">
        <x:v>地質・立地：白亜質を基盤に粘土・石灰質が重なる丘陵で、斜面の方位により成熟条件が変わる。品種と味わい：このサブリージョンではシャルドネが中心で、一般に高い酸と柑橘・白い花を軸に、モンターニュ・ド・ランスらしい芯を備えるベースワイン。シャンパーニュの旧エシェル・デ・クリュは村単位の格付けであり、同じ村内でも区画の方位、表土、栽培・醸造によって表現は変わる。</x:v>
      </x:c>
      <x:c r="I168" s="14" t="str">
        <x:v>フランス</x:v>
      </x:c>
      <x:c r="J168" s="14" t="str">
        <x:v>Trépail</x:v>
      </x:c>
      <x:c r="K168" s="14" t="str">
        <x:v>格付け;Premier Cru;champagne_cru_2025</x:v>
      </x:c>
      <x:c r="L168" s="14" t="str"/>
      <x:c r="M168" s="14" t="str">
        <x:v>champagne_official_terroir</x:v>
      </x:c>
      <x:c r="N168" s="14" t="str">
        <x:v>2026-07-12</x:v>
      </x:c>
      <x:c r="O168" s="14" t="str">
        <x:v>Y</x:v>
      </x:c>
    </x:row>
    <x:row r="169" ht="66" hidden="0" customHeight="1">
      <x:c r="A169" s="14" t="str">
        <x:v>term-f4b216572219</x:v>
      </x:c>
      <x:c r="B169" s="14" t="str">
        <x:v>Vaudemanges</x:v>
      </x:c>
      <x:c r="C169" s="14" t="str"/>
      <x:c r="D169" s="14" t="str">
        <x:v>Vaudemanges</x:v>
      </x:c>
      <x:c r="E169" s="14" t="str"/>
      <x:c r="F169" s="14" t="str">
        <x:v>村</x:v>
      </x:c>
      <x:c r="G169" s="14" t="str">
        <x:v>VaudemangesはシャンパーニュのPremier Cru対象村。Montagne de Reimsに位置し、シャルドネが中心。</x:v>
      </x:c>
      <x:c r="H169" s="14" t="str">
        <x:v>地質・立地：白亜質を基盤に粘土・石灰質が重なる丘陵で、斜面の方位により成熟条件が変わる。品種と味わい：このサブリージョンではシャルドネが中心で、一般に高い酸と柑橘・白い花を軸に、モンターニュ・ド・ランスらしい芯を備えるベースワイン。シャンパーニュの旧エシェル・デ・クリュは村単位の格付けであり、同じ村内でも区画の方位、表土、栽培・醸造によって表現は変わる。</x:v>
      </x:c>
      <x:c r="I169" s="14" t="str">
        <x:v>フランス</x:v>
      </x:c>
      <x:c r="J169" s="14" t="str">
        <x:v>Vaudemanges</x:v>
      </x:c>
      <x:c r="K169" s="14" t="str">
        <x:v>格付け;Premier Cru;champagne_cru_2025</x:v>
      </x:c>
      <x:c r="L169" s="14" t="str"/>
      <x:c r="M169" s="14" t="str">
        <x:v>champagne_official_terroir</x:v>
      </x:c>
      <x:c r="N169" s="14" t="str">
        <x:v>2026-07-12</x:v>
      </x:c>
      <x:c r="O169" s="14" t="str">
        <x:v>Y</x:v>
      </x:c>
    </x:row>
    <x:row r="170" ht="66" hidden="0" customHeight="1">
      <x:c r="A170" s="14" t="str">
        <x:v>term-e30b83d17009</x:v>
      </x:c>
      <x:c r="B170" s="14" t="str">
        <x:v>Vertus</x:v>
      </x:c>
      <x:c r="C170" s="14" t="str"/>
      <x:c r="D170" s="14" t="str">
        <x:v>Vertus</x:v>
      </x:c>
      <x:c r="E170" s="14" t="str"/>
      <x:c r="F170" s="14" t="str">
        <x:v>村</x:v>
      </x:c>
      <x:c r="G170" s="14" t="str">
        <x:v>VertusはシャンパーニュのPremier Cru対象村。Côte des Blancs南部に位置し、シャルドネが中心。</x:v>
      </x:c>
      <x:c r="H170" s="14" t="str">
        <x:v>地質・立地：白亜質を基盤に粘土・泥灰土が混じる斜面が多く、コート・デ・ブランの南端に連なる。品種と味わい：このサブリージョンではシャルドネが中心で、一般に柑橘と白い果実、高い酸を軸に、北部よりやや丸みを帯びることがあるベースワイン。シャンパーニュの旧エシェル・デ・クリュは村単位の格付けであり、同じ村内でも区画の方位、表土、栽培・醸造によって表現は変わる。</x:v>
      </x:c>
      <x:c r="I170" s="14" t="str">
        <x:v>フランス</x:v>
      </x:c>
      <x:c r="J170" s="14" t="str">
        <x:v>Vertus</x:v>
      </x:c>
      <x:c r="K170" s="14" t="str">
        <x:v>格付け;Premier Cru;champagne_cru_2025</x:v>
      </x:c>
      <x:c r="L170" s="14" t="str"/>
      <x:c r="M170" s="14" t="str">
        <x:v>champagne_official_terroir</x:v>
      </x:c>
      <x:c r="N170" s="14" t="str">
        <x:v>2026-07-12</x:v>
      </x:c>
      <x:c r="O170" s="14" t="str">
        <x:v>Y</x:v>
      </x:c>
    </x:row>
    <x:row r="171" ht="66" hidden="0" customHeight="1">
      <x:c r="A171" s="14" t="str">
        <x:v>term-8317a97ac130</x:v>
      </x:c>
      <x:c r="B171" s="14" t="str">
        <x:v>Verzenay</x:v>
      </x:c>
      <x:c r="C171" s="14" t="str"/>
      <x:c r="D171" s="14" t="str">
        <x:v>Verzenay</x:v>
      </x:c>
      <x:c r="E171" s="14" t="str"/>
      <x:c r="F171" s="14" t="str">
        <x:v>村</x:v>
      </x:c>
      <x:c r="G171" s="14" t="str">
        <x:v>VerzenayはシャンパーニュのGrand Cru対象村。Montagne de Reimsに位置し、ピノ・ノワールが中心。</x:v>
      </x:c>
      <x:c r="H171"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1" s="14" t="str">
        <x:v>フランス</x:v>
      </x:c>
      <x:c r="J171" s="14" t="str">
        <x:v>Verzenay</x:v>
      </x:c>
      <x:c r="K171" s="14" t="str">
        <x:v>格付け;Grand Cru;champagne_cru_2025</x:v>
      </x:c>
      <x:c r="L171" s="14" t="str"/>
      <x:c r="M171" s="14" t="str">
        <x:v>champagne_official_terroir</x:v>
      </x:c>
      <x:c r="N171" s="14" t="str">
        <x:v>2026-07-12</x:v>
      </x:c>
      <x:c r="O171" s="14" t="str">
        <x:v>Y</x:v>
      </x:c>
    </x:row>
    <x:row r="172" ht="66" hidden="0" customHeight="1">
      <x:c r="A172" s="14" t="str">
        <x:v>term-eeb8c8455672</x:v>
      </x:c>
      <x:c r="B172" s="14" t="str">
        <x:v>Verzy</x:v>
      </x:c>
      <x:c r="C172" s="14" t="str"/>
      <x:c r="D172" s="14" t="str">
        <x:v>Verzy</x:v>
      </x:c>
      <x:c r="E172" s="14" t="str"/>
      <x:c r="F172" s="14" t="str">
        <x:v>村</x:v>
      </x:c>
      <x:c r="G172" s="14" t="str">
        <x:v>VerzyはシャンパーニュのGrand Cru対象村。Montagne de Reimsに位置し、ピノ・ノワールが中心。</x:v>
      </x:c>
      <x:c r="H172"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2" s="14" t="str">
        <x:v>フランス</x:v>
      </x:c>
      <x:c r="J172" s="14" t="str">
        <x:v>Verzy</x:v>
      </x:c>
      <x:c r="K172" s="14" t="str">
        <x:v>格付け;Grand Cru;champagne_cru_2025</x:v>
      </x:c>
      <x:c r="L172" s="14" t="str"/>
      <x:c r="M172" s="14" t="str">
        <x:v>champagne_official_terroir</x:v>
      </x:c>
      <x:c r="N172" s="14" t="str">
        <x:v>2026-07-12</x:v>
      </x:c>
      <x:c r="O172" s="14" t="str">
        <x:v>Y</x:v>
      </x:c>
    </x:row>
    <x:row r="173" ht="66" hidden="0" customHeight="1">
      <x:c r="A173" s="14" t="str">
        <x:v>term-43369f906e94</x:v>
      </x:c>
      <x:c r="B173" s="14" t="str">
        <x:v>Villedommange</x:v>
      </x:c>
      <x:c r="C173" s="14" t="str"/>
      <x:c r="D173" s="14" t="str">
        <x:v>Villedommange</x:v>
      </x:c>
      <x:c r="E173" s="14" t="str"/>
      <x:c r="F173" s="14" t="str">
        <x:v>村</x:v>
      </x:c>
      <x:c r="G173" s="14" t="str">
        <x:v>VilledommangeはシャンパーニュのPremier Cru対象村。Montagne de Reimsに位置し、ピノ・ノワールが中心。</x:v>
      </x:c>
      <x:c r="H173"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3" s="14" t="str">
        <x:v>フランス</x:v>
      </x:c>
      <x:c r="J173" s="14" t="str">
        <x:v>Villedommange</x:v>
      </x:c>
      <x:c r="K173" s="14" t="str">
        <x:v>格付け;Premier Cru;champagne_cru_2025</x:v>
      </x:c>
      <x:c r="L173" s="14" t="str"/>
      <x:c r="M173" s="14" t="str">
        <x:v>champagne_official_terroir</x:v>
      </x:c>
      <x:c r="N173" s="14" t="str">
        <x:v>2026-07-12</x:v>
      </x:c>
      <x:c r="O173" s="14" t="str">
        <x:v>Y</x:v>
      </x:c>
    </x:row>
    <x:row r="174" ht="66" hidden="0" customHeight="1">
      <x:c r="A174" s="14" t="str">
        <x:v>term-cdc01db82d2e</x:v>
      </x:c>
      <x:c r="B174" s="14" t="str">
        <x:v>Villeneuve-Renneville</x:v>
      </x:c>
      <x:c r="C174" s="14" t="str"/>
      <x:c r="D174" s="14" t="str">
        <x:v>Villeneuve-Renneville</x:v>
      </x:c>
      <x:c r="E174" s="14" t="str"/>
      <x:c r="F174" s="14" t="str">
        <x:v>村</x:v>
      </x:c>
      <x:c r="G174" s="14" t="str">
        <x:v>Villeneuve-RennevilleはシャンパーニュのPremier Cru対象村。Côte de Sézanneに位置し、シャルドネが中心。</x:v>
      </x:c>
      <x:c r="H174" s="14" t="str">
        <x:v>地質・立地：白亜質と泥灰土を持つ南向き斜面が比較的高い熟度を助ける。品種と味わい：このサブリージョンではシャルドネが中心で、一般に熟した柑橘・核果と十分な酸を持ち、コート・デ・ブランより幅のある果実味を示しやすいベースワイン。シャンパーニュの旧エシェル・デ・クリュは村単位の格付けであり、同じ村内でも区画の方位、表土、栽培・醸造によって表現は変わる。</x:v>
      </x:c>
      <x:c r="I174" s="14" t="str">
        <x:v>フランス</x:v>
      </x:c>
      <x:c r="J174" s="14" t="str">
        <x:v>Villeneuve-Renneville</x:v>
      </x:c>
      <x:c r="K174" s="14" t="str">
        <x:v>格付け;Premier Cru;champagne_cru_2025</x:v>
      </x:c>
      <x:c r="L174" s="14" t="str"/>
      <x:c r="M174" s="14" t="str">
        <x:v>champagne_official_terroir</x:v>
      </x:c>
      <x:c r="N174" s="14" t="str">
        <x:v>2026-07-12</x:v>
      </x:c>
      <x:c r="O174" s="14" t="str">
        <x:v>Y</x:v>
      </x:c>
    </x:row>
    <x:row r="175" ht="66" hidden="0" customHeight="1">
      <x:c r="A175" s="14" t="str">
        <x:v>term-42a8ce0898f7</x:v>
      </x:c>
      <x:c r="B175" s="14" t="str">
        <x:v>Villers-Allerand</x:v>
      </x:c>
      <x:c r="C175" s="14" t="str"/>
      <x:c r="D175" s="14" t="str">
        <x:v>Villers-Allerand</x:v>
      </x:c>
      <x:c r="E175" s="14" t="str"/>
      <x:c r="F175" s="14" t="str">
        <x:v>村</x:v>
      </x:c>
      <x:c r="G175" s="14" t="str">
        <x:v>Villers-AllerandはシャンパーニュのPremier Cru対象村。Montagne de Reimsに位置し、ピノ・ノワールが中心。</x:v>
      </x:c>
      <x:c r="H175"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5" s="14" t="str">
        <x:v>フランス</x:v>
      </x:c>
      <x:c r="J175" s="14" t="str">
        <x:v>Villers-Allerand</x:v>
      </x:c>
      <x:c r="K175" s="14" t="str">
        <x:v>格付け;Premier Cru;champagne_cru_2025</x:v>
      </x:c>
      <x:c r="L175" s="14" t="str"/>
      <x:c r="M175" s="14" t="str">
        <x:v>champagne_official_terroir</x:v>
      </x:c>
      <x:c r="N175" s="14" t="str">
        <x:v>2026-07-12</x:v>
      </x:c>
      <x:c r="O175" s="14" t="str">
        <x:v>Y</x:v>
      </x:c>
    </x:row>
    <x:row r="176" ht="66" hidden="0" customHeight="1">
      <x:c r="A176" s="14" t="str">
        <x:v>term-a5a878db40d2</x:v>
      </x:c>
      <x:c r="B176" s="14" t="str">
        <x:v>Villers-Marmery</x:v>
      </x:c>
      <x:c r="C176" s="14" t="str"/>
      <x:c r="D176" s="14" t="str">
        <x:v>Villers-Marmery</x:v>
      </x:c>
      <x:c r="E176" s="14" t="str"/>
      <x:c r="F176" s="14" t="str">
        <x:v>村</x:v>
      </x:c>
      <x:c r="G176" s="14" t="str">
        <x:v>Villers-MarmeryはシャンパーニュのPremier Cru対象村。Montagne de Reimsに位置し、シャルドネが中心。</x:v>
      </x:c>
      <x:c r="H176" s="14" t="str">
        <x:v>地質・立地：白亜質を基盤に粘土・石灰質が重なる丘陵で、斜面の方位により成熟条件が変わる。品種と味わい：このサブリージョンではシャルドネが中心で、一般に高い酸と柑橘・白い花を軸に、モンターニュ・ド・ランスらしい芯を備えるベースワイン。シャンパーニュの旧エシェル・デ・クリュは村単位の格付けであり、同じ村内でも区画の方位、表土、栽培・醸造によって表現は変わる。</x:v>
      </x:c>
      <x:c r="I176" s="14" t="str">
        <x:v>フランス</x:v>
      </x:c>
      <x:c r="J176" s="14" t="str">
        <x:v>Villers-Marmery</x:v>
      </x:c>
      <x:c r="K176" s="14" t="str">
        <x:v>格付け;Premier Cru;champagne_cru_2025</x:v>
      </x:c>
      <x:c r="L176" s="14" t="str"/>
      <x:c r="M176" s="14" t="str">
        <x:v>champagne_official_terroir</x:v>
      </x:c>
      <x:c r="N176" s="14" t="str">
        <x:v>2026-07-12</x:v>
      </x:c>
      <x:c r="O176" s="14" t="str">
        <x:v>Y</x:v>
      </x:c>
    </x:row>
    <x:row r="177" ht="66" hidden="0" customHeight="1">
      <x:c r="A177" s="14" t="str">
        <x:v>term-038bf6b309a4</x:v>
      </x:c>
      <x:c r="B177" s="14" t="str">
        <x:v>Villers-aux-Nœuds</x:v>
      </x:c>
      <x:c r="C177" s="14" t="str"/>
      <x:c r="D177" s="14" t="str">
        <x:v>Villers-aux-Nœuds</x:v>
      </x:c>
      <x:c r="E177" s="14" t="str"/>
      <x:c r="F177" s="14" t="str">
        <x:v>村</x:v>
      </x:c>
      <x:c r="G177" s="14" t="str">
        <x:v>Villers-aux-NœudsはシャンパーニュのPremier Cru対象村。Montagne de Reimsに位置し、ピノ・ノワールが中心。</x:v>
      </x:c>
      <x:c r="H177"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7" s="14" t="str">
        <x:v>フランス</x:v>
      </x:c>
      <x:c r="J177" s="14" t="str">
        <x:v>Villers-aux-Nœuds</x:v>
      </x:c>
      <x:c r="K177" s="14" t="str">
        <x:v>格付け;Premier Cru;champagne_cru_2025</x:v>
      </x:c>
      <x:c r="L177" s="14" t="str"/>
      <x:c r="M177" s="14" t="str">
        <x:v>champagne_official_terroir</x:v>
      </x:c>
      <x:c r="N177" s="14" t="str">
        <x:v>2026-07-12</x:v>
      </x:c>
      <x:c r="O177" s="14" t="str">
        <x:v>Y</x:v>
      </x:c>
    </x:row>
    <x:row r="178" ht="66" hidden="0" customHeight="1">
      <x:c r="A178" s="14" t="str">
        <x:v>term-1e713c0666d7</x:v>
      </x:c>
      <x:c r="B178" s="14" t="str">
        <x:v>Voipreux</x:v>
      </x:c>
      <x:c r="C178" s="14" t="str"/>
      <x:c r="D178" s="14" t="str">
        <x:v>Voipreux</x:v>
      </x:c>
      <x:c r="E178" s="14" t="str"/>
      <x:c r="F178" s="14" t="str">
        <x:v>村</x:v>
      </x:c>
      <x:c r="G178" s="14" t="str">
        <x:v>VoipreuxはシャンパーニュのPremier Cru対象村。Côte des Blancs南部に位置し、シャルドネが中心。</x:v>
      </x:c>
      <x:c r="H178" s="14" t="str">
        <x:v>地質・立地：白亜質を基盤に粘土・泥灰土が混じる斜面が多く、コート・デ・ブランの南端に連なる。品種と味わい：このサブリージョンではシャルドネが中心で、一般に柑橘と白い果実、高い酸を軸に、北部よりやや丸みを帯びることがあるベースワイン。シャンパーニュの旧エシェル・デ・クリュは村単位の格付けであり、同じ村内でも区画の方位、表土、栽培・醸造によって表現は変わる。</x:v>
      </x:c>
      <x:c r="I178" s="14" t="str">
        <x:v>フランス</x:v>
      </x:c>
      <x:c r="J178" s="14" t="str">
        <x:v>Voipreux</x:v>
      </x:c>
      <x:c r="K178" s="14" t="str">
        <x:v>格付け;Premier Cru;champagne_cru_2025</x:v>
      </x:c>
      <x:c r="L178" s="14" t="str"/>
      <x:c r="M178" s="14" t="str">
        <x:v>champagne_official_terroir</x:v>
      </x:c>
      <x:c r="N178" s="14" t="str">
        <x:v>2026-07-12</x:v>
      </x:c>
      <x:c r="O178" s="14" t="str">
        <x:v>Y</x:v>
      </x:c>
    </x:row>
    <x:row r="179" ht="66" hidden="0" customHeight="1">
      <x:c r="A179" s="14" t="str">
        <x:v>term-d0b69227ccf9</x:v>
      </x:c>
      <x:c r="B179" s="14" t="str">
        <x:v>Vrigny</x:v>
      </x:c>
      <x:c r="C179" s="14" t="str"/>
      <x:c r="D179" s="14" t="str">
        <x:v>Vrigny</x:v>
      </x:c>
      <x:c r="E179" s="14" t="str"/>
      <x:c r="F179" s="14" t="str">
        <x:v>村</x:v>
      </x:c>
      <x:c r="G179" s="14" t="str">
        <x:v>VrignyはシャンパーニュのPremier Cru対象村。Montagne de Reimsに位置し、ピノ・ノワールが中心。</x:v>
      </x:c>
      <x:c r="H179" s="14" t="str">
        <x:v>地質・立地：白亜質を基盤に粘土・石灰質が重なる丘陵で、斜面の方位により成熟条件が変わる。品種と味わい：このサブリージョンではピノ・ノワールが中心で、一般に赤系果実、ボディ、骨格を与えるベースワイン。ブレンドでは力強さと長さを担う。シャンパーニュの旧エシェル・デ・クリュは村単位の格付けであり、同じ村内でも区画の方位、表土、栽培・醸造によって表現は変わる。</x:v>
      </x:c>
      <x:c r="I179" s="14" t="str">
        <x:v>フランス</x:v>
      </x:c>
      <x:c r="J179" s="14" t="str">
        <x:v>Vrigny</x:v>
      </x:c>
      <x:c r="K179" s="14" t="str">
        <x:v>格付け;Premier Cru;champagne_cru_2025</x:v>
      </x:c>
      <x:c r="L179" s="14" t="str"/>
      <x:c r="M179" s="14" t="str">
        <x:v>champagne_official_terroir</x:v>
      </x:c>
      <x:c r="N179" s="14" t="str">
        <x:v>2026-07-12</x:v>
      </x:c>
      <x:c r="O179" s="14" t="str">
        <x:v>Y</x:v>
      </x:c>
    </x:row>
    <x:row r="180" ht="26.399999618530273" hidden="0" customHeight="1">
      <x:c r="A180" s="14" t="str">
        <x:v>term-8e8c70fcea00</x:v>
      </x:c>
      <x:c r="B180" s="14" t="str">
        <x:v>グラン・クリュ</x:v>
      </x:c>
      <x:c r="C180" s="14" t="str">
        <x:v>Grand Cru</x:v>
      </x:c>
      <x:c r="D180" s="14" t="str">
        <x:v>Grand Cru</x:v>
      </x:c>
      <x:c r="E180" s="14" t="str"/>
      <x:c r="F180" s="14" t="str">
        <x:v>格付け</x:v>
      </x:c>
      <x:c r="G180" s="14" t="str">
        <x:v>産地ごとの制度で上位区分を示す語。意味と対象は地域により異なる。</x:v>
      </x:c>
      <x:c r="H180" s="14" t="str">
        <x:v>産地ごとの制度で上位区分を示す語。意味と対象は地域により異なる。</x:v>
      </x:c>
      <x:c r="I180" s="14" t="str"/>
      <x:c r="J180" s="14" t="str"/>
      <x:c r="K180" s="14" t="str">
        <x:v>格付け;フランス</x:v>
      </x:c>
      <x:c r="L180" s="14" t="str"/>
      <x:c r="M180" s="14" t="str">
        <x:v>wset_questions_1100_v6</x:v>
      </x:c>
      <x:c r="N180" s="14" t="str">
        <x:v>2026-07-12</x:v>
      </x:c>
      <x:c r="O180" s="14" t="str">
        <x:v>Y</x:v>
      </x:c>
    </x:row>
    <x:row r="181" ht="26.399999618530273" hidden="0" customHeight="1">
      <x:c r="A181" s="14" t="str">
        <x:v>term-e69c2782c211</x:v>
      </x:c>
      <x:c r="B181" s="14" t="str">
        <x:v>プルミエ・クリュ</x:v>
      </x:c>
      <x:c r="C181" s="14" t="str">
        <x:v>Premier Cru</x:v>
      </x:c>
      <x:c r="D181" s="14" t="str">
        <x:v>Premier Cru</x:v>
      </x:c>
      <x:c r="E181" s="14" t="str"/>
      <x:c r="F181" s="14" t="str">
        <x:v>格付け</x:v>
      </x:c>
      <x:c r="G181" s="14" t="str">
        <x:v>産地ごとの制度で用いられる上位区分。制度により畑、村、シャトーなど対象が異なる。</x:v>
      </x:c>
      <x:c r="H181" s="14" t="str">
        <x:v>産地ごとの制度で用いられる上位区分。制度により畑、村、シャトーなど対象が異なる。</x:v>
      </x:c>
      <x:c r="I181" s="14" t="str"/>
      <x:c r="J181" s="14" t="str"/>
      <x:c r="K181" s="14" t="str">
        <x:v>格付け;フランス</x:v>
      </x:c>
      <x:c r="L181" s="14" t="str"/>
      <x:c r="M181" s="14" t="str">
        <x:v>wset_questions_1100_v6</x:v>
      </x:c>
      <x:c r="N181" s="14" t="str">
        <x:v>2026-07-12</x:v>
      </x:c>
      <x:c r="O181" s="14" t="str">
        <x:v>Y</x:v>
      </x:c>
    </x:row>
    <x:row r="182" ht="26.399999618530273" hidden="0" customHeight="1">
      <x:c r="A182" s="14" t="str">
        <x:v>term-3cf841a452d4</x:v>
      </x:c>
      <x:c r="B182" s="14" t="str">
        <x:v>VSP</x:v>
      </x:c>
      <x:c r="C182" s="14" t="str">
        <x:v>vertical shoot positioning</x:v>
      </x:c>
      <x:c r="D182" s="14" t="str">
        <x:v>palissage vertical</x:v>
      </x:c>
      <x:c r="E182" s="14" t="str"/>
      <x:c r="F182" s="14" t="str">
        <x:v>栽培</x:v>
      </x:c>
      <x:c r="G182" s="14" t="str">
        <x:v>新梢を垂直方向へ整列させるキャノピー・マネジメント方式。</x:v>
      </x:c>
      <x:c r="H182" s="14" t="str">
        <x:v>新梢を垂直方向へ整列させるキャノピー・マネジメント方式。</x:v>
      </x:c>
      <x:c r="I182" s="14" t="str"/>
      <x:c r="J182" s="14" t="str"/>
      <x:c r="K182" s="14" t="str">
        <x:v>栽培;仕立て</x:v>
      </x:c>
      <x:c r="L182" s="14" t="str"/>
      <x:c r="M182" s="14" t="str">
        <x:v>wset_questions_1100_v6</x:v>
      </x:c>
      <x:c r="N182" s="14" t="str">
        <x:v>2026-07-12</x:v>
      </x:c>
      <x:c r="O182" s="14" t="str">
        <x:v>Y</x:v>
      </x:c>
    </x:row>
    <x:row r="183" ht="26.399999618530273" hidden="0" customHeight="1">
      <x:c r="A183" s="14" t="str">
        <x:v>term-82501ca47011</x:v>
      </x:c>
      <x:c r="B183" s="14" t="str">
        <x:v>キャノピー・マネジメント</x:v>
      </x:c>
      <x:c r="C183" s="14" t="str">
        <x:v>canopy management</x:v>
      </x:c>
      <x:c r="D183" s="14" t="str">
        <x:v>gestion de la canopée</x:v>
      </x:c>
      <x:c r="E183" s="14" t="str"/>
      <x:c r="F183" s="14" t="str">
        <x:v>栽培</x:v>
      </x:c>
      <x:c r="G183" s="14" t="str">
        <x:v>葉や新梢の配置・量を調整し、日照、通風、成熟、病害リスクを管理する作業。</x:v>
      </x:c>
      <x:c r="H183" s="14" t="str">
        <x:v>葉や新梢の配置・量を調整し、日照、通風、成熟、病害リスクを管理する作業。</x:v>
      </x:c>
      <x:c r="I183" s="14" t="str"/>
      <x:c r="J183" s="14" t="str"/>
      <x:c r="K183" s="14" t="str">
        <x:v>栽培;ブドウ畑</x:v>
      </x:c>
      <x:c r="L183" s="14" t="str"/>
      <x:c r="M183" s="14" t="str">
        <x:v>wset_questions_1100_v6</x:v>
      </x:c>
      <x:c r="N183" s="14" t="str">
        <x:v>2026-07-12</x:v>
      </x:c>
      <x:c r="O183" s="14" t="str">
        <x:v>Y</x:v>
      </x:c>
    </x:row>
    <x:row r="184" ht="26.399999618530273" hidden="0" customHeight="1">
      <x:c r="A184" s="14" t="str">
        <x:v>term-62fa6d77a555</x:v>
      </x:c>
      <x:c r="B184" s="14" t="str">
        <x:v>ギヨー仕立て</x:v>
      </x:c>
      <x:c r="C184" s="14" t="str">
        <x:v>Guyot training</x:v>
      </x:c>
      <x:c r="D184" s="14" t="str">
        <x:v>taille Guyot</x:v>
      </x:c>
      <x:c r="E184" s="14" t="str"/>
      <x:c r="F184" s="14" t="str">
        <x:v>栽培</x:v>
      </x:c>
      <x:c r="G184" s="14" t="str">
        <x:v>結果母枝と更新用短梢を用いる代表的な垣根仕立て・剪定方式。</x:v>
      </x:c>
      <x:c r="H184" s="14" t="str">
        <x:v>結果母枝と更新用短梢を用いる代表的な垣根仕立て・剪定方式。</x:v>
      </x:c>
      <x:c r="I184" s="14" t="str"/>
      <x:c r="J184" s="14" t="str"/>
      <x:c r="K184" s="14" t="str">
        <x:v>栽培;剪定</x:v>
      </x:c>
      <x:c r="L184" s="14" t="str"/>
      <x:c r="M184" s="14" t="str">
        <x:v>wset_questions_1100_v6</x:v>
      </x:c>
      <x:c r="N184" s="14" t="str">
        <x:v>2026-07-12</x:v>
      </x:c>
      <x:c r="O184" s="14" t="str">
        <x:v>Y</x:v>
      </x:c>
    </x:row>
    <x:row r="185" ht="26.399999618530273" hidden="0" customHeight="1">
      <x:c r="A185" s="14" t="str">
        <x:v>term-ffef96d8d1c5</x:v>
      </x:c>
      <x:c r="B185" s="14" t="str">
        <x:v>グリーン・ハーヴェスト</x:v>
      </x:c>
      <x:c r="C185" s="14" t="str">
        <x:v>green harvest</x:v>
      </x:c>
      <x:c r="D185" s="14" t="str">
        <x:v>vendange en vert</x:v>
      </x:c>
      <x:c r="E185" s="14" t="str"/>
      <x:c r="F185" s="14" t="str">
        <x:v>栽培</x:v>
      </x:c>
      <x:c r="G185" s="14" t="str">
        <x:v>成熟前の房を間引き、一株当たりの収量と果実成熟のバランスを調整する作業。</x:v>
      </x:c>
      <x:c r="H185" s="14" t="str">
        <x:v>成熟前の房を間引き、一株当たりの収量と果実成熟のバランスを調整する作業。</x:v>
      </x:c>
      <x:c r="I185" s="14" t="str"/>
      <x:c r="J185" s="14" t="str"/>
      <x:c r="K185" s="14" t="str">
        <x:v>栽培;収量</x:v>
      </x:c>
      <x:c r="L185" s="14" t="str"/>
      <x:c r="M185" s="14" t="str">
        <x:v>wset_questions_1100_v6</x:v>
      </x:c>
      <x:c r="N185" s="14" t="str">
        <x:v>2026-07-12</x:v>
      </x:c>
      <x:c r="O185" s="14" t="str">
        <x:v>Y</x:v>
      </x:c>
    </x:row>
    <x:row r="186" ht="15" hidden="0" customHeight="1">
      <x:c r="A186" s="14" t="str">
        <x:v>term-365dbb230a37</x:v>
      </x:c>
      <x:c r="B186" s="14" t="str">
        <x:v>コルドン仕立て</x:v>
      </x:c>
      <x:c r="C186" s="14" t="str">
        <x:v>cordon training</x:v>
      </x:c>
      <x:c r="D186" s="14" t="str">
        <x:v>cordon de Royat</x:v>
      </x:c>
      <x:c r="E186" s="14" t="str"/>
      <x:c r="F186" s="14" t="str">
        <x:v>栽培</x:v>
      </x:c>
      <x:c r="G186" s="14" t="str">
        <x:v>幹から伸ばした恒久的な腕に短梢を配置する仕立て方式。</x:v>
      </x:c>
      <x:c r="H186" s="14" t="str">
        <x:v>幹から伸ばした恒久的な腕に短梢を配置する仕立て方式。</x:v>
      </x:c>
      <x:c r="I186" s="14" t="str"/>
      <x:c r="J186" s="14" t="str"/>
      <x:c r="K186" s="14" t="str">
        <x:v>栽培;剪定</x:v>
      </x:c>
      <x:c r="L186" s="14" t="str"/>
      <x:c r="M186" s="14" t="str">
        <x:v>wset_questions_1100_v6</x:v>
      </x:c>
      <x:c r="N186" s="14" t="str">
        <x:v>2026-07-12</x:v>
      </x:c>
      <x:c r="O186" s="14" t="str">
        <x:v>Y</x:v>
      </x:c>
    </x:row>
    <x:row r="187" ht="26.399999618530273" hidden="0" customHeight="1">
      <x:c r="A187" s="14" t="str">
        <x:v>term-2f0889ce5ac4</x:v>
      </x:c>
      <x:c r="B187" s="14" t="str">
        <x:v>フィロキセラ</x:v>
      </x:c>
      <x:c r="C187" s="14" t="str">
        <x:v>phylloxera</x:v>
      </x:c>
      <x:c r="D187" s="14" t="str">
        <x:v>phylloxéra</x:v>
      </x:c>
      <x:c r="E187" s="14" t="str"/>
      <x:c r="F187" s="14" t="str">
        <x:v>栽培</x:v>
      </x:c>
      <x:c r="G187" s="14" t="str">
        <x:v>ブドウ樹の根などを加害する害虫。抵抗性台木への接ぎ木が主要な対策。</x:v>
      </x:c>
      <x:c r="H187" s="14" t="str">
        <x:v>ブドウ樹の根などを加害する害虫。抵抗性台木への接ぎ木が主要な対策。</x:v>
      </x:c>
      <x:c r="I187" s="14" t="str"/>
      <x:c r="J187" s="14" t="str"/>
      <x:c r="K187" s="14" t="str">
        <x:v>害虫;台木</x:v>
      </x:c>
      <x:c r="L187" s="14" t="str"/>
      <x:c r="M187" s="14" t="str">
        <x:v>wset_questions_1100_v6</x:v>
      </x:c>
      <x:c r="N187" s="14" t="str">
        <x:v>2026-07-12</x:v>
      </x:c>
      <x:c r="O187" s="14" t="str">
        <x:v>Y</x:v>
      </x:c>
    </x:row>
    <x:row r="188" ht="26.399999618530273" hidden="0" customHeight="1">
      <x:c r="A188" s="14" t="str">
        <x:v>term-194066242053</x:v>
      </x:c>
      <x:c r="B188" s="14" t="str">
        <x:v>ミルランダージュ</x:v>
      </x:c>
      <x:c r="C188" s="14" t="str">
        <x:v>millerandage</x:v>
      </x:c>
      <x:c r="D188" s="14" t="str">
        <x:v>millerandage</x:v>
      </x:c>
      <x:c r="E188" s="14" t="str"/>
      <x:c r="F188" s="14" t="str">
        <x:v>栽培</x:v>
      </x:c>
      <x:c r="G188" s="14" t="str">
        <x:v>果房内に種子が十分発達しない小粒が混在し、成熟が不均一になる現象。</x:v>
      </x:c>
      <x:c r="H188" s="14" t="str">
        <x:v>果房内に種子が十分発達しない小粒が混在し、成熟が不均一になる現象。</x:v>
      </x:c>
      <x:c r="I188" s="14" t="str"/>
      <x:c r="J188" s="14" t="str"/>
      <x:c r="K188" s="14" t="str">
        <x:v>栽培;結実</x:v>
      </x:c>
      <x:c r="L188" s="14" t="str"/>
      <x:c r="M188" s="14" t="str">
        <x:v>wset_questions_1100_v6</x:v>
      </x:c>
      <x:c r="N188" s="14" t="str">
        <x:v>2026-07-12</x:v>
      </x:c>
      <x:c r="O188" s="14" t="str">
        <x:v>Y</x:v>
      </x:c>
    </x:row>
    <x:row r="189" ht="26.399999618530273" hidden="0" customHeight="1">
      <x:c r="A189" s="14" t="str">
        <x:v>term-60d78e669912</x:v>
      </x:c>
      <x:c r="B189" s="14" t="str">
        <x:v>ヴェレゾン</x:v>
      </x:c>
      <x:c r="C189" s="14" t="str">
        <x:v>veraison</x:v>
      </x:c>
      <x:c r="D189" s="14" t="str">
        <x:v>véraison</x:v>
      </x:c>
      <x:c r="E189" s="14" t="str"/>
      <x:c r="F189" s="14" t="str">
        <x:v>栽培</x:v>
      </x:c>
      <x:c r="G189" s="14" t="str">
        <x:v>果粒が柔らかくなり、糖が増え始め、黒ブドウでは着色が始まる成熟段階。</x:v>
      </x:c>
      <x:c r="H189" s="14" t="str">
        <x:v>果粒が柔らかくなり、糖が増え始め、黒ブドウでは着色が始まる成熟段階。</x:v>
      </x:c>
      <x:c r="I189" s="14" t="str"/>
      <x:c r="J189" s="14" t="str"/>
      <x:c r="K189" s="14" t="str">
        <x:v>栽培;成熟</x:v>
      </x:c>
      <x:c r="L189" s="14" t="str"/>
      <x:c r="M189" s="14" t="str">
        <x:v>wset_questions_1100_v6</x:v>
      </x:c>
      <x:c r="N189" s="14" t="str">
        <x:v>2026-07-12</x:v>
      </x:c>
      <x:c r="O189" s="14" t="str">
        <x:v>Y</x:v>
      </x:c>
    </x:row>
    <x:row r="190" ht="26.399999618530273" hidden="0" customHeight="1">
      <x:c r="A190" s="14" t="str">
        <x:v>term-7abe0129252e</x:v>
      </x:c>
      <x:c r="B190" s="14" t="str">
        <x:v>台木</x:v>
      </x:c>
      <x:c r="C190" s="14" t="str">
        <x:v>rootstock</x:v>
      </x:c>
      <x:c r="D190" s="14" t="str">
        <x:v>porte-greffe</x:v>
      </x:c>
      <x:c r="E190" s="14" t="str"/>
      <x:c r="F190" s="14" t="str">
        <x:v>栽培</x:v>
      </x:c>
      <x:c r="G190" s="14" t="str">
        <x:v>接ぎ木されたブドウ樹の根側を担う植物体。害虫耐性や土壌適応性を与える。</x:v>
      </x:c>
      <x:c r="H190" s="14" t="str">
        <x:v>接ぎ木されたブドウ樹の根側を担う植物体。害虫耐性や土壌適応性を与える。</x:v>
      </x:c>
      <x:c r="I190" s="14" t="str"/>
      <x:c r="J190" s="14" t="str"/>
      <x:c r="K190" s="14" t="str">
        <x:v>栽培;フィロキセラ</x:v>
      </x:c>
      <x:c r="L190" s="14" t="str"/>
      <x:c r="M190" s="14" t="str">
        <x:v>wset_questions_1100_v6</x:v>
      </x:c>
      <x:c r="N190" s="14" t="str">
        <x:v>2026-07-12</x:v>
      </x:c>
      <x:c r="O190" s="14" t="str">
        <x:v>Y</x:v>
      </x:c>
    </x:row>
    <x:row r="191" ht="26.399999618530273" hidden="0" customHeight="1">
      <x:c r="A191" s="14" t="str">
        <x:v>term-50fa18b78e2a</x:v>
      </x:c>
      <x:c r="B191" s="14" t="str">
        <x:v>接ぎ木</x:v>
      </x:c>
      <x:c r="C191" s="14" t="str">
        <x:v>grafting</x:v>
      </x:c>
      <x:c r="D191" s="14" t="str">
        <x:v>greffage</x:v>
      </x:c>
      <x:c r="E191" s="14" t="str"/>
      <x:c r="F191" s="14" t="str">
        <x:v>栽培</x:v>
      </x:c>
      <x:c r="G191" s="14" t="str">
        <x:v>品種の穂木を別の台木へ接合し、一つのブドウ樹として育てる繁殖方法。</x:v>
      </x:c>
      <x:c r="H191" s="14" t="str">
        <x:v>品種の穂木を別の台木へ接合し、一つのブドウ樹として育てる繁殖方法。</x:v>
      </x:c>
      <x:c r="I191" s="14" t="str"/>
      <x:c r="J191" s="14" t="str"/>
      <x:c r="K191" s="14" t="str">
        <x:v>栽培;台木</x:v>
      </x:c>
      <x:c r="L191" s="14" t="str"/>
      <x:c r="M191" s="14" t="str">
        <x:v>wset_questions_1100_v6</x:v>
      </x:c>
      <x:c r="N191" s="14" t="str">
        <x:v>2026-07-12</x:v>
      </x:c>
      <x:c r="O191" s="14" t="str">
        <x:v>Y</x:v>
      </x:c>
    </x:row>
    <x:row r="192" ht="26.399999618530273" hidden="0" customHeight="1">
      <x:c r="A192" s="14" t="str">
        <x:v>term-5a3bc330eab8</x:v>
      </x:c>
      <x:c r="B192" s="14" t="str">
        <x:v>灌漑</x:v>
      </x:c>
      <x:c r="C192" s="14" t="str">
        <x:v>irrigation</x:v>
      </x:c>
      <x:c r="D192" s="14" t="str">
        <x:v>irrigation</x:v>
      </x:c>
      <x:c r="E192" s="14" t="str"/>
      <x:c r="F192" s="14" t="str">
        <x:v>栽培</x:v>
      </x:c>
      <x:c r="G192" s="14" t="str">
        <x:v>ブドウ畑へ人工的に水を供給すること。水ストレス、収量、成熟へ影響する。</x:v>
      </x:c>
      <x:c r="H192" s="14" t="str">
        <x:v>ブドウ畑へ人工的に水を供給すること。水ストレス、収量、成熟へ影響する。</x:v>
      </x:c>
      <x:c r="I192" s="14" t="str"/>
      <x:c r="J192" s="14" t="str"/>
      <x:c r="K192" s="14" t="str">
        <x:v>栽培;水分</x:v>
      </x:c>
      <x:c r="L192" s="14" t="str"/>
      <x:c r="M192" s="14" t="str">
        <x:v>wset_questions_1100_v6</x:v>
      </x:c>
      <x:c r="N192" s="14" t="str">
        <x:v>2026-07-12</x:v>
      </x:c>
      <x:c r="O192" s="14" t="str">
        <x:v>Y</x:v>
      </x:c>
    </x:row>
    <x:row r="193" ht="15" hidden="0" customHeight="1">
      <x:c r="A193" s="14" t="str">
        <x:v>term-76e451fceaa3</x:v>
      </x:c>
      <x:c r="B193" s="14" t="str">
        <x:v>結実</x:v>
      </x:c>
      <x:c r="C193" s="14" t="str">
        <x:v>fruit set</x:v>
      </x:c>
      <x:c r="D193" s="14" t="str">
        <x:v>nouaison</x:v>
      </x:c>
      <x:c r="E193" s="14" t="str"/>
      <x:c r="F193" s="14" t="str">
        <x:v>栽培</x:v>
      </x:c>
      <x:c r="G193" s="14" t="str">
        <x:v>受粉・受精後に花が小さな果粒へ発達し始める段階。</x:v>
      </x:c>
      <x:c r="H193" s="14" t="str">
        <x:v>受粉・受精後に花が小さな果粒へ発達し始める段階。</x:v>
      </x:c>
      <x:c r="I193" s="14" t="str"/>
      <x:c r="J193" s="14" t="str"/>
      <x:c r="K193" s="14" t="str">
        <x:v>栽培;生育周期</x:v>
      </x:c>
      <x:c r="L193" s="14" t="str"/>
      <x:c r="M193" s="14" t="str">
        <x:v>wset_questions_1100_v6</x:v>
      </x:c>
      <x:c r="N193" s="14" t="str">
        <x:v>2026-07-12</x:v>
      </x:c>
      <x:c r="O193" s="14" t="str">
        <x:v>Y</x:v>
      </x:c>
    </x:row>
    <x:row r="194" ht="26.399999618530273" hidden="0" customHeight="1">
      <x:c r="A194" s="14" t="str">
        <x:v>term-6310757b6a06</x:v>
      </x:c>
      <x:c r="B194" s="14" t="str">
        <x:v>花振るい</x:v>
      </x:c>
      <x:c r="C194" s="14" t="str">
        <x:v>coulure</x:v>
      </x:c>
      <x:c r="D194" s="14" t="str">
        <x:v>coulure</x:v>
      </x:c>
      <x:c r="E194" s="14" t="str"/>
      <x:c r="F194" s="14" t="str">
        <x:v>栽培</x:v>
      </x:c>
      <x:c r="G194" s="14" t="str">
        <x:v>開花・結実が不良となり、果房につく果粒が少なくなる現象。</x:v>
      </x:c>
      <x:c r="H194" s="14" t="str">
        <x:v>開花・結実が不良となり、果房につく果粒が少なくなる現象。</x:v>
      </x:c>
      <x:c r="I194" s="14" t="str"/>
      <x:c r="J194" s="14" t="str"/>
      <x:c r="K194" s="14" t="str">
        <x:v>栽培;結実</x:v>
      </x:c>
      <x:c r="L194" s="14" t="str"/>
      <x:c r="M194" s="14" t="str">
        <x:v>wset_questions_1100_v6</x:v>
      </x:c>
      <x:c r="N194" s="14" t="str">
        <x:v>2026-07-12</x:v>
      </x:c>
      <x:c r="O194" s="14" t="str">
        <x:v>Y</x:v>
      </x:c>
    </x:row>
    <x:row r="195" ht="15" hidden="0" customHeight="1">
      <x:c r="A195" s="14" t="str">
        <x:v>term-4da73545bddc</x:v>
      </x:c>
      <x:c r="B195" s="14" t="str">
        <x:v>萌芽</x:v>
      </x:c>
      <x:c r="C195" s="14" t="str">
        <x:v>budburst</x:v>
      </x:c>
      <x:c r="D195" s="14" t="str">
        <x:v>débourrement</x:v>
      </x:c>
      <x:c r="E195" s="14" t="str"/>
      <x:c r="F195" s="14" t="str">
        <x:v>栽培</x:v>
      </x:c>
      <x:c r="G195" s="14" t="str">
        <x:v>休眠芽が開き、新梢と葉が伸び始める生育段階。</x:v>
      </x:c>
      <x:c r="H195" s="14" t="str">
        <x:v>休眠芽が開き、新梢と葉が伸び始める生育段階。</x:v>
      </x:c>
      <x:c r="I195" s="14" t="str"/>
      <x:c r="J195" s="14" t="str"/>
      <x:c r="K195" s="14" t="str">
        <x:v>栽培;生育周期</x:v>
      </x:c>
      <x:c r="L195" s="14" t="str"/>
      <x:c r="M195" s="14" t="str">
        <x:v>wset_questions_1100_v6</x:v>
      </x:c>
      <x:c r="N195" s="14" t="str">
        <x:v>2026-07-12</x:v>
      </x:c>
      <x:c r="O195" s="14" t="str">
        <x:v>Y</x:v>
      </x:c>
    </x:row>
    <x:row r="196" ht="26.399999618530273" hidden="0" customHeight="1">
      <x:c r="A196" s="14" t="str">
        <x:v>term-dd83994a2ebb</x:v>
      </x:c>
      <x:c r="B196" s="14" t="str">
        <x:v>テロワール</x:v>
      </x:c>
      <x:c r="C196" s="14" t="str">
        <x:v>terroir</x:v>
      </x:c>
      <x:c r="D196" s="14" t="str">
        <x:v>terroir</x:v>
      </x:c>
      <x:c r="E196" s="14" t="str"/>
      <x:c r="F196" s="14" t="str">
        <x:v>概念</x:v>
      </x:c>
      <x:c r="G196" s="14" t="str">
        <x:v>気候、土壌、地形、人の営みなど、産地の個性を形づくる要素の組み合わせ。</x:v>
      </x:c>
      <x:c r="H196" s="14" t="str">
        <x:v>気候、土壌、地形、人の営みなど、産地の個性を形づくる要素の組み合わせ。</x:v>
      </x:c>
      <x:c r="I196" s="14" t="str"/>
      <x:c r="J196" s="14" t="str"/>
      <x:c r="K196" s="14" t="str">
        <x:v>自然要因;産地</x:v>
      </x:c>
      <x:c r="L196" s="14" t="str"/>
      <x:c r="M196" s="14" t="str">
        <x:v>wset_questions_1100_v6</x:v>
      </x:c>
      <x:c r="N196" s="14" t="str">
        <x:v>2026-07-12</x:v>
      </x:c>
      <x:c r="O196" s="14" t="str">
        <x:v>Y</x:v>
      </x:c>
    </x:row>
    <x:row r="197" ht="26.399999618530273" hidden="0" customHeight="1">
      <x:c r="A197" s="14" t="str">
        <x:v>term-b0edf2fe907e</x:v>
      </x:c>
      <x:c r="B197" s="14" t="str">
        <x:v>AOC</x:v>
      </x:c>
      <x:c r="C197" s="14" t="str">
        <x:v>Appellation d’Origine Contrôlée</x:v>
      </x:c>
      <x:c r="D197" s="14" t="str">
        <x:v>Appellation d’Origine Contrôlée</x:v>
      </x:c>
      <x:c r="E197" s="14" t="str"/>
      <x:c r="F197" s="14" t="str">
        <x:v>法規・表示</x:v>
      </x:c>
      <x:c r="G197" s="14" t="str">
        <x:v>フランスの統制原産地呼称。現在のEU制度ではAOPに対応する。</x:v>
      </x:c>
      <x:c r="H197" s="14" t="str">
        <x:v>フランスの統制原産地呼称。現在のEU制度ではAOPに対応する。</x:v>
      </x:c>
      <x:c r="I197" s="14" t="str"/>
      <x:c r="J197" s="14" t="str"/>
      <x:c r="K197" s="14" t="str">
        <x:v>法律;表示;フランス</x:v>
      </x:c>
      <x:c r="L197" s="14" t="str"/>
      <x:c r="M197" s="14" t="str">
        <x:v>wset_questions_1100_v6</x:v>
      </x:c>
      <x:c r="N197" s="14" t="str">
        <x:v>2026-07-12</x:v>
      </x:c>
      <x:c r="O197" s="14" t="str">
        <x:v>Y</x:v>
      </x:c>
    </x:row>
    <x:row r="198" ht="26.399999618530273" hidden="0" customHeight="1">
      <x:c r="A198" s="14" t="str">
        <x:v>term-df43997607cc</x:v>
      </x:c>
      <x:c r="B198" s="14" t="str">
        <x:v>AOP</x:v>
      </x:c>
      <x:c r="C198" s="14" t="str">
        <x:v>Protected Designation of Origin</x:v>
      </x:c>
      <x:c r="D198" s="14" t="str">
        <x:v>Appellation d’Origine Protégée</x:v>
      </x:c>
      <x:c r="E198" s="14" t="str"/>
      <x:c r="F198" s="14" t="str">
        <x:v>法規・表示</x:v>
      </x:c>
      <x:c r="G198" s="14" t="str">
        <x:v>EUの原産地名称保護。原料、生産、加工が規定地域と強く結び付く。</x:v>
      </x:c>
      <x:c r="H198" s="14" t="str">
        <x:v>EUの原産地名称保護。原料、生産、加工が規定地域と強く結び付く。</x:v>
      </x:c>
      <x:c r="I198" s="14" t="str"/>
      <x:c r="J198" s="14" t="str"/>
      <x:c r="K198" s="14" t="str">
        <x:v>法律;表示;EU</x:v>
      </x:c>
      <x:c r="L198" s="14" t="str"/>
      <x:c r="M198" s="14" t="str">
        <x:v>wset_questions_1100_v6</x:v>
      </x:c>
      <x:c r="N198" s="14" t="str">
        <x:v>2026-07-12</x:v>
      </x:c>
      <x:c r="O198" s="14" t="str">
        <x:v>Y</x:v>
      </x:c>
    </x:row>
    <x:row r="199" ht="26.399999618530273" hidden="0" customHeight="1">
      <x:c r="A199" s="14" t="str">
        <x:v>term-151cf76b0881</x:v>
      </x:c>
      <x:c r="B199" s="14" t="str">
        <x:v>アペラシオン</x:v>
      </x:c>
      <x:c r="C199" s="14" t="str">
        <x:v>appellation</x:v>
      </x:c>
      <x:c r="D199" s="14" t="str">
        <x:v>appellation</x:v>
      </x:c>
      <x:c r="E199" s="14" t="str"/>
      <x:c r="F199" s="14" t="str">
        <x:v>法規・表示</x:v>
      </x:c>
      <x:c r="G199" s="14" t="str">
        <x:v>ワインの地理的呼称。原産地、使用品種、栽培・醸造条件などの規定と結び付く。</x:v>
      </x:c>
      <x:c r="H199" s="14" t="str">
        <x:v>ワインの地理的呼称。原産地、使用品種、栽培・醸造条件などの規定と結び付く。</x:v>
      </x:c>
      <x:c r="I199" s="14" t="str"/>
      <x:c r="J199" s="14" t="str"/>
      <x:c r="K199" s="14" t="str">
        <x:v>法律;表示;産地</x:v>
      </x:c>
      <x:c r="L199" s="14" t="str"/>
      <x:c r="M199" s="14" t="str">
        <x:v>wset_questions_1100_v6</x:v>
      </x:c>
      <x:c r="N199" s="14" t="str">
        <x:v>2026-07-12</x:v>
      </x:c>
      <x:c r="O199" s="14" t="str">
        <x:v>Y</x:v>
      </x:c>
    </x:row>
    <x:row r="200" ht="26.399999618530273" hidden="0" customHeight="1">
      <x:c r="A200" s="14" t="str">
        <x:v>term-4ca2970b0160</x:v>
      </x:c>
      <x:c r="B200" s="14" t="str">
        <x:v>ヴィンテージ</x:v>
      </x:c>
      <x:c r="C200" s="14" t="str">
        <x:v>vintage</x:v>
      </x:c>
      <x:c r="D200" s="14" t="str">
        <x:v>millésime</x:v>
      </x:c>
      <x:c r="E200" s="14" t="str"/>
      <x:c r="F200" s="14" t="str">
        <x:v>法規・表示</x:v>
      </x:c>
      <x:c r="G200" s="14" t="str">
        <x:v>ブドウが収穫された年。年ごとの天候差とワインの個性を読み解く基準になる。</x:v>
      </x:c>
      <x:c r="H200" s="14" t="str">
        <x:v>ブドウが収穫された年。年ごとの天候差とワインの個性を読み解く基準になる。</x:v>
      </x:c>
      <x:c r="I200" s="14" t="str"/>
      <x:c r="J200" s="14" t="str"/>
      <x:c r="K200" s="14" t="str">
        <x:v>表示;収穫年</x:v>
      </x:c>
      <x:c r="L200" s="14" t="str"/>
      <x:c r="M200" s="14" t="str">
        <x:v>wset_questions_1100_v6</x:v>
      </x:c>
      <x:c r="N200" s="14" t="str">
        <x:v>2026-07-12</x:v>
      </x:c>
      <x:c r="O200" s="14" t="str">
        <x:v>Y</x:v>
      </x:c>
    </x:row>
    <x:row r="201" ht="26.399999618530273" hidden="0" customHeight="1">
      <x:c r="A201" s="14" t="str">
        <x:v>term-81af8319f489</x:v>
      </x:c>
      <x:c r="B201" s="14" t="str">
        <x:v>ソレラ・システム</x:v>
      </x:c>
      <x:c r="C201" s="14" t="str">
        <x:v>solera system</x:v>
      </x:c>
      <x:c r="D201" s="14" t="str">
        <x:v>système de solera</x:v>
      </x:c>
      <x:c r="E201" s="14" t="str"/>
      <x:c r="F201" s="14" t="str">
        <x:v>熟成</x:v>
      </x:c>
      <x:c r="G201" s="14" t="str">
        <x:v>複数段の樽を用い、古いワインを取り出しながら若いワインを段階的に補充する熟成・ブレンド方法。</x:v>
      </x:c>
      <x:c r="H201" s="14" t="str">
        <x:v>複数段の樽を用い、古いワインを取り出しながら若いワインを段階的に補充する熟成・ブレンド方法。</x:v>
      </x:c>
      <x:c r="I201" s="14" t="str"/>
      <x:c r="J201" s="14" t="str"/>
      <x:c r="K201" s="14" t="str">
        <x:v>熟成;シェリー</x:v>
      </x:c>
      <x:c r="L201" s="14" t="str"/>
      <x:c r="M201" s="14" t="str">
        <x:v>wset_questions_1100_v6</x:v>
      </x:c>
      <x:c r="N201" s="14" t="str">
        <x:v>2026-07-12</x:v>
      </x:c>
      <x:c r="O201" s="14" t="str">
        <x:v>Y</x:v>
      </x:c>
    </x:row>
    <x:row r="202" ht="26.399999618530273" hidden="0" customHeight="1">
      <x:c r="A202" s="14" t="str">
        <x:v>term-13c6eb8f9233</x:v>
      </x:c>
      <x:c r="B202" s="14" t="str">
        <x:v>澱熟成</x:v>
      </x:c>
      <x:c r="C202" s="14" t="str">
        <x:v>lees ageing</x:v>
      </x:c>
      <x:c r="D202" s="14" t="str">
        <x:v>élevage sur lies</x:v>
      </x:c>
      <x:c r="E202" s="14" t="str"/>
      <x:c r="F202" s="14" t="str">
        <x:v>熟成</x:v>
      </x:c>
      <x:c r="G202" s="14" t="str">
        <x:v>ワインを発酵後の酵母の澱と接触させて熟成し、香味や質感を発達させる方法。</x:v>
      </x:c>
      <x:c r="H202" s="14" t="str">
        <x:v>ワインを発酵後の酵母の澱と接触させて熟成し、香味や質感を発達させる方法。</x:v>
      </x:c>
      <x:c r="I202" s="14" t="str"/>
      <x:c r="J202" s="14" t="str"/>
      <x:c r="K202" s="14" t="str">
        <x:v>熟成;酵母</x:v>
      </x:c>
      <x:c r="L202" s="14" t="str"/>
      <x:c r="M202" s="14" t="str">
        <x:v>wset_questions_1100_v6</x:v>
      </x:c>
      <x:c r="N202" s="14" t="str">
        <x:v>2026-07-12</x:v>
      </x:c>
      <x:c r="O202" s="14" t="str">
        <x:v>Y</x:v>
      </x:c>
    </x:row>
    <x:row r="203" ht="26.399999618530273" hidden="0" customHeight="1">
      <x:c r="A203" s="14" t="str">
        <x:v>term-f5d0f6653494</x:v>
      </x:c>
      <x:c r="B203" s="14" t="str">
        <x:v>生物学的熟成</x:v>
      </x:c>
      <x:c r="C203" s="14" t="str">
        <x:v>biological ageing</x:v>
      </x:c>
      <x:c r="D203" s="14" t="str">
        <x:v>élevage biologique</x:v>
      </x:c>
      <x:c r="E203" s="14" t="str"/>
      <x:c r="F203" s="14" t="str">
        <x:v>熟成</x:v>
      </x:c>
      <x:c r="G203" s="14" t="str">
        <x:v>フロールなど酵母の働きの下で行う熟成。酸化を抑えながら特有の香味を生む。</x:v>
      </x:c>
      <x:c r="H203" s="14" t="str">
        <x:v>フロールなど酵母の働きの下で行う熟成。酸化を抑えながら特有の香味を生む。</x:v>
      </x:c>
      <x:c r="I203" s="14" t="str"/>
      <x:c r="J203" s="14" t="str"/>
      <x:c r="K203" s="14" t="str">
        <x:v>熟成;フロール</x:v>
      </x:c>
      <x:c r="L203" s="14" t="str"/>
      <x:c r="M203" s="14" t="str">
        <x:v>wset_questions_1100_v6</x:v>
      </x:c>
      <x:c r="N203" s="14" t="str">
        <x:v>2026-07-12</x:v>
      </x:c>
      <x:c r="O203" s="14" t="str">
        <x:v>Y</x:v>
      </x:c>
    </x:row>
    <x:row r="204" ht="26.399999618530273" hidden="0" customHeight="1">
      <x:c r="A204" s="14" t="str">
        <x:v>term-417e0c287a84</x:v>
      </x:c>
      <x:c r="B204" s="14" t="str">
        <x:v>自己消化</x:v>
      </x:c>
      <x:c r="C204" s="14" t="str">
        <x:v>autolysis</x:v>
      </x:c>
      <x:c r="D204" s="14" t="str">
        <x:v>autolyse</x:v>
      </x:c>
      <x:c r="E204" s="14" t="str"/>
      <x:c r="F204" s="14" t="str">
        <x:v>熟成</x:v>
      </x:c>
      <x:c r="G204" s="14" t="str">
        <x:v>死んだ酵母細胞が分解され、パンやビスケットを思わせる香味や質感へ寄与する現象。</x:v>
      </x:c>
      <x:c r="H204" s="14" t="str">
        <x:v>死んだ酵母細胞が分解され、パンやビスケットを思わせる香味や質感へ寄与する現象。</x:v>
      </x:c>
      <x:c r="I204" s="14" t="str"/>
      <x:c r="J204" s="14" t="str"/>
      <x:c r="K204" s="14" t="str">
        <x:v>酵母;澱熟成</x:v>
      </x:c>
      <x:c r="L204" s="14" t="str"/>
      <x:c r="M204" s="14" t="str">
        <x:v>wset_questions_1100_v6</x:v>
      </x:c>
      <x:c r="N204" s="14" t="str">
        <x:v>2026-07-12</x:v>
      </x:c>
      <x:c r="O204" s="14" t="str">
        <x:v>Y</x:v>
      </x:c>
    </x:row>
    <x:row r="205" ht="26.399999618530273" hidden="0" customHeight="1">
      <x:c r="A205" s="14" t="str">
        <x:v>term-d9e0d57c9bf3</x:v>
      </x:c>
      <x:c r="B205" s="14" t="str">
        <x:v>酸化熟成</x:v>
      </x:c>
      <x:c r="C205" s="14" t="str">
        <x:v>oxidative ageing</x:v>
      </x:c>
      <x:c r="D205" s="14" t="str">
        <x:v>élevage oxydatif</x:v>
      </x:c>
      <x:c r="E205" s="14" t="str"/>
      <x:c r="F205" s="14" t="str">
        <x:v>熟成</x:v>
      </x:c>
      <x:c r="G205" s="14" t="str">
        <x:v>酸素との接触を利用し、ナッツやドライフルーツを思わせる熟成香を発達させる方法。</x:v>
      </x:c>
      <x:c r="H205" s="14" t="str">
        <x:v>酸素との接触を利用し、ナッツやドライフルーツを思わせる熟成香を発達させる方法。</x:v>
      </x:c>
      <x:c r="I205" s="14" t="str"/>
      <x:c r="J205" s="14" t="str"/>
      <x:c r="K205" s="14" t="str">
        <x:v>熟成;酸化</x:v>
      </x:c>
      <x:c r="L205" s="14" t="str"/>
      <x:c r="M205" s="14" t="str">
        <x:v>wset_questions_1100_v6</x:v>
      </x:c>
      <x:c r="N205" s="14" t="str">
        <x:v>2026-07-12</x:v>
      </x:c>
      <x:c r="O205" s="14" t="str">
        <x:v>Y</x:v>
      </x:c>
    </x:row>
    <x:row r="206" ht="26.399999618530273" hidden="0" customHeight="1">
      <x:c r="A206" s="14" t="str">
        <x:v>term-5bcf973fc8cb</x:v>
      </x:c>
      <x:c r="B206" s="14" t="str">
        <x:v>氷結ワイン</x:v>
      </x:c>
      <x:c r="C206" s="14" t="str">
        <x:v>icewine</x:v>
      </x:c>
      <x:c r="D206" s="14" t="str">
        <x:v>vin de glace</x:v>
      </x:c>
      <x:c r="E206" s="14" t="str"/>
      <x:c r="F206" s="14" t="str">
        <x:v>甘口ワイン</x:v>
      </x:c>
      <x:c r="G206" s="14" t="str">
        <x:v>樹上で自然凍結したブドウを凍ったまま圧搾し、濃縮果汁から造る甘口ワイン。</x:v>
      </x:c>
      <x:c r="H206" s="14" t="str">
        <x:v>樹上で自然凍結したブドウを凍ったまま圧搾し、濃縮果汁から造る甘口ワイン。</x:v>
      </x:c>
      <x:c r="I206" s="14" t="str"/>
      <x:c r="J206" s="14" t="str"/>
      <x:c r="K206" s="14" t="str">
        <x:v>甘口;収穫</x:v>
      </x:c>
      <x:c r="L206" s="14" t="str"/>
      <x:c r="M206" s="14" t="str">
        <x:v>wset_questions_1100_v6</x:v>
      </x:c>
      <x:c r="N206" s="14" t="str">
        <x:v>2026-07-12</x:v>
      </x:c>
      <x:c r="O206" s="14" t="str">
        <x:v>Y</x:v>
      </x:c>
    </x:row>
    <x:row r="207" ht="26.399999618530273" hidden="0" customHeight="1">
      <x:c r="A207" s="14" t="str">
        <x:v>term-18166cb03e25</x:v>
      </x:c>
      <x:c r="B207" s="14" t="str">
        <x:v>貴腐</x:v>
      </x:c>
      <x:c r="C207" s="14" t="str">
        <x:v>noble rot</x:v>
      </x:c>
      <x:c r="D207" s="14" t="str">
        <x:v>pourriture noble</x:v>
      </x:c>
      <x:c r="E207" s="14" t="str"/>
      <x:c r="F207" s="14" t="str">
        <x:v>甘口ワイン</x:v>
      </x:c>
      <x:c r="G207" s="14" t="str">
        <x:v>ボトリティス・シネレア菌が健全なブドウへ適切に作用し、水分を失わせて糖、酸、香味を凝縮する現象。</x:v>
      </x:c>
      <x:c r="H207" s="14" t="str">
        <x:v>ボトリティス・シネレア菌が健全なブドウへ適切に作用し、水分を失わせて糖、酸、香味を凝縮する現象。</x:v>
      </x:c>
      <x:c r="I207" s="14" t="str"/>
      <x:c r="J207" s="14" t="str"/>
      <x:c r="K207" s="14" t="str">
        <x:v>甘口;ボトリティス</x:v>
      </x:c>
      <x:c r="L207" s="14" t="str"/>
      <x:c r="M207" s="14" t="str">
        <x:v>wset_questions_1100_v6</x:v>
      </x:c>
      <x:c r="N207" s="14" t="str">
        <x:v>2026-07-12</x:v>
      </x:c>
      <x:c r="O207" s="14" t="str">
        <x:v>Y</x:v>
      </x:c>
    </x:row>
    <x:row r="208" ht="26.399999618530273" hidden="0" customHeight="1">
      <x:c r="A208" s="14" t="str">
        <x:v>term-fff09b3a61be</x:v>
      </x:c>
      <x:c r="B208" s="14" t="str">
        <x:v>Château Badette</x:v>
      </x:c>
      <x:c r="C208" s="14" t="str"/>
      <x:c r="D208" s="14" t="str">
        <x:v>Château Badette</x:v>
      </x:c>
      <x:c r="E208" s="14" t="str"/>
      <x:c r="F208" s="14" t="str">
        <x:v>生産者</x:v>
      </x:c>
      <x:c r="G208" s="14" t="str">
        <x:v>Château BadetteはSaint-ÉmilionのGrand Cru Classé。</x:v>
      </x:c>
      <x:c r="H208" s="14" t="str">
        <x:v>Château BadetteはSaint-ÉmilionのGrand Cru Classé。</x:v>
      </x:c>
      <x:c r="I208" s="14" t="str">
        <x:v>フランス</x:v>
      </x:c>
      <x:c r="J208" s="14" t="str">
        <x:v>Saint-Émilion</x:v>
      </x:c>
      <x:c r="K208" s="14" t="str">
        <x:v>格付け;Grand Cru Classé;bordeaux_saint_emilion_2022</x:v>
      </x:c>
      <x:c r="L208" s="14" t="str"/>
      <x:c r="M208" s="14" t="str">
        <x:v>saint_emilion_2022_official</x:v>
      </x:c>
      <x:c r="N208" s="14" t="str">
        <x:v>2026-07-12</x:v>
      </x:c>
      <x:c r="O208" s="14" t="str">
        <x:v>Y</x:v>
      </x:c>
    </x:row>
    <x:row r="209" ht="26.399999618530273" hidden="0" customHeight="1">
      <x:c r="A209" s="14" t="str">
        <x:v>term-a4cabe675999</x:v>
      </x:c>
      <x:c r="B209" s="14" t="str">
        <x:v>Château Balestard la Tonnelle</x:v>
      </x:c>
      <x:c r="C209" s="14" t="str"/>
      <x:c r="D209" s="14" t="str">
        <x:v>Château Balestard la Tonnelle</x:v>
      </x:c>
      <x:c r="E209" s="14" t="str"/>
      <x:c r="F209" s="14" t="str">
        <x:v>生産者</x:v>
      </x:c>
      <x:c r="G209" s="14" t="str">
        <x:v>Château Balestard la TonnelleはSaint-ÉmilionのGrand Cru Classé。</x:v>
      </x:c>
      <x:c r="H209" s="14" t="str">
        <x:v>Château Balestard la TonnelleはSaint-ÉmilionのGrand Cru Classé。</x:v>
      </x:c>
      <x:c r="I209" s="14" t="str">
        <x:v>フランス</x:v>
      </x:c>
      <x:c r="J209" s="14" t="str">
        <x:v>Saint-Émilion</x:v>
      </x:c>
      <x:c r="K209" s="14" t="str">
        <x:v>格付け;Grand Cru Classé;bordeaux_saint_emilion_2022</x:v>
      </x:c>
      <x:c r="L209" s="14" t="str"/>
      <x:c r="M209" s="14" t="str">
        <x:v>saint_emilion_2022_official</x:v>
      </x:c>
      <x:c r="N209" s="14" t="str">
        <x:v>2026-07-12</x:v>
      </x:c>
      <x:c r="O209" s="14" t="str">
        <x:v>Y</x:v>
      </x:c>
    </x:row>
    <x:row r="210" ht="26.399999618530273" hidden="0" customHeight="1">
      <x:c r="A210" s="14" t="str">
        <x:v>term-123e0d9e736f</x:v>
      </x:c>
      <x:c r="B210" s="14" t="str">
        <x:v>Château Barde-Haut</x:v>
      </x:c>
      <x:c r="C210" s="14" t="str"/>
      <x:c r="D210" s="14" t="str">
        <x:v>Château Barde-Haut</x:v>
      </x:c>
      <x:c r="E210" s="14" t="str"/>
      <x:c r="F210" s="14" t="str">
        <x:v>生産者</x:v>
      </x:c>
      <x:c r="G210" s="14" t="str">
        <x:v>Château Barde-HautはSaint-ÉmilionのGrand Cru Classé。</x:v>
      </x:c>
      <x:c r="H210" s="14" t="str">
        <x:v>Château Barde-HautはSaint-ÉmilionのGrand Cru Classé。</x:v>
      </x:c>
      <x:c r="I210" s="14" t="str">
        <x:v>フランス</x:v>
      </x:c>
      <x:c r="J210" s="14" t="str">
        <x:v>Saint-Émilion</x:v>
      </x:c>
      <x:c r="K210" s="14" t="str">
        <x:v>格付け;Grand Cru Classé;bordeaux_saint_emilion_2022</x:v>
      </x:c>
      <x:c r="L210" s="14" t="str"/>
      <x:c r="M210" s="14" t="str">
        <x:v>saint_emilion_2022_official</x:v>
      </x:c>
      <x:c r="N210" s="14" t="str">
        <x:v>2026-07-12</x:v>
      </x:c>
      <x:c r="O210" s="14" t="str">
        <x:v>Y</x:v>
      </x:c>
    </x:row>
    <x:row r="211" ht="15" hidden="0" customHeight="1">
      <x:c r="A211" s="14" t="str">
        <x:v>term-97ba03a31ca9</x:v>
      </x:c>
      <x:c r="B211" s="14" t="str">
        <x:v>Château Batailley</x:v>
      </x:c>
      <x:c r="C211" s="14" t="str"/>
      <x:c r="D211" s="14" t="str">
        <x:v>Château Batailley</x:v>
      </x:c>
      <x:c r="E211" s="14" t="str"/>
      <x:c r="F211" s="14" t="str">
        <x:v>生産者</x:v>
      </x:c>
      <x:c r="G211" s="14" t="str">
        <x:v>Château BatailleyはPauillacの第5級。</x:v>
      </x:c>
      <x:c r="H211" s="14" t="str">
        <x:v>Château BatailleyはPauillacの第5級。</x:v>
      </x:c>
      <x:c r="I211" s="14" t="str">
        <x:v>フランス</x:v>
      </x:c>
      <x:c r="J211" s="14" t="str">
        <x:v>Pauillac</x:v>
      </x:c>
      <x:c r="K211" s="14" t="str">
        <x:v>格付け;第5級;bordeaux_1855_medoc</x:v>
      </x:c>
      <x:c r="L211" s="14" t="str"/>
      <x:c r="M211" s="14" t="str">
        <x:v>bordeaux_1855_official</x:v>
      </x:c>
      <x:c r="N211" s="14" t="str">
        <x:v>2026-07-12</x:v>
      </x:c>
      <x:c r="O211" s="14" t="str">
        <x:v>Y</x:v>
      </x:c>
    </x:row>
    <x:row r="212" ht="26.399999618530273" hidden="0" customHeight="1">
      <x:c r="A212" s="14" t="str">
        <x:v>term-4de91af9a760</x:v>
      </x:c>
      <x:c r="B212" s="14" t="str">
        <x:v>Château Beau-Séjour Bécot</x:v>
      </x:c>
      <x:c r="C212" s="14" t="str"/>
      <x:c r="D212" s="14" t="str">
        <x:v>Château Beau-Séjour Bécot</x:v>
      </x:c>
      <x:c r="E212" s="14" t="str"/>
      <x:c r="F212" s="14" t="str">
        <x:v>生産者</x:v>
      </x:c>
      <x:c r="G212" s="14" t="str">
        <x:v>Château Beau-Séjour BécotはSaint-ÉmilionのPremier Grand Cru Classé B。</x:v>
      </x:c>
      <x:c r="H212" s="14" t="str">
        <x:v>Château Beau-Séjour BécotはSaint-ÉmilionのPremier Grand Cru Classé B。</x:v>
      </x:c>
      <x:c r="I212" s="14" t="str">
        <x:v>フランス</x:v>
      </x:c>
      <x:c r="J212" s="14" t="str">
        <x:v>Saint-Émilion</x:v>
      </x:c>
      <x:c r="K212" s="14" t="str">
        <x:v>格付け;Premier Grand Cru Classé B;bordeaux_saint_emilion_2022</x:v>
      </x:c>
      <x:c r="L212" s="14" t="str"/>
      <x:c r="M212" s="14" t="str">
        <x:v>saint_emilion_2022_official</x:v>
      </x:c>
      <x:c r="N212" s="14" t="str">
        <x:v>2026-07-12</x:v>
      </x:c>
      <x:c r="O212" s="14" t="str">
        <x:v>Y</x:v>
      </x:c>
    </x:row>
    <x:row r="213" ht="39.599998474121094" hidden="0" customHeight="1">
      <x:c r="A213" s="14" t="str">
        <x:v>term-43f2578e5d61</x:v>
      </x:c>
      <x:c r="B213" s="14" t="str">
        <x:v>Château Beauséjour Duffau-Lagarrosse</x:v>
      </x:c>
      <x:c r="C213" s="14" t="str"/>
      <x:c r="D213" s="14" t="str">
        <x:v>Château Beauséjour Duffau-Lagarrosse</x:v>
      </x:c>
      <x:c r="E213" s="14" t="str"/>
      <x:c r="F213" s="14" t="str">
        <x:v>生産者</x:v>
      </x:c>
      <x:c r="G213" s="14" t="str">
        <x:v>Château Beauséjour Duffau-LagarrosseはSaint-ÉmilionのPremier Grand Cru Classé B。</x:v>
      </x:c>
      <x:c r="H213" s="14" t="str">
        <x:v>Château Beauséjour Duffau-LagarrosseはSaint-ÉmilionのPremier Grand Cru Classé B。</x:v>
      </x:c>
      <x:c r="I213" s="14" t="str">
        <x:v>フランス</x:v>
      </x:c>
      <x:c r="J213" s="14" t="str">
        <x:v>Saint-Émilion</x:v>
      </x:c>
      <x:c r="K213" s="14" t="str">
        <x:v>格付け;Premier Grand Cru Classé B;bordeaux_saint_emilion_2022</x:v>
      </x:c>
      <x:c r="L213" s="14" t="str"/>
      <x:c r="M213" s="14" t="str">
        <x:v>saint_emilion_2022_official</x:v>
      </x:c>
      <x:c r="N213" s="14" t="str">
        <x:v>2026-07-12</x:v>
      </x:c>
      <x:c r="O213" s="14" t="str">
        <x:v>Y</x:v>
      </x:c>
    </x:row>
    <x:row r="214" ht="15" hidden="0" customHeight="1">
      <x:c r="A214" s="14" t="str">
        <x:v>term-da278770d53a</x:v>
      </x:c>
      <x:c r="B214" s="14" t="str">
        <x:v>Château Belgrave</x:v>
      </x:c>
      <x:c r="C214" s="14" t="str"/>
      <x:c r="D214" s="14" t="str">
        <x:v>Château Belgrave</x:v>
      </x:c>
      <x:c r="E214" s="14" t="str"/>
      <x:c r="F214" s="14" t="str">
        <x:v>生産者</x:v>
      </x:c>
      <x:c r="G214" s="14" t="str">
        <x:v>Château BelgraveはHaut-Médocの第5級。</x:v>
      </x:c>
      <x:c r="H214" s="14" t="str">
        <x:v>Château BelgraveはHaut-Médocの第5級。</x:v>
      </x:c>
      <x:c r="I214" s="14" t="str">
        <x:v>フランス</x:v>
      </x:c>
      <x:c r="J214" s="14" t="str">
        <x:v>Haut-Médoc</x:v>
      </x:c>
      <x:c r="K214" s="14" t="str">
        <x:v>格付け;第5級;bordeaux_1855_medoc</x:v>
      </x:c>
      <x:c r="L214" s="14" t="str"/>
      <x:c r="M214" s="14" t="str">
        <x:v>bordeaux_1855_official</x:v>
      </x:c>
      <x:c r="N214" s="14" t="str">
        <x:v>2026-07-12</x:v>
      </x:c>
      <x:c r="O214" s="14" t="str">
        <x:v>Y</x:v>
      </x:c>
    </x:row>
    <x:row r="215" ht="26.399999618530273" hidden="0" customHeight="1">
      <x:c r="A215" s="14" t="str">
        <x:v>term-bfef02e4e8cb</x:v>
      </x:c>
      <x:c r="B215" s="14" t="str">
        <x:v>Château Bellefont Belcier</x:v>
      </x:c>
      <x:c r="C215" s="14" t="str"/>
      <x:c r="D215" s="14" t="str">
        <x:v>Château Bellefont Belcier</x:v>
      </x:c>
      <x:c r="E215" s="14" t="str"/>
      <x:c r="F215" s="14" t="str">
        <x:v>生産者</x:v>
      </x:c>
      <x:c r="G215" s="14" t="str">
        <x:v>Château Bellefont BelcierはSaint-ÉmilionのGrand Cru Classé。</x:v>
      </x:c>
      <x:c r="H215" s="14" t="str">
        <x:v>Château Bellefont BelcierはSaint-ÉmilionのGrand Cru Classé。</x:v>
      </x:c>
      <x:c r="I215" s="14" t="str">
        <x:v>フランス</x:v>
      </x:c>
      <x:c r="J215" s="14" t="str">
        <x:v>Saint-Émilion</x:v>
      </x:c>
      <x:c r="K215" s="14" t="str">
        <x:v>格付け;Grand Cru Classé;bordeaux_saint_emilion_2022</x:v>
      </x:c>
      <x:c r="L215" s="14" t="str"/>
      <x:c r="M215" s="14" t="str">
        <x:v>saint_emilion_2022_official</x:v>
      </x:c>
      <x:c r="N215" s="14" t="str">
        <x:v>2026-07-12</x:v>
      </x:c>
      <x:c r="O215" s="14" t="str">
        <x:v>Y</x:v>
      </x:c>
    </x:row>
    <x:row r="216" ht="26.399999618530273" hidden="0" customHeight="1">
      <x:c r="A216" s="14" t="str">
        <x:v>term-8b79f470129d</x:v>
      </x:c>
      <x:c r="B216" s="14" t="str">
        <x:v>Château Bellevue</x:v>
      </x:c>
      <x:c r="C216" s="14" t="str"/>
      <x:c r="D216" s="14" t="str">
        <x:v>Château Bellevue</x:v>
      </x:c>
      <x:c r="E216" s="14" t="str"/>
      <x:c r="F216" s="14" t="str">
        <x:v>生産者</x:v>
      </x:c>
      <x:c r="G216" s="14" t="str">
        <x:v>Château BellevueはSaint-ÉmilionのGrand Cru Classé。</x:v>
      </x:c>
      <x:c r="H216" s="14" t="str">
        <x:v>Château BellevueはSaint-ÉmilionのGrand Cru Classé。</x:v>
      </x:c>
      <x:c r="I216" s="14" t="str">
        <x:v>フランス</x:v>
      </x:c>
      <x:c r="J216" s="14" t="str">
        <x:v>Saint-Émilion</x:v>
      </x:c>
      <x:c r="K216" s="14" t="str">
        <x:v>格付け;Grand Cru Classé;bordeaux_saint_emilion_2022</x:v>
      </x:c>
      <x:c r="L216" s="14" t="str"/>
      <x:c r="M216" s="14" t="str">
        <x:v>saint_emilion_2022_official</x:v>
      </x:c>
      <x:c r="N216" s="14" t="str">
        <x:v>2026-07-12</x:v>
      </x:c>
      <x:c r="O216" s="14" t="str">
        <x:v>Y</x:v>
      </x:c>
    </x:row>
    <x:row r="217" ht="26.399999618530273" hidden="0" customHeight="1">
      <x:c r="A217" s="14" t="str">
        <x:v>term-3ae4887cfe95</x:v>
      </x:c>
      <x:c r="B217" s="14" t="str">
        <x:v>Château Berliquet</x:v>
      </x:c>
      <x:c r="C217" s="14" t="str"/>
      <x:c r="D217" s="14" t="str">
        <x:v>Château Berliquet</x:v>
      </x:c>
      <x:c r="E217" s="14" t="str"/>
      <x:c r="F217" s="14" t="str">
        <x:v>生産者</x:v>
      </x:c>
      <x:c r="G217" s="14" t="str">
        <x:v>Château BerliquetはSaint-ÉmilionのGrand Cru Classé。</x:v>
      </x:c>
      <x:c r="H217" s="14" t="str">
        <x:v>Château BerliquetはSaint-ÉmilionのGrand Cru Classé。</x:v>
      </x:c>
      <x:c r="I217" s="14" t="str">
        <x:v>フランス</x:v>
      </x:c>
      <x:c r="J217" s="14" t="str">
        <x:v>Saint-Émilion</x:v>
      </x:c>
      <x:c r="K217" s="14" t="str">
        <x:v>格付け;Grand Cru Classé;bordeaux_saint_emilion_2022</x:v>
      </x:c>
      <x:c r="L217" s="14" t="str"/>
      <x:c r="M217" s="14" t="str">
        <x:v>saint_emilion_2022_official</x:v>
      </x:c>
      <x:c r="N217" s="14" t="str">
        <x:v>2026-07-12</x:v>
      </x:c>
      <x:c r="O217" s="14" t="str">
        <x:v>Y</x:v>
      </x:c>
    </x:row>
    <x:row r="218" ht="15" hidden="0" customHeight="1">
      <x:c r="A218" s="14" t="str">
        <x:v>term-261714b91726</x:v>
      </x:c>
      <x:c r="B218" s="14" t="str">
        <x:v>Château Beychevelle</x:v>
      </x:c>
      <x:c r="C218" s="14" t="str"/>
      <x:c r="D218" s="14" t="str">
        <x:v>Château Beychevelle</x:v>
      </x:c>
      <x:c r="E218" s="14" t="str"/>
      <x:c r="F218" s="14" t="str">
        <x:v>生産者</x:v>
      </x:c>
      <x:c r="G218" s="14" t="str">
        <x:v>Château BeychevelleはSaint-Julienの第4級。</x:v>
      </x:c>
      <x:c r="H218" s="14" t="str">
        <x:v>Château BeychevelleはSaint-Julienの第4級。</x:v>
      </x:c>
      <x:c r="I218" s="14" t="str">
        <x:v>フランス</x:v>
      </x:c>
      <x:c r="J218" s="14" t="str">
        <x:v>Saint-Julien</x:v>
      </x:c>
      <x:c r="K218" s="14" t="str">
        <x:v>格付け;第4級;bordeaux_1855_medoc</x:v>
      </x:c>
      <x:c r="L218" s="14" t="str"/>
      <x:c r="M218" s="14" t="str">
        <x:v>bordeaux_1855_official</x:v>
      </x:c>
      <x:c r="N218" s="14" t="str">
        <x:v>2026-07-12</x:v>
      </x:c>
      <x:c r="O218" s="14" t="str">
        <x:v>Y</x:v>
      </x:c>
    </x:row>
    <x:row r="219" ht="26.399999618530273" hidden="0" customHeight="1">
      <x:c r="A219" s="14" t="str">
        <x:v>term-b826976f4676</x:v>
      </x:c>
      <x:c r="B219" s="14" t="str">
        <x:v>Château Bouscaut</x:v>
      </x:c>
      <x:c r="C219" s="14" t="str"/>
      <x:c r="D219" s="14" t="str">
        <x:v>Château Bouscaut</x:v>
      </x:c>
      <x:c r="E219" s="14" t="str"/>
      <x:c r="F219" s="14" t="str">
        <x:v>生産者</x:v>
      </x:c>
      <x:c r="G219" s="14" t="str">
        <x:v>Château BouscautはPessac-LéognanのCru Classé de Graves。</x:v>
      </x:c>
      <x:c r="H219" s="14" t="str">
        <x:v>Château BouscautはPessac-LéognanのCru Classé de Graves。</x:v>
      </x:c>
      <x:c r="I219" s="14" t="str">
        <x:v>フランス</x:v>
      </x:c>
      <x:c r="J219" s="14" t="str">
        <x:v>Pessac-Léognan</x:v>
      </x:c>
      <x:c r="K219" s="14" t="str">
        <x:v>格付け;Cru Classé de Graves;bordeaux_graves</x:v>
      </x:c>
      <x:c r="L219" s="14" t="str"/>
      <x:c r="M219" s="14" t="str">
        <x:v>bordeaux_graves_official</x:v>
      </x:c>
      <x:c r="N219" s="14" t="str">
        <x:v>2026-07-12</x:v>
      </x:c>
      <x:c r="O219" s="14" t="str">
        <x:v>Y</x:v>
      </x:c>
    </x:row>
    <x:row r="220" ht="26.399999618530273" hidden="0" customHeight="1">
      <x:c r="A220" s="14" t="str">
        <x:v>term-a3477ba874ab</x:v>
      </x:c>
      <x:c r="B220" s="14" t="str">
        <x:v>Château Boutisse</x:v>
      </x:c>
      <x:c r="C220" s="14" t="str"/>
      <x:c r="D220" s="14" t="str">
        <x:v>Château Boutisse</x:v>
      </x:c>
      <x:c r="E220" s="14" t="str"/>
      <x:c r="F220" s="14" t="str">
        <x:v>生産者</x:v>
      </x:c>
      <x:c r="G220" s="14" t="str">
        <x:v>Château BoutisseはSaint-ÉmilionのGrand Cru Classé。</x:v>
      </x:c>
      <x:c r="H220" s="14" t="str">
        <x:v>Château BoutisseはSaint-ÉmilionのGrand Cru Classé。</x:v>
      </x:c>
      <x:c r="I220" s="14" t="str">
        <x:v>フランス</x:v>
      </x:c>
      <x:c r="J220" s="14" t="str">
        <x:v>Saint-Émilion</x:v>
      </x:c>
      <x:c r="K220" s="14" t="str">
        <x:v>格付け;Grand Cru Classé;bordeaux_saint_emilion_2022</x:v>
      </x:c>
      <x:c r="L220" s="14" t="str"/>
      <x:c r="M220" s="14" t="str">
        <x:v>saint_emilion_2022_official</x:v>
      </x:c>
      <x:c r="N220" s="14" t="str">
        <x:v>2026-07-12</x:v>
      </x:c>
      <x:c r="O220" s="14" t="str">
        <x:v>Y</x:v>
      </x:c>
    </x:row>
    <x:row r="221" ht="15" hidden="0" customHeight="1">
      <x:c r="A221" s="14" t="str">
        <x:v>term-d19fc222afe8</x:v>
      </x:c>
      <x:c r="B221" s="14" t="str">
        <x:v>Château Boyd-Cantenac</x:v>
      </x:c>
      <x:c r="C221" s="14" t="str"/>
      <x:c r="D221" s="14" t="str">
        <x:v>Château Boyd-Cantenac</x:v>
      </x:c>
      <x:c r="E221" s="14" t="str"/>
      <x:c r="F221" s="14" t="str">
        <x:v>生産者</x:v>
      </x:c>
      <x:c r="G221" s="14" t="str">
        <x:v>Château Boyd-CantenacはMargauxの第3級。</x:v>
      </x:c>
      <x:c r="H221" s="14" t="str">
        <x:v>Château Boyd-CantenacはMargauxの第3級。</x:v>
      </x:c>
      <x:c r="I221" s="14" t="str">
        <x:v>フランス</x:v>
      </x:c>
      <x:c r="J221" s="14" t="str">
        <x:v>Margaux</x:v>
      </x:c>
      <x:c r="K221" s="14" t="str">
        <x:v>格付け;第3級;bordeaux_1855_medoc</x:v>
      </x:c>
      <x:c r="L221" s="14" t="str"/>
      <x:c r="M221" s="14" t="str">
        <x:v>bordeaux_1855_official</x:v>
      </x:c>
      <x:c r="N221" s="14" t="str">
        <x:v>2026-07-12</x:v>
      </x:c>
      <x:c r="O221" s="14" t="str">
        <x:v>Y</x:v>
      </x:c>
    </x:row>
    <x:row r="222" ht="15" hidden="0" customHeight="1">
      <x:c r="A222" s="14" t="str">
        <x:v>term-966a9db61fec</x:v>
      </x:c>
      <x:c r="B222" s="14" t="str">
        <x:v>Château Branaire-Ducru</x:v>
      </x:c>
      <x:c r="C222" s="14" t="str"/>
      <x:c r="D222" s="14" t="str">
        <x:v>Château Branaire-Ducru</x:v>
      </x:c>
      <x:c r="E222" s="14" t="str"/>
      <x:c r="F222" s="14" t="str">
        <x:v>生産者</x:v>
      </x:c>
      <x:c r="G222" s="14" t="str">
        <x:v>Château Branaire-DucruはSaint-Julienの第4級。</x:v>
      </x:c>
      <x:c r="H222" s="14" t="str">
        <x:v>Château Branaire-DucruはSaint-Julienの第4級。</x:v>
      </x:c>
      <x:c r="I222" s="14" t="str">
        <x:v>フランス</x:v>
      </x:c>
      <x:c r="J222" s="14" t="str">
        <x:v>Saint-Julien</x:v>
      </x:c>
      <x:c r="K222" s="14" t="str">
        <x:v>格付け;第4級;bordeaux_1855_medoc</x:v>
      </x:c>
      <x:c r="L222" s="14" t="str"/>
      <x:c r="M222" s="14" t="str">
        <x:v>bordeaux_1855_official</x:v>
      </x:c>
      <x:c r="N222" s="14" t="str">
        <x:v>2026-07-12</x:v>
      </x:c>
      <x:c r="O222" s="14" t="str">
        <x:v>Y</x:v>
      </x:c>
    </x:row>
    <x:row r="223" ht="15" hidden="0" customHeight="1">
      <x:c r="A223" s="14" t="str">
        <x:v>term-ed44f40868c8</x:v>
      </x:c>
      <x:c r="B223" s="14" t="str">
        <x:v>Château Brane-Cantenac</x:v>
      </x:c>
      <x:c r="C223" s="14" t="str"/>
      <x:c r="D223" s="14" t="str">
        <x:v>Château Brane-Cantenac</x:v>
      </x:c>
      <x:c r="E223" s="14" t="str"/>
      <x:c r="F223" s="14" t="str">
        <x:v>生産者</x:v>
      </x:c>
      <x:c r="G223" s="14" t="str">
        <x:v>Château Brane-CantenacはMargauxの第2級。</x:v>
      </x:c>
      <x:c r="H223" s="14" t="str">
        <x:v>Château Brane-CantenacはMargauxの第2級。</x:v>
      </x:c>
      <x:c r="I223" s="14" t="str">
        <x:v>フランス</x:v>
      </x:c>
      <x:c r="J223" s="14" t="str">
        <x:v>Margaux</x:v>
      </x:c>
      <x:c r="K223" s="14" t="str">
        <x:v>格付け;第2級;bordeaux_1855_medoc</x:v>
      </x:c>
      <x:c r="L223" s="14" t="str"/>
      <x:c r="M223" s="14" t="str">
        <x:v>bordeaux_1855_official</x:v>
      </x:c>
      <x:c r="N223" s="14" t="str">
        <x:v>2026-07-12</x:v>
      </x:c>
      <x:c r="O223" s="14" t="str">
        <x:v>Y</x:v>
      </x:c>
    </x:row>
    <x:row r="224" ht="26.399999618530273" hidden="0" customHeight="1">
      <x:c r="A224" s="14" t="str">
        <x:v>term-c5f0b9781b42</x:v>
      </x:c>
      <x:c r="B224" s="14" t="str">
        <x:v>Château Broustet</x:v>
      </x:c>
      <x:c r="C224" s="14" t="str"/>
      <x:c r="D224" s="14" t="str">
        <x:v>Château Broustet</x:v>
      </x:c>
      <x:c r="E224" s="14" t="str"/>
      <x:c r="F224" s="14" t="str">
        <x:v>生産者</x:v>
      </x:c>
      <x:c r="G224" s="14" t="str">
        <x:v>Château BroustetはBarsacの第2級。</x:v>
      </x:c>
      <x:c r="H224" s="14" t="str">
        <x:v>Château BroustetはBarsacの第2級。</x:v>
      </x:c>
      <x:c r="I224" s="14" t="str">
        <x:v>フランス</x:v>
      </x:c>
      <x:c r="J224" s="14" t="str">
        <x:v>Barsac</x:v>
      </x:c>
      <x:c r="K224" s="14" t="str">
        <x:v>格付け;第2級;bordeaux_1855_sauternes</x:v>
      </x:c>
      <x:c r="L224" s="14" t="str"/>
      <x:c r="M224" s="14" t="str">
        <x:v>bordeaux_1855_official</x:v>
      </x:c>
      <x:c r="N224" s="14" t="str">
        <x:v>2026-07-12</x:v>
      </x:c>
      <x:c r="O224" s="14" t="str">
        <x:v>Y</x:v>
      </x:c>
    </x:row>
    <x:row r="225" ht="26.399999618530273" hidden="0" customHeight="1">
      <x:c r="A225" s="14" t="str">
        <x:v>term-dbc9ed4a2d2e</x:v>
      </x:c>
      <x:c r="B225" s="14" t="str">
        <x:v>Château Bélair-Monange</x:v>
      </x:c>
      <x:c r="C225" s="14" t="str"/>
      <x:c r="D225" s="14" t="str">
        <x:v>Château Bélair-Monange</x:v>
      </x:c>
      <x:c r="E225" s="14" t="str"/>
      <x:c r="F225" s="14" t="str">
        <x:v>生産者</x:v>
      </x:c>
      <x:c r="G225" s="14" t="str">
        <x:v>Château Bélair-MonangeはSaint-ÉmilionのPremier Grand Cru Classé B。</x:v>
      </x:c>
      <x:c r="H225" s="14" t="str">
        <x:v>Château Bélair-MonangeはSaint-ÉmilionのPremier Grand Cru Classé B。</x:v>
      </x:c>
      <x:c r="I225" s="14" t="str">
        <x:v>フランス</x:v>
      </x:c>
      <x:c r="J225" s="14" t="str">
        <x:v>Saint-Émilion</x:v>
      </x:c>
      <x:c r="K225" s="14" t="str">
        <x:v>格付け;Premier Grand Cru Classé B;bordeaux_saint_emilion_2022</x:v>
      </x:c>
      <x:c r="L225" s="14" t="str"/>
      <x:c r="M225" s="14" t="str">
        <x:v>saint_emilion_2022_official</x:v>
      </x:c>
      <x:c r="N225" s="14" t="str">
        <x:v>2026-07-12</x:v>
      </x:c>
      <x:c r="O225" s="14" t="str">
        <x:v>Y</x:v>
      </x:c>
    </x:row>
    <x:row r="226" ht="26.399999618530273" hidden="0" customHeight="1">
      <x:c r="A226" s="14" t="str">
        <x:v>term-015fff6b432d</x:v>
      </x:c>
      <x:c r="B226" s="14" t="str">
        <x:v>Château Cadet-Bon</x:v>
      </x:c>
      <x:c r="C226" s="14" t="str"/>
      <x:c r="D226" s="14" t="str">
        <x:v>Château Cadet-Bon</x:v>
      </x:c>
      <x:c r="E226" s="14" t="str"/>
      <x:c r="F226" s="14" t="str">
        <x:v>生産者</x:v>
      </x:c>
      <x:c r="G226" s="14" t="str">
        <x:v>Château Cadet-BonはSaint-ÉmilionのGrand Cru Classé。</x:v>
      </x:c>
      <x:c r="H226" s="14" t="str">
        <x:v>Château Cadet-BonはSaint-ÉmilionのGrand Cru Classé。</x:v>
      </x:c>
      <x:c r="I226" s="14" t="str">
        <x:v>フランス</x:v>
      </x:c>
      <x:c r="J226" s="14" t="str">
        <x:v>Saint-Émilion</x:v>
      </x:c>
      <x:c r="K226" s="14" t="str">
        <x:v>格付け;Grand Cru Classé;bordeaux_saint_emilion_2022</x:v>
      </x:c>
      <x:c r="L226" s="14" t="str"/>
      <x:c r="M226" s="14" t="str">
        <x:v>saint_emilion_2022_official</x:v>
      </x:c>
      <x:c r="N226" s="14" t="str">
        <x:v>2026-07-12</x:v>
      </x:c>
      <x:c r="O226" s="14" t="str">
        <x:v>Y</x:v>
      </x:c>
    </x:row>
    <x:row r="227" ht="26.399999618530273" hidden="0" customHeight="1">
      <x:c r="A227" s="14" t="str">
        <x:v>term-1bf065679caa</x:v>
      </x:c>
      <x:c r="B227" s="14" t="str">
        <x:v>Château Caillou</x:v>
      </x:c>
      <x:c r="C227" s="14" t="str"/>
      <x:c r="D227" s="14" t="str">
        <x:v>Château Caillou</x:v>
      </x:c>
      <x:c r="E227" s="14" t="str"/>
      <x:c r="F227" s="14" t="str">
        <x:v>生産者</x:v>
      </x:c>
      <x:c r="G227" s="14" t="str">
        <x:v>Château CaillouはBarsacの第2級。</x:v>
      </x:c>
      <x:c r="H227" s="14" t="str">
        <x:v>Château CaillouはBarsacの第2級。</x:v>
      </x:c>
      <x:c r="I227" s="14" t="str">
        <x:v>フランス</x:v>
      </x:c>
      <x:c r="J227" s="14" t="str">
        <x:v>Barsac</x:v>
      </x:c>
      <x:c r="K227" s="14" t="str">
        <x:v>格付け;第2級;bordeaux_1855_sauternes</x:v>
      </x:c>
      <x:c r="L227" s="14" t="str"/>
      <x:c r="M227" s="14" t="str">
        <x:v>bordeaux_1855_official</x:v>
      </x:c>
      <x:c r="N227" s="14" t="str">
        <x:v>2026-07-12</x:v>
      </x:c>
      <x:c r="O227" s="14" t="str">
        <x:v>Y</x:v>
      </x:c>
    </x:row>
    <x:row r="228" ht="15" hidden="0" customHeight="1">
      <x:c r="A228" s="14" t="str">
        <x:v>term-b58631c93db6</x:v>
      </x:c>
      <x:c r="B228" s="14" t="str">
        <x:v>Château Calon Segur</x:v>
      </x:c>
      <x:c r="C228" s="14" t="str"/>
      <x:c r="D228" s="14" t="str">
        <x:v>Château Calon Segur</x:v>
      </x:c>
      <x:c r="E228" s="14" t="str"/>
      <x:c r="F228" s="14" t="str">
        <x:v>生産者</x:v>
      </x:c>
      <x:c r="G228" s="14" t="str">
        <x:v>Château Calon SegurはSaint-Estèpheの第3級。</x:v>
      </x:c>
      <x:c r="H228" s="14" t="str">
        <x:v>Château Calon SegurはSaint-Estèpheの第3級。</x:v>
      </x:c>
      <x:c r="I228" s="14" t="str">
        <x:v>フランス</x:v>
      </x:c>
      <x:c r="J228" s="14" t="str">
        <x:v>Saint-Estèphe</x:v>
      </x:c>
      <x:c r="K228" s="14" t="str">
        <x:v>格付け;第3級;bordeaux_1855_medoc</x:v>
      </x:c>
      <x:c r="L228" s="14" t="str"/>
      <x:c r="M228" s="14" t="str">
        <x:v>bordeaux_1855_official</x:v>
      </x:c>
      <x:c r="N228" s="14" t="str">
        <x:v>2026-07-12</x:v>
      </x:c>
      <x:c r="O228" s="14" t="str">
        <x:v>Y</x:v>
      </x:c>
    </x:row>
    <x:row r="229" ht="26.399999618530273" hidden="0" customHeight="1">
      <x:c r="A229" s="14" t="str">
        <x:v>term-7ca84e8f9e2a</x:v>
      </x:c>
      <x:c r="B229" s="14" t="str">
        <x:v>Château Canon</x:v>
      </x:c>
      <x:c r="C229" s="14" t="str"/>
      <x:c r="D229" s="14" t="str">
        <x:v>Château Canon</x:v>
      </x:c>
      <x:c r="E229" s="14" t="str"/>
      <x:c r="F229" s="14" t="str">
        <x:v>生産者</x:v>
      </x:c>
      <x:c r="G229" s="14" t="str">
        <x:v>Château CanonはSaint-ÉmilionのPremier Grand Cru Classé B。</x:v>
      </x:c>
      <x:c r="H229" s="14" t="str">
        <x:v>Château CanonはSaint-ÉmilionのPremier Grand Cru Classé B。</x:v>
      </x:c>
      <x:c r="I229" s="14" t="str">
        <x:v>フランス</x:v>
      </x:c>
      <x:c r="J229" s="14" t="str">
        <x:v>Saint-Émilion</x:v>
      </x:c>
      <x:c r="K229" s="14" t="str">
        <x:v>格付け;Premier Grand Cru Classé B;bordeaux_saint_emilion_2022</x:v>
      </x:c>
      <x:c r="L229" s="14" t="str"/>
      <x:c r="M229" s="14" t="str">
        <x:v>saint_emilion_2022_official</x:v>
      </x:c>
      <x:c r="N229" s="14" t="str">
        <x:v>2026-07-12</x:v>
      </x:c>
      <x:c r="O229" s="14" t="str">
        <x:v>Y</x:v>
      </x:c>
    </x:row>
    <x:row r="230" ht="26.399999618530273" hidden="0" customHeight="1">
      <x:c r="A230" s="14" t="str">
        <x:v>term-36fa235c2d46</x:v>
      </x:c>
      <x:c r="B230" s="14" t="str">
        <x:v>Château Canon la Gaffelière</x:v>
      </x:c>
      <x:c r="C230" s="14" t="str"/>
      <x:c r="D230" s="14" t="str">
        <x:v>Château Canon la Gaffelière</x:v>
      </x:c>
      <x:c r="E230" s="14" t="str"/>
      <x:c r="F230" s="14" t="str">
        <x:v>生産者</x:v>
      </x:c>
      <x:c r="G230" s="14" t="str">
        <x:v>Château Canon la GaffelièreはSaint-ÉmilionのPremier Grand Cru Classé B。</x:v>
      </x:c>
      <x:c r="H230" s="14" t="str">
        <x:v>Château Canon la GaffelièreはSaint-ÉmilionのPremier Grand Cru Classé B。</x:v>
      </x:c>
      <x:c r="I230" s="14" t="str">
        <x:v>フランス</x:v>
      </x:c>
      <x:c r="J230" s="14" t="str">
        <x:v>Saint-Émilion</x:v>
      </x:c>
      <x:c r="K230" s="14" t="str">
        <x:v>格付け;Premier Grand Cru Classé B;bordeaux_saint_emilion_2022</x:v>
      </x:c>
      <x:c r="L230" s="14" t="str"/>
      <x:c r="M230" s="14" t="str">
        <x:v>saint_emilion_2022_official</x:v>
      </x:c>
      <x:c r="N230" s="14" t="str">
        <x:v>2026-07-12</x:v>
      </x:c>
      <x:c r="O230" s="14" t="str">
        <x:v>Y</x:v>
      </x:c>
    </x:row>
    <x:row r="231" ht="15" hidden="0" customHeight="1">
      <x:c r="A231" s="14" t="str">
        <x:v>term-1c1f722c48a4</x:v>
      </x:c>
      <x:c r="B231" s="14" t="str">
        <x:v>Château Cantemerle</x:v>
      </x:c>
      <x:c r="C231" s="14" t="str"/>
      <x:c r="D231" s="14" t="str">
        <x:v>Château Cantemerle</x:v>
      </x:c>
      <x:c r="E231" s="14" t="str"/>
      <x:c r="F231" s="14" t="str">
        <x:v>生産者</x:v>
      </x:c>
      <x:c r="G231" s="14" t="str">
        <x:v>Château CantemerleはHaut-Médocの第5級。</x:v>
      </x:c>
      <x:c r="H231" s="14" t="str">
        <x:v>Château CantemerleはHaut-Médocの第5級。</x:v>
      </x:c>
      <x:c r="I231" s="14" t="str">
        <x:v>フランス</x:v>
      </x:c>
      <x:c r="J231" s="14" t="str">
        <x:v>Haut-Médoc</x:v>
      </x:c>
      <x:c r="K231" s="14" t="str">
        <x:v>格付け;第5級;bordeaux_1855_medoc</x:v>
      </x:c>
      <x:c r="L231" s="14" t="str"/>
      <x:c r="M231" s="14" t="str">
        <x:v>bordeaux_1855_official</x:v>
      </x:c>
      <x:c r="N231" s="14" t="str">
        <x:v>2026-07-12</x:v>
      </x:c>
      <x:c r="O231" s="14" t="str">
        <x:v>Y</x:v>
      </x:c>
    </x:row>
    <x:row r="232" ht="15" hidden="0" customHeight="1">
      <x:c r="A232" s="14" t="str">
        <x:v>term-9bc23625f3df</x:v>
      </x:c>
      <x:c r="B232" s="14" t="str">
        <x:v>Château Cantenac Brown</x:v>
      </x:c>
      <x:c r="C232" s="14" t="str"/>
      <x:c r="D232" s="14" t="str">
        <x:v>Château Cantenac Brown</x:v>
      </x:c>
      <x:c r="E232" s="14" t="str"/>
      <x:c r="F232" s="14" t="str">
        <x:v>生産者</x:v>
      </x:c>
      <x:c r="G232" s="14" t="str">
        <x:v>Château Cantenac BrownはMargauxの第3級。</x:v>
      </x:c>
      <x:c r="H232" s="14" t="str">
        <x:v>Château Cantenac BrownはMargauxの第3級。</x:v>
      </x:c>
      <x:c r="I232" s="14" t="str">
        <x:v>フランス</x:v>
      </x:c>
      <x:c r="J232" s="14" t="str">
        <x:v>Margaux</x:v>
      </x:c>
      <x:c r="K232" s="14" t="str">
        <x:v>格付け;第3級;bordeaux_1855_medoc</x:v>
      </x:c>
      <x:c r="L232" s="14" t="str"/>
      <x:c r="M232" s="14" t="str">
        <x:v>bordeaux_1855_official</x:v>
      </x:c>
      <x:c r="N232" s="14" t="str">
        <x:v>2026-07-12</x:v>
      </x:c>
      <x:c r="O232" s="14" t="str">
        <x:v>Y</x:v>
      </x:c>
    </x:row>
    <x:row r="233" ht="26.399999618530273" hidden="0" customHeight="1">
      <x:c r="A233" s="14" t="str">
        <x:v>term-1a21ff19a115</x:v>
      </x:c>
      <x:c r="B233" s="14" t="str">
        <x:v>Château Cap de Mourlin</x:v>
      </x:c>
      <x:c r="C233" s="14" t="str"/>
      <x:c r="D233" s="14" t="str">
        <x:v>Château Cap de Mourlin</x:v>
      </x:c>
      <x:c r="E233" s="14" t="str"/>
      <x:c r="F233" s="14" t="str">
        <x:v>生産者</x:v>
      </x:c>
      <x:c r="G233" s="14" t="str">
        <x:v>Château Cap de MourlinはSaint-ÉmilionのGrand Cru Classé。</x:v>
      </x:c>
      <x:c r="H233" s="14" t="str">
        <x:v>Château Cap de MourlinはSaint-ÉmilionのGrand Cru Classé。</x:v>
      </x:c>
      <x:c r="I233" s="14" t="str">
        <x:v>フランス</x:v>
      </x:c>
      <x:c r="J233" s="14" t="str">
        <x:v>Saint-Émilion</x:v>
      </x:c>
      <x:c r="K233" s="14" t="str">
        <x:v>格付け;Grand Cru Classé;bordeaux_saint_emilion_2022</x:v>
      </x:c>
      <x:c r="L233" s="14" t="str"/>
      <x:c r="M233" s="14" t="str">
        <x:v>saint_emilion_2022_official</x:v>
      </x:c>
      <x:c r="N233" s="14" t="str">
        <x:v>2026-07-12</x:v>
      </x:c>
      <x:c r="O233" s="14" t="str">
        <x:v>Y</x:v>
      </x:c>
    </x:row>
    <x:row r="234" ht="26.399999618530273" hidden="0" customHeight="1">
      <x:c r="A234" s="14" t="str">
        <x:v>term-13d7d390143b</x:v>
      </x:c>
      <x:c r="B234" s="14" t="str">
        <x:v>Château Carbonnieux</x:v>
      </x:c>
      <x:c r="C234" s="14" t="str"/>
      <x:c r="D234" s="14" t="str">
        <x:v>Château Carbonnieux</x:v>
      </x:c>
      <x:c r="E234" s="14" t="str"/>
      <x:c r="F234" s="14" t="str">
        <x:v>生産者</x:v>
      </x:c>
      <x:c r="G234" s="14" t="str">
        <x:v>Château CarbonnieuxはPessac-LéognanのCru Classé de Graves。</x:v>
      </x:c>
      <x:c r="H234" s="14" t="str">
        <x:v>Château CarbonnieuxはPessac-LéognanのCru Classé de Graves。</x:v>
      </x:c>
      <x:c r="I234" s="14" t="str">
        <x:v>フランス</x:v>
      </x:c>
      <x:c r="J234" s="14" t="str">
        <x:v>Pessac-Léognan</x:v>
      </x:c>
      <x:c r="K234" s="14" t="str">
        <x:v>格付け;Cru Classé de Graves;bordeaux_graves</x:v>
      </x:c>
      <x:c r="L234" s="14" t="str"/>
      <x:c r="M234" s="14" t="str">
        <x:v>bordeaux_graves_official</x:v>
      </x:c>
      <x:c r="N234" s="14" t="str">
        <x:v>2026-07-12</x:v>
      </x:c>
      <x:c r="O234" s="14" t="str">
        <x:v>Y</x:v>
      </x:c>
    </x:row>
    <x:row r="235" ht="26.399999618530273" hidden="0" customHeight="1">
      <x:c r="A235" s="14" t="str">
        <x:v>term-fa11d695b182</x:v>
      </x:c>
      <x:c r="B235" s="14" t="str">
        <x:v>Château Chauvin</x:v>
      </x:c>
      <x:c r="C235" s="14" t="str"/>
      <x:c r="D235" s="14" t="str">
        <x:v>Château Chauvin</x:v>
      </x:c>
      <x:c r="E235" s="14" t="str"/>
      <x:c r="F235" s="14" t="str">
        <x:v>生産者</x:v>
      </x:c>
      <x:c r="G235" s="14" t="str">
        <x:v>Château ChauvinはSaint-ÉmilionのGrand Cru Classé。</x:v>
      </x:c>
      <x:c r="H235" s="14" t="str">
        <x:v>Château ChauvinはSaint-ÉmilionのGrand Cru Classé。</x:v>
      </x:c>
      <x:c r="I235" s="14" t="str">
        <x:v>フランス</x:v>
      </x:c>
      <x:c r="J235" s="14" t="str">
        <x:v>Saint-Émilion</x:v>
      </x:c>
      <x:c r="K235" s="14" t="str">
        <x:v>格付け;Grand Cru Classé;bordeaux_saint_emilion_2022</x:v>
      </x:c>
      <x:c r="L235" s="14" t="str"/>
      <x:c r="M235" s="14" t="str">
        <x:v>saint_emilion_2022_official</x:v>
      </x:c>
      <x:c r="N235" s="14" t="str">
        <x:v>2026-07-12</x:v>
      </x:c>
      <x:c r="O235" s="14" t="str">
        <x:v>Y</x:v>
      </x:c>
    </x:row>
    <x:row r="236" ht="15" hidden="0" customHeight="1">
      <x:c r="A236" s="14" t="str">
        <x:v>term-170c57c6c659</x:v>
      </x:c>
      <x:c r="B236" s="14" t="str">
        <x:v>Château Clerc Milon</x:v>
      </x:c>
      <x:c r="C236" s="14" t="str"/>
      <x:c r="D236" s="14" t="str">
        <x:v>Château Clerc Milon</x:v>
      </x:c>
      <x:c r="E236" s="14" t="str"/>
      <x:c r="F236" s="14" t="str">
        <x:v>生産者</x:v>
      </x:c>
      <x:c r="G236" s="14" t="str">
        <x:v>Château Clerc MilonはPauillacの第5級。</x:v>
      </x:c>
      <x:c r="H236" s="14" t="str">
        <x:v>Château Clerc MilonはPauillacの第5級。</x:v>
      </x:c>
      <x:c r="I236" s="14" t="str">
        <x:v>フランス</x:v>
      </x:c>
      <x:c r="J236" s="14" t="str">
        <x:v>Pauillac</x:v>
      </x:c>
      <x:c r="K236" s="14" t="str">
        <x:v>格付け;第5級;bordeaux_1855_medoc</x:v>
      </x:c>
      <x:c r="L236" s="14" t="str"/>
      <x:c r="M236" s="14" t="str">
        <x:v>bordeaux_1855_official</x:v>
      </x:c>
      <x:c r="N236" s="14" t="str">
        <x:v>2026-07-12</x:v>
      </x:c>
      <x:c r="O236" s="14" t="str">
        <x:v>Y</x:v>
      </x:c>
    </x:row>
    <x:row r="237" ht="26.399999618530273" hidden="0" customHeight="1">
      <x:c r="A237" s="14" t="str">
        <x:v>term-f27a68e46826</x:v>
      </x:c>
      <x:c r="B237" s="14" t="str">
        <x:v>Château Climens</x:v>
      </x:c>
      <x:c r="C237" s="14" t="str"/>
      <x:c r="D237" s="14" t="str">
        <x:v>Château Climens</x:v>
      </x:c>
      <x:c r="E237" s="14" t="str"/>
      <x:c r="F237" s="14" t="str">
        <x:v>生産者</x:v>
      </x:c>
      <x:c r="G237" s="14" t="str">
        <x:v>Château ClimensはBarsacの第1級。</x:v>
      </x:c>
      <x:c r="H237" s="14" t="str">
        <x:v>Château ClimensはBarsacの第1級。</x:v>
      </x:c>
      <x:c r="I237" s="14" t="str">
        <x:v>フランス</x:v>
      </x:c>
      <x:c r="J237" s="14" t="str">
        <x:v>Barsac</x:v>
      </x:c>
      <x:c r="K237" s="14" t="str">
        <x:v>格付け;第1級;bordeaux_1855_sauternes</x:v>
      </x:c>
      <x:c r="L237" s="14" t="str"/>
      <x:c r="M237" s="14" t="str">
        <x:v>bordeaux_1855_official</x:v>
      </x:c>
      <x:c r="N237" s="14" t="str">
        <x:v>2026-07-12</x:v>
      </x:c>
      <x:c r="O237" s="14" t="str">
        <x:v>Y</x:v>
      </x:c>
    </x:row>
    <x:row r="238" ht="26.399999618530273" hidden="0" customHeight="1">
      <x:c r="A238" s="14" t="str">
        <x:v>term-211c6d6cfacf</x:v>
      </x:c>
      <x:c r="B238" s="14" t="str">
        <x:v>Château Clos de Sarpe</x:v>
      </x:c>
      <x:c r="C238" s="14" t="str"/>
      <x:c r="D238" s="14" t="str">
        <x:v>Château Clos de Sarpe</x:v>
      </x:c>
      <x:c r="E238" s="14" t="str"/>
      <x:c r="F238" s="14" t="str">
        <x:v>生産者</x:v>
      </x:c>
      <x:c r="G238" s="14" t="str">
        <x:v>Château Clos de SarpeはSaint-ÉmilionのGrand Cru Classé。</x:v>
      </x:c>
      <x:c r="H238" s="14" t="str">
        <x:v>Château Clos de SarpeはSaint-ÉmilionのGrand Cru Classé。</x:v>
      </x:c>
      <x:c r="I238" s="14" t="str">
        <x:v>フランス</x:v>
      </x:c>
      <x:c r="J238" s="14" t="str">
        <x:v>Saint-Émilion</x:v>
      </x:c>
      <x:c r="K238" s="14" t="str">
        <x:v>格付け;Grand Cru Classé;bordeaux_saint_emilion_2022</x:v>
      </x:c>
      <x:c r="L238" s="14" t="str"/>
      <x:c r="M238" s="14" t="str">
        <x:v>saint_emilion_2022_official</x:v>
      </x:c>
      <x:c r="N238" s="14" t="str">
        <x:v>2026-07-12</x:v>
      </x:c>
      <x:c r="O238" s="14" t="str">
        <x:v>Y</x:v>
      </x:c>
    </x:row>
    <x:row r="239" ht="26.399999618530273" hidden="0" customHeight="1">
      <x:c r="A239" s="14" t="str">
        <x:v>term-cf53a0e81ae3</x:v>
      </x:c>
      <x:c r="B239" s="14" t="str">
        <x:v>Château Corbin</x:v>
      </x:c>
      <x:c r="C239" s="14" t="str"/>
      <x:c r="D239" s="14" t="str">
        <x:v>Château Corbin</x:v>
      </x:c>
      <x:c r="E239" s="14" t="str"/>
      <x:c r="F239" s="14" t="str">
        <x:v>生産者</x:v>
      </x:c>
      <x:c r="G239" s="14" t="str">
        <x:v>Château CorbinはSaint-ÉmilionのGrand Cru Classé。</x:v>
      </x:c>
      <x:c r="H239" s="14" t="str">
        <x:v>Château CorbinはSaint-ÉmilionのGrand Cru Classé。</x:v>
      </x:c>
      <x:c r="I239" s="14" t="str">
        <x:v>フランス</x:v>
      </x:c>
      <x:c r="J239" s="14" t="str">
        <x:v>Saint-Émilion</x:v>
      </x:c>
      <x:c r="K239" s="14" t="str">
        <x:v>格付け;Grand Cru Classé;bordeaux_saint_emilion_2022</x:v>
      </x:c>
      <x:c r="L239" s="14" t="str"/>
      <x:c r="M239" s="14" t="str">
        <x:v>saint_emilion_2022_official</x:v>
      </x:c>
      <x:c r="N239" s="14" t="str">
        <x:v>2026-07-12</x:v>
      </x:c>
      <x:c r="O239" s="14" t="str">
        <x:v>Y</x:v>
      </x:c>
    </x:row>
    <x:row r="240" ht="26.399999618530273" hidden="0" customHeight="1">
      <x:c r="A240" s="14" t="str">
        <x:v>term-73f2f5631c20</x:v>
      </x:c>
      <x:c r="B240" s="14" t="str">
        <x:v>Château Corbin Michotte</x:v>
      </x:c>
      <x:c r="C240" s="14" t="str"/>
      <x:c r="D240" s="14" t="str">
        <x:v>Château Corbin Michotte</x:v>
      </x:c>
      <x:c r="E240" s="14" t="str"/>
      <x:c r="F240" s="14" t="str">
        <x:v>生産者</x:v>
      </x:c>
      <x:c r="G240" s="14" t="str">
        <x:v>Château Corbin MichotteはSaint-ÉmilionのGrand Cru Classé。</x:v>
      </x:c>
      <x:c r="H240" s="14" t="str">
        <x:v>Château Corbin MichotteはSaint-ÉmilionのGrand Cru Classé。</x:v>
      </x:c>
      <x:c r="I240" s="14" t="str">
        <x:v>フランス</x:v>
      </x:c>
      <x:c r="J240" s="14" t="str">
        <x:v>Saint-Émilion</x:v>
      </x:c>
      <x:c r="K240" s="14" t="str">
        <x:v>格付け;Grand Cru Classé;bordeaux_saint_emilion_2022</x:v>
      </x:c>
      <x:c r="L240" s="14" t="str"/>
      <x:c r="M240" s="14" t="str">
        <x:v>saint_emilion_2022_official</x:v>
      </x:c>
      <x:c r="N240" s="14" t="str">
        <x:v>2026-07-12</x:v>
      </x:c>
      <x:c r="O240" s="14" t="str">
        <x:v>Y</x:v>
      </x:c>
    </x:row>
    <x:row r="241" ht="15" hidden="0" customHeight="1">
      <x:c r="A241" s="14" t="str">
        <x:v>term-729fc0f00dc1</x:v>
      </x:c>
      <x:c r="B241" s="14" t="str">
        <x:v>Château Cos D’Estournel</x:v>
      </x:c>
      <x:c r="C241" s="14" t="str"/>
      <x:c r="D241" s="14" t="str">
        <x:v>Château Cos D’Estournel</x:v>
      </x:c>
      <x:c r="E241" s="14" t="str"/>
      <x:c r="F241" s="14" t="str">
        <x:v>生産者</x:v>
      </x:c>
      <x:c r="G241" s="14" t="str">
        <x:v>Château Cos D’EstournelはSaint-Estèpheの第2級。</x:v>
      </x:c>
      <x:c r="H241" s="14" t="str">
        <x:v>Château Cos D’EstournelはSaint-Estèpheの第2級。</x:v>
      </x:c>
      <x:c r="I241" s="14" t="str">
        <x:v>フランス</x:v>
      </x:c>
      <x:c r="J241" s="14" t="str">
        <x:v>Saint-Estèphe</x:v>
      </x:c>
      <x:c r="K241" s="14" t="str">
        <x:v>格付け;第2級;bordeaux_1855_medoc</x:v>
      </x:c>
      <x:c r="L241" s="14" t="str"/>
      <x:c r="M241" s="14" t="str">
        <x:v>bordeaux_1855_official</x:v>
      </x:c>
      <x:c r="N241" s="14" t="str">
        <x:v>2026-07-12</x:v>
      </x:c>
      <x:c r="O241" s="14" t="str">
        <x:v>Y</x:v>
      </x:c>
    </x:row>
    <x:row r="242" ht="15" hidden="0" customHeight="1">
      <x:c r="A242" s="14" t="str">
        <x:v>term-69ed513cc7bc</x:v>
      </x:c>
      <x:c r="B242" s="14" t="str">
        <x:v>Château Cos Labory</x:v>
      </x:c>
      <x:c r="C242" s="14" t="str"/>
      <x:c r="D242" s="14" t="str">
        <x:v>Château Cos Labory</x:v>
      </x:c>
      <x:c r="E242" s="14" t="str"/>
      <x:c r="F242" s="14" t="str">
        <x:v>生産者</x:v>
      </x:c>
      <x:c r="G242" s="14" t="str">
        <x:v>Château Cos LaboryはSaint-Estèpheの第5級。</x:v>
      </x:c>
      <x:c r="H242" s="14" t="str">
        <x:v>Château Cos LaboryはSaint-Estèpheの第5級。</x:v>
      </x:c>
      <x:c r="I242" s="14" t="str">
        <x:v>フランス</x:v>
      </x:c>
      <x:c r="J242" s="14" t="str">
        <x:v>Saint-Estèphe</x:v>
      </x:c>
      <x:c r="K242" s="14" t="str">
        <x:v>格付け;第5級;bordeaux_1855_medoc</x:v>
      </x:c>
      <x:c r="L242" s="14" t="str"/>
      <x:c r="M242" s="14" t="str">
        <x:v>bordeaux_1855_official</x:v>
      </x:c>
      <x:c r="N242" s="14" t="str">
        <x:v>2026-07-12</x:v>
      </x:c>
      <x:c r="O242" s="14" t="str">
        <x:v>Y</x:v>
      </x:c>
    </x:row>
    <x:row r="243" ht="26.399999618530273" hidden="0" customHeight="1">
      <x:c r="A243" s="14" t="str">
        <x:v>term-a21db01b9b88</x:v>
      </x:c>
      <x:c r="B243" s="14" t="str">
        <x:v>Château Couhins</x:v>
      </x:c>
      <x:c r="C243" s="14" t="str"/>
      <x:c r="D243" s="14" t="str">
        <x:v>Château Couhins</x:v>
      </x:c>
      <x:c r="E243" s="14" t="str"/>
      <x:c r="F243" s="14" t="str">
        <x:v>生産者</x:v>
      </x:c>
      <x:c r="G243" s="14" t="str">
        <x:v>Château CouhinsはPessac-LéognanのCru Classé de Graves。</x:v>
      </x:c>
      <x:c r="H243" s="14" t="str">
        <x:v>Château CouhinsはPessac-LéognanのCru Classé de Graves。</x:v>
      </x:c>
      <x:c r="I243" s="14" t="str">
        <x:v>フランス</x:v>
      </x:c>
      <x:c r="J243" s="14" t="str">
        <x:v>Pessac-Léognan</x:v>
      </x:c>
      <x:c r="K243" s="14" t="str">
        <x:v>格付け;Cru Classé de Graves;bordeaux_graves</x:v>
      </x:c>
      <x:c r="L243" s="14" t="str"/>
      <x:c r="M243" s="14" t="str">
        <x:v>bordeaux_graves_official</x:v>
      </x:c>
      <x:c r="N243" s="14" t="str">
        <x:v>2026-07-12</x:v>
      </x:c>
      <x:c r="O243" s="14" t="str">
        <x:v>Y</x:v>
      </x:c>
    </x:row>
    <x:row r="244" ht="26.399999618530273" hidden="0" customHeight="1">
      <x:c r="A244" s="14" t="str">
        <x:v>term-99cd362867c7</x:v>
      </x:c>
      <x:c r="B244" s="14" t="str">
        <x:v>Château Couhins-Lurton</x:v>
      </x:c>
      <x:c r="C244" s="14" t="str"/>
      <x:c r="D244" s="14" t="str">
        <x:v>Château Couhins-Lurton</x:v>
      </x:c>
      <x:c r="E244" s="14" t="str"/>
      <x:c r="F244" s="14" t="str">
        <x:v>生産者</x:v>
      </x:c>
      <x:c r="G244" s="14" t="str">
        <x:v>Château Couhins-LurtonはPessac-LéognanのCru Classé de Graves。</x:v>
      </x:c>
      <x:c r="H244" s="14" t="str">
        <x:v>Château Couhins-LurtonはPessac-LéognanのCru Classé de Graves。</x:v>
      </x:c>
      <x:c r="I244" s="14" t="str">
        <x:v>フランス</x:v>
      </x:c>
      <x:c r="J244" s="14" t="str">
        <x:v>Pessac-Léognan</x:v>
      </x:c>
      <x:c r="K244" s="14" t="str">
        <x:v>格付け;Cru Classé de Graves;bordeaux_graves</x:v>
      </x:c>
      <x:c r="L244" s="14" t="str"/>
      <x:c r="M244" s="14" t="str">
        <x:v>bordeaux_graves_official</x:v>
      </x:c>
      <x:c r="N244" s="14" t="str">
        <x:v>2026-07-12</x:v>
      </x:c>
      <x:c r="O244" s="14" t="str">
        <x:v>Y</x:v>
      </x:c>
    </x:row>
    <x:row r="245" ht="26.399999618530273" hidden="0" customHeight="1">
      <x:c r="A245" s="14" t="str">
        <x:v>term-4bca31cd40c7</x:v>
      </x:c>
      <x:c r="B245" s="14" t="str">
        <x:v>Château Coutet</x:v>
      </x:c>
      <x:c r="C245" s="14" t="str"/>
      <x:c r="D245" s="14" t="str">
        <x:v>Château Coutet</x:v>
      </x:c>
      <x:c r="E245" s="14" t="str"/>
      <x:c r="F245" s="14" t="str">
        <x:v>生産者</x:v>
      </x:c>
      <x:c r="G245" s="14" t="str">
        <x:v>Château CoutetはBarsacの第1級。</x:v>
      </x:c>
      <x:c r="H245" s="14" t="str">
        <x:v>Château CoutetはBarsacの第1級。</x:v>
      </x:c>
      <x:c r="I245" s="14" t="str">
        <x:v>フランス</x:v>
      </x:c>
      <x:c r="J245" s="14" t="str">
        <x:v>Barsac</x:v>
      </x:c>
      <x:c r="K245" s="14" t="str">
        <x:v>格付け;第1級;bordeaux_1855_sauternes</x:v>
      </x:c>
      <x:c r="L245" s="14" t="str"/>
      <x:c r="M245" s="14" t="str">
        <x:v>bordeaux_1855_official</x:v>
      </x:c>
      <x:c r="N245" s="14" t="str">
        <x:v>2026-07-12</x:v>
      </x:c>
      <x:c r="O245" s="14" t="str">
        <x:v>Y</x:v>
      </x:c>
    </x:row>
    <x:row r="246" ht="26.399999618530273" hidden="0" customHeight="1">
      <x:c r="A246" s="14" t="str">
        <x:v>term-84834d95c9e6</x:v>
      </x:c>
      <x:c r="B246" s="14" t="str">
        <x:v>Château Croix de Labrie</x:v>
      </x:c>
      <x:c r="C246" s="14" t="str"/>
      <x:c r="D246" s="14" t="str">
        <x:v>Château Croix de Labrie</x:v>
      </x:c>
      <x:c r="E246" s="14" t="str"/>
      <x:c r="F246" s="14" t="str">
        <x:v>生産者</x:v>
      </x:c>
      <x:c r="G246" s="14" t="str">
        <x:v>Château Croix de LabrieはSaint-ÉmilionのGrand Cru Classé。</x:v>
      </x:c>
      <x:c r="H246" s="14" t="str">
        <x:v>Château Croix de LabrieはSaint-ÉmilionのGrand Cru Classé。</x:v>
      </x:c>
      <x:c r="I246" s="14" t="str">
        <x:v>フランス</x:v>
      </x:c>
      <x:c r="J246" s="14" t="str">
        <x:v>Saint-Émilion</x:v>
      </x:c>
      <x:c r="K246" s="14" t="str">
        <x:v>格付け;Grand Cru Classé;bordeaux_saint_emilion_2022</x:v>
      </x:c>
      <x:c r="L246" s="14" t="str"/>
      <x:c r="M246" s="14" t="str">
        <x:v>saint_emilion_2022_official</x:v>
      </x:c>
      <x:c r="N246" s="14" t="str">
        <x:v>2026-07-12</x:v>
      </x:c>
      <x:c r="O246" s="14" t="str">
        <x:v>Y</x:v>
      </x:c>
    </x:row>
    <x:row r="247" ht="15" hidden="0" customHeight="1">
      <x:c r="A247" s="14" t="str">
        <x:v>term-a8fbe7bf2aac</x:v>
      </x:c>
      <x:c r="B247" s="14" t="str">
        <x:v>Château Croizet-Bages</x:v>
      </x:c>
      <x:c r="C247" s="14" t="str"/>
      <x:c r="D247" s="14" t="str">
        <x:v>Château Croizet-Bages</x:v>
      </x:c>
      <x:c r="E247" s="14" t="str"/>
      <x:c r="F247" s="14" t="str">
        <x:v>生産者</x:v>
      </x:c>
      <x:c r="G247" s="14" t="str">
        <x:v>Château Croizet-BagesはPauillacの第5級。</x:v>
      </x:c>
      <x:c r="H247" s="14" t="str">
        <x:v>Château Croizet-BagesはPauillacの第5級。</x:v>
      </x:c>
      <x:c r="I247" s="14" t="str">
        <x:v>フランス</x:v>
      </x:c>
      <x:c r="J247" s="14" t="str">
        <x:v>Pauillac</x:v>
      </x:c>
      <x:c r="K247" s="14" t="str">
        <x:v>格付け;第5級;bordeaux_1855_medoc</x:v>
      </x:c>
      <x:c r="L247" s="14" t="str"/>
      <x:c r="M247" s="14" t="str">
        <x:v>bordeaux_1855_official</x:v>
      </x:c>
      <x:c r="N247" s="14" t="str">
        <x:v>2026-07-12</x:v>
      </x:c>
      <x:c r="O247" s="14" t="str">
        <x:v>Y</x:v>
      </x:c>
    </x:row>
    <x:row r="248" ht="26.399999618530273" hidden="0" customHeight="1">
      <x:c r="A248" s="14" t="str">
        <x:v>term-3b458a0678af</x:v>
      </x:c>
      <x:c r="B248" s="14" t="str">
        <x:v>Château Côte de Baleau</x:v>
      </x:c>
      <x:c r="C248" s="14" t="str"/>
      <x:c r="D248" s="14" t="str">
        <x:v>Château Côte de Baleau</x:v>
      </x:c>
      <x:c r="E248" s="14" t="str"/>
      <x:c r="F248" s="14" t="str">
        <x:v>生産者</x:v>
      </x:c>
      <x:c r="G248" s="14" t="str">
        <x:v>Château Côte de BaleauはSaint-ÉmilionのGrand Cru Classé。</x:v>
      </x:c>
      <x:c r="H248" s="14" t="str">
        <x:v>Château Côte de BaleauはSaint-ÉmilionのGrand Cru Classé。</x:v>
      </x:c>
      <x:c r="I248" s="14" t="str">
        <x:v>フランス</x:v>
      </x:c>
      <x:c r="J248" s="14" t="str">
        <x:v>Saint-Émilion</x:v>
      </x:c>
      <x:c r="K248" s="14" t="str">
        <x:v>格付け;Grand Cru Classé;bordeaux_saint_emilion_2022</x:v>
      </x:c>
      <x:c r="L248" s="14" t="str"/>
      <x:c r="M248" s="14" t="str">
        <x:v>saint_emilion_2022_official</x:v>
      </x:c>
      <x:c r="N248" s="14" t="str">
        <x:v>2026-07-12</x:v>
      </x:c>
      <x:c r="O248" s="14" t="str">
        <x:v>Y</x:v>
      </x:c>
    </x:row>
    <x:row r="249" ht="26.399999618530273" hidden="0" customHeight="1">
      <x:c r="A249" s="14" t="str">
        <x:v>term-04db4de743e2</x:v>
      </x:c>
      <x:c r="B249" s="14" t="str">
        <x:v>Château Dassault</x:v>
      </x:c>
      <x:c r="C249" s="14" t="str"/>
      <x:c r="D249" s="14" t="str">
        <x:v>Château Dassault</x:v>
      </x:c>
      <x:c r="E249" s="14" t="str"/>
      <x:c r="F249" s="14" t="str">
        <x:v>生産者</x:v>
      </x:c>
      <x:c r="G249" s="14" t="str">
        <x:v>Château DassaultはSaint-ÉmilionのGrand Cru Classé。</x:v>
      </x:c>
      <x:c r="H249" s="14" t="str">
        <x:v>Château DassaultはSaint-ÉmilionのGrand Cru Classé。</x:v>
      </x:c>
      <x:c r="I249" s="14" t="str">
        <x:v>フランス</x:v>
      </x:c>
      <x:c r="J249" s="14" t="str">
        <x:v>Saint-Émilion</x:v>
      </x:c>
      <x:c r="K249" s="14" t="str">
        <x:v>格付け;Grand Cru Classé;bordeaux_saint_emilion_2022</x:v>
      </x:c>
      <x:c r="L249" s="14" t="str"/>
      <x:c r="M249" s="14" t="str">
        <x:v>saint_emilion_2022_official</x:v>
      </x:c>
      <x:c r="N249" s="14" t="str">
        <x:v>2026-07-12</x:v>
      </x:c>
      <x:c r="O249" s="14" t="str">
        <x:v>Y</x:v>
      </x:c>
    </x:row>
    <x:row r="250" ht="15" hidden="0" customHeight="1">
      <x:c r="A250" s="14" t="str">
        <x:v>term-b6c5d8c4d0f1</x:v>
      </x:c>
      <x:c r="B250" s="14" t="str">
        <x:v>Château Dauzac</x:v>
      </x:c>
      <x:c r="C250" s="14" t="str"/>
      <x:c r="D250" s="14" t="str">
        <x:v>Château Dauzac</x:v>
      </x:c>
      <x:c r="E250" s="14" t="str"/>
      <x:c r="F250" s="14" t="str">
        <x:v>生産者</x:v>
      </x:c>
      <x:c r="G250" s="14" t="str">
        <x:v>Château DauzacはMargauxの第5級。</x:v>
      </x:c>
      <x:c r="H250" s="14" t="str">
        <x:v>Château DauzacはMargauxの第5級。</x:v>
      </x:c>
      <x:c r="I250" s="14" t="str">
        <x:v>フランス</x:v>
      </x:c>
      <x:c r="J250" s="14" t="str">
        <x:v>Margaux</x:v>
      </x:c>
      <x:c r="K250" s="14" t="str">
        <x:v>格付け;第5級;bordeaux_1855_medoc</x:v>
      </x:c>
      <x:c r="L250" s="14" t="str"/>
      <x:c r="M250" s="14" t="str">
        <x:v>bordeaux_1855_official</x:v>
      </x:c>
      <x:c r="N250" s="14" t="str">
        <x:v>2026-07-12</x:v>
      </x:c>
      <x:c r="O250" s="14" t="str">
        <x:v>Y</x:v>
      </x:c>
    </x:row>
    <x:row r="251" ht="15" hidden="0" customHeight="1">
      <x:c r="A251" s="14" t="str">
        <x:v>term-103b5dd43ea9</x:v>
      </x:c>
      <x:c r="B251" s="14" t="str">
        <x:v>Château Desmirail</x:v>
      </x:c>
      <x:c r="C251" s="14" t="str"/>
      <x:c r="D251" s="14" t="str">
        <x:v>Château Desmirail</x:v>
      </x:c>
      <x:c r="E251" s="14" t="str"/>
      <x:c r="F251" s="14" t="str">
        <x:v>生産者</x:v>
      </x:c>
      <x:c r="G251" s="14" t="str">
        <x:v>Château DesmirailはMargauxの第3級。</x:v>
      </x:c>
      <x:c r="H251" s="14" t="str">
        <x:v>Château DesmirailはMargauxの第3級。</x:v>
      </x:c>
      <x:c r="I251" s="14" t="str">
        <x:v>フランス</x:v>
      </x:c>
      <x:c r="J251" s="14" t="str">
        <x:v>Margaux</x:v>
      </x:c>
      <x:c r="K251" s="14" t="str">
        <x:v>格付け;第3級;bordeaux_1855_medoc</x:v>
      </x:c>
      <x:c r="L251" s="14" t="str"/>
      <x:c r="M251" s="14" t="str">
        <x:v>bordeaux_1855_official</x:v>
      </x:c>
      <x:c r="N251" s="14" t="str">
        <x:v>2026-07-12</x:v>
      </x:c>
      <x:c r="O251" s="14" t="str">
        <x:v>Y</x:v>
      </x:c>
    </x:row>
    <x:row r="252" ht="26.399999618530273" hidden="0" customHeight="1">
      <x:c r="A252" s="14" t="str">
        <x:v>term-cd4b0b25ad9d</x:v>
      </x:c>
      <x:c r="B252" s="14" t="str">
        <x:v>Château Destieux</x:v>
      </x:c>
      <x:c r="C252" s="14" t="str"/>
      <x:c r="D252" s="14" t="str">
        <x:v>Château Destieux</x:v>
      </x:c>
      <x:c r="E252" s="14" t="str"/>
      <x:c r="F252" s="14" t="str">
        <x:v>生産者</x:v>
      </x:c>
      <x:c r="G252" s="14" t="str">
        <x:v>Château DestieuxはSaint-ÉmilionのGrand Cru Classé。</x:v>
      </x:c>
      <x:c r="H252" s="14" t="str">
        <x:v>Château DestieuxはSaint-ÉmilionのGrand Cru Classé。</x:v>
      </x:c>
      <x:c r="I252" s="14" t="str">
        <x:v>フランス</x:v>
      </x:c>
      <x:c r="J252" s="14" t="str">
        <x:v>Saint-Émilion</x:v>
      </x:c>
      <x:c r="K252" s="14" t="str">
        <x:v>格付け;Grand Cru Classé;bordeaux_saint_emilion_2022</x:v>
      </x:c>
      <x:c r="L252" s="14" t="str"/>
      <x:c r="M252" s="14" t="str">
        <x:v>saint_emilion_2022_official</x:v>
      </x:c>
      <x:c r="N252" s="14" t="str">
        <x:v>2026-07-12</x:v>
      </x:c>
      <x:c r="O252" s="14" t="str">
        <x:v>Y</x:v>
      </x:c>
    </x:row>
    <x:row r="253" ht="26.399999618530273" hidden="0" customHeight="1">
      <x:c r="A253" s="14" t="str">
        <x:v>term-e66bb394d739</x:v>
      </x:c>
      <x:c r="B253" s="14" t="str">
        <x:v>Château Doisy Daene</x:v>
      </x:c>
      <x:c r="C253" s="14" t="str"/>
      <x:c r="D253" s="14" t="str">
        <x:v>Château Doisy Daene</x:v>
      </x:c>
      <x:c r="E253" s="14" t="str"/>
      <x:c r="F253" s="14" t="str">
        <x:v>生産者</x:v>
      </x:c>
      <x:c r="G253" s="14" t="str">
        <x:v>Château Doisy DaeneはBarsacの第2級。</x:v>
      </x:c>
      <x:c r="H253" s="14" t="str">
        <x:v>Château Doisy DaeneはBarsacの第2級。</x:v>
      </x:c>
      <x:c r="I253" s="14" t="str">
        <x:v>フランス</x:v>
      </x:c>
      <x:c r="J253" s="14" t="str">
        <x:v>Barsac</x:v>
      </x:c>
      <x:c r="K253" s="14" t="str">
        <x:v>格付け;第2級;bordeaux_1855_sauternes</x:v>
      </x:c>
      <x:c r="L253" s="14" t="str"/>
      <x:c r="M253" s="14" t="str">
        <x:v>bordeaux_1855_official</x:v>
      </x:c>
      <x:c r="N253" s="14" t="str">
        <x:v>2026-07-12</x:v>
      </x:c>
      <x:c r="O253" s="14" t="str">
        <x:v>Y</x:v>
      </x:c>
    </x:row>
    <x:row r="254" ht="26.399999618530273" hidden="0" customHeight="1">
      <x:c r="A254" s="14" t="str">
        <x:v>term-250f3a6a90c4</x:v>
      </x:c>
      <x:c r="B254" s="14" t="str">
        <x:v>Château Doisy-Dubroca</x:v>
      </x:c>
      <x:c r="C254" s="14" t="str"/>
      <x:c r="D254" s="14" t="str">
        <x:v>Château Doisy-Dubroca</x:v>
      </x:c>
      <x:c r="E254" s="14" t="str"/>
      <x:c r="F254" s="14" t="str">
        <x:v>生産者</x:v>
      </x:c>
      <x:c r="G254" s="14" t="str">
        <x:v>Château Doisy-DubrocaはBarsacの第2級。</x:v>
      </x:c>
      <x:c r="H254" s="14" t="str">
        <x:v>Château Doisy-DubrocaはBarsacの第2級。</x:v>
      </x:c>
      <x:c r="I254" s="14" t="str">
        <x:v>フランス</x:v>
      </x:c>
      <x:c r="J254" s="14" t="str">
        <x:v>Barsac</x:v>
      </x:c>
      <x:c r="K254" s="14" t="str">
        <x:v>格付け;第2級;bordeaux_1855_sauternes</x:v>
      </x:c>
      <x:c r="L254" s="14" t="str"/>
      <x:c r="M254" s="14" t="str">
        <x:v>bordeaux_1855_official</x:v>
      </x:c>
      <x:c r="N254" s="14" t="str">
        <x:v>2026-07-12</x:v>
      </x:c>
      <x:c r="O254" s="14" t="str">
        <x:v>Y</x:v>
      </x:c>
    </x:row>
    <x:row r="255" ht="26.399999618530273" hidden="0" customHeight="1">
      <x:c r="A255" s="14" t="str">
        <x:v>term-99397e5fb40d</x:v>
      </x:c>
      <x:c r="B255" s="14" t="str">
        <x:v>Château Doisy-Vedrines</x:v>
      </x:c>
      <x:c r="C255" s="14" t="str"/>
      <x:c r="D255" s="14" t="str">
        <x:v>Château Doisy-Vedrines</x:v>
      </x:c>
      <x:c r="E255" s="14" t="str"/>
      <x:c r="F255" s="14" t="str">
        <x:v>生産者</x:v>
      </x:c>
      <x:c r="G255" s="14" t="str">
        <x:v>Château Doisy-VedrinesはBarsacの第2級。</x:v>
      </x:c>
      <x:c r="H255" s="14" t="str">
        <x:v>Château Doisy-VedrinesはBarsacの第2級。</x:v>
      </x:c>
      <x:c r="I255" s="14" t="str">
        <x:v>フランス</x:v>
      </x:c>
      <x:c r="J255" s="14" t="str">
        <x:v>Barsac</x:v>
      </x:c>
      <x:c r="K255" s="14" t="str">
        <x:v>格付け;第2級;bordeaux_1855_sauternes</x:v>
      </x:c>
      <x:c r="L255" s="14" t="str"/>
      <x:c r="M255" s="14" t="str">
        <x:v>bordeaux_1855_official</x:v>
      </x:c>
      <x:c r="N255" s="14" t="str">
        <x:v>2026-07-12</x:v>
      </x:c>
      <x:c r="O255" s="14" t="str">
        <x:v>Y</x:v>
      </x:c>
    </x:row>
    <x:row r="256" ht="15" hidden="0" customHeight="1">
      <x:c r="A256" s="14" t="str">
        <x:v>term-9492e0605d9a</x:v>
      </x:c>
      <x:c r="B256" s="14" t="str">
        <x:v>Château Ducru-Beaucaillou</x:v>
      </x:c>
      <x:c r="C256" s="14" t="str"/>
      <x:c r="D256" s="14" t="str">
        <x:v>Château Ducru-Beaucaillou</x:v>
      </x:c>
      <x:c r="E256" s="14" t="str"/>
      <x:c r="F256" s="14" t="str">
        <x:v>生産者</x:v>
      </x:c>
      <x:c r="G256" s="14" t="str">
        <x:v>Château Ducru-BeaucaillouはSaint-Julienの第2級。</x:v>
      </x:c>
      <x:c r="H256" s="14" t="str">
        <x:v>Château Ducru-BeaucaillouはSaint-Julienの第2級。</x:v>
      </x:c>
      <x:c r="I256" s="14" t="str">
        <x:v>フランス</x:v>
      </x:c>
      <x:c r="J256" s="14" t="str">
        <x:v>Saint-Julien</x:v>
      </x:c>
      <x:c r="K256" s="14" t="str">
        <x:v>格付け;第2級;bordeaux_1855_medoc</x:v>
      </x:c>
      <x:c r="L256" s="14" t="str"/>
      <x:c r="M256" s="14" t="str">
        <x:v>bordeaux_1855_official</x:v>
      </x:c>
      <x:c r="N256" s="14" t="str">
        <x:v>2026-07-12</x:v>
      </x:c>
      <x:c r="O256" s="14" t="str">
        <x:v>Y</x:v>
      </x:c>
    </x:row>
    <x:row r="257" ht="15" hidden="0" customHeight="1">
      <x:c r="A257" s="14" t="str">
        <x:v>term-f12a75b35596</x:v>
      </x:c>
      <x:c r="B257" s="14" t="str">
        <x:v>Château Duhart-Milon</x:v>
      </x:c>
      <x:c r="C257" s="14" t="str"/>
      <x:c r="D257" s="14" t="str">
        <x:v>Château Duhart-Milon</x:v>
      </x:c>
      <x:c r="E257" s="14" t="str"/>
      <x:c r="F257" s="14" t="str">
        <x:v>生産者</x:v>
      </x:c>
      <x:c r="G257" s="14" t="str">
        <x:v>Château Duhart-MilonはPauillacの第4級。</x:v>
      </x:c>
      <x:c r="H257" s="14" t="str">
        <x:v>Château Duhart-MilonはPauillacの第4級。</x:v>
      </x:c>
      <x:c r="I257" s="14" t="str">
        <x:v>フランス</x:v>
      </x:c>
      <x:c r="J257" s="14" t="str">
        <x:v>Pauillac</x:v>
      </x:c>
      <x:c r="K257" s="14" t="str">
        <x:v>格付け;第4級;bordeaux_1855_medoc</x:v>
      </x:c>
      <x:c r="L257" s="14" t="str"/>
      <x:c r="M257" s="14" t="str">
        <x:v>bordeaux_1855_official</x:v>
      </x:c>
      <x:c r="N257" s="14" t="str">
        <x:v>2026-07-12</x:v>
      </x:c>
      <x:c r="O257" s="14" t="str">
        <x:v>Y</x:v>
      </x:c>
    </x:row>
    <x:row r="258" ht="15" hidden="0" customHeight="1">
      <x:c r="A258" s="14" t="str">
        <x:v>term-a044aab59d7d</x:v>
      </x:c>
      <x:c r="B258" s="14" t="str">
        <x:v>Château Durfort-Vivens</x:v>
      </x:c>
      <x:c r="C258" s="14" t="str"/>
      <x:c r="D258" s="14" t="str">
        <x:v>Château Durfort-Vivens</x:v>
      </x:c>
      <x:c r="E258" s="14" t="str"/>
      <x:c r="F258" s="14" t="str">
        <x:v>生産者</x:v>
      </x:c>
      <x:c r="G258" s="14" t="str">
        <x:v>Château Durfort-VivensはMargauxの第2級。</x:v>
      </x:c>
      <x:c r="H258" s="14" t="str">
        <x:v>Château Durfort-VivensはMargauxの第2級。</x:v>
      </x:c>
      <x:c r="I258" s="14" t="str">
        <x:v>フランス</x:v>
      </x:c>
      <x:c r="J258" s="14" t="str">
        <x:v>Margaux</x:v>
      </x:c>
      <x:c r="K258" s="14" t="str">
        <x:v>格付け;第2級;bordeaux_1855_medoc</x:v>
      </x:c>
      <x:c r="L258" s="14" t="str"/>
      <x:c r="M258" s="14" t="str">
        <x:v>bordeaux_1855_official</x:v>
      </x:c>
      <x:c r="N258" s="14" t="str">
        <x:v>2026-07-12</x:v>
      </x:c>
      <x:c r="O258" s="14" t="str">
        <x:v>Y</x:v>
      </x:c>
    </x:row>
    <x:row r="259" ht="26.399999618530273" hidden="0" customHeight="1">
      <x:c r="A259" s="14" t="str">
        <x:v>term-c2b3c142885d</x:v>
      </x:c>
      <x:c r="B259" s="14" t="str">
        <x:v>Château Faugères</x:v>
      </x:c>
      <x:c r="C259" s="14" t="str"/>
      <x:c r="D259" s="14" t="str">
        <x:v>Château Faugères</x:v>
      </x:c>
      <x:c r="E259" s="14" t="str"/>
      <x:c r="F259" s="14" t="str">
        <x:v>生産者</x:v>
      </x:c>
      <x:c r="G259" s="14" t="str">
        <x:v>Château FaugèresはSaint-ÉmilionのGrand Cru Classé。</x:v>
      </x:c>
      <x:c r="H259" s="14" t="str">
        <x:v>Château FaugèresはSaint-ÉmilionのGrand Cru Classé。</x:v>
      </x:c>
      <x:c r="I259" s="14" t="str">
        <x:v>フランス</x:v>
      </x:c>
      <x:c r="J259" s="14" t="str">
        <x:v>Saint-Émilion</x:v>
      </x:c>
      <x:c r="K259" s="14" t="str">
        <x:v>格付け;Grand Cru Classé;bordeaux_saint_emilion_2022</x:v>
      </x:c>
      <x:c r="L259" s="14" t="str"/>
      <x:c r="M259" s="14" t="str">
        <x:v>saint_emilion_2022_official</x:v>
      </x:c>
      <x:c r="N259" s="14" t="str">
        <x:v>2026-07-12</x:v>
      </x:c>
      <x:c r="O259" s="14" t="str">
        <x:v>Y</x:v>
      </x:c>
    </x:row>
    <x:row r="260" ht="15" hidden="0" customHeight="1">
      <x:c r="A260" s="14" t="str">
        <x:v>term-f9d4f2064433</x:v>
      </x:c>
      <x:c r="B260" s="14" t="str">
        <x:v>Château Ferriere</x:v>
      </x:c>
      <x:c r="C260" s="14" t="str"/>
      <x:c r="D260" s="14" t="str">
        <x:v>Château Ferriere</x:v>
      </x:c>
      <x:c r="E260" s="14" t="str"/>
      <x:c r="F260" s="14" t="str">
        <x:v>生産者</x:v>
      </x:c>
      <x:c r="G260" s="14" t="str">
        <x:v>Château FerriereはMargauxの第3級。</x:v>
      </x:c>
      <x:c r="H260" s="14" t="str">
        <x:v>Château FerriereはMargauxの第3級。</x:v>
      </x:c>
      <x:c r="I260" s="14" t="str">
        <x:v>フランス</x:v>
      </x:c>
      <x:c r="J260" s="14" t="str">
        <x:v>Margaux</x:v>
      </x:c>
      <x:c r="K260" s="14" t="str">
        <x:v>格付け;第3級;bordeaux_1855_medoc</x:v>
      </x:c>
      <x:c r="L260" s="14" t="str"/>
      <x:c r="M260" s="14" t="str">
        <x:v>bordeaux_1855_official</x:v>
      </x:c>
      <x:c r="N260" s="14" t="str">
        <x:v>2026-07-12</x:v>
      </x:c>
      <x:c r="O260" s="14" t="str">
        <x:v>Y</x:v>
      </x:c>
    </x:row>
    <x:row r="261" ht="26.399999618530273" hidden="0" customHeight="1">
      <x:c r="A261" s="14" t="str">
        <x:v>term-b63c8dfce054</x:v>
      </x:c>
      <x:c r="B261" s="14" t="str">
        <x:v>Château Figeac</x:v>
      </x:c>
      <x:c r="C261" s="14" t="str"/>
      <x:c r="D261" s="14" t="str">
        <x:v>Château Figeac</x:v>
      </x:c>
      <x:c r="E261" s="14" t="str"/>
      <x:c r="F261" s="14" t="str">
        <x:v>生産者</x:v>
      </x:c>
      <x:c r="G261" s="14" t="str">
        <x:v>Château FigeacはSaint-ÉmilionのPremier Grand Cru Classé A。</x:v>
      </x:c>
      <x:c r="H261" s="14" t="str">
        <x:v>Château FigeacはSaint-ÉmilionのPremier Grand Cru Classé A。</x:v>
      </x:c>
      <x:c r="I261" s="14" t="str">
        <x:v>フランス</x:v>
      </x:c>
      <x:c r="J261" s="14" t="str">
        <x:v>Saint-Émilion</x:v>
      </x:c>
      <x:c r="K261" s="14" t="str">
        <x:v>格付け;Premier Grand Cru Classé A;bordeaux_saint_emilion_2022</x:v>
      </x:c>
      <x:c r="L261" s="14" t="str"/>
      <x:c r="M261" s="14" t="str">
        <x:v>saint_emilion_2022_official</x:v>
      </x:c>
      <x:c r="N261" s="14" t="str">
        <x:v>2026-07-12</x:v>
      </x:c>
      <x:c r="O261" s="14" t="str">
        <x:v>Y</x:v>
      </x:c>
    </x:row>
    <x:row r="262" ht="26.399999618530273" hidden="0" customHeight="1">
      <x:c r="A262" s="14" t="str">
        <x:v>term-8f19e27eb59a</x:v>
      </x:c>
      <x:c r="B262" s="14" t="str">
        <x:v>Château Filhot</x:v>
      </x:c>
      <x:c r="C262" s="14" t="str"/>
      <x:c r="D262" s="14" t="str">
        <x:v>Château Filhot</x:v>
      </x:c>
      <x:c r="E262" s="14" t="str"/>
      <x:c r="F262" s="14" t="str">
        <x:v>生産者</x:v>
      </x:c>
      <x:c r="G262" s="14" t="str">
        <x:v>Château FilhotはSauternesの第2級。</x:v>
      </x:c>
      <x:c r="H262" s="14" t="str">
        <x:v>Château FilhotはSauternesの第2級。</x:v>
      </x:c>
      <x:c r="I262" s="14" t="str">
        <x:v>フランス</x:v>
      </x:c>
      <x:c r="J262" s="14" t="str">
        <x:v>Sauternes</x:v>
      </x:c>
      <x:c r="K262" s="14" t="str">
        <x:v>格付け;第2級;bordeaux_1855_sauternes</x:v>
      </x:c>
      <x:c r="L262" s="14" t="str"/>
      <x:c r="M262" s="14" t="str">
        <x:v>bordeaux_1855_official</x:v>
      </x:c>
      <x:c r="N262" s="14" t="str">
        <x:v>2026-07-12</x:v>
      </x:c>
      <x:c r="O262" s="14" t="str">
        <x:v>Y</x:v>
      </x:c>
    </x:row>
    <x:row r="263" ht="26.399999618530273" hidden="0" customHeight="1">
      <x:c r="A263" s="14" t="str">
        <x:v>term-6e77eb7b24d9</x:v>
      </x:c>
      <x:c r="B263" s="14" t="str">
        <x:v>Château Fleur Cardinale</x:v>
      </x:c>
      <x:c r="C263" s="14" t="str"/>
      <x:c r="D263" s="14" t="str">
        <x:v>Château Fleur Cardinale</x:v>
      </x:c>
      <x:c r="E263" s="14" t="str"/>
      <x:c r="F263" s="14" t="str">
        <x:v>生産者</x:v>
      </x:c>
      <x:c r="G263" s="14" t="str">
        <x:v>Château Fleur CardinaleはSaint-ÉmilionのGrand Cru Classé。</x:v>
      </x:c>
      <x:c r="H263" s="14" t="str">
        <x:v>Château Fleur CardinaleはSaint-ÉmilionのGrand Cru Classé。</x:v>
      </x:c>
      <x:c r="I263" s="14" t="str">
        <x:v>フランス</x:v>
      </x:c>
      <x:c r="J263" s="14" t="str">
        <x:v>Saint-Émilion</x:v>
      </x:c>
      <x:c r="K263" s="14" t="str">
        <x:v>格付け;Grand Cru Classé;bordeaux_saint_emilion_2022</x:v>
      </x:c>
      <x:c r="L263" s="14" t="str"/>
      <x:c r="M263" s="14" t="str">
        <x:v>saint_emilion_2022_official</x:v>
      </x:c>
      <x:c r="N263" s="14" t="str">
        <x:v>2026-07-12</x:v>
      </x:c>
      <x:c r="O263" s="14" t="str">
        <x:v>Y</x:v>
      </x:c>
    </x:row>
    <x:row r="264" ht="26.399999618530273" hidden="0" customHeight="1">
      <x:c r="A264" s="14" t="str">
        <x:v>term-06783d3ef46c</x:v>
      </x:c>
      <x:c r="B264" s="14" t="str">
        <x:v>Château Fombrauge</x:v>
      </x:c>
      <x:c r="C264" s="14" t="str"/>
      <x:c r="D264" s="14" t="str">
        <x:v>Château Fombrauge</x:v>
      </x:c>
      <x:c r="E264" s="14" t="str"/>
      <x:c r="F264" s="14" t="str">
        <x:v>生産者</x:v>
      </x:c>
      <x:c r="G264" s="14" t="str">
        <x:v>Château FombraugeはSaint-ÉmilionのGrand Cru Classé。</x:v>
      </x:c>
      <x:c r="H264" s="14" t="str">
        <x:v>Château FombraugeはSaint-ÉmilionのGrand Cru Classé。</x:v>
      </x:c>
      <x:c r="I264" s="14" t="str">
        <x:v>フランス</x:v>
      </x:c>
      <x:c r="J264" s="14" t="str">
        <x:v>Saint-Émilion</x:v>
      </x:c>
      <x:c r="K264" s="14" t="str">
        <x:v>格付け;Grand Cru Classé;bordeaux_saint_emilion_2022</x:v>
      </x:c>
      <x:c r="L264" s="14" t="str"/>
      <x:c r="M264" s="14" t="str">
        <x:v>saint_emilion_2022_official</x:v>
      </x:c>
      <x:c r="N264" s="14" t="str">
        <x:v>2026-07-12</x:v>
      </x:c>
      <x:c r="O264" s="14" t="str">
        <x:v>Y</x:v>
      </x:c>
    </x:row>
    <x:row r="265" ht="26.399999618530273" hidden="0" customHeight="1">
      <x:c r="A265" s="14" t="str">
        <x:v>term-a320e5a6741a</x:v>
      </x:c>
      <x:c r="B265" s="14" t="str">
        <x:v>Château Fonplégade</x:v>
      </x:c>
      <x:c r="C265" s="14" t="str"/>
      <x:c r="D265" s="14" t="str">
        <x:v>Château Fonplégade</x:v>
      </x:c>
      <x:c r="E265" s="14" t="str"/>
      <x:c r="F265" s="14" t="str">
        <x:v>生産者</x:v>
      </x:c>
      <x:c r="G265" s="14" t="str">
        <x:v>Château FonplégadeはSaint-ÉmilionのGrand Cru Classé。</x:v>
      </x:c>
      <x:c r="H265" s="14" t="str">
        <x:v>Château FonplégadeはSaint-ÉmilionのGrand Cru Classé。</x:v>
      </x:c>
      <x:c r="I265" s="14" t="str">
        <x:v>フランス</x:v>
      </x:c>
      <x:c r="J265" s="14" t="str">
        <x:v>Saint-Émilion</x:v>
      </x:c>
      <x:c r="K265" s="14" t="str">
        <x:v>格付け;Grand Cru Classé;bordeaux_saint_emilion_2022</x:v>
      </x:c>
      <x:c r="L265" s="14" t="str"/>
      <x:c r="M265" s="14" t="str">
        <x:v>saint_emilion_2022_official</x:v>
      </x:c>
      <x:c r="N265" s="14" t="str">
        <x:v>2026-07-12</x:v>
      </x:c>
      <x:c r="O265" s="14" t="str">
        <x:v>Y</x:v>
      </x:c>
    </x:row>
    <x:row r="266" ht="26.399999618530273" hidden="0" customHeight="1">
      <x:c r="A266" s="14" t="str">
        <x:v>term-691f2b97a580</x:v>
      </x:c>
      <x:c r="B266" s="14" t="str">
        <x:v>Château Fonroque</x:v>
      </x:c>
      <x:c r="C266" s="14" t="str"/>
      <x:c r="D266" s="14" t="str">
        <x:v>Château Fonroque</x:v>
      </x:c>
      <x:c r="E266" s="14" t="str"/>
      <x:c r="F266" s="14" t="str">
        <x:v>生産者</x:v>
      </x:c>
      <x:c r="G266" s="14" t="str">
        <x:v>Château FonroqueはSaint-ÉmilionのGrand Cru Classé。</x:v>
      </x:c>
      <x:c r="H266" s="14" t="str">
        <x:v>Château FonroqueはSaint-ÉmilionのGrand Cru Classé。</x:v>
      </x:c>
      <x:c r="I266" s="14" t="str">
        <x:v>フランス</x:v>
      </x:c>
      <x:c r="J266" s="14" t="str">
        <x:v>Saint-Émilion</x:v>
      </x:c>
      <x:c r="K266" s="14" t="str">
        <x:v>格付け;Grand Cru Classé;bordeaux_saint_emilion_2022</x:v>
      </x:c>
      <x:c r="L266" s="14" t="str"/>
      <x:c r="M266" s="14" t="str">
        <x:v>saint_emilion_2022_official</x:v>
      </x:c>
      <x:c r="N266" s="14" t="str">
        <x:v>2026-07-12</x:v>
      </x:c>
      <x:c r="O266" s="14" t="str">
        <x:v>Y</x:v>
      </x:c>
    </x:row>
    <x:row r="267" ht="26.399999618530273" hidden="0" customHeight="1">
      <x:c r="A267" s="14" t="str">
        <x:v>term-e3800eb1b69b</x:v>
      </x:c>
      <x:c r="B267" s="14" t="str">
        <x:v>Château Franc Mayne</x:v>
      </x:c>
      <x:c r="C267" s="14" t="str"/>
      <x:c r="D267" s="14" t="str">
        <x:v>Château Franc Mayne</x:v>
      </x:c>
      <x:c r="E267" s="14" t="str"/>
      <x:c r="F267" s="14" t="str">
        <x:v>生産者</x:v>
      </x:c>
      <x:c r="G267" s="14" t="str">
        <x:v>Château Franc MayneはSaint-ÉmilionのGrand Cru Classé。</x:v>
      </x:c>
      <x:c r="H267" s="14" t="str">
        <x:v>Château Franc MayneはSaint-ÉmilionのGrand Cru Classé。</x:v>
      </x:c>
      <x:c r="I267" s="14" t="str">
        <x:v>フランス</x:v>
      </x:c>
      <x:c r="J267" s="14" t="str">
        <x:v>Saint-Émilion</x:v>
      </x:c>
      <x:c r="K267" s="14" t="str">
        <x:v>格付け;Grand Cru Classé;bordeaux_saint_emilion_2022</x:v>
      </x:c>
      <x:c r="L267" s="14" t="str"/>
      <x:c r="M267" s="14" t="str">
        <x:v>saint_emilion_2022_official</x:v>
      </x:c>
      <x:c r="N267" s="14" t="str">
        <x:v>2026-07-12</x:v>
      </x:c>
      <x:c r="O267" s="14" t="str">
        <x:v>Y</x:v>
      </x:c>
    </x:row>
    <x:row r="268" ht="15" hidden="0" customHeight="1">
      <x:c r="A268" s="14" t="str">
        <x:v>term-82a0094ae469</x:v>
      </x:c>
      <x:c r="B268" s="14" t="str">
        <x:v>Château Giscours</x:v>
      </x:c>
      <x:c r="C268" s="14" t="str"/>
      <x:c r="D268" s="14" t="str">
        <x:v>Château Giscours</x:v>
      </x:c>
      <x:c r="E268" s="14" t="str"/>
      <x:c r="F268" s="14" t="str">
        <x:v>生産者</x:v>
      </x:c>
      <x:c r="G268" s="14" t="str">
        <x:v>Château GiscoursはMargauxの第3級。</x:v>
      </x:c>
      <x:c r="H268" s="14" t="str">
        <x:v>Château GiscoursはMargauxの第3級。</x:v>
      </x:c>
      <x:c r="I268" s="14" t="str">
        <x:v>フランス</x:v>
      </x:c>
      <x:c r="J268" s="14" t="str">
        <x:v>Margaux</x:v>
      </x:c>
      <x:c r="K268" s="14" t="str">
        <x:v>格付け;第3級;bordeaux_1855_medoc</x:v>
      </x:c>
      <x:c r="L268" s="14" t="str"/>
      <x:c r="M268" s="14" t="str">
        <x:v>bordeaux_1855_official</x:v>
      </x:c>
      <x:c r="N268" s="14" t="str">
        <x:v>2026-07-12</x:v>
      </x:c>
      <x:c r="O268" s="14" t="str">
        <x:v>Y</x:v>
      </x:c>
    </x:row>
    <x:row r="269" ht="26.399999618530273" hidden="0" customHeight="1">
      <x:c r="A269" s="14" t="str">
        <x:v>term-da727bcd2392</x:v>
      </x:c>
      <x:c r="B269" s="14" t="str">
        <x:v>Château Grand Corbin</x:v>
      </x:c>
      <x:c r="C269" s="14" t="str"/>
      <x:c r="D269" s="14" t="str">
        <x:v>Château Grand Corbin</x:v>
      </x:c>
      <x:c r="E269" s="14" t="str"/>
      <x:c r="F269" s="14" t="str">
        <x:v>生産者</x:v>
      </x:c>
      <x:c r="G269" s="14" t="str">
        <x:v>Château Grand CorbinはSaint-ÉmilionのGrand Cru Classé。</x:v>
      </x:c>
      <x:c r="H269" s="14" t="str">
        <x:v>Château Grand CorbinはSaint-ÉmilionのGrand Cru Classé。</x:v>
      </x:c>
      <x:c r="I269" s="14" t="str">
        <x:v>フランス</x:v>
      </x:c>
      <x:c r="J269" s="14" t="str">
        <x:v>Saint-Émilion</x:v>
      </x:c>
      <x:c r="K269" s="14" t="str">
        <x:v>格付け;Grand Cru Classé;bordeaux_saint_emilion_2022</x:v>
      </x:c>
      <x:c r="L269" s="14" t="str"/>
      <x:c r="M269" s="14" t="str">
        <x:v>saint_emilion_2022_official</x:v>
      </x:c>
      <x:c r="N269" s="14" t="str">
        <x:v>2026-07-12</x:v>
      </x:c>
      <x:c r="O269" s="14" t="str">
        <x:v>Y</x:v>
      </x:c>
    </x:row>
    <x:row r="270" ht="26.399999618530273" hidden="0" customHeight="1">
      <x:c r="A270" s="14" t="str">
        <x:v>term-ab40042320f1</x:v>
      </x:c>
      <x:c r="B270" s="14" t="str">
        <x:v>Château Grand Corbin-Despagne</x:v>
      </x:c>
      <x:c r="C270" s="14" t="str"/>
      <x:c r="D270" s="14" t="str">
        <x:v>Château Grand Corbin-Despagne</x:v>
      </x:c>
      <x:c r="E270" s="14" t="str"/>
      <x:c r="F270" s="14" t="str">
        <x:v>生産者</x:v>
      </x:c>
      <x:c r="G270" s="14" t="str">
        <x:v>Château Grand Corbin-DespagneはSaint-ÉmilionのGrand Cru Classé。</x:v>
      </x:c>
      <x:c r="H270" s="14" t="str">
        <x:v>Château Grand Corbin-DespagneはSaint-ÉmilionのGrand Cru Classé。</x:v>
      </x:c>
      <x:c r="I270" s="14" t="str">
        <x:v>フランス</x:v>
      </x:c>
      <x:c r="J270" s="14" t="str">
        <x:v>Saint-Émilion</x:v>
      </x:c>
      <x:c r="K270" s="14" t="str">
        <x:v>格付け;Grand Cru Classé;bordeaux_saint_emilion_2022</x:v>
      </x:c>
      <x:c r="L270" s="14" t="str"/>
      <x:c r="M270" s="14" t="str">
        <x:v>saint_emilion_2022_official</x:v>
      </x:c>
      <x:c r="N270" s="14" t="str">
        <x:v>2026-07-12</x:v>
      </x:c>
      <x:c r="O270" s="14" t="str">
        <x:v>Y</x:v>
      </x:c>
    </x:row>
    <x:row r="271" ht="26.399999618530273" hidden="0" customHeight="1">
      <x:c r="A271" s="14" t="str">
        <x:v>term-f14f7402b96b</x:v>
      </x:c>
      <x:c r="B271" s="14" t="str">
        <x:v>Château Grand Mayne</x:v>
      </x:c>
      <x:c r="C271" s="14" t="str"/>
      <x:c r="D271" s="14" t="str">
        <x:v>Château Grand Mayne</x:v>
      </x:c>
      <x:c r="E271" s="14" t="str"/>
      <x:c r="F271" s="14" t="str">
        <x:v>生産者</x:v>
      </x:c>
      <x:c r="G271" s="14" t="str">
        <x:v>Château Grand MayneはSaint-ÉmilionのGrand Cru Classé。</x:v>
      </x:c>
      <x:c r="H271" s="14" t="str">
        <x:v>Château Grand MayneはSaint-ÉmilionのGrand Cru Classé。</x:v>
      </x:c>
      <x:c r="I271" s="14" t="str">
        <x:v>フランス</x:v>
      </x:c>
      <x:c r="J271" s="14" t="str">
        <x:v>Saint-Émilion</x:v>
      </x:c>
      <x:c r="K271" s="14" t="str">
        <x:v>格付け;Grand Cru Classé;bordeaux_saint_emilion_2022</x:v>
      </x:c>
      <x:c r="L271" s="14" t="str"/>
      <x:c r="M271" s="14" t="str">
        <x:v>saint_emilion_2022_official</x:v>
      </x:c>
      <x:c r="N271" s="14" t="str">
        <x:v>2026-07-12</x:v>
      </x:c>
      <x:c r="O271" s="14" t="str">
        <x:v>Y</x:v>
      </x:c>
    </x:row>
    <x:row r="272" ht="15" hidden="0" customHeight="1">
      <x:c r="A272" s="14" t="str">
        <x:v>term-1da2d73a38a4</x:v>
      </x:c>
      <x:c r="B272" s="14" t="str">
        <x:v>Château Grand-Puy Ducasse</x:v>
      </x:c>
      <x:c r="C272" s="14" t="str"/>
      <x:c r="D272" s="14" t="str">
        <x:v>Château Grand-Puy Ducasse</x:v>
      </x:c>
      <x:c r="E272" s="14" t="str"/>
      <x:c r="F272" s="14" t="str">
        <x:v>生産者</x:v>
      </x:c>
      <x:c r="G272" s="14" t="str">
        <x:v>Château Grand-Puy DucasseはPauillacの第5級。</x:v>
      </x:c>
      <x:c r="H272" s="14" t="str">
        <x:v>Château Grand-Puy DucasseはPauillacの第5級。</x:v>
      </x:c>
      <x:c r="I272" s="14" t="str">
        <x:v>フランス</x:v>
      </x:c>
      <x:c r="J272" s="14" t="str">
        <x:v>Pauillac</x:v>
      </x:c>
      <x:c r="K272" s="14" t="str">
        <x:v>格付け;第5級;bordeaux_1855_medoc</x:v>
      </x:c>
      <x:c r="L272" s="14" t="str"/>
      <x:c r="M272" s="14" t="str">
        <x:v>bordeaux_1855_official</x:v>
      </x:c>
      <x:c r="N272" s="14" t="str">
        <x:v>2026-07-12</x:v>
      </x:c>
      <x:c r="O272" s="14" t="str">
        <x:v>Y</x:v>
      </x:c>
    </x:row>
    <x:row r="273" ht="15" hidden="0" customHeight="1">
      <x:c r="A273" s="14" t="str">
        <x:v>term-b9613ffd4ae7</x:v>
      </x:c>
      <x:c r="B273" s="14" t="str">
        <x:v>Château Grand-Puy-Lacoste</x:v>
      </x:c>
      <x:c r="C273" s="14" t="str"/>
      <x:c r="D273" s="14" t="str">
        <x:v>Château Grand-Puy-Lacoste</x:v>
      </x:c>
      <x:c r="E273" s="14" t="str"/>
      <x:c r="F273" s="14" t="str">
        <x:v>生産者</x:v>
      </x:c>
      <x:c r="G273" s="14" t="str">
        <x:v>Château Grand-Puy-LacosteはPauillacの第5級。</x:v>
      </x:c>
      <x:c r="H273" s="14" t="str">
        <x:v>Château Grand-Puy-LacosteはPauillacの第5級。</x:v>
      </x:c>
      <x:c r="I273" s="14" t="str">
        <x:v>フランス</x:v>
      </x:c>
      <x:c r="J273" s="14" t="str">
        <x:v>Pauillac</x:v>
      </x:c>
      <x:c r="K273" s="14" t="str">
        <x:v>格付け;第5級;bordeaux_1855_medoc</x:v>
      </x:c>
      <x:c r="L273" s="14" t="str"/>
      <x:c r="M273" s="14" t="str">
        <x:v>bordeaux_1855_official</x:v>
      </x:c>
      <x:c r="N273" s="14" t="str">
        <x:v>2026-07-12</x:v>
      </x:c>
      <x:c r="O273" s="14" t="str">
        <x:v>Y</x:v>
      </x:c>
    </x:row>
    <x:row r="274" ht="15" hidden="0" customHeight="1">
      <x:c r="A274" s="14" t="str">
        <x:v>term-587df26dad0e</x:v>
      </x:c>
      <x:c r="B274" s="14" t="str">
        <x:v>Château Gruaud Larose</x:v>
      </x:c>
      <x:c r="C274" s="14" t="str"/>
      <x:c r="D274" s="14" t="str">
        <x:v>Château Gruaud Larose</x:v>
      </x:c>
      <x:c r="E274" s="14" t="str"/>
      <x:c r="F274" s="14" t="str">
        <x:v>生産者</x:v>
      </x:c>
      <x:c r="G274" s="14" t="str">
        <x:v>Château Gruaud LaroseはSaint-Julienの第2級。</x:v>
      </x:c>
      <x:c r="H274" s="14" t="str">
        <x:v>Château Gruaud LaroseはSaint-Julienの第2級。</x:v>
      </x:c>
      <x:c r="I274" s="14" t="str">
        <x:v>フランス</x:v>
      </x:c>
      <x:c r="J274" s="14" t="str">
        <x:v>Saint-Julien</x:v>
      </x:c>
      <x:c r="K274" s="14" t="str">
        <x:v>格付け;第2級;bordeaux_1855_medoc</x:v>
      </x:c>
      <x:c r="L274" s="14" t="str"/>
      <x:c r="M274" s="14" t="str">
        <x:v>bordeaux_1855_official</x:v>
      </x:c>
      <x:c r="N274" s="14" t="str">
        <x:v>2026-07-12</x:v>
      </x:c>
      <x:c r="O274" s="14" t="str">
        <x:v>Y</x:v>
      </x:c>
    </x:row>
    <x:row r="275" ht="26.399999618530273" hidden="0" customHeight="1">
      <x:c r="A275" s="14" t="str">
        <x:v>term-dd2f0657db4c</x:v>
      </x:c>
      <x:c r="B275" s="14" t="str">
        <x:v>Château Guadet</x:v>
      </x:c>
      <x:c r="C275" s="14" t="str"/>
      <x:c r="D275" s="14" t="str">
        <x:v>Château Guadet</x:v>
      </x:c>
      <x:c r="E275" s="14" t="str"/>
      <x:c r="F275" s="14" t="str">
        <x:v>生産者</x:v>
      </x:c>
      <x:c r="G275" s="14" t="str">
        <x:v>Château GuadetはSaint-ÉmilionのGrand Cru Classé。</x:v>
      </x:c>
      <x:c r="H275" s="14" t="str">
        <x:v>Château GuadetはSaint-ÉmilionのGrand Cru Classé。</x:v>
      </x:c>
      <x:c r="I275" s="14" t="str">
        <x:v>フランス</x:v>
      </x:c>
      <x:c r="J275" s="14" t="str">
        <x:v>Saint-Émilion</x:v>
      </x:c>
      <x:c r="K275" s="14" t="str">
        <x:v>格付け;Grand Cru Classé;bordeaux_saint_emilion_2022</x:v>
      </x:c>
      <x:c r="L275" s="14" t="str"/>
      <x:c r="M275" s="14" t="str">
        <x:v>saint_emilion_2022_official</x:v>
      </x:c>
      <x:c r="N275" s="14" t="str">
        <x:v>2026-07-12</x:v>
      </x:c>
      <x:c r="O275" s="14" t="str">
        <x:v>Y</x:v>
      </x:c>
    </x:row>
    <x:row r="276" ht="26.399999618530273" hidden="0" customHeight="1">
      <x:c r="A276" s="14" t="str">
        <x:v>term-ff10e85bda52</x:v>
      </x:c>
      <x:c r="B276" s="14" t="str">
        <x:v>Château Guiraud</x:v>
      </x:c>
      <x:c r="C276" s="14" t="str"/>
      <x:c r="D276" s="14" t="str">
        <x:v>Château Guiraud</x:v>
      </x:c>
      <x:c r="E276" s="14" t="str"/>
      <x:c r="F276" s="14" t="str">
        <x:v>生産者</x:v>
      </x:c>
      <x:c r="G276" s="14" t="str">
        <x:v>Château GuiraudはSauternesの第1級。</x:v>
      </x:c>
      <x:c r="H276" s="14" t="str">
        <x:v>Château GuiraudはSauternesの第1級。</x:v>
      </x:c>
      <x:c r="I276" s="14" t="str">
        <x:v>フランス</x:v>
      </x:c>
      <x:c r="J276" s="14" t="str">
        <x:v>Sauternes</x:v>
      </x:c>
      <x:c r="K276" s="14" t="str">
        <x:v>格付け;第1級;bordeaux_1855_sauternes</x:v>
      </x:c>
      <x:c r="L276" s="14" t="str"/>
      <x:c r="M276" s="14" t="str">
        <x:v>bordeaux_1855_official</x:v>
      </x:c>
      <x:c r="N276" s="14" t="str">
        <x:v>2026-07-12</x:v>
      </x:c>
      <x:c r="O276" s="14" t="str">
        <x:v>Y</x:v>
      </x:c>
    </x:row>
    <x:row r="277" ht="15" hidden="0" customHeight="1">
      <x:c r="A277" s="14" t="str">
        <x:v>term-20fcb06a55bd</x:v>
      </x:c>
      <x:c r="B277" s="14" t="str">
        <x:v>Château Haut-Bages Liberal</x:v>
      </x:c>
      <x:c r="C277" s="14" t="str"/>
      <x:c r="D277" s="14" t="str">
        <x:v>Château Haut-Bages Liberal</x:v>
      </x:c>
      <x:c r="E277" s="14" t="str"/>
      <x:c r="F277" s="14" t="str">
        <x:v>生産者</x:v>
      </x:c>
      <x:c r="G277" s="14" t="str">
        <x:v>Château Haut-Bages LiberalはPauillacの第5級。</x:v>
      </x:c>
      <x:c r="H277" s="14" t="str">
        <x:v>Château Haut-Bages LiberalはPauillacの第5級。</x:v>
      </x:c>
      <x:c r="I277" s="14" t="str">
        <x:v>フランス</x:v>
      </x:c>
      <x:c r="J277" s="14" t="str">
        <x:v>Pauillac</x:v>
      </x:c>
      <x:c r="K277" s="14" t="str">
        <x:v>格付け;第5級;bordeaux_1855_medoc</x:v>
      </x:c>
      <x:c r="L277" s="14" t="str"/>
      <x:c r="M277" s="14" t="str">
        <x:v>bordeaux_1855_official</x:v>
      </x:c>
      <x:c r="N277" s="14" t="str">
        <x:v>2026-07-12</x:v>
      </x:c>
      <x:c r="O277" s="14" t="str">
        <x:v>Y</x:v>
      </x:c>
    </x:row>
    <x:row r="278" ht="26.399999618530273" hidden="0" customHeight="1">
      <x:c r="A278" s="14" t="str">
        <x:v>term-13701d39effc</x:v>
      </x:c>
      <x:c r="B278" s="14" t="str">
        <x:v>Château Haut-Bailly</x:v>
      </x:c>
      <x:c r="C278" s="14" t="str"/>
      <x:c r="D278" s="14" t="str">
        <x:v>Château Haut-Bailly</x:v>
      </x:c>
      <x:c r="E278" s="14" t="str"/>
      <x:c r="F278" s="14" t="str">
        <x:v>生産者</x:v>
      </x:c>
      <x:c r="G278" s="14" t="str">
        <x:v>Château Haut-BaillyはPessac-LéognanのCru Classé de Graves。</x:v>
      </x:c>
      <x:c r="H278" s="14" t="str">
        <x:v>Château Haut-BaillyはPessac-LéognanのCru Classé de Graves。</x:v>
      </x:c>
      <x:c r="I278" s="14" t="str">
        <x:v>フランス</x:v>
      </x:c>
      <x:c r="J278" s="14" t="str">
        <x:v>Pessac-Léognan</x:v>
      </x:c>
      <x:c r="K278" s="14" t="str">
        <x:v>格付け;Cru Classé de Graves;bordeaux_graves</x:v>
      </x:c>
      <x:c r="L278" s="14" t="str"/>
      <x:c r="M278" s="14" t="str">
        <x:v>bordeaux_graves_official</x:v>
      </x:c>
      <x:c r="N278" s="14" t="str">
        <x:v>2026-07-12</x:v>
      </x:c>
      <x:c r="O278" s="14" t="str">
        <x:v>Y</x:v>
      </x:c>
    </x:row>
    <x:row r="279" ht="15" hidden="0" customHeight="1">
      <x:c r="A279" s="14" t="str">
        <x:v>term-6fe5bb51e3bb</x:v>
      </x:c>
      <x:c r="B279" s="14" t="str">
        <x:v>Château Haut-Batailley</x:v>
      </x:c>
      <x:c r="C279" s="14" t="str"/>
      <x:c r="D279" s="14" t="str">
        <x:v>Château Haut-Batailley</x:v>
      </x:c>
      <x:c r="E279" s="14" t="str"/>
      <x:c r="F279" s="14" t="str">
        <x:v>生産者</x:v>
      </x:c>
      <x:c r="G279" s="14" t="str">
        <x:v>Château Haut-BatailleyはPauillacの第5級。</x:v>
      </x:c>
      <x:c r="H279" s="14" t="str">
        <x:v>Château Haut-BatailleyはPauillacの第5級。</x:v>
      </x:c>
      <x:c r="I279" s="14" t="str">
        <x:v>フランス</x:v>
      </x:c>
      <x:c r="J279" s="14" t="str">
        <x:v>Pauillac</x:v>
      </x:c>
      <x:c r="K279" s="14" t="str">
        <x:v>格付け;第5級;bordeaux_1855_medoc</x:v>
      </x:c>
      <x:c r="L279" s="14" t="str"/>
      <x:c r="M279" s="14" t="str">
        <x:v>bordeaux_1855_official</x:v>
      </x:c>
      <x:c r="N279" s="14" t="str">
        <x:v>2026-07-12</x:v>
      </x:c>
      <x:c r="O279" s="14" t="str">
        <x:v>Y</x:v>
      </x:c>
    </x:row>
    <x:row r="280" ht="15" hidden="0" customHeight="1">
      <x:c r="A280" s="14" t="str">
        <x:v>term-79d2d1c223fe</x:v>
      </x:c>
      <x:c r="B280" s="14" t="str">
        <x:v>Château Haut-Brion</x:v>
      </x:c>
      <x:c r="C280" s="14" t="str"/>
      <x:c r="D280" s="14" t="str">
        <x:v>Château Haut-Brion</x:v>
      </x:c>
      <x:c r="E280" s="14" t="str"/>
      <x:c r="F280" s="14" t="str">
        <x:v>生産者</x:v>
      </x:c>
      <x:c r="G280" s="14" t="str">
        <x:v>Château Haut-BrionはPessacの第1級。</x:v>
      </x:c>
      <x:c r="H280" s="14" t="str">
        <x:v>Château Haut-BrionはPessacの第1級。</x:v>
      </x:c>
      <x:c r="I280" s="14" t="str">
        <x:v>フランス</x:v>
      </x:c>
      <x:c r="J280" s="14" t="str">
        <x:v>Pessac</x:v>
      </x:c>
      <x:c r="K280" s="14" t="str">
        <x:v>格付け;第1級;bordeaux_1855_medoc</x:v>
      </x:c>
      <x:c r="L280" s="14" t="str"/>
      <x:c r="M280" s="14" t="str">
        <x:v>bordeaux_1855_official</x:v>
      </x:c>
      <x:c r="N280" s="14" t="str">
        <x:v>2026-07-12</x:v>
      </x:c>
      <x:c r="O280" s="14" t="str">
        <x:v>Y</x:v>
      </x:c>
    </x:row>
    <x:row r="281" ht="26.399999618530273" hidden="0" customHeight="1">
      <x:c r="A281" s="14" t="str">
        <x:v>term-20c6c72656a7</x:v>
      </x:c>
      <x:c r="B281" s="14" t="str">
        <x:v>Château Haut-Sarpe</x:v>
      </x:c>
      <x:c r="C281" s="14" t="str"/>
      <x:c r="D281" s="14" t="str">
        <x:v>Château Haut-Sarpe</x:v>
      </x:c>
      <x:c r="E281" s="14" t="str"/>
      <x:c r="F281" s="14" t="str">
        <x:v>生産者</x:v>
      </x:c>
      <x:c r="G281" s="14" t="str">
        <x:v>Château Haut-SarpeはSaint-ÉmilionのGrand Cru Classé。</x:v>
      </x:c>
      <x:c r="H281" s="14" t="str">
        <x:v>Château Haut-SarpeはSaint-ÉmilionのGrand Cru Classé。</x:v>
      </x:c>
      <x:c r="I281" s="14" t="str">
        <x:v>フランス</x:v>
      </x:c>
      <x:c r="J281" s="14" t="str">
        <x:v>Saint-Émilion</x:v>
      </x:c>
      <x:c r="K281" s="14" t="str">
        <x:v>格付け;Grand Cru Classé;bordeaux_saint_emilion_2022</x:v>
      </x:c>
      <x:c r="L281" s="14" t="str"/>
      <x:c r="M281" s="14" t="str">
        <x:v>saint_emilion_2022_official</x:v>
      </x:c>
      <x:c r="N281" s="14" t="str">
        <x:v>2026-07-12</x:v>
      </x:c>
      <x:c r="O281" s="14" t="str">
        <x:v>Y</x:v>
      </x:c>
    </x:row>
    <x:row r="282" ht="26.399999618530273" hidden="0" customHeight="1">
      <x:c r="A282" s="14" t="str">
        <x:v>term-3e878e8ac52f</x:v>
      </x:c>
      <x:c r="B282" s="14" t="str">
        <x:v>Château Jean Faure</x:v>
      </x:c>
      <x:c r="C282" s="14" t="str"/>
      <x:c r="D282" s="14" t="str">
        <x:v>Château Jean Faure</x:v>
      </x:c>
      <x:c r="E282" s="14" t="str"/>
      <x:c r="F282" s="14" t="str">
        <x:v>生産者</x:v>
      </x:c>
      <x:c r="G282" s="14" t="str">
        <x:v>Château Jean FaureはSaint-ÉmilionのGrand Cru Classé。</x:v>
      </x:c>
      <x:c r="H282" s="14" t="str">
        <x:v>Château Jean FaureはSaint-ÉmilionのGrand Cru Classé。</x:v>
      </x:c>
      <x:c r="I282" s="14" t="str">
        <x:v>フランス</x:v>
      </x:c>
      <x:c r="J282" s="14" t="str">
        <x:v>Saint-Émilion</x:v>
      </x:c>
      <x:c r="K282" s="14" t="str">
        <x:v>格付け;Grand Cru Classé;bordeaux_saint_emilion_2022</x:v>
      </x:c>
      <x:c r="L282" s="14" t="str"/>
      <x:c r="M282" s="14" t="str">
        <x:v>saint_emilion_2022_official</x:v>
      </x:c>
      <x:c r="N282" s="14" t="str">
        <x:v>2026-07-12</x:v>
      </x:c>
      <x:c r="O282" s="14" t="str">
        <x:v>Y</x:v>
      </x:c>
    </x:row>
    <x:row r="283" ht="15" hidden="0" customHeight="1">
      <x:c r="A283" s="14" t="str">
        <x:v>term-0220bb557553</x:v>
      </x:c>
      <x:c r="B283" s="14" t="str">
        <x:v>Château Kirwan</x:v>
      </x:c>
      <x:c r="C283" s="14" t="str"/>
      <x:c r="D283" s="14" t="str">
        <x:v>Château Kirwan</x:v>
      </x:c>
      <x:c r="E283" s="14" t="str"/>
      <x:c r="F283" s="14" t="str">
        <x:v>生産者</x:v>
      </x:c>
      <x:c r="G283" s="14" t="str">
        <x:v>Château KirwanはMargauxの第3級。</x:v>
      </x:c>
      <x:c r="H283" s="14" t="str">
        <x:v>Château KirwanはMargauxの第3級。</x:v>
      </x:c>
      <x:c r="I283" s="14" t="str">
        <x:v>フランス</x:v>
      </x:c>
      <x:c r="J283" s="14" t="str">
        <x:v>Margaux</x:v>
      </x:c>
      <x:c r="K283" s="14" t="str">
        <x:v>格付け;第3級;bordeaux_1855_medoc</x:v>
      </x:c>
      <x:c r="L283" s="14" t="str"/>
      <x:c r="M283" s="14" t="str">
        <x:v>bordeaux_1855_official</x:v>
      </x:c>
      <x:c r="N283" s="14" t="str">
        <x:v>2026-07-12</x:v>
      </x:c>
      <x:c r="O283" s="14" t="str">
        <x:v>Y</x:v>
      </x:c>
    </x:row>
    <x:row r="284" ht="26.399999618530273" hidden="0" customHeight="1">
      <x:c r="A284" s="14" t="str">
        <x:v>term-e918c651f3e8</x:v>
      </x:c>
      <x:c r="B284" s="14" t="str">
        <x:v>Château La Fleur Morange</x:v>
      </x:c>
      <x:c r="C284" s="14" t="str"/>
      <x:c r="D284" s="14" t="str">
        <x:v>Château La Fleur Morange</x:v>
      </x:c>
      <x:c r="E284" s="14" t="str"/>
      <x:c r="F284" s="14" t="str">
        <x:v>生産者</x:v>
      </x:c>
      <x:c r="G284" s="14" t="str">
        <x:v>Château La Fleur MorangeはSaint-ÉmilionのGrand Cru Classé。</x:v>
      </x:c>
      <x:c r="H284" s="14" t="str">
        <x:v>Château La Fleur MorangeはSaint-ÉmilionのGrand Cru Classé。</x:v>
      </x:c>
      <x:c r="I284" s="14" t="str">
        <x:v>フランス</x:v>
      </x:c>
      <x:c r="J284" s="14" t="str">
        <x:v>Saint-Émilion</x:v>
      </x:c>
      <x:c r="K284" s="14" t="str">
        <x:v>格付け;Grand Cru Classé;bordeaux_saint_emilion_2022</x:v>
      </x:c>
      <x:c r="L284" s="14" t="str"/>
      <x:c r="M284" s="14" t="str">
        <x:v>saint_emilion_2022_official</x:v>
      </x:c>
      <x:c r="N284" s="14" t="str">
        <x:v>2026-07-12</x:v>
      </x:c>
      <x:c r="O284" s="14" t="str">
        <x:v>Y</x:v>
      </x:c>
    </x:row>
    <x:row r="285" ht="15" hidden="0" customHeight="1">
      <x:c r="A285" s="14" t="str">
        <x:v>term-077d1941f23a</x:v>
      </x:c>
      <x:c r="B285" s="14" t="str">
        <x:v>Château La Lagune</x:v>
      </x:c>
      <x:c r="C285" s="14" t="str"/>
      <x:c r="D285" s="14" t="str">
        <x:v>Château La Lagune</x:v>
      </x:c>
      <x:c r="E285" s="14" t="str"/>
      <x:c r="F285" s="14" t="str">
        <x:v>生産者</x:v>
      </x:c>
      <x:c r="G285" s="14" t="str">
        <x:v>Château La LaguneはHaut-Médocの第3級。</x:v>
      </x:c>
      <x:c r="H285" s="14" t="str">
        <x:v>Château La LaguneはHaut-Médocの第3級。</x:v>
      </x:c>
      <x:c r="I285" s="14" t="str">
        <x:v>フランス</x:v>
      </x:c>
      <x:c r="J285" s="14" t="str">
        <x:v>Haut-Médoc</x:v>
      </x:c>
      <x:c r="K285" s="14" t="str">
        <x:v>格付け;第3級;bordeaux_1855_medoc</x:v>
      </x:c>
      <x:c r="L285" s="14" t="str"/>
      <x:c r="M285" s="14" t="str">
        <x:v>bordeaux_1855_official</x:v>
      </x:c>
      <x:c r="N285" s="14" t="str">
        <x:v>2026-07-12</x:v>
      </x:c>
      <x:c r="O285" s="14" t="str">
        <x:v>Y</x:v>
      </x:c>
    </x:row>
    <x:row r="286" ht="26.399999618530273" hidden="0" customHeight="1">
      <x:c r="A286" s="14" t="str">
        <x:v>term-98842a010bd8</x:v>
      </x:c>
      <x:c r="B286" s="14" t="str">
        <x:v>Château La Mission Haut-Brion</x:v>
      </x:c>
      <x:c r="C286" s="14" t="str"/>
      <x:c r="D286" s="14" t="str">
        <x:v>Château La Mission Haut-Brion</x:v>
      </x:c>
      <x:c r="E286" s="14" t="str"/>
      <x:c r="F286" s="14" t="str">
        <x:v>生産者</x:v>
      </x:c>
      <x:c r="G286" s="14" t="str">
        <x:v>Château La Mission Haut-BrionはPessac-LéognanのCru Classé de Graves。</x:v>
      </x:c>
      <x:c r="H286" s="14" t="str">
        <x:v>Château La Mission Haut-BrionはPessac-LéognanのCru Classé de Graves。</x:v>
      </x:c>
      <x:c r="I286" s="14" t="str">
        <x:v>フランス</x:v>
      </x:c>
      <x:c r="J286" s="14" t="str">
        <x:v>Pessac-Léognan</x:v>
      </x:c>
      <x:c r="K286" s="14" t="str">
        <x:v>格付け;Cru Classé de Graves;bordeaux_graves</x:v>
      </x:c>
      <x:c r="L286" s="14" t="str"/>
      <x:c r="M286" s="14" t="str">
        <x:v>bordeaux_graves_official</x:v>
      </x:c>
      <x:c r="N286" s="14" t="str">
        <x:v>2026-07-12</x:v>
      </x:c>
      <x:c r="O286" s="14" t="str">
        <x:v>Y</x:v>
      </x:c>
    </x:row>
    <x:row r="287" ht="26.399999618530273" hidden="0" customHeight="1">
      <x:c r="A287" s="14" t="str">
        <x:v>term-61dc64e65db5</x:v>
      </x:c>
      <x:c r="B287" s="14" t="str">
        <x:v>Château La Tour Blanche</x:v>
      </x:c>
      <x:c r="C287" s="14" t="str"/>
      <x:c r="D287" s="14" t="str">
        <x:v>Château La Tour Blanche</x:v>
      </x:c>
      <x:c r="E287" s="14" t="str"/>
      <x:c r="F287" s="14" t="str">
        <x:v>生産者</x:v>
      </x:c>
      <x:c r="G287" s="14" t="str">
        <x:v>Château La Tour BlancheはSauternesの第1級。</x:v>
      </x:c>
      <x:c r="H287" s="14" t="str">
        <x:v>Château La Tour BlancheはSauternesの第1級。</x:v>
      </x:c>
      <x:c r="I287" s="14" t="str">
        <x:v>フランス</x:v>
      </x:c>
      <x:c r="J287" s="14" t="str">
        <x:v>Sauternes</x:v>
      </x:c>
      <x:c r="K287" s="14" t="str">
        <x:v>格付け;第1級;bordeaux_1855_sauternes</x:v>
      </x:c>
      <x:c r="L287" s="14" t="str"/>
      <x:c r="M287" s="14" t="str">
        <x:v>bordeaux_1855_official</x:v>
      </x:c>
      <x:c r="N287" s="14" t="str">
        <x:v>2026-07-12</x:v>
      </x:c>
      <x:c r="O287" s="14" t="str">
        <x:v>Y</x:v>
      </x:c>
    </x:row>
    <x:row r="288" ht="15" hidden="0" customHeight="1">
      <x:c r="A288" s="14" t="str">
        <x:v>term-e792497d8611</x:v>
      </x:c>
      <x:c r="B288" s="14" t="str">
        <x:v>Château La Tour Carnet</x:v>
      </x:c>
      <x:c r="C288" s="14" t="str"/>
      <x:c r="D288" s="14" t="str">
        <x:v>Château La Tour Carnet</x:v>
      </x:c>
      <x:c r="E288" s="14" t="str"/>
      <x:c r="F288" s="14" t="str">
        <x:v>生産者</x:v>
      </x:c>
      <x:c r="G288" s="14" t="str">
        <x:v>Château La Tour CarnetはHaut-Médocの第4級。</x:v>
      </x:c>
      <x:c r="H288" s="14" t="str">
        <x:v>Château La Tour CarnetはHaut-Médocの第4級。</x:v>
      </x:c>
      <x:c r="I288" s="14" t="str">
        <x:v>フランス</x:v>
      </x:c>
      <x:c r="J288" s="14" t="str">
        <x:v>Haut-Médoc</x:v>
      </x:c>
      <x:c r="K288" s="14" t="str">
        <x:v>格付け;第4級;bordeaux_1855_medoc</x:v>
      </x:c>
      <x:c r="L288" s="14" t="str"/>
      <x:c r="M288" s="14" t="str">
        <x:v>bordeaux_1855_official</x:v>
      </x:c>
      <x:c r="N288" s="14" t="str">
        <x:v>2026-07-12</x:v>
      </x:c>
      <x:c r="O288" s="14" t="str">
        <x:v>Y</x:v>
      </x:c>
    </x:row>
    <x:row r="289" ht="26.399999618530273" hidden="0" customHeight="1">
      <x:c r="A289" s="14" t="str">
        <x:v>term-b3159761ccf4</x:v>
      </x:c>
      <x:c r="B289" s="14" t="str">
        <x:v>Château Lafaurie-Peyraguey</x:v>
      </x:c>
      <x:c r="C289" s="14" t="str"/>
      <x:c r="D289" s="14" t="str">
        <x:v>Château Lafaurie-Peyraguey</x:v>
      </x:c>
      <x:c r="E289" s="14" t="str"/>
      <x:c r="F289" s="14" t="str">
        <x:v>生産者</x:v>
      </x:c>
      <x:c r="G289" s="14" t="str">
        <x:v>Château Lafaurie-PeyragueyはSauternesの第1級。</x:v>
      </x:c>
      <x:c r="H289" s="14" t="str">
        <x:v>Château Lafaurie-PeyragueyはSauternesの第1級。</x:v>
      </x:c>
      <x:c r="I289" s="14" t="str">
        <x:v>フランス</x:v>
      </x:c>
      <x:c r="J289" s="14" t="str">
        <x:v>Sauternes</x:v>
      </x:c>
      <x:c r="K289" s="14" t="str">
        <x:v>格付け;第1級;bordeaux_1855_sauternes</x:v>
      </x:c>
      <x:c r="L289" s="14" t="str"/>
      <x:c r="M289" s="14" t="str">
        <x:v>bordeaux_1855_official</x:v>
      </x:c>
      <x:c r="N289" s="14" t="str">
        <x:v>2026-07-12</x:v>
      </x:c>
      <x:c r="O289" s="14" t="str">
        <x:v>Y</x:v>
      </x:c>
    </x:row>
    <x:row r="290" ht="15" hidden="0" customHeight="1">
      <x:c r="A290" s="14" t="str">
        <x:v>term-f5b984f4cabc</x:v>
      </x:c>
      <x:c r="B290" s="14" t="str">
        <x:v>Château Lafite-Rothschild</x:v>
      </x:c>
      <x:c r="C290" s="14" t="str"/>
      <x:c r="D290" s="14" t="str">
        <x:v>Château Lafite-Rothschild</x:v>
      </x:c>
      <x:c r="E290" s="14" t="str"/>
      <x:c r="F290" s="14" t="str">
        <x:v>生産者</x:v>
      </x:c>
      <x:c r="G290" s="14" t="str">
        <x:v>Château Lafite-RothschildはPauillacの第1級。</x:v>
      </x:c>
      <x:c r="H290" s="14" t="str">
        <x:v>Château Lafite-RothschildはPauillacの第1級。</x:v>
      </x:c>
      <x:c r="I290" s="14" t="str">
        <x:v>フランス</x:v>
      </x:c>
      <x:c r="J290" s="14" t="str">
        <x:v>Pauillac</x:v>
      </x:c>
      <x:c r="K290" s="14" t="str">
        <x:v>格付け;第1級;bordeaux_1855_medoc</x:v>
      </x:c>
      <x:c r="L290" s="14" t="str"/>
      <x:c r="M290" s="14" t="str">
        <x:v>bordeaux_1855_official</x:v>
      </x:c>
      <x:c r="N290" s="14" t="str">
        <x:v>2026-07-12</x:v>
      </x:c>
      <x:c r="O290" s="14" t="str">
        <x:v>Y</x:v>
      </x:c>
    </x:row>
    <x:row r="291" ht="15" hidden="0" customHeight="1">
      <x:c r="A291" s="14" t="str">
        <x:v>term-71491c09b080</x:v>
      </x:c>
      <x:c r="B291" s="14" t="str">
        <x:v>Château Lafon-Rochet</x:v>
      </x:c>
      <x:c r="C291" s="14" t="str"/>
      <x:c r="D291" s="14" t="str">
        <x:v>Château Lafon-Rochet</x:v>
      </x:c>
      <x:c r="E291" s="14" t="str"/>
      <x:c r="F291" s="14" t="str">
        <x:v>生産者</x:v>
      </x:c>
      <x:c r="G291" s="14" t="str">
        <x:v>Château Lafon-RochetはSaint-Estèpheの第4級。</x:v>
      </x:c>
      <x:c r="H291" s="14" t="str">
        <x:v>Château Lafon-RochetはSaint-Estèpheの第4級。</x:v>
      </x:c>
      <x:c r="I291" s="14" t="str">
        <x:v>フランス</x:v>
      </x:c>
      <x:c r="J291" s="14" t="str">
        <x:v>Saint-Estèphe</x:v>
      </x:c>
      <x:c r="K291" s="14" t="str">
        <x:v>格付け;第4級;bordeaux_1855_medoc</x:v>
      </x:c>
      <x:c r="L291" s="14" t="str"/>
      <x:c r="M291" s="14" t="str">
        <x:v>bordeaux_1855_official</x:v>
      </x:c>
      <x:c r="N291" s="14" t="str">
        <x:v>2026-07-12</x:v>
      </x:c>
      <x:c r="O291" s="14" t="str">
        <x:v>Y</x:v>
      </x:c>
    </x:row>
    <x:row r="292" ht="15" hidden="0" customHeight="1">
      <x:c r="A292" s="14" t="str">
        <x:v>term-ce54f532f9f7</x:v>
      </x:c>
      <x:c r="B292" s="14" t="str">
        <x:v>Château Lagrange</x:v>
      </x:c>
      <x:c r="C292" s="14" t="str"/>
      <x:c r="D292" s="14" t="str">
        <x:v>Château Lagrange</x:v>
      </x:c>
      <x:c r="E292" s="14" t="str"/>
      <x:c r="F292" s="14" t="str">
        <x:v>生産者</x:v>
      </x:c>
      <x:c r="G292" s="14" t="str">
        <x:v>Château LagrangeはSaint-Julienの第3級。</x:v>
      </x:c>
      <x:c r="H292" s="14" t="str">
        <x:v>Château LagrangeはSaint-Julienの第3級。</x:v>
      </x:c>
      <x:c r="I292" s="14" t="str">
        <x:v>フランス</x:v>
      </x:c>
      <x:c r="J292" s="14" t="str">
        <x:v>Saint-Julien</x:v>
      </x:c>
      <x:c r="K292" s="14" t="str">
        <x:v>格付け;第3級;bordeaux_1855_medoc</x:v>
      </x:c>
      <x:c r="L292" s="14" t="str"/>
      <x:c r="M292" s="14" t="str">
        <x:v>bordeaux_1855_official</x:v>
      </x:c>
      <x:c r="N292" s="14" t="str">
        <x:v>2026-07-12</x:v>
      </x:c>
      <x:c r="O292" s="14" t="str">
        <x:v>Y</x:v>
      </x:c>
    </x:row>
    <x:row r="293" ht="26.399999618530273" hidden="0" customHeight="1">
      <x:c r="A293" s="14" t="str">
        <x:v>term-baf1de74a970</x:v>
      </x:c>
      <x:c r="B293" s="14" t="str">
        <x:v>Château Lamothe</x:v>
      </x:c>
      <x:c r="C293" s="14" t="str"/>
      <x:c r="D293" s="14" t="str">
        <x:v>Château Lamothe</x:v>
      </x:c>
      <x:c r="E293" s="14" t="str"/>
      <x:c r="F293" s="14" t="str">
        <x:v>生産者</x:v>
      </x:c>
      <x:c r="G293" s="14" t="str">
        <x:v>Château LamotheはSauternesの第2級。</x:v>
      </x:c>
      <x:c r="H293" s="14" t="str">
        <x:v>Château LamotheはSauternesの第2級。</x:v>
      </x:c>
      <x:c r="I293" s="14" t="str">
        <x:v>フランス</x:v>
      </x:c>
      <x:c r="J293" s="14" t="str">
        <x:v>Sauternes</x:v>
      </x:c>
      <x:c r="K293" s="14" t="str">
        <x:v>格付け;第2級;bordeaux_1855_sauternes</x:v>
      </x:c>
      <x:c r="L293" s="14" t="str"/>
      <x:c r="M293" s="14" t="str">
        <x:v>bordeaux_1855_official</x:v>
      </x:c>
      <x:c r="N293" s="14" t="str">
        <x:v>2026-07-12</x:v>
      </x:c>
      <x:c r="O293" s="14" t="str">
        <x:v>Y</x:v>
      </x:c>
    </x:row>
    <x:row r="294" ht="26.399999618530273" hidden="0" customHeight="1">
      <x:c r="A294" s="14" t="str">
        <x:v>term-7b28192e5d61</x:v>
      </x:c>
      <x:c r="B294" s="14" t="str">
        <x:v>Château Lamothe-Guignard</x:v>
      </x:c>
      <x:c r="C294" s="14" t="str"/>
      <x:c r="D294" s="14" t="str">
        <x:v>Château Lamothe-Guignard</x:v>
      </x:c>
      <x:c r="E294" s="14" t="str"/>
      <x:c r="F294" s="14" t="str">
        <x:v>生産者</x:v>
      </x:c>
      <x:c r="G294" s="14" t="str">
        <x:v>Château Lamothe-GuignardはSauternesの第2級。</x:v>
      </x:c>
      <x:c r="H294" s="14" t="str">
        <x:v>Château Lamothe-GuignardはSauternesの第2級。</x:v>
      </x:c>
      <x:c r="I294" s="14" t="str">
        <x:v>フランス</x:v>
      </x:c>
      <x:c r="J294" s="14" t="str">
        <x:v>Sauternes</x:v>
      </x:c>
      <x:c r="K294" s="14" t="str">
        <x:v>格付け;第2級;bordeaux_1855_sauternes</x:v>
      </x:c>
      <x:c r="L294" s="14" t="str"/>
      <x:c r="M294" s="14" t="str">
        <x:v>bordeaux_1855_official</x:v>
      </x:c>
      <x:c r="N294" s="14" t="str">
        <x:v>2026-07-12</x:v>
      </x:c>
      <x:c r="O294" s="14" t="str">
        <x:v>Y</x:v>
      </x:c>
    </x:row>
    <x:row r="295" ht="15" hidden="0" customHeight="1">
      <x:c r="A295" s="14" t="str">
        <x:v>term-e81d94fdb4f9</x:v>
      </x:c>
      <x:c r="B295" s="14" t="str">
        <x:v>Château Langoa Barton</x:v>
      </x:c>
      <x:c r="C295" s="14" t="str"/>
      <x:c r="D295" s="14" t="str">
        <x:v>Château Langoa Barton</x:v>
      </x:c>
      <x:c r="E295" s="14" t="str"/>
      <x:c r="F295" s="14" t="str">
        <x:v>生産者</x:v>
      </x:c>
      <x:c r="G295" s="14" t="str">
        <x:v>Château Langoa BartonはSaint-Julienの第3級。</x:v>
      </x:c>
      <x:c r="H295" s="14" t="str">
        <x:v>Château Langoa BartonはSaint-Julienの第3級。</x:v>
      </x:c>
      <x:c r="I295" s="14" t="str">
        <x:v>フランス</x:v>
      </x:c>
      <x:c r="J295" s="14" t="str">
        <x:v>Saint-Julien</x:v>
      </x:c>
      <x:c r="K295" s="14" t="str">
        <x:v>格付け;第3級;bordeaux_1855_medoc</x:v>
      </x:c>
      <x:c r="L295" s="14" t="str"/>
      <x:c r="M295" s="14" t="str">
        <x:v>bordeaux_1855_official</x:v>
      </x:c>
      <x:c r="N295" s="14" t="str">
        <x:v>2026-07-12</x:v>
      </x:c>
      <x:c r="O295" s="14" t="str">
        <x:v>Y</x:v>
      </x:c>
    </x:row>
    <x:row r="296" ht="26.399999618530273" hidden="0" customHeight="1">
      <x:c r="A296" s="14" t="str">
        <x:v>term-20eb33535c13</x:v>
      </x:c>
      <x:c r="B296" s="14" t="str">
        <x:v>Château Laniote</x:v>
      </x:c>
      <x:c r="C296" s="14" t="str"/>
      <x:c r="D296" s="14" t="str">
        <x:v>Château Laniote</x:v>
      </x:c>
      <x:c r="E296" s="14" t="str"/>
      <x:c r="F296" s="14" t="str">
        <x:v>生産者</x:v>
      </x:c>
      <x:c r="G296" s="14" t="str">
        <x:v>Château LanioteはSaint-ÉmilionのGrand Cru Classé。</x:v>
      </x:c>
      <x:c r="H296" s="14" t="str">
        <x:v>Château LanioteはSaint-ÉmilionのGrand Cru Classé。</x:v>
      </x:c>
      <x:c r="I296" s="14" t="str">
        <x:v>フランス</x:v>
      </x:c>
      <x:c r="J296" s="14" t="str">
        <x:v>Saint-Émilion</x:v>
      </x:c>
      <x:c r="K296" s="14" t="str">
        <x:v>格付け;Grand Cru Classé;bordeaux_saint_emilion_2022</x:v>
      </x:c>
      <x:c r="L296" s="14" t="str"/>
      <x:c r="M296" s="14" t="str">
        <x:v>saint_emilion_2022_official</x:v>
      </x:c>
      <x:c r="N296" s="14" t="str">
        <x:v>2026-07-12</x:v>
      </x:c>
      <x:c r="O296" s="14" t="str">
        <x:v>Y</x:v>
      </x:c>
    </x:row>
    <x:row r="297" ht="26.399999618530273" hidden="0" customHeight="1">
      <x:c r="A297" s="14" t="str">
        <x:v>term-801406d8b7a2</x:v>
      </x:c>
      <x:c r="B297" s="14" t="str">
        <x:v>Château Larcis Ducasse</x:v>
      </x:c>
      <x:c r="C297" s="14" t="str"/>
      <x:c r="D297" s="14" t="str">
        <x:v>Château Larcis Ducasse</x:v>
      </x:c>
      <x:c r="E297" s="14" t="str"/>
      <x:c r="F297" s="14" t="str">
        <x:v>生産者</x:v>
      </x:c>
      <x:c r="G297" s="14" t="str">
        <x:v>Château Larcis DucasseはSaint-ÉmilionのPremier Grand Cru Classé B。</x:v>
      </x:c>
      <x:c r="H297" s="14" t="str">
        <x:v>Château Larcis DucasseはSaint-ÉmilionのPremier Grand Cru Classé B。</x:v>
      </x:c>
      <x:c r="I297" s="14" t="str">
        <x:v>フランス</x:v>
      </x:c>
      <x:c r="J297" s="14" t="str">
        <x:v>Saint-Émilion</x:v>
      </x:c>
      <x:c r="K297" s="14" t="str">
        <x:v>格付け;Premier Grand Cru Classé B;bordeaux_saint_emilion_2022</x:v>
      </x:c>
      <x:c r="L297" s="14" t="str"/>
      <x:c r="M297" s="14" t="str">
        <x:v>saint_emilion_2022_official</x:v>
      </x:c>
      <x:c r="N297" s="14" t="str">
        <x:v>2026-07-12</x:v>
      </x:c>
      <x:c r="O297" s="14" t="str">
        <x:v>Y</x:v>
      </x:c>
    </x:row>
    <x:row r="298" ht="26.399999618530273" hidden="0" customHeight="1">
      <x:c r="A298" s="14" t="str">
        <x:v>term-2d84b28c6064</x:v>
      </x:c>
      <x:c r="B298" s="14" t="str">
        <x:v>Château Larmande</x:v>
      </x:c>
      <x:c r="C298" s="14" t="str"/>
      <x:c r="D298" s="14" t="str">
        <x:v>Château Larmande</x:v>
      </x:c>
      <x:c r="E298" s="14" t="str"/>
      <x:c r="F298" s="14" t="str">
        <x:v>生産者</x:v>
      </x:c>
      <x:c r="G298" s="14" t="str">
        <x:v>Château LarmandeはSaint-ÉmilionのGrand Cru Classé。</x:v>
      </x:c>
      <x:c r="H298" s="14" t="str">
        <x:v>Château LarmandeはSaint-ÉmilionのGrand Cru Classé。</x:v>
      </x:c>
      <x:c r="I298" s="14" t="str">
        <x:v>フランス</x:v>
      </x:c>
      <x:c r="J298" s="14" t="str">
        <x:v>Saint-Émilion</x:v>
      </x:c>
      <x:c r="K298" s="14" t="str">
        <x:v>格付け;Grand Cru Classé;bordeaux_saint_emilion_2022</x:v>
      </x:c>
      <x:c r="L298" s="14" t="str"/>
      <x:c r="M298" s="14" t="str">
        <x:v>saint_emilion_2022_official</x:v>
      </x:c>
      <x:c r="N298" s="14" t="str">
        <x:v>2026-07-12</x:v>
      </x:c>
      <x:c r="O298" s="14" t="str">
        <x:v>Y</x:v>
      </x:c>
    </x:row>
    <x:row r="299" ht="26.399999618530273" hidden="0" customHeight="1">
      <x:c r="A299" s="14" t="str">
        <x:v>term-8d37d777c962</x:v>
      </x:c>
      <x:c r="B299" s="14" t="str">
        <x:v>Château Laroque</x:v>
      </x:c>
      <x:c r="C299" s="14" t="str"/>
      <x:c r="D299" s="14" t="str">
        <x:v>Château Laroque</x:v>
      </x:c>
      <x:c r="E299" s="14" t="str"/>
      <x:c r="F299" s="14" t="str">
        <x:v>生産者</x:v>
      </x:c>
      <x:c r="G299" s="14" t="str">
        <x:v>Château LaroqueはSaint-ÉmilionのGrand Cru Classé。</x:v>
      </x:c>
      <x:c r="H299" s="14" t="str">
        <x:v>Château LaroqueはSaint-ÉmilionのGrand Cru Classé。</x:v>
      </x:c>
      <x:c r="I299" s="14" t="str">
        <x:v>フランス</x:v>
      </x:c>
      <x:c r="J299" s="14" t="str">
        <x:v>Saint-Émilion</x:v>
      </x:c>
      <x:c r="K299" s="14" t="str">
        <x:v>格付け;Grand Cru Classé;bordeaux_saint_emilion_2022</x:v>
      </x:c>
      <x:c r="L299" s="14" t="str"/>
      <x:c r="M299" s="14" t="str">
        <x:v>saint_emilion_2022_official</x:v>
      </x:c>
      <x:c r="N299" s="14" t="str">
        <x:v>2026-07-12</x:v>
      </x:c>
      <x:c r="O299" s="14" t="str">
        <x:v>Y</x:v>
      </x:c>
    </x:row>
    <x:row r="300" ht="26.399999618530273" hidden="0" customHeight="1">
      <x:c r="A300" s="14" t="str">
        <x:v>term-a965933b86e1</x:v>
      </x:c>
      <x:c r="B300" s="14" t="str">
        <x:v>Château Laroze</x:v>
      </x:c>
      <x:c r="C300" s="14" t="str"/>
      <x:c r="D300" s="14" t="str">
        <x:v>Château Laroze</x:v>
      </x:c>
      <x:c r="E300" s="14" t="str"/>
      <x:c r="F300" s="14" t="str">
        <x:v>生産者</x:v>
      </x:c>
      <x:c r="G300" s="14" t="str">
        <x:v>Château LarozeはSaint-ÉmilionのGrand Cru Classé。</x:v>
      </x:c>
      <x:c r="H300" s="14" t="str">
        <x:v>Château LarozeはSaint-ÉmilionのGrand Cru Classé。</x:v>
      </x:c>
      <x:c r="I300" s="14" t="str">
        <x:v>フランス</x:v>
      </x:c>
      <x:c r="J300" s="14" t="str">
        <x:v>Saint-Émilion</x:v>
      </x:c>
      <x:c r="K300" s="14" t="str">
        <x:v>格付け;Grand Cru Classé;bordeaux_saint_emilion_2022</x:v>
      </x:c>
      <x:c r="L300" s="14" t="str"/>
      <x:c r="M300" s="14" t="str">
        <x:v>saint_emilion_2022_official</x:v>
      </x:c>
      <x:c r="N300" s="14" t="str">
        <x:v>2026-07-12</x:v>
      </x:c>
      <x:c r="O300" s="14" t="str">
        <x:v>Y</x:v>
      </x:c>
    </x:row>
    <x:row r="301" ht="15" hidden="0" customHeight="1">
      <x:c r="A301" s="14" t="str">
        <x:v>term-1535a8594dd5</x:v>
      </x:c>
      <x:c r="B301" s="14" t="str">
        <x:v>Château Lascombes</x:v>
      </x:c>
      <x:c r="C301" s="14" t="str"/>
      <x:c r="D301" s="14" t="str">
        <x:v>Château Lascombes</x:v>
      </x:c>
      <x:c r="E301" s="14" t="str"/>
      <x:c r="F301" s="14" t="str">
        <x:v>生産者</x:v>
      </x:c>
      <x:c r="G301" s="14" t="str">
        <x:v>Château LascombesはMargauxの第2級。</x:v>
      </x:c>
      <x:c r="H301" s="14" t="str">
        <x:v>Château LascombesはMargauxの第2級。</x:v>
      </x:c>
      <x:c r="I301" s="14" t="str">
        <x:v>フランス</x:v>
      </x:c>
      <x:c r="J301" s="14" t="str">
        <x:v>Margaux</x:v>
      </x:c>
      <x:c r="K301" s="14" t="str">
        <x:v>格付け;第2級;bordeaux_1855_medoc</x:v>
      </x:c>
      <x:c r="L301" s="14" t="str"/>
      <x:c r="M301" s="14" t="str">
        <x:v>bordeaux_1855_official</x:v>
      </x:c>
      <x:c r="N301" s="14" t="str">
        <x:v>2026-07-12</x:v>
      </x:c>
      <x:c r="O301" s="14" t="str">
        <x:v>Y</x:v>
      </x:c>
    </x:row>
    <x:row r="302" ht="15" hidden="0" customHeight="1">
      <x:c r="A302" s="14" t="str">
        <x:v>term-844a9492fcbb</x:v>
      </x:c>
      <x:c r="B302" s="14" t="str">
        <x:v>Château Latour</x:v>
      </x:c>
      <x:c r="C302" s="14" t="str"/>
      <x:c r="D302" s="14" t="str">
        <x:v>Château Latour</x:v>
      </x:c>
      <x:c r="E302" s="14" t="str"/>
      <x:c r="F302" s="14" t="str">
        <x:v>生産者</x:v>
      </x:c>
      <x:c r="G302" s="14" t="str">
        <x:v>Château LatourはPauillacの第1級。</x:v>
      </x:c>
      <x:c r="H302" s="14" t="str">
        <x:v>Château LatourはPauillacの第1級。</x:v>
      </x:c>
      <x:c r="I302" s="14" t="str">
        <x:v>フランス</x:v>
      </x:c>
      <x:c r="J302" s="14" t="str">
        <x:v>Pauillac</x:v>
      </x:c>
      <x:c r="K302" s="14" t="str">
        <x:v>格付け;第1級;bordeaux_1855_medoc</x:v>
      </x:c>
      <x:c r="L302" s="14" t="str"/>
      <x:c r="M302" s="14" t="str">
        <x:v>bordeaux_1855_official</x:v>
      </x:c>
      <x:c r="N302" s="14" t="str">
        <x:v>2026-07-12</x:v>
      </x:c>
      <x:c r="O302" s="14" t="str">
        <x:v>Y</x:v>
      </x:c>
    </x:row>
    <x:row r="303" ht="26.399999618530273" hidden="0" customHeight="1">
      <x:c r="A303" s="14" t="str">
        <x:v>term-8da916bca8aa</x:v>
      </x:c>
      <x:c r="B303" s="14" t="str">
        <x:v>Château Latour-Martillac</x:v>
      </x:c>
      <x:c r="C303" s="14" t="str"/>
      <x:c r="D303" s="14" t="str">
        <x:v>Château Latour-Martillac</x:v>
      </x:c>
      <x:c r="E303" s="14" t="str"/>
      <x:c r="F303" s="14" t="str">
        <x:v>生産者</x:v>
      </x:c>
      <x:c r="G303" s="14" t="str">
        <x:v>Château Latour-MartillacはPessac-LéognanのCru Classé de Graves。</x:v>
      </x:c>
      <x:c r="H303" s="14" t="str">
        <x:v>Château Latour-MartillacはPessac-LéognanのCru Classé de Graves。</x:v>
      </x:c>
      <x:c r="I303" s="14" t="str">
        <x:v>フランス</x:v>
      </x:c>
      <x:c r="J303" s="14" t="str">
        <x:v>Pessac-Léognan</x:v>
      </x:c>
      <x:c r="K303" s="14" t="str">
        <x:v>格付け;Cru Classé de Graves;bordeaux_graves</x:v>
      </x:c>
      <x:c r="L303" s="14" t="str"/>
      <x:c r="M303" s="14" t="str">
        <x:v>bordeaux_graves_official</x:v>
      </x:c>
      <x:c r="N303" s="14" t="str">
        <x:v>2026-07-12</x:v>
      </x:c>
      <x:c r="O303" s="14" t="str">
        <x:v>Y</x:v>
      </x:c>
    </x:row>
    <x:row r="304" ht="26.399999618530273" hidden="0" customHeight="1">
      <x:c r="A304" s="14" t="str">
        <x:v>term-b8b519c0e588</x:v>
      </x:c>
      <x:c r="B304" s="14" t="str">
        <x:v>Château Le Prieuré</x:v>
      </x:c>
      <x:c r="C304" s="14" t="str"/>
      <x:c r="D304" s="14" t="str">
        <x:v>Château Le Prieuré</x:v>
      </x:c>
      <x:c r="E304" s="14" t="str"/>
      <x:c r="F304" s="14" t="str">
        <x:v>生産者</x:v>
      </x:c>
      <x:c r="G304" s="14" t="str">
        <x:v>Château Le PrieuréはSaint-ÉmilionのGrand Cru Classé。</x:v>
      </x:c>
      <x:c r="H304" s="14" t="str">
        <x:v>Château Le PrieuréはSaint-ÉmilionのGrand Cru Classé。</x:v>
      </x:c>
      <x:c r="I304" s="14" t="str">
        <x:v>フランス</x:v>
      </x:c>
      <x:c r="J304" s="14" t="str">
        <x:v>Saint-Émilion</x:v>
      </x:c>
      <x:c r="K304" s="14" t="str">
        <x:v>格付け;Grand Cru Classé;bordeaux_saint_emilion_2022</x:v>
      </x:c>
      <x:c r="L304" s="14" t="str"/>
      <x:c r="M304" s="14" t="str">
        <x:v>saint_emilion_2022_official</x:v>
      </x:c>
      <x:c r="N304" s="14" t="str">
        <x:v>2026-07-12</x:v>
      </x:c>
      <x:c r="O304" s="14" t="str">
        <x:v>Y</x:v>
      </x:c>
    </x:row>
    <x:row r="305" ht="15" hidden="0" customHeight="1">
      <x:c r="A305" s="14" t="str">
        <x:v>term-12fce47c0ac3</x:v>
      </x:c>
      <x:c r="B305" s="14" t="str">
        <x:v>Château Leoville Barton</x:v>
      </x:c>
      <x:c r="C305" s="14" t="str"/>
      <x:c r="D305" s="14" t="str">
        <x:v>Château Leoville Barton</x:v>
      </x:c>
      <x:c r="E305" s="14" t="str"/>
      <x:c r="F305" s="14" t="str">
        <x:v>生産者</x:v>
      </x:c>
      <x:c r="G305" s="14" t="str">
        <x:v>Château Leoville BartonはSaint-Julienの第2級。</x:v>
      </x:c>
      <x:c r="H305" s="14" t="str">
        <x:v>Château Leoville BartonはSaint-Julienの第2級。</x:v>
      </x:c>
      <x:c r="I305" s="14" t="str">
        <x:v>フランス</x:v>
      </x:c>
      <x:c r="J305" s="14" t="str">
        <x:v>Saint-Julien</x:v>
      </x:c>
      <x:c r="K305" s="14" t="str">
        <x:v>格付け;第2級;bordeaux_1855_medoc</x:v>
      </x:c>
      <x:c r="L305" s="14" t="str"/>
      <x:c r="M305" s="14" t="str">
        <x:v>bordeaux_1855_official</x:v>
      </x:c>
      <x:c r="N305" s="14" t="str">
        <x:v>2026-07-12</x:v>
      </x:c>
      <x:c r="O305" s="14" t="str">
        <x:v>Y</x:v>
      </x:c>
    </x:row>
    <x:row r="306" ht="15" hidden="0" customHeight="1">
      <x:c r="A306" s="14" t="str">
        <x:v>term-799546bfb7cb</x:v>
      </x:c>
      <x:c r="B306" s="14" t="str">
        <x:v>Château Leoville Las Cases</x:v>
      </x:c>
      <x:c r="C306" s="14" t="str"/>
      <x:c r="D306" s="14" t="str">
        <x:v>Château Leoville Las Cases</x:v>
      </x:c>
      <x:c r="E306" s="14" t="str"/>
      <x:c r="F306" s="14" t="str">
        <x:v>生産者</x:v>
      </x:c>
      <x:c r="G306" s="14" t="str">
        <x:v>Château Leoville Las CasesはSaint-Julienの第2級。</x:v>
      </x:c>
      <x:c r="H306" s="14" t="str">
        <x:v>Château Leoville Las CasesはSaint-Julienの第2級。</x:v>
      </x:c>
      <x:c r="I306" s="14" t="str">
        <x:v>フランス</x:v>
      </x:c>
      <x:c r="J306" s="14" t="str">
        <x:v>Saint-Julien</x:v>
      </x:c>
      <x:c r="K306" s="14" t="str">
        <x:v>格付け;第2級;bordeaux_1855_medoc</x:v>
      </x:c>
      <x:c r="L306" s="14" t="str"/>
      <x:c r="M306" s="14" t="str">
        <x:v>bordeaux_1855_official</x:v>
      </x:c>
      <x:c r="N306" s="14" t="str">
        <x:v>2026-07-12</x:v>
      </x:c>
      <x:c r="O306" s="14" t="str">
        <x:v>Y</x:v>
      </x:c>
    </x:row>
    <x:row r="307" ht="15" hidden="0" customHeight="1">
      <x:c r="A307" s="14" t="str">
        <x:v>term-ddde3dc25f79</x:v>
      </x:c>
      <x:c r="B307" s="14" t="str">
        <x:v>Château Leoville-Poyferre</x:v>
      </x:c>
      <x:c r="C307" s="14" t="str"/>
      <x:c r="D307" s="14" t="str">
        <x:v>Château Leoville-Poyferre</x:v>
      </x:c>
      <x:c r="E307" s="14" t="str"/>
      <x:c r="F307" s="14" t="str">
        <x:v>生産者</x:v>
      </x:c>
      <x:c r="G307" s="14" t="str">
        <x:v>Château Leoville-PoyferreはSaint-Julienの第2級。</x:v>
      </x:c>
      <x:c r="H307" s="14" t="str">
        <x:v>Château Leoville-PoyferreはSaint-Julienの第2級。</x:v>
      </x:c>
      <x:c r="I307" s="14" t="str">
        <x:v>フランス</x:v>
      </x:c>
      <x:c r="J307" s="14" t="str">
        <x:v>Saint-Julien</x:v>
      </x:c>
      <x:c r="K307" s="14" t="str">
        <x:v>格付け;第2級;bordeaux_1855_medoc</x:v>
      </x:c>
      <x:c r="L307" s="14" t="str"/>
      <x:c r="M307" s="14" t="str">
        <x:v>bordeaux_1855_official</x:v>
      </x:c>
      <x:c r="N307" s="14" t="str">
        <x:v>2026-07-12</x:v>
      </x:c>
      <x:c r="O307" s="14" t="str">
        <x:v>Y</x:v>
      </x:c>
    </x:row>
    <x:row r="308" ht="15" hidden="0" customHeight="1">
      <x:c r="A308" s="14" t="str">
        <x:v>term-ac47d334c3d5</x:v>
      </x:c>
      <x:c r="B308" s="14" t="str">
        <x:v>Château Lynch-Bages</x:v>
      </x:c>
      <x:c r="C308" s="14" t="str"/>
      <x:c r="D308" s="14" t="str">
        <x:v>Château Lynch-Bages</x:v>
      </x:c>
      <x:c r="E308" s="14" t="str"/>
      <x:c r="F308" s="14" t="str">
        <x:v>生産者</x:v>
      </x:c>
      <x:c r="G308" s="14" t="str">
        <x:v>Château Lynch-BagesはPauillacの第5級。</x:v>
      </x:c>
      <x:c r="H308" s="14" t="str">
        <x:v>Château Lynch-BagesはPauillacの第5級。</x:v>
      </x:c>
      <x:c r="I308" s="14" t="str">
        <x:v>フランス</x:v>
      </x:c>
      <x:c r="J308" s="14" t="str">
        <x:v>Pauillac</x:v>
      </x:c>
      <x:c r="K308" s="14" t="str">
        <x:v>格付け;第5級;bordeaux_1855_medoc</x:v>
      </x:c>
      <x:c r="L308" s="14" t="str"/>
      <x:c r="M308" s="14" t="str">
        <x:v>bordeaux_1855_official</x:v>
      </x:c>
      <x:c r="N308" s="14" t="str">
        <x:v>2026-07-12</x:v>
      </x:c>
      <x:c r="O308" s="14" t="str">
        <x:v>Y</x:v>
      </x:c>
    </x:row>
    <x:row r="309" ht="15" hidden="0" customHeight="1">
      <x:c r="A309" s="14" t="str">
        <x:v>term-c7d7405c27d9</x:v>
      </x:c>
      <x:c r="B309" s="14" t="str">
        <x:v>Château Lynch-Moussas</x:v>
      </x:c>
      <x:c r="C309" s="14" t="str"/>
      <x:c r="D309" s="14" t="str">
        <x:v>Château Lynch-Moussas</x:v>
      </x:c>
      <x:c r="E309" s="14" t="str"/>
      <x:c r="F309" s="14" t="str">
        <x:v>生産者</x:v>
      </x:c>
      <x:c r="G309" s="14" t="str">
        <x:v>Château Lynch-MoussasはPauillacの第5級。</x:v>
      </x:c>
      <x:c r="H309" s="14" t="str">
        <x:v>Château Lynch-MoussasはPauillacの第5級。</x:v>
      </x:c>
      <x:c r="I309" s="14" t="str">
        <x:v>フランス</x:v>
      </x:c>
      <x:c r="J309" s="14" t="str">
        <x:v>Pauillac</x:v>
      </x:c>
      <x:c r="K309" s="14" t="str">
        <x:v>格付け;第5級;bordeaux_1855_medoc</x:v>
      </x:c>
      <x:c r="L309" s="14" t="str"/>
      <x:c r="M309" s="14" t="str">
        <x:v>bordeaux_1855_official</x:v>
      </x:c>
      <x:c r="N309" s="14" t="str">
        <x:v>2026-07-12</x:v>
      </x:c>
      <x:c r="O309" s="14" t="str">
        <x:v>Y</x:v>
      </x:c>
    </x:row>
    <x:row r="310" ht="26.399999618530273" hidden="0" customHeight="1">
      <x:c r="A310" s="14" t="str">
        <x:v>term-b8f5b04ad944</x:v>
      </x:c>
      <x:c r="B310" s="14" t="str">
        <x:v>Château Malartic-Lagravière</x:v>
      </x:c>
      <x:c r="C310" s="14" t="str"/>
      <x:c r="D310" s="14" t="str">
        <x:v>Château Malartic-Lagravière</x:v>
      </x:c>
      <x:c r="E310" s="14" t="str"/>
      <x:c r="F310" s="14" t="str">
        <x:v>生産者</x:v>
      </x:c>
      <x:c r="G310" s="14" t="str">
        <x:v>Château Malartic-LagravièreはPessac-LéognanのCru Classé de Graves。</x:v>
      </x:c>
      <x:c r="H310" s="14" t="str">
        <x:v>Château Malartic-LagravièreはPessac-LéognanのCru Classé de Graves。</x:v>
      </x:c>
      <x:c r="I310" s="14" t="str">
        <x:v>フランス</x:v>
      </x:c>
      <x:c r="J310" s="14" t="str">
        <x:v>Pessac-Léognan</x:v>
      </x:c>
      <x:c r="K310" s="14" t="str">
        <x:v>格付け;Cru Classé de Graves;bordeaux_graves</x:v>
      </x:c>
      <x:c r="L310" s="14" t="str"/>
      <x:c r="M310" s="14" t="str">
        <x:v>bordeaux_graves_official</x:v>
      </x:c>
      <x:c r="N310" s="14" t="str">
        <x:v>2026-07-12</x:v>
      </x:c>
      <x:c r="O310" s="14" t="str">
        <x:v>Y</x:v>
      </x:c>
    </x:row>
    <x:row r="311" ht="26.399999618530273" hidden="0" customHeight="1">
      <x:c r="A311" s="14" t="str">
        <x:v>term-405f81b60c31</x:v>
      </x:c>
      <x:c r="B311" s="14" t="str">
        <x:v>Château Malescot Saint-Exupery</x:v>
      </x:c>
      <x:c r="C311" s="14" t="str"/>
      <x:c r="D311" s="14" t="str">
        <x:v>Château Malescot Saint-Exupery</x:v>
      </x:c>
      <x:c r="E311" s="14" t="str"/>
      <x:c r="F311" s="14" t="str">
        <x:v>生産者</x:v>
      </x:c>
      <x:c r="G311" s="14" t="str">
        <x:v>Château Malescot Saint-ExuperyはMargauxの第3級。</x:v>
      </x:c>
      <x:c r="H311" s="14" t="str">
        <x:v>Château Malescot Saint-ExuperyはMargauxの第3級。</x:v>
      </x:c>
      <x:c r="I311" s="14" t="str">
        <x:v>フランス</x:v>
      </x:c>
      <x:c r="J311" s="14" t="str">
        <x:v>Margaux</x:v>
      </x:c>
      <x:c r="K311" s="14" t="str">
        <x:v>格付け;第3級;bordeaux_1855_medoc</x:v>
      </x:c>
      <x:c r="L311" s="14" t="str"/>
      <x:c r="M311" s="14" t="str">
        <x:v>bordeaux_1855_official</x:v>
      </x:c>
      <x:c r="N311" s="14" t="str">
        <x:v>2026-07-12</x:v>
      </x:c>
      <x:c r="O311" s="14" t="str">
        <x:v>Y</x:v>
      </x:c>
    </x:row>
    <x:row r="312" ht="26.399999618530273" hidden="0" customHeight="1">
      <x:c r="A312" s="14" t="str">
        <x:v>term-e9c6c1bd8132</x:v>
      </x:c>
      <x:c r="B312" s="14" t="str">
        <x:v>Château Mangot</x:v>
      </x:c>
      <x:c r="C312" s="14" t="str"/>
      <x:c r="D312" s="14" t="str">
        <x:v>Château Mangot</x:v>
      </x:c>
      <x:c r="E312" s="14" t="str"/>
      <x:c r="F312" s="14" t="str">
        <x:v>生産者</x:v>
      </x:c>
      <x:c r="G312" s="14" t="str">
        <x:v>Château MangotはSaint-ÉmilionのGrand Cru Classé。</x:v>
      </x:c>
      <x:c r="H312" s="14" t="str">
        <x:v>Château MangotはSaint-ÉmilionのGrand Cru Classé。</x:v>
      </x:c>
      <x:c r="I312" s="14" t="str">
        <x:v>フランス</x:v>
      </x:c>
      <x:c r="J312" s="14" t="str">
        <x:v>Saint-Émilion</x:v>
      </x:c>
      <x:c r="K312" s="14" t="str">
        <x:v>格付け;Grand Cru Classé;bordeaux_saint_emilion_2022</x:v>
      </x:c>
      <x:c r="L312" s="14" t="str"/>
      <x:c r="M312" s="14" t="str">
        <x:v>saint_emilion_2022_official</x:v>
      </x:c>
      <x:c r="N312" s="14" t="str">
        <x:v>2026-07-12</x:v>
      </x:c>
      <x:c r="O312" s="14" t="str">
        <x:v>Y</x:v>
      </x:c>
    </x:row>
    <x:row r="313" ht="15" hidden="0" customHeight="1">
      <x:c r="A313" s="14" t="str">
        <x:v>term-a65f677bf597</x:v>
      </x:c>
      <x:c r="B313" s="14" t="str">
        <x:v>Château Margaux</x:v>
      </x:c>
      <x:c r="C313" s="14" t="str"/>
      <x:c r="D313" s="14" t="str">
        <x:v>Château Margaux</x:v>
      </x:c>
      <x:c r="E313" s="14" t="str"/>
      <x:c r="F313" s="14" t="str">
        <x:v>生産者</x:v>
      </x:c>
      <x:c r="G313" s="14" t="str">
        <x:v>Château MargauxはMargauxの第1級。</x:v>
      </x:c>
      <x:c r="H313" s="14" t="str">
        <x:v>Château MargauxはMargauxの第1級。</x:v>
      </x:c>
      <x:c r="I313" s="14" t="str">
        <x:v>フランス</x:v>
      </x:c>
      <x:c r="J313" s="14" t="str">
        <x:v>Margaux</x:v>
      </x:c>
      <x:c r="K313" s="14" t="str">
        <x:v>格付け;第1級;bordeaux_1855_medoc</x:v>
      </x:c>
      <x:c r="L313" s="14" t="str"/>
      <x:c r="M313" s="14" t="str">
        <x:v>bordeaux_1855_official</x:v>
      </x:c>
      <x:c r="N313" s="14" t="str">
        <x:v>2026-07-12</x:v>
      </x:c>
      <x:c r="O313" s="14" t="str">
        <x:v>Y</x:v>
      </x:c>
    </x:row>
    <x:row r="314" ht="15" hidden="0" customHeight="1">
      <x:c r="A314" s="14" t="str">
        <x:v>term-9c9ef170f40a</x:v>
      </x:c>
      <x:c r="B314" s="14" t="str">
        <x:v>Château Marquis De Terme</x:v>
      </x:c>
      <x:c r="C314" s="14" t="str"/>
      <x:c r="D314" s="14" t="str">
        <x:v>Château Marquis De Terme</x:v>
      </x:c>
      <x:c r="E314" s="14" t="str"/>
      <x:c r="F314" s="14" t="str">
        <x:v>生産者</x:v>
      </x:c>
      <x:c r="G314" s="14" t="str">
        <x:v>Château Marquis De TermeはMargauxの第4級。</x:v>
      </x:c>
      <x:c r="H314" s="14" t="str">
        <x:v>Château Marquis De TermeはMargauxの第4級。</x:v>
      </x:c>
      <x:c r="I314" s="14" t="str">
        <x:v>フランス</x:v>
      </x:c>
      <x:c r="J314" s="14" t="str">
        <x:v>Margaux</x:v>
      </x:c>
      <x:c r="K314" s="14" t="str">
        <x:v>格付け;第4級;bordeaux_1855_medoc</x:v>
      </x:c>
      <x:c r="L314" s="14" t="str"/>
      <x:c r="M314" s="14" t="str">
        <x:v>bordeaux_1855_official</x:v>
      </x:c>
      <x:c r="N314" s="14" t="str">
        <x:v>2026-07-12</x:v>
      </x:c>
      <x:c r="O314" s="14" t="str">
        <x:v>Y</x:v>
      </x:c>
    </x:row>
    <x:row r="315" ht="26.399999618530273" hidden="0" customHeight="1">
      <x:c r="A315" s="14" t="str">
        <x:v>term-ea212cbcba84</x:v>
      </x:c>
      <x:c r="B315" s="14" t="str">
        <x:v>Château Marquis D’Alesme Becker</x:v>
      </x:c>
      <x:c r="C315" s="14" t="str"/>
      <x:c r="D315" s="14" t="str">
        <x:v>Château Marquis D’Alesme Becker</x:v>
      </x:c>
      <x:c r="E315" s="14" t="str"/>
      <x:c r="F315" s="14" t="str">
        <x:v>生産者</x:v>
      </x:c>
      <x:c r="G315" s="14" t="str">
        <x:v>Château Marquis D’Alesme BeckerはMargauxの第3級。</x:v>
      </x:c>
      <x:c r="H315" s="14" t="str">
        <x:v>Château Marquis D’Alesme BeckerはMargauxの第3級。</x:v>
      </x:c>
      <x:c r="I315" s="14" t="str">
        <x:v>フランス</x:v>
      </x:c>
      <x:c r="J315" s="14" t="str">
        <x:v>Margaux</x:v>
      </x:c>
      <x:c r="K315" s="14" t="str">
        <x:v>格付け;第3級;bordeaux_1855_medoc</x:v>
      </x:c>
      <x:c r="L315" s="14" t="str"/>
      <x:c r="M315" s="14" t="str">
        <x:v>bordeaux_1855_official</x:v>
      </x:c>
      <x:c r="N315" s="14" t="str">
        <x:v>2026-07-12</x:v>
      </x:c>
      <x:c r="O315" s="14" t="str">
        <x:v>Y</x:v>
      </x:c>
    </x:row>
    <x:row r="316" ht="26.399999618530273" hidden="0" customHeight="1">
      <x:c r="A316" s="14" t="str">
        <x:v>term-4b3e99166724</x:v>
      </x:c>
      <x:c r="B316" s="14" t="str">
        <x:v>Château Monbousquet</x:v>
      </x:c>
      <x:c r="C316" s="14" t="str"/>
      <x:c r="D316" s="14" t="str">
        <x:v>Château Monbousquet</x:v>
      </x:c>
      <x:c r="E316" s="14" t="str"/>
      <x:c r="F316" s="14" t="str">
        <x:v>生産者</x:v>
      </x:c>
      <x:c r="G316" s="14" t="str">
        <x:v>Château MonbousquetはSaint-ÉmilionのGrand Cru Classé。</x:v>
      </x:c>
      <x:c r="H316" s="14" t="str">
        <x:v>Château MonbousquetはSaint-ÉmilionのGrand Cru Classé。</x:v>
      </x:c>
      <x:c r="I316" s="14" t="str">
        <x:v>フランス</x:v>
      </x:c>
      <x:c r="J316" s="14" t="str">
        <x:v>Saint-Émilion</x:v>
      </x:c>
      <x:c r="K316" s="14" t="str">
        <x:v>格付け;Grand Cru Classé;bordeaux_saint_emilion_2022</x:v>
      </x:c>
      <x:c r="L316" s="14" t="str"/>
      <x:c r="M316" s="14" t="str">
        <x:v>saint_emilion_2022_official</x:v>
      </x:c>
      <x:c r="N316" s="14" t="str">
        <x:v>2026-07-12</x:v>
      </x:c>
      <x:c r="O316" s="14" t="str">
        <x:v>Y</x:v>
      </x:c>
    </x:row>
    <x:row r="317" ht="26.399999618530273" hidden="0" customHeight="1">
      <x:c r="A317" s="14" t="str">
        <x:v>term-861dc8cc8b9b</x:v>
      </x:c>
      <x:c r="B317" s="14" t="str">
        <x:v>Château Montlabert</x:v>
      </x:c>
      <x:c r="C317" s="14" t="str"/>
      <x:c r="D317" s="14" t="str">
        <x:v>Château Montlabert</x:v>
      </x:c>
      <x:c r="E317" s="14" t="str"/>
      <x:c r="F317" s="14" t="str">
        <x:v>生産者</x:v>
      </x:c>
      <x:c r="G317" s="14" t="str">
        <x:v>Château MontlabertはSaint-ÉmilionのGrand Cru Classé。</x:v>
      </x:c>
      <x:c r="H317" s="14" t="str">
        <x:v>Château MontlabertはSaint-ÉmilionのGrand Cru Classé。</x:v>
      </x:c>
      <x:c r="I317" s="14" t="str">
        <x:v>フランス</x:v>
      </x:c>
      <x:c r="J317" s="14" t="str">
        <x:v>Saint-Émilion</x:v>
      </x:c>
      <x:c r="K317" s="14" t="str">
        <x:v>格付け;Grand Cru Classé;bordeaux_saint_emilion_2022</x:v>
      </x:c>
      <x:c r="L317" s="14" t="str"/>
      <x:c r="M317" s="14" t="str">
        <x:v>saint_emilion_2022_official</x:v>
      </x:c>
      <x:c r="N317" s="14" t="str">
        <x:v>2026-07-12</x:v>
      </x:c>
      <x:c r="O317" s="14" t="str">
        <x:v>Y</x:v>
      </x:c>
    </x:row>
    <x:row r="318" ht="26.399999618530273" hidden="0" customHeight="1">
      <x:c r="A318" s="14" t="str">
        <x:v>term-ba3a04d6b963</x:v>
      </x:c>
      <x:c r="B318" s="14" t="str">
        <x:v>Château Montlisse</x:v>
      </x:c>
      <x:c r="C318" s="14" t="str"/>
      <x:c r="D318" s="14" t="str">
        <x:v>Château Montlisse</x:v>
      </x:c>
      <x:c r="E318" s="14" t="str"/>
      <x:c r="F318" s="14" t="str">
        <x:v>生産者</x:v>
      </x:c>
      <x:c r="G318" s="14" t="str">
        <x:v>Château MontlisseはSaint-ÉmilionのGrand Cru Classé。</x:v>
      </x:c>
      <x:c r="H318" s="14" t="str">
        <x:v>Château MontlisseはSaint-ÉmilionのGrand Cru Classé。</x:v>
      </x:c>
      <x:c r="I318" s="14" t="str">
        <x:v>フランス</x:v>
      </x:c>
      <x:c r="J318" s="14" t="str">
        <x:v>Saint-Émilion</x:v>
      </x:c>
      <x:c r="K318" s="14" t="str">
        <x:v>格付け;Grand Cru Classé;bordeaux_saint_emilion_2022</x:v>
      </x:c>
      <x:c r="L318" s="14" t="str"/>
      <x:c r="M318" s="14" t="str">
        <x:v>saint_emilion_2022_official</x:v>
      </x:c>
      <x:c r="N318" s="14" t="str">
        <x:v>2026-07-12</x:v>
      </x:c>
      <x:c r="O318" s="14" t="str">
        <x:v>Y</x:v>
      </x:c>
    </x:row>
    <x:row r="319" ht="15" hidden="0" customHeight="1">
      <x:c r="A319" s="14" t="str">
        <x:v>term-a9b639bf2bcb</x:v>
      </x:c>
      <x:c r="B319" s="14" t="str">
        <x:v>Château Montrose</x:v>
      </x:c>
      <x:c r="C319" s="14" t="str"/>
      <x:c r="D319" s="14" t="str">
        <x:v>Château Montrose</x:v>
      </x:c>
      <x:c r="E319" s="14" t="str"/>
      <x:c r="F319" s="14" t="str">
        <x:v>生産者</x:v>
      </x:c>
      <x:c r="G319" s="14" t="str">
        <x:v>Château MontroseはSaint-Estèpheの第2級。</x:v>
      </x:c>
      <x:c r="H319" s="14" t="str">
        <x:v>Château MontroseはSaint-Estèpheの第2級。</x:v>
      </x:c>
      <x:c r="I319" s="14" t="str">
        <x:v>フランス</x:v>
      </x:c>
      <x:c r="J319" s="14" t="str">
        <x:v>Saint-Estèphe</x:v>
      </x:c>
      <x:c r="K319" s="14" t="str">
        <x:v>格付け;第2級;bordeaux_1855_medoc</x:v>
      </x:c>
      <x:c r="L319" s="14" t="str"/>
      <x:c r="M319" s="14" t="str">
        <x:v>bordeaux_1855_official</x:v>
      </x:c>
      <x:c r="N319" s="14" t="str">
        <x:v>2026-07-12</x:v>
      </x:c>
      <x:c r="O319" s="14" t="str">
        <x:v>Y</x:v>
      </x:c>
    </x:row>
    <x:row r="320" ht="26.399999618530273" hidden="0" customHeight="1">
      <x:c r="A320" s="14" t="str">
        <x:v>term-4c6d58c94ecc</x:v>
      </x:c>
      <x:c r="B320" s="14" t="str">
        <x:v>Château Moulin du Cadet</x:v>
      </x:c>
      <x:c r="C320" s="14" t="str"/>
      <x:c r="D320" s="14" t="str">
        <x:v>Château Moulin du Cadet</x:v>
      </x:c>
      <x:c r="E320" s="14" t="str"/>
      <x:c r="F320" s="14" t="str">
        <x:v>生産者</x:v>
      </x:c>
      <x:c r="G320" s="14" t="str">
        <x:v>Château Moulin du CadetはSaint-ÉmilionのGrand Cru Classé。</x:v>
      </x:c>
      <x:c r="H320" s="14" t="str">
        <x:v>Château Moulin du CadetはSaint-ÉmilionのGrand Cru Classé。</x:v>
      </x:c>
      <x:c r="I320" s="14" t="str">
        <x:v>フランス</x:v>
      </x:c>
      <x:c r="J320" s="14" t="str">
        <x:v>Saint-Émilion</x:v>
      </x:c>
      <x:c r="K320" s="14" t="str">
        <x:v>格付け;Grand Cru Classé;bordeaux_saint_emilion_2022</x:v>
      </x:c>
      <x:c r="L320" s="14" t="str"/>
      <x:c r="M320" s="14" t="str">
        <x:v>saint_emilion_2022_official</x:v>
      </x:c>
      <x:c r="N320" s="14" t="str">
        <x:v>2026-07-12</x:v>
      </x:c>
      <x:c r="O320" s="14" t="str">
        <x:v>Y</x:v>
      </x:c>
    </x:row>
    <x:row r="321" ht="15" hidden="0" customHeight="1">
      <x:c r="A321" s="14" t="str">
        <x:v>term-8df5aaaa0a5c</x:v>
      </x:c>
      <x:c r="B321" s="14" t="str">
        <x:v>Château Mouton Rothschild</x:v>
      </x:c>
      <x:c r="C321" s="14" t="str"/>
      <x:c r="D321" s="14" t="str">
        <x:v>Château Mouton Rothschild</x:v>
      </x:c>
      <x:c r="E321" s="14" t="str"/>
      <x:c r="F321" s="14" t="str">
        <x:v>生産者</x:v>
      </x:c>
      <x:c r="G321" s="14" t="str">
        <x:v>Château Mouton RothschildはPauillacの第1級。</x:v>
      </x:c>
      <x:c r="H321" s="14" t="str">
        <x:v>Château Mouton RothschildはPauillacの第1級。</x:v>
      </x:c>
      <x:c r="I321" s="14" t="str">
        <x:v>フランス</x:v>
      </x:c>
      <x:c r="J321" s="14" t="str">
        <x:v>Pauillac</x:v>
      </x:c>
      <x:c r="K321" s="14" t="str">
        <x:v>格付け;第1級;bordeaux_1855_medoc</x:v>
      </x:c>
      <x:c r="L321" s="14" t="str"/>
      <x:c r="M321" s="14" t="str">
        <x:v>bordeaux_1855_official</x:v>
      </x:c>
      <x:c r="N321" s="14" t="str">
        <x:v>2026-07-12</x:v>
      </x:c>
      <x:c r="O321" s="14" t="str">
        <x:v>Y</x:v>
      </x:c>
    </x:row>
    <x:row r="322" ht="26.399999618530273" hidden="0" customHeight="1">
      <x:c r="A322" s="14" t="str">
        <x:v>term-48c335ef30b7</x:v>
      </x:c>
      <x:c r="B322" s="14" t="str">
        <x:v>Château Nairac</x:v>
      </x:c>
      <x:c r="C322" s="14" t="str"/>
      <x:c r="D322" s="14" t="str">
        <x:v>Château Nairac</x:v>
      </x:c>
      <x:c r="E322" s="14" t="str"/>
      <x:c r="F322" s="14" t="str">
        <x:v>生産者</x:v>
      </x:c>
      <x:c r="G322" s="14" t="str">
        <x:v>Château NairacはBarsacの第2級。</x:v>
      </x:c>
      <x:c r="H322" s="14" t="str">
        <x:v>Château NairacはBarsacの第2級。</x:v>
      </x:c>
      <x:c r="I322" s="14" t="str">
        <x:v>フランス</x:v>
      </x:c>
      <x:c r="J322" s="14" t="str">
        <x:v>Barsac</x:v>
      </x:c>
      <x:c r="K322" s="14" t="str">
        <x:v>格付け;第2級;bordeaux_1855_sauternes</x:v>
      </x:c>
      <x:c r="L322" s="14" t="str"/>
      <x:c r="M322" s="14" t="str">
        <x:v>bordeaux_1855_official</x:v>
      </x:c>
      <x:c r="N322" s="14" t="str">
        <x:v>2026-07-12</x:v>
      </x:c>
      <x:c r="O322" s="14" t="str">
        <x:v>Y</x:v>
      </x:c>
    </x:row>
    <x:row r="323" ht="26.399999618530273" hidden="0" customHeight="1">
      <x:c r="A323" s="14" t="str">
        <x:v>term-1f7604f95b81</x:v>
      </x:c>
      <x:c r="B323" s="14" t="str">
        <x:v>Château Olivier</x:v>
      </x:c>
      <x:c r="C323" s="14" t="str"/>
      <x:c r="D323" s="14" t="str">
        <x:v>Château Olivier</x:v>
      </x:c>
      <x:c r="E323" s="14" t="str"/>
      <x:c r="F323" s="14" t="str">
        <x:v>生産者</x:v>
      </x:c>
      <x:c r="G323" s="14" t="str">
        <x:v>Château OlivierはPessac-LéognanのCru Classé de Graves。</x:v>
      </x:c>
      <x:c r="H323" s="14" t="str">
        <x:v>Château OlivierはPessac-LéognanのCru Classé de Graves。</x:v>
      </x:c>
      <x:c r="I323" s="14" t="str">
        <x:v>フランス</x:v>
      </x:c>
      <x:c r="J323" s="14" t="str">
        <x:v>Pessac-Léognan</x:v>
      </x:c>
      <x:c r="K323" s="14" t="str">
        <x:v>格付け;Cru Classé de Graves;bordeaux_graves</x:v>
      </x:c>
      <x:c r="L323" s="14" t="str"/>
      <x:c r="M323" s="14" t="str">
        <x:v>bordeaux_graves_official</x:v>
      </x:c>
      <x:c r="N323" s="14" t="str">
        <x:v>2026-07-12</x:v>
      </x:c>
      <x:c r="O323" s="14" t="str">
        <x:v>Y</x:v>
      </x:c>
    </x:row>
    <x:row r="324" ht="15" hidden="0" customHeight="1">
      <x:c r="A324" s="14" t="str">
        <x:v>term-933e2929c83f</x:v>
      </x:c>
      <x:c r="B324" s="14" t="str">
        <x:v>Château Palmer</x:v>
      </x:c>
      <x:c r="C324" s="14" t="str"/>
      <x:c r="D324" s="14" t="str">
        <x:v>Château Palmer</x:v>
      </x:c>
      <x:c r="E324" s="14" t="str"/>
      <x:c r="F324" s="14" t="str">
        <x:v>生産者</x:v>
      </x:c>
      <x:c r="G324" s="14" t="str">
        <x:v>Château PalmerはMargauxの第3級。</x:v>
      </x:c>
      <x:c r="H324" s="14" t="str">
        <x:v>Château PalmerはMargauxの第3級。</x:v>
      </x:c>
      <x:c r="I324" s="14" t="str">
        <x:v>フランス</x:v>
      </x:c>
      <x:c r="J324" s="14" t="str">
        <x:v>Margaux</x:v>
      </x:c>
      <x:c r="K324" s="14" t="str">
        <x:v>格付け;第3級;bordeaux_1855_medoc</x:v>
      </x:c>
      <x:c r="L324" s="14" t="str"/>
      <x:c r="M324" s="14" t="str">
        <x:v>bordeaux_1855_official</x:v>
      </x:c>
      <x:c r="N324" s="14" t="str">
        <x:v>2026-07-12</x:v>
      </x:c>
      <x:c r="O324" s="14" t="str">
        <x:v>Y</x:v>
      </x:c>
    </x:row>
    <x:row r="325" ht="26.399999618530273" hidden="0" customHeight="1">
      <x:c r="A325" s="14" t="str">
        <x:v>term-a16cda038200</x:v>
      </x:c>
      <x:c r="B325" s="14" t="str">
        <x:v>Château Pape Clément</x:v>
      </x:c>
      <x:c r="C325" s="14" t="str"/>
      <x:c r="D325" s="14" t="str">
        <x:v>Château Pape Clément</x:v>
      </x:c>
      <x:c r="E325" s="14" t="str"/>
      <x:c r="F325" s="14" t="str">
        <x:v>生産者</x:v>
      </x:c>
      <x:c r="G325" s="14" t="str">
        <x:v>Château Pape ClémentはPessac-LéognanのCru Classé de Graves。</x:v>
      </x:c>
      <x:c r="H325" s="14" t="str">
        <x:v>Château Pape ClémentはPessac-LéognanのCru Classé de Graves。</x:v>
      </x:c>
      <x:c r="I325" s="14" t="str">
        <x:v>フランス</x:v>
      </x:c>
      <x:c r="J325" s="14" t="str">
        <x:v>Pessac-Léognan</x:v>
      </x:c>
      <x:c r="K325" s="14" t="str">
        <x:v>格付け;Cru Classé de Graves;bordeaux_graves</x:v>
      </x:c>
      <x:c r="L325" s="14" t="str"/>
      <x:c r="M325" s="14" t="str">
        <x:v>bordeaux_graves_official</x:v>
      </x:c>
      <x:c r="N325" s="14" t="str">
        <x:v>2026-07-12</x:v>
      </x:c>
      <x:c r="O325" s="14" t="str">
        <x:v>Y</x:v>
      </x:c>
    </x:row>
    <x:row r="326" ht="26.399999618530273" hidden="0" customHeight="1">
      <x:c r="A326" s="14" t="str">
        <x:v>term-04a67d3969da</x:v>
      </x:c>
      <x:c r="B326" s="14" t="str">
        <x:v>Château Pavie</x:v>
      </x:c>
      <x:c r="C326" s="14" t="str"/>
      <x:c r="D326" s="14" t="str">
        <x:v>Château Pavie</x:v>
      </x:c>
      <x:c r="E326" s="14" t="str"/>
      <x:c r="F326" s="14" t="str">
        <x:v>生産者</x:v>
      </x:c>
      <x:c r="G326" s="14" t="str">
        <x:v>Château PavieはSaint-ÉmilionのPremier Grand Cru Classé A。</x:v>
      </x:c>
      <x:c r="H326" s="14" t="str">
        <x:v>Château PavieはSaint-ÉmilionのPremier Grand Cru Classé A。</x:v>
      </x:c>
      <x:c r="I326" s="14" t="str">
        <x:v>フランス</x:v>
      </x:c>
      <x:c r="J326" s="14" t="str">
        <x:v>Saint-Émilion</x:v>
      </x:c>
      <x:c r="K326" s="14" t="str">
        <x:v>格付け;Premier Grand Cru Classé A;bordeaux_saint_emilion_2022</x:v>
      </x:c>
      <x:c r="L326" s="14" t="str"/>
      <x:c r="M326" s="14" t="str">
        <x:v>saint_emilion_2022_official</x:v>
      </x:c>
      <x:c r="N326" s="14" t="str">
        <x:v>2026-07-12</x:v>
      </x:c>
      <x:c r="O326" s="14" t="str">
        <x:v>Y</x:v>
      </x:c>
    </x:row>
    <x:row r="327" ht="26.399999618530273" hidden="0" customHeight="1">
      <x:c r="A327" s="14" t="str">
        <x:v>term-d3f90b16b4c7</x:v>
      </x:c>
      <x:c r="B327" s="14" t="str">
        <x:v>Château Pavie Macquin</x:v>
      </x:c>
      <x:c r="C327" s="14" t="str"/>
      <x:c r="D327" s="14" t="str">
        <x:v>Château Pavie Macquin</x:v>
      </x:c>
      <x:c r="E327" s="14" t="str"/>
      <x:c r="F327" s="14" t="str">
        <x:v>生産者</x:v>
      </x:c>
      <x:c r="G327" s="14" t="str">
        <x:v>Château Pavie MacquinはSaint-ÉmilionのPremier Grand Cru Classé B。</x:v>
      </x:c>
      <x:c r="H327" s="14" t="str">
        <x:v>Château Pavie MacquinはSaint-ÉmilionのPremier Grand Cru Classé B。</x:v>
      </x:c>
      <x:c r="I327" s="14" t="str">
        <x:v>フランス</x:v>
      </x:c>
      <x:c r="J327" s="14" t="str">
        <x:v>Saint-Émilion</x:v>
      </x:c>
      <x:c r="K327" s="14" t="str">
        <x:v>格付け;Premier Grand Cru Classé B;bordeaux_saint_emilion_2022</x:v>
      </x:c>
      <x:c r="L327" s="14" t="str"/>
      <x:c r="M327" s="14" t="str">
        <x:v>saint_emilion_2022_official</x:v>
      </x:c>
      <x:c r="N327" s="14" t="str">
        <x:v>2026-07-12</x:v>
      </x:c>
      <x:c r="O327" s="14" t="str">
        <x:v>Y</x:v>
      </x:c>
    </x:row>
    <x:row r="328" ht="26.399999618530273" hidden="0" customHeight="1">
      <x:c r="A328" s="14" t="str">
        <x:v>term-9acad5112ae0</x:v>
      </x:c>
      <x:c r="B328" s="14" t="str">
        <x:v>Château Peby Faugères</x:v>
      </x:c>
      <x:c r="C328" s="14" t="str"/>
      <x:c r="D328" s="14" t="str">
        <x:v>Château Peby Faugères</x:v>
      </x:c>
      <x:c r="E328" s="14" t="str"/>
      <x:c r="F328" s="14" t="str">
        <x:v>生産者</x:v>
      </x:c>
      <x:c r="G328" s="14" t="str">
        <x:v>Château Peby FaugèresはSaint-ÉmilionのGrand Cru Classé。</x:v>
      </x:c>
      <x:c r="H328" s="14" t="str">
        <x:v>Château Peby FaugèresはSaint-ÉmilionのGrand Cru Classé。</x:v>
      </x:c>
      <x:c r="I328" s="14" t="str">
        <x:v>フランス</x:v>
      </x:c>
      <x:c r="J328" s="14" t="str">
        <x:v>Saint-Émilion</x:v>
      </x:c>
      <x:c r="K328" s="14" t="str">
        <x:v>格付け;Grand Cru Classé;bordeaux_saint_emilion_2022</x:v>
      </x:c>
      <x:c r="L328" s="14" t="str"/>
      <x:c r="M328" s="14" t="str">
        <x:v>saint_emilion_2022_official</x:v>
      </x:c>
      <x:c r="N328" s="14" t="str">
        <x:v>2026-07-12</x:v>
      </x:c>
      <x:c r="O328" s="14" t="str">
        <x:v>Y</x:v>
      </x:c>
    </x:row>
    <x:row r="329" ht="15" hidden="0" customHeight="1">
      <x:c r="A329" s="14" t="str">
        <x:v>term-17c7841cc3b8</x:v>
      </x:c>
      <x:c r="B329" s="14" t="str">
        <x:v>Château Pedesclaux</x:v>
      </x:c>
      <x:c r="C329" s="14" t="str"/>
      <x:c r="D329" s="14" t="str">
        <x:v>Château Pedesclaux</x:v>
      </x:c>
      <x:c r="E329" s="14" t="str"/>
      <x:c r="F329" s="14" t="str">
        <x:v>生産者</x:v>
      </x:c>
      <x:c r="G329" s="14" t="str">
        <x:v>Château PedesclauxはPauillacの第5級。</x:v>
      </x:c>
      <x:c r="H329" s="14" t="str">
        <x:v>Château PedesclauxはPauillacの第5級。</x:v>
      </x:c>
      <x:c r="I329" s="14" t="str">
        <x:v>フランス</x:v>
      </x:c>
      <x:c r="J329" s="14" t="str">
        <x:v>Pauillac</x:v>
      </x:c>
      <x:c r="K329" s="14" t="str">
        <x:v>格付け;第5級;bordeaux_1855_medoc</x:v>
      </x:c>
      <x:c r="L329" s="14" t="str"/>
      <x:c r="M329" s="14" t="str">
        <x:v>bordeaux_1855_official</x:v>
      </x:c>
      <x:c r="N329" s="14" t="str">
        <x:v>2026-07-12</x:v>
      </x:c>
      <x:c r="O329" s="14" t="str">
        <x:v>Y</x:v>
      </x:c>
    </x:row>
    <x:row r="330" ht="26.399999618530273" hidden="0" customHeight="1">
      <x:c r="A330" s="14" t="str">
        <x:v>term-43c9d78ba707</x:v>
      </x:c>
      <x:c r="B330" s="14" t="str">
        <x:v>Château Petit Faurie de Soutard</x:v>
      </x:c>
      <x:c r="C330" s="14" t="str"/>
      <x:c r="D330" s="14" t="str">
        <x:v>Château Petit Faurie de Soutard</x:v>
      </x:c>
      <x:c r="E330" s="14" t="str"/>
      <x:c r="F330" s="14" t="str">
        <x:v>生産者</x:v>
      </x:c>
      <x:c r="G330" s="14" t="str">
        <x:v>Château Petit Faurie de SoutardはSaint-ÉmilionのGrand Cru Classé。</x:v>
      </x:c>
      <x:c r="H330" s="14" t="str">
        <x:v>Château Petit Faurie de SoutardはSaint-ÉmilionのGrand Cru Classé。</x:v>
      </x:c>
      <x:c r="I330" s="14" t="str">
        <x:v>フランス</x:v>
      </x:c>
      <x:c r="J330" s="14" t="str">
        <x:v>Saint-Émilion</x:v>
      </x:c>
      <x:c r="K330" s="14" t="str">
        <x:v>格付け;Grand Cru Classé;bordeaux_saint_emilion_2022</x:v>
      </x:c>
      <x:c r="L330" s="14" t="str"/>
      <x:c r="M330" s="14" t="str">
        <x:v>saint_emilion_2022_official</x:v>
      </x:c>
      <x:c r="N330" s="14" t="str">
        <x:v>2026-07-12</x:v>
      </x:c>
      <x:c r="O330" s="14" t="str">
        <x:v>Y</x:v>
      </x:c>
    </x:row>
    <x:row r="331" ht="26.399999618530273" hidden="0" customHeight="1">
      <x:c r="A331" s="14" t="str">
        <x:v>term-57503d730c4c</x:v>
      </x:c>
      <x:c r="B331" s="14" t="str">
        <x:v>Château Pichon Longueville Comtesse De Lalande</x:v>
      </x:c>
      <x:c r="C331" s="14" t="str"/>
      <x:c r="D331" s="14" t="str">
        <x:v>Château Pichon Longueville Comtesse De Lalande</x:v>
      </x:c>
      <x:c r="E331" s="14" t="str"/>
      <x:c r="F331" s="14" t="str">
        <x:v>生産者</x:v>
      </x:c>
      <x:c r="G331" s="14" t="str">
        <x:v>Château Pichon Longueville Comtesse De LalandeはPauillacの第2級。</x:v>
      </x:c>
      <x:c r="H331" s="14" t="str">
        <x:v>Château Pichon Longueville Comtesse De LalandeはPauillacの第2級。</x:v>
      </x:c>
      <x:c r="I331" s="14" t="str">
        <x:v>フランス</x:v>
      </x:c>
      <x:c r="J331" s="14" t="str">
        <x:v>Pauillac</x:v>
      </x:c>
      <x:c r="K331" s="14" t="str">
        <x:v>格付け;第2級;bordeaux_1855_medoc</x:v>
      </x:c>
      <x:c r="L331" s="14" t="str"/>
      <x:c r="M331" s="14" t="str">
        <x:v>bordeaux_1855_official</x:v>
      </x:c>
      <x:c r="N331" s="14" t="str">
        <x:v>2026-07-12</x:v>
      </x:c>
      <x:c r="O331" s="14" t="str">
        <x:v>Y</x:v>
      </x:c>
    </x:row>
    <x:row r="332" ht="15" hidden="0" customHeight="1">
      <x:c r="A332" s="14" t="str">
        <x:v>term-67af24c9c81b</x:v>
      </x:c>
      <x:c r="B332" s="14" t="str">
        <x:v>Château Pichon-Baron</x:v>
      </x:c>
      <x:c r="C332" s="14" t="str"/>
      <x:c r="D332" s="14" t="str">
        <x:v>Château Pichon-Baron</x:v>
      </x:c>
      <x:c r="E332" s="14" t="str"/>
      <x:c r="F332" s="14" t="str">
        <x:v>生産者</x:v>
      </x:c>
      <x:c r="G332" s="14" t="str">
        <x:v>Château Pichon-BaronはPauillacの第2級。</x:v>
      </x:c>
      <x:c r="H332" s="14" t="str">
        <x:v>Château Pichon-BaronはPauillacの第2級。</x:v>
      </x:c>
      <x:c r="I332" s="14" t="str">
        <x:v>フランス</x:v>
      </x:c>
      <x:c r="J332" s="14" t="str">
        <x:v>Pauillac</x:v>
      </x:c>
      <x:c r="K332" s="14" t="str">
        <x:v>格付け;第2級;bordeaux_1855_medoc</x:v>
      </x:c>
      <x:c r="L332" s="14" t="str"/>
      <x:c r="M332" s="14" t="str">
        <x:v>bordeaux_1855_official</x:v>
      </x:c>
      <x:c r="N332" s="14" t="str">
        <x:v>2026-07-12</x:v>
      </x:c>
      <x:c r="O332" s="14" t="str">
        <x:v>Y</x:v>
      </x:c>
    </x:row>
    <x:row r="333" ht="15" hidden="0" customHeight="1">
      <x:c r="A333" s="14" t="str">
        <x:v>term-5dca698ca3e4</x:v>
      </x:c>
      <x:c r="B333" s="14" t="str">
        <x:v>Château Pontet-Canet</x:v>
      </x:c>
      <x:c r="C333" s="14" t="str"/>
      <x:c r="D333" s="14" t="str">
        <x:v>Château Pontet-Canet</x:v>
      </x:c>
      <x:c r="E333" s="14" t="str"/>
      <x:c r="F333" s="14" t="str">
        <x:v>生産者</x:v>
      </x:c>
      <x:c r="G333" s="14" t="str">
        <x:v>Château Pontet-CanetはPauillacの第5級。</x:v>
      </x:c>
      <x:c r="H333" s="14" t="str">
        <x:v>Château Pontet-CanetはPauillacの第5級。</x:v>
      </x:c>
      <x:c r="I333" s="14" t="str">
        <x:v>フランス</x:v>
      </x:c>
      <x:c r="J333" s="14" t="str">
        <x:v>Pauillac</x:v>
      </x:c>
      <x:c r="K333" s="14" t="str">
        <x:v>格付け;第5級;bordeaux_1855_medoc</x:v>
      </x:c>
      <x:c r="L333" s="14" t="str"/>
      <x:c r="M333" s="14" t="str">
        <x:v>bordeaux_1855_official</x:v>
      </x:c>
      <x:c r="N333" s="14" t="str">
        <x:v>2026-07-12</x:v>
      </x:c>
      <x:c r="O333" s="14" t="str">
        <x:v>Y</x:v>
      </x:c>
    </x:row>
    <x:row r="334" ht="15" hidden="0" customHeight="1">
      <x:c r="A334" s="14" t="str">
        <x:v>term-339849f39089</x:v>
      </x:c>
      <x:c r="B334" s="14" t="str">
        <x:v>Château Pouget</x:v>
      </x:c>
      <x:c r="C334" s="14" t="str"/>
      <x:c r="D334" s="14" t="str">
        <x:v>Château Pouget</x:v>
      </x:c>
      <x:c r="E334" s="14" t="str"/>
      <x:c r="F334" s="14" t="str">
        <x:v>生産者</x:v>
      </x:c>
      <x:c r="G334" s="14" t="str">
        <x:v>Château PougetはMargauxの第4級。</x:v>
      </x:c>
      <x:c r="H334" s="14" t="str">
        <x:v>Château PougetはMargauxの第4級。</x:v>
      </x:c>
      <x:c r="I334" s="14" t="str">
        <x:v>フランス</x:v>
      </x:c>
      <x:c r="J334" s="14" t="str">
        <x:v>Margaux</x:v>
      </x:c>
      <x:c r="K334" s="14" t="str">
        <x:v>格付け;第4級;bordeaux_1855_medoc</x:v>
      </x:c>
      <x:c r="L334" s="14" t="str"/>
      <x:c r="M334" s="14" t="str">
        <x:v>bordeaux_1855_official</x:v>
      </x:c>
      <x:c r="N334" s="14" t="str">
        <x:v>2026-07-12</x:v>
      </x:c>
      <x:c r="O334" s="14" t="str">
        <x:v>Y</x:v>
      </x:c>
    </x:row>
    <x:row r="335" ht="15" hidden="0" customHeight="1">
      <x:c r="A335" s="14" t="str">
        <x:v>term-36caeaf87ee5</x:v>
      </x:c>
      <x:c r="B335" s="14" t="str">
        <x:v>Château Prieure-Lichine</x:v>
      </x:c>
      <x:c r="C335" s="14" t="str"/>
      <x:c r="D335" s="14" t="str">
        <x:v>Château Prieure-Lichine</x:v>
      </x:c>
      <x:c r="E335" s="14" t="str"/>
      <x:c r="F335" s="14" t="str">
        <x:v>生産者</x:v>
      </x:c>
      <x:c r="G335" s="14" t="str">
        <x:v>Château Prieure-LichineはMargauxの第4級。</x:v>
      </x:c>
      <x:c r="H335" s="14" t="str">
        <x:v>Château Prieure-LichineはMargauxの第4級。</x:v>
      </x:c>
      <x:c r="I335" s="14" t="str">
        <x:v>フランス</x:v>
      </x:c>
      <x:c r="J335" s="14" t="str">
        <x:v>Margaux</x:v>
      </x:c>
      <x:c r="K335" s="14" t="str">
        <x:v>格付け;第4級;bordeaux_1855_medoc</x:v>
      </x:c>
      <x:c r="L335" s="14" t="str"/>
      <x:c r="M335" s="14" t="str">
        <x:v>bordeaux_1855_official</x:v>
      </x:c>
      <x:c r="N335" s="14" t="str">
        <x:v>2026-07-12</x:v>
      </x:c>
      <x:c r="O335" s="14" t="str">
        <x:v>Y</x:v>
      </x:c>
    </x:row>
    <x:row r="336" ht="26.399999618530273" hidden="0" customHeight="1">
      <x:c r="A336" s="14" t="str">
        <x:v>term-da979e805a17</x:v>
      </x:c>
      <x:c r="B336" s="14" t="str">
        <x:v>Château Rabaud-Promis</x:v>
      </x:c>
      <x:c r="C336" s="14" t="str"/>
      <x:c r="D336" s="14" t="str">
        <x:v>Château Rabaud-Promis</x:v>
      </x:c>
      <x:c r="E336" s="14" t="str"/>
      <x:c r="F336" s="14" t="str">
        <x:v>生産者</x:v>
      </x:c>
      <x:c r="G336" s="14" t="str">
        <x:v>Château Rabaud-PromisはSauternesの第1級。</x:v>
      </x:c>
      <x:c r="H336" s="14" t="str">
        <x:v>Château Rabaud-PromisはSauternesの第1級。</x:v>
      </x:c>
      <x:c r="I336" s="14" t="str">
        <x:v>フランス</x:v>
      </x:c>
      <x:c r="J336" s="14" t="str">
        <x:v>Sauternes</x:v>
      </x:c>
      <x:c r="K336" s="14" t="str">
        <x:v>格付け;第1級;bordeaux_1855_sauternes</x:v>
      </x:c>
      <x:c r="L336" s="14" t="str"/>
      <x:c r="M336" s="14" t="str">
        <x:v>bordeaux_1855_official</x:v>
      </x:c>
      <x:c r="N336" s="14" t="str">
        <x:v>2026-07-12</x:v>
      </x:c>
      <x:c r="O336" s="14" t="str">
        <x:v>Y</x:v>
      </x:c>
    </x:row>
    <x:row r="337" ht="15" hidden="0" customHeight="1">
      <x:c r="A337" s="14" t="str">
        <x:v>term-392444913402</x:v>
      </x:c>
      <x:c r="B337" s="14" t="str">
        <x:v>Château Rauzan-Gassies</x:v>
      </x:c>
      <x:c r="C337" s="14" t="str"/>
      <x:c r="D337" s="14" t="str">
        <x:v>Château Rauzan-Gassies</x:v>
      </x:c>
      <x:c r="E337" s="14" t="str"/>
      <x:c r="F337" s="14" t="str">
        <x:v>生産者</x:v>
      </x:c>
      <x:c r="G337" s="14" t="str">
        <x:v>Château Rauzan-GassiesはMargauxの第2級。</x:v>
      </x:c>
      <x:c r="H337" s="14" t="str">
        <x:v>Château Rauzan-GassiesはMargauxの第2級。</x:v>
      </x:c>
      <x:c r="I337" s="14" t="str">
        <x:v>フランス</x:v>
      </x:c>
      <x:c r="J337" s="14" t="str">
        <x:v>Margaux</x:v>
      </x:c>
      <x:c r="K337" s="14" t="str">
        <x:v>格付け;第2級;bordeaux_1855_medoc</x:v>
      </x:c>
      <x:c r="L337" s="14" t="str"/>
      <x:c r="M337" s="14" t="str">
        <x:v>bordeaux_1855_official</x:v>
      </x:c>
      <x:c r="N337" s="14" t="str">
        <x:v>2026-07-12</x:v>
      </x:c>
      <x:c r="O337" s="14" t="str">
        <x:v>Y</x:v>
      </x:c>
    </x:row>
    <x:row r="338" ht="15" hidden="0" customHeight="1">
      <x:c r="A338" s="14" t="str">
        <x:v>term-4e881ca5a5a7</x:v>
      </x:c>
      <x:c r="B338" s="14" t="str">
        <x:v>Château Rauzan-Segla</x:v>
      </x:c>
      <x:c r="C338" s="14" t="str"/>
      <x:c r="D338" s="14" t="str">
        <x:v>Château Rauzan-Segla</x:v>
      </x:c>
      <x:c r="E338" s="14" t="str"/>
      <x:c r="F338" s="14" t="str">
        <x:v>生産者</x:v>
      </x:c>
      <x:c r="G338" s="14" t="str">
        <x:v>Château Rauzan-SeglaはMargauxの第2級。</x:v>
      </x:c>
      <x:c r="H338" s="14" t="str">
        <x:v>Château Rauzan-SeglaはMargauxの第2級。</x:v>
      </x:c>
      <x:c r="I338" s="14" t="str">
        <x:v>フランス</x:v>
      </x:c>
      <x:c r="J338" s="14" t="str">
        <x:v>Margaux</x:v>
      </x:c>
      <x:c r="K338" s="14" t="str">
        <x:v>格付け;第2級;bordeaux_1855_medoc</x:v>
      </x:c>
      <x:c r="L338" s="14" t="str"/>
      <x:c r="M338" s="14" t="str">
        <x:v>bordeaux_1855_official</x:v>
      </x:c>
      <x:c r="N338" s="14" t="str">
        <x:v>2026-07-12</x:v>
      </x:c>
      <x:c r="O338" s="14" t="str">
        <x:v>Y</x:v>
      </x:c>
    </x:row>
    <x:row r="339" ht="26.399999618530273" hidden="0" customHeight="1">
      <x:c r="A339" s="14" t="str">
        <x:v>term-e2aa475326c1</x:v>
      </x:c>
      <x:c r="B339" s="14" t="str">
        <x:v>Château Rieussec</x:v>
      </x:c>
      <x:c r="C339" s="14" t="str"/>
      <x:c r="D339" s="14" t="str">
        <x:v>Château Rieussec</x:v>
      </x:c>
      <x:c r="E339" s="14" t="str"/>
      <x:c r="F339" s="14" t="str">
        <x:v>生産者</x:v>
      </x:c>
      <x:c r="G339" s="14" t="str">
        <x:v>Château RieussecはSauternesの第1級。</x:v>
      </x:c>
      <x:c r="H339" s="14" t="str">
        <x:v>Château RieussecはSauternesの第1級。</x:v>
      </x:c>
      <x:c r="I339" s="14" t="str">
        <x:v>フランス</x:v>
      </x:c>
      <x:c r="J339" s="14" t="str">
        <x:v>Sauternes</x:v>
      </x:c>
      <x:c r="K339" s="14" t="str">
        <x:v>格付け;第1級;bordeaux_1855_sauternes</x:v>
      </x:c>
      <x:c r="L339" s="14" t="str"/>
      <x:c r="M339" s="14" t="str">
        <x:v>bordeaux_1855_official</x:v>
      </x:c>
      <x:c r="N339" s="14" t="str">
        <x:v>2026-07-12</x:v>
      </x:c>
      <x:c r="O339" s="14" t="str">
        <x:v>Y</x:v>
      </x:c>
    </x:row>
    <x:row r="340" ht="26.399999618530273" hidden="0" customHeight="1">
      <x:c r="A340" s="14" t="str">
        <x:v>term-96bde92d4f86</x:v>
      </x:c>
      <x:c r="B340" s="14" t="str">
        <x:v>Château Ripeau</x:v>
      </x:c>
      <x:c r="C340" s="14" t="str"/>
      <x:c r="D340" s="14" t="str">
        <x:v>Château Ripeau</x:v>
      </x:c>
      <x:c r="E340" s="14" t="str"/>
      <x:c r="F340" s="14" t="str">
        <x:v>生産者</x:v>
      </x:c>
      <x:c r="G340" s="14" t="str">
        <x:v>Château RipeauはSaint-ÉmilionのGrand Cru Classé。</x:v>
      </x:c>
      <x:c r="H340" s="14" t="str">
        <x:v>Château RipeauはSaint-ÉmilionのGrand Cru Classé。</x:v>
      </x:c>
      <x:c r="I340" s="14" t="str">
        <x:v>フランス</x:v>
      </x:c>
      <x:c r="J340" s="14" t="str">
        <x:v>Saint-Émilion</x:v>
      </x:c>
      <x:c r="K340" s="14" t="str">
        <x:v>格付け;Grand Cru Classé;bordeaux_saint_emilion_2022</x:v>
      </x:c>
      <x:c r="L340" s="14" t="str"/>
      <x:c r="M340" s="14" t="str">
        <x:v>saint_emilion_2022_official</x:v>
      </x:c>
      <x:c r="N340" s="14" t="str">
        <x:v>2026-07-12</x:v>
      </x:c>
      <x:c r="O340" s="14" t="str">
        <x:v>Y</x:v>
      </x:c>
    </x:row>
    <x:row r="341" ht="26.399999618530273" hidden="0" customHeight="1">
      <x:c r="A341" s="14" t="str">
        <x:v>term-1da2306ae154</x:v>
      </x:c>
      <x:c r="B341" s="14" t="str">
        <x:v>Château Rochebelle</x:v>
      </x:c>
      <x:c r="C341" s="14" t="str"/>
      <x:c r="D341" s="14" t="str">
        <x:v>Château Rochebelle</x:v>
      </x:c>
      <x:c r="E341" s="14" t="str"/>
      <x:c r="F341" s="14" t="str">
        <x:v>生産者</x:v>
      </x:c>
      <x:c r="G341" s="14" t="str">
        <x:v>Château RochebelleはSaint-ÉmilionのGrand Cru Classé。</x:v>
      </x:c>
      <x:c r="H341" s="14" t="str">
        <x:v>Château RochebelleはSaint-ÉmilionのGrand Cru Classé。</x:v>
      </x:c>
      <x:c r="I341" s="14" t="str">
        <x:v>フランス</x:v>
      </x:c>
      <x:c r="J341" s="14" t="str">
        <x:v>Saint-Émilion</x:v>
      </x:c>
      <x:c r="K341" s="14" t="str">
        <x:v>格付け;Grand Cru Classé;bordeaux_saint_emilion_2022</x:v>
      </x:c>
      <x:c r="L341" s="14" t="str"/>
      <x:c r="M341" s="14" t="str">
        <x:v>saint_emilion_2022_official</x:v>
      </x:c>
      <x:c r="N341" s="14" t="str">
        <x:v>2026-07-12</x:v>
      </x:c>
      <x:c r="O341" s="14" t="str">
        <x:v>Y</x:v>
      </x:c>
    </x:row>
    <x:row r="342" ht="26.399999618530273" hidden="0" customHeight="1">
      <x:c r="A342" s="14" t="str">
        <x:v>term-cbffbf6291cb</x:v>
      </x:c>
      <x:c r="B342" s="14" t="str">
        <x:v>Château Rol Valentin</x:v>
      </x:c>
      <x:c r="C342" s="14" t="str"/>
      <x:c r="D342" s="14" t="str">
        <x:v>Château Rol Valentin</x:v>
      </x:c>
      <x:c r="E342" s="14" t="str"/>
      <x:c r="F342" s="14" t="str">
        <x:v>生産者</x:v>
      </x:c>
      <x:c r="G342" s="14" t="str">
        <x:v>Château Rol ValentinはSaint-ÉmilionのGrand Cru Classé。</x:v>
      </x:c>
      <x:c r="H342" s="14" t="str">
        <x:v>Château Rol ValentinはSaint-ÉmilionのGrand Cru Classé。</x:v>
      </x:c>
      <x:c r="I342" s="14" t="str">
        <x:v>フランス</x:v>
      </x:c>
      <x:c r="J342" s="14" t="str">
        <x:v>Saint-Émilion</x:v>
      </x:c>
      <x:c r="K342" s="14" t="str">
        <x:v>格付け;Grand Cru Classé;bordeaux_saint_emilion_2022</x:v>
      </x:c>
      <x:c r="L342" s="14" t="str"/>
      <x:c r="M342" s="14" t="str">
        <x:v>saint_emilion_2022_official</x:v>
      </x:c>
      <x:c r="N342" s="14" t="str">
        <x:v>2026-07-12</x:v>
      </x:c>
      <x:c r="O342" s="14" t="str">
        <x:v>Y</x:v>
      </x:c>
    </x:row>
    <x:row r="343" ht="26.399999618530273" hidden="0" customHeight="1">
      <x:c r="A343" s="14" t="str">
        <x:v>term-3e47e37e5e2c</x:v>
      </x:c>
      <x:c r="B343" s="14" t="str">
        <x:v>Château Romer</x:v>
      </x:c>
      <x:c r="C343" s="14" t="str"/>
      <x:c r="D343" s="14" t="str">
        <x:v>Château Romer</x:v>
      </x:c>
      <x:c r="E343" s="14" t="str"/>
      <x:c r="F343" s="14" t="str">
        <x:v>生産者</x:v>
      </x:c>
      <x:c r="G343" s="14" t="str">
        <x:v>Château RomerはSauternesの第2級。</x:v>
      </x:c>
      <x:c r="H343" s="14" t="str">
        <x:v>Château RomerはSauternesの第2級。</x:v>
      </x:c>
      <x:c r="I343" s="14" t="str">
        <x:v>フランス</x:v>
      </x:c>
      <x:c r="J343" s="14" t="str">
        <x:v>Sauternes</x:v>
      </x:c>
      <x:c r="K343" s="14" t="str">
        <x:v>格付け;第2級;bordeaux_1855_sauternes</x:v>
      </x:c>
      <x:c r="L343" s="14" t="str"/>
      <x:c r="M343" s="14" t="str">
        <x:v>bordeaux_1855_official</x:v>
      </x:c>
      <x:c r="N343" s="14" t="str">
        <x:v>2026-07-12</x:v>
      </x:c>
      <x:c r="O343" s="14" t="str">
        <x:v>Y</x:v>
      </x:c>
    </x:row>
    <x:row r="344" ht="26.399999618530273" hidden="0" customHeight="1">
      <x:c r="A344" s="14" t="str">
        <x:v>term-ba51b054f730</x:v>
      </x:c>
      <x:c r="B344" s="14" t="str">
        <x:v>Château Romer-Du-Hayot</x:v>
      </x:c>
      <x:c r="C344" s="14" t="str"/>
      <x:c r="D344" s="14" t="str">
        <x:v>Château Romer-Du-Hayot</x:v>
      </x:c>
      <x:c r="E344" s="14" t="str"/>
      <x:c r="F344" s="14" t="str">
        <x:v>生産者</x:v>
      </x:c>
      <x:c r="G344" s="14" t="str">
        <x:v>Château Romer-Du-HayotはSauternesの第2級。</x:v>
      </x:c>
      <x:c r="H344" s="14" t="str">
        <x:v>Château Romer-Du-HayotはSauternesの第2級。</x:v>
      </x:c>
      <x:c r="I344" s="14" t="str">
        <x:v>フランス</x:v>
      </x:c>
      <x:c r="J344" s="14" t="str">
        <x:v>Sauternes</x:v>
      </x:c>
      <x:c r="K344" s="14" t="str">
        <x:v>格付け;第2級;bordeaux_1855_sauternes</x:v>
      </x:c>
      <x:c r="L344" s="14" t="str"/>
      <x:c r="M344" s="14" t="str">
        <x:v>bordeaux_1855_official</x:v>
      </x:c>
      <x:c r="N344" s="14" t="str">
        <x:v>2026-07-12</x:v>
      </x:c>
      <x:c r="O344" s="14" t="str">
        <x:v>Y</x:v>
      </x:c>
    </x:row>
    <x:row r="345" ht="26.399999618530273" hidden="0" customHeight="1">
      <x:c r="A345" s="14" t="str">
        <x:v>term-02f79210dd25</x:v>
      </x:c>
      <x:c r="B345" s="14" t="str">
        <x:v>Château Saint-Georges-Cote-Pavie</x:v>
      </x:c>
      <x:c r="C345" s="14" t="str"/>
      <x:c r="D345" s="14" t="str">
        <x:v>Château Saint-Georges-Cote-Pavie</x:v>
      </x:c>
      <x:c r="E345" s="14" t="str"/>
      <x:c r="F345" s="14" t="str">
        <x:v>生産者</x:v>
      </x:c>
      <x:c r="G345" s="14" t="str">
        <x:v>Château Saint-Georges-Cote-PavieはSaint-ÉmilionのGrand Cru Classé。</x:v>
      </x:c>
      <x:c r="H345" s="14" t="str">
        <x:v>Château Saint-Georges-Cote-PavieはSaint-ÉmilionのGrand Cru Classé。</x:v>
      </x:c>
      <x:c r="I345" s="14" t="str">
        <x:v>フランス</x:v>
      </x:c>
      <x:c r="J345" s="14" t="str">
        <x:v>Saint-Émilion</x:v>
      </x:c>
      <x:c r="K345" s="14" t="str">
        <x:v>格付け;Grand Cru Classé;bordeaux_saint_emilion_2022</x:v>
      </x:c>
      <x:c r="L345" s="14" t="str"/>
      <x:c r="M345" s="14" t="str">
        <x:v>saint_emilion_2022_official</x:v>
      </x:c>
      <x:c r="N345" s="14" t="str">
        <x:v>2026-07-12</x:v>
      </x:c>
      <x:c r="O345" s="14" t="str">
        <x:v>Y</x:v>
      </x:c>
    </x:row>
    <x:row r="346" ht="15" hidden="0" customHeight="1">
      <x:c r="A346" s="14" t="str">
        <x:v>term-d7cb6ca7dc95</x:v>
      </x:c>
      <x:c r="B346" s="14" t="str">
        <x:v>Château Saint-Pierre</x:v>
      </x:c>
      <x:c r="C346" s="14" t="str"/>
      <x:c r="D346" s="14" t="str">
        <x:v>Château Saint-Pierre</x:v>
      </x:c>
      <x:c r="E346" s="14" t="str"/>
      <x:c r="F346" s="14" t="str">
        <x:v>生産者</x:v>
      </x:c>
      <x:c r="G346" s="14" t="str">
        <x:v>Château Saint-PierreはSaint-Julienの第4級。</x:v>
      </x:c>
      <x:c r="H346" s="14" t="str">
        <x:v>Château Saint-PierreはSaint-Julienの第4級。</x:v>
      </x:c>
      <x:c r="I346" s="14" t="str">
        <x:v>フランス</x:v>
      </x:c>
      <x:c r="J346" s="14" t="str">
        <x:v>Saint-Julien</x:v>
      </x:c>
      <x:c r="K346" s="14" t="str">
        <x:v>格付け;第4級;bordeaux_1855_medoc</x:v>
      </x:c>
      <x:c r="L346" s="14" t="str"/>
      <x:c r="M346" s="14" t="str">
        <x:v>bordeaux_1855_official</x:v>
      </x:c>
      <x:c r="N346" s="14" t="str">
        <x:v>2026-07-12</x:v>
      </x:c>
      <x:c r="O346" s="14" t="str">
        <x:v>Y</x:v>
      </x:c>
    </x:row>
    <x:row r="347" ht="26.399999618530273" hidden="0" customHeight="1">
      <x:c r="A347" s="14" t="str">
        <x:v>term-6f4d0b402ec6</x:v>
      </x:c>
      <x:c r="B347" s="14" t="str">
        <x:v>Château Sansonnet</x:v>
      </x:c>
      <x:c r="C347" s="14" t="str"/>
      <x:c r="D347" s="14" t="str">
        <x:v>Château Sansonnet</x:v>
      </x:c>
      <x:c r="E347" s="14" t="str"/>
      <x:c r="F347" s="14" t="str">
        <x:v>生産者</x:v>
      </x:c>
      <x:c r="G347" s="14" t="str">
        <x:v>Château SansonnetはSaint-ÉmilionのGrand Cru Classé。</x:v>
      </x:c>
      <x:c r="H347" s="14" t="str">
        <x:v>Château SansonnetはSaint-ÉmilionのGrand Cru Classé。</x:v>
      </x:c>
      <x:c r="I347" s="14" t="str">
        <x:v>フランス</x:v>
      </x:c>
      <x:c r="J347" s="14" t="str">
        <x:v>Saint-Émilion</x:v>
      </x:c>
      <x:c r="K347" s="14" t="str">
        <x:v>格付け;Grand Cru Classé;bordeaux_saint_emilion_2022</x:v>
      </x:c>
      <x:c r="L347" s="14" t="str"/>
      <x:c r="M347" s="14" t="str">
        <x:v>saint_emilion_2022_official</x:v>
      </x:c>
      <x:c r="N347" s="14" t="str">
        <x:v>2026-07-12</x:v>
      </x:c>
      <x:c r="O347" s="14" t="str">
        <x:v>Y</x:v>
      </x:c>
    </x:row>
    <x:row r="348" ht="26.399999618530273" hidden="0" customHeight="1">
      <x:c r="A348" s="14" t="str">
        <x:v>term-b14e02ebc8c8</x:v>
      </x:c>
      <x:c r="B348" s="14" t="str">
        <x:v>Château Sigalas-Rabaud</x:v>
      </x:c>
      <x:c r="C348" s="14" t="str"/>
      <x:c r="D348" s="14" t="str">
        <x:v>Château Sigalas-Rabaud</x:v>
      </x:c>
      <x:c r="E348" s="14" t="str"/>
      <x:c r="F348" s="14" t="str">
        <x:v>生産者</x:v>
      </x:c>
      <x:c r="G348" s="14" t="str">
        <x:v>Château Sigalas-RabaudはSauternesの第1級。</x:v>
      </x:c>
      <x:c r="H348" s="14" t="str">
        <x:v>Château Sigalas-RabaudはSauternesの第1級。</x:v>
      </x:c>
      <x:c r="I348" s="14" t="str">
        <x:v>フランス</x:v>
      </x:c>
      <x:c r="J348" s="14" t="str">
        <x:v>Sauternes</x:v>
      </x:c>
      <x:c r="K348" s="14" t="str">
        <x:v>格付け;第1級;bordeaux_1855_sauternes</x:v>
      </x:c>
      <x:c r="L348" s="14" t="str"/>
      <x:c r="M348" s="14" t="str">
        <x:v>bordeaux_1855_official</x:v>
      </x:c>
      <x:c r="N348" s="14" t="str">
        <x:v>2026-07-12</x:v>
      </x:c>
      <x:c r="O348" s="14" t="str">
        <x:v>Y</x:v>
      </x:c>
    </x:row>
    <x:row r="349" ht="26.399999618530273" hidden="0" customHeight="1">
      <x:c r="A349" s="14" t="str">
        <x:v>term-a6bee2e040ec</x:v>
      </x:c>
      <x:c r="B349" s="14" t="str">
        <x:v>Château Smith Haut Lafitte</x:v>
      </x:c>
      <x:c r="C349" s="14" t="str"/>
      <x:c r="D349" s="14" t="str">
        <x:v>Château Smith Haut Lafitte</x:v>
      </x:c>
      <x:c r="E349" s="14" t="str"/>
      <x:c r="F349" s="14" t="str">
        <x:v>生産者</x:v>
      </x:c>
      <x:c r="G349" s="14" t="str">
        <x:v>Château Smith Haut LafitteはPessac-LéognanのCru Classé de Graves。</x:v>
      </x:c>
      <x:c r="H349" s="14" t="str">
        <x:v>Château Smith Haut LafitteはPessac-LéognanのCru Classé de Graves。</x:v>
      </x:c>
      <x:c r="I349" s="14" t="str">
        <x:v>フランス</x:v>
      </x:c>
      <x:c r="J349" s="14" t="str">
        <x:v>Pessac-Léognan</x:v>
      </x:c>
      <x:c r="K349" s="14" t="str">
        <x:v>格付け;Cru Classé de Graves;bordeaux_graves</x:v>
      </x:c>
      <x:c r="L349" s="14" t="str"/>
      <x:c r="M349" s="14" t="str">
        <x:v>bordeaux_graves_official</x:v>
      </x:c>
      <x:c r="N349" s="14" t="str">
        <x:v>2026-07-12</x:v>
      </x:c>
      <x:c r="O349" s="14" t="str">
        <x:v>Y</x:v>
      </x:c>
    </x:row>
    <x:row r="350" ht="26.399999618530273" hidden="0" customHeight="1">
      <x:c r="A350" s="14" t="str">
        <x:v>term-a6ad50e4dfee</x:v>
      </x:c>
      <x:c r="B350" s="14" t="str">
        <x:v>Château Soutard</x:v>
      </x:c>
      <x:c r="C350" s="14" t="str"/>
      <x:c r="D350" s="14" t="str">
        <x:v>Château Soutard</x:v>
      </x:c>
      <x:c r="E350" s="14" t="str"/>
      <x:c r="F350" s="14" t="str">
        <x:v>生産者</x:v>
      </x:c>
      <x:c r="G350" s="14" t="str">
        <x:v>Château SoutardはSaint-ÉmilionのGrand Cru Classé。</x:v>
      </x:c>
      <x:c r="H350" s="14" t="str">
        <x:v>Château SoutardはSaint-ÉmilionのGrand Cru Classé。</x:v>
      </x:c>
      <x:c r="I350" s="14" t="str">
        <x:v>フランス</x:v>
      </x:c>
      <x:c r="J350" s="14" t="str">
        <x:v>Saint-Émilion</x:v>
      </x:c>
      <x:c r="K350" s="14" t="str">
        <x:v>格付け;Grand Cru Classé;bordeaux_saint_emilion_2022</x:v>
      </x:c>
      <x:c r="L350" s="14" t="str"/>
      <x:c r="M350" s="14" t="str">
        <x:v>saint_emilion_2022_official</x:v>
      </x:c>
      <x:c r="N350" s="14" t="str">
        <x:v>2026-07-12</x:v>
      </x:c>
      <x:c r="O350" s="14" t="str">
        <x:v>Y</x:v>
      </x:c>
    </x:row>
    <x:row r="351" ht="26.399999618530273" hidden="0" customHeight="1">
      <x:c r="A351" s="14" t="str">
        <x:v>term-597018e01631</x:v>
      </x:c>
      <x:c r="B351" s="14" t="str">
        <x:v>Château Suau</x:v>
      </x:c>
      <x:c r="C351" s="14" t="str"/>
      <x:c r="D351" s="14" t="str">
        <x:v>Château Suau</x:v>
      </x:c>
      <x:c r="E351" s="14" t="str"/>
      <x:c r="F351" s="14" t="str">
        <x:v>生産者</x:v>
      </x:c>
      <x:c r="G351" s="14" t="str">
        <x:v>Château SuauはBarsacの第2級。</x:v>
      </x:c>
      <x:c r="H351" s="14" t="str">
        <x:v>Château SuauはBarsacの第2級。</x:v>
      </x:c>
      <x:c r="I351" s="14" t="str">
        <x:v>フランス</x:v>
      </x:c>
      <x:c r="J351" s="14" t="str">
        <x:v>Barsac</x:v>
      </x:c>
      <x:c r="K351" s="14" t="str">
        <x:v>格付け;第2級;bordeaux_1855_sauternes</x:v>
      </x:c>
      <x:c r="L351" s="14" t="str"/>
      <x:c r="M351" s="14" t="str">
        <x:v>bordeaux_1855_official</x:v>
      </x:c>
      <x:c r="N351" s="14" t="str">
        <x:v>2026-07-12</x:v>
      </x:c>
      <x:c r="O351" s="14" t="str">
        <x:v>Y</x:v>
      </x:c>
    </x:row>
    <x:row r="352" ht="26.399999618530273" hidden="0" customHeight="1">
      <x:c r="A352" s="14" t="str">
        <x:v>term-535f7750762c</x:v>
      </x:c>
      <x:c r="B352" s="14" t="str">
        <x:v>Château Suduiraut</x:v>
      </x:c>
      <x:c r="C352" s="14" t="str"/>
      <x:c r="D352" s="14" t="str">
        <x:v>Château Suduiraut</x:v>
      </x:c>
      <x:c r="E352" s="14" t="str"/>
      <x:c r="F352" s="14" t="str">
        <x:v>生産者</x:v>
      </x:c>
      <x:c r="G352" s="14" t="str">
        <x:v>Château SuduirautはSauternesの第1級。</x:v>
      </x:c>
      <x:c r="H352" s="14" t="str">
        <x:v>Château SuduirautはSauternesの第1級。</x:v>
      </x:c>
      <x:c r="I352" s="14" t="str">
        <x:v>フランス</x:v>
      </x:c>
      <x:c r="J352" s="14" t="str">
        <x:v>Sauternes</x:v>
      </x:c>
      <x:c r="K352" s="14" t="str">
        <x:v>格付け;第1級;bordeaux_1855_sauternes</x:v>
      </x:c>
      <x:c r="L352" s="14" t="str"/>
      <x:c r="M352" s="14" t="str">
        <x:v>bordeaux_1855_official</x:v>
      </x:c>
      <x:c r="N352" s="14" t="str">
        <x:v>2026-07-12</x:v>
      </x:c>
      <x:c r="O352" s="14" t="str">
        <x:v>Y</x:v>
      </x:c>
    </x:row>
    <x:row r="353" ht="15" hidden="0" customHeight="1">
      <x:c r="A353" s="14" t="str">
        <x:v>term-fd7a6b2b681a</x:v>
      </x:c>
      <x:c r="B353" s="14" t="str">
        <x:v>Château Talbot</x:v>
      </x:c>
      <x:c r="C353" s="14" t="str"/>
      <x:c r="D353" s="14" t="str">
        <x:v>Château Talbot</x:v>
      </x:c>
      <x:c r="E353" s="14" t="str"/>
      <x:c r="F353" s="14" t="str">
        <x:v>生産者</x:v>
      </x:c>
      <x:c r="G353" s="14" t="str">
        <x:v>Château TalbotはSaint-Julienの第4級。</x:v>
      </x:c>
      <x:c r="H353" s="14" t="str">
        <x:v>Château TalbotはSaint-Julienの第4級。</x:v>
      </x:c>
      <x:c r="I353" s="14" t="str">
        <x:v>フランス</x:v>
      </x:c>
      <x:c r="J353" s="14" t="str">
        <x:v>Saint-Julien</x:v>
      </x:c>
      <x:c r="K353" s="14" t="str">
        <x:v>格付け;第4級;bordeaux_1855_medoc</x:v>
      </x:c>
      <x:c r="L353" s="14" t="str"/>
      <x:c r="M353" s="14" t="str">
        <x:v>bordeaux_1855_official</x:v>
      </x:c>
      <x:c r="N353" s="14" t="str">
        <x:v>2026-07-12</x:v>
      </x:c>
      <x:c r="O353" s="14" t="str">
        <x:v>Y</x:v>
      </x:c>
    </x:row>
    <x:row r="354" ht="26.399999618530273" hidden="0" customHeight="1">
      <x:c r="A354" s="14" t="str">
        <x:v>term-6fcdc53533a6</x:v>
      </x:c>
      <x:c r="B354" s="14" t="str">
        <x:v>Château Tour Baladoz</x:v>
      </x:c>
      <x:c r="C354" s="14" t="str"/>
      <x:c r="D354" s="14" t="str">
        <x:v>Château Tour Baladoz</x:v>
      </x:c>
      <x:c r="E354" s="14" t="str"/>
      <x:c r="F354" s="14" t="str">
        <x:v>生産者</x:v>
      </x:c>
      <x:c r="G354" s="14" t="str">
        <x:v>Château Tour BaladozはSaint-ÉmilionのGrand Cru Classé。</x:v>
      </x:c>
      <x:c r="H354" s="14" t="str">
        <x:v>Château Tour BaladozはSaint-ÉmilionのGrand Cru Classé。</x:v>
      </x:c>
      <x:c r="I354" s="14" t="str">
        <x:v>フランス</x:v>
      </x:c>
      <x:c r="J354" s="14" t="str">
        <x:v>Saint-Émilion</x:v>
      </x:c>
      <x:c r="K354" s="14" t="str">
        <x:v>格付け;Grand Cru Classé;bordeaux_saint_emilion_2022</x:v>
      </x:c>
      <x:c r="L354" s="14" t="str"/>
      <x:c r="M354" s="14" t="str">
        <x:v>saint_emilion_2022_official</x:v>
      </x:c>
      <x:c r="N354" s="14" t="str">
        <x:v>2026-07-12</x:v>
      </x:c>
      <x:c r="O354" s="14" t="str">
        <x:v>Y</x:v>
      </x:c>
    </x:row>
    <x:row r="355" ht="26.399999618530273" hidden="0" customHeight="1">
      <x:c r="A355" s="14" t="str">
        <x:v>term-0e5455e7d20e</x:v>
      </x:c>
      <x:c r="B355" s="14" t="str">
        <x:v>Château Tour Saint-Christophe</x:v>
      </x:c>
      <x:c r="C355" s="14" t="str"/>
      <x:c r="D355" s="14" t="str">
        <x:v>Château Tour Saint-Christophe</x:v>
      </x:c>
      <x:c r="E355" s="14" t="str"/>
      <x:c r="F355" s="14" t="str">
        <x:v>生産者</x:v>
      </x:c>
      <x:c r="G355" s="14" t="str">
        <x:v>Château Tour Saint-ChristopheはSaint-ÉmilionのGrand Cru Classé。</x:v>
      </x:c>
      <x:c r="H355" s="14" t="str">
        <x:v>Château Tour Saint-ChristopheはSaint-ÉmilionのGrand Cru Classé。</x:v>
      </x:c>
      <x:c r="I355" s="14" t="str">
        <x:v>フランス</x:v>
      </x:c>
      <x:c r="J355" s="14" t="str">
        <x:v>Saint-Émilion</x:v>
      </x:c>
      <x:c r="K355" s="14" t="str">
        <x:v>格付け;Grand Cru Classé;bordeaux_saint_emilion_2022</x:v>
      </x:c>
      <x:c r="L355" s="14" t="str"/>
      <x:c r="M355" s="14" t="str">
        <x:v>saint_emilion_2022_official</x:v>
      </x:c>
      <x:c r="N355" s="14" t="str">
        <x:v>2026-07-12</x:v>
      </x:c>
      <x:c r="O355" s="14" t="str">
        <x:v>Y</x:v>
      </x:c>
    </x:row>
    <x:row r="356" ht="26.399999618530273" hidden="0" customHeight="1">
      <x:c r="A356" s="14" t="str">
        <x:v>term-ee3c8e47326c</x:v>
      </x:c>
      <x:c r="B356" s="14" t="str">
        <x:v>Château Trolong Mondot</x:v>
      </x:c>
      <x:c r="C356" s="14" t="str"/>
      <x:c r="D356" s="14" t="str">
        <x:v>Château Trolong Mondot</x:v>
      </x:c>
      <x:c r="E356" s="14" t="str"/>
      <x:c r="F356" s="14" t="str">
        <x:v>生産者</x:v>
      </x:c>
      <x:c r="G356" s="14" t="str">
        <x:v>Château Trolong MondotはSaint-ÉmilionのPremier Grand Cru Classé B。</x:v>
      </x:c>
      <x:c r="H356" s="14" t="str">
        <x:v>Château Trolong MondotはSaint-ÉmilionのPremier Grand Cru Classé B。</x:v>
      </x:c>
      <x:c r="I356" s="14" t="str">
        <x:v>フランス</x:v>
      </x:c>
      <x:c r="J356" s="14" t="str">
        <x:v>Saint-Émilion</x:v>
      </x:c>
      <x:c r="K356" s="14" t="str">
        <x:v>格付け;Premier Grand Cru Classé B;bordeaux_saint_emilion_2022</x:v>
      </x:c>
      <x:c r="L356" s="14" t="str"/>
      <x:c r="M356" s="14" t="str">
        <x:v>saint_emilion_2022_official</x:v>
      </x:c>
      <x:c r="N356" s="14" t="str">
        <x:v>2026-07-12</x:v>
      </x:c>
      <x:c r="O356" s="14" t="str">
        <x:v>Y</x:v>
      </x:c>
    </x:row>
    <x:row r="357" ht="26.399999618530273" hidden="0" customHeight="1">
      <x:c r="A357" s="14" t="str">
        <x:v>term-bbdffa96437b</x:v>
      </x:c>
      <x:c r="B357" s="14" t="str">
        <x:v>Château Trottevieille</x:v>
      </x:c>
      <x:c r="C357" s="14" t="str"/>
      <x:c r="D357" s="14" t="str">
        <x:v>Château Trottevieille</x:v>
      </x:c>
      <x:c r="E357" s="14" t="str"/>
      <x:c r="F357" s="14" t="str">
        <x:v>生産者</x:v>
      </x:c>
      <x:c r="G357" s="14" t="str">
        <x:v>Château TrottevieilleはSaint-ÉmilionのPremier Grand Cru Classé B。</x:v>
      </x:c>
      <x:c r="H357" s="14" t="str">
        <x:v>Château TrottevieilleはSaint-ÉmilionのPremier Grand Cru Classé B。</x:v>
      </x:c>
      <x:c r="I357" s="14" t="str">
        <x:v>フランス</x:v>
      </x:c>
      <x:c r="J357" s="14" t="str">
        <x:v>Saint-Émilion</x:v>
      </x:c>
      <x:c r="K357" s="14" t="str">
        <x:v>格付け;Premier Grand Cru Classé B;bordeaux_saint_emilion_2022</x:v>
      </x:c>
      <x:c r="L357" s="14" t="str"/>
      <x:c r="M357" s="14" t="str">
        <x:v>saint_emilion_2022_official</x:v>
      </x:c>
      <x:c r="N357" s="14" t="str">
        <x:v>2026-07-12</x:v>
      </x:c>
      <x:c r="O357" s="14" t="str">
        <x:v>Y</x:v>
      </x:c>
    </x:row>
    <x:row r="358" ht="26.399999618530273" hidden="0" customHeight="1">
      <x:c r="A358" s="14" t="str">
        <x:v>term-3e99d99a8c84</x:v>
      </x:c>
      <x:c r="B358" s="14" t="str">
        <x:v>Château Valandraud</x:v>
      </x:c>
      <x:c r="C358" s="14" t="str"/>
      <x:c r="D358" s="14" t="str">
        <x:v>Château Valandraud</x:v>
      </x:c>
      <x:c r="E358" s="14" t="str"/>
      <x:c r="F358" s="14" t="str">
        <x:v>生産者</x:v>
      </x:c>
      <x:c r="G358" s="14" t="str">
        <x:v>Château ValandraudはSaint-ÉmilionのPremier Grand Cru Classé B。</x:v>
      </x:c>
      <x:c r="H358" s="14" t="str">
        <x:v>Château ValandraudはSaint-ÉmilionのPremier Grand Cru Classé B。</x:v>
      </x:c>
      <x:c r="I358" s="14" t="str">
        <x:v>フランス</x:v>
      </x:c>
      <x:c r="J358" s="14" t="str">
        <x:v>Saint-Émilion</x:v>
      </x:c>
      <x:c r="K358" s="14" t="str">
        <x:v>格付け;Premier Grand Cru Classé B;bordeaux_saint_emilion_2022</x:v>
      </x:c>
      <x:c r="L358" s="14" t="str"/>
      <x:c r="M358" s="14" t="str">
        <x:v>saint_emilion_2022_official</x:v>
      </x:c>
      <x:c r="N358" s="14" t="str">
        <x:v>2026-07-12</x:v>
      </x:c>
      <x:c r="O358" s="14" t="str">
        <x:v>Y</x:v>
      </x:c>
    </x:row>
    <x:row r="359" ht="26.399999618530273" hidden="0" customHeight="1">
      <x:c r="A359" s="14" t="str">
        <x:v>term-29ca631c5900</x:v>
      </x:c>
      <x:c r="B359" s="14" t="str">
        <x:v>Château Villemaurine</x:v>
      </x:c>
      <x:c r="C359" s="14" t="str"/>
      <x:c r="D359" s="14" t="str">
        <x:v>Château Villemaurine</x:v>
      </x:c>
      <x:c r="E359" s="14" t="str"/>
      <x:c r="F359" s="14" t="str">
        <x:v>生産者</x:v>
      </x:c>
      <x:c r="G359" s="14" t="str">
        <x:v>Château VillemaurineはSaint-ÉmilionのGrand Cru Classé。</x:v>
      </x:c>
      <x:c r="H359" s="14" t="str">
        <x:v>Château VillemaurineはSaint-ÉmilionのGrand Cru Classé。</x:v>
      </x:c>
      <x:c r="I359" s="14" t="str">
        <x:v>フランス</x:v>
      </x:c>
      <x:c r="J359" s="14" t="str">
        <x:v>Saint-Émilion</x:v>
      </x:c>
      <x:c r="K359" s="14" t="str">
        <x:v>格付け;Grand Cru Classé;bordeaux_saint_emilion_2022</x:v>
      </x:c>
      <x:c r="L359" s="14" t="str"/>
      <x:c r="M359" s="14" t="str">
        <x:v>saint_emilion_2022_official</x:v>
      </x:c>
      <x:c r="N359" s="14" t="str">
        <x:v>2026-07-12</x:v>
      </x:c>
      <x:c r="O359" s="14" t="str">
        <x:v>Y</x:v>
      </x:c>
    </x:row>
    <x:row r="360" ht="26.399999618530273" hidden="0" customHeight="1">
      <x:c r="A360" s="14" t="str">
        <x:v>term-aa3c6434f5bc</x:v>
      </x:c>
      <x:c r="B360" s="14" t="str">
        <x:v>Château Yon-Figeac</x:v>
      </x:c>
      <x:c r="C360" s="14" t="str"/>
      <x:c r="D360" s="14" t="str">
        <x:v>Château Yon-Figeac</x:v>
      </x:c>
      <x:c r="E360" s="14" t="str"/>
      <x:c r="F360" s="14" t="str">
        <x:v>生産者</x:v>
      </x:c>
      <x:c r="G360" s="14" t="str">
        <x:v>Château Yon-FigeacはSaint-ÉmilionのGrand Cru Classé。</x:v>
      </x:c>
      <x:c r="H360" s="14" t="str">
        <x:v>Château Yon-FigeacはSaint-ÉmilionのGrand Cru Classé。</x:v>
      </x:c>
      <x:c r="I360" s="14" t="str">
        <x:v>フランス</x:v>
      </x:c>
      <x:c r="J360" s="14" t="str">
        <x:v>Saint-Émilion</x:v>
      </x:c>
      <x:c r="K360" s="14" t="str">
        <x:v>格付け;Grand Cru Classé;bordeaux_saint_emilion_2022</x:v>
      </x:c>
      <x:c r="L360" s="14" t="str"/>
      <x:c r="M360" s="14" t="str">
        <x:v>saint_emilion_2022_official</x:v>
      </x:c>
      <x:c r="N360" s="14" t="str">
        <x:v>2026-07-12</x:v>
      </x:c>
      <x:c r="O360" s="14" t="str">
        <x:v>Y</x:v>
      </x:c>
    </x:row>
    <x:row r="361" ht="15" hidden="0" customHeight="1">
      <x:c r="A361" s="14" t="str">
        <x:v>term-d48311f086cf</x:v>
      </x:c>
      <x:c r="B361" s="14" t="str">
        <x:v>Château de Camensac</x:v>
      </x:c>
      <x:c r="C361" s="14" t="str"/>
      <x:c r="D361" s="14" t="str">
        <x:v>Château de Camensac</x:v>
      </x:c>
      <x:c r="E361" s="14" t="str"/>
      <x:c r="F361" s="14" t="str">
        <x:v>生産者</x:v>
      </x:c>
      <x:c r="G361" s="14" t="str">
        <x:v>Château de CamensacはHaut-Médocの第5級。</x:v>
      </x:c>
      <x:c r="H361" s="14" t="str">
        <x:v>Château de CamensacはHaut-Médocの第5級。</x:v>
      </x:c>
      <x:c r="I361" s="14" t="str">
        <x:v>フランス</x:v>
      </x:c>
      <x:c r="J361" s="14" t="str">
        <x:v>Haut-Médoc</x:v>
      </x:c>
      <x:c r="K361" s="14" t="str">
        <x:v>格付け;第5級;bordeaux_1855_medoc</x:v>
      </x:c>
      <x:c r="L361" s="14" t="str"/>
      <x:c r="M361" s="14" t="str">
        <x:v>bordeaux_1855_official</x:v>
      </x:c>
      <x:c r="N361" s="14" t="str">
        <x:v>2026-07-12</x:v>
      </x:c>
      <x:c r="O361" s="14" t="str">
        <x:v>Y</x:v>
      </x:c>
    </x:row>
    <x:row r="362" ht="26.399999618530273" hidden="0" customHeight="1">
      <x:c r="A362" s="14" t="str">
        <x:v>term-713668e181fb</x:v>
      </x:c>
      <x:c r="B362" s="14" t="str">
        <x:v>Château de Ferrand</x:v>
      </x:c>
      <x:c r="C362" s="14" t="str"/>
      <x:c r="D362" s="14" t="str">
        <x:v>Château de Ferrand</x:v>
      </x:c>
      <x:c r="E362" s="14" t="str"/>
      <x:c r="F362" s="14" t="str">
        <x:v>生産者</x:v>
      </x:c>
      <x:c r="G362" s="14" t="str">
        <x:v>Château de FerrandはSaint-ÉmilionのGrand Cru Classé。</x:v>
      </x:c>
      <x:c r="H362" s="14" t="str">
        <x:v>Château de FerrandはSaint-ÉmilionのGrand Cru Classé。</x:v>
      </x:c>
      <x:c r="I362" s="14" t="str">
        <x:v>フランス</x:v>
      </x:c>
      <x:c r="J362" s="14" t="str">
        <x:v>Saint-Émilion</x:v>
      </x:c>
      <x:c r="K362" s="14" t="str">
        <x:v>格付け;Grand Cru Classé;bordeaux_saint_emilion_2022</x:v>
      </x:c>
      <x:c r="L362" s="14" t="str"/>
      <x:c r="M362" s="14" t="str">
        <x:v>saint_emilion_2022_official</x:v>
      </x:c>
      <x:c r="N362" s="14" t="str">
        <x:v>2026-07-12</x:v>
      </x:c>
      <x:c r="O362" s="14" t="str">
        <x:v>Y</x:v>
      </x:c>
    </x:row>
    <x:row r="363" ht="26.399999618530273" hidden="0" customHeight="1">
      <x:c r="A363" s="14" t="str">
        <x:v>term-ae269d296b33</x:v>
      </x:c>
      <x:c r="B363" s="14" t="str">
        <x:v>Château de Fieuzal</x:v>
      </x:c>
      <x:c r="C363" s="14" t="str"/>
      <x:c r="D363" s="14" t="str">
        <x:v>Château de Fieuzal</x:v>
      </x:c>
      <x:c r="E363" s="14" t="str"/>
      <x:c r="F363" s="14" t="str">
        <x:v>生産者</x:v>
      </x:c>
      <x:c r="G363" s="14" t="str">
        <x:v>Château de FieuzalはPessac-LéognanのCru Classé de Graves。</x:v>
      </x:c>
      <x:c r="H363" s="14" t="str">
        <x:v>Château de FieuzalはPessac-LéognanのCru Classé de Graves。</x:v>
      </x:c>
      <x:c r="I363" s="14" t="str">
        <x:v>フランス</x:v>
      </x:c>
      <x:c r="J363" s="14" t="str">
        <x:v>Pessac-Léognan</x:v>
      </x:c>
      <x:c r="K363" s="14" t="str">
        <x:v>格付け;Cru Classé de Graves;bordeaux_graves</x:v>
      </x:c>
      <x:c r="L363" s="14" t="str"/>
      <x:c r="M363" s="14" t="str">
        <x:v>bordeaux_graves_official</x:v>
      </x:c>
      <x:c r="N363" s="14" t="str">
        <x:v>2026-07-12</x:v>
      </x:c>
      <x:c r="O363" s="14" t="str">
        <x:v>Y</x:v>
      </x:c>
    </x:row>
    <x:row r="364" ht="26.399999618530273" hidden="0" customHeight="1">
      <x:c r="A364" s="14" t="str">
        <x:v>term-8452b12d1066</x:v>
      </x:c>
      <x:c r="B364" s="14" t="str">
        <x:v>Château de Malle</x:v>
      </x:c>
      <x:c r="C364" s="14" t="str"/>
      <x:c r="D364" s="14" t="str">
        <x:v>Château de Malle</x:v>
      </x:c>
      <x:c r="E364" s="14" t="str"/>
      <x:c r="F364" s="14" t="str">
        <x:v>生産者</x:v>
      </x:c>
      <x:c r="G364" s="14" t="str">
        <x:v>Château de MalleはSauternesの第2級。</x:v>
      </x:c>
      <x:c r="H364" s="14" t="str">
        <x:v>Château de MalleはSauternesの第2級。</x:v>
      </x:c>
      <x:c r="I364" s="14" t="str">
        <x:v>フランス</x:v>
      </x:c>
      <x:c r="J364" s="14" t="str">
        <x:v>Sauternes</x:v>
      </x:c>
      <x:c r="K364" s="14" t="str">
        <x:v>格付け;第2級;bordeaux_1855_sauternes</x:v>
      </x:c>
      <x:c r="L364" s="14" t="str"/>
      <x:c r="M364" s="14" t="str">
        <x:v>bordeaux_1855_official</x:v>
      </x:c>
      <x:c r="N364" s="14" t="str">
        <x:v>2026-07-12</x:v>
      </x:c>
      <x:c r="O364" s="14" t="str">
        <x:v>Y</x:v>
      </x:c>
    </x:row>
    <x:row r="365" ht="26.399999618530273" hidden="0" customHeight="1">
      <x:c r="A365" s="14" t="str">
        <x:v>term-6790a6944ca2</x:v>
      </x:c>
      <x:c r="B365" s="14" t="str">
        <x:v>Château de Myrat</x:v>
      </x:c>
      <x:c r="C365" s="14" t="str"/>
      <x:c r="D365" s="14" t="str">
        <x:v>Château de Myrat</x:v>
      </x:c>
      <x:c r="E365" s="14" t="str"/>
      <x:c r="F365" s="14" t="str">
        <x:v>生産者</x:v>
      </x:c>
      <x:c r="G365" s="14" t="str">
        <x:v>Château de MyratはBarsacの第2級。</x:v>
      </x:c>
      <x:c r="H365" s="14" t="str">
        <x:v>Château de MyratはBarsacの第2級。</x:v>
      </x:c>
      <x:c r="I365" s="14" t="str">
        <x:v>フランス</x:v>
      </x:c>
      <x:c r="J365" s="14" t="str">
        <x:v>Barsac</x:v>
      </x:c>
      <x:c r="K365" s="14" t="str">
        <x:v>格付け;第2級;bordeaux_1855_sauternes</x:v>
      </x:c>
      <x:c r="L365" s="14" t="str"/>
      <x:c r="M365" s="14" t="str">
        <x:v>bordeaux_1855_official</x:v>
      </x:c>
      <x:c r="N365" s="14" t="str">
        <x:v>2026-07-12</x:v>
      </x:c>
      <x:c r="O365" s="14" t="str">
        <x:v>Y</x:v>
      </x:c>
    </x:row>
    <x:row r="366" ht="26.399999618530273" hidden="0" customHeight="1">
      <x:c r="A366" s="14" t="str">
        <x:v>term-d0c14339e089</x:v>
      </x:c>
      <x:c r="B366" s="14" t="str">
        <x:v>Château de Pressac</x:v>
      </x:c>
      <x:c r="C366" s="14" t="str"/>
      <x:c r="D366" s="14" t="str">
        <x:v>Château de Pressac</x:v>
      </x:c>
      <x:c r="E366" s="14" t="str"/>
      <x:c r="F366" s="14" t="str">
        <x:v>生産者</x:v>
      </x:c>
      <x:c r="G366" s="14" t="str">
        <x:v>Château de PressacはSaint-ÉmilionのGrand Cru Classé。</x:v>
      </x:c>
      <x:c r="H366" s="14" t="str">
        <x:v>Château de PressacはSaint-ÉmilionのGrand Cru Classé。</x:v>
      </x:c>
      <x:c r="I366" s="14" t="str">
        <x:v>フランス</x:v>
      </x:c>
      <x:c r="J366" s="14" t="str">
        <x:v>Saint-Émilion</x:v>
      </x:c>
      <x:c r="K366" s="14" t="str">
        <x:v>格付け;Grand Cru Classé;bordeaux_saint_emilion_2022</x:v>
      </x:c>
      <x:c r="L366" s="14" t="str"/>
      <x:c r="M366" s="14" t="str">
        <x:v>saint_emilion_2022_official</x:v>
      </x:c>
      <x:c r="N366" s="14" t="str">
        <x:v>2026-07-12</x:v>
      </x:c>
      <x:c r="O366" s="14" t="str">
        <x:v>Y</x:v>
      </x:c>
    </x:row>
    <x:row r="367" ht="26.399999618530273" hidden="0" customHeight="1">
      <x:c r="A367" s="14" t="str">
        <x:v>term-ccea4412d917</x:v>
      </x:c>
      <x:c r="B367" s="14" t="str">
        <x:v>Château de Rayne-Vigneau</x:v>
      </x:c>
      <x:c r="C367" s="14" t="str"/>
      <x:c r="D367" s="14" t="str">
        <x:v>Château de Rayne-Vigneau</x:v>
      </x:c>
      <x:c r="E367" s="14" t="str"/>
      <x:c r="F367" s="14" t="str">
        <x:v>生産者</x:v>
      </x:c>
      <x:c r="G367" s="14" t="str">
        <x:v>Château de Rayne-VigneauはSauternesの第1級。</x:v>
      </x:c>
      <x:c r="H367" s="14" t="str">
        <x:v>Château de Rayne-VigneauはSauternesの第1級。</x:v>
      </x:c>
      <x:c r="I367" s="14" t="str">
        <x:v>フランス</x:v>
      </x:c>
      <x:c r="J367" s="14" t="str">
        <x:v>Sauternes</x:v>
      </x:c>
      <x:c r="K367" s="14" t="str">
        <x:v>格付け;第1級;bordeaux_1855_sauternes</x:v>
      </x:c>
      <x:c r="L367" s="14" t="str"/>
      <x:c r="M367" s="14" t="str">
        <x:v>bordeaux_1855_official</x:v>
      </x:c>
      <x:c r="N367" s="14" t="str">
        <x:v>2026-07-12</x:v>
      </x:c>
      <x:c r="O367" s="14" t="str">
        <x:v>Y</x:v>
      </x:c>
    </x:row>
    <x:row r="368" ht="15" hidden="0" customHeight="1">
      <x:c r="A368" s="14" t="str">
        <x:v>term-5fb416f30e38</x:v>
      </x:c>
      <x:c r="B368" s="14" t="str">
        <x:v>Château du Tertre</x:v>
      </x:c>
      <x:c r="C368" s="14" t="str"/>
      <x:c r="D368" s="14" t="str">
        <x:v>Château du Tertre</x:v>
      </x:c>
      <x:c r="E368" s="14" t="str"/>
      <x:c r="F368" s="14" t="str">
        <x:v>生産者</x:v>
      </x:c>
      <x:c r="G368" s="14" t="str">
        <x:v>Château du TertreはMargauxの第5級。</x:v>
      </x:c>
      <x:c r="H368" s="14" t="str">
        <x:v>Château du TertreはMargauxの第5級。</x:v>
      </x:c>
      <x:c r="I368" s="14" t="str">
        <x:v>フランス</x:v>
      </x:c>
      <x:c r="J368" s="14" t="str">
        <x:v>Margaux</x:v>
      </x:c>
      <x:c r="K368" s="14" t="str">
        <x:v>格付け;第5級;bordeaux_1855_medoc</x:v>
      </x:c>
      <x:c r="L368" s="14" t="str"/>
      <x:c r="M368" s="14" t="str">
        <x:v>bordeaux_1855_official</x:v>
      </x:c>
      <x:c r="N368" s="14" t="str">
        <x:v>2026-07-12</x:v>
      </x:c>
      <x:c r="O368" s="14" t="str">
        <x:v>Y</x:v>
      </x:c>
    </x:row>
    <x:row r="369" ht="26.399999618530273" hidden="0" customHeight="1">
      <x:c r="A369" s="14" t="str">
        <x:v>term-8dfac958ccf7</x:v>
      </x:c>
      <x:c r="B369" s="14" t="str">
        <x:v>Château d’Arche</x:v>
      </x:c>
      <x:c r="C369" s="14" t="str"/>
      <x:c r="D369" s="14" t="str">
        <x:v>Château d’Arche</x:v>
      </x:c>
      <x:c r="E369" s="14" t="str"/>
      <x:c r="F369" s="14" t="str">
        <x:v>生産者</x:v>
      </x:c>
      <x:c r="G369" s="14" t="str">
        <x:v>Château d’ArcheはSauternesの第2級。</x:v>
      </x:c>
      <x:c r="H369" s="14" t="str">
        <x:v>Château d’ArcheはSauternesの第2級。</x:v>
      </x:c>
      <x:c r="I369" s="14" t="str">
        <x:v>フランス</x:v>
      </x:c>
      <x:c r="J369" s="14" t="str">
        <x:v>Sauternes</x:v>
      </x:c>
      <x:c r="K369" s="14" t="str">
        <x:v>格付け;第2級;bordeaux_1855_sauternes</x:v>
      </x:c>
      <x:c r="L369" s="14" t="str"/>
      <x:c r="M369" s="14" t="str">
        <x:v>bordeaux_1855_official</x:v>
      </x:c>
      <x:c r="N369" s="14" t="str">
        <x:v>2026-07-12</x:v>
      </x:c>
      <x:c r="O369" s="14" t="str">
        <x:v>Y</x:v>
      </x:c>
    </x:row>
    <x:row r="370" ht="15" hidden="0" customHeight="1">
      <x:c r="A370" s="14" t="str">
        <x:v>term-1d85775b9f8a</x:v>
      </x:c>
      <x:c r="B370" s="14" t="str">
        <x:v>Château d’Armailhac</x:v>
      </x:c>
      <x:c r="C370" s="14" t="str"/>
      <x:c r="D370" s="14" t="str">
        <x:v>Château d’Armailhac</x:v>
      </x:c>
      <x:c r="E370" s="14" t="str"/>
      <x:c r="F370" s="14" t="str">
        <x:v>生産者</x:v>
      </x:c>
      <x:c r="G370" s="14" t="str">
        <x:v>Château d’ArmailhacはPauillacの第5級。</x:v>
      </x:c>
      <x:c r="H370" s="14" t="str">
        <x:v>Château d’ArmailhacはPauillacの第5級。</x:v>
      </x:c>
      <x:c r="I370" s="14" t="str">
        <x:v>フランス</x:v>
      </x:c>
      <x:c r="J370" s="14" t="str">
        <x:v>Pauillac</x:v>
      </x:c>
      <x:c r="K370" s="14" t="str">
        <x:v>格付け;第5級;bordeaux_1855_medoc</x:v>
      </x:c>
      <x:c r="L370" s="14" t="str"/>
      <x:c r="M370" s="14" t="str">
        <x:v>bordeaux_1855_official</x:v>
      </x:c>
      <x:c r="N370" s="14" t="str">
        <x:v>2026-07-12</x:v>
      </x:c>
      <x:c r="O370" s="14" t="str">
        <x:v>Y</x:v>
      </x:c>
    </x:row>
    <x:row r="371" ht="15" hidden="0" customHeight="1">
      <x:c r="A371" s="14" t="str">
        <x:v>term-14e298b945c7</x:v>
      </x:c>
      <x:c r="B371" s="14" t="str">
        <x:v>Château d’Issan</x:v>
      </x:c>
      <x:c r="C371" s="14" t="str"/>
      <x:c r="D371" s="14" t="str">
        <x:v>Château d’Issan</x:v>
      </x:c>
      <x:c r="E371" s="14" t="str"/>
      <x:c r="F371" s="14" t="str">
        <x:v>生産者</x:v>
      </x:c>
      <x:c r="G371" s="14" t="str">
        <x:v>Château d’IssanはMargauxの第3級。</x:v>
      </x:c>
      <x:c r="H371" s="14" t="str">
        <x:v>Château d’IssanはMargauxの第3級。</x:v>
      </x:c>
      <x:c r="I371" s="14" t="str">
        <x:v>フランス</x:v>
      </x:c>
      <x:c r="J371" s="14" t="str">
        <x:v>Margaux</x:v>
      </x:c>
      <x:c r="K371" s="14" t="str">
        <x:v>格付け;第3級;bordeaux_1855_medoc</x:v>
      </x:c>
      <x:c r="L371" s="14" t="str"/>
      <x:c r="M371" s="14" t="str">
        <x:v>bordeaux_1855_official</x:v>
      </x:c>
      <x:c r="N371" s="14" t="str">
        <x:v>2026-07-12</x:v>
      </x:c>
      <x:c r="O371" s="14" t="str">
        <x:v>Y</x:v>
      </x:c>
    </x:row>
    <x:row r="372" ht="26.399999618530273" hidden="0" customHeight="1">
      <x:c r="A372" s="14" t="str">
        <x:v>term-457679e0457c</x:v>
      </x:c>
      <x:c r="B372" s="14" t="str">
        <x:v>Château d’Yquem</x:v>
      </x:c>
      <x:c r="C372" s="14" t="str"/>
      <x:c r="D372" s="14" t="str">
        <x:v>Château d’Yquem</x:v>
      </x:c>
      <x:c r="E372" s="14" t="str"/>
      <x:c r="F372" s="14" t="str">
        <x:v>生産者</x:v>
      </x:c>
      <x:c r="G372" s="14" t="str">
        <x:v>Château d’YquemはSauternesの特別第1級。</x:v>
      </x:c>
      <x:c r="H372" s="14" t="str">
        <x:v>Château d’YquemはSauternesの特別第1級。</x:v>
      </x:c>
      <x:c r="I372" s="14" t="str">
        <x:v>フランス</x:v>
      </x:c>
      <x:c r="J372" s="14" t="str">
        <x:v>Sauternes</x:v>
      </x:c>
      <x:c r="K372" s="14" t="str">
        <x:v>格付け;特別第1級;bordeaux_1855_sauternes</x:v>
      </x:c>
      <x:c r="L372" s="14" t="str"/>
      <x:c r="M372" s="14" t="str">
        <x:v>bordeaux_1855_official</x:v>
      </x:c>
      <x:c r="N372" s="14" t="str">
        <x:v>2026-07-12</x:v>
      </x:c>
      <x:c r="O372" s="14" t="str">
        <x:v>Y</x:v>
      </x:c>
    </x:row>
    <x:row r="373" ht="26.399999618530273" hidden="0" customHeight="1">
      <x:c r="A373" s="14" t="str">
        <x:v>term-f0ead8ef444d</x:v>
      </x:c>
      <x:c r="B373" s="14" t="str">
        <x:v>Château la Commanderie</x:v>
      </x:c>
      <x:c r="C373" s="14" t="str"/>
      <x:c r="D373" s="14" t="str">
        <x:v>Château la Commanderie</x:v>
      </x:c>
      <x:c r="E373" s="14" t="str"/>
      <x:c r="F373" s="14" t="str">
        <x:v>生産者</x:v>
      </x:c>
      <x:c r="G373" s="14" t="str">
        <x:v>Château la CommanderieはSaint-ÉmilionのGrand Cru Classé。</x:v>
      </x:c>
      <x:c r="H373" s="14" t="str">
        <x:v>Château la CommanderieはSaint-ÉmilionのGrand Cru Classé。</x:v>
      </x:c>
      <x:c r="I373" s="14" t="str">
        <x:v>フランス</x:v>
      </x:c>
      <x:c r="J373" s="14" t="str">
        <x:v>Saint-Émilion</x:v>
      </x:c>
      <x:c r="K373" s="14" t="str">
        <x:v>格付け;Grand Cru Classé;bordeaux_saint_emilion_2022</x:v>
      </x:c>
      <x:c r="L373" s="14" t="str"/>
      <x:c r="M373" s="14" t="str">
        <x:v>saint_emilion_2022_official</x:v>
      </x:c>
      <x:c r="N373" s="14" t="str">
        <x:v>2026-07-12</x:v>
      </x:c>
      <x:c r="O373" s="14" t="str">
        <x:v>Y</x:v>
      </x:c>
    </x:row>
    <x:row r="374" ht="26.399999618530273" hidden="0" customHeight="1">
      <x:c r="A374" s="14" t="str">
        <x:v>term-66627ea22f18</x:v>
      </x:c>
      <x:c r="B374" s="14" t="str">
        <x:v>Château la Confession</x:v>
      </x:c>
      <x:c r="C374" s="14" t="str"/>
      <x:c r="D374" s="14" t="str">
        <x:v>Château la Confession</x:v>
      </x:c>
      <x:c r="E374" s="14" t="str"/>
      <x:c r="F374" s="14" t="str">
        <x:v>生産者</x:v>
      </x:c>
      <x:c r="G374" s="14" t="str">
        <x:v>Château la ConfessionはSaint-ÉmilionのGrand Cru Classé。</x:v>
      </x:c>
      <x:c r="H374" s="14" t="str">
        <x:v>Château la ConfessionはSaint-ÉmilionのGrand Cru Classé。</x:v>
      </x:c>
      <x:c r="I374" s="14" t="str">
        <x:v>フランス</x:v>
      </x:c>
      <x:c r="J374" s="14" t="str">
        <x:v>Saint-Émilion</x:v>
      </x:c>
      <x:c r="K374" s="14" t="str">
        <x:v>格付け;Grand Cru Classé;bordeaux_saint_emilion_2022</x:v>
      </x:c>
      <x:c r="L374" s="14" t="str"/>
      <x:c r="M374" s="14" t="str">
        <x:v>saint_emilion_2022_official</x:v>
      </x:c>
      <x:c r="N374" s="14" t="str">
        <x:v>2026-07-12</x:v>
      </x:c>
      <x:c r="O374" s="14" t="str">
        <x:v>Y</x:v>
      </x:c>
    </x:row>
    <x:row r="375" ht="26.399999618530273" hidden="0" customHeight="1">
      <x:c r="A375" s="14" t="str">
        <x:v>term-314d1d6a5dde</x:v>
      </x:c>
      <x:c r="B375" s="14" t="str">
        <x:v>Château la Couspaude</x:v>
      </x:c>
      <x:c r="C375" s="14" t="str"/>
      <x:c r="D375" s="14" t="str">
        <x:v>Château la Couspaude</x:v>
      </x:c>
      <x:c r="E375" s="14" t="str"/>
      <x:c r="F375" s="14" t="str">
        <x:v>生産者</x:v>
      </x:c>
      <x:c r="G375" s="14" t="str">
        <x:v>Château la CouspaudeはSaint-ÉmilionのGrand Cru Classé。</x:v>
      </x:c>
      <x:c r="H375" s="14" t="str">
        <x:v>Château la CouspaudeはSaint-ÉmilionのGrand Cru Classé。</x:v>
      </x:c>
      <x:c r="I375" s="14" t="str">
        <x:v>フランス</x:v>
      </x:c>
      <x:c r="J375" s="14" t="str">
        <x:v>Saint-Émilion</x:v>
      </x:c>
      <x:c r="K375" s="14" t="str">
        <x:v>格付け;Grand Cru Classé;bordeaux_saint_emilion_2022</x:v>
      </x:c>
      <x:c r="L375" s="14" t="str"/>
      <x:c r="M375" s="14" t="str">
        <x:v>saint_emilion_2022_official</x:v>
      </x:c>
      <x:c r="N375" s="14" t="str">
        <x:v>2026-07-12</x:v>
      </x:c>
      <x:c r="O375" s="14" t="str">
        <x:v>Y</x:v>
      </x:c>
    </x:row>
    <x:row r="376" ht="26.399999618530273" hidden="0" customHeight="1">
      <x:c r="A376" s="14" t="str">
        <x:v>term-e619644284a4</x:v>
      </x:c>
      <x:c r="B376" s="14" t="str">
        <x:v>Château la Croizille</x:v>
      </x:c>
      <x:c r="C376" s="14" t="str"/>
      <x:c r="D376" s="14" t="str">
        <x:v>Château la Croizille</x:v>
      </x:c>
      <x:c r="E376" s="14" t="str"/>
      <x:c r="F376" s="14" t="str">
        <x:v>生産者</x:v>
      </x:c>
      <x:c r="G376" s="14" t="str">
        <x:v>Château la CroizilleはSaint-ÉmilionのGrand Cru Classé。</x:v>
      </x:c>
      <x:c r="H376" s="14" t="str">
        <x:v>Château la CroizilleはSaint-ÉmilionのGrand Cru Classé。</x:v>
      </x:c>
      <x:c r="I376" s="14" t="str">
        <x:v>フランス</x:v>
      </x:c>
      <x:c r="J376" s="14" t="str">
        <x:v>Saint-Émilion</x:v>
      </x:c>
      <x:c r="K376" s="14" t="str">
        <x:v>格付け;Grand Cru Classé;bordeaux_saint_emilion_2022</x:v>
      </x:c>
      <x:c r="L376" s="14" t="str"/>
      <x:c r="M376" s="14" t="str">
        <x:v>saint_emilion_2022_official</x:v>
      </x:c>
      <x:c r="N376" s="14" t="str">
        <x:v>2026-07-12</x:v>
      </x:c>
      <x:c r="O376" s="14" t="str">
        <x:v>Y</x:v>
      </x:c>
    </x:row>
    <x:row r="377" ht="26.399999618530273" hidden="0" customHeight="1">
      <x:c r="A377" s="14" t="str">
        <x:v>term-f684f67cc474</x:v>
      </x:c>
      <x:c r="B377" s="14" t="str">
        <x:v>Château la Dominique</x:v>
      </x:c>
      <x:c r="C377" s="14" t="str"/>
      <x:c r="D377" s="14" t="str">
        <x:v>Château la Dominique</x:v>
      </x:c>
      <x:c r="E377" s="14" t="str"/>
      <x:c r="F377" s="14" t="str">
        <x:v>生産者</x:v>
      </x:c>
      <x:c r="G377" s="14" t="str">
        <x:v>Château la DominiqueはSaint-ÉmilionのGrand Cru Classé。</x:v>
      </x:c>
      <x:c r="H377" s="14" t="str">
        <x:v>Château la DominiqueはSaint-ÉmilionのGrand Cru Classé。</x:v>
      </x:c>
      <x:c r="I377" s="14" t="str">
        <x:v>フランス</x:v>
      </x:c>
      <x:c r="J377" s="14" t="str">
        <x:v>Saint-Émilion</x:v>
      </x:c>
      <x:c r="K377" s="14" t="str">
        <x:v>格付け;Grand Cru Classé;bordeaux_saint_emilion_2022</x:v>
      </x:c>
      <x:c r="L377" s="14" t="str"/>
      <x:c r="M377" s="14" t="str">
        <x:v>saint_emilion_2022_official</x:v>
      </x:c>
      <x:c r="N377" s="14" t="str">
        <x:v>2026-07-12</x:v>
      </x:c>
      <x:c r="O377" s="14" t="str">
        <x:v>Y</x:v>
      </x:c>
    </x:row>
    <x:row r="378" ht="26.399999618530273" hidden="0" customHeight="1">
      <x:c r="A378" s="14" t="str">
        <x:v>term-d5b217101076</x:v>
      </x:c>
      <x:c r="B378" s="14" t="str">
        <x:v>Château la Marzelle</x:v>
      </x:c>
      <x:c r="C378" s="14" t="str"/>
      <x:c r="D378" s="14" t="str">
        <x:v>Château la Marzelle</x:v>
      </x:c>
      <x:c r="E378" s="14" t="str"/>
      <x:c r="F378" s="14" t="str">
        <x:v>生産者</x:v>
      </x:c>
      <x:c r="G378" s="14" t="str">
        <x:v>Château la MarzelleはSaint-ÉmilionのGrand Cru Classé。</x:v>
      </x:c>
      <x:c r="H378" s="14" t="str">
        <x:v>Château la MarzelleはSaint-ÉmilionのGrand Cru Classé。</x:v>
      </x:c>
      <x:c r="I378" s="14" t="str">
        <x:v>フランス</x:v>
      </x:c>
      <x:c r="J378" s="14" t="str">
        <x:v>Saint-Émilion</x:v>
      </x:c>
      <x:c r="K378" s="14" t="str">
        <x:v>格付け;Grand Cru Classé;bordeaux_saint_emilion_2022</x:v>
      </x:c>
      <x:c r="L378" s="14" t="str"/>
      <x:c r="M378" s="14" t="str">
        <x:v>saint_emilion_2022_official</x:v>
      </x:c>
      <x:c r="N378" s="14" t="str">
        <x:v>2026-07-12</x:v>
      </x:c>
      <x:c r="O378" s="14" t="str">
        <x:v>Y</x:v>
      </x:c>
    </x:row>
    <x:row r="379" ht="26.399999618530273" hidden="0" customHeight="1">
      <x:c r="A379" s="14" t="str">
        <x:v>term-b4789b61f111</x:v>
      </x:c>
      <x:c r="B379" s="14" t="str">
        <x:v>Château la Serre</x:v>
      </x:c>
      <x:c r="C379" s="14" t="str"/>
      <x:c r="D379" s="14" t="str">
        <x:v>Château la Serre</x:v>
      </x:c>
      <x:c r="E379" s="14" t="str"/>
      <x:c r="F379" s="14" t="str">
        <x:v>生産者</x:v>
      </x:c>
      <x:c r="G379" s="14" t="str">
        <x:v>Château la SerreはSaint-ÉmilionのGrand Cru Classé。</x:v>
      </x:c>
      <x:c r="H379" s="14" t="str">
        <x:v>Château la SerreはSaint-ÉmilionのGrand Cru Classé。</x:v>
      </x:c>
      <x:c r="I379" s="14" t="str">
        <x:v>フランス</x:v>
      </x:c>
      <x:c r="J379" s="14" t="str">
        <x:v>Saint-Émilion</x:v>
      </x:c>
      <x:c r="K379" s="14" t="str">
        <x:v>格付け;Grand Cru Classé;bordeaux_saint_emilion_2022</x:v>
      </x:c>
      <x:c r="L379" s="14" t="str"/>
      <x:c r="M379" s="14" t="str">
        <x:v>saint_emilion_2022_official</x:v>
      </x:c>
      <x:c r="N379" s="14" t="str">
        <x:v>2026-07-12</x:v>
      </x:c>
      <x:c r="O379" s="14" t="str">
        <x:v>Y</x:v>
      </x:c>
    </x:row>
    <x:row r="380" ht="26.399999618530273" hidden="0" customHeight="1">
      <x:c r="A380" s="14" t="str">
        <x:v>term-eae7df4506bc</x:v>
      </x:c>
      <x:c r="B380" s="14" t="str">
        <x:v>Château la Tour Figeac</x:v>
      </x:c>
      <x:c r="C380" s="14" t="str"/>
      <x:c r="D380" s="14" t="str">
        <x:v>Château la Tour Figeac</x:v>
      </x:c>
      <x:c r="E380" s="14" t="str"/>
      <x:c r="F380" s="14" t="str">
        <x:v>生産者</x:v>
      </x:c>
      <x:c r="G380" s="14" t="str">
        <x:v>Château la Tour FigeacはSaint-ÉmilionのGrand Cru Classé。</x:v>
      </x:c>
      <x:c r="H380" s="14" t="str">
        <x:v>Château la Tour FigeacはSaint-ÉmilionのGrand Cru Classé。</x:v>
      </x:c>
      <x:c r="I380" s="14" t="str">
        <x:v>フランス</x:v>
      </x:c>
      <x:c r="J380" s="14" t="str">
        <x:v>Saint-Émilion</x:v>
      </x:c>
      <x:c r="K380" s="14" t="str">
        <x:v>格付け;Grand Cru Classé;bordeaux_saint_emilion_2022</x:v>
      </x:c>
      <x:c r="L380" s="14" t="str"/>
      <x:c r="M380" s="14" t="str">
        <x:v>saint_emilion_2022_official</x:v>
      </x:c>
      <x:c r="N380" s="14" t="str">
        <x:v>2026-07-12</x:v>
      </x:c>
      <x:c r="O380" s="14" t="str">
        <x:v>Y</x:v>
      </x:c>
    </x:row>
    <x:row r="381" ht="26.399999618530273" hidden="0" customHeight="1">
      <x:c r="A381" s="14" t="str">
        <x:v>term-f66b11deff10</x:v>
      </x:c>
      <x:c r="B381" s="14" t="str">
        <x:v>Château le Chatelet</x:v>
      </x:c>
      <x:c r="C381" s="14" t="str"/>
      <x:c r="D381" s="14" t="str">
        <x:v>Château le Chatelet</x:v>
      </x:c>
      <x:c r="E381" s="14" t="str"/>
      <x:c r="F381" s="14" t="str">
        <x:v>生産者</x:v>
      </x:c>
      <x:c r="G381" s="14" t="str">
        <x:v>Château le ChateletはSaint-ÉmilionのGrand Cru Classé。</x:v>
      </x:c>
      <x:c r="H381" s="14" t="str">
        <x:v>Château le ChateletはSaint-ÉmilionのGrand Cru Classé。</x:v>
      </x:c>
      <x:c r="I381" s="14" t="str">
        <x:v>フランス</x:v>
      </x:c>
      <x:c r="J381" s="14" t="str">
        <x:v>Saint-Émilion</x:v>
      </x:c>
      <x:c r="K381" s="14" t="str">
        <x:v>格付け;Grand Cru Classé;bordeaux_saint_emilion_2022</x:v>
      </x:c>
      <x:c r="L381" s="14" t="str"/>
      <x:c r="M381" s="14" t="str">
        <x:v>saint_emilion_2022_official</x:v>
      </x:c>
      <x:c r="N381" s="14" t="str">
        <x:v>2026-07-12</x:v>
      </x:c>
      <x:c r="O381" s="14" t="str">
        <x:v>Y</x:v>
      </x:c>
    </x:row>
    <x:row r="382" ht="26.399999618530273" hidden="0" customHeight="1">
      <x:c r="A382" s="14" t="str">
        <x:v>term-8af2e6f48d88</x:v>
      </x:c>
      <x:c r="B382" s="14" t="str">
        <x:v>Clos Badon Thunevin</x:v>
      </x:c>
      <x:c r="C382" s="14" t="str"/>
      <x:c r="D382" s="14" t="str">
        <x:v>Clos Badon Thunevin</x:v>
      </x:c>
      <x:c r="E382" s="14" t="str"/>
      <x:c r="F382" s="14" t="str">
        <x:v>生産者</x:v>
      </x:c>
      <x:c r="G382" s="14" t="str">
        <x:v>Clos Badon ThunevinはSaint-ÉmilionのGrand Cru Classé。</x:v>
      </x:c>
      <x:c r="H382" s="14" t="str">
        <x:v>Clos Badon ThunevinはSaint-ÉmilionのGrand Cru Classé。</x:v>
      </x:c>
      <x:c r="I382" s="14" t="str">
        <x:v>フランス</x:v>
      </x:c>
      <x:c r="J382" s="14" t="str">
        <x:v>Saint-Émilion</x:v>
      </x:c>
      <x:c r="K382" s="14" t="str">
        <x:v>格付け;Grand Cru Classé;bordeaux_saint_emilion_2022</x:v>
      </x:c>
      <x:c r="L382" s="14" t="str"/>
      <x:c r="M382" s="14" t="str">
        <x:v>saint_emilion_2022_official</x:v>
      </x:c>
      <x:c r="N382" s="14" t="str">
        <x:v>2026-07-12</x:v>
      </x:c>
      <x:c r="O382" s="14" t="str">
        <x:v>Y</x:v>
      </x:c>
    </x:row>
    <x:row r="383" ht="26.399999618530273" hidden="0" customHeight="1">
      <x:c r="A383" s="14" t="str">
        <x:v>term-0df5f3bb27f3</x:v>
      </x:c>
      <x:c r="B383" s="14" t="str">
        <x:v>Clos Dubreuil</x:v>
      </x:c>
      <x:c r="C383" s="14" t="str"/>
      <x:c r="D383" s="14" t="str">
        <x:v>Clos Dubreuil</x:v>
      </x:c>
      <x:c r="E383" s="14" t="str"/>
      <x:c r="F383" s="14" t="str">
        <x:v>生産者</x:v>
      </x:c>
      <x:c r="G383" s="14" t="str">
        <x:v>Clos DubreuilはSaint-ÉmilionのGrand Cru Classé。</x:v>
      </x:c>
      <x:c r="H383" s="14" t="str">
        <x:v>Clos DubreuilはSaint-ÉmilionのGrand Cru Classé。</x:v>
      </x:c>
      <x:c r="I383" s="14" t="str">
        <x:v>フランス</x:v>
      </x:c>
      <x:c r="J383" s="14" t="str">
        <x:v>Saint-Émilion</x:v>
      </x:c>
      <x:c r="K383" s="14" t="str">
        <x:v>格付け;Grand Cru Classé;bordeaux_saint_emilion_2022</x:v>
      </x:c>
      <x:c r="L383" s="14" t="str"/>
      <x:c r="M383" s="14" t="str">
        <x:v>saint_emilion_2022_official</x:v>
      </x:c>
      <x:c r="N383" s="14" t="str">
        <x:v>2026-07-12</x:v>
      </x:c>
      <x:c r="O383" s="14" t="str">
        <x:v>Y</x:v>
      </x:c>
    </x:row>
    <x:row r="384" ht="26.399999618530273" hidden="0" customHeight="1">
      <x:c r="A384" s="14" t="str">
        <x:v>term-50aa4b3cdeb8</x:v>
      </x:c>
      <x:c r="B384" s="14" t="str">
        <x:v>Clos Fourtet</x:v>
      </x:c>
      <x:c r="C384" s="14" t="str"/>
      <x:c r="D384" s="14" t="str">
        <x:v>Clos Fourtet</x:v>
      </x:c>
      <x:c r="E384" s="14" t="str"/>
      <x:c r="F384" s="14" t="str">
        <x:v>生産者</x:v>
      </x:c>
      <x:c r="G384" s="14" t="str">
        <x:v>Clos FourtetはSaint-ÉmilionのPremier Grand Cru Classé B。</x:v>
      </x:c>
      <x:c r="H384" s="14" t="str">
        <x:v>Clos FourtetはSaint-ÉmilionのPremier Grand Cru Classé B。</x:v>
      </x:c>
      <x:c r="I384" s="14" t="str">
        <x:v>フランス</x:v>
      </x:c>
      <x:c r="J384" s="14" t="str">
        <x:v>Saint-Émilion</x:v>
      </x:c>
      <x:c r="K384" s="14" t="str">
        <x:v>格付け;Premier Grand Cru Classé B;bordeaux_saint_emilion_2022</x:v>
      </x:c>
      <x:c r="L384" s="14" t="str"/>
      <x:c r="M384" s="14" t="str">
        <x:v>saint_emilion_2022_official</x:v>
      </x:c>
      <x:c r="N384" s="14" t="str">
        <x:v>2026-07-12</x:v>
      </x:c>
      <x:c r="O384" s="14" t="str">
        <x:v>Y</x:v>
      </x:c>
    </x:row>
    <x:row r="385" ht="26.399999618530273" hidden="0" customHeight="1">
      <x:c r="A385" s="14" t="str">
        <x:v>term-b85a28673d61</x:v>
      </x:c>
      <x:c r="B385" s="14" t="str">
        <x:v>Clos Haut-Peyraguey</x:v>
      </x:c>
      <x:c r="C385" s="14" t="str"/>
      <x:c r="D385" s="14" t="str">
        <x:v>Clos Haut-Peyraguey</x:v>
      </x:c>
      <x:c r="E385" s="14" t="str"/>
      <x:c r="F385" s="14" t="str">
        <x:v>生産者</x:v>
      </x:c>
      <x:c r="G385" s="14" t="str">
        <x:v>Clos Haut-PeyragueyはSauternesの第1級。</x:v>
      </x:c>
      <x:c r="H385" s="14" t="str">
        <x:v>Clos Haut-PeyragueyはSauternesの第1級。</x:v>
      </x:c>
      <x:c r="I385" s="14" t="str">
        <x:v>フランス</x:v>
      </x:c>
      <x:c r="J385" s="14" t="str">
        <x:v>Sauternes</x:v>
      </x:c>
      <x:c r="K385" s="14" t="str">
        <x:v>格付け;第1級;bordeaux_1855_sauternes</x:v>
      </x:c>
      <x:c r="L385" s="14" t="str"/>
      <x:c r="M385" s="14" t="str">
        <x:v>bordeaux_1855_official</x:v>
      </x:c>
      <x:c r="N385" s="14" t="str">
        <x:v>2026-07-12</x:v>
      </x:c>
      <x:c r="O385" s="14" t="str">
        <x:v>Y</x:v>
      </x:c>
    </x:row>
    <x:row r="386" ht="26.399999618530273" hidden="0" customHeight="1">
      <x:c r="A386" s="14" t="str">
        <x:v>term-ea1061b4bd49</x:v>
      </x:c>
      <x:c r="B386" s="14" t="str">
        <x:v>Clos Saint-Julien</x:v>
      </x:c>
      <x:c r="C386" s="14" t="str"/>
      <x:c r="D386" s="14" t="str">
        <x:v>Clos Saint-Julien</x:v>
      </x:c>
      <x:c r="E386" s="14" t="str"/>
      <x:c r="F386" s="14" t="str">
        <x:v>生産者</x:v>
      </x:c>
      <x:c r="G386" s="14" t="str">
        <x:v>Clos Saint-JulienはSaint-ÉmilionのGrand Cru Classé。</x:v>
      </x:c>
      <x:c r="H386" s="14" t="str">
        <x:v>Clos Saint-JulienはSaint-ÉmilionのGrand Cru Classé。</x:v>
      </x:c>
      <x:c r="I386" s="14" t="str">
        <x:v>フランス</x:v>
      </x:c>
      <x:c r="J386" s="14" t="str">
        <x:v>Saint-Émilion</x:v>
      </x:c>
      <x:c r="K386" s="14" t="str">
        <x:v>格付け;Grand Cru Classé;bordeaux_saint_emilion_2022</x:v>
      </x:c>
      <x:c r="L386" s="14" t="str"/>
      <x:c r="M386" s="14" t="str">
        <x:v>saint_emilion_2022_official</x:v>
      </x:c>
      <x:c r="N386" s="14" t="str">
        <x:v>2026-07-12</x:v>
      </x:c>
      <x:c r="O386" s="14" t="str">
        <x:v>Y</x:v>
      </x:c>
    </x:row>
    <x:row r="387" ht="26.399999618530273" hidden="0" customHeight="1">
      <x:c r="A387" s="14" t="str">
        <x:v>term-3ef9229da812</x:v>
      </x:c>
      <x:c r="B387" s="14" t="str">
        <x:v>Clos Saint-Martin</x:v>
      </x:c>
      <x:c r="C387" s="14" t="str"/>
      <x:c r="D387" s="14" t="str">
        <x:v>Clos Saint-Martin</x:v>
      </x:c>
      <x:c r="E387" s="14" t="str"/>
      <x:c r="F387" s="14" t="str">
        <x:v>生産者</x:v>
      </x:c>
      <x:c r="G387" s="14" t="str">
        <x:v>Clos Saint-MartinはSaint-ÉmilionのGrand Cru Classé。</x:v>
      </x:c>
      <x:c r="H387" s="14" t="str">
        <x:v>Clos Saint-MartinはSaint-ÉmilionのGrand Cru Classé。</x:v>
      </x:c>
      <x:c r="I387" s="14" t="str">
        <x:v>フランス</x:v>
      </x:c>
      <x:c r="J387" s="14" t="str">
        <x:v>Saint-Émilion</x:v>
      </x:c>
      <x:c r="K387" s="14" t="str">
        <x:v>格付け;Grand Cru Classé;bordeaux_saint_emilion_2022</x:v>
      </x:c>
      <x:c r="L387" s="14" t="str"/>
      <x:c r="M387" s="14" t="str">
        <x:v>saint_emilion_2022_official</x:v>
      </x:c>
      <x:c r="N387" s="14" t="str">
        <x:v>2026-07-12</x:v>
      </x:c>
      <x:c r="O387" s="14" t="str">
        <x:v>Y</x:v>
      </x:c>
    </x:row>
    <x:row r="388" ht="26.399999618530273" hidden="0" customHeight="1">
      <x:c r="A388" s="14" t="str">
        <x:v>term-e79fb0574325</x:v>
      </x:c>
      <x:c r="B388" s="14" t="str">
        <x:v>Clos de l'Oratoire</x:v>
      </x:c>
      <x:c r="C388" s="14" t="str"/>
      <x:c r="D388" s="14" t="str">
        <x:v>Clos de l'Oratoire</x:v>
      </x:c>
      <x:c r="E388" s="14" t="str"/>
      <x:c r="F388" s="14" t="str">
        <x:v>生産者</x:v>
      </x:c>
      <x:c r="G388" s="14" t="str">
        <x:v>Clos de l'OratoireはSaint-ÉmilionのGrand Cru Classé。</x:v>
      </x:c>
      <x:c r="H388" s="14" t="str">
        <x:v>Clos de l'OratoireはSaint-ÉmilionのGrand Cru Classé。</x:v>
      </x:c>
      <x:c r="I388" s="14" t="str">
        <x:v>フランス</x:v>
      </x:c>
      <x:c r="J388" s="14" t="str">
        <x:v>Saint-Émilion</x:v>
      </x:c>
      <x:c r="K388" s="14" t="str">
        <x:v>格付け;Grand Cru Classé;bordeaux_saint_emilion_2022</x:v>
      </x:c>
      <x:c r="L388" s="14" t="str"/>
      <x:c r="M388" s="14" t="str">
        <x:v>saint_emilion_2022_official</x:v>
      </x:c>
      <x:c r="N388" s="14" t="str">
        <x:v>2026-07-12</x:v>
      </x:c>
      <x:c r="O388" s="14" t="str">
        <x:v>Y</x:v>
      </x:c>
    </x:row>
    <x:row r="389" ht="26.399999618530273" hidden="0" customHeight="1">
      <x:c r="A389" s="14" t="str">
        <x:v>term-78b7c5f15dfb</x:v>
      </x:c>
      <x:c r="B389" s="14" t="str">
        <x:v>Clos des Jacobins</x:v>
      </x:c>
      <x:c r="C389" s="14" t="str"/>
      <x:c r="D389" s="14" t="str">
        <x:v>Clos des Jacobins</x:v>
      </x:c>
      <x:c r="E389" s="14" t="str"/>
      <x:c r="F389" s="14" t="str">
        <x:v>生産者</x:v>
      </x:c>
      <x:c r="G389" s="14" t="str">
        <x:v>Clos des JacobinsはSaint-ÉmilionのGrand Cru Classé。</x:v>
      </x:c>
      <x:c r="H389" s="14" t="str">
        <x:v>Clos des JacobinsはSaint-ÉmilionのGrand Cru Classé。</x:v>
      </x:c>
      <x:c r="I389" s="14" t="str">
        <x:v>フランス</x:v>
      </x:c>
      <x:c r="J389" s="14" t="str">
        <x:v>Saint-Émilion</x:v>
      </x:c>
      <x:c r="K389" s="14" t="str">
        <x:v>格付け;Grand Cru Classé;bordeaux_saint_emilion_2022</x:v>
      </x:c>
      <x:c r="L389" s="14" t="str"/>
      <x:c r="M389" s="14" t="str">
        <x:v>saint_emilion_2022_official</x:v>
      </x:c>
      <x:c r="N389" s="14" t="str">
        <x:v>2026-07-12</x:v>
      </x:c>
      <x:c r="O389" s="14" t="str">
        <x:v>Y</x:v>
      </x:c>
    </x:row>
    <x:row r="390" ht="26.399999618530273" hidden="0" customHeight="1">
      <x:c r="A390" s="14" t="str">
        <x:v>term-a29790ac1b60</x:v>
      </x:c>
      <x:c r="B390" s="14" t="str">
        <x:v>Couvent des Jacobins</x:v>
      </x:c>
      <x:c r="C390" s="14" t="str"/>
      <x:c r="D390" s="14" t="str">
        <x:v>Couvent des Jacobins</x:v>
      </x:c>
      <x:c r="E390" s="14" t="str"/>
      <x:c r="F390" s="14" t="str">
        <x:v>生産者</x:v>
      </x:c>
      <x:c r="G390" s="14" t="str">
        <x:v>Couvent des JacobinsはSaint-ÉmilionのGrand Cru Classé。</x:v>
      </x:c>
      <x:c r="H390" s="14" t="str">
        <x:v>Couvent des JacobinsはSaint-ÉmilionのGrand Cru Classé。</x:v>
      </x:c>
      <x:c r="I390" s="14" t="str">
        <x:v>フランス</x:v>
      </x:c>
      <x:c r="J390" s="14" t="str">
        <x:v>Saint-Émilion</x:v>
      </x:c>
      <x:c r="K390" s="14" t="str">
        <x:v>格付け;Grand Cru Classé;bordeaux_saint_emilion_2022</x:v>
      </x:c>
      <x:c r="L390" s="14" t="str"/>
      <x:c r="M390" s="14" t="str">
        <x:v>saint_emilion_2022_official</x:v>
      </x:c>
      <x:c r="N390" s="14" t="str">
        <x:v>2026-07-12</x:v>
      </x:c>
      <x:c r="O390" s="14" t="str">
        <x:v>Y</x:v>
      </x:c>
    </x:row>
    <x:row r="391" ht="26.399999618530273" hidden="0" customHeight="1">
      <x:c r="A391" s="14" t="str">
        <x:v>term-54afd285e5ba</x:v>
      </x:c>
      <x:c r="B391" s="14" t="str">
        <x:v>Domaine de Chevalier</x:v>
      </x:c>
      <x:c r="C391" s="14" t="str"/>
      <x:c r="D391" s="14" t="str">
        <x:v>Domaine de Chevalier</x:v>
      </x:c>
      <x:c r="E391" s="14" t="str"/>
      <x:c r="F391" s="14" t="str">
        <x:v>生産者</x:v>
      </x:c>
      <x:c r="G391" s="14" t="str">
        <x:v>Domaine de ChevalierはPessac-LéognanのCru Classé de Graves。</x:v>
      </x:c>
      <x:c r="H391" s="14" t="str">
        <x:v>Domaine de ChevalierはPessac-LéognanのCru Classé de Graves。</x:v>
      </x:c>
      <x:c r="I391" s="14" t="str">
        <x:v>フランス</x:v>
      </x:c>
      <x:c r="J391" s="14" t="str">
        <x:v>Pessac-Léognan</x:v>
      </x:c>
      <x:c r="K391" s="14" t="str">
        <x:v>格付け;Cru Classé de Graves;bordeaux_graves</x:v>
      </x:c>
      <x:c r="L391" s="14" t="str"/>
      <x:c r="M391" s="14" t="str">
        <x:v>bordeaux_graves_official</x:v>
      </x:c>
      <x:c r="N391" s="14" t="str">
        <x:v>2026-07-12</x:v>
      </x:c>
      <x:c r="O391" s="14" t="str">
        <x:v>Y</x:v>
      </x:c>
    </x:row>
    <x:row r="392" ht="26.399999618530273" hidden="0" customHeight="1">
      <x:c r="A392" s="14" t="str">
        <x:v>term-5631fcb0907e</x:v>
      </x:c>
      <x:c r="B392" s="14" t="str">
        <x:v>La Mondotte</x:v>
      </x:c>
      <x:c r="C392" s="14" t="str"/>
      <x:c r="D392" s="14" t="str">
        <x:v>La Mondotte</x:v>
      </x:c>
      <x:c r="E392" s="14" t="str"/>
      <x:c r="F392" s="14" t="str">
        <x:v>生産者</x:v>
      </x:c>
      <x:c r="G392" s="14" t="str">
        <x:v>La MondotteはSaint-ÉmilionのPremier Grand Cru Classé B。</x:v>
      </x:c>
      <x:c r="H392" s="14" t="str">
        <x:v>La MondotteはSaint-ÉmilionのPremier Grand Cru Classé B。</x:v>
      </x:c>
      <x:c r="I392" s="14" t="str">
        <x:v>フランス</x:v>
      </x:c>
      <x:c r="J392" s="14" t="str">
        <x:v>Saint-Émilion</x:v>
      </x:c>
      <x:c r="K392" s="14" t="str">
        <x:v>格付け;Premier Grand Cru Classé B;bordeaux_saint_emilion_2022</x:v>
      </x:c>
      <x:c r="L392" s="14" t="str"/>
      <x:c r="M392" s="14" t="str">
        <x:v>saint_emilion_2022_official</x:v>
      </x:c>
      <x:c r="N392" s="14" t="str">
        <x:v>2026-07-12</x:v>
      </x:c>
      <x:c r="O392" s="14" t="str">
        <x:v>Y</x:v>
      </x:c>
    </x:row>
    <x:row r="393" ht="26.399999618530273" hidden="0" customHeight="1">
      <x:c r="A393" s="14" t="str">
        <x:v>term-c0246b141ac1</x:v>
      </x:c>
      <x:c r="B393" s="14" t="str">
        <x:v>Lassegue</x:v>
      </x:c>
      <x:c r="C393" s="14" t="str"/>
      <x:c r="D393" s="14" t="str">
        <x:v>Lassegue</x:v>
      </x:c>
      <x:c r="E393" s="14" t="str"/>
      <x:c r="F393" s="14" t="str">
        <x:v>生産者</x:v>
      </x:c>
      <x:c r="G393" s="14" t="str">
        <x:v>LassegueはSaint-ÉmilionのGrand Cru Classé。</x:v>
      </x:c>
      <x:c r="H393" s="14" t="str">
        <x:v>LassegueはSaint-ÉmilionのGrand Cru Classé。</x:v>
      </x:c>
      <x:c r="I393" s="14" t="str">
        <x:v>フランス</x:v>
      </x:c>
      <x:c r="J393" s="14" t="str">
        <x:v>Saint-Émilion</x:v>
      </x:c>
      <x:c r="K393" s="14" t="str">
        <x:v>格付け;Grand Cru Classé;bordeaux_saint_emilion_2022</x:v>
      </x:c>
      <x:c r="L393" s="14" t="str"/>
      <x:c r="M393" s="14" t="str">
        <x:v>saint_emilion_2022_official</x:v>
      </x:c>
      <x:c r="N393" s="14" t="str">
        <x:v>2026-07-12</x:v>
      </x:c>
      <x:c r="O393" s="14" t="str">
        <x:v>Y</x:v>
      </x:c>
    </x:row>
    <x:row r="394" ht="79.19999694824219" hidden="0" customHeight="1">
      <x:c r="A394" s="14" t="str">
        <x:v>term-9dd830912912</x:v>
      </x:c>
      <x:c r="B394" s="14" t="str">
        <x:v>アコンカグア・ヴァレー</x:v>
      </x:c>
      <x:c r="C394" s="14" t="str"/>
      <x:c r="D394" s="14" t="str"/>
      <x:c r="E394" s="14" t="str"/>
      <x:c r="F394" s="14" t="str">
        <x:v>産地・地名</x:v>
      </x:c>
      <x:c r="G394" s="14" t="str">
        <x:v>アコンカグア・ヴァレーはチリのワイン産地または原産地呼称。主要品種はカベルネ・ソーヴィニヨン、シラー。暖かく乾燥した日中とアンデスからの冷涼な夜風により、完全成熟と酸保持を両立できる。日照の多い半乾燥気候で病害が少なく、灌漑を用いて水分を管理しながら黒品種を成熟させる。</x:v>
      </x:c>
      <x:c r="H394" s="14" t="str">
        <x:v>自然条件：暖かく乾燥した日中とアンデスからの冷涼な夜風により、完全成熟と酸保持を両立できる。日照の多い半乾燥気候で病害が少なく、灌漑を用いて水分を管理しながら黒品種を成熟させる。主要品種：カベルネ・ソーヴィニヨン、シラー。</x:v>
      </x:c>
      <x:c r="I394" s="14" t="str">
        <x:v>チリ</x:v>
      </x:c>
      <x:c r="J394" s="14" t="str">
        <x:v>アコンカグア・ヴァレー</x:v>
      </x:c>
      <x:c r="K394" s="14" t="str">
        <x:v>地理;産地;チリ</x:v>
      </x:c>
      <x:c r="L394" s="14" t="str"/>
      <x:c r="M394" s="14" t="str">
        <x:v>chile_official_wine</x:v>
      </x:c>
      <x:c r="N394" s="14" t="str">
        <x:v>2026-07-12</x:v>
      </x:c>
      <x:c r="O394" s="14" t="str">
        <x:v>Y</x:v>
      </x:c>
    </x:row>
    <x:row r="395" ht="52.79999923706055" hidden="0" customHeight="1">
      <x:c r="A395" s="14" t="str">
        <x:v>term-399f1d4a3348</x:v>
      </x:c>
      <x:c r="B395" s="14" t="str">
        <x:v>アスティ</x:v>
      </x:c>
      <x:c r="C395" s="14" t="str"/>
      <x:c r="D395" s="14" t="str"/>
      <x:c r="E395" s="14" t="str"/>
      <x:c r="F395" s="14" t="str">
        <x:v>産地・地名</x:v>
      </x:c>
      <x:c r="G395" s="14" t="str">
        <x:v>アスティはイタリアのワイン産地または原産地呼称。主要品種はモスカート・ビアンコ、ミュスカ・ブラン・ア・プティ・グラン。発酵を途中で冷却・濾過して止め、未発酵糖と低いアルコールを残すため。</x:v>
      </x:c>
      <x:c r="H395" s="14" t="str">
        <x:v>自然条件：収穫時のマスカット香を保ち、需要に合わせて発酵時期を選べる。未発酵果汁を低温で安定させ、必要な時期にタンク発酵できる。主要品種：モスカート・ビアンコ、ミュスカ・ブラン・ア・プティ・グラン。典型的なスタイル：発酵を途中で冷却・濾過して止め、未発酵糖と低いアルコールを残すため。</x:v>
      </x:c>
      <x:c r="I395" s="14" t="str">
        <x:v>イタリア</x:v>
      </x:c>
      <x:c r="J395" s="14" t="str">
        <x:v>アスティ</x:v>
      </x:c>
      <x:c r="K395" s="14" t="str">
        <x:v>地理;産地;イタリア</x:v>
      </x:c>
      <x:c r="L395" s="14" t="str"/>
      <x:c r="M395" s="14" t="str">
        <x:v>italy_official_wine</x:v>
      </x:c>
      <x:c r="N395" s="14" t="str">
        <x:v>2026-07-12</x:v>
      </x:c>
      <x:c r="O395" s="14" t="str">
        <x:v>Y</x:v>
      </x:c>
    </x:row>
    <x:row r="396" ht="66" hidden="0" customHeight="1">
      <x:c r="A396" s="14" t="str">
        <x:v>term-1d240015f056</x:v>
      </x:c>
      <x:c r="B396" s="14" t="str">
        <x:v>アデレード・ヒルズ</x:v>
      </x:c>
      <x:c r="C396" s="14" t="str"/>
      <x:c r="D396" s="14" t="str"/>
      <x:c r="E396" s="14" t="str"/>
      <x:c r="F396" s="14" t="str">
        <x:v>産地・地名</x:v>
      </x:c>
      <x:c r="G396" s="14" t="str">
        <x:v>アデレード・ヒルズはオーストラリアのワイン産地または原産地呼称。主要品種はシャルドネ、ピノ・ノワール。高標高と海洋の冷却で、シャルドネとピノ・ノワールの酸を保持できる。周辺の温暖な低地より成熟が遅く、繊細なベースワインを得る。</x:v>
      </x:c>
      <x:c r="H396" s="14" t="str">
        <x:v>自然条件：高標高と冷涼な夜が、シャルドネとピノ・ノワールの酸を保持するため。温暖な南オーストラリアの中で、発泡性用の低糖・高酸果実を得られる。主要品種：シャルドネ、ピノ・ノワール。典型的なスタイル：高標高と海洋の冷却で、シャルドネとピノ・ノワールの酸を保持できる。周辺の温暖な低地より成熟が遅く、繊細なベースワインを得る。</x:v>
      </x:c>
      <x:c r="I396" s="14" t="str">
        <x:v>オーストラリア</x:v>
      </x:c>
      <x:c r="J396" s="14" t="str">
        <x:v>アデレード・ヒルズ</x:v>
      </x:c>
      <x:c r="K396" s="14" t="str">
        <x:v>地理;産地;オーストラリア</x:v>
      </x:c>
      <x:c r="L396" s="14" t="str"/>
      <x:c r="M396" s="14" t="str">
        <x:v>australia_official_wine</x:v>
      </x:c>
      <x:c r="N396" s="14" t="str">
        <x:v>2026-07-12</x:v>
      </x:c>
      <x:c r="O396" s="14" t="str">
        <x:v>Y</x:v>
      </x:c>
    </x:row>
    <x:row r="397" ht="66" hidden="0" customHeight="1">
      <x:c r="A397" s="14" t="str">
        <x:v>term-e8470e2cbb06</x:v>
      </x:c>
      <x:c r="B397" s="14" t="str">
        <x:v>アリアニコ・デル・ヴルトゥレ</x:v>
      </x:c>
      <x:c r="C397" s="14" t="str"/>
      <x:c r="D397" s="14" t="str"/>
      <x:c r="E397" s="14" t="str"/>
      <x:c r="F397" s="14" t="str">
        <x:v>産地・地名</x:v>
      </x:c>
      <x:c r="G397" s="14" t="str">
        <x:v>アリアニコ・デル・ヴルトゥレはイタリアのワイン産地または原産地呼称。主要品種はアリアニコ。火山性の高標高斜面と大きな日較差でアリアニコがゆっくり成熟するため。南イタリアでも夜間が冷涼で、晩熟品種の酸を保ちながら黒系果実とタンニンを発達させる。</x:v>
      </x:c>
      <x:c r="H397" s="14" t="str">
        <x:v>自然条件：火山性の高標高斜面と大きな日較差でアリアニコがゆっくり成熟するため。南イタリアでも夜間が冷涼で、晩熟品種の酸を保ちながら黒系果実とタンニンを発達させる。主要品種：アリアニコ。産地内でも標高、方位、土壌、海や河川からの距離によって成熟度と香味の強さが変わる。</x:v>
      </x:c>
      <x:c r="I397" s="14" t="str">
        <x:v>イタリア</x:v>
      </x:c>
      <x:c r="J397" s="14" t="str">
        <x:v>アリアニコ・デル・ヴルトゥレ</x:v>
      </x:c>
      <x:c r="K397" s="14" t="str">
        <x:v>地理;産地;イタリア</x:v>
      </x:c>
      <x:c r="L397" s="14" t="str"/>
      <x:c r="M397" s="14" t="str">
        <x:v>italy_official_wine</x:v>
      </x:c>
      <x:c r="N397" s="14" t="str">
        <x:v>2026-07-12</x:v>
      </x:c>
      <x:c r="O397" s="14" t="str">
        <x:v>Y</x:v>
      </x:c>
    </x:row>
    <x:row r="398" ht="79.19999694824219" hidden="0" customHeight="1">
      <x:c r="A398" s="14" t="str">
        <x:v>term-a2a15f74ce1f</x:v>
      </x:c>
      <x:c r="B398" s="14" t="str">
        <x:v>アルザス</x:v>
      </x:c>
      <x:c r="C398" s="14" t="str">
        <x:v>Alsace</x:v>
      </x:c>
      <x:c r="D398" s="14" t="str">
        <x:v>Alsace</x:v>
      </x:c>
      <x:c r="E398" s="14" t="str"/>
      <x:c r="F398" s="14" t="str">
        <x:v>産地・地名</x:v>
      </x:c>
      <x:c r="G398" s="14" t="str">
        <x:v>アルザスはフランスのワイン産地または原産地呼称。主要品種はリースリング、ピノ・グリ、ゲヴュルツトラミネール、ピノ・ブラン。遅摘みで高い成熟度に達したブドウから造る表示。</x:v>
      </x:c>
      <x:c r="H398" s="14" t="str">
        <x:v>自然条件：ヴォージュ山脈の雨陰による乾燥した晴天と長い生育期間。乾燥と日照が健全な果実の成熟を促し、香りと糖度を高めやすい。主要品種：リースリング、ピノ・グリ、ゲヴュルツトラミネール、ピノ・ブラン。典型的なスタイル：遅摘みで高い成熟度に達したブドウから造る表示。Vendanges Tardivesの遅摘み・成熟度を正しく示しており、原産地、ブドウの成熟度、熟成期間、品質格付けのどれを表す用語かを区別する必要がある。</x:v>
      </x:c>
      <x:c r="I398" s="14" t="str">
        <x:v>フランス</x:v>
      </x:c>
      <x:c r="J398" s="14" t="str">
        <x:v>アルザス</x:v>
      </x:c>
      <x:c r="K398" s="14" t="str">
        <x:v>地理;産地;フランス</x:v>
      </x:c>
      <x:c r="L398" s="14" t="str"/>
      <x:c r="M398" s="14" t="str">
        <x:v>alsace_official_terroir</x:v>
      </x:c>
      <x:c r="N398" s="14" t="str">
        <x:v>2026-07-12</x:v>
      </x:c>
      <x:c r="O398" s="14" t="str">
        <x:v>Y</x:v>
      </x:c>
    </x:row>
    <x:row r="399" ht="52.79999923706055" hidden="0" customHeight="1">
      <x:c r="A399" s="14" t="str">
        <x:v>term-5379cca69c80</x:v>
      </x:c>
      <x:c r="B399" s="14" t="str">
        <x:v>アルト・アディジェ</x:v>
      </x:c>
      <x:c r="C399" s="14" t="str"/>
      <x:c r="D399" s="14" t="str"/>
      <x:c r="E399" s="14" t="str"/>
      <x:c r="F399" s="14" t="str">
        <x:v>産地・地名</x:v>
      </x:c>
      <x:c r="G399" s="14" t="str">
        <x:v>アルト・アディジェはイタリアのワイン産地または原産地呼称。主要品種はピノ・グリージョ。高標高と大きな日較差により、酸と香りを保ちやすい。山岳気候の冷涼な夜が、ピノ・グリージョの鮮度と芳香を保つ。</x:v>
      </x:c>
      <x:c r="H399" s="14" t="str">
        <x:v>自然条件：高標高と大きな日較差により、酸と香りを保ちやすい。山岳気候の冷涼な夜が、ピノ・グリージョの鮮度と芳香を保つ。主要品種：ピノ・グリージョ。産地内でも標高、方位、土壌、海や河川からの距離によって成熟度と香味の強さが変わる。</x:v>
      </x:c>
      <x:c r="I399" s="14" t="str">
        <x:v>イタリア</x:v>
      </x:c>
      <x:c r="J399" s="14" t="str">
        <x:v>アルト・アディジェ</x:v>
      </x:c>
      <x:c r="K399" s="14" t="str">
        <x:v>地理;産地;イタリア</x:v>
      </x:c>
      <x:c r="L399" s="14" t="str"/>
      <x:c r="M399" s="14" t="str">
        <x:v>italy_official_wine</x:v>
      </x:c>
      <x:c r="N399" s="14" t="str">
        <x:v>2026-07-12</x:v>
      </x:c>
      <x:c r="O399" s="14" t="str">
        <x:v>Y</x:v>
      </x:c>
    </x:row>
    <x:row r="400" ht="79.19999694824219" hidden="0" customHeight="1">
      <x:c r="A400" s="14" t="str">
        <x:v>term-f04f1d8d5c4a</x:v>
      </x:c>
      <x:c r="B400" s="14" t="str">
        <x:v>アレクサンダー・ヴァレー</x:v>
      </x:c>
      <x:c r="C400" s="14" t="str"/>
      <x:c r="D400" s="14" t="str"/>
      <x:c r="E400" s="14" t="str"/>
      <x:c r="F400" s="14" t="str">
        <x:v>産地・地名</x:v>
      </x:c>
      <x:c r="G400" s="14" t="str">
        <x:v>アレクサンダー・ヴァレーは米国のワイン産地または原産地呼称。主要品種はカベルネ・ソーヴィニヨン、ピノ・ノワール、シャルドネ。ソノマ北部の内陸で日中が暖かく、十分な成熟が得られるため。夜間の冷却もあるが、ロシアン・リヴァー・ヴァレーより温暖で、親しみやすい黒系果実の赤を生む。</x:v>
      </x:c>
      <x:c r="H400" s="14" t="str">
        <x:v>自然条件：Russian Riverは冷霧のPinot・Chardonnay、Alexanderは温暖なCabernet。主要品種：カベルネ・ソーヴィニヨン、ピノ・ノワール、シャルドネ。典型的なスタイル：ソノマ北部の内陸で日中が暖かく、十分な成熟が得られるため。夜間の冷却もあるが、ロシアン・リヴァー・ヴァレーより温暖で、親しみやすい黒系果実の赤を生む。</x:v>
      </x:c>
      <x:c r="I400" s="14" t="str">
        <x:v>米国</x:v>
      </x:c>
      <x:c r="J400" s="14" t="str">
        <x:v>アレクサンダー・ヴァレー</x:v>
      </x:c>
      <x:c r="K400" s="14" t="str">
        <x:v>地理;産地;米国</x:v>
      </x:c>
      <x:c r="L400" s="14" t="str"/>
      <x:c r="M400" s="14" t="str">
        <x:v>usa_official_wine</x:v>
      </x:c>
      <x:c r="N400" s="14" t="str">
        <x:v>2026-07-12</x:v>
      </x:c>
      <x:c r="O400" s="14" t="str">
        <x:v>Y</x:v>
      </x:c>
    </x:row>
    <x:row r="401" ht="92.4000015258789" hidden="0" customHeight="1">
      <x:c r="A401" s="14" t="str">
        <x:v>term-b7b1d8b54e15</x:v>
      </x:c>
      <x:c r="B401" s="14" t="str">
        <x:v>アレンテージョ</x:v>
      </x:c>
      <x:c r="C401" s="14" t="str"/>
      <x:c r="D401" s="14" t="str"/>
      <x:c r="E401" s="14" t="str"/>
      <x:c r="F401" s="14" t="str">
        <x:v>産地・地名</x:v>
      </x:c>
      <x:c r="G401" s="14" t="str">
        <x:v>アレンテージョはポルトガルのワイン産地または原産地呼称。主要品種はアラゴネス、トリンカデイラほか、アリカンテ・ブーシェ。深い色、ボディ、黒系果実の濃度を加える。Alicante Bouschetの濃色・ボディ・果実濃度を正しく示しており、品種の酸、タンニン、芳香、果皮または成熟特性がワインのスタイルを形作る。</x:v>
      </x:c>
      <x:c r="H401" s="14" t="str">
        <x:v>自然条件：熟した黒系果実、高めのアルコール、柔らかなタンニンを持つ豊かな赤。主要品種：アラゴネス、トリンカデイラほか、アリカンテ・ブーシェ。典型的なスタイル：深い色、ボディ、黒系果実の濃度を加える。Alicante Bouschetの濃色・ボディ・果実濃度を正しく示しており、品種の酸、タンニン、芳香、果皮または成熟特性がワインのスタイルを形作る。</x:v>
      </x:c>
      <x:c r="I401" s="14" t="str">
        <x:v>ポルトガル</x:v>
      </x:c>
      <x:c r="J401" s="14" t="str">
        <x:v>アレンテージョ</x:v>
      </x:c>
      <x:c r="K401" s="14" t="str">
        <x:v>地理;産地;ポルトガル</x:v>
      </x:c>
      <x:c r="L401" s="14" t="str"/>
      <x:c r="M401" s="14" t="str">
        <x:v>portugal_official_wine</x:v>
      </x:c>
      <x:c r="N401" s="14" t="str">
        <x:v>2026-07-12</x:v>
      </x:c>
      <x:c r="O401" s="14" t="str">
        <x:v>Y</x:v>
      </x:c>
    </x:row>
    <x:row r="402" ht="66" hidden="0" customHeight="1">
      <x:c r="A402" s="14" t="str">
        <x:v>term-700af2745f3a</x:v>
      </x:c>
      <x:c r="B402" s="14" t="str">
        <x:v>アンダーソン・ヴァレー</x:v>
      </x:c>
      <x:c r="C402" s="14" t="str"/>
      <x:c r="D402" s="14" t="str"/>
      <x:c r="E402" s="14" t="str"/>
      <x:c r="F402" s="14" t="str">
        <x:v>産地・地名</x:v>
      </x:c>
      <x:c r="G402" s="14" t="str">
        <x:v>アンダーソン・ヴァレーは米国のワイン産地または原産地呼称。主要品種はシャルドネ、ピノ・ノワール。太平洋の霧と冷たい風が谷へ入り、成熟を遅らせる。ピノ・ノワールとシャルドネが高い酸を保ち、繊細な果実香を発達させる。</x:v>
      </x:c>
      <x:c r="H402" s="14" t="str">
        <x:v>自然条件：太平洋の冷たい霧と風が谷へ入り、成熟を遅らせるため。主要品種：シャルドネ、ピノ・ノワール。典型的なスタイル：太平洋の霧と冷たい風が谷へ入り、成熟を遅らせる。ピノ・ノワールとシャルドネが高い酸を保ち、繊細な果実香を発達させる。</x:v>
      </x:c>
      <x:c r="I402" s="14" t="str">
        <x:v>米国</x:v>
      </x:c>
      <x:c r="J402" s="14" t="str">
        <x:v>アンダーソン・ヴァレー</x:v>
      </x:c>
      <x:c r="K402" s="14" t="str">
        <x:v>地理;産地;米国</x:v>
      </x:c>
      <x:c r="L402" s="14" t="str"/>
      <x:c r="M402" s="14" t="str">
        <x:v>usa_official_wine</x:v>
      </x:c>
      <x:c r="N402" s="14" t="str">
        <x:v>2026-07-12</x:v>
      </x:c>
      <x:c r="O402" s="14" t="str">
        <x:v>Y</x:v>
      </x:c>
    </x:row>
    <x:row r="403" ht="52.79999923706055" hidden="0" customHeight="1">
      <x:c r="A403" s="14" t="str">
        <x:v>term-a5c00268217f</x:v>
      </x:c>
      <x:c r="B403" s="14" t="str">
        <x:v>アントル・ドゥー・メール</x:v>
      </x:c>
      <x:c r="C403" s="14" t="str"/>
      <x:c r="D403" s="14" t="str"/>
      <x:c r="E403" s="14" t="str"/>
      <x:c r="F403" s="14" t="str">
        <x:v>産地・地名</x:v>
      </x:c>
      <x:c r="G403" s="14" t="str">
        <x:v>アントル・ドゥー・メールはフランスのワイン産地または原産地呼称。主要品種はソーヴィニヨン・ブラン、セミヨン。ソーヴィニヨン・ブラン主体のフレッシュで辛口の白ワイン。</x:v>
      </x:c>
      <x:c r="H403" s="14" t="str">
        <x:v>自然条件：ソーヴィニヨン・ブラン主体のフレッシュで辛口の白ワイン。主要品種：ソーヴィニヨン・ブラン、セミヨン。産地内でも標高、方位、土壌、海や河川からの距離によって成熟度と香味の強さが変わる。</x:v>
      </x:c>
      <x:c r="I403" s="14" t="str">
        <x:v>フランス</x:v>
      </x:c>
      <x:c r="J403" s="14" t="str">
        <x:v>アントル・ドゥー・メール</x:v>
      </x:c>
      <x:c r="K403" s="14" t="str">
        <x:v>地理;産地;フランス</x:v>
      </x:c>
      <x:c r="L403" s="14" t="str"/>
      <x:c r="M403" s="14" t="str">
        <x:v>bordeaux_official_grapes</x:v>
      </x:c>
      <x:c r="N403" s="14" t="str">
        <x:v>2026-07-12</x:v>
      </x:c>
      <x:c r="O403" s="14" t="str">
        <x:v>Y</x:v>
      </x:c>
    </x:row>
    <x:row r="404" ht="52.79999923706055" hidden="0" customHeight="1">
      <x:c r="A404" s="14" t="str">
        <x:v>term-56945f2432eb</x:v>
      </x:c>
      <x:c r="B404" s="14" t="str">
        <x:v>イタタ</x:v>
      </x:c>
      <x:c r="C404" s="14" t="str"/>
      <x:c r="D404" s="14" t="str"/>
      <x:c r="E404" s="14" t="str"/>
      <x:c r="F404" s="14" t="str">
        <x:v>産地・地名</x:v>
      </x:c>
      <x:c r="G404" s="14" t="str">
        <x:v>イタタはチリのワイン産地または原産地呼称。主要品種はパイス、サンソー、モスカテル。南に位置し海洋の影響が強く、気温が低いため。高緯度と海風・降雨により成熟が緩やかで、酸と軽い果実味を保つ。</x:v>
      </x:c>
      <x:c r="H404" s="14" t="str">
        <x:v>自然条件：南に位置し海洋の影響が強く、気温が低いため。高緯度と海風・降雨により成熟が緩やかで、酸と軽い果実味を保つ。主要品種：パイス、サンソー、モスカテル。産地内でも標高、方位、土壌、海や河川からの距離によって成熟度と香味の強さが変わる。</x:v>
      </x:c>
      <x:c r="I404" s="14" t="str">
        <x:v>チリ</x:v>
      </x:c>
      <x:c r="J404" s="14" t="str">
        <x:v>イタタ</x:v>
      </x:c>
      <x:c r="K404" s="14" t="str">
        <x:v>地理;産地;チリ</x:v>
      </x:c>
      <x:c r="L404" s="14" t="str"/>
      <x:c r="M404" s="14" t="str">
        <x:v>chile_official_wine</x:v>
      </x:c>
      <x:c r="N404" s="14" t="str">
        <x:v>2026-07-12</x:v>
      </x:c>
      <x:c r="O404" s="14" t="str">
        <x:v>Y</x:v>
      </x:c>
    </x:row>
    <x:row r="405" ht="79.19999694824219" hidden="0" customHeight="1">
      <x:c r="A405" s="14" t="str">
        <x:v>term-77090d5269ec</x:v>
      </x:c>
      <x:c r="B405" s="14" t="str">
        <x:v>イングランド南部</x:v>
      </x:c>
      <x:c r="C405" s="14" t="str">
        <x:v>Southern England</x:v>
      </x:c>
      <x:c r="D405" s="14" t="str">
        <x:v>Sud de l’Angleterre</x:v>
      </x:c>
      <x:c r="E405" s="14" t="str"/>
      <x:c r="F405" s="14" t="str">
        <x:v>産地・地名</x:v>
      </x:c>
      <x:c r="G405" s="14" t="str">
        <x:v>イングランド南部は英国のワイン産地または原産地呼称。主要品種はシャルドネ、ピノ・ノワール、ムニエ。冷涼な気候と白亜質土壌により、高い酸を持つシャルドネとピノ系品種を得られる。長い生育期間で糖度は中程度にとどまり、酸が高いベースワインを造れるため、瓶内熟成後も鮮度が保たれる。</x:v>
      </x:c>
      <x:c r="H405" s="14" t="str">
        <x:v>自然条件：冷涼な気候と白亜質土壌により、高い酸を持つシャルドネとピノ系品種を得られる。長い生育期間で糖度は中程度にとどまり、酸が高いベースワインを造れるため、瓶内熟成後も鮮度が保たれる。主要品種：シャルドネ、ピノ・ノワール、ムニエ。</x:v>
      </x:c>
      <x:c r="I405" s="14" t="str">
        <x:v>英国</x:v>
      </x:c>
      <x:c r="J405" s="14" t="str">
        <x:v>イングランド南部</x:v>
      </x:c>
      <x:c r="K405" s="14" t="str">
        <x:v>地理;産地;英国</x:v>
      </x:c>
      <x:c r="L405" s="14" t="str"/>
      <x:c r="M405" s="14" t="str">
        <x:v>uk_official_wine</x:v>
      </x:c>
      <x:c r="N405" s="14" t="str">
        <x:v>2026-07-12</x:v>
      </x:c>
      <x:c r="O405" s="14" t="str">
        <x:v>Y</x:v>
      </x:c>
    </x:row>
    <x:row r="406" ht="79.19999694824219" hidden="0" customHeight="1">
      <x:c r="A406" s="14" t="str">
        <x:v>term-607d64c6a15b</x:v>
      </x:c>
      <x:c r="B406" s="14" t="str">
        <x:v>イーデン・ヴァレー</x:v>
      </x:c>
      <x:c r="C406" s="14" t="str"/>
      <x:c r="D406" s="14" t="str"/>
      <x:c r="E406" s="14" t="str"/>
      <x:c r="F406" s="14" t="str">
        <x:v>産地・地名</x:v>
      </x:c>
      <x:c r="G406" s="14" t="str">
        <x:v>イーデン・ヴァレーはオーストラリアのワイン産地または原産地呼称。主要品種はリースリング、シラーズ。高い酸、ライムや柑橘の風味、瓶熟成でトースト香が発達する。豪州高品質Rieslingの高酸・ライム・瓶熟成香は、その産地に典型的な果実の成熟度、酸、構造および熟成香を正しく表している。</x:v>
      </x:c>
      <x:c r="H406" s="14" t="str">
        <x:v>自然条件：辛口、高い酸、ライムや柑橘の風味を持ち、瓶熟成でトースト香が発達する。若いうちはライムや柑橘、熟成でトーストや蜂蜜様の香りを示す。主要品種：リースリング、シラーズ。典型的なスタイル：高い酸、ライムや柑橘の風味、瓶熟成でトースト香が発達する。豪州高品質Rieslingの高酸・ライム・瓶熟成香は、その産地に典型的な果実の成熟度、酸、構造および熟成香を正しく表している。</x:v>
      </x:c>
      <x:c r="I406" s="14" t="str">
        <x:v>オーストラリア</x:v>
      </x:c>
      <x:c r="J406" s="14" t="str">
        <x:v>イーデン・ヴァレー</x:v>
      </x:c>
      <x:c r="K406" s="14" t="str">
        <x:v>地理;産地;オーストラリア</x:v>
      </x:c>
      <x:c r="L406" s="14" t="str"/>
      <x:c r="M406" s="14" t="str">
        <x:v>australia_official_wine</x:v>
      </x:c>
      <x:c r="N406" s="14" t="str">
        <x:v>2026-07-12</x:v>
      </x:c>
      <x:c r="O406" s="14" t="str">
        <x:v>Y</x:v>
      </x:c>
    </x:row>
    <x:row r="407" ht="66" hidden="0" customHeight="1">
      <x:c r="A407" s="14" t="str">
        <x:v>term-de3363d2809c</x:v>
      </x:c>
      <x:c r="B407" s="14" t="str">
        <x:v>ウィラメット・ヴァレー</x:v>
      </x:c>
      <x:c r="C407" s="14" t="str"/>
      <x:c r="D407" s="14" t="str"/>
      <x:c r="E407" s="14" t="str"/>
      <x:c r="F407" s="14" t="str">
        <x:v>産地・地名</x:v>
      </x:c>
      <x:c r="G407" s="14" t="str">
        <x:v>ウィラメット・ヴァレーは米国のワイン産地または原産地呼称。主要品種はピノ・ノワール、シャルドネ。冷涼な気候で高酸のピノ・ノワールとシャルドネを栽培できる。長い生育期が繊細な果実香を発達させ、早めの収穫でベースワインの酸を確保できる。</x:v>
      </x:c>
      <x:c r="H407" s="14" t="str">
        <x:v>自然条件：冷涼から温和な気候と長い生育期間により、酸と繊細な香りを保ちながら成熟できるため。ピノ・ノワールの早熟性に合い、過度な糖度上昇を避けながら風味を発達させやすい。主要品種：ピノ・ノワール、シャルドネ。典型的なスタイル：冷涼な気候で高酸のピノ・ノワールとシャルドネを栽培できる。長い生育期が繊細な果実香を発達させ、早めの収穫でベースワインの酸を確保できる。</x:v>
      </x:c>
      <x:c r="I407" s="14" t="str">
        <x:v>米国</x:v>
      </x:c>
      <x:c r="J407" s="14" t="str">
        <x:v>ウィラメット・ヴァレー</x:v>
      </x:c>
      <x:c r="K407" s="14" t="str">
        <x:v>地理;産地;米国</x:v>
      </x:c>
      <x:c r="L407" s="14" t="str"/>
      <x:c r="M407" s="14" t="str">
        <x:v>usa_official_wine</x:v>
      </x:c>
      <x:c r="N407" s="14" t="str">
        <x:v>2026-07-12</x:v>
      </x:c>
      <x:c r="O407" s="14" t="str">
        <x:v>Y</x:v>
      </x:c>
    </x:row>
    <x:row r="408" ht="66" hidden="0" customHeight="1">
      <x:c r="A408" s="14" t="str">
        <x:v>term-a49be42bea99</x:v>
      </x:c>
      <x:c r="B408" s="14" t="str">
        <x:v>ウォーカー・ベイ</x:v>
      </x:c>
      <x:c r="C408" s="14" t="str"/>
      <x:c r="D408" s="14" t="str"/>
      <x:c r="E408" s="14" t="str"/>
      <x:c r="F408" s="14" t="str">
        <x:v>産地・地名</x:v>
      </x:c>
      <x:c r="G408" s="14" t="str">
        <x:v>ウォーカー・ベイは南アフリカのワイン産地または原産地呼称。主要品種はピノ・ノワール、シャルドネ。南極海からの冷たい風と海洋性気候が成熟を遅らせるため。冷涼な海洋影響がピノ・ノワールとシャルドネの酸と香りを保つ。</x:v>
      </x:c>
      <x:c r="H408" s="14" t="str">
        <x:v>自然条件：南極海からの冷たい風と海洋性気候が成熟を遅らせるため。冷涼な海洋影響がピノ・ノワールとシャルドネの酸と香りを保つ。主要品種：ピノ・ノワール、シャルドネ。産地内でも標高、方位、土壌、海や河川からの距離によって成熟度と香味の強さが変わる。</x:v>
      </x:c>
      <x:c r="I408" s="14" t="str">
        <x:v>南アフリカ</x:v>
      </x:c>
      <x:c r="J408" s="14" t="str">
        <x:v>ウォーカー・ベイ</x:v>
      </x:c>
      <x:c r="K408" s="14" t="str">
        <x:v>地理;産地;南アフリカ</x:v>
      </x:c>
      <x:c r="L408" s="14" t="str"/>
      <x:c r="M408" s="14" t="str">
        <x:v>south_africa_official_wine</x:v>
      </x:c>
      <x:c r="N408" s="14" t="str">
        <x:v>2026-07-12</x:v>
      </x:c>
      <x:c r="O408" s="14" t="str">
        <x:v>Y</x:v>
      </x:c>
    </x:row>
    <x:row r="409" ht="52.79999923706055" hidden="0" customHeight="1">
      <x:c r="A409" s="14" t="str">
        <x:v>term-611f955d05ef</x:v>
      </x:c>
      <x:c r="B409" s="14" t="str">
        <x:v>ウコ・ヴァレー</x:v>
      </x:c>
      <x:c r="C409" s="14" t="str"/>
      <x:c r="D409" s="14" t="str"/>
      <x:c r="E409" s="14" t="str"/>
      <x:c r="F409" s="14" t="str">
        <x:v>産地・地名</x:v>
      </x:c>
      <x:c r="G409" s="14" t="str">
        <x:v>ウコ・ヴァレーはアルゼンチンのワイン産地または原産地呼称。主要品種はマルベック。Ucoは高標高で高酸・花香、Lujánは温暖で熟した黒果実と豊かなボディ。</x:v>
      </x:c>
      <x:c r="H409" s="14" t="str">
        <x:v>自然条件：強い日射による成熟と色の発達、涼しい夜による酸の保持。果実の熟度と鮮度を両立し、濃い色と明瞭な風味を持つワインを生みやすい。主要品種：マルベック。典型的なスタイル：Ucoは高標高で高酸・花香、Lujánは温暖で熟した黒果実と豊かなボディ。</x:v>
      </x:c>
      <x:c r="I409" s="14" t="str">
        <x:v>アルゼンチン</x:v>
      </x:c>
      <x:c r="J409" s="14" t="str">
        <x:v>ウコ・ヴァレー</x:v>
      </x:c>
      <x:c r="K409" s="14" t="str">
        <x:v>地理;産地;アルゼンチン</x:v>
      </x:c>
      <x:c r="L409" s="14" t="str"/>
      <x:c r="M409" s="14" t="str">
        <x:v>argentina_official_wine</x:v>
      </x:c>
      <x:c r="N409" s="14" t="str">
        <x:v>2026-07-12</x:v>
      </x:c>
      <x:c r="O409" s="14" t="str">
        <x:v>Y</x:v>
      </x:c>
    </x:row>
    <x:row r="410" ht="52.79999923706055" hidden="0" customHeight="1">
      <x:c r="A410" s="14" t="str">
        <x:v>term-956f9bd633b9</x:v>
      </x:c>
      <x:c r="B410" s="14" t="str">
        <x:v>エトナ</x:v>
      </x:c>
      <x:c r="C410" s="14" t="str"/>
      <x:c r="D410" s="14" t="str"/>
      <x:c r="E410" s="14" t="str"/>
      <x:c r="F410" s="14" t="str">
        <x:v>産地・地名</x:v>
      </x:c>
      <x:c r="G410" s="14" t="str">
        <x:v>エトナはイタリアのワイン産地または原産地呼称。主要品種はネレッロ・マスカレーゼ、プリミティーヴォ。Etnaは高標高で高酸・繊細、Primitivoは温暖で熟した高アルコール赤。</x:v>
      </x:c>
      <x:c r="H410" s="14" t="str">
        <x:v>自然条件：高標高の火山斜面でネレッロ・マスカレーゼを栽培するため。標高による冷涼な夜が酸を保持し、果皮色素が比較的少ない品種から、香り高く引き締まった赤が造られる。主要品種：ネレッロ・マスカレーゼ、プリミティーヴォ。典型的なスタイル：Etnaは高標高で高酸・繊細、Primitivoは温暖で熟した高アルコール赤。</x:v>
      </x:c>
      <x:c r="I410" s="14" t="str">
        <x:v>イタリア</x:v>
      </x:c>
      <x:c r="J410" s="14" t="str">
        <x:v>エトナ</x:v>
      </x:c>
      <x:c r="K410" s="14" t="str">
        <x:v>地理;産地;イタリア</x:v>
      </x:c>
      <x:c r="L410" s="14" t="str"/>
      <x:c r="M410" s="14" t="str">
        <x:v>italy_official_wine</x:v>
      </x:c>
      <x:c r="N410" s="14" t="str">
        <x:v>2026-07-12</x:v>
      </x:c>
      <x:c r="O410" s="14" t="str">
        <x:v>Y</x:v>
      </x:c>
    </x:row>
    <x:row r="411" ht="52.79999923706055" hidden="0" customHeight="1">
      <x:c r="A411" s="14" t="str">
        <x:v>term-d8359ba05583</x:v>
      </x:c>
      <x:c r="B411" s="14" t="str">
        <x:v>エルギン</x:v>
      </x:c>
      <x:c r="C411" s="14" t="str"/>
      <x:c r="D411" s="14" t="str"/>
      <x:c r="E411" s="14" t="str"/>
      <x:c r="F411" s="14" t="str">
        <x:v>産地・地名</x:v>
      </x:c>
      <x:c r="G411" s="14" t="str">
        <x:v>エルギンは南アフリカのワイン産地または原産地呼称。主要品種はシャルドネ、ピノ・ノワール。Elginは冷涼で高酸の白やピノ、Robertsonはより温暖・乾燥し熟した果実になりやすい。</x:v>
      </x:c>
      <x:c r="H411" s="14" t="str">
        <x:v>自然条件：標高と海洋性の冷却により、成熟が遅く酸が保たれる。主要品種：シャルドネ、ピノ・ノワール。典型的なスタイル：Elginは冷涼で高酸の白やピノ、Robertsonはより温暖・乾燥し熟した果実になりやすい。</x:v>
      </x:c>
      <x:c r="I411" s="14" t="str">
        <x:v>南アフリカ</x:v>
      </x:c>
      <x:c r="J411" s="14" t="str">
        <x:v>エルギン</x:v>
      </x:c>
      <x:c r="K411" s="14" t="str">
        <x:v>地理;産地;南アフリカ</x:v>
      </x:c>
      <x:c r="L411" s="14" t="str"/>
      <x:c r="M411" s="14" t="str">
        <x:v>south_africa_official_wine</x:v>
      </x:c>
      <x:c r="N411" s="14" t="str">
        <x:v>2026-07-12</x:v>
      </x:c>
      <x:c r="O411" s="14" t="str">
        <x:v>Y</x:v>
      </x:c>
    </x:row>
    <x:row r="412" ht="39.599998474121094" hidden="0" customHeight="1">
      <x:c r="A412" s="14" t="str">
        <x:v>term-0b6ae0d3ea59</x:v>
      </x:c>
      <x:c r="B412" s="14" t="str">
        <x:v>エルミタージュ</x:v>
      </x:c>
      <x:c r="C412" s="14" t="str"/>
      <x:c r="D412" s="14" t="str"/>
      <x:c r="E412" s="14" t="str"/>
      <x:c r="F412" s="14" t="str">
        <x:v>産地・地名</x:v>
      </x:c>
      <x:c r="G412" s="14" t="str">
        <x:v>エルミタージュはフランスのワイン産地または原産地呼称。主要品種はシラー。シラーの高い酸とタンニン、凝縮した黒果実、低収量の急斜面。</x:v>
      </x:c>
      <x:c r="H412" s="14" t="str">
        <x:v>自然条件：シラーの高い酸とタンニン、凝縮した黒果実、低収量の急斜面。主要品種：シラー。産地内でも標高、方位、土壌、海や河川からの距離によって成熟度と香味の強さが変わる。</x:v>
      </x:c>
      <x:c r="I412" s="14" t="str">
        <x:v>フランス</x:v>
      </x:c>
      <x:c r="J412" s="14" t="str">
        <x:v>エルミタージュ</x:v>
      </x:c>
      <x:c r="K412" s="14" t="str">
        <x:v>地理;産地;フランス</x:v>
      </x:c>
      <x:c r="L412" s="14" t="str"/>
      <x:c r="M412" s="14" t="str">
        <x:v>rhone_official_terroir</x:v>
      </x:c>
      <x:c r="N412" s="14" t="str">
        <x:v>2026-07-12</x:v>
      </x:c>
      <x:c r="O412" s="14" t="str">
        <x:v>Y</x:v>
      </x:c>
    </x:row>
    <x:row r="413" ht="52.79999923706055" hidden="0" customHeight="1">
      <x:c r="A413" s="14" t="str">
        <x:v>term-fde7f9fb9ad8</x:v>
      </x:c>
      <x:c r="B413" s="14" t="str">
        <x:v>オカナガン・ヴァレー</x:v>
      </x:c>
      <x:c r="C413" s="14" t="str"/>
      <x:c r="D413" s="14" t="str"/>
      <x:c r="E413" s="14" t="str"/>
      <x:c r="F413" s="14" t="str">
        <x:v>産地・地名</x:v>
      </x:c>
      <x:c r="G413" s="14" t="str">
        <x:v>オカナガン・ヴァレーはカナダのワイン産地または原産地呼称。主要品種はリースリング、ヴィダル、ピノ・ノワール、シラー。白胡椒、赤系果実、高い酸を持つ中程度のボディの赤。</x:v>
      </x:c>
      <x:c r="H413" s="14" t="str">
        <x:v>自然条件：北緯が高い一方で夏の日照時間が長く、乾燥した夏と大きな日較差がある。長い夏の日照と乾燥が糖・風味の成熟を促し、夜間冷却と高緯度が酸の保持に寄与する。主要品種：リースリング、ヴィダル、ピノ・ノワール、シラー。典型的なスタイル：白胡椒、赤系果実、高い酸を持つ中程度のボディの赤。</x:v>
      </x:c>
      <x:c r="I413" s="14" t="str">
        <x:v>カナダ</x:v>
      </x:c>
      <x:c r="J413" s="14" t="str">
        <x:v>オカナガン・ヴァレー</x:v>
      </x:c>
      <x:c r="K413" s="14" t="str">
        <x:v>地理;産地;カナダ</x:v>
      </x:c>
      <x:c r="L413" s="14" t="str"/>
      <x:c r="M413" s="14" t="str">
        <x:v>canada_official_wine</x:v>
      </x:c>
      <x:c r="N413" s="14" t="str">
        <x:v>2026-07-12</x:v>
      </x:c>
      <x:c r="O413" s="14" t="str">
        <x:v>Y</x:v>
      </x:c>
    </x:row>
    <x:row r="414" ht="66" hidden="0" customHeight="1">
      <x:c r="A414" s="14" t="str">
        <x:v>term-6823fcaa2a3e</x:v>
      </x:c>
      <x:c r="B414" s="14" t="str">
        <x:v>オルヴィエート</x:v>
      </x:c>
      <x:c r="C414" s="14" t="str"/>
      <x:c r="D414" s="14" t="str"/>
      <x:c r="E414" s="14" t="str"/>
      <x:c r="F414" s="14" t="str">
        <x:v>産地・地名</x:v>
      </x:c>
      <x:c r="G414" s="14" t="str">
        <x:v>オルヴィエートはイタリアのワイン産地または原産地呼称。主要品種はグレケット、トレッビアーノ。グレケットとトレッビアーノ系品種から造る、軽快で高酸の辛口から中辛口白。ウンブリアの丘陵から、柑橘、リンゴ、アーモンドを思わせる白を造る。</x:v>
      </x:c>
      <x:c r="H414" s="14" t="str">
        <x:v>自然条件：グレケットとトレッビアーノ系品種から造る、軽快で高酸の辛口から中辛口白。ウンブリアの丘陵から、柑橘、リンゴ、アーモンドを思わせる白を造る。主要品種：グレケット、トレッビアーノ。産地内でも標高、方位、土壌、海や河川からの距離によって成熟度と香味の強さが変わる。</x:v>
      </x:c>
      <x:c r="I414" s="14" t="str">
        <x:v>イタリア</x:v>
      </x:c>
      <x:c r="J414" s="14" t="str">
        <x:v>オルヴィエート</x:v>
      </x:c>
      <x:c r="K414" s="14" t="str">
        <x:v>地理;産地;イタリア</x:v>
      </x:c>
      <x:c r="L414" s="14" t="str"/>
      <x:c r="M414" s="14" t="str">
        <x:v>italy_official_wine</x:v>
      </x:c>
      <x:c r="N414" s="14" t="str">
        <x:v>2026-07-12</x:v>
      </x:c>
      <x:c r="O414" s="14" t="str">
        <x:v>Y</x:v>
      </x:c>
    </x:row>
    <x:row r="415" ht="66" hidden="0" customHeight="1">
      <x:c r="A415" s="14" t="str">
        <x:v>term-3a95bf45d1c1</x:v>
      </x:c>
      <x:c r="B415" s="14" t="str">
        <x:v>オンタリオ</x:v>
      </x:c>
      <x:c r="C415" s="14" t="str"/>
      <x:c r="D415" s="14" t="str"/>
      <x:c r="E415" s="14" t="str"/>
      <x:c r="F415" s="14" t="str">
        <x:v>産地・地名</x:v>
      </x:c>
      <x:c r="G415" s="14" t="str">
        <x:v>オンタリオはカナダのワイン産地または原産地呼称。主要品種はヴィダル、リースリング。冷涼気候で酸を保持したブドウを樹上で凍結させ、水分を氷として分離する。冷涼気候で高い酸を保った果実を自然凍結し、水分を氷として残す。</x:v>
      </x:c>
      <x:c r="H415" s="14" t="str">
        <x:v>自然条件：冷涼気候で酸を保持したブドウを樹上で凍結させ、水分を氷として分離する。冷涼気候で高い酸を保った果実を自然凍結し、水分を氷として残す。主要品種：ヴィダル、リースリング。産地内でも標高、方位、土壌、海や河川からの距離によって成熟度と香味の強さが変わる。</x:v>
      </x:c>
      <x:c r="I415" s="14" t="str">
        <x:v>カナダ</x:v>
      </x:c>
      <x:c r="J415" s="14" t="str">
        <x:v>オンタリオ</x:v>
      </x:c>
      <x:c r="K415" s="14" t="str">
        <x:v>地理;産地;カナダ</x:v>
      </x:c>
      <x:c r="L415" s="14" t="str"/>
      <x:c r="M415" s="14" t="str">
        <x:v>canada_official_wine</x:v>
      </x:c>
      <x:c r="N415" s="14" t="str">
        <x:v>2026-07-12</x:v>
      </x:c>
      <x:c r="O415" s="14" t="str">
        <x:v>Y</x:v>
      </x:c>
    </x:row>
    <x:row r="416" ht="66" hidden="0" customHeight="1">
      <x:c r="A416" s="14" t="str">
        <x:v>term-ca132a3390d4</x:v>
      </x:c>
      <x:c r="B416" s="14" t="str">
        <x:v>オークヴィル</x:v>
      </x:c>
      <x:c r="C416" s="14" t="str"/>
      <x:c r="D416" s="14" t="str"/>
      <x:c r="E416" s="14" t="str"/>
      <x:c r="F416" s="14" t="str">
        <x:v>産地・地名</x:v>
      </x:c>
      <x:c r="G416" s="14" t="str">
        <x:v>オークヴィルは米国のワイン産地または原産地呼称。主要品種はカベルネ・ソーヴィニヨン。谷床の暖かさと、湾から入る午後の冷気の両方を受けるため。日中の成熟と夜間の冷却を両立し、黒系果実、上質なタンニン、熟成力を持つ。</x:v>
      </x:c>
      <x:c r="H416" s="14" t="str">
        <x:v>自然条件：谷床の暖かさと、湾から入る午後の冷気の両方を受けるため。日中の成熟と夜間の冷却を両立し、黒系果実、上質なタンニン、熟成力を持つ。主要品種：カベルネ・ソーヴィニヨン。産地内でも標高、方位、土壌、海や河川からの距離によって成熟度と香味の強さが変わる。</x:v>
      </x:c>
      <x:c r="I416" s="14" t="str">
        <x:v>米国</x:v>
      </x:c>
      <x:c r="J416" s="14" t="str">
        <x:v>オークヴィル</x:v>
      </x:c>
      <x:c r="K416" s="14" t="str">
        <x:v>地理;産地;米国</x:v>
      </x:c>
      <x:c r="L416" s="14" t="str"/>
      <x:c r="M416" s="14" t="str">
        <x:v>usa_official_wine</x:v>
      </x:c>
      <x:c r="N416" s="14" t="str">
        <x:v>2026-07-12</x:v>
      </x:c>
      <x:c r="O416" s="14" t="str">
        <x:v>Y</x:v>
      </x:c>
    </x:row>
    <x:row r="417" ht="52.79999923706055" hidden="0" customHeight="1">
      <x:c r="A417" s="14" t="str">
        <x:v>term-6c3ba6e3d0c9</x:v>
      </x:c>
      <x:c r="B417" s="14" t="str">
        <x:v>カサブランカ・ヴァレー</x:v>
      </x:c>
      <x:c r="C417" s="14" t="str"/>
      <x:c r="D417" s="14" t="str"/>
      <x:c r="E417" s="14" t="str"/>
      <x:c r="F417" s="14" t="str">
        <x:v>産地・地名</x:v>
      </x:c>
      <x:c r="G417" s="14" t="str">
        <x:v>カサブランカ・ヴァレーはチリのワイン産地または原産地呼称。主要品種はソーヴィニヨン・ブラン、シャルドネ、カベルネ・ソーヴィニヨン。Casablancaは海洋冷却で高酸の白、Maipoは内陸の温暖さで熟したカベルネが重要。</x:v>
      </x:c>
      <x:c r="H417" s="14" t="str">
        <x:v>自然条件：太平洋からの冷たい海風と朝霧による冷却。主要品種：ソーヴィニヨン・ブラン、シャルドネ、カベルネ・ソーヴィニヨン。典型的なスタイル：Casablancaは海洋冷却で高酸の白、Maipoは内陸の温暖さで熟したカベルネが重要。</x:v>
      </x:c>
      <x:c r="I417" s="14" t="str">
        <x:v>チリ</x:v>
      </x:c>
      <x:c r="J417" s="14" t="str">
        <x:v>カサブランカ・ヴァレー</x:v>
      </x:c>
      <x:c r="K417" s="14" t="str">
        <x:v>地理;産地;チリ</x:v>
      </x:c>
      <x:c r="L417" s="14" t="str"/>
      <x:c r="M417" s="14" t="str">
        <x:v>chile_official_wine</x:v>
      </x:c>
      <x:c r="N417" s="14" t="str">
        <x:v>2026-07-12</x:v>
      </x:c>
      <x:c r="O417" s="14" t="str">
        <x:v>Y</x:v>
      </x:c>
    </x:row>
    <x:row r="418" ht="66" hidden="0" customHeight="1">
      <x:c r="A418" s="14" t="str">
        <x:v>term-84889994efd4</x:v>
      </x:c>
      <x:c r="B418" s="14" t="str">
        <x:v>カタルーニャ</x:v>
      </x:c>
      <x:c r="C418" s="14" t="str"/>
      <x:c r="D418" s="14" t="str"/>
      <x:c r="E418" s="14" t="str"/>
      <x:c r="F418" s="14" t="str">
        <x:v>産地・地名</x:v>
      </x:c>
      <x:c r="G418" s="14" t="str">
        <x:v>カタルーニャはスペインのワイン産地または原産地呼称。主要品種はガルナッチャ、カリニェナ。急斜面のリコレリャ土壌、古木ガルナッチャとカリニャン、低収量、手作業。低収量と手作業、土地の希少性、濃厚なワインへの需要が価格を高める。</x:v>
      </x:c>
      <x:c r="H418" s="14" t="str">
        <x:v>自然条件：急斜面のリコレリャ土壌、古木ガルナッチャとカリニャン、低収量、手作業。低収量と手作業、土地の希少性、濃厚なワインへの需要が価格を高める。主要品種：ガルナッチャ、カリニェナ。産地内でも標高、方位、土壌、海や河川からの距離によって成熟度と香味の強さが変わる。</x:v>
      </x:c>
      <x:c r="I418" s="14" t="str">
        <x:v>スペイン</x:v>
      </x:c>
      <x:c r="J418" s="14" t="str">
        <x:v>カタルーニャ</x:v>
      </x:c>
      <x:c r="K418" s="14" t="str">
        <x:v>地理;産地;スペイン</x:v>
      </x:c>
      <x:c r="L418" s="14" t="str"/>
      <x:c r="M418" s="14" t="str">
        <x:v>spain_official_wine</x:v>
      </x:c>
      <x:c r="N418" s="14" t="str">
        <x:v>2026-07-12</x:v>
      </x:c>
      <x:c r="O418" s="14" t="str">
        <x:v>Y</x:v>
      </x:c>
    </x:row>
    <x:row r="419" ht="66" hidden="0" customHeight="1">
      <x:c r="A419" s="14" t="str">
        <x:v>term-8f99b092abca</x:v>
      </x:c>
      <x:c r="B419" s="14" t="str">
        <x:v>カバ</x:v>
      </x:c>
      <x:c r="C419" s="14" t="str"/>
      <x:c r="D419" s="14" t="str"/>
      <x:c r="E419" s="14" t="str"/>
      <x:c r="F419" s="14" t="str">
        <x:v>産地・地名</x:v>
      </x:c>
      <x:c r="G419" s="14" t="str">
        <x:v>カバはスペインのワイン産地または原産地呼称。主要品種はマカベオ、チャレッロ、パレリャーダ、ガルナッチャ。穏やかなリンゴや花の香りと比較的中立的な果実味。マカベオはブレンドの基礎となり、パレリャーダやチャレッロの酸・構造と組み合わせやすい。</x:v>
      </x:c>
      <x:c r="H419" s="14" t="str">
        <x:v>自然条件：菌類病が少なく、健全な果実を安定して収穫しやすい。乾燥した生育期はべと病や灰色かびなどの菌類病圧を下げ、健全果の確保に有利である。主要品種：マカベオ、チャレッロ、パレリャーダ、ガルナッチャ。典型的なスタイル：穏やかなリンゴや花の香りと比較的中立的な果実味。マカベオはブレンドの基礎となり、パレリャーダやチャレッロの酸・構造と組み合わせやすい。</x:v>
      </x:c>
      <x:c r="I419" s="14" t="str">
        <x:v>スペイン</x:v>
      </x:c>
      <x:c r="J419" s="14" t="str">
        <x:v>カバ</x:v>
      </x:c>
      <x:c r="K419" s="14" t="str">
        <x:v>地理;産地;スペイン</x:v>
      </x:c>
      <x:c r="L419" s="14" t="str"/>
      <x:c r="M419" s="14" t="str">
        <x:v>spain_official_wine</x:v>
      </x:c>
      <x:c r="N419" s="14" t="str">
        <x:v>2026-07-12</x:v>
      </x:c>
      <x:c r="O419" s="14" t="str">
        <x:v>Y</x:v>
      </x:c>
    </x:row>
    <x:row r="420" ht="39.599998474121094" hidden="0" customHeight="1">
      <x:c r="A420" s="14" t="str">
        <x:v>term-048acdadbfda</x:v>
      </x:c>
      <x:c r="B420" s="14" t="str">
        <x:v>カファジャテ</x:v>
      </x:c>
      <x:c r="C420" s="14" t="str"/>
      <x:c r="D420" s="14" t="str"/>
      <x:c r="E420" s="14" t="str"/>
      <x:c r="F420" s="14" t="str">
        <x:v>産地・地名</x:v>
      </x:c>
      <x:c r="G420" s="14" t="str">
        <x:v>カファジャテはアルゼンチンのワイン産地または原産地呼称。主要品種はトロンテス、マルベック。極めて高い標高、強い日照、冷涼な夜。</x:v>
      </x:c>
      <x:c r="H420" s="14" t="str">
        <x:v>自然条件：高標高、強い日照、冷涼な夜、乾燥した気候。主要品種：トロンテス、マルベック。典型的なスタイル：極めて高い標高、強い日照、冷涼な夜。産地内でも標高、方位、土壌、海や河川からの距離によって成熟度と香味の強さが変わる。</x:v>
      </x:c>
      <x:c r="I420" s="14" t="str">
        <x:v>アルゼンチン</x:v>
      </x:c>
      <x:c r="J420" s="14" t="str">
        <x:v>カファジャテ</x:v>
      </x:c>
      <x:c r="K420" s="14" t="str">
        <x:v>地理;産地;アルゼンチン</x:v>
      </x:c>
      <x:c r="L420" s="14" t="str"/>
      <x:c r="M420" s="14" t="str">
        <x:v>argentina_official_wine</x:v>
      </x:c>
      <x:c r="N420" s="14" t="str">
        <x:v>2026-07-12</x:v>
      </x:c>
      <x:c r="O420" s="14" t="str">
        <x:v>Y</x:v>
      </x:c>
    </x:row>
    <x:row r="421" ht="52.79999923706055" hidden="0" customHeight="1">
      <x:c r="A421" s="14" t="str">
        <x:v>term-063a960926ca</x:v>
      </x:c>
      <x:c r="B421" s="14" t="str">
        <x:v>カリフォルニア</x:v>
      </x:c>
      <x:c r="C421" s="14" t="str"/>
      <x:c r="D421" s="14" t="str"/>
      <x:c r="E421" s="14" t="str"/>
      <x:c r="F421" s="14" t="str">
        <x:v>産地・地名</x:v>
      </x:c>
      <x:c r="G421" s="14" t="str">
        <x:v>カリフォルニアは米国のワイン産地または原産地呼称。主要品種はピノ・ノワール、シャルドネ、リースリング。Willametteは高酸・赤果実、温暖Californiaは熟した果実と高アルコール。</x:v>
      </x:c>
      <x:c r="H421" s="14" t="str">
        <x:v>自然条件：太平洋の冷たい霧と風が谷へ入り、成熟を遅らせるため。主要品種：ピノ・ノワール、シャルドネ、リースリング。典型的なスタイル：Willametteは高酸・赤果実、温暖Californiaは熟した果実と高アルコール。</x:v>
      </x:c>
      <x:c r="I421" s="14" t="str">
        <x:v>米国</x:v>
      </x:c>
      <x:c r="J421" s="14" t="str">
        <x:v>カリフォルニア</x:v>
      </x:c>
      <x:c r="K421" s="14" t="str">
        <x:v>地理;産地;米国</x:v>
      </x:c>
      <x:c r="L421" s="14" t="str"/>
      <x:c r="M421" s="14" t="str">
        <x:v>usa_official_wine</x:v>
      </x:c>
      <x:c r="N421" s="14" t="str">
        <x:v>2026-07-12</x:v>
      </x:c>
      <x:c r="O421" s="14" t="str">
        <x:v>Y</x:v>
      </x:c>
    </x:row>
    <x:row r="422" ht="66" hidden="0" customHeight="1">
      <x:c r="A422" s="14" t="str">
        <x:v>term-f7626a641cdc</x:v>
      </x:c>
      <x:c r="B422" s="14" t="str">
        <x:v>カルティッツェ</x:v>
      </x:c>
      <x:c r="C422" s="14" t="str"/>
      <x:c r="D422" s="14" t="str"/>
      <x:c r="E422" s="14" t="str"/>
      <x:c r="F422" s="14" t="str">
        <x:v>産地・地名</x:v>
      </x:c>
      <x:c r="G422" s="14" t="str">
        <x:v>カルティッツェはイタリアのワイン産地または原産地呼称。主要品種はグレーラ。限られた急斜面の優良区画で手作業が多く、ブドウの需要と希少性が高い。日照に恵まれた小区画から熟したグレーラを得る一方、収量と生産量が限られる。</x:v>
      </x:c>
      <x:c r="H422" s="14" t="str">
        <x:v>自然条件：限られた急斜面の優良区画で手作業が多く、ブドウの需要と希少性が高い。日照に恵まれた小区画から熟したグレーラを得る一方、収量と生産量が限られる。主要品種：グレーラ。産地内でも標高、方位、土壌、海や河川からの距離によって成熟度と香味の強さが変わる。</x:v>
      </x:c>
      <x:c r="I422" s="14" t="str">
        <x:v>イタリア</x:v>
      </x:c>
      <x:c r="J422" s="14" t="str">
        <x:v>カルティッツェ</x:v>
      </x:c>
      <x:c r="K422" s="14" t="str">
        <x:v>地理;産地;イタリア</x:v>
      </x:c>
      <x:c r="L422" s="14" t="str"/>
      <x:c r="M422" s="14" t="str">
        <x:v>italy_official_wine</x:v>
      </x:c>
      <x:c r="N422" s="14" t="str">
        <x:v>2026-07-12</x:v>
      </x:c>
      <x:c r="O422" s="14" t="str">
        <x:v>Y</x:v>
      </x:c>
    </x:row>
    <x:row r="423" ht="52.79999923706055" hidden="0" customHeight="1">
      <x:c r="A423" s="14" t="str">
        <x:v>term-bd8bb949effe</x:v>
      </x:c>
      <x:c r="B423" s="14" t="str">
        <x:v>カンプタール</x:v>
      </x:c>
      <x:c r="C423" s="14" t="str"/>
      <x:c r="D423" s="14" t="str"/>
      <x:c r="E423" s="14" t="str"/>
      <x:c r="F423" s="14" t="str">
        <x:v>産地・地名</x:v>
      </x:c>
      <x:c r="G423" s="14" t="str">
        <x:v>カンプタールはオーストリアのワイン産地または原産地呼称。主要品種はグリューナー・ヴェルトリーナー、リースリング。暖かな日中、冷涼な夜、ドナウ川の影響、標高差。</x:v>
      </x:c>
      <x:c r="H423" s="14" t="str">
        <x:v>自然条件：暖かな日中、冷涼な夜、ドナウ川の影響、標高差。主要品種：グリューナー・ヴェルトリーナー、リースリング。産地内でも標高、方位、土壌、海や河川からの距離によって成熟度と香味の強さが変わる。</x:v>
      </x:c>
      <x:c r="I423" s="14" t="str">
        <x:v>オーストリア</x:v>
      </x:c>
      <x:c r="J423" s="14" t="str">
        <x:v>カンプタール</x:v>
      </x:c>
      <x:c r="K423" s="14" t="str">
        <x:v>地理;産地;オーストリア</x:v>
      </x:c>
      <x:c r="L423" s="14" t="str"/>
      <x:c r="M423" s="14" t="str">
        <x:v>austria_official_wine</x:v>
      </x:c>
      <x:c r="N423" s="14" t="str">
        <x:v>2026-07-12</x:v>
      </x:c>
      <x:c r="O423" s="14" t="str">
        <x:v>Y</x:v>
      </x:c>
    </x:row>
    <x:row r="424" ht="66" hidden="0" customHeight="1">
      <x:c r="A424" s="14" t="str">
        <x:v>term-b007a1af30b6</x:v>
      </x:c>
      <x:c r="B424" s="14" t="str">
        <x:v>ガヴィ</x:v>
      </x:c>
      <x:c r="C424" s="14" t="str"/>
      <x:c r="D424" s="14" t="str"/>
      <x:c r="E424" s="14" t="str"/>
      <x:c r="F424" s="14" t="str">
        <x:v>産地・地名</x:v>
      </x:c>
      <x:c r="G424" s="14" t="str">
        <x:v>ガヴィはイタリアのワイン産地または原産地呼称。主要品種はコルテーゼ。コルテーゼから造る、高い酸と柑橘・青リンゴを持つ辛口白。ピエモンテ南東部の比較的冷涼な丘陵でコルテーゼを栽培し、爽やかな酸と繊細な香りを得る。</x:v>
      </x:c>
      <x:c r="H424" s="14" t="str">
        <x:v>自然条件：コルテーゼから造る、高い酸と柑橘・青リンゴを持つ辛口白。ピエモンテ南東部の比較的冷涼な丘陵でコルテーゼを栽培し、爽やかな酸と繊細な香りを得る。主要品種：コルテーゼ。産地内でも標高、方位、土壌、海や河川からの距離によって成熟度と香味の強さが変わる。</x:v>
      </x:c>
      <x:c r="I424" s="14" t="str">
        <x:v>イタリア</x:v>
      </x:c>
      <x:c r="J424" s="14" t="str">
        <x:v>ガヴィ</x:v>
      </x:c>
      <x:c r="K424" s="14" t="str">
        <x:v>地理;産地;イタリア</x:v>
      </x:c>
      <x:c r="L424" s="14" t="str"/>
      <x:c r="M424" s="14" t="str">
        <x:v>italy_official_wine</x:v>
      </x:c>
      <x:c r="N424" s="14" t="str">
        <x:v>2026-07-12</x:v>
      </x:c>
      <x:c r="O424" s="14" t="str">
        <x:v>Y</x:v>
      </x:c>
    </x:row>
    <x:row r="425" ht="52.79999923706055" hidden="0" customHeight="1">
      <x:c r="A425" s="14" t="str">
        <x:v>term-10917b54e37a</x:v>
      </x:c>
      <x:c r="B425" s="14" t="str">
        <x:v>キアンティ・クラッシコ</x:v>
      </x:c>
      <x:c r="C425" s="14" t="str"/>
      <x:c r="D425" s="14" t="str"/>
      <x:c r="E425" s="14" t="str"/>
      <x:c r="F425" s="14" t="str">
        <x:v>産地・地名</x:v>
      </x:c>
      <x:c r="G425" s="14" t="str">
        <x:v>キアンティ・クラッシコはイタリアのワイン産地または原産地呼称。主要品種はサンジョヴェーゼ。Brunelloはより熟度・ボディ・タンニンが高く、Chiantiは早く開きやすい。</x:v>
      </x:c>
      <x:c r="H425" s="14" t="str">
        <x:v>自然条件：高い酸、中程度以上のタンニン、サワーチェリー、乾燥ハーブを持つ辛口赤。標高ある丘陵とサンジョヴェーゼの高酸・タンニンが典型的な構造を作る。主要品種：サンジョヴェーゼ。典型的なスタイル：Brunelloはより熟度・ボディ・タンニンが高く、Chiantiは早く開きやすい。</x:v>
      </x:c>
      <x:c r="I425" s="14" t="str">
        <x:v>イタリア</x:v>
      </x:c>
      <x:c r="J425" s="14" t="str">
        <x:v>キアンティ・クラッシコ</x:v>
      </x:c>
      <x:c r="K425" s="14" t="str">
        <x:v>地理;産地;イタリア</x:v>
      </x:c>
      <x:c r="L425" s="14" t="str"/>
      <x:c r="M425" s="14" t="str">
        <x:v>italy_official_wine</x:v>
      </x:c>
      <x:c r="N425" s="14" t="str">
        <x:v>2026-07-12</x:v>
      </x:c>
      <x:c r="O425" s="14" t="str">
        <x:v>Y</x:v>
      </x:c>
    </x:row>
    <x:row r="426" ht="66" hidden="0" customHeight="1">
      <x:c r="A426" s="14" t="str">
        <x:v>term-f1251df6a7bd</x:v>
      </x:c>
      <x:c r="B426" s="14" t="str">
        <x:v>キャップ・クラシック</x:v>
      </x:c>
      <x:c r="C426" s="14" t="str"/>
      <x:c r="D426" s="14" t="str"/>
      <x:c r="E426" s="14" t="str"/>
      <x:c r="F426" s="14" t="str">
        <x:v>産地・地名</x:v>
      </x:c>
      <x:c r="G426" s="14" t="str">
        <x:v>キャップ・クラシックは南アフリカのワイン産地または原産地呼称。主要品種はシャルドネ、ピノ・ノワール。瓶内二次発酵を行う伝統的方式の発泡性ワイン。瓶内二次発酵と澱熟成を用いる南アフリカの伝統的方式発泡性ワインである。</x:v>
      </x:c>
      <x:c r="H426" s="14" t="str">
        <x:v>自然条件：冷涼な地区で高い酸を保ち、伝統的方式の澱熟成に適した構造と繊細さを与える。主要品種：シャルドネ、ピノ・ノワール。典型的なスタイル：瓶内二次発酵を行う伝統的方式の発泡性ワイン。瓶内二次発酵と澱熟成を用いる南アフリカの伝統的方式発泡性ワインである。</x:v>
      </x:c>
      <x:c r="I426" s="14" t="str">
        <x:v>南アフリカ</x:v>
      </x:c>
      <x:c r="J426" s="14" t="str">
        <x:v>キャップ・クラシック</x:v>
      </x:c>
      <x:c r="K426" s="14" t="str">
        <x:v>地理;産地;南アフリカ</x:v>
      </x:c>
      <x:c r="L426" s="14" t="str"/>
      <x:c r="M426" s="14" t="str">
        <x:v>south_africa_official_wine</x:v>
      </x:c>
      <x:c r="N426" s="14" t="str">
        <x:v>2026-07-12</x:v>
      </x:c>
      <x:c r="O426" s="14" t="str">
        <x:v>Y</x:v>
      </x:c>
    </x:row>
    <x:row r="427" ht="66" hidden="0" customHeight="1">
      <x:c r="A427" s="14" t="str">
        <x:v>term-a576d4c3aaeb</x:v>
      </x:c>
      <x:c r="B427" s="14" t="str">
        <x:v>クナワラ</x:v>
      </x:c>
      <x:c r="C427" s="14" t="str"/>
      <x:c r="D427" s="14" t="str"/>
      <x:c r="E427" s="14" t="str"/>
      <x:c r="F427" s="14" t="str">
        <x:v>産地・地名</x:v>
      </x:c>
      <x:c r="G427" s="14" t="str">
        <x:v>クナワラはオーストラリアのワイン産地または原産地呼称。主要品種はカベルネ・ソーヴィニヨン、シラーズ、グルナッシュ。水はけのよい赤土が石灰岩上にあり、樹勢を抑えつつ根へ水分を供給できる。</x:v>
      </x:c>
      <x:c r="H427" s="14" t="str">
        <x:v>自然条件：南極海の影響を受ける比較的冷涼な海洋性気候で、成熟が緩やかに進む。南オーストラリアの中では海洋の冷却が強く、長い成熟期により黒系果実とタンニンを成熟させながら酸を保持しやすい。主要品種：カベルネ・ソーヴィニヨン、シラーズ、グルナッシュ。典型的なスタイル：水はけのよい赤土が石灰岩上にあり、樹勢を抑えつつ根へ水分を供給できる。</x:v>
      </x:c>
      <x:c r="I427" s="14" t="str">
        <x:v>オーストラリア</x:v>
      </x:c>
      <x:c r="J427" s="14" t="str">
        <x:v>クナワラ</x:v>
      </x:c>
      <x:c r="K427" s="14" t="str">
        <x:v>地理;産地;オーストラリア</x:v>
      </x:c>
      <x:c r="L427" s="14" t="str"/>
      <x:c r="M427" s="14" t="str">
        <x:v>australia_official_wine</x:v>
      </x:c>
      <x:c r="N427" s="14" t="str">
        <x:v>2026-07-12</x:v>
      </x:c>
      <x:c r="O427" s="14" t="str">
        <x:v>Y</x:v>
      </x:c>
    </x:row>
    <x:row r="428" ht="66" hidden="0" customHeight="1">
      <x:c r="A428" s="14" t="str">
        <x:v>term-36f0de2b0b7a</x:v>
      </x:c>
      <x:c r="B428" s="14" t="str">
        <x:v>クレア・ヴァレー</x:v>
      </x:c>
      <x:c r="C428" s="14" t="str"/>
      <x:c r="D428" s="14" t="str"/>
      <x:c r="E428" s="14" t="str"/>
      <x:c r="F428" s="14" t="str">
        <x:v>産地・地名</x:v>
      </x:c>
      <x:c r="G428" s="14" t="str">
        <x:v>クレア・ヴァレーはオーストラリアのワイン産地または原産地呼称。主要品種はリースリング。高い酸、ライムや柑橘の風味、瓶熟成でトースト香が発達する。豪州高品質Rieslingの高酸・ライム・瓶熟成香は、その産地に典型的な果実の成熟度、酸、構造および熟成香を正しく表している。</x:v>
      </x:c>
      <x:c r="H428" s="14" t="str">
        <x:v>自然条件：辛口、高い酸、ライムや柑橘の風味を持ち、瓶熟成でトースト香が発達する。若いうちはライムや柑橘、熟成でトーストや蜂蜜様の香りを示す。主要品種：リースリング。典型的なスタイル：高い酸、ライムや柑橘の風味、瓶熟成でトースト香が発達する。豪州高品質Rieslingの高酸・ライム・瓶熟成香は、その産地に典型的な果実の成熟度、酸、構造および熟成香を正しく表している。</x:v>
      </x:c>
      <x:c r="I428" s="14" t="str">
        <x:v>オーストラリア</x:v>
      </x:c>
      <x:c r="J428" s="14" t="str">
        <x:v>クレア・ヴァレー</x:v>
      </x:c>
      <x:c r="K428" s="14" t="str">
        <x:v>地理;産地;オーストラリア</x:v>
      </x:c>
      <x:c r="L428" s="14" t="str"/>
      <x:c r="M428" s="14" t="str">
        <x:v>australia_official_wine</x:v>
      </x:c>
      <x:c r="N428" s="14" t="str">
        <x:v>2026-07-12</x:v>
      </x:c>
      <x:c r="O428" s="14" t="str">
        <x:v>Y</x:v>
      </x:c>
    </x:row>
    <x:row r="429" ht="52.79999923706055" hidden="0" customHeight="1">
      <x:c r="A429" s="14" t="str">
        <x:v>term-b66624f1c3e1</x:v>
      </x:c>
      <x:c r="B429" s="14" t="str">
        <x:v>クレマン</x:v>
      </x:c>
      <x:c r="C429" s="14" t="str"/>
      <x:c r="D429" s="14" t="str"/>
      <x:c r="E429" s="14" t="str"/>
      <x:c r="F429" s="14" t="str">
        <x:v>産地・地名</x:v>
      </x:c>
      <x:c r="G429" s="14" t="str">
        <x:v>クレマンはフランスのワイン産地または原産地呼称。シャンパーニュ以外のフランス指定産地で、伝統的方式により造る発泡性ワイン。アルザス、ロワール、ブルゴーニュ等で地域品種を用いて造る。</x:v>
      </x:c>
      <x:c r="H429" s="14" t="str">
        <x:v>自然条件：シャンパーニュ以外のフランス指定産地で、伝統的方式により造る発泡性ワイン。アルザス、ロワール、ブルゴーニュ等で地域品種を用いて造る。産地内でも標高、方位、土壌、海や河川からの距離によって成熟度と香味の強さが変わる。</x:v>
      </x:c>
      <x:c r="I429" s="14" t="str">
        <x:v>フランス</x:v>
      </x:c>
      <x:c r="J429" s="14" t="str">
        <x:v>クレマン</x:v>
      </x:c>
      <x:c r="K429" s="14" t="str">
        <x:v>地理;産地;フランス</x:v>
      </x:c>
      <x:c r="L429" s="14" t="str"/>
      <x:c r="M429" s="14" t="str">
        <x:v>wset_questions_1100_v6</x:v>
      </x:c>
      <x:c r="N429" s="14" t="str">
        <x:v>2026-07-12</x:v>
      </x:c>
      <x:c r="O429" s="14" t="str">
        <x:v>Y</x:v>
      </x:c>
    </x:row>
    <x:row r="430" ht="79.19999694824219" hidden="0" customHeight="1">
      <x:c r="A430" s="14" t="str">
        <x:v>term-39ff907932d9</x:v>
      </x:c>
      <x:c r="B430" s="14" t="str">
        <x:v>クレムスタール</x:v>
      </x:c>
      <x:c r="C430" s="14" t="str"/>
      <x:c r="D430" s="14" t="str"/>
      <x:c r="E430" s="14" t="str"/>
      <x:c r="F430" s="14" t="str">
        <x:v>産地・地名</x:v>
      </x:c>
      <x:c r="G430" s="14" t="str">
        <x:v>クレムスタールはオーストリアのワイン産地または原産地呼称。主要品種はグリューナー・ヴェルトリーナー、リースリング。グリューナー・ヴェルトリーナーまたはリースリングから造る、熟した果実と高い酸を持つ辛口。ドナウ沿いの冷涼な夜と暖かな日中から、熟度と酸を両立した辛口白が造られる。</x:v>
      </x:c>
      <x:c r="H430" s="14" t="str">
        <x:v>自然条件：グリューナー・ヴェルトリーナーまたはリースリングから造る、熟した果実と高い酸を持つ辛口。ドナウ沿いの冷涼な夜と暖かな日中から、熟度と酸を両立した辛口白が造られる。主要品種：グリューナー・ヴェルトリーナー、リースリング。</x:v>
      </x:c>
      <x:c r="I430" s="14" t="str">
        <x:v>オーストリア</x:v>
      </x:c>
      <x:c r="J430" s="14" t="str">
        <x:v>クレムスタール</x:v>
      </x:c>
      <x:c r="K430" s="14" t="str">
        <x:v>地理;産地;オーストリア</x:v>
      </x:c>
      <x:c r="L430" s="14" t="str"/>
      <x:c r="M430" s="14" t="str">
        <x:v>austria_official_wine</x:v>
      </x:c>
      <x:c r="N430" s="14" t="str">
        <x:v>2026-07-12</x:v>
      </x:c>
      <x:c r="O430" s="14" t="str">
        <x:v>Y</x:v>
      </x:c>
    </x:row>
    <x:row r="431" ht="79.19999694824219" hidden="0" customHeight="1">
      <x:c r="A431" s="14" t="str">
        <x:v>term-8042fb75877d</x:v>
      </x:c>
      <x:c r="B431" s="14" t="str">
        <x:v>クローズ・エルミタージュ</x:v>
      </x:c>
      <x:c r="C431" s="14" t="str"/>
      <x:c r="D431" s="14" t="str"/>
      <x:c r="E431" s="14" t="str"/>
      <x:c r="F431" s="14" t="str">
        <x:v>産地・地名</x:v>
      </x:c>
      <x:c r="G431" s="14" t="str">
        <x:v>クローズ・エルミタージュはフランスのワイン産地または原産地呼称。主要品種はシラー。広い平地と緩斜面を含み、収量が高く機械化しやすい畑が多いため。アペラシオンが広く、平地や緩斜面の機械化可能な畑と比較的高い収量により、生産コストと凝縮度がエルミタージュより低くなりやすい。</x:v>
      </x:c>
      <x:c r="H431" s="14" t="str">
        <x:v>自然条件：広い平地と緩斜面を含み、収量が高く機械化しやすい畑が多いため。アペラシオンが広く、平地や緩斜面の機械化可能な畑と比較的高い収量により、生産コストと凝縮度がエルミタージュより低くなりやすい。主要品種：シラー。</x:v>
      </x:c>
      <x:c r="I431" s="14" t="str">
        <x:v>フランス</x:v>
      </x:c>
      <x:c r="J431" s="14" t="str">
        <x:v>クローズ・エルミタージュ</x:v>
      </x:c>
      <x:c r="K431" s="14" t="str">
        <x:v>地理;産地;フランス</x:v>
      </x:c>
      <x:c r="L431" s="14" t="str"/>
      <x:c r="M431" s="14" t="str">
        <x:v>rhone_official_terroir</x:v>
      </x:c>
      <x:c r="N431" s="14" t="str">
        <x:v>2026-07-12</x:v>
      </x:c>
      <x:c r="O431" s="14" t="str">
        <x:v>Y</x:v>
      </x:c>
    </x:row>
    <x:row r="432" ht="52.79999923706055" hidden="0" customHeight="1">
      <x:c r="A432" s="14" t="str">
        <x:v>term-1decd81bf7a1</x:v>
      </x:c>
      <x:c r="B432" s="14" t="str">
        <x:v>グラーヴ</x:v>
      </x:c>
      <x:c r="C432" s="14" t="str"/>
      <x:c r="D432" s="14" t="str"/>
      <x:c r="E432" s="14" t="str"/>
      <x:c r="F432" s="14" t="str">
        <x:v>産地・地名</x:v>
      </x:c>
      <x:c r="G432" s="14" t="str">
        <x:v>グラーヴはフランスのワイン産地または原産地呼称。主要品種はソーヴィニヨン・ブラン、セミヨン。ソーヴィニヨン・ブランとセミヨンのブレンドで、高い酸、柑橘、ハーブ、オーク由来の複雑性を持つ。</x:v>
      </x:c>
      <x:c r="H432" s="14" t="str">
        <x:v>自然条件：ソーヴィニヨン・ブランとセミヨンのブレンドで、高い酸、柑橘、ハーブ、オーク由来の複雑性を持つ。主要品種：ソーヴィニヨン・ブラン、セミヨン。産地内でも標高、方位、土壌、海や河川からの距離によって成熟度と香味の強さが変わる。</x:v>
      </x:c>
      <x:c r="I432" s="14" t="str">
        <x:v>フランス</x:v>
      </x:c>
      <x:c r="J432" s="14" t="str">
        <x:v>グラーヴ</x:v>
      </x:c>
      <x:c r="K432" s="14" t="str">
        <x:v>地理;産地;フランス</x:v>
      </x:c>
      <x:c r="L432" s="14" t="str"/>
      <x:c r="M432" s="14" t="str">
        <x:v>bordeaux_official_grapes</x:v>
      </x:c>
      <x:c r="N432" s="14" t="str">
        <x:v>2026-07-12</x:v>
      </x:c>
      <x:c r="O432" s="14" t="str">
        <x:v>Y</x:v>
      </x:c>
    </x:row>
    <x:row r="433" ht="52.79999923706055" hidden="0" customHeight="1">
      <x:c r="A433" s="14" t="str">
        <x:v>term-4e458b633983</x:v>
      </x:c>
      <x:c r="B433" s="14" t="str">
        <x:v>コッリオ</x:v>
      </x:c>
      <x:c r="C433" s="14" t="str"/>
      <x:c r="D433" s="14" t="str"/>
      <x:c r="E433" s="14" t="str"/>
      <x:c r="F433" s="14" t="str">
        <x:v>産地・地名</x:v>
      </x:c>
      <x:c r="G433" s="14" t="str">
        <x:v>コッリオはイタリアのワイン産地または原産地呼称。主要品種はフリウラーノ、ソーヴィニヨン・ブラン、ピノ・グリージョ。アルプスの冷気とアドリア海の温和な影響が、日較差と長い成熟期間を生むため。</x:v>
      </x:c>
      <x:c r="H433" s="14" t="str">
        <x:v>自然条件：アルプスの冷気とアドリア海の温和な影響が、日較差と長い成熟期間を生むため。主要品種：フリウラーノ、ソーヴィニヨン・ブラン、ピノ・グリージョ。産地内でも標高、方位、土壌、海や河川からの距離によって成熟度と香味の強さが変わる。</x:v>
      </x:c>
      <x:c r="I433" s="14" t="str">
        <x:v>イタリア</x:v>
      </x:c>
      <x:c r="J433" s="14" t="str">
        <x:v>コッリオ</x:v>
      </x:c>
      <x:c r="K433" s="14" t="str">
        <x:v>地理;産地;イタリア</x:v>
      </x:c>
      <x:c r="L433" s="14" t="str"/>
      <x:c r="M433" s="14" t="str">
        <x:v>italy_official_wine</x:v>
      </x:c>
      <x:c r="N433" s="14" t="str">
        <x:v>2026-07-12</x:v>
      </x:c>
      <x:c r="O433" s="14" t="str">
        <x:v>Y</x:v>
      </x:c>
    </x:row>
    <x:row r="434" ht="66" hidden="0" customHeight="1">
      <x:c r="A434" s="14" t="str">
        <x:v>term-fb0e13fa5dfc</x:v>
      </x:c>
      <x:c r="B434" s="14" t="str">
        <x:v>コトー・デュ・レイヨン</x:v>
      </x:c>
      <x:c r="C434" s="14" t="str"/>
      <x:c r="D434" s="14" t="str"/>
      <x:c r="E434" s="14" t="str"/>
      <x:c r="F434" s="14" t="str">
        <x:v>産地・地名</x:v>
      </x:c>
      <x:c r="G434" s="14" t="str">
        <x:v>コトー・デュ・レイヨンはフランスのワイン産地または原産地呼称。主要品種はシュナン・ブラン。高酸のシュナン・ブランを、貴腐または樹上で濃縮して収穫するため。品種の高い酸が、貴腐やパスリヤージュによる糖濃縮を支える。</x:v>
      </x:c>
      <x:c r="H434" s="14" t="str">
        <x:v>自然条件：高酸のシュナン・ブランを、貴腐または樹上で濃縮して収穫するため。品種の高い酸が、貴腐やパスリヤージュによる糖濃縮を支える。主要品種：シュナン・ブラン。産地内でも標高、方位、土壌、海や河川からの距離によって成熟度と香味の強さが変わる。</x:v>
      </x:c>
      <x:c r="I434" s="14" t="str">
        <x:v>フランス</x:v>
      </x:c>
      <x:c r="J434" s="14" t="str">
        <x:v>コトー・デュ・レイヨン</x:v>
      </x:c>
      <x:c r="K434" s="14" t="str">
        <x:v>地理;産地;フランス</x:v>
      </x:c>
      <x:c r="L434" s="14" t="str"/>
      <x:c r="M434" s="14" t="str">
        <x:v>loire_official_terroir</x:v>
      </x:c>
      <x:c r="N434" s="14" t="str">
        <x:v>2026-07-12</x:v>
      </x:c>
      <x:c r="O434" s="14" t="str">
        <x:v>Y</x:v>
      </x:c>
    </x:row>
    <x:row r="435" ht="52.79999923706055" hidden="0" customHeight="1">
      <x:c r="A435" s="14" t="str">
        <x:v>term-3f4dbbe85495</x:v>
      </x:c>
      <x:c r="B435" s="14" t="str">
        <x:v>コネリアーノ・ヴァルドッビアーデネ</x:v>
      </x:c>
      <x:c r="C435" s="14" t="str"/>
      <x:c r="D435" s="14" t="str"/>
      <x:c r="E435" s="14" t="str"/>
      <x:c r="F435" s="14" t="str">
        <x:v>産地・地名</x:v>
      </x:c>
      <x:c r="G435" s="14" t="str">
        <x:v>コネリアーノ・ヴァルドッビアーデネはイタリアのワイン産地または原産地呼称。主要品種はグレーラ、グレラ。急斜面で手作業が多く、収量が制限され、評価の高い産地名への需要があるから。</x:v>
      </x:c>
      <x:c r="H435" s="14" t="str">
        <x:v>自然条件：急斜面で手作業が必要になりやすく、収量を抑えた香りの濃いブドウを得るため。斜面の日照・排水が品質を高める一方、栽培コストと希少性が増す。主要品種：グレーラ、グレラ。典型的なスタイル：急斜面で手作業が多く、収量が制限され、評価の高い産地名への需要があるから。</x:v>
      </x:c>
      <x:c r="I435" s="14" t="str">
        <x:v>イタリア</x:v>
      </x:c>
      <x:c r="J435" s="14" t="str">
        <x:v>コネリアーノ・ヴァルドッビアーデネ</x:v>
      </x:c>
      <x:c r="K435" s="14" t="str">
        <x:v>地理;産地;イタリア</x:v>
      </x:c>
      <x:c r="L435" s="14" t="str"/>
      <x:c r="M435" s="14" t="str">
        <x:v>italy_official_wine</x:v>
      </x:c>
      <x:c r="N435" s="14" t="str">
        <x:v>2026-07-12</x:v>
      </x:c>
      <x:c r="O435" s="14" t="str">
        <x:v>Y</x:v>
      </x:c>
    </x:row>
    <x:row r="436" ht="39.599998474121094" hidden="0" customHeight="1">
      <x:c r="A436" s="14" t="str">
        <x:v>term-475d4b44b2bc</x:v>
      </x:c>
      <x:c r="B436" s="14" t="str">
        <x:v>コルチャグア・ヴァレー</x:v>
      </x:c>
      <x:c r="C436" s="14" t="str"/>
      <x:c r="D436" s="14" t="str"/>
      <x:c r="E436" s="14" t="str"/>
      <x:c r="F436" s="14" t="str">
        <x:v>産地・地名</x:v>
      </x:c>
      <x:c r="G436" s="14" t="str">
        <x:v>コルチャグア・ヴァレーはチリのワイン産地または原産地呼称。主要品種はカルメネール。温暖で日照が多く、生育期間が長いため、晩熟な品種の青い風味を減らしやすい。</x:v>
      </x:c>
      <x:c r="H436" s="14" t="str">
        <x:v>自然条件：温暖で日照が多く、生育期間が長いため、晩熟な品種の青い風味を減らしやすい。カルメネールは晩熟で、十分な熱と長い秋がないと青いピラジン香が残りやすい。コルチャグアの暖かさが果実とタンニンの成熟を支える。主要品種：カルメネール。</x:v>
      </x:c>
      <x:c r="I436" s="14" t="str">
        <x:v>チリ</x:v>
      </x:c>
      <x:c r="J436" s="14" t="str">
        <x:v>コルチャグア・ヴァレー</x:v>
      </x:c>
      <x:c r="K436" s="14" t="str">
        <x:v>地理;産地;チリ</x:v>
      </x:c>
      <x:c r="L436" s="14" t="str"/>
      <x:c r="M436" s="14" t="str">
        <x:v>chile_official_wine</x:v>
      </x:c>
      <x:c r="N436" s="14" t="str">
        <x:v>2026-07-12</x:v>
      </x:c>
      <x:c r="O436" s="14" t="str">
        <x:v>Y</x:v>
      </x:c>
    </x:row>
    <x:row r="437" ht="66" hidden="0" customHeight="1">
      <x:c r="A437" s="14" t="str">
        <x:v>term-2c1ca0cc66fc</x:v>
      </x:c>
      <x:c r="B437" s="14" t="str">
        <x:v>コルナス</x:v>
      </x:c>
      <x:c r="C437" s="14" t="str"/>
      <x:c r="D437" s="14" t="str"/>
      <x:c r="E437" s="14" t="str"/>
      <x:c r="F437" s="14" t="str">
        <x:v>産地・地名</x:v>
      </x:c>
      <x:c r="G437" s="14" t="str">
        <x:v>コルナスはフランスのワイン産地または原産地呼称。主要品種はシラー。南向きで風から守られた花崗岩の斜面が熱を蓄え、シラーの成熟を促すため。自然の円形劇場のような地形が日照と暖かさを確保し、北部ローヌでも比較的濃厚なシラーを生む。</x:v>
      </x:c>
      <x:c r="H437" s="14" t="str">
        <x:v>自然条件：南向きで風から守られた花崗岩の斜面が熱を蓄え、シラーの成熟を促すため。自然の円形劇場のような地形が日照と暖かさを確保し、北部ローヌでも比較的濃厚なシラーを生む。主要品種：シラー。産地内でも標高、方位、土壌、海や河川からの距離によって成熟度と香味の強さが変わる。</x:v>
      </x:c>
      <x:c r="I437" s="14" t="str">
        <x:v>フランス</x:v>
      </x:c>
      <x:c r="J437" s="14" t="str">
        <x:v>コルナス</x:v>
      </x:c>
      <x:c r="K437" s="14" t="str">
        <x:v>地理;産地;フランス</x:v>
      </x:c>
      <x:c r="L437" s="14" t="str"/>
      <x:c r="M437" s="14" t="str">
        <x:v>rhone_official_terroir</x:v>
      </x:c>
      <x:c r="N437" s="14" t="str">
        <x:v>2026-07-12</x:v>
      </x:c>
      <x:c r="O437" s="14" t="str">
        <x:v>Y</x:v>
      </x:c>
    </x:row>
    <x:row r="438" ht="66" hidden="0" customHeight="1">
      <x:c r="A438" s="14" t="str">
        <x:v>term-a14b39900b8b</x:v>
      </x:c>
      <x:c r="B438" s="14" t="str">
        <x:v>コルビエール</x:v>
      </x:c>
      <x:c r="C438" s="14" t="str"/>
      <x:c r="D438" s="14" t="str"/>
      <x:c r="E438" s="14" t="str"/>
      <x:c r="F438" s="14" t="str">
        <x:v>産地・地名</x:v>
      </x:c>
      <x:c r="G438" s="14" t="str">
        <x:v>コルビエールはフランスのワイン産地または原産地呼称。主要品種はグルナッシュ、シラー、カリニャン、ムールヴェードル。海沿いから高い内陸まで標高、土壌、風の条件が大きく異なるため。沿岸の温暖地から高地の冷涼区画まで、メソ気候が大きく異なる。</x:v>
      </x:c>
      <x:c r="H438" s="14" t="str">
        <x:v>自然条件：海沿いから高い内陸まで標高、土壌、風の条件が大きく異なるため。沿岸の温暖地から高地の冷涼区画まで、メソ気候が大きく異なる。主要品種：グルナッシュ、シラー、カリニャン、ムールヴェードル。産地内でも標高、方位、土壌、海や河川からの距離によって成熟度と香味の強さが変わる。</x:v>
      </x:c>
      <x:c r="I438" s="14" t="str">
        <x:v>フランス</x:v>
      </x:c>
      <x:c r="J438" s="14" t="str">
        <x:v>コルビエール</x:v>
      </x:c>
      <x:c r="K438" s="14" t="str">
        <x:v>地理;産地;フランス</x:v>
      </x:c>
      <x:c r="L438" s="14" t="str"/>
      <x:c r="M438" s="14" t="str">
        <x:v>languedoc_official_terroir</x:v>
      </x:c>
      <x:c r="N438" s="14" t="str">
        <x:v>2026-07-12</x:v>
      </x:c>
      <x:c r="O438" s="14" t="str">
        <x:v>Y</x:v>
      </x:c>
    </x:row>
    <x:row r="439" ht="79.19999694824219" hidden="0" customHeight="1">
      <x:c r="A439" s="14" t="str">
        <x:v>term-dba30b30800e</x:v>
      </x:c>
      <x:c r="B439" s="14" t="str">
        <x:v>コロンビア・ヴァレー</x:v>
      </x:c>
      <x:c r="C439" s="14" t="str"/>
      <x:c r="D439" s="14" t="str"/>
      <x:c r="E439" s="14" t="str"/>
      <x:c r="F439" s="14" t="str">
        <x:v>産地・地名</x:v>
      </x:c>
      <x:c r="G439" s="14" t="str">
        <x:v>コロンビア・ヴァレーは米国のワイン産地または原産地呼称。主要品種はカベルネ・ソーヴィニヨン、メルロ、リースリング。カスケード山脈の雨陰で生育期が乾燥し、自然降水だけでは不足しやすい。西からの湿った空気が山脈で雨を落とすため、東側のコロンビア・ヴァレーは乾燥し、河川水を利用した灌漑で樹勢と成熟を管理する。</x:v>
      </x:c>
      <x:c r="H439" s="14" t="str">
        <x:v>自然条件：カスケード山脈の雨陰で生育期が乾燥し、自然降水だけでは不足しやすい。西からの湿った空気が山脈で雨を落とすため、東側のコロンビア・ヴァレーは乾燥し、河川水を利用した灌漑で樹勢と成熟を管理する。主要品種：カベルネ・ソーヴィニヨン、メルロ、リースリング。</x:v>
      </x:c>
      <x:c r="I439" s="14" t="str">
        <x:v>米国</x:v>
      </x:c>
      <x:c r="J439" s="14" t="str">
        <x:v>コロンビア・ヴァレー</x:v>
      </x:c>
      <x:c r="K439" s="14" t="str">
        <x:v>地理;産地;米国</x:v>
      </x:c>
      <x:c r="L439" s="14" t="str"/>
      <x:c r="M439" s="14" t="str">
        <x:v>usa_official_wine</x:v>
      </x:c>
      <x:c r="N439" s="14" t="str">
        <x:v>2026-07-12</x:v>
      </x:c>
      <x:c r="O439" s="14" t="str">
        <x:v>Y</x:v>
      </x:c>
    </x:row>
    <x:row r="440" ht="39.599998474121094" hidden="0" customHeight="1">
      <x:c r="A440" s="14" t="str">
        <x:v>term-36c632ca567a</x:v>
      </x:c>
      <x:c r="B440" s="14" t="str">
        <x:v>コンスタンシア</x:v>
      </x:c>
      <x:c r="C440" s="14" t="str"/>
      <x:c r="D440" s="14" t="str"/>
      <x:c r="E440" s="14" t="str"/>
      <x:c r="F440" s="14" t="str">
        <x:v>産地・地名</x:v>
      </x:c>
      <x:c r="G440" s="14" t="str">
        <x:v>コンスタンシアは南アフリカのワイン産地または原産地呼称。主要品種はソーヴィニヨン・ブラン。フォールス湾からの冷たい風と霧が、成熟を遅らせるため。</x:v>
      </x:c>
      <x:c r="H440" s="14" t="str">
        <x:v>自然条件：フォールス湾からの冷たい風と霧が、成熟を遅らせるため。主要品種：ソーヴィニヨン・ブラン。産地内でも標高、方位、土壌、海や河川からの距離によって成熟度と香味の強さが変わる。</x:v>
      </x:c>
      <x:c r="I440" s="14" t="str">
        <x:v>南アフリカ</x:v>
      </x:c>
      <x:c r="J440" s="14" t="str">
        <x:v>コンスタンシア</x:v>
      </x:c>
      <x:c r="K440" s="14" t="str">
        <x:v>地理;産地;南アフリカ</x:v>
      </x:c>
      <x:c r="L440" s="14" t="str"/>
      <x:c r="M440" s="14" t="str">
        <x:v>south_africa_official_wine</x:v>
      </x:c>
      <x:c r="N440" s="14" t="str">
        <x:v>2026-07-12</x:v>
      </x:c>
      <x:c r="O440" s="14" t="str">
        <x:v>Y</x:v>
      </x:c>
    </x:row>
    <x:row r="441" ht="39.599998474121094" hidden="0" customHeight="1">
      <x:c r="A441" s="14" t="str">
        <x:v>term-d07dbd937771</x:v>
      </x:c>
      <x:c r="B441" s="14" t="str">
        <x:v>コンドリュー</x:v>
      </x:c>
      <x:c r="C441" s="14" t="str"/>
      <x:c r="D441" s="14" t="str"/>
      <x:c r="E441" s="14" t="str"/>
      <x:c r="F441" s="14" t="str">
        <x:v>産地・地名</x:v>
      </x:c>
      <x:c r="G441" s="14" t="str">
        <x:v>コンドリューはフランスのワイン産地または原産地呼称。主要品種はヴィオニエ。急斜面の低収量畑、栽培の難しさ、限られた生産量、ヴィオニエの芳香性。</x:v>
      </x:c>
      <x:c r="H441" s="14" t="str">
        <x:v>自然条件：急斜面の低収量畑、栽培の難しさ、限られた生産量、ヴィオニエの芳香性。主要品種：ヴィオニエ。産地内でも標高、方位、土壌、海や河川からの距離によって成熟度と香味の強さが変わる。</x:v>
      </x:c>
      <x:c r="I441" s="14" t="str">
        <x:v>フランス</x:v>
      </x:c>
      <x:c r="J441" s="14" t="str">
        <x:v>コンドリュー</x:v>
      </x:c>
      <x:c r="K441" s="14" t="str">
        <x:v>地理;産地;フランス</x:v>
      </x:c>
      <x:c r="L441" s="14" t="str"/>
      <x:c r="M441" s="14" t="str">
        <x:v>rhone_official_terroir</x:v>
      </x:c>
      <x:c r="N441" s="14" t="str">
        <x:v>2026-07-12</x:v>
      </x:c>
      <x:c r="O441" s="14" t="str">
        <x:v>Y</x:v>
      </x:c>
    </x:row>
    <x:row r="442" ht="66" hidden="0" customHeight="1">
      <x:c r="A442" s="14" t="str">
        <x:v>term-de5b01db86c0</x:v>
      </x:c>
      <x:c r="B442" s="14" t="str">
        <x:v>コート・シャロネーズ</x:v>
      </x:c>
      <x:c r="C442" s="14" t="str"/>
      <x:c r="D442" s="14" t="str"/>
      <x:c r="E442" s="14" t="str"/>
      <x:c r="F442" s="14" t="str">
        <x:v>産地・地名</x:v>
      </x:c>
      <x:c r="G442" s="14" t="str">
        <x:v>コート・シャロネーズはフランスのワイン産地または原産地呼称。主要品種はピノ・ノワール、シャルドネ。優良なピノ・ノワールとシャルドネを生むが、歴史的評価と需要がコート・ドールほど高くない。品質の高い例がある一方、土地価格、知名度、国際需要が相対的に低い。</x:v>
      </x:c>
      <x:c r="H442" s="14" t="str">
        <x:v>自然条件：優良なピノ・ノワールとシャルドネを生むが、歴史的評価と需要がコート・ドールほど高くない。品質の高い例がある一方、土地価格、知名度、国際需要が相対的に低い。主要品種：ピノ・ノワール、シャルドネ。産地内でも標高、方位、土壌、海や河川からの距離によって成熟度と香味の強さが変わる。</x:v>
      </x:c>
      <x:c r="I442" s="14" t="str">
        <x:v>フランス</x:v>
      </x:c>
      <x:c r="J442" s="14" t="str">
        <x:v>コート・シャロネーズ</x:v>
      </x:c>
      <x:c r="K442" s="14" t="str">
        <x:v>地理;産地;フランス</x:v>
      </x:c>
      <x:c r="L442" s="14" t="str"/>
      <x:c r="M442" s="14" t="str">
        <x:v>bourgogne_official_profiles</x:v>
      </x:c>
      <x:c r="N442" s="14" t="str">
        <x:v>2026-07-12</x:v>
      </x:c>
      <x:c r="O442" s="14" t="str">
        <x:v>Y</x:v>
      </x:c>
    </x:row>
    <x:row r="443" ht="79.19999694824219" hidden="0" customHeight="1">
      <x:c r="A443" s="14" t="str">
        <x:v>term-5300a26ddb7e</x:v>
      </x:c>
      <x:c r="B443" s="14" t="str">
        <x:v>コート・デュ・ルーション・ヴィラージュ</x:v>
      </x:c>
      <x:c r="C443" s="14" t="str"/>
      <x:c r="D443" s="14" t="str"/>
      <x:c r="E443" s="14" t="str"/>
      <x:c r="F443" s="14" t="str">
        <x:v>産地・地名</x:v>
      </x:c>
      <x:c r="G443" s="14" t="str">
        <x:v>コート・デュ・ルーション・ヴィラージュはフランスのワイン産地または原産地呼称。主要品種はグルナッシュ、カリニャン、シラー。選ばれた低収量の内陸斜面で、古木グルナッシュやカリニャンを用いるため。暑く乾燥した条件と痩せた土壌が小粒の果実を生み、濃い果実味と高いアルコールを与える。</x:v>
      </x:c>
      <x:c r="H443" s="14" t="str">
        <x:v>自然条件：選ばれた低収量の内陸斜面で、古木グルナッシュやカリニャンを用いるため。暑く乾燥した条件と痩せた土壌が小粒の果実を生み、濃い果実味と高いアルコールを与える。主要品種：グルナッシュ、カリニャン、シラー。産地内でも標高、方位、土壌、海や河川からの距離によって成熟度と香味の強さが変わる。</x:v>
      </x:c>
      <x:c r="I443" s="14" t="str">
        <x:v>フランス</x:v>
      </x:c>
      <x:c r="J443" s="14" t="str">
        <x:v>コート・デュ・ルーション・ヴィラージュ</x:v>
      </x:c>
      <x:c r="K443" s="14" t="str">
        <x:v>地理;産地;フランス</x:v>
      </x:c>
      <x:c r="L443" s="14" t="str"/>
      <x:c r="M443" s="14" t="str">
        <x:v>languedoc_official_terroir</x:v>
      </x:c>
      <x:c r="N443" s="14" t="str">
        <x:v>2026-07-12</x:v>
      </x:c>
      <x:c r="O443" s="14" t="str">
        <x:v>Y</x:v>
      </x:c>
    </x:row>
    <x:row r="444" ht="66" hidden="0" customHeight="1">
      <x:c r="A444" s="14" t="str">
        <x:v>term-68dab4143bd2</x:v>
      </x:c>
      <x:c r="B444" s="14" t="str">
        <x:v>コート・デュ・ローヌ・ヴィラージュ</x:v>
      </x:c>
      <x:c r="C444" s="14" t="str"/>
      <x:c r="D444" s="14" t="str"/>
      <x:c r="E444" s="14" t="str"/>
      <x:c r="F444" s="14" t="str">
        <x:v>産地・地名</x:v>
      </x:c>
      <x:c r="G444" s="14" t="str">
        <x:v>コート・デュ・ローヌ・ヴィラージュはフランスのワイン産地または原産地呼称。主要品種はグルナッシュ、シラー、ムールヴェードル。指定された優良村・区域で、より厳しい収量や成熟基準を満たすため。指定区域とより厳しい栽培・成熟要件が、凝縮度の高いブドウを生みやすい。</x:v>
      </x:c>
      <x:c r="H444" s="14" t="str">
        <x:v>自然条件：指定された優良村・区域で、より厳しい収量や成熟基準を満たすため。指定区域とより厳しい栽培・成熟要件が、凝縮度の高いブドウを生みやすい。主要品種：グルナッシュ、シラー、ムールヴェードル。産地内でも標高、方位、土壌、海や河川からの距離によって成熟度と香味の強さが変わる。</x:v>
      </x:c>
      <x:c r="I444" s="14" t="str">
        <x:v>フランス</x:v>
      </x:c>
      <x:c r="J444" s="14" t="str">
        <x:v>コート・デュ・ローヌ・ヴィラージュ</x:v>
      </x:c>
      <x:c r="K444" s="14" t="str">
        <x:v>地理;産地;フランス</x:v>
      </x:c>
      <x:c r="L444" s="14" t="str"/>
      <x:c r="M444" s="14" t="str">
        <x:v>rhone_official_terroir</x:v>
      </x:c>
      <x:c r="N444" s="14" t="str">
        <x:v>2026-07-12</x:v>
      </x:c>
      <x:c r="O444" s="14" t="str">
        <x:v>Y</x:v>
      </x:c>
    </x:row>
    <x:row r="445" ht="79.19999694824219" hidden="0" customHeight="1">
      <x:c r="A445" s="14" t="str">
        <x:v>term-fa2ae9969d71</x:v>
      </x:c>
      <x:c r="B445" s="14" t="str">
        <x:v>コート・デ・バール</x:v>
      </x:c>
      <x:c r="C445" s="14" t="str"/>
      <x:c r="D445" s="14" t="str"/>
      <x:c r="E445" s="14" t="str"/>
      <x:c r="F445" s="14" t="str">
        <x:v>産地・地名</x:v>
      </x:c>
      <x:c r="G445" s="14" t="str">
        <x:v>コート・デ・バールはフランスのワイン産地または原産地呼称。主要品種はピノ・ノワール。シャンパーニュ南部の比較的温暖な条件で、ピノ・ノワールが十分に成熟しやすい。コート・デ・バールは南に位置し、キンメリジャン系土壌も見られ、ピノ・ノワールから熟した果実味と構造を得やすい。</x:v>
      </x:c>
      <x:c r="H445" s="14" t="str">
        <x:v>自然条件：南部のやや温暖な気候と粘土石灰質土壌で、黒ブドウが十分に成熟するため。温暖さと土壌が、赤系果実と構造を与えるピノの成熟を支える。主要品種：ピノ・ノワール。典型的なスタイル：シャンパーニュ南部の比較的温暖な条件で、ピノ・ノワールが十分に成熟しやすい。コート・デ・バールは南に位置し、キンメリジャン系土壌も見られ、ピノ・ノワールから熟した果実味と構造を得やすい。</x:v>
      </x:c>
      <x:c r="I445" s="14" t="str">
        <x:v>フランス</x:v>
      </x:c>
      <x:c r="J445" s="14" t="str">
        <x:v>コート・デ・バール</x:v>
      </x:c>
      <x:c r="K445" s="14" t="str">
        <x:v>地理;産地;フランス</x:v>
      </x:c>
      <x:c r="L445" s="14" t="str"/>
      <x:c r="M445" s="14" t="str">
        <x:v>champagne_official_terroir</x:v>
      </x:c>
      <x:c r="N445" s="14" t="str">
        <x:v>2026-07-12</x:v>
      </x:c>
      <x:c r="O445" s="14" t="str">
        <x:v>Y</x:v>
      </x:c>
    </x:row>
    <x:row r="446" ht="66" hidden="0" customHeight="1">
      <x:c r="A446" s="14" t="str">
        <x:v>term-86cf9038983b</x:v>
      </x:c>
      <x:c r="B446" s="14" t="str">
        <x:v>コート・デ・ブラン</x:v>
      </x:c>
      <x:c r="C446" s="14" t="str"/>
      <x:c r="D446" s="14" t="str"/>
      <x:c r="E446" s="14" t="str"/>
      <x:c r="F446" s="14" t="str">
        <x:v>産地・地名</x:v>
      </x:c>
      <x:c r="G446" s="14" t="str">
        <x:v>コート・デ・ブランはフランスのワイン産地または原産地呼称。主要品種はシャルドネ。白亜質土壌の水はけと保水性、冷涼な気候が高い酸と繊細な風味を支える。白亜は排水しつつ水を蓄え、冷涼条件でシャルドネがゆっくり成熟する。</x:v>
      </x:c>
      <x:c r="H446" s="14" t="str">
        <x:v>自然条件：白亜質土壌の水はけと保水性、冷涼な気候が高い酸と繊細な風味を支える。白亜は排水しつつ水を蓄え、冷涼条件でシャルドネがゆっくり成熟する。主要品種：シャルドネ。産地内でも標高、方位、土壌、海や河川からの距離によって成熟度と香味の強さが変わる。</x:v>
      </x:c>
      <x:c r="I446" s="14" t="str">
        <x:v>フランス</x:v>
      </x:c>
      <x:c r="J446" s="14" t="str">
        <x:v>コート・デ・ブラン</x:v>
      </x:c>
      <x:c r="K446" s="14" t="str">
        <x:v>地理;産地;フランス</x:v>
      </x:c>
      <x:c r="L446" s="14" t="str"/>
      <x:c r="M446" s="14" t="str">
        <x:v>champagne_official_terroir</x:v>
      </x:c>
      <x:c r="N446" s="14" t="str">
        <x:v>2026-07-12</x:v>
      </x:c>
      <x:c r="O446" s="14" t="str">
        <x:v>Y</x:v>
      </x:c>
    </x:row>
    <x:row r="447" ht="66" hidden="0" customHeight="1">
      <x:c r="A447" s="14" t="str">
        <x:v>term-2afd2ccbdc17</x:v>
      </x:c>
      <x:c r="B447" s="14" t="str">
        <x:v>コート・ド・セザンヌ</x:v>
      </x:c>
      <x:c r="C447" s="14" t="str"/>
      <x:c r="D447" s="14" t="str"/>
      <x:c r="E447" s="14" t="str"/>
      <x:c r="F447" s="14" t="str">
        <x:v>産地・地名</x:v>
      </x:c>
      <x:c r="G447" s="14" t="str">
        <x:v>コート・ド・セザンヌはフランスのワイン産地または原産地呼称。主要品種はシャルドネ。比較的熟したシャルドネの果実味と丸み。南寄りでやや温暖なため、コート・デ・ブランより豊かな柑橘・核果のシャルドネを生むことがある。</x:v>
      </x:c>
      <x:c r="H447" s="14" t="str">
        <x:v>自然条件：比較的熟したシャルドネの果実味と丸み。南寄りでやや温暖なため、コート・デ・ブランより豊かな柑橘・核果のシャルドネを生むことがある。主要品種：シャルドネ。産地内でも標高、方位、土壌、海や河川からの距離によって成熟度と香味の強さが変わる。</x:v>
      </x:c>
      <x:c r="I447" s="14" t="str">
        <x:v>フランス</x:v>
      </x:c>
      <x:c r="J447" s="14" t="str">
        <x:v>コート・ド・セザンヌ</x:v>
      </x:c>
      <x:c r="K447" s="14" t="str">
        <x:v>地理;産地;フランス</x:v>
      </x:c>
      <x:c r="L447" s="14" t="str"/>
      <x:c r="M447" s="14" t="str">
        <x:v>champagne_official_terroir</x:v>
      </x:c>
      <x:c r="N447" s="14" t="str">
        <x:v>2026-07-12</x:v>
      </x:c>
      <x:c r="O447" s="14" t="str">
        <x:v>Y</x:v>
      </x:c>
    </x:row>
    <x:row r="448" ht="66" hidden="0" customHeight="1">
      <x:c r="A448" s="14" t="str">
        <x:v>term-1af88966a4c4</x:v>
      </x:c>
      <x:c r="B448" s="14" t="str">
        <x:v>コート・ド・ニュイ</x:v>
      </x:c>
      <x:c r="C448" s="14" t="str"/>
      <x:c r="D448" s="14" t="str"/>
      <x:c r="E448" s="14" t="str"/>
      <x:c r="F448" s="14" t="str">
        <x:v>産地・地名</x:v>
      </x:c>
      <x:c r="G448" s="14" t="str">
        <x:v>コート・ド・ニュイはフランスのワイン産地または原産地呼称。主要品種はピノ・ノワール。ピノ・ノワールから造る、香り高く複雑で長期熟成可能な赤ワイン。東から南東向きの石灰岩と粘土の斜面に優良畑が集中し、繊細な香りと高い酸を持つ赤を生む。</x:v>
      </x:c>
      <x:c r="H448" s="14" t="str">
        <x:v>自然条件：ピノ・ノワールから造る、香り高く複雑で長期熟成可能な赤ワイン。東から南東向きの石灰岩と粘土の斜面に優良畑が集中し、繊細な香りと高い酸を持つ赤を生む。主要品種：ピノ・ノワール。産地内でも標高、方位、土壌、海や河川からの距離によって成熟度と香味の強さが変わる。</x:v>
      </x:c>
      <x:c r="I448" s="14" t="str">
        <x:v>フランス</x:v>
      </x:c>
      <x:c r="J448" s="14" t="str">
        <x:v>コート・ド・ニュイ</x:v>
      </x:c>
      <x:c r="K448" s="14" t="str">
        <x:v>地理;産地;フランス</x:v>
      </x:c>
      <x:c r="L448" s="14" t="str"/>
      <x:c r="M448" s="14" t="str">
        <x:v>bourgogne_official_profiles</x:v>
      </x:c>
      <x:c r="N448" s="14" t="str">
        <x:v>2026-07-12</x:v>
      </x:c>
      <x:c r="O448" s="14" t="str">
        <x:v>Y</x:v>
      </x:c>
    </x:row>
    <x:row r="449" ht="66" hidden="0" customHeight="1">
      <x:c r="A449" s="14" t="str">
        <x:v>term-1e5042c72e29</x:v>
      </x:c>
      <x:c r="B449" s="14" t="str">
        <x:v>コート・ド・ボーヌ</x:v>
      </x:c>
      <x:c r="C449" s="14" t="str"/>
      <x:c r="D449" s="14" t="str"/>
      <x:c r="E449" s="14" t="str"/>
      <x:c r="F449" s="14" t="str">
        <x:v>産地・地名</x:v>
      </x:c>
      <x:c r="G449" s="14" t="str">
        <x:v>コート・ド・ボーヌはフランスのワイン産地または原産地呼称。主要品種はシャルドネ。シャルドネから造る、高い酸、熟した柑橘・核果、樽と澱由来の複雑性を持つ辛口白。石灰質斜面と樽発酵・澱熟成が、酸、果実、質感、熟成力を与える。</x:v>
      </x:c>
      <x:c r="H449" s="14" t="str">
        <x:v>自然条件：シャルドネから造る、高い酸、熟した柑橘・核果、樽と澱由来の複雑性を持つ辛口白。石灰質斜面と樽発酵・澱熟成が、酸、果実、質感、熟成力を与える。主要品種：シャルドネ。産地内でも標高、方位、土壌、海や河川からの距離によって成熟度と香味の強さが変わる。</x:v>
      </x:c>
      <x:c r="I449" s="14" t="str">
        <x:v>フランス</x:v>
      </x:c>
      <x:c r="J449" s="14" t="str">
        <x:v>コート・ド・ボーヌ</x:v>
      </x:c>
      <x:c r="K449" s="14" t="str">
        <x:v>地理;産地;フランス</x:v>
      </x:c>
      <x:c r="L449" s="14" t="str"/>
      <x:c r="M449" s="14" t="str">
        <x:v>bourgogne_official_profiles</x:v>
      </x:c>
      <x:c r="N449" s="14" t="str">
        <x:v>2026-07-12</x:v>
      </x:c>
      <x:c r="O449" s="14" t="str">
        <x:v>Y</x:v>
      </x:c>
    </x:row>
    <x:row r="450" ht="66" hidden="0" customHeight="1">
      <x:c r="A450" s="14" t="str">
        <x:v>term-fdf694cce218</x:v>
      </x:c>
      <x:c r="B450" s="14" t="str">
        <x:v>コート・ロティ</x:v>
      </x:c>
      <x:c r="C450" s="14" t="str"/>
      <x:c r="D450" s="14" t="str"/>
      <x:c r="E450" s="14" t="str"/>
      <x:c r="F450" s="14" t="str">
        <x:v>産地・地名</x:v>
      </x:c>
      <x:c r="G450" s="14" t="str">
        <x:v>コート・ロティはフランスのワイン産地または原産地呼称。主要品種はシラー、ヴィオニエ。香りを高め、共色素作用で色の安定に寄与し、質感をやや柔らかくする。ヴィオニエの花香を加え、共色素作用でシラーの色を安定させ、口当たりを和らげる場合がある。</x:v>
      </x:c>
      <x:c r="H450" s="14" t="str">
        <x:v>自然条件：急斜面の日照、良好な水はけ、温和な気候での十分な成熟。急斜面は日照を確保し、シラーの成熟を助ける一方、手作業が必要でコストも高い。主要品種：シラー、ヴィオニエ。典型的なスタイル：香りを高め、共色素作用で色の安定に寄与し、質感をやや柔らかくする。ヴィオニエの花香を加え、共色素作用でシラーの色を安定させ、口当たりを和らげる場合がある。</x:v>
      </x:c>
      <x:c r="I450" s="14" t="str">
        <x:v>フランス</x:v>
      </x:c>
      <x:c r="J450" s="14" t="str">
        <x:v>コート・ロティ</x:v>
      </x:c>
      <x:c r="K450" s="14" t="str">
        <x:v>地理;産地;フランス</x:v>
      </x:c>
      <x:c r="L450" s="14" t="str"/>
      <x:c r="M450" s="14" t="str">
        <x:v>rhone_official_terroir</x:v>
      </x:c>
      <x:c r="N450" s="14" t="str">
        <x:v>2026-07-12</x:v>
      </x:c>
      <x:c r="O450" s="14" t="str">
        <x:v>Y</x:v>
      </x:c>
    </x:row>
    <x:row r="451" ht="39.599998474121094" hidden="0" customHeight="1">
      <x:c r="A451" s="14" t="str">
        <x:v>term-b4d556398426</x:v>
      </x:c>
      <x:c r="B451" s="14" t="str">
        <x:v>サルタ</x:v>
      </x:c>
      <x:c r="C451" s="14" t="str"/>
      <x:c r="D451" s="14" t="str"/>
      <x:c r="E451" s="14" t="str"/>
      <x:c r="F451" s="14" t="str">
        <x:v>産地・地名</x:v>
      </x:c>
      <x:c r="G451" s="14" t="str">
        <x:v>サルタはアルゼンチンのワイン産地または原産地呼称。主要品種はトロンテス。高標高、強い日照、冷涼な夜、乾燥した気候。</x:v>
      </x:c>
      <x:c r="H451" s="14" t="str">
        <x:v>自然条件：極めて高い標高、強い日照、冷涼な夜。主要品種：トロンテス。典型的なスタイル：高標高、強い日照、冷涼な夜、乾燥した気候。産地内でも標高、方位、土壌、海や河川からの距離によって成熟度と香味の強さが変わる。</x:v>
      </x:c>
      <x:c r="I451" s="14" t="str">
        <x:v>アルゼンチン</x:v>
      </x:c>
      <x:c r="J451" s="14" t="str">
        <x:v>サルタ</x:v>
      </x:c>
      <x:c r="K451" s="14" t="str">
        <x:v>地理;産地;アルゼンチン</x:v>
      </x:c>
      <x:c r="L451" s="14" t="str"/>
      <x:c r="M451" s="14" t="str">
        <x:v>argentina_official_wine</x:v>
      </x:c>
      <x:c r="N451" s="14" t="str">
        <x:v>2026-07-12</x:v>
      </x:c>
      <x:c r="O451" s="14" t="str">
        <x:v>Y</x:v>
      </x:c>
    </x:row>
    <x:row r="452" ht="66" hidden="0" customHeight="1">
      <x:c r="A452" s="14" t="str">
        <x:v>term-e1a120b8664e</x:v>
      </x:c>
      <x:c r="B452" s="14" t="str">
        <x:v>サンセール・プイィ・フュメ</x:v>
      </x:c>
      <x:c r="C452" s="14" t="str"/>
      <x:c r="D452" s="14" t="str"/>
      <x:c r="E452" s="14" t="str"/>
      <x:c r="F452" s="14" t="str">
        <x:v>産地・地名</x:v>
      </x:c>
      <x:c r="G452" s="14" t="str">
        <x:v>サンセール・プイィ・フュメはフランスのワイン産地または原産地呼称。主要品種はソーヴィニヨン・ブラン。ソーヴィニヨン・ブランから造る、高い酸、柑橘、青草、火打石を思わせる辛口白。ロワール上流の冷涼気候と石灰・火打石土壌から引き締まった辛口白を生む。</x:v>
      </x:c>
      <x:c r="H452" s="14" t="str">
        <x:v>自然条件：ソーヴィニヨン・ブランから造る、高い酸、柑橘、青草、火打石を思わせる辛口白。ロワール上流の冷涼気候と石灰・火打石土壌から引き締まった辛口白を生む。主要品種：ソーヴィニヨン・ブラン。産地内でも標高、方位、土壌、海や河川からの距離によって成熟度と香味の強さが変わる。</x:v>
      </x:c>
      <x:c r="I452" s="14" t="str">
        <x:v>フランス</x:v>
      </x:c>
      <x:c r="J452" s="14" t="str">
        <x:v>サンセール・プイィ・フュメ</x:v>
      </x:c>
      <x:c r="K452" s="14" t="str">
        <x:v>地理;産地;フランス</x:v>
      </x:c>
      <x:c r="L452" s="14" t="str"/>
      <x:c r="M452" s="14" t="str">
        <x:v>loire_official_terroir</x:v>
      </x:c>
      <x:c r="N452" s="14" t="str">
        <x:v>2026-07-12</x:v>
      </x:c>
      <x:c r="O452" s="14" t="str">
        <x:v>Y</x:v>
      </x:c>
    </x:row>
    <x:row r="453" ht="39.599998474121094" hidden="0" customHeight="1">
      <x:c r="A453" s="14" t="str">
        <x:v>term-d7e372e91451</x:v>
      </x:c>
      <x:c r="B453" s="14" t="str">
        <x:v>サンタ・クルーズ・マウンテンズ</x:v>
      </x:c>
      <x:c r="C453" s="14" t="str"/>
      <x:c r="D453" s="14" t="str"/>
      <x:c r="E453" s="14" t="str"/>
      <x:c r="F453" s="14" t="str">
        <x:v>産地・地名</x:v>
      </x:c>
      <x:c r="G453" s="14" t="str">
        <x:v>サンタ・クルーズ・マウンテンズは米国のワイン産地または原産地呼称。主要品種はシャルドネ、ピノ・ノワール。高標高の山地と太平洋の冷却、低収量の痩せた畑。</x:v>
      </x:c>
      <x:c r="H453" s="14" t="str">
        <x:v>自然条件：高標高の山地と太平洋の冷却、低収量の痩せた畑。主要品種：シャルドネ、ピノ・ノワール。産地内でも標高、方位、土壌、海や河川からの距離によって成熟度と香味の強さが変わる。</x:v>
      </x:c>
      <x:c r="I453" s="14" t="str">
        <x:v>米国</x:v>
      </x:c>
      <x:c r="J453" s="14" t="str">
        <x:v>サンタ・クルーズ・マウンテンズ</x:v>
      </x:c>
      <x:c r="K453" s="14" t="str">
        <x:v>地理;産地;米国</x:v>
      </x:c>
      <x:c r="L453" s="14" t="str"/>
      <x:c r="M453" s="14" t="str">
        <x:v>usa_official_wine</x:v>
      </x:c>
      <x:c r="N453" s="14" t="str">
        <x:v>2026-07-12</x:v>
      </x:c>
      <x:c r="O453" s="14" t="str">
        <x:v>Y</x:v>
      </x:c>
    </x:row>
    <x:row r="454" ht="66" hidden="0" customHeight="1">
      <x:c r="A454" s="14" t="str">
        <x:v>term-86bfc2f9e2a4</x:v>
      </x:c>
      <x:c r="B454" s="14" t="str">
        <x:v>サンタ・バーバラ郡</x:v>
      </x:c>
      <x:c r="C454" s="14" t="str"/>
      <x:c r="D454" s="14" t="str"/>
      <x:c r="E454" s="14" t="str"/>
      <x:c r="F454" s="14" t="str">
        <x:v>産地・地名</x:v>
      </x:c>
      <x:c r="G454" s="14" t="str">
        <x:v>サンタ・バーバラ郡は米国のワイン産地または原産地呼称。主要品種はピノ・ノワール、シャルドネ。山脈と谷が東西方向に走り、太平洋からの風と霧の通り道となるため。東西方向の谷が海に開いており、冷たい風と霧が内陸へ流れ込む。</x:v>
      </x:c>
      <x:c r="H454" s="14" t="str">
        <x:v>自然条件：山脈と谷が東西方向に走り、太平洋からの風と霧の通り道となるため。東西方向の谷が海に開いており、冷たい風と霧が内陸へ流れ込む。主要品種：ピノ・ノワール、シャルドネ。産地内でも標高、方位、土壌、海や河川からの距離によって成熟度と香味の強さが変わる。</x:v>
      </x:c>
      <x:c r="I454" s="14" t="str">
        <x:v>米国</x:v>
      </x:c>
      <x:c r="J454" s="14" t="str">
        <x:v>サンタ・バーバラ郡</x:v>
      </x:c>
      <x:c r="K454" s="14" t="str">
        <x:v>地理;産地;米国</x:v>
      </x:c>
      <x:c r="L454" s="14" t="str"/>
      <x:c r="M454" s="14" t="str">
        <x:v>usa_official_wine</x:v>
      </x:c>
      <x:c r="N454" s="14" t="str">
        <x:v>2026-07-12</x:v>
      </x:c>
      <x:c r="O454" s="14" t="str">
        <x:v>Y</x:v>
      </x:c>
    </x:row>
    <x:row r="455" ht="52.79999923706055" hidden="0" customHeight="1">
      <x:c r="A455" s="14" t="str">
        <x:v>term-e5fb88997a57</x:v>
      </x:c>
      <x:c r="B455" s="14" t="str">
        <x:v>サンテミリオン</x:v>
      </x:c>
      <x:c r="C455" s="14" t="str"/>
      <x:c r="D455" s="14" t="str"/>
      <x:c r="E455" s="14" t="str"/>
      <x:c r="F455" s="14" t="str">
        <x:v>産地・地名</x:v>
      </x:c>
      <x:c r="G455" s="14" t="str">
        <x:v>サンテミリオンはフランスのワイン産地または原産地呼称。主要品種はメルロ、カベルネ・フラン。粘土や石灰岩を含む比較的冷涼な右岸の条件で、カベルネ・ソーヴィニヨンより成熟しやすい。</x:v>
      </x:c>
      <x:c r="H455" s="14" t="str">
        <x:v>自然条件：粘土や石灰岩を含む比較的冷涼な右岸の条件で、カベルネ・ソーヴィニヨンより成熟しやすい。メルロは早熟で粘土質土壌に適し、カベルネ・フランも比較的早く成熟するため、右岸の気候と土壌で安定した成熟を得やすい。主要品種：メルロ、カベルネ・フラン。</x:v>
      </x:c>
      <x:c r="I455" s="14" t="str">
        <x:v>フランス</x:v>
      </x:c>
      <x:c r="J455" s="14" t="str">
        <x:v>サンテミリオン</x:v>
      </x:c>
      <x:c r="K455" s="14" t="str">
        <x:v>地理;産地;フランス</x:v>
      </x:c>
      <x:c r="L455" s="14" t="str"/>
      <x:c r="M455" s="14" t="str">
        <x:v>bordeaux_official_grapes</x:v>
      </x:c>
      <x:c r="N455" s="14" t="str">
        <x:v>2026-07-12</x:v>
      </x:c>
      <x:c r="O455" s="14" t="str">
        <x:v>Y</x:v>
      </x:c>
    </x:row>
    <x:row r="456" ht="52.79999923706055" hidden="0" customHeight="1">
      <x:c r="A456" s="14" t="str">
        <x:v>term-860f262b3493</x:v>
      </x:c>
      <x:c r="B456" s="14" t="str">
        <x:v>サントリーニ</x:v>
      </x:c>
      <x:c r="C456" s="14" t="str">
        <x:v>Santorini</x:v>
      </x:c>
      <x:c r="D456" s="14" t="str">
        <x:v>Santorin</x:v>
      </x:c>
      <x:c r="E456" s="14" t="str"/>
      <x:c r="F456" s="14" t="str">
        <x:v>産地・地名</x:v>
      </x:c>
      <x:c r="G456" s="14" t="str">
        <x:v>サントリーニはギリシャのワイン産地または原産地呼称。主要品種はアシルティコ、アギオルギティコ。砂質・火山性土壌がフィロキセラの活動に不利だから。</x:v>
      </x:c>
      <x:c r="H456" s="14" t="str">
        <x:v>自然条件：強風と乾燥から新梢や果房を守り、地面近くの湿気を利用する。籠状の仕立ては果房を風と砂から守り、島の極端な乾燥条件で樹の周囲に湿気を保ちやすくする。主要品種：アシルティコ、アギオルギティコ。典型的なスタイル：砂質・火山性土壌がフィロキセラの活動に不利だから。</x:v>
      </x:c>
      <x:c r="I456" s="14" t="str">
        <x:v>ギリシャ</x:v>
      </x:c>
      <x:c r="J456" s="14" t="str">
        <x:v>サントリーニ</x:v>
      </x:c>
      <x:c r="K456" s="14" t="str">
        <x:v>地理;産地;ギリシャ</x:v>
      </x:c>
      <x:c r="L456" s="14" t="str"/>
      <x:c r="M456" s="14" t="str">
        <x:v>greece_official_wine</x:v>
      </x:c>
      <x:c r="N456" s="14" t="str">
        <x:v>2026-07-12</x:v>
      </x:c>
      <x:c r="O456" s="14" t="str">
        <x:v>Y</x:v>
      </x:c>
    </x:row>
    <x:row r="457" ht="52.79999923706055" hidden="0" customHeight="1">
      <x:c r="A457" s="14" t="str">
        <x:v>term-83c19ae08f1d</x:v>
      </x:c>
      <x:c r="B457" s="14" t="str">
        <x:v>サンルーカル</x:v>
      </x:c>
      <x:c r="C457" s="14" t="str"/>
      <x:c r="D457" s="14" t="str"/>
      <x:c r="E457" s="14" t="str"/>
      <x:c r="F457" s="14" t="str">
        <x:v>産地・地名</x:v>
      </x:c>
      <x:c r="G457" s="14" t="str">
        <x:v>サンルーカルはスペインのワイン産地または原産地呼称。清澄・濾過を最小限にし、フロール由来の強い香りと質感を保つ。樽から取り出した状態に近く、酵母、パン生地、アーモンド、海風を思わせる風味が鮮明になりやすい。</x:v>
      </x:c>
      <x:c r="H457" s="14" t="str">
        <x:v>自然条件：清澄・濾過を最小限にし、フロール由来の強い香りと質感を保つ。樽から取り出した状態に近く、酵母、パン生地、アーモンド、海風を思わせる風味が鮮明になりやすい。産地内でも標高、方位、土壌、海や河川からの距離によって成熟度と香味の強さが変わる。</x:v>
      </x:c>
      <x:c r="I457" s="14" t="str">
        <x:v>スペイン</x:v>
      </x:c>
      <x:c r="J457" s="14" t="str">
        <x:v>サンルーカル</x:v>
      </x:c>
      <x:c r="K457" s="14" t="str">
        <x:v>地理;産地;スペイン</x:v>
      </x:c>
      <x:c r="L457" s="14" t="str"/>
      <x:c r="M457" s="14" t="str">
        <x:v>spain_official_wine</x:v>
      </x:c>
      <x:c r="N457" s="14" t="str">
        <x:v>2026-07-12</x:v>
      </x:c>
      <x:c r="O457" s="14" t="str">
        <x:v>Y</x:v>
      </x:c>
    </x:row>
    <x:row r="458" ht="66" hidden="0" customHeight="1">
      <x:c r="A458" s="14" t="str">
        <x:v>term-d7218a883201</x:v>
      </x:c>
      <x:c r="B458" s="14" t="str">
        <x:v>サンルーカル・デ・バラメダ</x:v>
      </x:c>
      <x:c r="C458" s="14" t="str"/>
      <x:c r="D458" s="14" t="str"/>
      <x:c r="E458" s="14" t="str"/>
      <x:c r="F458" s="14" t="str">
        <x:v>産地・地名</x:v>
      </x:c>
      <x:c r="G458" s="14" t="str">
        <x:v>サンルーカル・デ・バラメダはスペインのワイン産地または原産地呼称。主要品種はパロミノ。長い生物学的熟成でフロールが薄くなり、軽い酸化的複雑性が加わる。カモミールと塩味を思わせる風味に、ナッツや熟した香りが加わる。</x:v>
      </x:c>
      <x:c r="H458" s="14" t="str">
        <x:v>自然条件：サンルーカルの湿潤で温和な海洋性環境が、厚いフロールを維持しやすいため。活発なフロールが酸化を抑え、繊細で塩味を思わせる香りを生む。主要品種：パロミノ。典型的なスタイル：長い生物学的熟成でフロールが薄くなり、軽い酸化的複雑性が加わる。カモミールと塩味を思わせる風味に、ナッツや熟した香りが加わる。</x:v>
      </x:c>
      <x:c r="I458" s="14" t="str">
        <x:v>スペイン</x:v>
      </x:c>
      <x:c r="J458" s="14" t="str">
        <x:v>サンルーカル・デ・バラメダ</x:v>
      </x:c>
      <x:c r="K458" s="14" t="str">
        <x:v>地理;産地;スペイン</x:v>
      </x:c>
      <x:c r="L458" s="14" t="str"/>
      <x:c r="M458" s="14" t="str">
        <x:v>spain_official_wine</x:v>
      </x:c>
      <x:c r="N458" s="14" t="str">
        <x:v>2026-07-12</x:v>
      </x:c>
      <x:c r="O458" s="14" t="str">
        <x:v>Y</x:v>
      </x:c>
    </x:row>
    <x:row r="459" ht="66" hidden="0" customHeight="1">
      <x:c r="A459" s="14" t="str">
        <x:v>term-d0f9c14569c8</x:v>
      </x:c>
      <x:c r="B459" s="14" t="str">
        <x:v>サン・アントニオ・ヴァレー</x:v>
      </x:c>
      <x:c r="C459" s="14" t="str"/>
      <x:c r="D459" s="14" t="str"/>
      <x:c r="E459" s="14" t="str"/>
      <x:c r="F459" s="14" t="str">
        <x:v>産地・地名</x:v>
      </x:c>
      <x:c r="G459" s="14" t="str">
        <x:v>サン・アントニオ・ヴァレーはチリのワイン産地または原産地呼称。主要品種はソーヴィニヨン・ブラン、シャルドネ。冷たい太平洋と沿岸風・霧の影響を強く受ける。海に近く、フンボルト海流に冷却された空気と霧が気温を下げるため、成熟が緩やかで酸を保持しやすい。</x:v>
      </x:c>
      <x:c r="H459" s="14" t="str">
        <x:v>自然条件：冷たい太平洋と沿岸風・霧の影響を強く受ける。海に近く、フンボルト海流に冷却された空気と霧が気温を下げるため、成熟が緩やかで酸を保持しやすい。主要品種：ソーヴィニヨン・ブラン、シャルドネ。産地内でも標高、方位、土壌、海や河川からの距離によって成熟度と香味の強さが変わる。</x:v>
      </x:c>
      <x:c r="I459" s="14" t="str">
        <x:v>チリ</x:v>
      </x:c>
      <x:c r="J459" s="14" t="str">
        <x:v>サン・アントニオ・ヴァレー</x:v>
      </x:c>
      <x:c r="K459" s="14" t="str">
        <x:v>地理;産地;チリ</x:v>
      </x:c>
      <x:c r="L459" s="14" t="str"/>
      <x:c r="M459" s="14" t="str">
        <x:v>chile_official_wine</x:v>
      </x:c>
      <x:c r="N459" s="14" t="str">
        <x:v>2026-07-12</x:v>
      </x:c>
      <x:c r="O459" s="14" t="str">
        <x:v>Y</x:v>
      </x:c>
    </x:row>
    <x:row r="460" ht="79.19999694824219" hidden="0" customHeight="1">
      <x:c r="A460" s="14" t="str">
        <x:v>term-dc3df0e1546c</x:v>
      </x:c>
      <x:c r="B460" s="14" t="str">
        <x:v>サン・ジュリアン</x:v>
      </x:c>
      <x:c r="C460" s="14" t="str"/>
      <x:c r="D460" s="14" t="str"/>
      <x:c r="E460" s="14" t="str"/>
      <x:c r="F460" s="14" t="str">
        <x:v>産地・地名</x:v>
      </x:c>
      <x:c r="G460" s="14" t="str">
        <x:v>サン・ジュリアンはフランスのワイン産地または原産地呼称。主要品種はカベルネ・ソーヴィニヨン、メルロ。カベルネ主体で、ポイヤックの構造とマルゴーの香り高さの中間的な均衡を持つ。小規模なアペラシオンながら砂利質の優良畑が多く、黒系果実、杉、引き締まったタンニンと洗練を兼ね備える。</x:v>
      </x:c>
      <x:c r="H460" s="14" t="str">
        <x:v>自然条件：カベルネ主体で、ポイヤックの構造とマルゴーの香り高さの中間的な均衡を持つ。小規模なアペラシオンながら砂利質の優良畑が多く、黒系果実、杉、引き締まったタンニンと洗練を兼ね備える。主要品種：カベルネ・ソーヴィニヨン、メルロ。</x:v>
      </x:c>
      <x:c r="I460" s="14" t="str">
        <x:v>フランス</x:v>
      </x:c>
      <x:c r="J460" s="14" t="str">
        <x:v>サン・ジュリアン</x:v>
      </x:c>
      <x:c r="K460" s="14" t="str">
        <x:v>地理;産地;フランス</x:v>
      </x:c>
      <x:c r="L460" s="14" t="str"/>
      <x:c r="M460" s="14" t="str">
        <x:v>bordeaux_official_grapes</x:v>
      </x:c>
      <x:c r="N460" s="14" t="str">
        <x:v>2026-07-12</x:v>
      </x:c>
      <x:c r="O460" s="14" t="str">
        <x:v>Y</x:v>
      </x:c>
    </x:row>
    <x:row r="461" ht="52.79999923706055" hidden="0" customHeight="1">
      <x:c r="A461" s="14" t="str">
        <x:v>term-174b6af3cbf3</x:v>
      </x:c>
      <x:c r="B461" s="14" t="str">
        <x:v>サン・ジョゼフ</x:v>
      </x:c>
      <x:c r="C461" s="14" t="str"/>
      <x:c r="D461" s="14" t="str"/>
      <x:c r="E461" s="14" t="str"/>
      <x:c r="F461" s="14" t="str">
        <x:v>産地・地名</x:v>
      </x:c>
      <x:c r="G461" s="14" t="str">
        <x:v>サン・ジョゼフはフランスのワイン産地または原産地呼称。主要品種はシラー。黒系果実、黒胡椒、花、高い酸、中程度以上のタンニン。花崗岩の急斜面では成熟と排水に恵まれ、北部ローヌらしい香りと構造が得られる。</x:v>
      </x:c>
      <x:c r="H461" s="14" t="str">
        <x:v>自然条件：黒系果実、黒胡椒、花、高い酸、中程度以上のタンニン。花崗岩の急斜面では成熟と排水に恵まれ、北部ローヌらしい香りと構造が得られる。主要品種：シラー。産地内でも標高、方位、土壌、海や河川からの距離によって成熟度と香味の強さが変わる。</x:v>
      </x:c>
      <x:c r="I461" s="14" t="str">
        <x:v>フランス</x:v>
      </x:c>
      <x:c r="J461" s="14" t="str">
        <x:v>サン・ジョゼフ</x:v>
      </x:c>
      <x:c r="K461" s="14" t="str">
        <x:v>地理;産地;フランス</x:v>
      </x:c>
      <x:c r="L461" s="14" t="str"/>
      <x:c r="M461" s="14" t="str">
        <x:v>rhone_official_terroir</x:v>
      </x:c>
      <x:c r="N461" s="14" t="str">
        <x:v>2026-07-12</x:v>
      </x:c>
      <x:c r="O461" s="14" t="str">
        <x:v>Y</x:v>
      </x:c>
    </x:row>
    <x:row r="462" ht="66" hidden="0" customHeight="1">
      <x:c r="A462" s="14" t="str">
        <x:v>term-dca59b19767a</x:v>
      </x:c>
      <x:c r="B462" s="14" t="str">
        <x:v>サン・テステフ</x:v>
      </x:c>
      <x:c r="C462" s="14" t="str"/>
      <x:c r="D462" s="14" t="str"/>
      <x:c r="E462" s="14" t="str"/>
      <x:c r="F462" s="14" t="str">
        <x:v>産地・地名</x:v>
      </x:c>
      <x:c r="G462" s="14" t="str">
        <x:v>サン・テステフはフランスのワイン産地または原産地呼称。主要品種はカベルネ・ソーヴィニヨン、メルロ。粘土を含む比較的冷涼な土壌が成熟を遅らせ、高い酸とタンニンを保ちやすい。左岸北部の位置と粘土分の多い土壌により、力強い構造と熟成能力を持つワインになりやすい。</x:v>
      </x:c>
      <x:c r="H462" s="14" t="str">
        <x:v>自然条件：粘土を含む比較的冷涼な土壌が成熟を遅らせ、高い酸とタンニンを保ちやすい。左岸北部の位置と粘土分の多い土壌により、力強い構造と熟成能力を持つワインになりやすい。主要品種：カベルネ・ソーヴィニヨン、メルロ。</x:v>
      </x:c>
      <x:c r="I462" s="14" t="str">
        <x:v>フランス</x:v>
      </x:c>
      <x:c r="J462" s="14" t="str">
        <x:v>サン・テステフ</x:v>
      </x:c>
      <x:c r="K462" s="14" t="str">
        <x:v>地理;産地;フランス</x:v>
      </x:c>
      <x:c r="L462" s="14" t="str"/>
      <x:c r="M462" s="14" t="str">
        <x:v>bordeaux_official_grapes</x:v>
      </x:c>
      <x:c r="N462" s="14" t="str">
        <x:v>2026-07-12</x:v>
      </x:c>
      <x:c r="O462" s="14" t="str">
        <x:v>Y</x:v>
      </x:c>
    </x:row>
    <x:row r="463" ht="66" hidden="0" customHeight="1">
      <x:c r="A463" s="14" t="str">
        <x:v>term-7d1fa129adc1</x:v>
      </x:c>
      <x:c r="B463" s="14" t="str">
        <x:v>サヴニエール</x:v>
      </x:c>
      <x:c r="C463" s="14" t="str"/>
      <x:c r="D463" s="14" t="str"/>
      <x:c r="E463" s="14" t="str"/>
      <x:c r="F463" s="14" t="str">
        <x:v>産地・地名</x:v>
      </x:c>
      <x:c r="G463" s="14" t="str">
        <x:v>サヴニエールはフランスのワイン産地または原産地呼称。主要品種はシュナン・ブラン。シュナン・ブランの高い酸と凝縮した風味を持つため。低収量のシュナン・ブランから、石や蜜蝋を思わせる複雑な辛口白が造られ、高い酸が熟成を支える。</x:v>
      </x:c>
      <x:c r="H463" s="14" t="str">
        <x:v>自然条件：シュナン・ブランの高い酸と凝縮した風味を持つため。低収量のシュナン・ブランから、石や蜜蝋を思わせる複雑な辛口白が造られ、高い酸が熟成を支える。主要品種：シュナン・ブラン。産地内でも標高、方位、土壌、海や河川からの距離によって成熟度と香味の強さが変わる。</x:v>
      </x:c>
      <x:c r="I463" s="14" t="str">
        <x:v>フランス</x:v>
      </x:c>
      <x:c r="J463" s="14" t="str">
        <x:v>サヴニエール</x:v>
      </x:c>
      <x:c r="K463" s="14" t="str">
        <x:v>地理;産地;フランス</x:v>
      </x:c>
      <x:c r="L463" s="14" t="str"/>
      <x:c r="M463" s="14" t="str">
        <x:v>loire_official_terroir</x:v>
      </x:c>
      <x:c r="N463" s="14" t="str">
        <x:v>2026-07-12</x:v>
      </x:c>
      <x:c r="O463" s="14" t="str">
        <x:v>Y</x:v>
      </x:c>
    </x:row>
    <x:row r="464" ht="39.599998474121094" hidden="0" customHeight="1">
      <x:c r="A464" s="14" t="str">
        <x:v>term-4845ff7a9aaa</x:v>
      </x:c>
      <x:c r="B464" s="14" t="str">
        <x:v>シチリア</x:v>
      </x:c>
      <x:c r="C464" s="14" t="str"/>
      <x:c r="D464" s="14" t="str"/>
      <x:c r="E464" s="14" t="str"/>
      <x:c r="F464" s="14" t="str">
        <x:v>産地・地名</x:v>
      </x:c>
      <x:c r="G464" s="14" t="str">
        <x:v>シチリアはイタリアのワイン産地または原産地呼称。主要品種はネロ・ダーヴォラ。熟した黒いチェリーとプラム、中程度以上の酸とタンニン、スパイスを持つ赤。</x:v>
      </x:c>
      <x:c r="H464" s="14" t="str">
        <x:v>自然条件：熟した黒いチェリーとプラム、中程度以上の酸とタンニン、スパイスを持つ赤。主要品種：ネロ・ダーヴォラ。産地内でも標高、方位、土壌、海や河川からの距離によって成熟度と香味の強さが変わる。</x:v>
      </x:c>
      <x:c r="I464" s="14" t="str">
        <x:v>イタリア</x:v>
      </x:c>
      <x:c r="J464" s="14" t="str">
        <x:v>シチリア</x:v>
      </x:c>
      <x:c r="K464" s="14" t="str">
        <x:v>地理;産地;イタリア</x:v>
      </x:c>
      <x:c r="L464" s="14" t="str"/>
      <x:c r="M464" s="14" t="str">
        <x:v>italy_official_wine</x:v>
      </x:c>
      <x:c r="N464" s="14" t="str">
        <x:v>2026-07-12</x:v>
      </x:c>
      <x:c r="O464" s="14" t="str">
        <x:v>Y</x:v>
      </x:c>
    </x:row>
    <x:row r="465" ht="52.79999923706055" hidden="0" customHeight="1">
      <x:c r="A465" s="14" t="str">
        <x:v>term-55454f8a74b4</x:v>
      </x:c>
      <x:c r="B465" s="14" t="str">
        <x:v>シノン</x:v>
      </x:c>
      <x:c r="C465" s="14" t="str"/>
      <x:c r="D465" s="14" t="str"/>
      <x:c r="E465" s="14" t="str"/>
      <x:c r="F465" s="14" t="str">
        <x:v>産地・地名</x:v>
      </x:c>
      <x:c r="G465" s="14" t="str">
        <x:v>シノンはフランスのワイン産地または原産地呼称。主要品種はカベルネ・フラン。赤い果実、ハーブ、高い酸、軽めのボディと穏やかなタンニン。暖まりやすい砂利土壌から、早く成熟し若飲みしやすい赤を得る。</x:v>
      </x:c>
      <x:c r="H465" s="14" t="str">
        <x:v>自然条件：赤い果実、ハーブ、高い酸、軽めのボディと穏やかなタンニン。暖まりやすい砂利土壌から、早く成熟し若飲みしやすい赤を得る。主要品種：カベルネ・フラン。産地内でも標高、方位、土壌、海や河川からの距離によって成熟度と香味の強さが変わる。</x:v>
      </x:c>
      <x:c r="I465" s="14" t="str">
        <x:v>フランス</x:v>
      </x:c>
      <x:c r="J465" s="14" t="str">
        <x:v>シノン</x:v>
      </x:c>
      <x:c r="K465" s="14" t="str">
        <x:v>地理;産地;フランス</x:v>
      </x:c>
      <x:c r="L465" s="14" t="str"/>
      <x:c r="M465" s="14" t="str">
        <x:v>loire_official_terroir</x:v>
      </x:c>
      <x:c r="N465" s="14" t="str">
        <x:v>2026-07-12</x:v>
      </x:c>
      <x:c r="O465" s="14" t="str">
        <x:v>Y</x:v>
      </x:c>
    </x:row>
    <x:row r="466" ht="52.79999923706055" hidden="0" customHeight="1">
      <x:c r="A466" s="14" t="str">
        <x:v>term-7ad19840e8b4</x:v>
      </x:c>
      <x:c r="B466" s="14" t="str">
        <x:v>シマ・コルゴ</x:v>
      </x:c>
      <x:c r="C466" s="14" t="str"/>
      <x:c r="D466" s="14" t="str"/>
      <x:c r="E466" s="14" t="str"/>
      <x:c r="F466" s="14" t="str">
        <x:v>産地・地名</x:v>
      </x:c>
      <x:c r="G466" s="14" t="str">
        <x:v>シマ・コルゴはポルトガルのワイン産地または原産地呼称。十分に温暖で乾燥しながら、極端な暑さがやや緩和され、凝縮した成熟ブドウを得やすい。成熟に十分な熱と乾燥を持ちつつ、極端さが比較的抑えられる。</x:v>
      </x:c>
      <x:c r="H466" s="14" t="str">
        <x:v>自然条件：暑く乾燥しながら極端すぎず、優良な急斜面で低収量の成熟果を得られる。バイショ・コルゴより凝縮し、ドウロ・スペリオールより多様な方角と標高を持つ。典型的なスタイル：十分に温暖で乾燥しながら、極端な暑さがやや緩和され、凝縮した成熟ブドウを得やすい。成熟に十分な熱と乾燥を持ちつつ、極端さが比較的抑えられる。</x:v>
      </x:c>
      <x:c r="I466" s="14" t="str">
        <x:v>ポルトガル</x:v>
      </x:c>
      <x:c r="J466" s="14" t="str">
        <x:v>シマ・コルゴ</x:v>
      </x:c>
      <x:c r="K466" s="14" t="str">
        <x:v>地理;産地;ポルトガル</x:v>
      </x:c>
      <x:c r="L466" s="14" t="str"/>
      <x:c r="M466" s="14" t="str">
        <x:v>portugal_official_wine</x:v>
      </x:c>
      <x:c r="N466" s="14" t="str">
        <x:v>2026-07-12</x:v>
      </x:c>
      <x:c r="O466" s="14" t="str">
        <x:v>Y</x:v>
      </x:c>
    </x:row>
    <x:row r="467" ht="79.19999694824219" hidden="0" customHeight="1">
      <x:c r="A467" s="14" t="str">
        <x:v>term-c11519922b34</x:v>
      </x:c>
      <x:c r="B467" s="14" t="str">
        <x:v>シャトーヌフ・デュ・パプ</x:v>
      </x:c>
      <x:c r="C467" s="14" t="str"/>
      <x:c r="D467" s="14" t="str"/>
      <x:c r="E467" s="14" t="str"/>
      <x:c r="F467" s="14" t="str">
        <x:v>産地・地名</x:v>
      </x:c>
      <x:c r="G467" s="14" t="str">
        <x:v>シャトーヌフ・デュ・パプはフランスのワイン産地または原産地呼称。主要品種はグルナッシュ、シラー、ムールヴェードル。グルナッシュ主体で、熟した赤・黒系果実、高いアルコール、ハーブとスパイスを持つ。南部ローヌの温暖乾燥気候と複数品種が、豊かな果実とガリーグ香を与える。</x:v>
      </x:c>
      <x:c r="H467" s="14" t="str">
        <x:v>自然条件：グルナッシュ主体で、熟した赤・黒系果実、高いアルコール、ハーブとスパイスを持つ。南部ローヌの温暖乾燥気候と複数品種が、豊かな果実とガリーグ香を与える。主要品種：グルナッシュ、シラー、ムールヴェードル。</x:v>
      </x:c>
      <x:c r="I467" s="14" t="str">
        <x:v>フランス</x:v>
      </x:c>
      <x:c r="J467" s="14" t="str">
        <x:v>シャトーヌフ・デュ・パプ</x:v>
      </x:c>
      <x:c r="K467" s="14" t="str">
        <x:v>地理;産地;フランス</x:v>
      </x:c>
      <x:c r="L467" s="14" t="str"/>
      <x:c r="M467" s="14" t="str">
        <x:v>rhone_official_terroir</x:v>
      </x:c>
      <x:c r="N467" s="14" t="str">
        <x:v>2026-07-12</x:v>
      </x:c>
      <x:c r="O467" s="14" t="str">
        <x:v>Y</x:v>
      </x:c>
    </x:row>
    <x:row r="468" ht="66" hidden="0" customHeight="1">
      <x:c r="A468" s="14" t="str">
        <x:v>term-00a3899ee7d0</x:v>
      </x:c>
      <x:c r="B468" s="14" t="str">
        <x:v>シャブリ</x:v>
      </x:c>
      <x:c r="C468" s="14" t="str"/>
      <x:c r="D468" s="14" t="str"/>
      <x:c r="E468" s="14" t="str"/>
      <x:c r="F468" s="14" t="str">
        <x:v>産地・地名</x:v>
      </x:c>
      <x:c r="G468" s="14" t="str">
        <x:v>シャブリはフランスのワイン産地または原産地呼称。主要品種はシャルドネ。Chablisはより冷涼で高酸・柑橘系、Mâconはより温暖で熟した核果と豊かなボディになりやすい。</x:v>
      </x:c>
      <x:c r="H468" s="14" t="str">
        <x:v>自然条件：冷涼な大陸性気候で、萌芽後の若い芽が氷点下の気温にさらされることがある。シャブリでは春に気温が急低下することがあり、萌芽した若い組織が損傷すると、その年の花と果房が失われて収量が下がる。主要品種：シャルドネ。典型的なスタイル：Chablisはより冷涼で高酸・柑橘系、Mâconはより温暖で熟した核果と豊かなボディになりやすい。</x:v>
      </x:c>
      <x:c r="I468" s="14" t="str">
        <x:v>フランス</x:v>
      </x:c>
      <x:c r="J468" s="14" t="str">
        <x:v>シャブリ</x:v>
      </x:c>
      <x:c r="K468" s="14" t="str">
        <x:v>地理;産地;フランス</x:v>
      </x:c>
      <x:c r="L468" s="14" t="str"/>
      <x:c r="M468" s="14" t="str">
        <x:v>bourgogne_official_profiles</x:v>
      </x:c>
      <x:c r="N468" s="14" t="str">
        <x:v>2026-07-12</x:v>
      </x:c>
      <x:c r="O468" s="14" t="str">
        <x:v>Y</x:v>
      </x:c>
    </x:row>
    <x:row r="469" ht="52.79999923706055" hidden="0" customHeight="1">
      <x:c r="A469" s="14" t="str">
        <x:v>term-b41a0670803e</x:v>
      </x:c>
      <x:c r="B469" s="14" t="str">
        <x:v>シャンパーニュ</x:v>
      </x:c>
      <x:c r="C469" s="14" t="str">
        <x:v>Champagne</x:v>
      </x:c>
      <x:c r="D469" s="14" t="str">
        <x:v>Champagne</x:v>
      </x:c>
      <x:c r="E469" s="14" t="str"/>
      <x:c r="F469" s="14" t="str">
        <x:v>産地・地名</x:v>
      </x:c>
      <x:c r="G469" s="14" t="str">
        <x:v>シャンパーニュはフランス北東部の冷涼な発泡性ワイン産地。白亜質土壌と海洋性・大陸性の二重の気候が、高い酸と繊細な香りを持つブドウを育てる。</x:v>
      </x:c>
      <x:c r="H469" s="14" t="str">
        <x:v>白亜は排水性を持ちながら毛細管作用で水を蓄え、乾燥期にも根へ水分を供給する。シャルドネ、ピノ・ノワール、ムニエが主要品種で、冷涼気候の高い酸を基礎に、瓶内二次発酵と澱熟成から柑橘・リンゴ、赤い果実、パンやビスケットの香りを持つ発泡性ワインとなる。</x:v>
      </x:c>
      <x:c r="I469" s="14" t="str">
        <x:v>フランス</x:v>
      </x:c>
      <x:c r="J469" s="14" t="str">
        <x:v>シャンパーニュ</x:v>
      </x:c>
      <x:c r="K469" s="14" t="str">
        <x:v>地理;産地;フランス</x:v>
      </x:c>
      <x:c r="L469" s="14" t="str"/>
      <x:c r="M469" s="14" t="str">
        <x:v>champagne_official_terroir</x:v>
      </x:c>
      <x:c r="N469" s="14" t="str">
        <x:v>2026-07-12</x:v>
      </x:c>
      <x:c r="O469" s="14" t="str">
        <x:v>Y</x:v>
      </x:c>
    </x:row>
    <x:row r="470" ht="52.79999923706055" hidden="0" customHeight="1">
      <x:c r="A470" s="14" t="str">
        <x:v>term-5dac1d770a07</x:v>
      </x:c>
      <x:c r="B470" s="14" t="str">
        <x:v>シャンボール・ミュジニー</x:v>
      </x:c>
      <x:c r="C470" s="14" t="str"/>
      <x:c r="D470" s="14" t="str"/>
      <x:c r="E470" s="14" t="str"/>
      <x:c r="F470" s="14" t="str">
        <x:v>産地・地名</x:v>
      </x:c>
      <x:c r="G470" s="14" t="str">
        <x:v>シャンボール・ミュジニーはフランスのワイン産地または原産地呼称。主要品種はピノ・ノワール。Gevreyはより力強く土・黒果実を示し、Chambolleはより花香があり繊細になりやすい。</x:v>
      </x:c>
      <x:c r="H470" s="14" t="str">
        <x:v>自然条件：石灰岩の比率が高い薄い土壌と、繊細な抽出が花香と細やかなタンニンを強調するため。土壌と醸造の組み合わせが、赤い果実、スミレ、軽やかな構造を生む。主要品種：ピノ・ノワール。典型的なスタイル：Gevreyはより力強く土・黒果実を示し、Chambolleはより花香があり繊細になりやすい。</x:v>
      </x:c>
      <x:c r="I470" s="14" t="str">
        <x:v>フランス</x:v>
      </x:c>
      <x:c r="J470" s="14" t="str">
        <x:v>シャンボール・ミュジニー</x:v>
      </x:c>
      <x:c r="K470" s="14" t="str">
        <x:v>地理;産地;フランス</x:v>
      </x:c>
      <x:c r="L470" s="14" t="str"/>
      <x:c r="M470" s="14" t="str">
        <x:v>bourgogne_official_profiles</x:v>
      </x:c>
      <x:c r="N470" s="14" t="str">
        <x:v>2026-07-12</x:v>
      </x:c>
      <x:c r="O470" s="14" t="str">
        <x:v>Y</x:v>
      </x:c>
    </x:row>
    <x:row r="471" ht="66" hidden="0" customHeight="1">
      <x:c r="A471" s="14" t="str">
        <x:v>term-24aae8ef4c3d</x:v>
      </x:c>
      <x:c r="B471" s="14" t="str">
        <x:v>ジゴンダス</x:v>
      </x:c>
      <x:c r="C471" s="14" t="str"/>
      <x:c r="D471" s="14" t="str"/>
      <x:c r="E471" s="14" t="str"/>
      <x:c r="F471" s="14" t="str">
        <x:v>産地・地名</x:v>
      </x:c>
      <x:c r="G471" s="14" t="str">
        <x:v>ジゴンダスはフランスのワイン産地または原産地呼称。主要品種はグルナッシュ、シラー、ムールヴェードル。標高の高い斜面と冷涼な夜が成熟を緩やかにするため。ダンテル・ド・モンミライユ周辺の高い畑は昼夜差を生み、熟した果実味と構造を両立しやすい。</x:v>
      </x:c>
      <x:c r="H471" s="14" t="str">
        <x:v>自然条件：標高の高い斜面と冷涼な夜が成熟を緩やかにするため。ダンテル・ド・モンミライユ周辺の高い畑は昼夜差を生み、熟した果実味と構造を両立しやすい。主要品種：グルナッシュ、シラー、ムールヴェードル。産地内でも標高、方位、土壌、海や河川からの距離によって成熟度と香味の強さが変わる。</x:v>
      </x:c>
      <x:c r="I471" s="14" t="str">
        <x:v>フランス</x:v>
      </x:c>
      <x:c r="J471" s="14" t="str">
        <x:v>ジゴンダス</x:v>
      </x:c>
      <x:c r="K471" s="14" t="str">
        <x:v>地理;産地;フランス</x:v>
      </x:c>
      <x:c r="L471" s="14" t="str"/>
      <x:c r="M471" s="14" t="str">
        <x:v>rhone_official_terroir</x:v>
      </x:c>
      <x:c r="N471" s="14" t="str">
        <x:v>2026-07-12</x:v>
      </x:c>
      <x:c r="O471" s="14" t="str">
        <x:v>Y</x:v>
      </x:c>
    </x:row>
    <x:row r="472" ht="52.79999923706055" hidden="0" customHeight="1">
      <x:c r="A472" s="14" t="str">
        <x:v>term-cb27141a05d2</x:v>
      </x:c>
      <x:c r="B472" s="14" t="str">
        <x:v>ジュヴレ・シャンベルタン</x:v>
      </x:c>
      <x:c r="C472" s="14" t="str"/>
      <x:c r="D472" s="14" t="str"/>
      <x:c r="E472" s="14" t="str"/>
      <x:c r="F472" s="14" t="str">
        <x:v>産地・地名</x:v>
      </x:c>
      <x:c r="G472" s="14" t="str">
        <x:v>ジュヴレ・シャンベルタンはフランスのワイン産地または原産地呼称。主要品種はピノ・ノワール。Gevreyはより力強く土・黒果実を示し、Chambolleはより花香があり繊細になりやすい。</x:v>
      </x:c>
      <x:c r="H472" s="14" t="str">
        <x:v>自然条件：ピノ・ノワールから造る、黒いチェリー、土、スパイス、比較的力強いタンニンを持つ赤。ジュヴレはコート・ド・ニュイの中でも比較的構造が強く、黒系果実と土・スパイスを示しやすい。主要品種：ピノ・ノワール。典型的なスタイル：Gevreyはより力強く土・黒果実を示し、Chambolleはより花香があり繊細になりやすい。</x:v>
      </x:c>
      <x:c r="I472" s="14" t="str">
        <x:v>フランス</x:v>
      </x:c>
      <x:c r="J472" s="14" t="str">
        <x:v>ジュヴレ・シャンベルタン</x:v>
      </x:c>
      <x:c r="K472" s="14" t="str">
        <x:v>地理;産地;フランス</x:v>
      </x:c>
      <x:c r="L472" s="14" t="str"/>
      <x:c r="M472" s="14" t="str">
        <x:v>bourgogne_official_profiles</x:v>
      </x:c>
      <x:c r="N472" s="14" t="str">
        <x:v>2026-07-12</x:v>
      </x:c>
      <x:c r="O472" s="14" t="str">
        <x:v>Y</x:v>
      </x:c>
    </x:row>
    <x:row r="473" ht="66" hidden="0" customHeight="1">
      <x:c r="A473" s="14" t="str">
        <x:v>term-08e3a87bc022</x:v>
      </x:c>
      <x:c r="B473" s="14" t="str">
        <x:v>スタッグス・リープ・ディストリクト</x:v>
      </x:c>
      <x:c r="C473" s="14" t="str"/>
      <x:c r="D473" s="14" t="str"/>
      <x:c r="E473" s="14" t="str"/>
      <x:c r="F473" s="14" t="str">
        <x:v>産地・地名</x:v>
      </x:c>
      <x:c r="G473" s="14" t="str">
        <x:v>スタッグス・リープ・ディストリクトは米国のワイン産地または原産地呼称。主要品種はカベルネ・ソーヴィニヨン。暖かな岩壁と午後の湾風が、成熟と冷却を組み合わせるため。火山性・沖積性土壌と温度のバランスが、香り高く細やかな構造を生む。</x:v>
      </x:c>
      <x:c r="H473" s="14" t="str">
        <x:v>自然条件：暖かな岩壁と午後の湾風が、成熟と冷却を組み合わせるため。火山性・沖積性土壌と温度のバランスが、香り高く細やかな構造を生む。主要品種：カベルネ・ソーヴィニヨン。産地内でも標高、方位、土壌、海や河川からの距離によって成熟度と香味の強さが変わる。</x:v>
      </x:c>
      <x:c r="I473" s="14" t="str">
        <x:v>米国</x:v>
      </x:c>
      <x:c r="J473" s="14" t="str">
        <x:v>スタッグス・リープ・ディストリクト</x:v>
      </x:c>
      <x:c r="K473" s="14" t="str">
        <x:v>地理;産地;米国</x:v>
      </x:c>
      <x:c r="L473" s="14" t="str"/>
      <x:c r="M473" s="14" t="str">
        <x:v>usa_official_wine</x:v>
      </x:c>
      <x:c r="N473" s="14" t="str">
        <x:v>2026-07-12</x:v>
      </x:c>
      <x:c r="O473" s="14" t="str">
        <x:v>Y</x:v>
      </x:c>
    </x:row>
    <x:row r="474" ht="66" hidden="0" customHeight="1">
      <x:c r="A474" s="14" t="str">
        <x:v>term-15b207d45c79</x:v>
      </x:c>
      <x:c r="B474" s="14" t="str">
        <x:v>ステレンボッシュ</x:v>
      </x:c>
      <x:c r="C474" s="14" t="str">
        <x:v>Stellenbosch</x:v>
      </x:c>
      <x:c r="D474" s="14" t="str">
        <x:v>Stellenbosch</x:v>
      </x:c>
      <x:c r="E474" s="14" t="str"/>
      <x:c r="F474" s="14" t="str">
        <x:v>産地・地名</x:v>
      </x:c>
      <x:c r="G474" s="14" t="str">
        <x:v>ステレンボッシュは南アフリカのワイン産地または原産地呼称。主要品種はカベルネ・ソーヴィニヨン、シュナン・ブラン、シラー。Stellenboschはカベルネ系の構造ある赤、Swartlandは古木シュナンや地中海系ブレンドでも知られる。</x:v>
      </x:c>
      <x:c r="H474" s="14" t="str">
        <x:v>自然条件：暖かい日照に加え、フォールス湾からの冷却風と山地の標高差がある。日中の暖かさがカベルネの成熟を促し、海風と標高による冷却が酸と香りを保つ。主要品種：カベルネ・ソーヴィニヨン、シュナン・ブラン、シラー。典型的なスタイル：Stellenboschはカベルネ系の構造ある赤、Swartlandは古木シュナンや地中海系ブレンドでも知られる。</x:v>
      </x:c>
      <x:c r="I474" s="14" t="str">
        <x:v>南アフリカ</x:v>
      </x:c>
      <x:c r="J474" s="14" t="str">
        <x:v>ステレンボッシュ</x:v>
      </x:c>
      <x:c r="K474" s="14" t="str">
        <x:v>地理;産地;南アフリカ</x:v>
      </x:c>
      <x:c r="L474" s="14" t="str"/>
      <x:c r="M474" s="14" t="str">
        <x:v>south_africa_official_wine</x:v>
      </x:c>
      <x:c r="N474" s="14" t="str">
        <x:v>2026-07-12</x:v>
      </x:c>
      <x:c r="O474" s="14" t="str">
        <x:v>Y</x:v>
      </x:c>
    </x:row>
    <x:row r="475" ht="66" hidden="0" customHeight="1">
      <x:c r="A475" s="14" t="str">
        <x:v>term-60b72967682d</x:v>
      </x:c>
      <x:c r="B475" s="14" t="str">
        <x:v>スワートランド</x:v>
      </x:c>
      <x:c r="C475" s="14" t="str"/>
      <x:c r="D475" s="14" t="str"/>
      <x:c r="E475" s="14" t="str"/>
      <x:c r="F475" s="14" t="str">
        <x:v>産地・地名</x:v>
      </x:c>
      <x:c r="G475" s="14" t="str">
        <x:v>スワートランドは南アフリカのワイン産地または原産地呼称。主要品種はシュナン・ブラン、カベルネ・ソーヴィニヨン、シラー。Stellenboschはカベルネ系の構造ある赤、Swartlandは古木シュナンや地中海系ブレンドでも知られる。</x:v>
      </x:c>
      <x:c r="H475" s="14" t="str">
        <x:v>自然条件：古木の低収量と深い根が、乾燥条件で小粒の凝縮果を生むため。低収量と深根性が、暑く乾燥した地域で濃度と複雑性を高める。主要品種：シュナン・ブラン、カベルネ・ソーヴィニヨン、シラー。典型的なスタイル：Stellenboschはカベルネ系の構造ある赤、Swartlandは古木シュナンや地中海系ブレンドでも知られる。</x:v>
      </x:c>
      <x:c r="I475" s="14" t="str">
        <x:v>南アフリカ</x:v>
      </x:c>
      <x:c r="J475" s="14" t="str">
        <x:v>スワートランド</x:v>
      </x:c>
      <x:c r="K475" s="14" t="str">
        <x:v>地理;産地;南アフリカ</x:v>
      </x:c>
      <x:c r="L475" s="14" t="str"/>
      <x:c r="M475" s="14" t="str">
        <x:v>south_africa_official_wine</x:v>
      </x:c>
      <x:c r="N475" s="14" t="str">
        <x:v>2026-07-12</x:v>
      </x:c>
      <x:c r="O475" s="14" t="str">
        <x:v>Y</x:v>
      </x:c>
    </x:row>
    <x:row r="476" ht="66" hidden="0" customHeight="1">
      <x:c r="A476" s="14" t="str">
        <x:v>term-faf9ae484683</x:v>
      </x:c>
      <x:c r="B476" s="14" t="str">
        <x:v>セントラル・オタゴ</x:v>
      </x:c>
      <x:c r="C476" s="14" t="str"/>
      <x:c r="D476" s="14" t="str"/>
      <x:c r="E476" s="14" t="str"/>
      <x:c r="F476" s="14" t="str">
        <x:v>産地・地名</x:v>
      </x:c>
      <x:c r="G476" s="14" t="str">
        <x:v>セントラル・オタゴはニュージーランドのワイン産地または原産地呼称。主要品種はピノ・ノワール、ソーヴィニヨン・ブラン。糖度と潜在アルコールを抑え、高い酸と繊細な香りを保つため。二次発酵でアルコールが増えるため、ベースワインには過熟でない高酸の果実が適する。</x:v>
      </x:c>
      <x:c r="H476" s="14" t="str">
        <x:v>自然条件：強い日照と大きな日較差により、果実を成熟させつつ酸を保つ。主要品種：ピノ・ノワール、ソーヴィニヨン・ブラン。典型的なスタイル：糖度と潜在アルコールを抑え、高い酸と繊細な香りを保つため。二次発酵でアルコールが増えるため、ベースワインには過熟でない高酸の果実が適する。</x:v>
      </x:c>
      <x:c r="I476" s="14" t="str">
        <x:v>ニュージーランド</x:v>
      </x:c>
      <x:c r="J476" s="14" t="str">
        <x:v>セントラル・オタゴ</x:v>
      </x:c>
      <x:c r="K476" s="14" t="str">
        <x:v>地理;産地;ニュージーランド</x:v>
      </x:c>
      <x:c r="L476" s="14" t="str"/>
      <x:c r="M476" s="14" t="str">
        <x:v>nz_official_wine</x:v>
      </x:c>
      <x:c r="N476" s="14" t="str">
        <x:v>2026-07-12</x:v>
      </x:c>
      <x:c r="O476" s="14" t="str">
        <x:v>Y</x:v>
      </x:c>
    </x:row>
    <x:row r="477" ht="79.19999694824219" hidden="0" customHeight="1">
      <x:c r="A477" s="14" t="str">
        <x:v>term-78bd8d7f5527</x:v>
      </x:c>
      <x:c r="B477" s="14" t="str">
        <x:v>ソアーヴェ・クラッシコ</x:v>
      </x:c>
      <x:c r="C477" s="14" t="str"/>
      <x:c r="D477" s="14" t="str"/>
      <x:c r="E477" s="14" t="str"/>
      <x:c r="F477" s="14" t="str">
        <x:v>産地・地名</x:v>
      </x:c>
      <x:c r="G477" s="14" t="str">
        <x:v>ソアーヴェ・クラッシコはイタリアのワイン産地または原産地呼称。主要品種はガルガーネガ、ピノ・グリージョ。Soaveの歴史的な丘陵中心地域。Soave Classicoの歴史的丘陵地域を正しく示しており、原産地、ブドウの成熟度、熟成期間、品質格付けのどれを表す用語かを区別する必要がある。</x:v>
      </x:c>
      <x:c r="H477" s="14" t="str">
        <x:v>自然条件：歴史的な丘陵地帯で、排水と日照に恵まれ、収量を抑えたガルガーネガを得やすい。クラッシコ地区の丘陵畑は平地より排水性と日照に恵まれ、凝縮したガルガーネガから、より風味と酸のあるワインを造りやすい。主要品種：ガルガーネガ、ピノ・グリージョ。典型的なスタイル：Soaveの歴史的な丘陵中心地域。Soave Classicoの歴史的丘陵地域を正しく示しており、原産地、ブドウの成熟度、熟成期間、品質格付けのどれを表す用語かを区別する必要がある。</x:v>
      </x:c>
      <x:c r="I477" s="14" t="str">
        <x:v>イタリア</x:v>
      </x:c>
      <x:c r="J477" s="14" t="str">
        <x:v>ソアーヴェ・クラッシコ</x:v>
      </x:c>
      <x:c r="K477" s="14" t="str">
        <x:v>地理;産地;イタリア</x:v>
      </x:c>
      <x:c r="L477" s="14" t="str"/>
      <x:c r="M477" s="14" t="str">
        <x:v>italy_official_wine</x:v>
      </x:c>
      <x:c r="N477" s="14" t="str">
        <x:v>2026-07-12</x:v>
      </x:c>
      <x:c r="O477" s="14" t="str">
        <x:v>Y</x:v>
      </x:c>
    </x:row>
    <x:row r="478" ht="66" hidden="0" customHeight="1">
      <x:c r="A478" s="14" t="str">
        <x:v>term-384b278e8822</x:v>
      </x:c>
      <x:c r="B478" s="14" t="str">
        <x:v>ソノマ</x:v>
      </x:c>
      <x:c r="C478" s="14" t="str">
        <x:v>Sonoma</x:v>
      </x:c>
      <x:c r="D478" s="14" t="str">
        <x:v>Sonoma</x:v>
      </x:c>
      <x:c r="E478" s="14" t="str"/>
      <x:c r="F478" s="14" t="str">
        <x:v>産地・地名</x:v>
      </x:c>
      <x:c r="G478" s="14" t="str">
        <x:v>ソノマは米国のワイン産地または原産地呼称。主要品種はシャルドネ、ピノ・ノワール、ジンファンデル。熟したブラックベリーやプラム、高めのアルコール、豊かなボディ。</x:v>
      </x:c>
      <x:c r="H478" s="14" t="str">
        <x:v>自然条件：太平洋から入る霧と冷たい空気が日中の気温を下げ、成熟期間を延ばす。沿岸からの霧と風がソノマ内陸へ入り、暖かい日中を冷却するため、酸を保ちながら風味をゆっくり成熟させられる。主要品種：シャルドネ、ピノ・ノワール、ジンファンデル。典型的なスタイル：熟したブラックベリーやプラム、高めのアルコール、豊かなボディ。</x:v>
      </x:c>
      <x:c r="I478" s="14" t="str">
        <x:v>米国</x:v>
      </x:c>
      <x:c r="J478" s="14" t="str">
        <x:v>ソノマ</x:v>
      </x:c>
      <x:c r="K478" s="14" t="str">
        <x:v>地理;産地;米国</x:v>
      </x:c>
      <x:c r="L478" s="14" t="str"/>
      <x:c r="M478" s="14" t="str">
        <x:v>usa_official_wine</x:v>
      </x:c>
      <x:c r="N478" s="14" t="str">
        <x:v>2026-07-12</x:v>
      </x:c>
      <x:c r="O478" s="14" t="str">
        <x:v>Y</x:v>
      </x:c>
    </x:row>
    <x:row r="479" ht="66" hidden="0" customHeight="1">
      <x:c r="A479" s="14" t="str">
        <x:v>term-120c02a00b29</x:v>
      </x:c>
      <x:c r="B479" s="14" t="str">
        <x:v>ソノマ・コースト</x:v>
      </x:c>
      <x:c r="C479" s="14" t="str"/>
      <x:c r="D479" s="14" t="str"/>
      <x:c r="E479" s="14" t="str"/>
      <x:c r="F479" s="14" t="str">
        <x:v>産地・地名</x:v>
      </x:c>
      <x:c r="G479" s="14" t="str">
        <x:v>ソノマ・コーストは米国のワイン産地または原産地呼称。主要品種はピノ・ノワール、シャルドネ、ジンファンデル。Sonoma Coastは海洋冷却で高酸、Lodiは温暖で熟したジンファンデルになりやすい。</x:v>
      </x:c>
      <x:c r="H479" s="14" t="str">
        <x:v>自然条件：太平洋の霧と冷たい風が成熟を遅らせ、酸と繊細な香りを保つため。海からの霧と風が日中気温を抑え、ピノ・ノワールとシャルドネの酸を保持する。主要品種：ピノ・ノワール、シャルドネ、ジンファンデル。典型的なスタイル：Sonoma Coastは海洋冷却で高酸、Lodiは温暖で熟したジンファンデルになりやすい。</x:v>
      </x:c>
      <x:c r="I479" s="14" t="str">
        <x:v>米国</x:v>
      </x:c>
      <x:c r="J479" s="14" t="str">
        <x:v>ソノマ・コースト</x:v>
      </x:c>
      <x:c r="K479" s="14" t="str">
        <x:v>地理;産地;米国</x:v>
      </x:c>
      <x:c r="L479" s="14" t="str"/>
      <x:c r="M479" s="14" t="str">
        <x:v>usa_official_wine</x:v>
      </x:c>
      <x:c r="N479" s="14" t="str">
        <x:v>2026-07-12</x:v>
      </x:c>
      <x:c r="O479" s="14" t="str">
        <x:v>Y</x:v>
      </x:c>
    </x:row>
    <x:row r="480" ht="66" hidden="0" customHeight="1">
      <x:c r="A480" s="14" t="str">
        <x:v>term-0213c8033196</x:v>
      </x:c>
      <x:c r="B480" s="14" t="str">
        <x:v>ソミュール</x:v>
      </x:c>
      <x:c r="C480" s="14" t="str"/>
      <x:c r="D480" s="14" t="str"/>
      <x:c r="E480" s="14" t="str"/>
      <x:c r="F480" s="14" t="str">
        <x:v>産地・地名</x:v>
      </x:c>
      <x:c r="G480" s="14" t="str">
        <x:v>ソミュールはフランスのワイン産地または原産地呼称。主要品種はシュナン・ブラン。シュナン・ブラン主体で、高い酸、リンゴ・カリン、澱由来の風味を持つ。ロワールの冷涼な気候で高酸のベースワインを造り、伝統的方式で熟成させる。</x:v>
      </x:c>
      <x:c r="H480" s="14" t="str">
        <x:v>自然条件：シュナン・ブラン主体で、高い酸、リンゴ・カリン、澱由来の風味を持つ。ロワールの冷涼な気候で高酸のベースワインを造り、伝統的方式で熟成させる。主要品種：シュナン・ブラン。産地内でも標高、方位、土壌、海や河川からの距離によって成熟度と香味の強さが変わる。</x:v>
      </x:c>
      <x:c r="I480" s="14" t="str">
        <x:v>フランス</x:v>
      </x:c>
      <x:c r="J480" s="14" t="str">
        <x:v>ソミュール</x:v>
      </x:c>
      <x:c r="K480" s="14" t="str">
        <x:v>地理;産地;フランス</x:v>
      </x:c>
      <x:c r="L480" s="14" t="str"/>
      <x:c r="M480" s="14" t="str">
        <x:v>loire_official_terroir</x:v>
      </x:c>
      <x:c r="N480" s="14" t="str">
        <x:v>2026-07-12</x:v>
      </x:c>
      <x:c r="O480" s="14" t="str">
        <x:v>Y</x:v>
      </x:c>
    </x:row>
    <x:row r="481" ht="66" hidden="0" customHeight="1">
      <x:c r="A481" s="14" t="str">
        <x:v>term-e88d92eb6b38</x:v>
      </x:c>
      <x:c r="B481" s="14" t="str">
        <x:v>ソミュール・シャンピニー</x:v>
      </x:c>
      <x:c r="C481" s="14" t="str"/>
      <x:c r="D481" s="14" t="str"/>
      <x:c r="E481" s="14" t="str"/>
      <x:c r="F481" s="14" t="str">
        <x:v>産地・地名</x:v>
      </x:c>
      <x:c r="G481" s="14" t="str">
        <x:v>ソミュール・シャンピニーはフランスのワイン産地または原産地呼称。主要品種はカベルネ・フラン。カベルネ・フランから造る、赤系果実、高い酸、中程度のタンニンを持つ辛口赤。石灰質のトゥフォー土壌と比較的冷涼な気候から、香り高く軽快から中程度のボディの赤を生む。</x:v>
      </x:c>
      <x:c r="H481" s="14" t="str">
        <x:v>自然条件：カベルネ・フランから造る、赤系果実、高い酸、中程度のタンニンを持つ辛口赤。石灰質のトゥフォー土壌と比較的冷涼な気候から、香り高く軽快から中程度のボディの赤を生む。主要品種：カベルネ・フラン。産地内でも標高、方位、土壌、海や河川からの距離によって成熟度と香味の強さが変わる。</x:v>
      </x:c>
      <x:c r="I481" s="14" t="str">
        <x:v>フランス</x:v>
      </x:c>
      <x:c r="J481" s="14" t="str">
        <x:v>ソミュール・シャンピニー</x:v>
      </x:c>
      <x:c r="K481" s="14" t="str">
        <x:v>地理;産地;フランス</x:v>
      </x:c>
      <x:c r="L481" s="14" t="str"/>
      <x:c r="M481" s="14" t="str">
        <x:v>loire_official_terroir</x:v>
      </x:c>
      <x:c r="N481" s="14" t="str">
        <x:v>2026-07-12</x:v>
      </x:c>
      <x:c r="O481" s="14" t="str">
        <x:v>Y</x:v>
      </x:c>
    </x:row>
    <x:row r="482" ht="79.19999694824219" hidden="0" customHeight="1">
      <x:c r="A482" s="14" t="str">
        <x:v>term-1c7f8ec35ab7</x:v>
      </x:c>
      <x:c r="B482" s="14" t="str">
        <x:v>ソーテルヌ</x:v>
      </x:c>
      <x:c r="C482" s="14" t="str"/>
      <x:c r="D482" s="14" t="str"/>
      <x:c r="E482" s="14" t="str"/>
      <x:c r="F482" s="14" t="str">
        <x:v>産地・地名</x:v>
      </x:c>
      <x:c r="G482" s="14" t="str">
        <x:v>ソーテルヌはフランスのワイン産地または原産地呼称。主要品種はセミヨン、ソーヴィニヨン・ブラン、フルミント。複数回の選別収穫、低い果汁収量、貴腐の不確実性。選別収穫・低収量・貴腐リスクとコストが、単位当たりの生産費、供給量、在庫負担または市場需要を通じてワイン価格へ影響する。</x:v>
      </x:c>
      <x:c r="H482" s="14" t="str">
        <x:v>自然条件：貴腐化の進み方が果粒ごとに異なり、適切な果粒だけを選ぶ必要があるため。健全な貴腐果を選ぶために畑を何度も回り、収量と労働コストが大きくなる。主要品種：セミヨン、ソーヴィニヨン・ブラン、フルミント。典型的なスタイル：複数回の選別収穫、低い果汁収量、貴腐の不確実性。選別収穫・低収量・貴腐リスクとコストが、単位当たりの生産費、供給量、在庫負担または市場需要を通じてワイン価格へ影響する。</x:v>
      </x:c>
      <x:c r="I482" s="14" t="str">
        <x:v>フランス</x:v>
      </x:c>
      <x:c r="J482" s="14" t="str">
        <x:v>ソーテルヌ</x:v>
      </x:c>
      <x:c r="K482" s="14" t="str">
        <x:v>地理;産地;フランス</x:v>
      </x:c>
      <x:c r="L482" s="14" t="str"/>
      <x:c r="M482" s="14" t="str">
        <x:v>bordeaux_official_grapes</x:v>
      </x:c>
      <x:c r="N482" s="14" t="str">
        <x:v>2026-07-12</x:v>
      </x:c>
      <x:c r="O482" s="14" t="str">
        <x:v>Y</x:v>
      </x:c>
    </x:row>
    <x:row r="483" ht="66" hidden="0" customHeight="1">
      <x:c r="A483" s="14" t="str">
        <x:v>term-fd6cff03c969</x:v>
      </x:c>
      <x:c r="B483" s="14" t="str">
        <x:v>タウラージ</x:v>
      </x:c>
      <x:c r="C483" s="14" t="str"/>
      <x:c r="D483" s="14" t="str"/>
      <x:c r="E483" s="14" t="str"/>
      <x:c r="F483" s="14" t="str">
        <x:v>産地・地名</x:v>
      </x:c>
      <x:c r="G483" s="14" t="str">
        <x:v>タウラージはイタリアのワイン産地または原産地呼称。主要品種はアリアニコ。アリアニコから造る高酸・高タンニンで長期熟成可能な赤だから。高標高の冷涼な内陸で晩熟品種がゆっくり成熟し、黒系果実、煙、革の複雑性を持つ。</x:v>
      </x:c>
      <x:c r="H483" s="14" t="str">
        <x:v>自然条件：アリアニコから造る高酸・高タンニンで長期熟成可能な赤だから。高標高の冷涼な内陸で晩熟品種がゆっくり成熟し、黒系果実、煙、革の複雑性を持つ。主要品種：アリアニコ。産地内でも標高、方位、土壌、海や河川からの距離によって成熟度と香味の強さが変わる。</x:v>
      </x:c>
      <x:c r="I483" s="14" t="str">
        <x:v>イタリア</x:v>
      </x:c>
      <x:c r="J483" s="14" t="str">
        <x:v>タウラージ</x:v>
      </x:c>
      <x:c r="K483" s="14" t="str">
        <x:v>地理;産地;イタリア</x:v>
      </x:c>
      <x:c r="L483" s="14" t="str"/>
      <x:c r="M483" s="14" t="str">
        <x:v>italy_official_wine</x:v>
      </x:c>
      <x:c r="N483" s="14" t="str">
        <x:v>2026-07-12</x:v>
      </x:c>
      <x:c r="O483" s="14" t="str">
        <x:v>Y</x:v>
      </x:c>
    </x:row>
    <x:row r="484" ht="52.79999923706055" hidden="0" customHeight="1">
      <x:c r="A484" s="14" t="str">
        <x:v>term-ac4c3f1e3296</x:v>
      </x:c>
      <x:c r="B484" s="14" t="str">
        <x:v>タスマニア</x:v>
      </x:c>
      <x:c r="C484" s="14" t="str"/>
      <x:c r="D484" s="14" t="str"/>
      <x:c r="E484" s="14" t="str"/>
      <x:c r="F484" s="14" t="str">
        <x:v>産地・地名</x:v>
      </x:c>
      <x:c r="G484" s="14" t="str">
        <x:v>タスマニアはオーストラリアのワイン産地または原産地呼称。主要品種はシャルドネ、ピノ・ノワール。南緯が高く海洋性で、生育期が冷涼かつ長い。</x:v>
      </x:c>
      <x:c r="H484" s="14" t="str">
        <x:v>自然条件：緯度、標高、海洋風、日照量が異なり、成熟度と酸の水準が変わる。主要品種：シャルドネ、ピノ・ノワール。典型的なスタイル：南緯が高く海洋性で、生育期が冷涼かつ長い。産地内でも標高、方位、土壌、海や河川からの距離によって成熟度と香味の強さが変わる。</x:v>
      </x:c>
      <x:c r="I484" s="14" t="str">
        <x:v>オーストラリア</x:v>
      </x:c>
      <x:c r="J484" s="14" t="str">
        <x:v>タスマニア</x:v>
      </x:c>
      <x:c r="K484" s="14" t="str">
        <x:v>地理;産地;オーストラリア</x:v>
      </x:c>
      <x:c r="L484" s="14" t="str"/>
      <x:c r="M484" s="14" t="str">
        <x:v>australia_official_wine</x:v>
      </x:c>
      <x:c r="N484" s="14" t="str">
        <x:v>2026-07-12</x:v>
      </x:c>
      <x:c r="O484" s="14" t="str">
        <x:v>Y</x:v>
      </x:c>
    </x:row>
    <x:row r="485" ht="52.79999923706055" hidden="0" customHeight="1">
      <x:c r="A485" s="14" t="str">
        <x:v>term-fb4f787fe49a</x:v>
      </x:c>
      <x:c r="B485" s="14" t="str">
        <x:v>タヴェル</x:v>
      </x:c>
      <x:c r="C485" s="14" t="str"/>
      <x:c r="D485" s="14" t="str"/>
      <x:c r="E485" s="14" t="str"/>
      <x:c r="F485" s="14" t="str">
        <x:v>産地・地名</x:v>
      </x:c>
      <x:c r="G485" s="14" t="str">
        <x:v>タヴェルはフランスのワイン産地または原産地呼称。主要品種はグルナッシュ、サンソー。黒ブドウを比較的長く果皮と接触させ、複数品種を用いるため。より長い果皮接触と地中海系品種のブレンドが、色、風味、構造を高める。</x:v>
      </x:c>
      <x:c r="H485" s="14" t="str">
        <x:v>自然条件：黒ブドウを比較的長く果皮と接触させ、複数品種を用いるため。より長い果皮接触と地中海系品種のブレンドが、色、風味、構造を高める。主要品種：グルナッシュ、サンソー。産地内でも標高、方位、土壌、海や河川からの距離によって成熟度と香味の強さが変わる。</x:v>
      </x:c>
      <x:c r="I485" s="14" t="str">
        <x:v>フランス</x:v>
      </x:c>
      <x:c r="J485" s="14" t="str">
        <x:v>タヴェル</x:v>
      </x:c>
      <x:c r="K485" s="14" t="str">
        <x:v>地理;産地;フランス</x:v>
      </x:c>
      <x:c r="L485" s="14" t="str"/>
      <x:c r="M485" s="14" t="str">
        <x:v>rhone_official_terroir</x:v>
      </x:c>
      <x:c r="N485" s="14" t="str">
        <x:v>2026-07-12</x:v>
      </x:c>
      <x:c r="O485" s="14" t="str">
        <x:v>Y</x:v>
      </x:c>
    </x:row>
    <x:row r="486" ht="66" hidden="0" customHeight="1">
      <x:c r="A486" s="14" t="str">
        <x:v>term-874ce09d82e5</x:v>
      </x:c>
      <x:c r="B486" s="14" t="str">
        <x:v>ダイデスハイム</x:v>
      </x:c>
      <x:c r="C486" s="14" t="str"/>
      <x:c r="D486" s="14" t="str"/>
      <x:c r="E486" s="14" t="str"/>
      <x:c r="F486" s="14" t="str">
        <x:v>産地・地名</x:v>
      </x:c>
      <x:c r="G486" s="14" t="str">
        <x:v>ダイデスハイムはドイツのワイン産地または原産地呼称。主要品種はリースリング。ハールト山地の雨陰で乾燥し、日照が多く、ブドウが十分に成熟するため。モーゼルより温暖な条件から、熟した核果、より高いボディとアルコールを持つ辛口を生む。</x:v>
      </x:c>
      <x:c r="H486" s="14" t="str">
        <x:v>自然条件：ハールト山地の雨陰で乾燥し、日照が多く、ブドウが十分に成熟するため。モーゼルより温暖な条件から、熟した核果、より高いボディとアルコールを持つ辛口を生む。主要品種：リースリング。産地内でも標高、方位、土壌、海や河川からの距離によって成熟度と香味の強さが変わる。</x:v>
      </x:c>
      <x:c r="I486" s="14" t="str">
        <x:v>ドイツ</x:v>
      </x:c>
      <x:c r="J486" s="14" t="str">
        <x:v>ダイデスハイム</x:v>
      </x:c>
      <x:c r="K486" s="14" t="str">
        <x:v>地理;産地;ドイツ</x:v>
      </x:c>
      <x:c r="L486" s="14" t="str"/>
      <x:c r="M486" s="14" t="str">
        <x:v>germany_official_regions</x:v>
      </x:c>
      <x:c r="N486" s="14" t="str">
        <x:v>2026-07-12</x:v>
      </x:c>
      <x:c r="O486" s="14" t="str">
        <x:v>Y</x:v>
      </x:c>
    </x:row>
    <x:row r="487" ht="92.4000015258789" hidden="0" customHeight="1">
      <x:c r="A487" s="14" t="str">
        <x:v>term-10722d739bb6</x:v>
      </x:c>
      <x:c r="B487" s="14" t="str">
        <x:v>ダン</x:v>
      </x:c>
      <x:c r="C487" s="14" t="str"/>
      <x:c r="D487" s="14" t="str"/>
      <x:c r="E487" s="14" t="str"/>
      <x:c r="F487" s="14" t="str">
        <x:v>産地・地名</x:v>
      </x:c>
      <x:c r="G487" s="14" t="str">
        <x:v>ダンはポルトガルのワイン産地または原産地呼称。主要品種はトウリガ・ナシオナル、アルフロシェイロ、ティンタ・ロリス、ジャエン。深い色、花と黒果実の芳香、高いタンニン。Touriga Nacionalの色・芳香・タンニンを正しく示しており、品種の酸、タンニン、芳香、果皮または成熟特性がワインのスタイルを形作る。</x:v>
      </x:c>
      <x:c r="H487" s="14" t="str">
        <x:v>自然条件：山地に囲まれた高標高の花崗岩畑で夜間が冷涼になるため。標高と山の保護が成熟を緩やかにし、トウリガ・ナシオナルなどから香り高く引き締まった赤を生む。主要品種：トウリガ・ナシオナル、アルフロシェイロ、ティンタ・ロリス、ジャエン。典型的なスタイル：深い色、花と黒果実の芳香、高いタンニン。Touriga Nacionalの色・芳香・タンニンを正しく示しており、品種の酸、タンニン、芳香、果皮または成熟特性がワインのスタイルを形作る。</x:v>
      </x:c>
      <x:c r="I487" s="14" t="str">
        <x:v>ポルトガル</x:v>
      </x:c>
      <x:c r="J487" s="14" t="str">
        <x:v>ダン</x:v>
      </x:c>
      <x:c r="K487" s="14" t="str">
        <x:v>地理;産地;ポルトガル</x:v>
      </x:c>
      <x:c r="L487" s="14" t="str"/>
      <x:c r="M487" s="14" t="str">
        <x:v>portugal_official_wine</x:v>
      </x:c>
      <x:c r="N487" s="14" t="str">
        <x:v>2026-07-12</x:v>
      </x:c>
      <x:c r="O487" s="14" t="str">
        <x:v>Y</x:v>
      </x:c>
    </x:row>
    <x:row r="488" ht="52.79999923706055" hidden="0" customHeight="1">
      <x:c r="A488" s="14" t="str">
        <x:v>term-b547d4fc5089</x:v>
      </x:c>
      <x:c r="B488" s="14" t="str">
        <x:v>チピオナ</x:v>
      </x:c>
      <x:c r="C488" s="14" t="str"/>
      <x:c r="D488" s="14" t="str"/>
      <x:c r="E488" s="14" t="str"/>
      <x:c r="F488" s="14" t="str">
        <x:v>産地・地名</x:v>
      </x:c>
      <x:c r="G488" s="14" t="str">
        <x:v>チピオナはスペインのワイン産地または原産地呼称。主要品種はモスカテル。オレンジの花、ブドウ、乾燥した柑橘、レーズン。芳香性のモスカテルを天日乾燥または濃縮して造るため、強い品種香と甘味を持つ。</x:v>
      </x:c>
      <x:c r="H488" s="14" t="str">
        <x:v>自然条件：オレンジの花、ブドウ、乾燥した柑橘、レーズン。芳香性のモスカテルを天日乾燥または濃縮して造るため、強い品種香と甘味を持つ。主要品種：モスカテル。産地内でも標高、方位、土壌、海や河川からの距離によって成熟度と香味の強さが変わる。</x:v>
      </x:c>
      <x:c r="I488" s="14" t="str">
        <x:v>スペイン</x:v>
      </x:c>
      <x:c r="J488" s="14" t="str">
        <x:v>チピオナ</x:v>
      </x:c>
      <x:c r="K488" s="14" t="str">
        <x:v>地理;産地;スペイン</x:v>
      </x:c>
      <x:c r="L488" s="14" t="str"/>
      <x:c r="M488" s="14" t="str">
        <x:v>spain_official_wine</x:v>
      </x:c>
      <x:c r="N488" s="14" t="str">
        <x:v>2026-07-12</x:v>
      </x:c>
      <x:c r="O488" s="14" t="str">
        <x:v>Y</x:v>
      </x:c>
    </x:row>
    <x:row r="489" ht="66" hidden="0" customHeight="1">
      <x:c r="A489" s="14" t="str">
        <x:v>term-ead8721f641b</x:v>
      </x:c>
      <x:c r="B489" s="14" t="str">
        <x:v>トカイ</x:v>
      </x:c>
      <x:c r="C489" s="14" t="str">
        <x:v>Tokaj</x:v>
      </x:c>
      <x:c r="D489" s="14" t="str">
        <x:v>Tokaj</x:v>
      </x:c>
      <x:c r="E489" s="14" t="str"/>
      <x:c r="F489" s="14" t="str">
        <x:v>産地・地名</x:v>
      </x:c>
      <x:c r="G489" s="14" t="str">
        <x:v>トカイはハンガリーのワイン産地または原産地呼称。主要品種はフルミント、ハールシュレヴェリュー、セミヨン、シャルガ・ムシュコターイ。花やスパイスを思わせる芳香と、Furmintを補う柔らかな果実味。</x:v>
      </x:c>
      <x:c r="H489" s="14" t="str">
        <x:v>自然条件：フルミントは高い酸を保持しやすく、貴腐にも適し、トカイの甘口ワインの骨格を支える。主要品種：フルミント、ハールシュレヴェリュー、セミヨン、シャルガ・ムシュコターイ。典型的なスタイル：花やスパイスを思わせる芳香と、Furmintを補う柔らかな果実味。Hárslevelűの芳香・ブレンド役割を正しく示しており、品種の酸、タンニン、芳香、果皮または成熟特性がワインのスタイルを形作る。</x:v>
      </x:c>
      <x:c r="I489" s="14" t="str">
        <x:v>ハンガリー</x:v>
      </x:c>
      <x:c r="J489" s="14" t="str">
        <x:v>トカイ</x:v>
      </x:c>
      <x:c r="K489" s="14" t="str">
        <x:v>地理;産地;ハンガリー</x:v>
      </x:c>
      <x:c r="L489" s="14" t="str"/>
      <x:c r="M489" s="14" t="str">
        <x:v>hungary_official_wine</x:v>
      </x:c>
      <x:c r="N489" s="14" t="str">
        <x:v>2026-07-12</x:v>
      </x:c>
      <x:c r="O489" s="14" t="str">
        <x:v>Y</x:v>
      </x:c>
    </x:row>
    <x:row r="490" ht="66" hidden="0" customHeight="1">
      <x:c r="A490" s="14" t="str">
        <x:v>term-1affe25ce3c5</x:v>
      </x:c>
      <x:c r="B490" s="14" t="str">
        <x:v>トスカーナ</x:v>
      </x:c>
      <x:c r="C490" s="14" t="str">
        <x:v>Tuscany</x:v>
      </x:c>
      <x:c r="D490" s="14" t="str">
        <x:v>Toscana</x:v>
      </x:c>
      <x:c r="E490" s="14" t="str"/>
      <x:c r="F490" s="14" t="str">
        <x:v>産地・地名</x:v>
      </x:c>
      <x:c r="G490" s="14" t="str">
        <x:v>トスカーナはイタリアのワイン産地または原産地呼称。主要品種はサンジョヴェーゼ。高い酸、中程度以上のタンニン、サワーチェリー、乾燥ハーブを持つ辛口赤。標高ある丘陵とサンジョヴェーゼの高酸・タンニンが典型的な構造を作る。</x:v>
      </x:c>
      <x:c r="H490" s="14" t="str">
        <x:v>自然条件：高い酸、中程度以上のタンニン、サワーチェリー、乾燥ハーブを持つ辛口赤。標高ある丘陵とサンジョヴェーゼの高酸・タンニンが典型的な構造を作る。主要品種：サンジョヴェーゼ。産地内でも標高、方位、土壌、海や河川からの距離によって成熟度と香味の強さが変わる。</x:v>
      </x:c>
      <x:c r="I490" s="14" t="str">
        <x:v>イタリア</x:v>
      </x:c>
      <x:c r="J490" s="14" t="str">
        <x:v>トスカーナ</x:v>
      </x:c>
      <x:c r="K490" s="14" t="str">
        <x:v>地理;産地;イタリア</x:v>
      </x:c>
      <x:c r="L490" s="14" t="str"/>
      <x:c r="M490" s="14" t="str">
        <x:v>italy_official_wine</x:v>
      </x:c>
      <x:c r="N490" s="14" t="str">
        <x:v>2026-07-12</x:v>
      </x:c>
      <x:c r="O490" s="14" t="str">
        <x:v>Y</x:v>
      </x:c>
    </x:row>
    <x:row r="491" ht="39.599998474121094" hidden="0" customHeight="1">
      <x:c r="A491" s="14" t="str">
        <x:v>term-6e02d54ffdec</x:v>
      </x:c>
      <x:c r="B491" s="14" t="str">
        <x:v>トレントDOC</x:v>
      </x:c>
      <x:c r="C491" s="14" t="str"/>
      <x:c r="D491" s="14" t="str"/>
      <x:c r="E491" s="14" t="str"/>
      <x:c r="F491" s="14" t="str">
        <x:v>産地・地名</x:v>
      </x:c>
      <x:c r="G491" s="14" t="str">
        <x:v>トレントDOCはイタリア北部トレンティーノの伝統的方式発泡性ワイン。高標高の冷涼な畑が、シャルドネとピノ・ネロの高い酸と繊細な果実香を保つ。</x:v>
      </x:c>
      <x:c r="H491" s="14" t="str">
        <x:v>アルプス山麓の標高と大きな日較差が成熟を緩やかにし、発泡性ベースワインに必要な酸を保持する。主にシャルドネとピノ・ネロを用い、瓶内二次発酵と澱熟成によって柑橘・リンゴにパンやビスケットの香り、きめ細かな泡を加える。</x:v>
      </x:c>
      <x:c r="I491" s="14" t="str">
        <x:v>イタリア</x:v>
      </x:c>
      <x:c r="J491" s="14" t="str">
        <x:v>トレントDOC</x:v>
      </x:c>
      <x:c r="K491" s="14" t="str">
        <x:v>地理;産地;イタリア</x:v>
      </x:c>
      <x:c r="L491" s="14" t="str"/>
      <x:c r="M491" s="14" t="str">
        <x:v>italy_official_wine</x:v>
      </x:c>
      <x:c r="N491" s="14" t="str">
        <x:v>2026-07-12</x:v>
      </x:c>
      <x:c r="O491" s="14" t="str">
        <x:v>Y</x:v>
      </x:c>
    </x:row>
    <x:row r="492" ht="66" hidden="0" customHeight="1">
      <x:c r="A492" s="14" t="str">
        <x:v>term-3461eb24d3d6</x:v>
      </x:c>
      <x:c r="B492" s="14" t="str">
        <x:v>トロ</x:v>
      </x:c>
      <x:c r="C492" s="14" t="str"/>
      <x:c r="D492" s="14" t="str"/>
      <x:c r="E492" s="14" t="str"/>
      <x:c r="F492" s="14" t="str">
        <x:v>産地・地名</x:v>
      </x:c>
      <x:c r="G492" s="14" t="str">
        <x:v>トロはスペインのワイン産地または原産地呼称。主要品種はティンタ・デ・トロ。暑く乾燥した大陸性気候と古木の低収量により、糖、色、タンニンが高くなるため。標高の高い台地でも日中は暑く、厚い果皮のテンプラニーリョ系統が濃縮した果実を生む。</x:v>
      </x:c>
      <x:c r="H492" s="14" t="str">
        <x:v>自然条件：暑く乾燥した大陸性気候と古木の低収量により、糖、色、タンニンが高くなるため。標高の高い台地でも日中は暑く、厚い果皮のテンプラニーリョ系統が濃縮した果実を生む。主要品種：ティンタ・デ・トロ。産地内でも標高、方位、土壌、海や河川からの距離によって成熟度と香味の強さが変わる。</x:v>
      </x:c>
      <x:c r="I492" s="14" t="str">
        <x:v>スペイン</x:v>
      </x:c>
      <x:c r="J492" s="14" t="str">
        <x:v>トロ</x:v>
      </x:c>
      <x:c r="K492" s="14" t="str">
        <x:v>地理;産地;スペイン</x:v>
      </x:c>
      <x:c r="L492" s="14" t="str"/>
      <x:c r="M492" s="14" t="str">
        <x:v>spain_official_wine</x:v>
      </x:c>
      <x:c r="N492" s="14" t="str">
        <x:v>2026-07-12</x:v>
      </x:c>
      <x:c r="O492" s="14" t="str">
        <x:v>Y</x:v>
      </x:c>
    </x:row>
    <x:row r="493" ht="52.79999923706055" hidden="0" customHeight="1">
      <x:c r="A493" s="14" t="str">
        <x:v>term-af21879df853</x:v>
      </x:c>
      <x:c r="B493" s="14" t="str">
        <x:v>ドイツ</x:v>
      </x:c>
      <x:c r="C493" s="14" t="str"/>
      <x:c r="D493" s="14" t="str"/>
      <x:c r="E493" s="14" t="str"/>
      <x:c r="F493" s="14" t="str">
        <x:v>産地・地名</x:v>
      </x:c>
      <x:c r="G493" s="14" t="str">
        <x:v>ドイツはドイツのワイン産地または原産地呼称。主要品種はリースリング。ベースとなるブドウがドイツ産である発泡性ワイン。</x:v>
      </x:c>
      <x:c r="H493" s="14" t="str">
        <x:v>自然条件：高い酸、柑橘や核果の香り、軽快なボディと明瞭な品種香。リースリングの芳香と酸を保つため、比較的冷涼な産地のベースワインを用い、伝統的方式またはタンク方式で発泡化する。主要品種：リースリング。典型的なスタイル：ベースとなるブドウがドイツ産である発泡性ワイン。</x:v>
      </x:c>
      <x:c r="I493" s="14" t="str">
        <x:v>ドイツ</x:v>
      </x:c>
      <x:c r="J493" s="14" t="str">
        <x:v>ドイツ</x:v>
      </x:c>
      <x:c r="K493" s="14" t="str">
        <x:v>地理;産地;ドイツ</x:v>
      </x:c>
      <x:c r="L493" s="14" t="str"/>
      <x:c r="M493" s="14" t="str">
        <x:v>germany_official_regions</x:v>
      </x:c>
      <x:c r="N493" s="14" t="str">
        <x:v>2026-07-12</x:v>
      </x:c>
      <x:c r="O493" s="14" t="str">
        <x:v>Y</x:v>
      </x:c>
    </x:row>
    <x:row r="494" ht="79.19999694824219" hidden="0" customHeight="1">
      <x:c r="A494" s="14" t="str">
        <x:v>term-99139cf01141</x:v>
      </x:c>
      <x:c r="B494" s="14" t="str">
        <x:v>ドウロ</x:v>
      </x:c>
      <x:c r="C494" s="14" t="str">
        <x:v>Douro</x:v>
      </x:c>
      <x:c r="D494" s="14" t="str">
        <x:v>Douro</x:v>
      </x:c>
      <x:c r="E494" s="14" t="str"/>
      <x:c r="F494" s="14" t="str">
        <x:v>産地・地名</x:v>
      </x:c>
      <x:c r="G494" s="14" t="str">
        <x:v>ドウロはポルトガルのワイン産地または原産地呼称。主要品種はトウリガ・ナシオナル、ティンタ・ロリス、トウリガ・フランカ、ポート主要黒ブドウ。急斜面の低収量畑と厚い果皮の土着黒品種が、濃い果実とタンニンを与えるため。暑く乾燥した斜面と低収量の品種構成が、濃厚な果実味と強い構造を生む。</x:v>
      </x:c>
      <x:c r="H494" s="14" t="str">
        <x:v>自然条件：最も東に位置して暑く乾燥し、降雨が少なく蒸発量が大きい。スペイン国境に近い東部は海洋の影響が弱く、極端な高温と乾燥が水不足を招きやすいため、若木などでは灌漑が重要になることがある。主要品種：トウリガ・ナシオナル、ティンタ・ロリス、トウリガ・フランカ、ポート主要黒ブドウ。典型的なスタイル：急斜面の低収量畑と厚い果皮の土着黒品種が、濃い果実とタンニンを与えるため。暑く乾燥した斜面と低収量の品種構成が、濃厚な果実味と強い構造を生む。</x:v>
      </x:c>
      <x:c r="I494" s="14" t="str">
        <x:v>ポルトガル</x:v>
      </x:c>
      <x:c r="J494" s="14" t="str">
        <x:v>ドウロ</x:v>
      </x:c>
      <x:c r="K494" s="14" t="str">
        <x:v>地理;産地;ポルトガル</x:v>
      </x:c>
      <x:c r="L494" s="14" t="str"/>
      <x:c r="M494" s="14" t="str">
        <x:v>portugal_official_wine</x:v>
      </x:c>
      <x:c r="N494" s="14" t="str">
        <x:v>2026-07-12</x:v>
      </x:c>
      <x:c r="O494" s="14" t="str">
        <x:v>Y</x:v>
      </x:c>
    </x:row>
    <x:row r="495" ht="66" hidden="0" customHeight="1">
      <x:c r="A495" s="14" t="str">
        <x:v>term-3e1356ea4782</x:v>
      </x:c>
      <x:c r="B495" s="14" t="str">
        <x:v>ドウロ・スペリオール</x:v>
      </x:c>
      <x:c r="C495" s="14" t="str"/>
      <x:c r="D495" s="14" t="str"/>
      <x:c r="E495" s="14" t="str"/>
      <x:c r="F495" s="14" t="str">
        <x:v>産地・地名</x:v>
      </x:c>
      <x:c r="G495" s="14" t="str">
        <x:v>ドウロ・スペリオールはポルトガルのワイン産地または原産地呼称。極端な暑さと乾燥、水不足、遠隔地による労働・輸送コスト。病害は少ないが、灌漑や日焼け対策が必要で、広大な畑の管理費も高くなる。</x:v>
      </x:c>
      <x:c r="H495" s="14" t="str">
        <x:v>自然条件：最も東に位置して暑く乾燥し、降雨が少なく蒸発量が大きい。スペイン国境に近い東部は海洋の影響が弱く、極端な高温と乾燥が水不足を招きやすいため、若木などでは灌漑が重要になることがある。典型的なスタイル：極端な暑さと乾燥、水不足、遠隔地による労働・輸送コスト。病害は少ないが、灌漑や日焼け対策が必要で、広大な畑の管理費も高くなる。</x:v>
      </x:c>
      <x:c r="I495" s="14" t="str">
        <x:v>ポルトガル</x:v>
      </x:c>
      <x:c r="J495" s="14" t="str">
        <x:v>ドウロ・スペリオール</x:v>
      </x:c>
      <x:c r="K495" s="14" t="str">
        <x:v>地理;産地;ポルトガル</x:v>
      </x:c>
      <x:c r="L495" s="14" t="str"/>
      <x:c r="M495" s="14" t="str">
        <x:v>portugal_official_wine</x:v>
      </x:c>
      <x:c r="N495" s="14" t="str">
        <x:v>2026-07-12</x:v>
      </x:c>
      <x:c r="O495" s="14" t="str">
        <x:v>Y</x:v>
      </x:c>
    </x:row>
    <x:row r="496" ht="39.599998474121094" hidden="0" customHeight="1">
      <x:c r="A496" s="14" t="str">
        <x:v>term-61fb34aa518a</x:v>
      </x:c>
      <x:c r="B496" s="14" t="str">
        <x:v>ドライ・クリーク・ヴァレー</x:v>
      </x:c>
      <x:c r="C496" s="14" t="str"/>
      <x:c r="D496" s="14" t="str"/>
      <x:c r="E496" s="14" t="str"/>
      <x:c r="F496" s="14" t="str">
        <x:v>産地・地名</x:v>
      </x:c>
      <x:c r="G496" s="14" t="str">
        <x:v>ドライ・クリーク・ヴァレーは米国のワイン産地または原産地呼称。主要品種はジンファンデル。熟したブラックベリーやプラム、高めのアルコール、豊かなボディ。</x:v>
      </x:c>
      <x:c r="H496" s="14" t="str">
        <x:v>自然条件：熟したブラックベリーやプラム、高めのアルコール、豊かなボディ。主要品種：ジンファンデル。産地内でも標高、方位、土壌、海や河川からの距離によって成熟度と香味の強さが変わる。</x:v>
      </x:c>
      <x:c r="I496" s="14" t="str">
        <x:v>米国</x:v>
      </x:c>
      <x:c r="J496" s="14" t="str">
        <x:v>ドライ・クリーク・ヴァレー</x:v>
      </x:c>
      <x:c r="K496" s="14" t="str">
        <x:v>地理;産地;米国</x:v>
      </x:c>
      <x:c r="L496" s="14" t="str"/>
      <x:c r="M496" s="14" t="str">
        <x:v>usa_official_wine</x:v>
      </x:c>
      <x:c r="N496" s="14" t="str">
        <x:v>2026-07-12</x:v>
      </x:c>
      <x:c r="O496" s="14" t="str">
        <x:v>Y</x:v>
      </x:c>
    </x:row>
    <x:row r="497" ht="66" hidden="0" customHeight="1">
      <x:c r="A497" s="14" t="str">
        <x:v>term-181a9c55c6a3</x:v>
      </x:c>
      <x:c r="B497" s="14" t="str">
        <x:v>ナイアガラ半島</x:v>
      </x:c>
      <x:c r="C497" s="14" t="str"/>
      <x:c r="D497" s="14" t="str"/>
      <x:c r="E497" s="14" t="str"/>
      <x:c r="F497" s="14" t="str">
        <x:v>産地・地名</x:v>
      </x:c>
      <x:c r="G497" s="14" t="str">
        <x:v>ナイアガラ半島はカナダのワイン産地または原産地呼称。主要品種はヴィダル、リースリング。湖の温和な影響と長い生育期により、酸を保ちながら成熟できるため。オンタリオ湖が春霜と冬の寒さを緩和し、リースリングの成熟期間を延ばす。</x:v>
      </x:c>
      <x:c r="H497" s="14" t="str">
        <x:v>自然条件：冷涼気候で酸を保持したブドウを樹上で凍結させ、水分を氷として分離する。冷涼気候で高い酸を保った果実を自然凍結し、水分を氷として残す。主要品種：ヴィダル、リースリング。典型的なスタイル：湖の温和な影響と長い生育期により、酸を保ちながら成熟できるため。オンタリオ湖が春霜と冬の寒さを緩和し、リースリングの成熟期間を延ばす。</x:v>
      </x:c>
      <x:c r="I497" s="14" t="str">
        <x:v>カナダ</x:v>
      </x:c>
      <x:c r="J497" s="14" t="str">
        <x:v>ナイアガラ半島</x:v>
      </x:c>
      <x:c r="K497" s="14" t="str">
        <x:v>地理;産地;カナダ</x:v>
      </x:c>
      <x:c r="L497" s="14" t="str"/>
      <x:c r="M497" s="14" t="str">
        <x:v>canada_official_wine</x:v>
      </x:c>
      <x:c r="N497" s="14" t="str">
        <x:v>2026-07-12</x:v>
      </x:c>
      <x:c r="O497" s="14" t="str">
        <x:v>Y</x:v>
      </x:c>
    </x:row>
    <x:row r="498" ht="52.79999923706055" hidden="0" customHeight="1">
      <x:c r="A498" s="14" t="str">
        <x:v>term-8aaad950c577</x:v>
      </x:c>
      <x:c r="B498" s="14" t="str">
        <x:v>ナウサ</x:v>
      </x:c>
      <x:c r="C498" s="14" t="str"/>
      <x:c r="D498" s="14" t="str"/>
      <x:c r="E498" s="14" t="str"/>
      <x:c r="F498" s="14" t="str">
        <x:v>産地・地名</x:v>
      </x:c>
      <x:c r="G498" s="14" t="str">
        <x:v>ナウサはギリシャのワイン産地または原産地呼称。主要品種はクシノマヴロ、アギオルギティコ。高い酸とタンニン、赤系果実、トマト、オリーブを思わせる複雑な香りを持つため。</x:v>
      </x:c>
      <x:c r="H498" s="14" t="str">
        <x:v>自然条件：高い酸とタンニン、淡めの色、赤系果実とトマト・オリーブの香り。主要品種：クシノマヴロ、アギオルギティコ。典型的なスタイル：高い酸とタンニン、赤系果実、トマト、オリーブを思わせる複雑な香りを持つため。産地内でも標高、方位、土壌、海や河川からの距離によって成熟度と香味の強さが変わる。</x:v>
      </x:c>
      <x:c r="I498" s="14" t="str">
        <x:v>ギリシャ</x:v>
      </x:c>
      <x:c r="J498" s="14" t="str">
        <x:v>ナウサ</x:v>
      </x:c>
      <x:c r="K498" s="14" t="str">
        <x:v>地理;産地;ギリシャ</x:v>
      </x:c>
      <x:c r="L498" s="14" t="str"/>
      <x:c r="M498" s="14" t="str">
        <x:v>greece_official_wine</x:v>
      </x:c>
      <x:c r="N498" s="14" t="str">
        <x:v>2026-07-12</x:v>
      </x:c>
      <x:c r="O498" s="14" t="str">
        <x:v>Y</x:v>
      </x:c>
    </x:row>
    <x:row r="499" ht="39.599998474121094" hidden="0" customHeight="1">
      <x:c r="A499" s="14" t="str">
        <x:v>term-0cc68b52f574</x:v>
      </x:c>
      <x:c r="B499" s="14" t="str">
        <x:v>ナバーラ</x:v>
      </x:c>
      <x:c r="C499" s="14" t="str"/>
      <x:c r="D499" s="14" t="str"/>
      <x:c r="E499" s="14" t="str"/>
      <x:c r="F499" s="14" t="str">
        <x:v>産地・地名</x:v>
      </x:c>
      <x:c r="G499" s="14" t="str">
        <x:v>ナバーラはスペインのワイン産地または原産地呼称。主要品種はガルナッチャ。ガルナッチャから造る、熟した赤系果実と中程度の色を持つ辛口ロゼ。</x:v>
      </x:c>
      <x:c r="H499" s="14" t="str">
        <x:v>自然条件：ガルナッチャから造る、熟した赤系果実と中程度の色を持つ辛口ロゼ。主要品種：ガルナッチャ。産地内でも標高、方位、土壌、海や河川からの距離によって成熟度と香味の強さが変わる。</x:v>
      </x:c>
      <x:c r="I499" s="14" t="str">
        <x:v>スペイン</x:v>
      </x:c>
      <x:c r="J499" s="14" t="str">
        <x:v>ナバーラ</x:v>
      </x:c>
      <x:c r="K499" s="14" t="str">
        <x:v>地理;産地;スペイン</x:v>
      </x:c>
      <x:c r="L499" s="14" t="str"/>
      <x:c r="M499" s="14" t="str">
        <x:v>spain_official_wine</x:v>
      </x:c>
      <x:c r="N499" s="14" t="str">
        <x:v>2026-07-12</x:v>
      </x:c>
      <x:c r="O499" s="14" t="str">
        <x:v>Y</x:v>
      </x:c>
    </x:row>
    <x:row r="500" ht="79.19999694824219" hidden="0" customHeight="1">
      <x:c r="A500" s="14" t="str">
        <x:v>term-a4ea17a12902</x:v>
      </x:c>
      <x:c r="B500" s="14" t="str">
        <x:v>ナパ・ヴァレー</x:v>
      </x:c>
      <x:c r="C500" s="14" t="str">
        <x:v>Napa Valley</x:v>
      </x:c>
      <x:c r="D500" s="14" t="str">
        <x:v>Napa Valley</x:v>
      </x:c>
      <x:c r="E500" s="14" t="str"/>
      <x:c r="F500" s="14" t="str">
        <x:v>産地・地名</x:v>
      </x:c>
      <x:c r="G500" s="14" t="str">
        <x:v>ナパ・ヴァレーは米国のワイン産地または原産地呼称。主要品種はカベルネ・ソーヴィニヨン。土地の希少性、産地ブランド、プレミアムワインへの強い需要。土地・ブランド・需要によるブドウ価格が、単位当たりの生産費、供給量、在庫負担または市場需要を通じてワイン価格へ影響する。</x:v>
      </x:c>
      <x:c r="H500" s="14" t="str">
        <x:v>自然条件：サン・パブロ湾からの霧や風、標高、斜面、土壌の違い。冷却の強さや成熟速度が異なり、果実の熟度、酸、タンニン、香りに差が生じる。主要品種：カベルネ・ソーヴィニヨン。典型的なスタイル：土地の希少性、産地ブランド、プレミアムワインへの強い需要。土地・ブランド・需要によるブドウ価格が、単位当たりの生産費、供給量、在庫負担または市場需要を通じてワイン価格へ影響する。</x:v>
      </x:c>
      <x:c r="I500" s="14" t="str">
        <x:v>米国</x:v>
      </x:c>
      <x:c r="J500" s="14" t="str">
        <x:v>ナパ・ヴァレー</x:v>
      </x:c>
      <x:c r="K500" s="14" t="str">
        <x:v>地理;産地;米国</x:v>
      </x:c>
      <x:c r="L500" s="14" t="str"/>
      <x:c r="M500" s="14" t="str">
        <x:v>usa_official_wine</x:v>
      </x:c>
      <x:c r="N500" s="14" t="str">
        <x:v>2026-07-12</x:v>
      </x:c>
      <x:c r="O500" s="14" t="str">
        <x:v>Y</x:v>
      </x:c>
    </x:row>
    <x:row r="501" ht="66" hidden="0" customHeight="1">
      <x:c r="A501" s="14" t="str">
        <x:v>term-85ee9df585ec</x:v>
      </x:c>
      <x:c r="B501" s="14" t="str">
        <x:v>ナーエ</x:v>
      </x:c>
      <x:c r="C501" s="14" t="str"/>
      <x:c r="D501" s="14" t="str"/>
      <x:c r="E501" s="14" t="str"/>
      <x:c r="F501" s="14" t="str">
        <x:v>産地・地名</x:v>
      </x:c>
      <x:c r="G501" s="14" t="str">
        <x:v>ナーエはドイツのワイン産地または原産地呼称。主要品種はリースリング。狭い地域に火山岩、粘板岩、砂岩など多様な土壌と標高差があるため。地質と斜面の違いが成熟度と香味に幅を与え、繊細な辛口から凝縮した甘口まで造られる。</x:v>
      </x:c>
      <x:c r="H501" s="14" t="str">
        <x:v>自然条件：狭い地域に火山岩、粘板岩、砂岩など多様な土壌と標高差があるため。地質と斜面の違いが成熟度と香味に幅を与え、繊細な辛口から凝縮した甘口まで造られる。主要品種：リースリング。産地内でも標高、方位、土壌、海や河川からの距離によって成熟度と香味の強さが変わる。</x:v>
      </x:c>
      <x:c r="I501" s="14" t="str">
        <x:v>ドイツ</x:v>
      </x:c>
      <x:c r="J501" s="14" t="str">
        <x:v>ナーエ</x:v>
      </x:c>
      <x:c r="K501" s="14" t="str">
        <x:v>地理;産地;ドイツ</x:v>
      </x:c>
      <x:c r="L501" s="14" t="str"/>
      <x:c r="M501" s="14" t="str">
        <x:v>germany_official_regions</x:v>
      </x:c>
      <x:c r="N501" s="14" t="str">
        <x:v>2026-07-12</x:v>
      </x:c>
      <x:c r="O501" s="14" t="str">
        <x:v>Y</x:v>
      </x:c>
    </x:row>
    <x:row r="502" ht="52.79999923706055" hidden="0" customHeight="1">
      <x:c r="A502" s="14" t="str">
        <x:v>term-011dd9e1736b</x:v>
      </x:c>
      <x:c r="B502" s="14" t="str">
        <x:v>ニューヨーク</x:v>
      </x:c>
      <x:c r="C502" s="14" t="str"/>
      <x:c r="D502" s="14" t="str"/>
      <x:c r="E502" s="14" t="str"/>
      <x:c r="F502" s="14" t="str">
        <x:v>産地・地名</x:v>
      </x:c>
      <x:c r="G502" s="14" t="str">
        <x:v>ニューヨークは米国のワイン産地または原産地呼称。主要品種はリースリング。深い湖が冬の厳寒と春秋の急激な気温変化を緩和する。深い湖の熱容量が冬の寒波、春の霜、秋の早い冷え込みを和らげ、生育期間を延ばす。</x:v>
      </x:c>
      <x:c r="H502" s="14" t="str">
        <x:v>自然条件：深い湖が冬の厳寒と春秋の急激な気温変化を緩和する。深い湖の熱容量が冬の寒波、春の霜、秋の早い冷え込みを和らげ、生育期間を延ばす。主要品種：リースリング。産地内でも標高、方位、土壌、海や河川からの距離によって成熟度と香味の強さが変わる。</x:v>
      </x:c>
      <x:c r="I502" s="14" t="str">
        <x:v>米国</x:v>
      </x:c>
      <x:c r="J502" s="14" t="str">
        <x:v>ニューヨーク</x:v>
      </x:c>
      <x:c r="K502" s="14" t="str">
        <x:v>地理;産地;米国</x:v>
      </x:c>
      <x:c r="L502" s="14" t="str"/>
      <x:c r="M502" s="14" t="str">
        <x:v>usa_official_wine</x:v>
      </x:c>
      <x:c r="N502" s="14" t="str">
        <x:v>2026-07-12</x:v>
      </x:c>
      <x:c r="O502" s="14" t="str">
        <x:v>Y</x:v>
      </x:c>
    </x:row>
    <x:row r="503" ht="52.79999923706055" hidden="0" customHeight="1">
      <x:c r="A503" s="14" t="str">
        <x:v>term-45b547e4fec2</x:v>
      </x:c>
      <x:c r="B503" s="14" t="str">
        <x:v>ニーアシュタイン</x:v>
      </x:c>
      <x:c r="C503" s="14" t="str"/>
      <x:c r="D503" s="14" t="str"/>
      <x:c r="E503" s="14" t="str"/>
      <x:c r="F503" s="14" t="str">
        <x:v>産地・地名</x:v>
      </x:c>
      <x:c r="G503" s="14" t="str">
        <x:v>ニーアシュタインはドイツのワイン産地または原産地呼称。主要品種はリースリング。ライン川沿いの急な赤色粘板岩斜面が日射と排水に恵まれるため。急斜面、川の反射熱、排水のよい赤色土壌が成熟と濃度を助ける。</x:v>
      </x:c>
      <x:c r="H503" s="14" t="str">
        <x:v>自然条件：ライン川沿いの急な赤色粘板岩斜面が日射と排水に恵まれるため。急斜面、川の反射熱、排水のよい赤色土壌が成熟と濃度を助ける。主要品種：リースリング。産地内でも標高、方位、土壌、海や河川からの距離によって成熟度と香味の強さが変わる。</x:v>
      </x:c>
      <x:c r="I503" s="14" t="str">
        <x:v>ドイツ</x:v>
      </x:c>
      <x:c r="J503" s="14" t="str">
        <x:v>ニーアシュタイン</x:v>
      </x:c>
      <x:c r="K503" s="14" t="str">
        <x:v>地理;産地;ドイツ</x:v>
      </x:c>
      <x:c r="L503" s="14" t="str"/>
      <x:c r="M503" s="14" t="str">
        <x:v>germany_official_regions</x:v>
      </x:c>
      <x:c r="N503" s="14" t="str">
        <x:v>2026-07-12</x:v>
      </x:c>
      <x:c r="O503" s="14" t="str">
        <x:v>Y</x:v>
      </x:c>
    </x:row>
    <x:row r="504" ht="52.79999923706055" hidden="0" customHeight="1">
      <x:c r="A504" s="14" t="str">
        <x:v>term-d24414079aec</x:v>
      </x:c>
      <x:c r="B504" s="14" t="str">
        <x:v>ネメア</x:v>
      </x:c>
      <x:c r="C504" s="14" t="str"/>
      <x:c r="D504" s="14" t="str"/>
      <x:c r="E504" s="14" t="str"/>
      <x:c r="F504" s="14" t="str">
        <x:v>産地・地名</x:v>
      </x:c>
      <x:c r="G504" s="14" t="str">
        <x:v>ネメアはギリシャのワイン産地または原産地呼称。主要品種はアギオルギティコ、クシノマヴロ、アシルティコ。成熟を緩やかにし、低地より高い酸と引き締まった構造を保つ。</x:v>
      </x:c>
      <x:c r="H504" s="14" t="str">
        <x:v>自然条件：熟した赤・黒系果実、中程度の酸とタンニン、柔らかなスパイスを持つ赤。標高の異なる畑から、軽い果実味中心から樽熟成の濃厚なスタイルまで造られる。主要品種：アギオルギティコ、クシノマヴロ、アシルティコ。典型的なスタイル：成熟を緩やかにし、低地より高い酸と引き締まった構造を保つ。</x:v>
      </x:c>
      <x:c r="I504" s="14" t="str">
        <x:v>ギリシャ</x:v>
      </x:c>
      <x:c r="J504" s="14" t="str">
        <x:v>ネメア</x:v>
      </x:c>
      <x:c r="K504" s="14" t="str">
        <x:v>地理;産地;ギリシャ</x:v>
      </x:c>
      <x:c r="L504" s="14" t="str"/>
      <x:c r="M504" s="14" t="str">
        <x:v>greece_official_wine</x:v>
      </x:c>
      <x:c r="N504" s="14" t="str">
        <x:v>2026-07-12</x:v>
      </x:c>
      <x:c r="O504" s="14" t="str">
        <x:v>Y</x:v>
      </x:c>
    </x:row>
    <x:row r="505" ht="79.19999694824219" hidden="0" customHeight="1">
      <x:c r="A505" s="14" t="str">
        <x:v>term-af7879e09cd4</x:v>
      </x:c>
      <x:c r="B505" s="14" t="str">
        <x:v>ノイジードラーゼー</x:v>
      </x:c>
      <x:c r="C505" s="14" t="str"/>
      <x:c r="D505" s="14" t="str"/>
      <x:c r="E505" s="14" t="str"/>
      <x:c r="F505" s="14" t="str">
        <x:v>産地・地名</x:v>
      </x:c>
      <x:c r="G505" s="14" t="str">
        <x:v>ノイジードラーゼーはオーストリアのワイン産地または原産地呼称。主要品種はヴェルシュリースリングほか。浅い湖と湿地が秋の朝に湿度を与え、暖かく乾燥した午後が果実を濃縮するため。湖による霧がボトリティスの発生を促し、その後の乾燥した条件が水分蒸発と糖の濃縮を助ける。</x:v>
      </x:c>
      <x:c r="H505" s="14" t="str">
        <x:v>自然条件：浅い湖と湿地が秋の朝に湿度を与え、暖かく乾燥した午後が果実を濃縮するため。湖による霧がボトリティスの発生を促し、その後の乾燥した条件が水分蒸発と糖の濃縮を助ける。主要品種：ヴェルシュリースリングほか。</x:v>
      </x:c>
      <x:c r="I505" s="14" t="str">
        <x:v>オーストリア</x:v>
      </x:c>
      <x:c r="J505" s="14" t="str">
        <x:v>ノイジードラーゼー</x:v>
      </x:c>
      <x:c r="K505" s="14" t="str">
        <x:v>地理;産地;オーストリア</x:v>
      </x:c>
      <x:c r="L505" s="14" t="str"/>
      <x:c r="M505" s="14" t="str">
        <x:v>austria_official_wine</x:v>
      </x:c>
      <x:c r="N505" s="14" t="str">
        <x:v>2026-07-12</x:v>
      </x:c>
      <x:c r="O505" s="14" t="str">
        <x:v>Y</x:v>
      </x:c>
    </x:row>
    <x:row r="506" ht="52.79999923706055" hidden="0" customHeight="1">
      <x:c r="A506" s="14" t="str">
        <x:v>term-07239b3b7735</x:v>
      </x:c>
      <x:c r="B506" s="14" t="str">
        <x:v>ハウエル・マウンテン</x:v>
      </x:c>
      <x:c r="C506" s="14" t="str"/>
      <x:c r="D506" s="14" t="str"/>
      <x:c r="E506" s="14" t="str"/>
      <x:c r="F506" s="14" t="str">
        <x:v>産地・地名</x:v>
      </x:c>
      <x:c r="G506" s="14" t="str">
        <x:v>ハウエル・マウンテンはナパ・ヴァレー東側の山地AVA。痩せた火山性土壌と高標高が小粒果を生み、カベルネに高い酸、タンニン、濃い黒系果実を与える。</x:v>
      </x:c>
      <x:c r="H506" s="14" t="str">
        <x:v>谷床より標高が高く霧の上に出やすいため日照時間が長い一方、夜は冷え、酸を保ちやすい。水はけがよく肥沃度の低い火山性土壌では樹勢と収量が抑えられ、小粒果の高い果皮比率から、黒系果実、ハーブ、強いタンニンを持つ長期熟成型カベルネが生まれる。</x:v>
      </x:c>
      <x:c r="I506" s="14" t="str">
        <x:v>米国</x:v>
      </x:c>
      <x:c r="J506" s="14" t="str">
        <x:v>ハウエル・マウンテン</x:v>
      </x:c>
      <x:c r="K506" s="14" t="str">
        <x:v>地理;産地;米国</x:v>
      </x:c>
      <x:c r="L506" s="14" t="str"/>
      <x:c r="M506" s="14" t="str">
        <x:v>usa_official_wine</x:v>
      </x:c>
      <x:c r="N506" s="14" t="str">
        <x:v>2026-07-12</x:v>
      </x:c>
      <x:c r="O506" s="14" t="str">
        <x:v>Y</x:v>
      </x:c>
    </x:row>
    <x:row r="507" ht="66" hidden="0" customHeight="1">
      <x:c r="A507" s="14" t="str">
        <x:v>term-28f7f2cb93f6</x:v>
      </x:c>
      <x:c r="B507" s="14" t="str">
        <x:v>ハンター・ヴァレー</x:v>
      </x:c>
      <x:c r="C507" s="14" t="str"/>
      <x:c r="D507" s="14" t="str"/>
      <x:c r="E507" s="14" t="str"/>
      <x:c r="F507" s="14" t="str">
        <x:v>産地・地名</x:v>
      </x:c>
      <x:c r="G507" s="14" t="str">
        <x:v>ハンター・ヴァレーはオーストラリアのワイン産地または原産地呼称。主要品種はセミヨン、シャルドネ。Hunter Semillonは早摘み・低アルコール、Margaret River Chardonnayは熟した果実と樽の複雑性。</x:v>
      </x:c>
      <x:c r="H507" s="14" t="str">
        <x:v>自然条件：低めのアルコール、高い酸、軽いボディで、瓶熟成によりトーストや蜂蜜の香りが発達する。若いうちは軽快で中立的だが、瓶熟成でトーストや蜂蜜のような複雑性が生じる。主要品種：セミヨン、シャルドネ。典型的なスタイル：Hunter Semillonは早摘み・低アルコール、Margaret River Chardonnayは熟した果実と樽の複雑性。</x:v>
      </x:c>
      <x:c r="I507" s="14" t="str">
        <x:v>オーストラリア</x:v>
      </x:c>
      <x:c r="J507" s="14" t="str">
        <x:v>ハンター・ヴァレー</x:v>
      </x:c>
      <x:c r="K507" s="14" t="str">
        <x:v>地理;産地;オーストラリア</x:v>
      </x:c>
      <x:c r="L507" s="14" t="str"/>
      <x:c r="M507" s="14" t="str">
        <x:v>australia_official_wine</x:v>
      </x:c>
      <x:c r="N507" s="14" t="str">
        <x:v>2026-07-12</x:v>
      </x:c>
      <x:c r="O507" s="14" t="str">
        <x:v>Y</x:v>
      </x:c>
    </x:row>
    <x:row r="508" ht="52.79999923706055" hidden="0" customHeight="1">
      <x:c r="A508" s="14" t="str">
        <x:v>term-e6183b22ed46</x:v>
      </x:c>
      <x:c r="B508" s="14" t="str">
        <x:v>バイショ・コルゴ</x:v>
      </x:c>
      <x:c r="C508" s="14" t="str"/>
      <x:c r="D508" s="14" t="str"/>
      <x:c r="E508" s="14" t="str"/>
      <x:c r="F508" s="14" t="str">
        <x:v>産地・地名</x:v>
      </x:c>
      <x:c r="G508" s="14" t="str">
        <x:v>バイショ・コルゴはポルトガルのワイン産地または原産地呼称。西側で降水量が多く、土壌と樹勢が比較的豊かだから。水分供給が多く樹が成長しやすい一方、腐敗や希釈のリスクも高い。</x:v>
      </x:c>
      <x:c r="H508" s="14" t="str">
        <x:v>自然条件：バイショ・コルゴはより西で湿潤、ドウロ・スペリオールはより東で暑く乾燥する。典型的なスタイル：西側で降水量が多く、土壌と樹勢が比較的豊かだから。水分供給が多く樹が成長しやすい一方、腐敗や希釈のリスクも高い。</x:v>
      </x:c>
      <x:c r="I508" s="14" t="str">
        <x:v>ポルトガル</x:v>
      </x:c>
      <x:c r="J508" s="14" t="str">
        <x:v>バイショ・コルゴ</x:v>
      </x:c>
      <x:c r="K508" s="14" t="str">
        <x:v>地理;産地;ポルトガル</x:v>
      </x:c>
      <x:c r="L508" s="14" t="str"/>
      <x:c r="M508" s="14" t="str">
        <x:v>portugal_official_wine</x:v>
      </x:c>
      <x:c r="N508" s="14" t="str">
        <x:v>2026-07-12</x:v>
      </x:c>
      <x:c r="O508" s="14" t="str">
        <x:v>Y</x:v>
      </x:c>
    </x:row>
    <x:row r="509" ht="66" hidden="0" customHeight="1">
      <x:c r="A509" s="14" t="str">
        <x:v>term-48370ae47cf2</x:v>
      </x:c>
      <x:c r="B509" s="14" t="str">
        <x:v>バイラーダ</x:v>
      </x:c>
      <x:c r="C509" s="14" t="str"/>
      <x:c r="D509" s="14" t="str"/>
      <x:c r="E509" s="14" t="str"/>
      <x:c r="F509" s="14" t="str">
        <x:v>産地・地名</x:v>
      </x:c>
      <x:c r="G509" s="14" t="str">
        <x:v>バイラーダはポルトガルのワイン産地または原産地呼称。主要品種はバガ。高い酸とタンニン、赤・黒系果実を持ち、熟成力が高い。Bagaの高酸・高タンニン・熟成力を正しく示しており、品種の酸、タンニン、芳香、果皮または成熟特性がワインのスタイルを形作る。</x:v>
      </x:c>
      <x:c r="H509" s="14" t="str">
        <x:v>自然条件：海洋性の冷涼な気候で高い酸を保ち、厚い果皮から高いタンニンを得るため。バガは晩熟で色とタンニンが高く、適切に成熟すると赤系果実と土の複雑性を持つ構造的な赤になる。主要品種：バガ。典型的なスタイル：高い酸とタンニン、赤・黒系果実を持ち、熟成力が高い。Bagaの高酸・高タンニン・熟成力を正しく示しており、品種の酸、タンニン、芳香、果皮または成熟特性がワインのスタイルを形作る。</x:v>
      </x:c>
      <x:c r="I509" s="14" t="str">
        <x:v>ポルトガル</x:v>
      </x:c>
      <x:c r="J509" s="14" t="str">
        <x:v>バイラーダ</x:v>
      </x:c>
      <x:c r="K509" s="14" t="str">
        <x:v>地理;産地;ポルトガル</x:v>
      </x:c>
      <x:c r="L509" s="14" t="str"/>
      <x:c r="M509" s="14" t="str">
        <x:v>portugal_official_wine</x:v>
      </x:c>
      <x:c r="N509" s="14" t="str">
        <x:v>2026-07-12</x:v>
      </x:c>
      <x:c r="O509" s="14" t="str">
        <x:v>Y</x:v>
      </x:c>
    </x:row>
    <x:row r="510" ht="66" hidden="0" customHeight="1">
      <x:c r="A510" s="14" t="str">
        <x:v>term-3bf4da24496b</x:v>
      </x:c>
      <x:c r="B510" s="14" t="str">
        <x:v>バルサック</x:v>
      </x:c>
      <x:c r="C510" s="14" t="str"/>
      <x:c r="D510" s="14" t="str"/>
      <x:c r="E510" s="14" t="str"/>
      <x:c r="F510" s="14" t="str">
        <x:v>産地・地名</x:v>
      </x:c>
      <x:c r="G510" s="14" t="str">
        <x:v>バルサックはフランスのワイン産地または原産地呼称。主要品種はセミヨン、ソーヴィニヨン・ブラン。石灰岩を含む土壌と比較的冷涼なメソ気候が、酸と繊細さを保ちやすいため。ソーテルヌと同じ貴腐条件を持ちながら、より引き締まったスタイルになりやすい。</x:v>
      </x:c>
      <x:c r="H510" s="14" t="str">
        <x:v>自然条件：石灰岩を含む土壌と比較的冷涼なメソ気候が、酸と繊細さを保ちやすいため。ソーテルヌと同じ貴腐条件を持ちながら、より引き締まったスタイルになりやすい。主要品種：セミヨン、ソーヴィニヨン・ブラン。産地内でも標高、方位、土壌、海や河川からの距離によって成熟度と香味の強さが変わる。</x:v>
      </x:c>
      <x:c r="I510" s="14" t="str">
        <x:v>フランス</x:v>
      </x:c>
      <x:c r="J510" s="14" t="str">
        <x:v>バルサック</x:v>
      </x:c>
      <x:c r="K510" s="14" t="str">
        <x:v>地理;産地;フランス</x:v>
      </x:c>
      <x:c r="L510" s="14" t="str"/>
      <x:c r="M510" s="14" t="str">
        <x:v>bordeaux_official_grapes</x:v>
      </x:c>
      <x:c r="N510" s="14" t="str">
        <x:v>2026-07-12</x:v>
      </x:c>
      <x:c r="O510" s="14" t="str">
        <x:v>Y</x:v>
      </x:c>
    </x:row>
    <x:row r="511" ht="66" hidden="0" customHeight="1">
      <x:c r="A511" s="14" t="str">
        <x:v>term-743976fb3177</x:v>
      </x:c>
      <x:c r="B511" s="14" t="str">
        <x:v>バルデペーニャス</x:v>
      </x:c>
      <x:c r="C511" s="14" t="str"/>
      <x:c r="D511" s="14" t="str"/>
      <x:c r="E511" s="14" t="str"/>
      <x:c r="F511" s="14" t="str">
        <x:v>産地・地名</x:v>
      </x:c>
      <x:c r="G511" s="14" t="str">
        <x:v>バルデペーニャスはスペインのワイン産地または原産地呼称。主要品種はテンプラニーリョ。熟した赤系果実、中程度の酸とタンニンを持つ、比較的手頃な辛口赤。暑く乾燥した内陸気候で成熟し、近代的な温度管理により果実味中心のスタイルを造れる。</x:v>
      </x:c>
      <x:c r="H511" s="14" t="str">
        <x:v>自然条件：熟した赤系果実、中程度の酸とタンニンを持つ、比較的手頃な辛口赤。暑く乾燥した内陸気候で成熟し、近代的な温度管理により果実味中心のスタイルを造れる。主要品種：テンプラニーリョ。産地内でも標高、方位、土壌、海や河川からの距離によって成熟度と香味の強さが変わる。</x:v>
      </x:c>
      <x:c r="I511" s="14" t="str">
        <x:v>スペイン</x:v>
      </x:c>
      <x:c r="J511" s="14" t="str">
        <x:v>バルデペーニャス</x:v>
      </x:c>
      <x:c r="K511" s="14" t="str">
        <x:v>地理;産地;スペイン</x:v>
      </x:c>
      <x:c r="L511" s="14" t="str"/>
      <x:c r="M511" s="14" t="str">
        <x:v>spain_official_wine</x:v>
      </x:c>
      <x:c r="N511" s="14" t="str">
        <x:v>2026-07-12</x:v>
      </x:c>
      <x:c r="O511" s="14" t="str">
        <x:v>Y</x:v>
      </x:c>
    </x:row>
    <x:row r="512" ht="52.79999923706055" hidden="0" customHeight="1">
      <x:c r="A512" s="14" t="str">
        <x:v>term-ed08e85e28f2</x:v>
      </x:c>
      <x:c r="B512" s="14" t="str">
        <x:v>バルバレスコ</x:v>
      </x:c>
      <x:c r="C512" s="14" t="str"/>
      <x:c r="D512" s="14" t="str"/>
      <x:c r="E512" s="14" t="str"/>
      <x:c r="F512" s="14" t="str">
        <x:v>産地・地名</x:v>
      </x:c>
      <x:c r="G512" s="14" t="str">
        <x:v>バルバレスコはイタリアのワイン産地または原産地呼称。主要品種はネッビオーロ。Baroloは一般により力強く長熟、Barbarescoはやや早く飲み頃になりやすい。</x:v>
      </x:c>
      <x:c r="H512" s="14" t="str">
        <x:v>自然条件：標高がやや低く温暖な畑が多く、ネッビオーロが早めに成熟し、タンニンがやや穏やかになりやすい。より温和な条件で成熟が進み、同じネッビオーロでも比較的早く開きやすい。主要品種：ネッビオーロ。典型的なスタイル：Baroloは一般により力強く長熟、Barbarescoはやや早く飲み頃になりやすい。</x:v>
      </x:c>
      <x:c r="I512" s="14" t="str">
        <x:v>イタリア</x:v>
      </x:c>
      <x:c r="J512" s="14" t="str">
        <x:v>バルバレスコ</x:v>
      </x:c>
      <x:c r="K512" s="14" t="str">
        <x:v>地理;産地;イタリア</x:v>
      </x:c>
      <x:c r="L512" s="14" t="str"/>
      <x:c r="M512" s="14" t="str">
        <x:v>italy_official_wine</x:v>
      </x:c>
      <x:c r="N512" s="14" t="str">
        <x:v>2026-07-12</x:v>
      </x:c>
      <x:c r="O512" s="14" t="str">
        <x:v>Y</x:v>
      </x:c>
    </x:row>
    <x:row r="513" ht="52.79999923706055" hidden="0" customHeight="1">
      <x:c r="A513" s="14" t="str">
        <x:v>term-e28c1d648b72</x:v>
      </x:c>
      <x:c r="B513" s="14" t="str">
        <x:v>バロッサ・ヴァレー</x:v>
      </x:c>
      <x:c r="C513" s="14" t="str">
        <x:v>Barossa Valley</x:v>
      </x:c>
      <x:c r="D513" s="14" t="str">
        <x:v>Barossa Valley</x:v>
      </x:c>
      <x:c r="E513" s="14" t="str"/>
      <x:c r="F513" s="14" t="str">
        <x:v>産地・地名</x:v>
      </x:c>
      <x:c r="G513" s="14" t="str">
        <x:v>バロッサ・ヴァレーはオーストラリアのワイン産地または原産地呼称。主要品種はシラーズ、リースリング、カベルネ・ソーヴィニヨン。フルボディ、高いアルコール、熟した黒系果実、甘いスパイス。</x:v>
      </x:c>
      <x:c r="H513" s="14" t="str">
        <x:v>自然条件：Margaret Riverは海洋性のカベルネ、Barossaは温暖で濃厚なシラーズが代表的。主要品種：シラーズ、リースリング、カベルネ・ソーヴィニヨン。典型的なスタイル：フルボディ、高いアルコール、熟した黒系果実、甘いスパイス。</x:v>
      </x:c>
      <x:c r="I513" s="14" t="str">
        <x:v>オーストラリア</x:v>
      </x:c>
      <x:c r="J513" s="14" t="str">
        <x:v>バロッサ・ヴァレー</x:v>
      </x:c>
      <x:c r="K513" s="14" t="str">
        <x:v>地理;産地;オーストラリア</x:v>
      </x:c>
      <x:c r="L513" s="14" t="str"/>
      <x:c r="M513" s="14" t="str">
        <x:v>australia_official_wine</x:v>
      </x:c>
      <x:c r="N513" s="14" t="str">
        <x:v>2026-07-12</x:v>
      </x:c>
      <x:c r="O513" s="14" t="str">
        <x:v>Y</x:v>
      </x:c>
    </x:row>
    <x:row r="514" ht="52.79999923706055" hidden="0" customHeight="1">
      <x:c r="A514" s="14" t="str">
        <x:v>term-d8c2804dfb04</x:v>
      </x:c>
      <x:c r="B514" s="14" t="str">
        <x:v>バローロ</x:v>
      </x:c>
      <x:c r="C514" s="14" t="str"/>
      <x:c r="D514" s="14" t="str"/>
      <x:c r="E514" s="14" t="str"/>
      <x:c r="F514" s="14" t="str">
        <x:v>産地・地名</x:v>
      </x:c>
      <x:c r="G514" s="14" t="str">
        <x:v>バローロはイタリアのワイン産地または原産地呼称。主要品種はネッビオーロ。Baroloは一般により力強く長熟、Barbarescoはやや早く飲み頃になりやすい。</x:v>
      </x:c>
      <x:c r="H514" s="14" t="str">
        <x:v>自然条件：晩熟で、糖、香り、タンニンの成熟に十分な時間を要するから。長い秋と日当たりのよい斜面が、酸を保ちながらフェノール類の成熟を進める。主要品種：ネッビオーロ。典型的なスタイル：Baroloは一般により力強く長熟、Barbarescoはやや早く飲み頃になりやすい。</x:v>
      </x:c>
      <x:c r="I514" s="14" t="str">
        <x:v>イタリア</x:v>
      </x:c>
      <x:c r="J514" s="14" t="str">
        <x:v>バローロ</x:v>
      </x:c>
      <x:c r="K514" s="14" t="str">
        <x:v>地理;産地;イタリア</x:v>
      </x:c>
      <x:c r="L514" s="14" t="str"/>
      <x:c r="M514" s="14" t="str">
        <x:v>italy_official_wine</x:v>
      </x:c>
      <x:c r="N514" s="14" t="str">
        <x:v>2026-07-12</x:v>
      </x:c>
      <x:c r="O514" s="14" t="str">
        <x:v>Y</x:v>
      </x:c>
    </x:row>
    <x:row r="515" ht="79.19999694824219" hidden="0" customHeight="1">
      <x:c r="A515" s="14" t="str">
        <x:v>term-4f871df22908</x:v>
      </x:c>
      <x:c r="B515" s="14" t="str">
        <x:v>バンドール</x:v>
      </x:c>
      <x:c r="C515" s="14" t="str"/>
      <x:c r="D515" s="14" t="str"/>
      <x:c r="E515" s="14" t="str"/>
      <x:c r="F515" s="14" t="str">
        <x:v>産地・地名</x:v>
      </x:c>
      <x:c r="G515" s="14" t="str">
        <x:v>バンドールはフランスのワイン産地または原産地呼称。主要品種はムールヴェードル。温暖で日照の多い地中海性気候が、晩熟な品種を十分に成熟させる。ムールヴェードルは晩熟で高い熱量を必要とし、バンドールの暖かく乾燥した条件で、濃い果実味、高いタンニン、熟成能力を得やすい。</x:v>
      </x:c>
      <x:c r="H515" s="14" t="str">
        <x:v>自然条件：温暖で日照の多い地中海性気候が、晩熟な品種を十分に成熟させる。ムールヴェードルは晩熟で高い熱量を必要とし、バンドールの暖かく乾燥した条件で、濃い果実味、高いタンニン、熟成能力を得やすい。主要品種：ムールヴェードル。</x:v>
      </x:c>
      <x:c r="I515" s="14" t="str">
        <x:v>フランス</x:v>
      </x:c>
      <x:c r="J515" s="14" t="str">
        <x:v>バンドール</x:v>
      </x:c>
      <x:c r="K515" s="14" t="str">
        <x:v>地理;産地;フランス</x:v>
      </x:c>
      <x:c r="L515" s="14" t="str"/>
      <x:c r="M515" s="14" t="str">
        <x:v>provence_official_terroir</x:v>
      </x:c>
      <x:c r="N515" s="14" t="str">
        <x:v>2026-07-12</x:v>
      </x:c>
      <x:c r="O515" s="14" t="str">
        <x:v>Y</x:v>
      </x:c>
    </x:row>
    <x:row r="516" ht="66" hidden="0" customHeight="1">
      <x:c r="A516" s="14" t="str">
        <x:v>term-289a821acd5b</x:v>
      </x:c>
      <x:c r="B516" s="14" t="str">
        <x:v>バーデン</x:v>
      </x:c>
      <x:c r="C516" s="14" t="str"/>
      <x:c r="D516" s="14" t="str"/>
      <x:c r="E516" s="14" t="str"/>
      <x:c r="F516" s="14" t="str">
        <x:v>産地・地名</x:v>
      </x:c>
      <x:c r="G516" s="14" t="str">
        <x:v>バーデンはドイツのワイン産地または原産地呼称。主要品種はシュペートブルグンダー。ドイツの中でも温暖で日照が多く、黒ブドウが十分に成熟しやすい。南西部の温暖な気候がピノ・ノワールの色、果実味、アルコールを高め、樽熟成に適するワインを生む。</x:v>
      </x:c>
      <x:c r="H516" s="14" t="str">
        <x:v>自然条件：ドイツの中でも温暖で日照が多く、黒ブドウが十分に成熟しやすい。南西部の温暖な気候がピノ・ノワールの色、果実味、アルコールを高め、樽熟成に適するワインを生む。主要品種：シュペートブルグンダー。産地内でも標高、方位、土壌、海や河川からの距離によって成熟度と香味の強さが変わる。</x:v>
      </x:c>
      <x:c r="I516" s="14" t="str">
        <x:v>ドイツ</x:v>
      </x:c>
      <x:c r="J516" s="14" t="str">
        <x:v>バーデン</x:v>
      </x:c>
      <x:c r="K516" s="14" t="str">
        <x:v>地理;産地;ドイツ</x:v>
      </x:c>
      <x:c r="L516" s="14" t="str"/>
      <x:c r="M516" s="14" t="str">
        <x:v>germany_official_regions</x:v>
      </x:c>
      <x:c r="N516" s="14" t="str">
        <x:v>2026-07-12</x:v>
      </x:c>
      <x:c r="O516" s="14" t="str">
        <x:v>Y</x:v>
      </x:c>
    </x:row>
    <x:row r="517" ht="66" hidden="0" customHeight="1">
      <x:c r="A517" s="14" t="str">
        <x:v>term-189fe191fdb6</x:v>
      </x:c>
      <x:c r="B517" s="14" t="str">
        <x:v>パソ・ロブレス</x:v>
      </x:c>
      <x:c r="C517" s="14" t="str"/>
      <x:c r="D517" s="14" t="str"/>
      <x:c r="E517" s="14" t="str"/>
      <x:c r="F517" s="14" t="str">
        <x:v>産地・地名</x:v>
      </x:c>
      <x:c r="G517" s="14" t="str">
        <x:v>パソ・ロブレスは米国のワイン産地または原産地呼称。主要品種はカベルネ・ソーヴィニヨン、シラー、ジンファンデル。暑い日中と、海風や大きな日較差による涼しい夜。内陸の暖かさが糖と風味を成熟させる一方、西側からの冷気と夜間の冷却が酸の減少を緩やかにする。</x:v>
      </x:c>
      <x:c r="H517" s="14" t="str">
        <x:v>自然条件：暑い日中と、海風や大きな日較差による涼しい夜。内陸の暖かさが糖と風味を成熟させる一方、西側からの冷気と夜間の冷却が酸の減少を緩やかにする。主要品種：カベルネ・ソーヴィニヨン、シラー、ジンファンデル。産地内でも標高、方位、土壌、海や河川からの距離によって成熟度と香味の強さが変わる。</x:v>
      </x:c>
      <x:c r="I517" s="14" t="str">
        <x:v>米国</x:v>
      </x:c>
      <x:c r="J517" s="14" t="str">
        <x:v>パソ・ロブレス</x:v>
      </x:c>
      <x:c r="K517" s="14" t="str">
        <x:v>地理;産地;米国</x:v>
      </x:c>
      <x:c r="L517" s="14" t="str"/>
      <x:c r="M517" s="14" t="str">
        <x:v>usa_official_wine</x:v>
      </x:c>
      <x:c r="N517" s="14" t="str">
        <x:v>2026-07-12</x:v>
      </x:c>
      <x:c r="O517" s="14" t="str">
        <x:v>Y</x:v>
      </x:c>
    </x:row>
    <x:row r="518" ht="52.79999923706055" hidden="0" customHeight="1">
      <x:c r="A518" s="14" t="str">
        <x:v>term-5a9d6eca93b1</x:v>
      </x:c>
      <x:c r="B518" s="14" t="str">
        <x:v>パタゴニア</x:v>
      </x:c>
      <x:c r="C518" s="14" t="str"/>
      <x:c r="D518" s="14" t="str"/>
      <x:c r="E518" s="14" t="str"/>
      <x:c r="F518" s="14" t="str">
        <x:v>産地・地名</x:v>
      </x:c>
      <x:c r="G518" s="14" t="str">
        <x:v>パタゴニアはアルゼンチンのワイン産地または原産地呼称。主要品種はピノ・ノワール、シャルドネ。高緯度、強い風、冷涼な夜が成熟を緩やかにするから。</x:v>
      </x:c>
      <x:c r="H518" s="14" t="str">
        <x:v>自然条件：南緯が高く、乾燥した気候と強い風、涼しい夜が成熟を緩やかにする。主要品種：ピノ・ノワール、シャルドネ。典型的なスタイル：高緯度、強い風、冷涼な夜が成熟を緩やかにするから。産地内でも標高、方位、土壌、海や河川からの距離によって成熟度と香味の強さが変わる。</x:v>
      </x:c>
      <x:c r="I518" s="14" t="str">
        <x:v>アルゼンチン</x:v>
      </x:c>
      <x:c r="J518" s="14" t="str">
        <x:v>パタゴニア</x:v>
      </x:c>
      <x:c r="K518" s="14" t="str">
        <x:v>地理;産地;アルゼンチン</x:v>
      </x:c>
      <x:c r="L518" s="14" t="str"/>
      <x:c r="M518" s="14" t="str">
        <x:v>argentina_official_wine</x:v>
      </x:c>
      <x:c r="N518" s="14" t="str">
        <x:v>2026-07-12</x:v>
      </x:c>
      <x:c r="O518" s="14" t="str">
        <x:v>Y</x:v>
      </x:c>
    </x:row>
    <x:row r="519" ht="66" hidden="0" customHeight="1">
      <x:c r="A519" s="14" t="str">
        <x:v>term-2e028b2c4062</x:v>
      </x:c>
      <x:c r="B519" s="14" t="str">
        <x:v>パール</x:v>
      </x:c>
      <x:c r="C519" s="14" t="str"/>
      <x:c r="D519" s="14" t="str"/>
      <x:c r="E519" s="14" t="str"/>
      <x:c r="F519" s="14" t="str">
        <x:v>産地・地名</x:v>
      </x:c>
      <x:c r="G519" s="14" t="str">
        <x:v>パールは南アフリカのワイン産地または原産地呼称。主要品種はシラー、カベルネ・ソーヴィニヨン。内陸で海洋の冷却が弱く、夏の日中がより暑い。温暖な気候でシラーやカベルネが高い糖度まで成熟し、豊かな果実味と高いアルコールを得やすい。</x:v>
      </x:c>
      <x:c r="H519" s="14" t="str">
        <x:v>自然条件：内陸で海洋の冷却が弱く、夏の日中がより暑い。温暖な気候でシラーやカベルネが高い糖度まで成熟し、豊かな果実味と高いアルコールを得やすい。主要品種：シラー、カベルネ・ソーヴィニヨン。産地内でも標高、方位、土壌、海や河川からの距離によって成熟度と香味の強さが変わる。</x:v>
      </x:c>
      <x:c r="I519" s="14" t="str">
        <x:v>南アフリカ</x:v>
      </x:c>
      <x:c r="J519" s="14" t="str">
        <x:v>パール</x:v>
      </x:c>
      <x:c r="K519" s="14" t="str">
        <x:v>地理;産地;南アフリカ</x:v>
      </x:c>
      <x:c r="L519" s="14" t="str"/>
      <x:c r="M519" s="14" t="str">
        <x:v>south_africa_official_wine</x:v>
      </x:c>
      <x:c r="N519" s="14" t="str">
        <x:v>2026-07-12</x:v>
      </x:c>
      <x:c r="O519" s="14" t="str">
        <x:v>Y</x:v>
      </x:c>
    </x:row>
    <x:row r="520" ht="52.79999923706055" hidden="0" customHeight="1">
      <x:c r="A520" s="14" t="str">
        <x:v>term-560dd653bf12</x:v>
      </x:c>
      <x:c r="B520" s="14" t="str">
        <x:v>ビエルソ</x:v>
      </x:c>
      <x:c r="C520" s="14" t="str"/>
      <x:c r="D520" s="14" t="str"/>
      <x:c r="E520" s="14" t="str"/>
      <x:c r="F520" s="14" t="str">
        <x:v>産地・地名</x:v>
      </x:c>
      <x:c r="G520" s="14" t="str">
        <x:v>ビエルソはスペインのワイン産地または原産地呼称。主要品種はメンシア。北西スペインの比較的冷涼な気候と高い斜面に古木が多いため。大西洋の影響と標高が成熟を緩やかにし、古木の低収量が赤系果実と花の濃度を高める。</x:v>
      </x:c>
      <x:c r="H520" s="14" t="str">
        <x:v>自然条件：北西スペインの比較的冷涼な気候と高い斜面に古木が多いため。大西洋の影響と標高が成熟を緩やかにし、古木の低収量が赤系果実と花の濃度を高める。主要品種：メンシア。産地内でも標高、方位、土壌、海や河川からの距離によって成熟度と香味の強さが変わる。</x:v>
      </x:c>
      <x:c r="I520" s="14" t="str">
        <x:v>スペイン</x:v>
      </x:c>
      <x:c r="J520" s="14" t="str">
        <x:v>ビエルソ</x:v>
      </x:c>
      <x:c r="K520" s="14" t="str">
        <x:v>地理;産地;スペイン</x:v>
      </x:c>
      <x:c r="L520" s="14" t="str"/>
      <x:c r="M520" s="14" t="str">
        <x:v>spain_official_wine</x:v>
      </x:c>
      <x:c r="N520" s="14" t="str">
        <x:v>2026-07-12</x:v>
      </x:c>
      <x:c r="O520" s="14" t="str">
        <x:v>Y</x:v>
      </x:c>
    </x:row>
    <x:row r="521" ht="52.79999923706055" hidden="0" customHeight="1">
      <x:c r="A521" s="14" t="str">
        <x:v>term-3817f5c9d038</x:v>
      </x:c>
      <x:c r="B521" s="14" t="str">
        <x:v>ビオ・ビオ</x:v>
      </x:c>
      <x:c r="C521" s="14" t="str"/>
      <x:c r="D521" s="14" t="str"/>
      <x:c r="E521" s="14" t="str"/>
      <x:c r="F521" s="14" t="str">
        <x:v>産地・地名</x:v>
      </x:c>
      <x:c r="G521" s="14" t="str">
        <x:v>ビオ・ビオはチリのワイン産地または原産地呼称。主要品種はパイス、サンソー、モスカテル。南に位置し海洋の影響が強く、気温が低いため。高緯度と海風・降雨により成熟が緩やかで、酸と軽い果実味を保つ。</x:v>
      </x:c>
      <x:c r="H521" s="14" t="str">
        <x:v>自然条件：南に位置し海洋の影響が強く、気温が低いため。高緯度と海風・降雨により成熟が緩やかで、酸と軽い果実味を保つ。主要品種：パイス、サンソー、モスカテル。産地内でも標高、方位、土壌、海や河川からの距離によって成熟度と香味の強さが変わる。</x:v>
      </x:c>
      <x:c r="I521" s="14" t="str">
        <x:v>チリ</x:v>
      </x:c>
      <x:c r="J521" s="14" t="str">
        <x:v>ビオ・ビオ</x:v>
      </x:c>
      <x:c r="K521" s="14" t="str">
        <x:v>地理;産地;チリ</x:v>
      </x:c>
      <x:c r="L521" s="14" t="str"/>
      <x:c r="M521" s="14" t="str">
        <x:v>chile_official_wine</x:v>
      </x:c>
      <x:c r="N521" s="14" t="str">
        <x:v>2026-07-12</x:v>
      </x:c>
      <x:c r="O521" s="14" t="str">
        <x:v>Y</x:v>
      </x:c>
    </x:row>
    <x:row r="522" ht="52.79999923706055" hidden="0" customHeight="1">
      <x:c r="A522" s="14" t="str">
        <x:v>term-d70646472489</x:v>
      </x:c>
      <x:c r="B522" s="14" t="str">
        <x:v>ピエモンテ</x:v>
      </x:c>
      <x:c r="C522" s="14" t="str">
        <x:v>Piedmont</x:v>
      </x:c>
      <x:c r="D522" s="14" t="str">
        <x:v>Piemonte</x:v>
      </x:c>
      <x:c r="E522" s="14" t="str"/>
      <x:c r="F522" s="14" t="str">
        <x:v>産地・地名</x:v>
      </x:c>
      <x:c r="G522" s="14" t="str">
        <x:v>ピエモンテはイタリアのワイン産地または原産地呼称。主要品種はモスカート・ビアンコ。瓶内圧力とアルコールが低く、より軽く微発泡である。発酵を早めに止めるため、残糖が高くアルコールが低いまま、穏やかな泡を持つ。</x:v>
      </x:c>
      <x:c r="H522" s="14" t="str">
        <x:v>自然条件：瓶内圧力とアルコールが低く、より軽く微発泡である。発酵を早めに止めるため、残糖が高くアルコールが低いまま、穏やかな泡を持つ。主要品種：モスカート・ビアンコ。産地内でも標高、方位、土壌、海や河川からの距離によって成熟度と香味の強さが変わる。</x:v>
      </x:c>
      <x:c r="I522" s="14" t="str">
        <x:v>イタリア</x:v>
      </x:c>
      <x:c r="J522" s="14" t="str">
        <x:v>ピエモンテ</x:v>
      </x:c>
      <x:c r="K522" s="14" t="str">
        <x:v>地理;産地;イタリア</x:v>
      </x:c>
      <x:c r="L522" s="14" t="str"/>
      <x:c r="M522" s="14" t="str">
        <x:v>italy_official_wine</x:v>
      </x:c>
      <x:c r="N522" s="14" t="str">
        <x:v>2026-07-12</x:v>
      </x:c>
      <x:c r="O522" s="14" t="str">
        <x:v>Y</x:v>
      </x:c>
    </x:row>
    <x:row r="523" ht="66" hidden="0" customHeight="1">
      <x:c r="A523" s="14" t="str">
        <x:v>term-15ae98b67e9b</x:v>
      </x:c>
      <x:c r="B523" s="14" t="str">
        <x:v>ピクプール・ド・ピネ</x:v>
      </x:c>
      <x:c r="C523" s="14" t="str"/>
      <x:c r="D523" s="14" t="str"/>
      <x:c r="E523" s="14" t="str"/>
      <x:c r="F523" s="14" t="str">
        <x:v>産地・地名</x:v>
      </x:c>
      <x:c r="G523" s="14" t="str">
        <x:v>ピクプール・ド・ピネはフランスのワイン産地または原産地呼称。主要品種はピクプール。高い酸、軽いボディ、レモンと青リンゴを持つ辛口白。地中海沿岸の海風の影響を受け、酸を保つピクプールから魚介向きの爽やかな白を造る。</x:v>
      </x:c>
      <x:c r="H523" s="14" t="str">
        <x:v>自然条件：高い酸、軽いボディ、レモンと青リンゴを持つ辛口白。地中海沿岸の海風の影響を受け、酸を保つピクプールから魚介向きの爽やかな白を造る。主要品種：ピクプール。産地内でも標高、方位、土壌、海や河川からの距離によって成熟度と香味の強さが変わる。</x:v>
      </x:c>
      <x:c r="I523" s="14" t="str">
        <x:v>フランス</x:v>
      </x:c>
      <x:c r="J523" s="14" t="str">
        <x:v>ピクプール・ド・ピネ</x:v>
      </x:c>
      <x:c r="K523" s="14" t="str">
        <x:v>地理;産地;フランス</x:v>
      </x:c>
      <x:c r="L523" s="14" t="str"/>
      <x:c r="M523" s="14" t="str">
        <x:v>languedoc_official_terroir</x:v>
      </x:c>
      <x:c r="N523" s="14" t="str">
        <x:v>2026-07-12</x:v>
      </x:c>
      <x:c r="O523" s="14" t="str">
        <x:v>Y</x:v>
      </x:c>
    </x:row>
    <x:row r="524" ht="52.79999923706055" hidden="0" customHeight="1">
      <x:c r="A524" s="14" t="str">
        <x:v>term-b2457a4ada0f</x:v>
      </x:c>
      <x:c r="B524" s="14" t="str">
        <x:v>ピュリニー・モンラッシェ</x:v>
      </x:c>
      <x:c r="C524" s="14" t="str"/>
      <x:c r="D524" s="14" t="str"/>
      <x:c r="E524" s="14" t="str"/>
      <x:c r="F524" s="14" t="str">
        <x:v>産地・地名</x:v>
      </x:c>
      <x:c r="G524" s="14" t="str">
        <x:v>ピュリニー・モンラッシェはフランスのワイン産地または原産地呼称。主要品種はシャルドネ。石灰岩の多い斜面と高い酸が、柑橘とミネラルを思わせる線の細い構造を与えるため。</x:v>
      </x:c>
      <x:c r="H524" s="14" t="str">
        <x:v>自然条件：石灰岩の多い斜面と高い酸が、柑橘とミネラルを思わせる線の細い構造を与えるため。主要品種：シャルドネ。産地内でも標高、方位、土壌、海や河川からの距離によって成熟度と香味の強さが変わる。</x:v>
      </x:c>
      <x:c r="I524" s="14" t="str">
        <x:v>フランス</x:v>
      </x:c>
      <x:c r="J524" s="14" t="str">
        <x:v>ピュリニー・モンラッシェ</x:v>
      </x:c>
      <x:c r="K524" s="14" t="str">
        <x:v>地理;産地;フランス</x:v>
      </x:c>
      <x:c r="L524" s="14" t="str"/>
      <x:c r="M524" s="14" t="str">
        <x:v>bourgogne_official_profiles</x:v>
      </x:c>
      <x:c r="N524" s="14" t="str">
        <x:v>2026-07-12</x:v>
      </x:c>
      <x:c r="O524" s="14" t="str">
        <x:v>Y</x:v>
      </x:c>
    </x:row>
    <x:row r="525" ht="39.599998474121094" hidden="0" customHeight="1">
      <x:c r="A525" s="14" t="str">
        <x:v>term-1ea25fab4fb2</x:v>
      </x:c>
      <x:c r="B525" s="14" t="str">
        <x:v>ピースポート</x:v>
      </x:c>
      <x:c r="C525" s="14" t="str"/>
      <x:c r="D525" s="14" t="str"/>
      <x:c r="E525" s="14" t="str"/>
      <x:c r="F525" s="14" t="str">
        <x:v>産地・地名</x:v>
      </x:c>
      <x:c r="G525" s="14" t="str">
        <x:v>ピースポートはドイツのワイン産地または原産地呼称。主要品種はリースリング。モーゼル川の曲流に沿う南向き斜面が日射を集め、風から守られるため。</x:v>
      </x:c>
      <x:c r="H525" s="14" t="str">
        <x:v>自然条件：モーゼル川の曲流に沿う南向き斜面が日射を集め、風から守られるため。主要品種：リースリング。産地内でも標高、方位、土壌、海や河川からの距離によって成熟度と香味の強さが変わる。</x:v>
      </x:c>
      <x:c r="I525" s="14" t="str">
        <x:v>ドイツ</x:v>
      </x:c>
      <x:c r="J525" s="14" t="str">
        <x:v>ピースポート</x:v>
      </x:c>
      <x:c r="K525" s="14" t="str">
        <x:v>地理;産地;ドイツ</x:v>
      </x:c>
      <x:c r="L525" s="14" t="str"/>
      <x:c r="M525" s="14" t="str">
        <x:v>germany_official_regions</x:v>
      </x:c>
      <x:c r="N525" s="14" t="str">
        <x:v>2026-07-12</x:v>
      </x:c>
      <x:c r="O525" s="14" t="str">
        <x:v>Y</x:v>
      </x:c>
    </x:row>
    <x:row r="526" ht="52.79999923706055" hidden="0" customHeight="1">
      <x:c r="A526" s="14" t="str">
        <x:v>term-2c7fa4d3e606</x:v>
      </x:c>
      <x:c r="B526" s="14" t="str">
        <x:v>ファルツ</x:v>
      </x:c>
      <x:c r="C526" s="14" t="str"/>
      <x:c r="D526" s="14" t="str"/>
      <x:c r="E526" s="14" t="str"/>
      <x:c r="F526" s="14" t="str">
        <x:v>産地・地名</x:v>
      </x:c>
      <x:c r="G526" s="14" t="str">
        <x:v>ファルツはドイツのワイン産地または原産地呼称。主要品種はリースリング。Moselは低アルコール・高酸、Pfalzはより熟した果実と豊かなボディ。</x:v>
      </x:c>
      <x:c r="H526" s="14" t="str">
        <x:v>自然条件：ハールト山地の雨陰で比較的温暖かつ乾燥し、ブドウが高い成熟度に達しやすい。主要品種：リースリング。典型的なスタイル：Moselは低アルコール・高酸、Pfalzはより熟した果実と豊かなボディ。産地内でも標高、方位、土壌、海や河川からの距離によって成熟度と香味の強さが変わる。</x:v>
      </x:c>
      <x:c r="I526" s="14" t="str">
        <x:v>ドイツ</x:v>
      </x:c>
      <x:c r="J526" s="14" t="str">
        <x:v>ファルツ</x:v>
      </x:c>
      <x:c r="K526" s="14" t="str">
        <x:v>地理;産地;ドイツ</x:v>
      </x:c>
      <x:c r="L526" s="14" t="str"/>
      <x:c r="M526" s="14" t="str">
        <x:v>germany_official_regions</x:v>
      </x:c>
      <x:c r="N526" s="14" t="str">
        <x:v>2026-07-12</x:v>
      </x:c>
      <x:c r="O526" s="14" t="str">
        <x:v>Y</x:v>
      </x:c>
    </x:row>
    <x:row r="527" ht="66" hidden="0" customHeight="1">
      <x:c r="A527" s="14" t="str">
        <x:v>term-d83c87e5a46a</x:v>
      </x:c>
      <x:c r="B527" s="14" t="str">
        <x:v>フィアーノ・ディ・アヴェッリーノ</x:v>
      </x:c>
      <x:c r="C527" s="14" t="str"/>
      <x:c r="D527" s="14" t="str"/>
      <x:c r="E527" s="14" t="str"/>
      <x:c r="F527" s="14" t="str">
        <x:v>産地・地名</x:v>
      </x:c>
      <x:c r="G527" s="14" t="str">
        <x:v>フィアーノ・ディ・アヴェッリーノはイタリアのワイン産地または原産地呼称。主要品種はフィアーノ。高い酸と十分な果実濃度を持ち、熟成で蜂蜜、ナッツ、煙の香りが発達するため。カンパーニアの高標高丘陵で成熟が緩やかに進み、構造のある白を生む。</x:v>
      </x:c>
      <x:c r="H527" s="14" t="str">
        <x:v>自然条件：高い酸と十分な果実濃度を持ち、熟成で蜂蜜、ナッツ、煙の香りが発達するため。カンパーニアの高標高丘陵で成熟が緩やかに進み、構造のある白を生む。主要品種：フィアーノ。産地内でも標高、方位、土壌、海や河川からの距離によって成熟度と香味の強さが変わる。</x:v>
      </x:c>
      <x:c r="I527" s="14" t="str">
        <x:v>イタリア</x:v>
      </x:c>
      <x:c r="J527" s="14" t="str">
        <x:v>フィアーノ・ディ・アヴェッリーノ</x:v>
      </x:c>
      <x:c r="K527" s="14" t="str">
        <x:v>地理;産地;イタリア</x:v>
      </x:c>
      <x:c r="L527" s="14" t="str"/>
      <x:c r="M527" s="14" t="str">
        <x:v>italy_official_wine</x:v>
      </x:c>
      <x:c r="N527" s="14" t="str">
        <x:v>2026-07-12</x:v>
      </x:c>
      <x:c r="O527" s="14" t="str">
        <x:v>Y</x:v>
      </x:c>
    </x:row>
    <x:row r="528" ht="66" hidden="0" customHeight="1">
      <x:c r="A528" s="14" t="str">
        <x:v>term-08f3dfb5418f</x:v>
      </x:c>
      <x:c r="B528" s="14" t="str">
        <x:v>フィトゥー</x:v>
      </x:c>
      <x:c r="C528" s="14" t="str"/>
      <x:c r="D528" s="14" t="str"/>
      <x:c r="E528" s="14" t="str"/>
      <x:c r="F528" s="14" t="str">
        <x:v>産地・地名</x:v>
      </x:c>
      <x:c r="G528" s="14" t="str">
        <x:v>フィトゥーはフランスのワイン産地または原産地呼称。主要品種はカリニャン、グルナッシュ、シラー。低収量の古木が濃い色、酸、タンニン、野生のハーブ香を与えるため。古木の低収量が、濃い果実、酸、タンニン、ハーブ香をもたらす。</x:v>
      </x:c>
      <x:c r="H528" s="14" t="str">
        <x:v>自然条件：低収量の古木が濃い色、酸、タンニン、野生のハーブ香を与えるため。古木の低収量が、濃い果実、酸、タンニン、ハーブ香をもたらす。主要品種：カリニャン、グルナッシュ、シラー。産地内でも標高、方位、土壌、海や河川からの距離によって成熟度と香味の強さが変わる。</x:v>
      </x:c>
      <x:c r="I528" s="14" t="str">
        <x:v>フランス</x:v>
      </x:c>
      <x:c r="J528" s="14" t="str">
        <x:v>フィトゥー</x:v>
      </x:c>
      <x:c r="K528" s="14" t="str">
        <x:v>地理;産地;フランス</x:v>
      </x:c>
      <x:c r="L528" s="14" t="str"/>
      <x:c r="M528" s="14" t="str">
        <x:v>languedoc_official_terroir</x:v>
      </x:c>
      <x:c r="N528" s="14" t="str">
        <x:v>2026-07-12</x:v>
      </x:c>
      <x:c r="O528" s="14" t="str">
        <x:v>Y</x:v>
      </x:c>
    </x:row>
    <x:row r="529" ht="52.79999923706055" hidden="0" customHeight="1">
      <x:c r="A529" s="14" t="str">
        <x:v>term-3652154556ab</x:v>
      </x:c>
      <x:c r="B529" s="14" t="str">
        <x:v>フィンガー・レイクス</x:v>
      </x:c>
      <x:c r="C529" s="14" t="str"/>
      <x:c r="D529" s="14" t="str"/>
      <x:c r="E529" s="14" t="str"/>
      <x:c r="F529" s="14" t="str">
        <x:v>産地・地名</x:v>
      </x:c>
      <x:c r="G529" s="14" t="str">
        <x:v>フィンガー・レイクスは米国のワイン産地または原産地呼称。主要品種はリースリング。Finger Lakesは湖の影響で高酸・軽快、温暖Californiaは熟した果実・低酸。</x:v>
      </x:c>
      <x:c r="H529" s="14" t="str">
        <x:v>自然条件：深い湖が冬の厳寒と春秋の急激な気温変化を緩和する。深い湖の熱容量が冬の寒波、春の霜、秋の早い冷え込みを和らげ、生育期間を延ばす。主要品種：リースリング。典型的なスタイル：Finger Lakesは湖の影響で高酸・軽快、温暖Californiaは熟した果実・低酸。</x:v>
      </x:c>
      <x:c r="I529" s="14" t="str">
        <x:v>米国</x:v>
      </x:c>
      <x:c r="J529" s="14" t="str">
        <x:v>フィンガー・レイクス</x:v>
      </x:c>
      <x:c r="K529" s="14" t="str">
        <x:v>地理;産地;米国</x:v>
      </x:c>
      <x:c r="L529" s="14" t="str"/>
      <x:c r="M529" s="14" t="str">
        <x:v>usa_official_wine</x:v>
      </x:c>
      <x:c r="N529" s="14" t="str">
        <x:v>2026-07-12</x:v>
      </x:c>
      <x:c r="O529" s="14" t="str">
        <x:v>Y</x:v>
      </x:c>
    </x:row>
    <x:row r="530" ht="66" hidden="0" customHeight="1">
      <x:c r="A530" s="14" t="str">
        <x:v>term-1b03b42f63d0</x:v>
      </x:c>
      <x:c r="B530" s="14" t="str">
        <x:v>フォルスト</x:v>
      </x:c>
      <x:c r="C530" s="14" t="str"/>
      <x:c r="D530" s="14" t="str"/>
      <x:c r="E530" s="14" t="str"/>
      <x:c r="F530" s="14" t="str">
        <x:v>産地・地名</x:v>
      </x:c>
      <x:c r="G530" s="14" t="str">
        <x:v>フォルストはドイツのワイン産地または原産地呼称。主要品種はリースリング。ハールト山地の雨陰で乾燥し、日照が多く、ブドウが十分に成熟するため。モーゼルより温暖な条件から、熟した核果、より高いボディとアルコールを持つ辛口を生む。</x:v>
      </x:c>
      <x:c r="H530" s="14" t="str">
        <x:v>自然条件：ハールト山地の雨陰で乾燥し、日照が多く、ブドウが十分に成熟するため。モーゼルより温暖な条件から、熟した核果、より高いボディとアルコールを持つ辛口を生む。主要品種：リースリング。産地内でも標高、方位、土壌、海や河川からの距離によって成熟度と香味の強さが変わる。</x:v>
      </x:c>
      <x:c r="I530" s="14" t="str">
        <x:v>ドイツ</x:v>
      </x:c>
      <x:c r="J530" s="14" t="str">
        <x:v>フォルスト</x:v>
      </x:c>
      <x:c r="K530" s="14" t="str">
        <x:v>地理;産地;ドイツ</x:v>
      </x:c>
      <x:c r="L530" s="14" t="str"/>
      <x:c r="M530" s="14" t="str">
        <x:v>germany_official_regions</x:v>
      </x:c>
      <x:c r="N530" s="14" t="str">
        <x:v>2026-07-12</x:v>
      </x:c>
      <x:c r="O530" s="14" t="str">
        <x:v>Y</x:v>
      </x:c>
    </x:row>
    <x:row r="531" ht="66" hidden="0" customHeight="1">
      <x:c r="A531" s="14" t="str">
        <x:v>term-afcf05274c2d</x:v>
      </x:c>
      <x:c r="B531" s="14" t="str">
        <x:v>フミーリャ</x:v>
      </x:c>
      <x:c r="C531" s="14" t="str"/>
      <x:c r="D531" s="14" t="str"/>
      <x:c r="E531" s="14" t="str"/>
      <x:c r="F531" s="14" t="str">
        <x:v>産地・地名</x:v>
      </x:c>
      <x:c r="G531" s="14" t="str">
        <x:v>フミーリャはスペインのワイン産地または原産地呼称。主要品種はモナストレル。暑く乾燥した高原で、耐乾性の高い晩熟品種が高い糖度まで成熟するため。古木の低収量と大きな日較差により、黒系果実、ハーブ、強いタンニンを持つ。</x:v>
      </x:c>
      <x:c r="H531" s="14" t="str">
        <x:v>自然条件：暑く乾燥した高原で、耐乾性の高い晩熟品種が高い糖度まで成熟するため。古木の低収量と大きな日較差により、黒系果実、ハーブ、強いタンニンを持つ。主要品種：モナストレル。産地内でも標高、方位、土壌、海や河川からの距離によって成熟度と香味の強さが変わる。</x:v>
      </x:c>
      <x:c r="I531" s="14" t="str">
        <x:v>スペイン</x:v>
      </x:c>
      <x:c r="J531" s="14" t="str">
        <x:v>フミーリャ</x:v>
      </x:c>
      <x:c r="K531" s="14" t="str">
        <x:v>地理;産地;スペイン</x:v>
      </x:c>
      <x:c r="L531" s="14" t="str"/>
      <x:c r="M531" s="14" t="str">
        <x:v>spain_official_wine</x:v>
      </x:c>
      <x:c r="N531" s="14" t="str">
        <x:v>2026-07-12</x:v>
      </x:c>
      <x:c r="O531" s="14" t="str">
        <x:v>Y</x:v>
      </x:c>
    </x:row>
    <x:row r="532" ht="66" hidden="0" customHeight="1">
      <x:c r="A532" s="14" t="str">
        <x:v>term-4d00b36bac3d</x:v>
      </x:c>
      <x:c r="B532" s="14" t="str">
        <x:v>フラスカーティ</x:v>
      </x:c>
      <x:c r="C532" s="14" t="str"/>
      <x:c r="D532" s="14" t="str"/>
      <x:c r="E532" s="14" t="str"/>
      <x:c r="F532" s="14" t="str">
        <x:v>産地・地名</x:v>
      </x:c>
      <x:c r="G532" s="14" t="str">
        <x:v>フラスカーティはイタリアのワイン産地または原産地呼称。主要品種はマルヴァジア、トレッビアーノ。マルヴァジアとトレッビアーノ主体の、軽いボディと花・柑橘を持つ白。ローマ近郊の火山性丘陵で造られ、若いうちに飲むフレッシュな白が中心である。</x:v>
      </x:c>
      <x:c r="H532" s="14" t="str">
        <x:v>自然条件：マルヴァジアとトレッビアーノ主体の、軽いボディと花・柑橘を持つ白。ローマ近郊の火山性丘陵で造られ、若いうちに飲むフレッシュな白が中心である。主要品種：マルヴァジア、トレッビアーノ。産地内でも標高、方位、土壌、海や河川からの距離によって成熟度と香味の強さが変わる。</x:v>
      </x:c>
      <x:c r="I532" s="14" t="str">
        <x:v>イタリア</x:v>
      </x:c>
      <x:c r="J532" s="14" t="str">
        <x:v>フラスカーティ</x:v>
      </x:c>
      <x:c r="K532" s="14" t="str">
        <x:v>地理;産地;イタリア</x:v>
      </x:c>
      <x:c r="L532" s="14" t="str"/>
      <x:c r="M532" s="14" t="str">
        <x:v>italy_official_wine</x:v>
      </x:c>
      <x:c r="N532" s="14" t="str">
        <x:v>2026-07-12</x:v>
      </x:c>
      <x:c r="O532" s="14" t="str">
        <x:v>Y</x:v>
      </x:c>
    </x:row>
    <x:row r="533" ht="79.19999694824219" hidden="0" customHeight="1">
      <x:c r="A533" s="14" t="str">
        <x:v>term-6c16b36fff6a</x:v>
      </x:c>
      <x:c r="B533" s="14" t="str">
        <x:v>フランケン</x:v>
      </x:c>
      <x:c r="C533" s="14" t="str"/>
      <x:c r="D533" s="14" t="str"/>
      <x:c r="E533" s="14" t="str"/>
      <x:c r="F533" s="14" t="str">
        <x:v>産地・地名</x:v>
      </x:c>
      <x:c r="G533" s="14" t="str">
        <x:v>フランケンはドイツのワイン産地または原産地呼称。主要品種はシルヴァーナー、ジルヴァーナー。中立的な果実香、土やハーブを思わせる風味、十分な酸を持つ辛口白。</x:v>
      </x:c>
      <x:c r="H533" s="14" t="str">
        <x:v>自然条件：中程度以上の酸、リンゴやハーブ、土を思わせる風味を持つ辛口白。大陸性の冷涼な気候と石灰質土壌で、リースリングより中立的だが土地の特徴を表す白になる。主要品種：シルヴァーナー、ジルヴァーナー。典型的なスタイル：中立的な果実香、土やハーブを思わせる風味、十分な酸を持つ辛口白。Franken Silvanerの中立性・土・ハーブ・辛口を正しく示しており、品種の酸、タンニン、芳香、果皮または成熟特性がワインのスタイルを形作る。</x:v>
      </x:c>
      <x:c r="I533" s="14" t="str">
        <x:v>ドイツ</x:v>
      </x:c>
      <x:c r="J533" s="14" t="str">
        <x:v>フランケン</x:v>
      </x:c>
      <x:c r="K533" s="14" t="str">
        <x:v>地理;産地;ドイツ</x:v>
      </x:c>
      <x:c r="L533" s="14" t="str"/>
      <x:c r="M533" s="14" t="str">
        <x:v>germany_official_regions</x:v>
      </x:c>
      <x:c r="N533" s="14" t="str">
        <x:v>2026-07-12</x:v>
      </x:c>
      <x:c r="O533" s="14" t="str">
        <x:v>Y</x:v>
      </x:c>
    </x:row>
    <x:row r="534" ht="52.79999923706055" hidden="0" customHeight="1">
      <x:c r="A534" s="14" t="str">
        <x:v>term-bc8e33d1367e</x:v>
      </x:c>
      <x:c r="B534" s="14" t="str">
        <x:v>フランチャコルタ</x:v>
      </x:c>
      <x:c r="C534" s="14" t="str"/>
      <x:c r="D534" s="14" t="str"/>
      <x:c r="E534" s="14" t="str"/>
      <x:c r="F534" s="14" t="str">
        <x:v>産地・地名</x:v>
      </x:c>
      <x:c r="G534" s="14" t="str">
        <x:v>フランチャコルタはイタリアのワイン産地または原産地呼称。主要品種はシャルドネ、ピノ・ネロ。シャルドネやピノ・ネロを用いる伝統的方式で、長い澱熟成を行う高品質発泡性ワイン。</x:v>
      </x:c>
      <x:c r="H534" s="14" t="str">
        <x:v>自然条件：シャルドネやピノ・ネロを用いる伝統的方式で、長い澱熟成を行う高品質発泡性ワイン。主要品種：シャルドネ、ピノ・ネロ。産地内でも標高、方位、土壌、海や河川からの距離によって成熟度と香味の強さが変わる。</x:v>
      </x:c>
      <x:c r="I534" s="14" t="str">
        <x:v>イタリア</x:v>
      </x:c>
      <x:c r="J534" s="14" t="str">
        <x:v>フランチャコルタ</x:v>
      </x:c>
      <x:c r="K534" s="14" t="str">
        <x:v>地理;産地;イタリア</x:v>
      </x:c>
      <x:c r="L534" s="14" t="str"/>
      <x:c r="M534" s="14" t="str">
        <x:v>italy_official_wine</x:v>
      </x:c>
      <x:c r="N534" s="14" t="str">
        <x:v>2026-07-12</x:v>
      </x:c>
      <x:c r="O534" s="14" t="str">
        <x:v>Y</x:v>
      </x:c>
    </x:row>
    <x:row r="535" ht="66" hidden="0" customHeight="1">
      <x:c r="A535" s="14" t="str">
        <x:v>term-7bda5263c6ae</x:v>
      </x:c>
      <x:c r="B535" s="14" t="str">
        <x:v>フルーリー</x:v>
      </x:c>
      <x:c r="C535" s="14" t="str"/>
      <x:c r="D535" s="14" t="str"/>
      <x:c r="E535" s="14" t="str"/>
      <x:c r="F535" s="14" t="str">
        <x:v>産地・地名</x:v>
      </x:c>
      <x:c r="G535" s="14" t="str">
        <x:v>フルーリーはフランスのワイン産地または原産地呼称。主要品種はガメイ。ガメイから造る、赤い果実、スミレ、軽やかなタンニンを持つ香り高い赤。花崗岩質の斜面と炭酸ガス浸漬系の醸造により、繊細で芳香の高いスタイルになる。</x:v>
      </x:c>
      <x:c r="H535" s="14" t="str">
        <x:v>自然条件：ガメイから造る、赤い果実、スミレ、軽やかなタンニンを持つ香り高い赤。花崗岩質の斜面と炭酸ガス浸漬系の醸造により、繊細で芳香の高いスタイルになる。主要品種：ガメイ。産地内でも標高、方位、土壌、海や河川からの距離によって成熟度と香味の強さが変わる。</x:v>
      </x:c>
      <x:c r="I535" s="14" t="str">
        <x:v>フランス</x:v>
      </x:c>
      <x:c r="J535" s="14" t="str">
        <x:v>フルーリー</x:v>
      </x:c>
      <x:c r="K535" s="14" t="str">
        <x:v>地理;産地;フランス</x:v>
      </x:c>
      <x:c r="L535" s="14" t="str"/>
      <x:c r="M535" s="14" t="str">
        <x:v>beaujolais_official_terroir</x:v>
      </x:c>
      <x:c r="N535" s="14" t="str">
        <x:v>2026-07-12</x:v>
      </x:c>
      <x:c r="O535" s="14" t="str">
        <x:v>Y</x:v>
      </x:c>
    </x:row>
    <x:row r="536" ht="66" hidden="0" customHeight="1">
      <x:c r="A536" s="14" t="str">
        <x:v>term-9b483d0b812f</x:v>
      </x:c>
      <x:c r="B536" s="14" t="str">
        <x:v>ブリティッシュ・コロンビア</x:v>
      </x:c>
      <x:c r="C536" s="14" t="str"/>
      <x:c r="D536" s="14" t="str"/>
      <x:c r="E536" s="14" t="str"/>
      <x:c r="F536" s="14" t="str">
        <x:v>産地・地名</x:v>
      </x:c>
      <x:c r="G536" s="14" t="str">
        <x:v>ブリティッシュ・コロンビアはカナダのワイン産地または原産地呼称。主要品種はリースリング、ピノ・ノワール。北緯が高い一方で夏の日照時間が長く、乾燥した夏と大きな日較差がある。長い夏の日照と乾燥が糖・風味の成熟を促し、夜間冷却と高緯度が酸の保持に寄与する。</x:v>
      </x:c>
      <x:c r="H536" s="14" t="str">
        <x:v>自然条件：北緯が高い一方で夏の日照時間が長く、乾燥した夏と大きな日較差がある。長い夏の日照と乾燥が糖・風味の成熟を促し、夜間冷却と高緯度が酸の保持に寄与する。主要品種：リースリング、ピノ・ノワール。産地内でも標高、方位、土壌、海や河川からの距離によって成熟度と香味の強さが変わる。</x:v>
      </x:c>
      <x:c r="I536" s="14" t="str">
        <x:v>カナダ</x:v>
      </x:c>
      <x:c r="J536" s="14" t="str">
        <x:v>ブリティッシュ・コロンビア</x:v>
      </x:c>
      <x:c r="K536" s="14" t="str">
        <x:v>地理;産地;カナダ</x:v>
      </x:c>
      <x:c r="L536" s="14" t="str"/>
      <x:c r="M536" s="14" t="str">
        <x:v>canada_official_wine</x:v>
      </x:c>
      <x:c r="N536" s="14" t="str">
        <x:v>2026-07-12</x:v>
      </x:c>
      <x:c r="O536" s="14" t="str">
        <x:v>Y</x:v>
      </x:c>
    </x:row>
    <x:row r="537" ht="79.19999694824219" hidden="0" customHeight="1">
      <x:c r="A537" s="14" t="str">
        <x:v>term-1a1815a9eff7</x:v>
      </x:c>
      <x:c r="B537" s="14" t="str">
        <x:v>ブルゲンラント</x:v>
      </x:c>
      <x:c r="C537" s="14" t="str"/>
      <x:c r="D537" s="14" t="str"/>
      <x:c r="E537" s="14" t="str"/>
      <x:c r="F537" s="14" t="str">
        <x:v>産地・地名</x:v>
      </x:c>
      <x:c r="G537" s="14" t="str">
        <x:v>ブルゲンラントはオーストリアのワイン産地または原産地呼称。主要品種はヴェルシュリースリング、ブラウフレンキッシュ、リースリング、グリューナー・ヴェルトリーナー。高い酸とタンニン、赤・黒系果実、胡椒やスパイスを持つ赤。</x:v>
      </x:c>
      <x:c r="H537" s="14" t="str">
        <x:v>自然条件：ノイジードラー湖周辺の朝霧と、その後の暖かく乾いた条件。湖からの湿気が朝に貴腐菌の発生を促し、午後の乾燥が果粒の水分蒸発と健全な濃縮を助ける。主要品種：ヴェルシュリースリング、ブラウフレンキッシュ、リースリング、グリューナー・ヴェルトリーナー。典型的なスタイル：高い酸とタンニン、赤・黒系果実、胡椒やスパイスを持つ赤。Blaufränkischの高酸・タンニン・果実・スパイスを正しく示しており、品種の酸、タンニン、芳香、果皮または成熟特性がワインのスタイルを形作る。</x:v>
      </x:c>
      <x:c r="I537" s="14" t="str">
        <x:v>オーストリア</x:v>
      </x:c>
      <x:c r="J537" s="14" t="str">
        <x:v>ブルゲンラント</x:v>
      </x:c>
      <x:c r="K537" s="14" t="str">
        <x:v>地理;産地;オーストリア</x:v>
      </x:c>
      <x:c r="L537" s="14" t="str"/>
      <x:c r="M537" s="14" t="str">
        <x:v>austria_official_wine</x:v>
      </x:c>
      <x:c r="N537" s="14" t="str">
        <x:v>2026-07-12</x:v>
      </x:c>
      <x:c r="O537" s="14" t="str">
        <x:v>Y</x:v>
      </x:c>
    </x:row>
    <x:row r="538" ht="66" hidden="0" customHeight="1">
      <x:c r="A538" s="14" t="str">
        <x:v>term-9d9fa57ec700</x:v>
      </x:c>
      <x:c r="B538" s="14" t="str">
        <x:v>ブルゴーニュ</x:v>
      </x:c>
      <x:c r="C538" s="14" t="str">
        <x:v>Burgundy</x:v>
      </x:c>
      <x:c r="D538" s="14" t="str">
        <x:v>Bourgogne</x:v>
      </x:c>
      <x:c r="E538" s="14" t="str"/>
      <x:c r="F538" s="14" t="str">
        <x:v>産地・地名</x:v>
      </x:c>
      <x:c r="G538" s="14" t="str">
        <x:v>ブルゴーニュはフランスのワイン産地または原産地呼称。主要品種はシャルドネ、ピノ・ノワール。シャルドネの酸と柑橘に、ピノ・ノワールのボディと赤系果実を加えられる。ブルゴーニュの主要品種を組み合わせ、フレッシュさと構造の均衡を作る。</x:v>
      </x:c>
      <x:c r="H538" s="14" t="str">
        <x:v>自然条件：シャルドネとピノ・ノワール。ブルゴーニュの主要品種を用い、伝統的方式で柑橘、リンゴ、赤系果実と澱由来の風味を持つ。主要品種：シャルドネ、ピノ・ノワール。典型的なスタイル：シャルドネの酸と柑橘に、ピノ・ノワールのボディと赤系果実を加えられる。ブルゴーニュの主要品種を組み合わせ、フレッシュさと構造の均衡を作る。</x:v>
      </x:c>
      <x:c r="I538" s="14" t="str">
        <x:v>フランス</x:v>
      </x:c>
      <x:c r="J538" s="14" t="str">
        <x:v>ブルゴーニュ</x:v>
      </x:c>
      <x:c r="K538" s="14" t="str">
        <x:v>地理;産地;フランス</x:v>
      </x:c>
      <x:c r="L538" s="14" t="str"/>
      <x:c r="M538" s="14" t="str">
        <x:v>bourgogne_official_profiles</x:v>
      </x:c>
      <x:c r="N538" s="14" t="str">
        <x:v>2026-07-12</x:v>
      </x:c>
      <x:c r="O538" s="14" t="str">
        <x:v>Y</x:v>
      </x:c>
    </x:row>
    <x:row r="539" ht="52.79999923706055" hidden="0" customHeight="1">
      <x:c r="A539" s="14" t="str">
        <x:v>term-93fe9ff5aa6f</x:v>
      </x:c>
      <x:c r="B539" s="14" t="str">
        <x:v>ブルネッロ・ディ・モンタルチーノ</x:v>
      </x:c>
      <x:c r="C539" s="14" t="str"/>
      <x:c r="D539" s="14" t="str"/>
      <x:c r="E539" s="14" t="str"/>
      <x:c r="F539" s="14" t="str">
        <x:v>産地・地名</x:v>
      </x:c>
      <x:c r="G539" s="14" t="str">
        <x:v>ブルネッロ・ディ・モンタルチーノはイタリアのワイン産地または原産地呼称。主要品種はサンジョヴェーゼ。Brunelloはより熟度・ボディ・タンニンが高く、Chiantiは早く開きやすい。</x:v>
      </x:c>
      <x:c r="H539" s="14" t="str">
        <x:v>自然条件：温暖で乾燥した丘陵地でサンジョヴェーゼが十分に成熟し、高い酸とタンニンを保つため。主要品種：サンジョヴェーゼ。典型的なスタイル：Brunelloはより熟度・ボディ・タンニンが高く、Chiantiは早く開きやすい。</x:v>
      </x:c>
      <x:c r="I539" s="14" t="str">
        <x:v>イタリア</x:v>
      </x:c>
      <x:c r="J539" s="14" t="str">
        <x:v>ブルネッロ・ディ・モンタルチーノ</x:v>
      </x:c>
      <x:c r="K539" s="14" t="str">
        <x:v>地理;産地;イタリア</x:v>
      </x:c>
      <x:c r="L539" s="14" t="str"/>
      <x:c r="M539" s="14" t="str">
        <x:v>italy_official_wine</x:v>
      </x:c>
      <x:c r="N539" s="14" t="str">
        <x:v>2026-07-12</x:v>
      </x:c>
      <x:c r="O539" s="14" t="str">
        <x:v>Y</x:v>
      </x:c>
    </x:row>
    <x:row r="540" ht="39.599998474121094" hidden="0" customHeight="1">
      <x:c r="A540" s="14" t="str">
        <x:v>term-ecbea2ab7988</x:v>
      </x:c>
      <x:c r="B540" s="14" t="str">
        <x:v>プイィ・フュイッセ</x:v>
      </x:c>
      <x:c r="C540" s="14" t="str"/>
      <x:c r="D540" s="14" t="str"/>
      <x:c r="E540" s="14" t="str"/>
      <x:c r="F540" s="14" t="str">
        <x:v>産地・地名</x:v>
      </x:c>
      <x:c r="G540" s="14" t="str">
        <x:v>プイィ・フュイッセはフランスのワイン産地または原産地呼称。主要品種はシャルドネ。熟したリンゴや核果、中程度以上の酸、比較的豊かなボディを持つ辛口シャルドネ。</x:v>
      </x:c>
      <x:c r="H540" s="14" t="str">
        <x:v>自然条件：熟したリンゴや核果、中程度以上の酸、比較的豊かなボディを持つ辛口シャルドネ。主要品種：シャルドネ。産地内でも標高、方位、土壌、海や河川からの距離によって成熟度と香味の強さが変わる。</x:v>
      </x:c>
      <x:c r="I540" s="14" t="str">
        <x:v>フランス</x:v>
      </x:c>
      <x:c r="J540" s="14" t="str">
        <x:v>プイィ・フュイッセ</x:v>
      </x:c>
      <x:c r="K540" s="14" t="str">
        <x:v>地理;産地;フランス</x:v>
      </x:c>
      <x:c r="L540" s="14" t="str"/>
      <x:c r="M540" s="14" t="str">
        <x:v>bourgogne_official_profiles</x:v>
      </x:c>
      <x:c r="N540" s="14" t="str">
        <x:v>2026-07-12</x:v>
      </x:c>
      <x:c r="O540" s="14" t="str">
        <x:v>Y</x:v>
      </x:c>
    </x:row>
    <x:row r="541" ht="66" hidden="0" customHeight="1">
      <x:c r="A541" s="14" t="str">
        <x:v>term-e1077c866a00</x:v>
      </x:c>
      <x:c r="B541" s="14" t="str">
        <x:v>プイィ・フュメ</x:v>
      </x:c>
      <x:c r="C541" s="14" t="str"/>
      <x:c r="D541" s="14" t="str"/>
      <x:c r="E541" s="14" t="str"/>
      <x:c r="F541" s="14" t="str">
        <x:v>産地・地名</x:v>
      </x:c>
      <x:c r="G541" s="14" t="str">
        <x:v>プイィ・フュメはフランスのワイン産地または原産地呼称。主要品種はソーヴィニヨン・ブラン。ソーヴィニヨン・ブランから造る、高い酸、柑橘、青草、煙や火打石を思わせる辛口白。ロワール上流の冷涼な大陸性気候と石灰・火打石を含む土壌から、引き締まった白が生まれる。</x:v>
      </x:c>
      <x:c r="H541" s="14" t="str">
        <x:v>自然条件：ソーヴィニヨン・ブランから造る、高い酸、柑橘、青草、煙や火打石を思わせる辛口白。ロワール上流の冷涼な大陸性気候と石灰・火打石を含む土壌から、引き締まった白が生まれる。主要品種：ソーヴィニヨン・ブラン。</x:v>
      </x:c>
      <x:c r="I541" s="14" t="str">
        <x:v>フランス</x:v>
      </x:c>
      <x:c r="J541" s="14" t="str">
        <x:v>プイィ・フュメ</x:v>
      </x:c>
      <x:c r="K541" s="14" t="str">
        <x:v>地理;産地;フランス</x:v>
      </x:c>
      <x:c r="L541" s="14" t="str"/>
      <x:c r="M541" s="14" t="str">
        <x:v>loire_official_terroir</x:v>
      </x:c>
      <x:c r="N541" s="14" t="str">
        <x:v>2026-07-12</x:v>
      </x:c>
      <x:c r="O541" s="14" t="str">
        <x:v>Y</x:v>
      </x:c>
    </x:row>
    <x:row r="542" ht="52.79999923706055" hidden="0" customHeight="1">
      <x:c r="A542" s="14" t="str">
        <x:v>term-efa6161306f4</x:v>
      </x:c>
      <x:c r="B542" s="14" t="str">
        <x:v>プリオラート</x:v>
      </x:c>
      <x:c r="C542" s="14" t="str"/>
      <x:c r="D542" s="14" t="str"/>
      <x:c r="E542" s="14" t="str"/>
      <x:c r="F542" s="14" t="str">
        <x:v>産地・地名</x:v>
      </x:c>
      <x:c r="G542" s="14" t="str">
        <x:v>プリオラートはスペインのワイン産地または原産地呼称。主要品種はガルナッチャ、カリニェナ、カリニャン。Prioratは急斜面・古木・低収量、La Manchaは平坦地・機械化・大規模。</x:v>
      </x:c>
      <x:c r="H542" s="14" t="str">
        <x:v>自然条件：急斜面のリコレリャ土壌、古木ガルナッチャとカリニャン、低収量、手作業。低収量と手作業、土地の希少性、濃厚なワインへの需要が価格を高める。主要品種：ガルナッチャ、カリニェナ、カリニャン。典型的なスタイル：Prioratは急斜面・古木・低収量、La Manchaは平坦地・機械化・大規模。</x:v>
      </x:c>
      <x:c r="I542" s="14" t="str">
        <x:v>スペイン</x:v>
      </x:c>
      <x:c r="J542" s="14" t="str">
        <x:v>プリオラート</x:v>
      </x:c>
      <x:c r="K542" s="14" t="str">
        <x:v>地理;産地;スペイン</x:v>
      </x:c>
      <x:c r="L542" s="14" t="str"/>
      <x:c r="M542" s="14" t="str">
        <x:v>spain_official_wine</x:v>
      </x:c>
      <x:c r="N542" s="14" t="str">
        <x:v>2026-07-12</x:v>
      </x:c>
      <x:c r="O542" s="14" t="str">
        <x:v>Y</x:v>
      </x:c>
    </x:row>
    <x:row r="543" ht="66" hidden="0" customHeight="1">
      <x:c r="A543" s="14" t="str">
        <x:v>term-eaa5674343ee</x:v>
      </x:c>
      <x:c r="B543" s="14" t="str">
        <x:v>プロセッコ</x:v>
      </x:c>
      <x:c r="C543" s="14" t="str"/>
      <x:c r="D543" s="14" t="str"/>
      <x:c r="E543" s="14" t="str"/>
      <x:c r="F543" s="14" t="str">
        <x:v>産地・地名</x:v>
      </x:c>
      <x:c r="G543" s="14" t="str">
        <x:v>プロセッコはイタリアのワイン産地または原産地呼称。主要品種はグレーラ、グレラ、ピノ・ノワール。洋梨、青リンゴ、白い花を思わせる繊細な香り。グレーラは比較的軽いボディと高めの酸を持ち、洋梨、リンゴ、メロン、花などのフレッシュな香りを示す。</x:v>
      </x:c>
      <x:c r="H543" s="14" t="str">
        <x:v>自然条件：グレーラ主体の白ベースへピノ・ノワールを加え、淡いロゼ色と赤い果実の香りを持たせる。主要品種：グレーラ、グレラ、ピノ・ノワール。典型的なスタイル：洋梨、青リンゴ、白い花を思わせる繊細な香り。グレーラは比較的軽いボディと高めの酸を持ち、洋梨、リンゴ、メロン、花などのフレッシュな香りを示す。</x:v>
      </x:c>
      <x:c r="I543" s="14" t="str">
        <x:v>イタリア</x:v>
      </x:c>
      <x:c r="J543" s="14" t="str">
        <x:v>プロセッコ</x:v>
      </x:c>
      <x:c r="K543" s="14" t="str">
        <x:v>地理;産地;イタリア</x:v>
      </x:c>
      <x:c r="L543" s="14" t="str"/>
      <x:c r="M543" s="14" t="str">
        <x:v>italy_official_wine</x:v>
      </x:c>
      <x:c r="N543" s="14" t="str">
        <x:v>2026-07-12</x:v>
      </x:c>
      <x:c r="O543" s="14" t="str">
        <x:v>Y</x:v>
      </x:c>
    </x:row>
    <x:row r="544" ht="79.19999694824219" hidden="0" customHeight="1">
      <x:c r="A544" s="14" t="str">
        <x:v>term-c8df8c129e24</x:v>
      </x:c>
      <x:c r="B544" s="14" t="str">
        <x:v>プロヴァンス</x:v>
      </x:c>
      <x:c r="C544" s="14" t="str">
        <x:v>Provence</x:v>
      </x:c>
      <x:c r="D544" s="14" t="str">
        <x:v>Provence</x:v>
      </x:c>
      <x:c r="E544" s="14" t="str"/>
      <x:c r="F544" s="14" t="str">
        <x:v>産地・地名</x:v>
      </x:c>
      <x:c r="G544" s="14" t="str">
        <x:v>プロヴァンスはフランスのワイン産地または原産地呼称。主要品種はムールヴェードル、グルナッシュ、サンソー、シラー。黒ブドウを直接圧搾するか、ごく短時間だけ果皮浸漬する。色とタンニンの抽出を抑え、淡い色、柑橘・赤系果実、爽やかな酸を持つスタイルを目指す。</x:v>
      </x:c>
      <x:c r="H544" s="14" t="str">
        <x:v>自然条件：温暖で日照の多い地中海性気候が、晩熟な品種を十分に成熟させる。ムールヴェードルは晩熟で高い熱量を必要とし、バンドールの暖かく乾燥した条件で、濃い果実味、高いタンニン、熟成能力を得やすい。主要品種：ムールヴェードル、グルナッシュ、サンソー、シラー。典型的なスタイル：黒ブドウを直接圧搾するか、ごく短時間だけ果皮浸漬する。色とタンニンの抽出を抑え、淡い色、柑橘・赤系果実、爽やかな酸を持つスタイルを目指す。</x:v>
      </x:c>
      <x:c r="I544" s="14" t="str">
        <x:v>フランス</x:v>
      </x:c>
      <x:c r="J544" s="14" t="str">
        <x:v>プロヴァンス</x:v>
      </x:c>
      <x:c r="K544" s="14" t="str">
        <x:v>地理;産地;フランス</x:v>
      </x:c>
      <x:c r="L544" s="14" t="str"/>
      <x:c r="M544" s="14" t="str">
        <x:v>provence_official_terroir</x:v>
      </x:c>
      <x:c r="N544" s="14" t="str">
        <x:v>2026-07-12</x:v>
      </x:c>
      <x:c r="O544" s="14" t="str">
        <x:v>Y</x:v>
      </x:c>
    </x:row>
    <x:row r="545" ht="52.79999923706055" hidden="0" customHeight="1">
      <x:c r="A545" s="14" t="str">
        <x:v>term-398e99456edc</x:v>
      </x:c>
      <x:c r="B545" s="14" t="str">
        <x:v>プーリア</x:v>
      </x:c>
      <x:c r="C545" s="14" t="str"/>
      <x:c r="D545" s="14" t="str"/>
      <x:c r="E545" s="14" t="str"/>
      <x:c r="F545" s="14" t="str">
        <x:v>産地・地名</x:v>
      </x:c>
      <x:c r="G545" s="14" t="str">
        <x:v>プーリアはイタリアのワイン産地または原産地呼称。主要品種はプリミティーヴォ、ネレッロ・マスカレーゼ。Etnaは高標高で高酸・繊細、Primitivoは温暖で熟した高アルコール赤。</x:v>
      </x:c>
      <x:c r="H545" s="14" t="str">
        <x:v>自然条件：熟した黒系果実、ジャムを思わせる風味、高いアルコールを持つ豊かな赤。暑く乾燥した条件で高い糖度まで成熟し、濃厚で果実味豊かなスタイルになる。主要品種：プリミティーヴォ、ネレッロ・マスカレーゼ。典型的なスタイル：Etnaは高標高で高酸・繊細、Primitivoは温暖で熟した高アルコール赤。</x:v>
      </x:c>
      <x:c r="I545" s="14" t="str">
        <x:v>イタリア</x:v>
      </x:c>
      <x:c r="J545" s="14" t="str">
        <x:v>プーリア</x:v>
      </x:c>
      <x:c r="K545" s="14" t="str">
        <x:v>地理;産地;イタリア</x:v>
      </x:c>
      <x:c r="L545" s="14" t="str"/>
      <x:c r="M545" s="14" t="str">
        <x:v>italy_official_wine</x:v>
      </x:c>
      <x:c r="N545" s="14" t="str">
        <x:v>2026-07-12</x:v>
      </x:c>
      <x:c r="O545" s="14" t="str">
        <x:v>Y</x:v>
      </x:c>
    </x:row>
    <x:row r="546" ht="52.79999923706055" hidden="0" customHeight="1">
      <x:c r="A546" s="14" t="str">
        <x:v>term-495602d3c837</x:v>
      </x:c>
      <x:c r="B546" s="14" t="str">
        <x:v>ヘメル・アン・アード</x:v>
      </x:c>
      <x:c r="C546" s="14" t="str"/>
      <x:c r="D546" s="14" t="str"/>
      <x:c r="E546" s="14" t="str"/>
      <x:c r="F546" s="14" t="str">
        <x:v>産地・地名</x:v>
      </x:c>
      <x:c r="G546" s="14" t="str">
        <x:v>ヘメル・アン・アードは南アフリカのワイン産地または原産地呼称。主要品種はピノ・ノワール、シャルドネ。海洋性の冷却と丘陵地により、酸を保ちながらゆっくり成熟するから。</x:v>
      </x:c>
      <x:c r="H546" s="14" t="str">
        <x:v>自然条件：南極海からの冷たい風と海洋性気候が成熟を遅らせるため。冷涼な海洋影響がピノ・ノワールとシャルドネの酸と香りを保つ。主要品種：ピノ・ノワール、シャルドネ。典型的なスタイル：海洋性の冷却と丘陵地により、酸を保ちながらゆっくり成熟するから。</x:v>
      </x:c>
      <x:c r="I546" s="14" t="str">
        <x:v>南アフリカ</x:v>
      </x:c>
      <x:c r="J546" s="14" t="str">
        <x:v>ヘメル・アン・アード</x:v>
      </x:c>
      <x:c r="K546" s="14" t="str">
        <x:v>地理;産地;南アフリカ</x:v>
      </x:c>
      <x:c r="L546" s="14" t="str"/>
      <x:c r="M546" s="14" t="str">
        <x:v>south_africa_official_wine</x:v>
      </x:c>
      <x:c r="N546" s="14" t="str">
        <x:v>2026-07-12</x:v>
      </x:c>
      <x:c r="O546" s="14" t="str">
        <x:v>Y</x:v>
      </x:c>
    </x:row>
    <x:row r="547" ht="66" hidden="0" customHeight="1">
      <x:c r="A547" s="14" t="str">
        <x:v>term-2ff50a3f0f1d</x:v>
      </x:c>
      <x:c r="B547" s="14" t="str">
        <x:v>ヘレス</x:v>
      </x:c>
      <x:c r="C547" s="14" t="str">
        <x:v>Jerez</x:v>
      </x:c>
      <x:c r="D547" s="14" t="str">
        <x:v>Jerez</x:v>
      </x:c>
      <x:c r="E547" s="14" t="str"/>
      <x:c r="F547" s="14" t="str">
        <x:v>産地・地名</x:v>
      </x:c>
      <x:c r="G547" s="14" t="str">
        <x:v>ヘレスはスペインのワイン産地または原産地呼称。主要品種はパロミノ、ペドロ・ヒメネス、モスカテル。淡いレモン色で非常に辛口、軽いボディ、アーモンドやパン生地の風味。フロールが酸化を抑え、生物学的熟成香を与えるため、色は淡く、辛口で繊細なスタイルとなる。</x:v>
      </x:c>
      <x:c r="H547" s="14" t="str">
        <x:v>自然条件：冬の雨水を多孔質の石灰質土壌に蓄え、乾燥した夏に根へ供給する。白い表面は日射を反射し、細かい石灰質粒子は水を保持して長い乾季を支える。主要品種：パロミノ、ペドロ・ヒメネス、モスカテル。典型的なスタイル：淡いレモン色で非常に辛口、軽いボディ、アーモンドやパン生地の風味。フロールが酸化を抑え、生物学的熟成香を与えるため、色は淡く、辛口で繊細なスタイルとなる。</x:v>
      </x:c>
      <x:c r="I547" s="14" t="str">
        <x:v>スペイン</x:v>
      </x:c>
      <x:c r="J547" s="14" t="str">
        <x:v>ヘレス</x:v>
      </x:c>
      <x:c r="K547" s="14" t="str">
        <x:v>地理;産地;スペイン</x:v>
      </x:c>
      <x:c r="L547" s="14" t="str"/>
      <x:c r="M547" s="14" t="str">
        <x:v>spain_official_wine</x:v>
      </x:c>
      <x:c r="N547" s="14" t="str">
        <x:v>2026-07-12</x:v>
      </x:c>
      <x:c r="O547" s="14" t="str">
        <x:v>Y</x:v>
      </x:c>
    </x:row>
    <x:row r="548" ht="66" hidden="0" customHeight="1">
      <x:c r="A548" s="14" t="str">
        <x:v>term-5a2be8e284ba</x:v>
      </x:c>
      <x:c r="B548" s="14" t="str">
        <x:v>ベルンカステル</x:v>
      </x:c>
      <x:c r="C548" s="14" t="str"/>
      <x:c r="D548" s="14" t="str"/>
      <x:c r="E548" s="14" t="str"/>
      <x:c r="F548" s="14" t="str">
        <x:v>産地・地名</x:v>
      </x:c>
      <x:c r="G548" s="14" t="str">
        <x:v>ベルンカステルはドイツのワイン産地または原産地呼称。主要品種はリースリング。急な南向き粘板岩斜面が日射を受け、川が熱を反射して成熟を助けるため。冷涼な気候でも高い酸を保ちながら、低アルコールで花・柑橘・核果の香りを発達させる。</x:v>
      </x:c>
      <x:c r="H548" s="14" t="str">
        <x:v>自然条件：急な南向き粘板岩斜面が日射を受け、川が熱を反射して成熟を助けるため。冷涼な気候でも高い酸を保ちながら、低アルコールで花・柑橘・核果の香りを発達させる。主要品種：リースリング。産地内でも標高、方位、土壌、海や河川からの距離によって成熟度と香味の強さが変わる。</x:v>
      </x:c>
      <x:c r="I548" s="14" t="str">
        <x:v>ドイツ</x:v>
      </x:c>
      <x:c r="J548" s="14" t="str">
        <x:v>ベルンカステル</x:v>
      </x:c>
      <x:c r="K548" s="14" t="str">
        <x:v>地理;産地;ドイツ</x:v>
      </x:c>
      <x:c r="L548" s="14" t="str"/>
      <x:c r="M548" s="14" t="str">
        <x:v>germany_official_regions</x:v>
      </x:c>
      <x:c r="N548" s="14" t="str">
        <x:v>2026-07-12</x:v>
      </x:c>
      <x:c r="O548" s="14" t="str">
        <x:v>Y</x:v>
      </x:c>
    </x:row>
    <x:row r="549" ht="66" hidden="0" customHeight="1">
      <x:c r="A549" s="14" t="str">
        <x:v>term-25414991bd04</x:v>
      </x:c>
      <x:c r="B549" s="14" t="str">
        <x:v>ペイ・ドックIGP</x:v>
      </x:c>
      <x:c r="C549" s="14" t="str"/>
      <x:c r="D549" s="14" t="str"/>
      <x:c r="E549" s="14" t="str"/>
      <x:c r="F549" s="14" t="str">
        <x:v>産地・地名</x:v>
      </x:c>
      <x:c r="G549" s="14" t="str">
        <x:v>ペイ・ドックIGPは南フランスの広域地理的表示。品種表示の自由度が高く、国際品種と地域品種から多様な価格帯・スタイルを造る。</x:v>
      </x:c>
      <x:c r="H549" s="14" t="str">
        <x:v>地中海性の暖かく乾燥した気候を基調としつつ、沿岸の海風、高地の冷涼さ、石灰質・粘土質・砂利質などの差がある。カベルネ・ソーヴィニヨン、メルロ、シラー、シャルドネ、地域品種などを使い、果実味を明確にした単一品種ワインからブレンドまで幅広い。IGPはAOCより品種・産地表示の柔軟性が高いが、一律に低収量や長期熟成を義務づける制度ではない。</x:v>
      </x:c>
      <x:c r="I549" s="14" t="str">
        <x:v>フランス</x:v>
      </x:c>
      <x:c r="J549" s="14" t="str">
        <x:v>ペイ・ドックIGP</x:v>
      </x:c>
      <x:c r="K549" s="14" t="str">
        <x:v>地理;産地;フランス</x:v>
      </x:c>
      <x:c r="L549" s="14" t="str"/>
      <x:c r="M549" s="14" t="str">
        <x:v>languedoc_official_terroir</x:v>
      </x:c>
      <x:c r="N549" s="14" t="str">
        <x:v>2026-07-12</x:v>
      </x:c>
      <x:c r="O549" s="14" t="str">
        <x:v>Y</x:v>
      </x:c>
    </x:row>
    <x:row r="550" ht="66" hidden="0" customHeight="1">
      <x:c r="A550" s="14" t="str">
        <x:v>term-509477992b22</x:v>
      </x:c>
      <x:c r="B550" s="14" t="str">
        <x:v>ペサック・レオニャン</x:v>
      </x:c>
      <x:c r="C550" s="14" t="str"/>
      <x:c r="D550" s="14" t="str"/>
      <x:c r="E550" s="14" t="str"/>
      <x:c r="F550" s="14" t="str">
        <x:v>産地・地名</x:v>
      </x:c>
      <x:c r="G550" s="14" t="str">
        <x:v>ペサック・レオニャンはフランスのワイン産地または原産地呼称。主要品種はソーヴィニヨン・ブラン、セミヨン。ソーヴィニヨン・ブランの酸と芳香、セミヨンのボディと熟成力、樽発酵・熟成。二品種と樽・澱熟成が、鮮度、ボディ、複雑性、熟成能力を与える。</x:v>
      </x:c>
      <x:c r="H550" s="14" t="str">
        <x:v>自然条件：ソーヴィニヨン・ブランの酸と芳香、セミヨンのボディと熟成力、樽発酵・熟成。二品種と樽・澱熟成が、鮮度、ボディ、複雑性、熟成能力を与える。主要品種：ソーヴィニヨン・ブラン、セミヨン。産地内でも標高、方位、土壌、海や河川からの距離によって成熟度と香味の強さが変わる。</x:v>
      </x:c>
      <x:c r="I550" s="14" t="str">
        <x:v>フランス</x:v>
      </x:c>
      <x:c r="J550" s="14" t="str">
        <x:v>ペサック・レオニャン</x:v>
      </x:c>
      <x:c r="K550" s="14" t="str">
        <x:v>地理;産地;フランス</x:v>
      </x:c>
      <x:c r="L550" s="14" t="str"/>
      <x:c r="M550" s="14" t="str">
        <x:v>bordeaux_official_grapes</x:v>
      </x:c>
      <x:c r="N550" s="14" t="str">
        <x:v>2026-07-12</x:v>
      </x:c>
      <x:c r="O550" s="14" t="str">
        <x:v>Y</x:v>
      </x:c>
    </x:row>
    <x:row r="551" ht="52.79999923706055" hidden="0" customHeight="1">
      <x:c r="A551" s="14" t="str">
        <x:v>term-e0fa8b5ae689</x:v>
      </x:c>
      <x:c r="B551" s="14" t="str">
        <x:v>ホークス・ベイ</x:v>
      </x:c>
      <x:c r="C551" s="14" t="str"/>
      <x:c r="D551" s="14" t="str"/>
      <x:c r="E551" s="14" t="str"/>
      <x:c r="F551" s="14" t="str">
        <x:v>産地・地名</x:v>
      </x:c>
      <x:c r="G551" s="14" t="str">
        <x:v>ホークス・ベイはニュージーランドのワイン産地または原産地呼称。主要品種はシラー、カベルネ・ソーヴィニヨン、ピノ・ノワール、メルロ。温暖な日中、海洋性の冷却、水はけのよい土壌が黒品種の成熟を助けるから。</x:v>
      </x:c>
      <x:c r="H551" s="14" t="str">
        <x:v>自然条件：黒系果実、黒胡椒、花、高い酸、中程度以上のタンニン。主要品種：シラー、カベルネ・ソーヴィニヨン、ピノ・ノワール、メルロ。典型的なスタイル：温暖な日中、海洋性の冷却、水はけのよい土壌が黒品種の成熟を助けるから。</x:v>
      </x:c>
      <x:c r="I551" s="14" t="str">
        <x:v>ニュージーランド</x:v>
      </x:c>
      <x:c r="J551" s="14" t="str">
        <x:v>ホークス・ベイ</x:v>
      </x:c>
      <x:c r="K551" s="14" t="str">
        <x:v>地理;産地;ニュージーランド</x:v>
      </x:c>
      <x:c r="L551" s="14" t="str"/>
      <x:c r="M551" s="14" t="str">
        <x:v>nz_official_wine</x:v>
      </x:c>
      <x:c r="N551" s="14" t="str">
        <x:v>2026-07-12</x:v>
      </x:c>
      <x:c r="O551" s="14" t="str">
        <x:v>Y</x:v>
      </x:c>
    </x:row>
    <x:row r="552" ht="79.19999694824219" hidden="0" customHeight="1">
      <x:c r="A552" s="14" t="str">
        <x:v>term-97f5e23c0c74</x:v>
      </x:c>
      <x:c r="B552" s="14" t="str">
        <x:v>ボルドー</x:v>
      </x:c>
      <x:c r="C552" s="14" t="str">
        <x:v>Bordeaux</x:v>
      </x:c>
      <x:c r="D552" s="14" t="str">
        <x:v>Bordeaux</x:v>
      </x:c>
      <x:c r="E552" s="14" t="str"/>
      <x:c r="F552" s="14" t="str">
        <x:v>産地・地名</x:v>
      </x:c>
      <x:c r="G552" s="14" t="str">
        <x:v>ボルドーはフランスのワイン産地または原産地呼称。主要品種はメルロ、カベルネ・ソーヴィニヨン、ソーヴィニヨン・ブラン、セミヨン。より厳しい収量や成熟度の要件を満たすブドウを用いるため。より成熟した果実と低い収量により、濃度とアルコールがやや高いスタイルになりやすい。</x:v>
      </x:c>
      <x:c r="H552" s="14" t="str">
        <x:v>自然条件：左岸はカベルネ・ソーヴィニヨン主体でタンニンが高く、右岸はメルロ主体でより早く開きやすい。主要品種：メルロ、カベルネ・ソーヴィニヨン、ソーヴィニヨン・ブラン、セミヨン。典型的なスタイル：より厳しい収量や成熟度の要件を満たすブドウを用いるため。より成熟した果実と低い収量により、濃度とアルコールがやや高いスタイルになりやすい。</x:v>
      </x:c>
      <x:c r="I552" s="14" t="str">
        <x:v>フランス</x:v>
      </x:c>
      <x:c r="J552" s="14" t="str">
        <x:v>ボルドー</x:v>
      </x:c>
      <x:c r="K552" s="14" t="str">
        <x:v>地理;産地;フランス</x:v>
      </x:c>
      <x:c r="L552" s="14" t="str"/>
      <x:c r="M552" s="14" t="str">
        <x:v>bordeaux_official_grapes</x:v>
      </x:c>
      <x:c r="N552" s="14" t="str">
        <x:v>2026-07-12</x:v>
      </x:c>
      <x:c r="O552" s="14" t="str">
        <x:v>Y</x:v>
      </x:c>
    </x:row>
    <x:row r="553" ht="52.79999923706055" hidden="0" customHeight="1">
      <x:c r="A553" s="14" t="str">
        <x:v>term-69e84211d0df</x:v>
      </x:c>
      <x:c r="B553" s="14" t="str">
        <x:v>ボージョレ</x:v>
      </x:c>
      <x:c r="C553" s="14" t="str">
        <x:v>Beaujolais</x:v>
      </x:c>
      <x:c r="D553" s="14" t="str">
        <x:v>Beaujolais</x:v>
      </x:c>
      <x:c r="E553" s="14" t="str"/>
      <x:c r="F553" s="14" t="str">
        <x:v>産地・地名</x:v>
      </x:c>
      <x:c r="G553" s="14" t="str">
        <x:v>ボージョレはフランス南東部のガメイ主体の産地。北部のクリュは花崗岩由来の砂質土壌と丘陵を持ち、一般的なボージョレより構造と熟成力が出やすい。</x:v>
      </x:c>
      <x:c r="H553" s="14" t="str">
        <x:v>南部は粘土・石灰質を含むなだらかな丘陵、北部は花崗岩由来の砂質土壌と急な丘陵が中心。主要品種はガメイで、炭酸ガス浸漬または半炭酸ガス浸漬により赤い果実と花の香り、低めのタンニンを引き出す。フルーリーは芳香としなやかさ、モルゴンはより深い果実と構造を示しやすい。</x:v>
      </x:c>
      <x:c r="I553" s="14" t="str">
        <x:v>フランス</x:v>
      </x:c>
      <x:c r="J553" s="14" t="str">
        <x:v>ボージョレ</x:v>
      </x:c>
      <x:c r="K553" s="14" t="str">
        <x:v>地理;産地;フランス</x:v>
      </x:c>
      <x:c r="L553" s="14" t="str"/>
      <x:c r="M553" s="14" t="str">
        <x:v>beaujolais_official_terroir</x:v>
      </x:c>
      <x:c r="N553" s="14" t="str">
        <x:v>2026-07-12</x:v>
      </x:c>
      <x:c r="O553" s="14" t="str">
        <x:v>Y</x:v>
      </x:c>
    </x:row>
    <x:row r="554" ht="66" hidden="0" customHeight="1">
      <x:c r="A554" s="14" t="str">
        <x:v>term-737a104122ef</x:v>
      </x:c>
      <x:c r="B554" s="14" t="str">
        <x:v>ボーム・ド・ヴニーズ</x:v>
      </x:c>
      <x:c r="C554" s="14" t="str"/>
      <x:c r="D554" s="14" t="str"/>
      <x:c r="E554" s="14" t="str"/>
      <x:c r="F554" s="14" t="str">
        <x:v>産地・地名</x:v>
      </x:c>
      <x:c r="G554" s="14" t="str">
        <x:v>ボーム・ド・ヴニーズはフランスのワイン産地または原産地呼称。主要品種はマスカット・ブラン・ア・プティ・グラン、マスカット。マスカット・ブラン・ア・プティ・グランの芳香性。品種由来のテルペンが、ブドウ、バラ、オレンジの花、桃を思わせる香りを与える。</x:v>
      </x:c>
      <x:c r="H554" s="14" t="str">
        <x:v>自然条件：排水がよく樹勢と収量を抑え、日照を受けた凝縮果を得やすいため。排水、低い樹勢と収量、日照が、小粒で糖と芳香の濃いマスカットを生みやすい。主要品種：マスカット・ブラン・ア・プティ・グラン、マスカット。典型的なスタイル：マスカット・ブラン・ア・プティ・グランの芳香性。品種由来のテルペンが、ブドウ、バラ、オレンジの花、桃を思わせる香りを与える。</x:v>
      </x:c>
      <x:c r="I554" s="14" t="str">
        <x:v>フランス</x:v>
      </x:c>
      <x:c r="J554" s="14" t="str">
        <x:v>ボーム・ド・ヴニーズ</x:v>
      </x:c>
      <x:c r="K554" s="14" t="str">
        <x:v>地理;産地;フランス</x:v>
      </x:c>
      <x:c r="L554" s="14" t="str"/>
      <x:c r="M554" s="14" t="str">
        <x:v>rhone_official_terroir</x:v>
      </x:c>
      <x:c r="N554" s="14" t="str">
        <x:v>2026-07-12</x:v>
      </x:c>
      <x:c r="O554" s="14" t="str">
        <x:v>Y</x:v>
      </x:c>
    </x:row>
    <x:row r="555" ht="79.19999694824219" hidden="0" customHeight="1">
      <x:c r="A555" s="14" t="str">
        <x:v>term-0b2d50f6fb57</x:v>
      </x:c>
      <x:c r="B555" s="14" t="str">
        <x:v>ポイヤック</x:v>
      </x:c>
      <x:c r="C555" s="14" t="str"/>
      <x:c r="D555" s="14" t="str"/>
      <x:c r="E555" s="14" t="str"/>
      <x:c r="F555" s="14" t="str">
        <x:v>産地・地名</x:v>
      </x:c>
      <x:c r="G555" s="14" t="str">
        <x:v>ポイヤックはフランスのワイン産地または原産地呼称。主要品種はカベルネ・ソーヴィニヨン、メルロ。カベルネ・ソーヴィニヨン主体で、黒系果実、高いタンニン、杉や鉛筆を思わせる香りを持つ。水はけのよい砂利質土壌がカベルネ・ソーヴィニヨンの成熟を助け、長期熟成向きの構造あるワインを生む。</x:v>
      </x:c>
      <x:c r="H555" s="14" t="str">
        <x:v>自然条件：カベルネ・ソーヴィニヨン主体で、黒系果実、高いタンニン、杉や鉛筆を思わせる香りを持つ。水はけのよい砂利質土壌がカベルネ・ソーヴィニヨンの成熟を助け、長期熟成向きの構造あるワインを生む。主要品種：カベルネ・ソーヴィニヨン、メルロ。</x:v>
      </x:c>
      <x:c r="I555" s="14" t="str">
        <x:v>フランス</x:v>
      </x:c>
      <x:c r="J555" s="14" t="str">
        <x:v>ポイヤック</x:v>
      </x:c>
      <x:c r="K555" s="14" t="str">
        <x:v>地理;産地;フランス</x:v>
      </x:c>
      <x:c r="L555" s="14" t="str"/>
      <x:c r="M555" s="14" t="str">
        <x:v>bordeaux_official_grapes</x:v>
      </x:c>
      <x:c r="N555" s="14" t="str">
        <x:v>2026-07-12</x:v>
      </x:c>
      <x:c r="O555" s="14" t="str">
        <x:v>Y</x:v>
      </x:c>
    </x:row>
    <x:row r="556" ht="52.79999923706055" hidden="0" customHeight="1">
      <x:c r="A556" s="14" t="str">
        <x:v>term-5fee221123c6</x:v>
      </x:c>
      <x:c r="B556" s="14" t="str">
        <x:v>ポムロール</x:v>
      </x:c>
      <x:c r="C556" s="14" t="str"/>
      <x:c r="D556" s="14" t="str"/>
      <x:c r="E556" s="14" t="str"/>
      <x:c r="F556" s="14" t="str">
        <x:v>産地・地名</x:v>
      </x:c>
      <x:c r="G556" s="14" t="str">
        <x:v>ポムロールはフランスのワイン産地または原産地呼称。主要品種はメルロ。粘土質土壌が水分を保持し、早熟なメルロの生育と成熟を支えるから。ポムロールの粘土質土壌は水分保持力があり、メルロに適した条件を作る。</x:v>
      </x:c>
      <x:c r="H556" s="14" t="str">
        <x:v>自然条件：粘土質土壌が水分を保持し、早熟なメルロの生育と成熟を支えるから。ポムロールの粘土質土壌は水分保持力があり、メルロに適した条件を作る。主要品種：メルロ。産地内でも標高、方位、土壌、海や河川からの距離によって成熟度と香味の強さが変わる。</x:v>
      </x:c>
      <x:c r="I556" s="14" t="str">
        <x:v>フランス</x:v>
      </x:c>
      <x:c r="J556" s="14" t="str">
        <x:v>ポムロール</x:v>
      </x:c>
      <x:c r="K556" s="14" t="str">
        <x:v>地理;産地;フランス</x:v>
      </x:c>
      <x:c r="L556" s="14" t="str"/>
      <x:c r="M556" s="14" t="str">
        <x:v>bordeaux_official_grapes</x:v>
      </x:c>
      <x:c r="N556" s="14" t="str">
        <x:v>2026-07-12</x:v>
      </x:c>
      <x:c r="O556" s="14" t="str">
        <x:v>Y</x:v>
      </x:c>
    </x:row>
    <x:row r="557" ht="66" hidden="0" customHeight="1">
      <x:c r="A557" s="14" t="str">
        <x:v>term-7e2b5f7806f9</x:v>
      </x:c>
      <x:c r="B557" s="14" t="str">
        <x:v>ポート</x:v>
      </x:c>
      <x:c r="C557" s="14" t="str"/>
      <x:c r="D557" s="14" t="str"/>
      <x:c r="E557" s="14" t="str"/>
      <x:c r="F557" s="14" t="str">
        <x:v>産地・地名</x:v>
      </x:c>
      <x:c r="G557" s="14" t="str">
        <x:v>ポートはポルトガルのワイン産地または原産地呼称。主要品種はポート主要黒ブドウ、トゥリガ・ナショナルほか。高い果実濃度、酸、タンニンを持ち、短い樽熟成後に無濾過で瓶詰めされるため。強い構造が瓶内でゆっくり統合され、第三アロマを発達させる。</x:v>
      </x:c>
      <x:c r="H557" s="14" t="str">
        <x:v>自然条件：酵母の活動を止め、未発酵の糖を残しながらアルコール度を高めるため。高アルコールのスピリッツが酵母を停止し、糖を残して最終度数も高める。主要品種：ポート主要黒ブドウ、トゥリガ・ナショナルほか。典型的なスタイル：高い果実濃度、酸、タンニンを持ち、短い樽熟成後に無濾過で瓶詰めされるため。強い構造が瓶内でゆっくり統合され、第三アロマを発達させる。</x:v>
      </x:c>
      <x:c r="I557" s="14" t="str">
        <x:v>ポルトガル</x:v>
      </x:c>
      <x:c r="J557" s="14" t="str">
        <x:v>ポート</x:v>
      </x:c>
      <x:c r="K557" s="14" t="str">
        <x:v>地理;産地;ポルトガル</x:v>
      </x:c>
      <x:c r="L557" s="14" t="str"/>
      <x:c r="M557" s="14" t="str">
        <x:v>portugal_official_wine</x:v>
      </x:c>
      <x:c r="N557" s="14" t="str">
        <x:v>2026-07-12</x:v>
      </x:c>
      <x:c r="O557" s="14" t="str">
        <x:v>Y</x:v>
      </x:c>
    </x:row>
    <x:row r="558" ht="52.79999923706055" hidden="0" customHeight="1">
      <x:c r="A558" s="14" t="str">
        <x:v>term-3d43a45e4e37</x:v>
      </x:c>
      <x:c r="B558" s="14" t="str">
        <x:v>マイポ・ヴァレー</x:v>
      </x:c>
      <x:c r="C558" s="14" t="str"/>
      <x:c r="D558" s="14" t="str"/>
      <x:c r="E558" s="14" t="str"/>
      <x:c r="F558" s="14" t="str">
        <x:v>産地・地名</x:v>
      </x:c>
      <x:c r="G558" s="14" t="str">
        <x:v>マイポ・ヴァレーはチリのワイン産地または原産地呼称。主要品種はカベルネ・ソーヴィニヨン、シャルドネ、ソーヴィニヨン・ブラン。熟した黒系果実、しっかりしたタンニン、ミントやハーブを思わせる香り。</x:v>
      </x:c>
      <x:c r="H558" s="14" t="str">
        <x:v>自然条件：Casablancaは海洋冷却で高酸の白、Maipoは内陸の温暖さで熟したカベルネが重要。主要品種：カベルネ・ソーヴィニヨン、シャルドネ、ソーヴィニヨン・ブラン。典型的なスタイル：熟した黒系果実、しっかりしたタンニン、ミントやハーブを思わせる香り。</x:v>
      </x:c>
      <x:c r="I558" s="14" t="str">
        <x:v>チリ</x:v>
      </x:c>
      <x:c r="J558" s="14" t="str">
        <x:v>マイポ・ヴァレー</x:v>
      </x:c>
      <x:c r="K558" s="14" t="str">
        <x:v>地理;産地;チリ</x:v>
      </x:c>
      <x:c r="L558" s="14" t="str"/>
      <x:c r="M558" s="14" t="str">
        <x:v>chile_official_wine</x:v>
      </x:c>
      <x:c r="N558" s="14" t="str">
        <x:v>2026-07-12</x:v>
      </x:c>
      <x:c r="O558" s="14" t="str">
        <x:v>Y</x:v>
      </x:c>
    </x:row>
    <x:row r="559" ht="66" hidden="0" customHeight="1">
      <x:c r="A559" s="14" t="str">
        <x:v>term-22994cbc6fbb</x:v>
      </x:c>
      <x:c r="B559" s="14" t="str">
        <x:v>マウント・ヴィーダー</x:v>
      </x:c>
      <x:c r="C559" s="14" t="str"/>
      <x:c r="D559" s="14" t="str"/>
      <x:c r="E559" s="14" t="str"/>
      <x:c r="F559" s="14" t="str">
        <x:v>産地・地名</x:v>
      </x:c>
      <x:c r="G559" s="14" t="str">
        <x:v>マウント・ヴィーダーは米国のワイン産地または原産地呼称。主要品種はカベルネ・ソーヴィニヨン、メルロ。冷涼な山地、急斜面、痩せた土壌が低収量と長い成熟をもたらすため。小粒のカベルネ系果実から、高い酸、タンニン、ハーブと黒系果実の風味を得る。</x:v>
      </x:c>
      <x:c r="H559" s="14" t="str">
        <x:v>自然条件：冷涼な山地、急斜面、痩せた土壌が低収量と長い成熟をもたらすため。小粒のカベルネ系果実から、高い酸、タンニン、ハーブと黒系果実の風味を得る。主要品種：カベルネ・ソーヴィニヨン、メルロ。産地内でも標高、方位、土壌、海や河川からの距離によって成熟度と香味の強さが変わる。</x:v>
      </x:c>
      <x:c r="I559" s="14" t="str">
        <x:v>米国</x:v>
      </x:c>
      <x:c r="J559" s="14" t="str">
        <x:v>マウント・ヴィーダー</x:v>
      </x:c>
      <x:c r="K559" s="14" t="str">
        <x:v>地理;産地;米国</x:v>
      </x:c>
      <x:c r="L559" s="14" t="str"/>
      <x:c r="M559" s="14" t="str">
        <x:v>usa_official_wine</x:v>
      </x:c>
      <x:c r="N559" s="14" t="str">
        <x:v>2026-07-12</x:v>
      </x:c>
      <x:c r="O559" s="14" t="str">
        <x:v>Y</x:v>
      </x:c>
    </x:row>
    <x:row r="560" ht="52.79999923706055" hidden="0" customHeight="1">
      <x:c r="A560" s="14" t="str">
        <x:v>term-8c0c7ea06cb6</x:v>
      </x:c>
      <x:c r="B560" s="14" t="str">
        <x:v>マクラーレン・ヴェイル</x:v>
      </x:c>
      <x:c r="C560" s="14" t="str"/>
      <x:c r="D560" s="14" t="str"/>
      <x:c r="E560" s="14" t="str"/>
      <x:c r="F560" s="14" t="str">
        <x:v>産地・地名</x:v>
      </x:c>
      <x:c r="G560" s="14" t="str">
        <x:v>マクラーレン・ヴェイルはオーストラリアのワイン産地または原産地呼称。主要品種はシラーズ、グルナッシュ、カベルネ・ソーヴィニヨン。Coonawarraは海洋冷却のCabernet、McLaren Valeは温暖なShiraz・Grenache。</x:v>
      </x:c>
      <x:c r="H560" s="14" t="str">
        <x:v>自然条件：温暖な地中海性気候に、湾からの海風と一部の標高差が加わるため。暖かさが完熟を促し、午後の海風が畑を冷却して酸と香りを保つ。主要品種：シラーズ、グルナッシュ、カベルネ・ソーヴィニヨン。典型的なスタイル：Coonawarraは海洋冷却のCabernet、McLaren Valeは温暖なShiraz・Grenache。</x:v>
      </x:c>
      <x:c r="I560" s="14" t="str">
        <x:v>オーストラリア</x:v>
      </x:c>
      <x:c r="J560" s="14" t="str">
        <x:v>マクラーレン・ヴェイル</x:v>
      </x:c>
      <x:c r="K560" s="14" t="str">
        <x:v>地理;産地;オーストラリア</x:v>
      </x:c>
      <x:c r="L560" s="14" t="str"/>
      <x:c r="M560" s="14" t="str">
        <x:v>australia_official_wine</x:v>
      </x:c>
      <x:c r="N560" s="14" t="str">
        <x:v>2026-07-12</x:v>
      </x:c>
      <x:c r="O560" s="14" t="str">
        <x:v>Y</x:v>
      </x:c>
    </x:row>
    <x:row r="561" ht="52.79999923706055" hidden="0" customHeight="1">
      <x:c r="A561" s="14" t="str">
        <x:v>term-2d604f33c2ae</x:v>
      </x:c>
      <x:c r="B561" s="14" t="str">
        <x:v>マコネ</x:v>
      </x:c>
      <x:c r="C561" s="14" t="str"/>
      <x:c r="D561" s="14" t="str"/>
      <x:c r="E561" s="14" t="str"/>
      <x:c r="F561" s="14" t="str">
        <x:v>産地・地名</x:v>
      </x:c>
      <x:c r="G561" s="14" t="str">
        <x:v>マコネはフランスのワイン産地または原産地呼称。主要品種はシャルドネ。Chablisはより冷涼で高酸・柑橘系、Mâconはより温暖で熟した核果と豊かなボディになりやすい。</x:v>
      </x:c>
      <x:c r="H561" s="14" t="str">
        <x:v>自然条件：より南に位置し、一般に温暖で成熟が進みやすい。主要品種：シャルドネ。典型的なスタイル：Chablisはより冷涼で高酸・柑橘系、Mâconはより温暖で熟した核果と豊かなボディになりやすい。産地内でも標高、方位、土壌、海や河川からの距離によって成熟度と香味の強さが変わる。</x:v>
      </x:c>
      <x:c r="I561" s="14" t="str">
        <x:v>フランス</x:v>
      </x:c>
      <x:c r="J561" s="14" t="str">
        <x:v>マコネ</x:v>
      </x:c>
      <x:c r="K561" s="14" t="str">
        <x:v>地理;産地;フランス</x:v>
      </x:c>
      <x:c r="L561" s="14" t="str"/>
      <x:c r="M561" s="14" t="str">
        <x:v>bourgogne_official_profiles</x:v>
      </x:c>
      <x:c r="N561" s="14" t="str">
        <x:v>2026-07-12</x:v>
      </x:c>
      <x:c r="O561" s="14" t="str">
        <x:v>Y</x:v>
      </x:c>
    </x:row>
    <x:row r="562" ht="79.19999694824219" hidden="0" customHeight="1">
      <x:c r="A562" s="14" t="str">
        <x:v>term-865a5d7227e8</x:v>
      </x:c>
      <x:c r="B562" s="14" t="str">
        <x:v>マルゴー</x:v>
      </x:c>
      <x:c r="C562" s="14" t="str"/>
      <x:c r="D562" s="14" t="str"/>
      <x:c r="E562" s="14" t="str"/>
      <x:c r="F562" s="14" t="str">
        <x:v>産地・地名</x:v>
      </x:c>
      <x:c r="G562" s="14" t="str">
        <x:v>マルゴーはフランスのワイン産地または原産地呼称。主要品種はカベルネ・ソーヴィニヨン、メルロ。砂利質土壌と温和なメソ気候がカベルネ主体のブレンドに十分な成熟と繊細さを与えるため。マルゴーは砂利の多い畑と比較的温和な条件を持ち、黒系果実、花、杉の香りと細やかなタンニンを得やすい。</x:v>
      </x:c>
      <x:c r="H562" s="14" t="str">
        <x:v>自然条件：砂利質土壌と温和なメソ気候がカベルネ主体のブレンドに十分な成熟と繊細さを与えるため。マルゴーは砂利の多い畑と比較的温和な条件を持ち、黒系果実、花、杉の香りと細やかなタンニンを得やすい。主要品種：カベルネ・ソーヴィニヨン、メルロ。</x:v>
      </x:c>
      <x:c r="I562" s="14" t="str">
        <x:v>フランス</x:v>
      </x:c>
      <x:c r="J562" s="14" t="str">
        <x:v>マルゴー</x:v>
      </x:c>
      <x:c r="K562" s="14" t="str">
        <x:v>地理;産地;フランス</x:v>
      </x:c>
      <x:c r="L562" s="14" t="str"/>
      <x:c r="M562" s="14" t="str">
        <x:v>bordeaux_official_grapes</x:v>
      </x:c>
      <x:c r="N562" s="14" t="str">
        <x:v>2026-07-12</x:v>
      </x:c>
      <x:c r="O562" s="14" t="str">
        <x:v>Y</x:v>
      </x:c>
    </x:row>
    <x:row r="563" ht="66" hidden="0" customHeight="1">
      <x:c r="A563" s="14" t="str">
        <x:v>term-43e34de84ac1</x:v>
      </x:c>
      <x:c r="B563" s="14" t="str">
        <x:v>マーガレット・リヴァー</x:v>
      </x:c>
      <x:c r="C563" s="14" t="str">
        <x:v>Margaret River</x:v>
      </x:c>
      <x:c r="D563" s="14" t="str">
        <x:v>Margaret River</x:v>
      </x:c>
      <x:c r="E563" s="14" t="str"/>
      <x:c r="F563" s="14" t="str">
        <x:v>産地・地名</x:v>
      </x:c>
      <x:c r="G563" s="14" t="str">
        <x:v>マーガレット・リヴァーはオーストラリアのワイン産地または原産地呼称。主要品種はカベルネ・ソーヴィニヨン、シラーズ、セミヨン、シャルドネ。Hunter Semillonは早摘み・低アルコール、Margaret River Chardonnayは熟した果実と樽の複雑性。</x:v>
      </x:c>
      <x:c r="H563" s="14" t="str">
        <x:v>自然条件：インド洋と南極海の海風が夏の暑さを和らげ、長い成熟期間を生むため。主要品種：カベルネ・ソーヴィニヨン、シラーズ、セミヨン、シャルドネ。典型的なスタイル：Hunter Semillonは早摘み・低アルコール、Margaret River Chardonnayは熟した果実と樽の複雑性。</x:v>
      </x:c>
      <x:c r="I563" s="14" t="str">
        <x:v>オーストラリア</x:v>
      </x:c>
      <x:c r="J563" s="14" t="str">
        <x:v>マーガレット・リヴァー</x:v>
      </x:c>
      <x:c r="K563" s="14" t="str">
        <x:v>地理;産地;オーストラリア</x:v>
      </x:c>
      <x:c r="L563" s="14" t="str"/>
      <x:c r="M563" s="14" t="str">
        <x:v>australia_official_wine</x:v>
      </x:c>
      <x:c r="N563" s="14" t="str">
        <x:v>2026-07-12</x:v>
      </x:c>
      <x:c r="O563" s="14" t="str">
        <x:v>Y</x:v>
      </x:c>
    </x:row>
    <x:row r="564" ht="66" hidden="0" customHeight="1">
      <x:c r="A564" s="14" t="str">
        <x:v>term-703e03af319e</x:v>
      </x:c>
      <x:c r="B564" s="14" t="str">
        <x:v>マーティンボロー</x:v>
      </x:c>
      <x:c r="C564" s="14" t="str"/>
      <x:c r="D564" s="14" t="str"/>
      <x:c r="E564" s="14" t="str"/>
      <x:c r="F564" s="14" t="str">
        <x:v>産地・地名</x:v>
      </x:c>
      <x:c r="G564" s="14" t="str">
        <x:v>マーティンボローはニュージーランドのワイン産地または原産地呼称。主要品種はピノ・ノワール、シラー、カベルネ・ソーヴィニヨン。Hawke's BayはSyrah・Bordeaux系、Martinboroughは高酸のPinot Noir。</x:v>
      </x:c>
      <x:c r="H564" s="14" t="str">
        <x:v>自然条件：赤いチェリー、プラム、スパイス、高い酸、細やかだが明瞭なタンニン。主要品種：ピノ・ノワール、シラー、カベルネ・ソーヴィニヨン。典型的なスタイル：Hawke's BayはSyrah・Bordeaux系、Martinboroughは高酸のPinot Noir。</x:v>
      </x:c>
      <x:c r="I564" s="14" t="str">
        <x:v>ニュージーランド</x:v>
      </x:c>
      <x:c r="J564" s="14" t="str">
        <x:v>マーティンボロー</x:v>
      </x:c>
      <x:c r="K564" s="14" t="str">
        <x:v>地理;産地;ニュージーランド</x:v>
      </x:c>
      <x:c r="L564" s="14" t="str"/>
      <x:c r="M564" s="14" t="str">
        <x:v>nz_official_wine</x:v>
      </x:c>
      <x:c r="N564" s="14" t="str">
        <x:v>2026-07-12</x:v>
      </x:c>
      <x:c r="O564" s="14" t="str">
        <x:v>Y</x:v>
      </x:c>
    </x:row>
    <x:row r="565" ht="66" hidden="0" customHeight="1">
      <x:c r="A565" s="14" t="str">
        <x:v>term-02e082e262ad</x:v>
      </x:c>
      <x:c r="B565" s="14" t="str">
        <x:v>マールボロ</x:v>
      </x:c>
      <x:c r="C565" s="14" t="str">
        <x:v>Marlborough</x:v>
      </x:c>
      <x:c r="D565" s="14" t="str">
        <x:v>Marlborough</x:v>
      </x:c>
      <x:c r="E565" s="14" t="str"/>
      <x:c r="F565" s="14" t="str">
        <x:v>産地・地名</x:v>
      </x:c>
      <x:c r="G565" s="14" t="str">
        <x:v>マールボロはニュージーランドのワイン産地または原産地呼称。主要品種はソーヴィニヨン・ブラン、ピノ・ノワール、シャルドネ。日照が多く、ブドウが熟した柑橘や核果の香りを発達させやすい。冷涼な夜で酸を保ちながら、比較的明瞭な一次果実香を持つベースワインを得る。</x:v>
      </x:c>
      <x:c r="H565" s="14" t="str">
        <x:v>自然条件：強い日照で風味が発達し、涼しい夜が酸と香りを保持すること。日照と日較差の組み合わせが、熟した風味と鮮度の両立に寄与する。主要品種：ソーヴィニヨン・ブラン、ピノ・ノワール、シャルドネ。典型的なスタイル：日照が多く、ブドウが熟した柑橘や核果の香りを発達させやすい。冷涼な夜で酸を保ちながら、比較的明瞭な一次果実香を持つベースワインを得る。</x:v>
      </x:c>
      <x:c r="I565" s="14" t="str">
        <x:v>ニュージーランド</x:v>
      </x:c>
      <x:c r="J565" s="14" t="str">
        <x:v>マールボロ</x:v>
      </x:c>
      <x:c r="K565" s="14" t="str">
        <x:v>地理;産地;ニュージーランド</x:v>
      </x:c>
      <x:c r="L565" s="14" t="str"/>
      <x:c r="M565" s="14" t="str">
        <x:v>nz_official_wine</x:v>
      </x:c>
      <x:c r="N565" s="14" t="str">
        <x:v>2026-07-12</x:v>
      </x:c>
      <x:c r="O565" s="14" t="str">
        <x:v>Y</x:v>
      </x:c>
    </x:row>
    <x:row r="566" ht="79.19999694824219" hidden="0" customHeight="1">
      <x:c r="A566" s="14" t="str">
        <x:v>term-b0521c1a03a2</x:v>
      </x:c>
      <x:c r="B566" s="14" t="str">
        <x:v>ミネルヴォワ</x:v>
      </x:c>
      <x:c r="C566" s="14" t="str"/>
      <x:c r="D566" s="14" t="str"/>
      <x:c r="E566" s="14" t="str"/>
      <x:c r="F566" s="14" t="str">
        <x:v>産地・地名</x:v>
      </x:c>
      <x:c r="G566" s="14" t="str">
        <x:v>ミネルヴォワはフランスのワイン産地または原産地呼称。主要品種はシラー、グルナッシュ、カリニャン。シラー、グルナッシュ、カリニャンなどから造る、熟した果実とハーブ香を持つ辛口赤。地中海性の暖かく乾燥した気候と石の多い畑から、果実味豊かでスパイシーなスタイルになる。</x:v>
      </x:c>
      <x:c r="H566" s="14" t="str">
        <x:v>自然条件：シラー、グルナッシュ、カリニャンなどから造る、熟した果実とハーブ香を持つ辛口赤。地中海性の暖かく乾燥した気候と石の多い畑から、果実味豊かでスパイシーなスタイルになる。主要品種：シラー、グルナッシュ、カリニャン。</x:v>
      </x:c>
      <x:c r="I566" s="14" t="str">
        <x:v>フランス</x:v>
      </x:c>
      <x:c r="J566" s="14" t="str">
        <x:v>ミネルヴォワ</x:v>
      </x:c>
      <x:c r="K566" s="14" t="str">
        <x:v>地理;産地;フランス</x:v>
      </x:c>
      <x:c r="L566" s="14" t="str"/>
      <x:c r="M566" s="14" t="str">
        <x:v>languedoc_official_terroir</x:v>
      </x:c>
      <x:c r="N566" s="14" t="str">
        <x:v>2026-07-12</x:v>
      </x:c>
      <x:c r="O566" s="14" t="str">
        <x:v>Y</x:v>
      </x:c>
    </x:row>
    <x:row r="567" ht="66" hidden="0" customHeight="1">
      <x:c r="A567" s="14" t="str">
        <x:v>term-1e7c2332e7a8</x:v>
      </x:c>
      <x:c r="B567" s="14" t="str">
        <x:v>ミュスカデ・セーヴル・エ・メーヌ</x:v>
      </x:c>
      <x:c r="C567" s="14" t="str"/>
      <x:c r="D567" s="14" t="str"/>
      <x:c r="E567" s="14" t="str"/>
      <x:c r="F567" s="14" t="str">
        <x:v>産地・地名</x:v>
      </x:c>
      <x:c r="G567" s="14" t="str">
        <x:v>ミュスカデ・セーヴル・エ・メーヌはフランスのワイン産地または原産地呼称。主要品種はムロン・ブラン、ムロン・ド・ブルゴーニュ。高い酸、軽めのボディ、控えめな果実風味、澱由来のわずかな厚み。冷涼な海洋性環境のムロン・ブランに、澱との接触が質感や複雑さを加える。</x:v>
      </x:c>
      <x:c r="H567" s="14" t="str">
        <x:v>自然条件：高い酸、軽いボディ、柑橘と塩味を思わせる風味、澱由来のわずかな厚み。主要品種：ムロン・ブラン、ムロン・ド・ブルゴーニュ。典型的なスタイル：高い酸、軽めのボディ、控えめな果実風味、澱由来のわずかな厚み。冷涼な海洋性環境のムロン・ブランに、澱との接触が質感や複雑さを加える。</x:v>
      </x:c>
      <x:c r="I567" s="14" t="str">
        <x:v>フランス</x:v>
      </x:c>
      <x:c r="J567" s="14" t="str">
        <x:v>ミュスカデ・セーヴル・エ・メーヌ</x:v>
      </x:c>
      <x:c r="K567" s="14" t="str">
        <x:v>地理;産地;フランス</x:v>
      </x:c>
      <x:c r="L567" s="14" t="str"/>
      <x:c r="M567" s="14" t="str">
        <x:v>loire_official_terroir</x:v>
      </x:c>
      <x:c r="N567" s="14" t="str">
        <x:v>2026-07-12</x:v>
      </x:c>
      <x:c r="O567" s="14" t="str">
        <x:v>Y</x:v>
      </x:c>
    </x:row>
    <x:row r="568" ht="52.79999923706055" hidden="0" customHeight="1">
      <x:c r="A568" s="14" t="str">
        <x:v>term-7a676739ee91</x:v>
      </x:c>
      <x:c r="B568" s="14" t="str">
        <x:v>ミュスカ・ドゥ・ボーム・ドゥ・ヴニーズ</x:v>
      </x:c>
      <x:c r="C568" s="14" t="str"/>
      <x:c r="D568" s="14" t="str"/>
      <x:c r="E568" s="14" t="str"/>
      <x:c r="F568" s="14" t="str">
        <x:v>産地・地名</x:v>
      </x:c>
      <x:c r="G568" s="14" t="str">
        <x:v>ミュスカ・ドゥ・ボーム・ドゥ・ヴニーズはフランスのワイン産地または原産地呼称。主要品種はマスカット。香りの強い甘口で、発酵途中の酒精強化によりブドウの糖と芳香を残すワイン。</x:v>
      </x:c>
      <x:c r="H568" s="14" t="str">
        <x:v>自然条件：香りの強い甘口で、発酵途中の酒精強化によりブドウの糖と芳香を残すワイン。主要品種：マスカット。産地内でも標高、方位、土壌、海や河川からの距離によって成熟度と香味の強さが変わる。</x:v>
      </x:c>
      <x:c r="I568" s="14" t="str">
        <x:v>フランス</x:v>
      </x:c>
      <x:c r="J568" s="14" t="str">
        <x:v>ミュスカ・ドゥ・ボーム・ドゥ・ヴニーズ</x:v>
      </x:c>
      <x:c r="K568" s="14" t="str">
        <x:v>地理;産地;フランス</x:v>
      </x:c>
      <x:c r="L568" s="14" t="str"/>
      <x:c r="M568" s="14" t="str">
        <x:v>rhone_official_terroir</x:v>
      </x:c>
      <x:c r="N568" s="14" t="str">
        <x:v>2026-07-12</x:v>
      </x:c>
      <x:c r="O568" s="14" t="str">
        <x:v>Y</x:v>
      </x:c>
    </x:row>
    <x:row r="569" ht="39.599998474121094" hidden="0" customHeight="1">
      <x:c r="A569" s="14" t="str">
        <x:v>term-37414ca53fc7</x:v>
      </x:c>
      <x:c r="B569" s="14" t="str">
        <x:v>ミュスカ・ド・ボーム・ド・ヴニーズ</x:v>
      </x:c>
      <x:c r="C569" s="14" t="str"/>
      <x:c r="D569" s="14" t="str"/>
      <x:c r="E569" s="14" t="str"/>
      <x:c r="F569" s="14" t="str">
        <x:v>産地・地名</x:v>
      </x:c>
      <x:c r="G569" s="14" t="str">
        <x:v>ミュスカ・ド・ボーム・ド・ヴニーズはフランスのワイン産地または原産地呼称。主要品種はマスカット。新鮮なブドウ、花、桃の品種香を酸化から守るため。</x:v>
      </x:c>
      <x:c r="H569" s="14" t="str">
        <x:v>自然条件：南ローヌの温暖で日照の多い地中海性気候。温暖で日照の多い条件により、マスカットの糖度とテルペン由来の芳香が十分に発達する。主要品種：マスカット。典型的なスタイル：新鮮なブドウ、花、桃の品種香を酸化から守るため。</x:v>
      </x:c>
      <x:c r="I569" s="14" t="str">
        <x:v>フランス</x:v>
      </x:c>
      <x:c r="J569" s="14" t="str">
        <x:v>ミュスカ・ド・ボーム・ド・ヴニーズ</x:v>
      </x:c>
      <x:c r="K569" s="14" t="str">
        <x:v>地理;産地;フランス</x:v>
      </x:c>
      <x:c r="L569" s="14" t="str"/>
      <x:c r="M569" s="14" t="str">
        <x:v>rhone_official_terroir</x:v>
      </x:c>
      <x:c r="N569" s="14" t="str">
        <x:v>2026-07-12</x:v>
      </x:c>
      <x:c r="O569" s="14" t="str">
        <x:v>Y</x:v>
      </x:c>
    </x:row>
    <x:row r="570" ht="52.79999923706055" hidden="0" customHeight="1">
      <x:c r="A570" s="14" t="str">
        <x:v>term-a29a701d1f20</x:v>
      </x:c>
      <x:c r="B570" s="14" t="str">
        <x:v>ムルソー</x:v>
      </x:c>
      <x:c r="C570" s="14" t="str"/>
      <x:c r="D570" s="14" t="str"/>
      <x:c r="E570" s="14" t="str"/>
      <x:c r="F570" s="14" t="str">
        <x:v>産地・地名</x:v>
      </x:c>
      <x:c r="G570" s="14" t="str">
        <x:v>ムルソーはフランスのワイン産地または原産地呼称。主要品種はシャルドネ。熟した核果、ナッツ、バター、豊かなボディと十分な酸を持つ辛口白。粘土を含む畑と樽発酵・MLC・澱熟成が幅のある質感を与える。</x:v>
      </x:c>
      <x:c r="H570" s="14" t="str">
        <x:v>自然条件：熟した核果、ナッツ、バター、豊かなボディと十分な酸を持つ辛口白。粘土を含む畑と樽発酵・MLC・澱熟成が幅のある質感を与える。主要品種：シャルドネ。産地内でも標高、方位、土壌、海や河川からの距離によって成熟度と香味の強さが変わる。</x:v>
      </x:c>
      <x:c r="I570" s="14" t="str">
        <x:v>フランス</x:v>
      </x:c>
      <x:c r="J570" s="14" t="str">
        <x:v>ムルソー</x:v>
      </x:c>
      <x:c r="K570" s="14" t="str">
        <x:v>地理;産地;フランス</x:v>
      </x:c>
      <x:c r="L570" s="14" t="str"/>
      <x:c r="M570" s="14" t="str">
        <x:v>bourgogne_official_profiles</x:v>
      </x:c>
      <x:c r="N570" s="14" t="str">
        <x:v>2026-07-12</x:v>
      </x:c>
      <x:c r="O570" s="14" t="str">
        <x:v>Y</x:v>
      </x:c>
    </x:row>
    <x:row r="571" ht="79.19999694824219" hidden="0" customHeight="1">
      <x:c r="A571" s="14" t="str">
        <x:v>term-b1dee67e0e2d</x:v>
      </x:c>
      <x:c r="B571" s="14" t="str">
        <x:v>メドック</x:v>
      </x:c>
      <x:c r="C571" s="14" t="str"/>
      <x:c r="D571" s="14" t="str"/>
      <x:c r="E571" s="14" t="str"/>
      <x:c r="F571" s="14" t="str">
        <x:v>産地・地名</x:v>
      </x:c>
      <x:c r="G571" s="14" t="str">
        <x:v>メドックはフランスのワイン産地または原産地呼称。主要品種はカベルネ・ソーヴィニヨン、メルロ。Cru Classéではないエステートの中から、一定の基準を満たすワインを識別する表示。</x:v>
      </x:c>
      <x:c r="H571" s="14" t="str">
        <x:v>自然条件：砂利質土壌の水はけと蓄熱性が、晩熟な品種の成熟を助ける。砂利は排水性が高く、日中の熱を蓄えて成熟を助けるため、カベルネ・ソーヴィニヨンに適する。主要品種：カベルネ・ソーヴィニヨン、メルロ。典型的なスタイル：Cru Classéではないエステートの中から、一定の基準を満たすワインを識別する表示。Cru Bourgeoisの位置付けを正しく示しており、原産地、ブドウの成熟度、熟成期間、品質格付けのどれを表す用語かを区別する必要がある。</x:v>
      </x:c>
      <x:c r="I571" s="14" t="str">
        <x:v>フランス</x:v>
      </x:c>
      <x:c r="J571" s="14" t="str">
        <x:v>メドック</x:v>
      </x:c>
      <x:c r="K571" s="14" t="str">
        <x:v>地理;産地;フランス</x:v>
      </x:c>
      <x:c r="L571" s="14" t="str"/>
      <x:c r="M571" s="14" t="str">
        <x:v>bordeaux_official_grapes</x:v>
      </x:c>
      <x:c r="N571" s="14" t="str">
        <x:v>2026-07-12</x:v>
      </x:c>
      <x:c r="O571" s="14" t="str">
        <x:v>Y</x:v>
      </x:c>
    </x:row>
    <x:row r="572" ht="66" hidden="0" customHeight="1">
      <x:c r="A572" s="14" t="str">
        <x:v>term-b24e24d03af5</x:v>
      </x:c>
      <x:c r="B572" s="14" t="str">
        <x:v>メンドシーノ郡</x:v>
      </x:c>
      <x:c r="C572" s="14" t="str"/>
      <x:c r="D572" s="14" t="str"/>
      <x:c r="E572" s="14" t="str"/>
      <x:c r="F572" s="14" t="str">
        <x:v>産地・地名</x:v>
      </x:c>
      <x:c r="G572" s="14" t="str">
        <x:v>メンドシーノ郡は米国のワイン産地または原産地呼称。主要品種はピノ・ノワール、シャルドネ、ジンファンデル。乾燥した夏と多様な冷涼区画により、菌類病圧を抑えながら幅広い品種を栽培できる。乾燥した夏は病害圧を抑え、多様なメソ気候が品種選択を可能にする。</x:v>
      </x:c>
      <x:c r="H572" s="14" t="str">
        <x:v>自然条件：乾燥した夏と多様な冷涼区画により、菌類病圧を抑えながら幅広い品種を栽培できる。乾燥した夏は病害圧を抑え、多様なメソ気候が品種選択を可能にする。主要品種：ピノ・ノワール、シャルドネ、ジンファンデル。産地内でも標高、方位、土壌、海や河川からの距離によって成熟度と香味の強さが変わる。</x:v>
      </x:c>
      <x:c r="I572" s="14" t="str">
        <x:v>米国</x:v>
      </x:c>
      <x:c r="J572" s="14" t="str">
        <x:v>メンドシーノ郡</x:v>
      </x:c>
      <x:c r="K572" s="14" t="str">
        <x:v>地理;産地;米国</x:v>
      </x:c>
      <x:c r="L572" s="14" t="str"/>
      <x:c r="M572" s="14" t="str">
        <x:v>usa_official_wine</x:v>
      </x:c>
      <x:c r="N572" s="14" t="str">
        <x:v>2026-07-12</x:v>
      </x:c>
      <x:c r="O572" s="14" t="str">
        <x:v>Y</x:v>
      </x:c>
    </x:row>
    <x:row r="573" ht="79.19999694824219" hidden="0" customHeight="1">
      <x:c r="A573" s="14" t="str">
        <x:v>term-48af418855e5</x:v>
      </x:c>
      <x:c r="B573" s="14" t="str">
        <x:v>メンドーサ</x:v>
      </x:c>
      <x:c r="C573" s="14" t="str">
        <x:v>Mendoza</x:v>
      </x:c>
      <x:c r="D573" s="14" t="str">
        <x:v>Mendoza</x:v>
      </x:c>
      <x:c r="E573" s="14" t="str"/>
      <x:c r="F573" s="14" t="str">
        <x:v>産地・地名</x:v>
      </x:c>
      <x:c r="G573" s="14" t="str">
        <x:v>メンドーサはアルゼンチンのワイン産地または原産地呼称。主要品種はマルベック、トロンテス、ボナルダ。標高のある乾燥した畑で、強い日射と灌漑を管理し、十分に成熟させる。標高による涼しい夜で酸を保ちつつ、強い日射と乾燥条件で色と果実を成熟させ、灌漑により適度な水分ストレスを管理できる。</x:v>
      </x:c>
      <x:c r="H573" s="14" t="str">
        <x:v>自然条件：防雹ネット、保険、被害による収量減少への備えが必要だから。雹対策・保険・収量リスクが、単位当たりの生産費、供給量、在庫負担または市場需要を通じてワイン価格へ影響する。主要品種：マルベック、トロンテス、ボナルダ。典型的なスタイル：標高のある乾燥した畑で、強い日射と灌漑を管理し、十分に成熟させる。標高による涼しい夜で酸を保ちつつ、強い日射と乾燥条件で色と果実を成熟させ、灌漑により適度な水分ストレスを管理できる。</x:v>
      </x:c>
      <x:c r="I573" s="14" t="str">
        <x:v>アルゼンチン</x:v>
      </x:c>
      <x:c r="J573" s="14" t="str">
        <x:v>メンドーサ</x:v>
      </x:c>
      <x:c r="K573" s="14" t="str">
        <x:v>地理;産地;アルゼンチン</x:v>
      </x:c>
      <x:c r="L573" s="14" t="str"/>
      <x:c r="M573" s="14" t="str">
        <x:v>argentina_official_wine</x:v>
      </x:c>
      <x:c r="N573" s="14" t="str">
        <x:v>2026-07-12</x:v>
      </x:c>
      <x:c r="O573" s="14" t="str">
        <x:v>Y</x:v>
      </x:c>
    </x:row>
    <x:row r="574" ht="39.599998474121094" hidden="0" customHeight="1">
      <x:c r="A574" s="14" t="str">
        <x:v>term-6313be5d9dd0</x:v>
      </x:c>
      <x:c r="B574" s="14" t="str">
        <x:v>モルゴン</x:v>
      </x:c>
      <x:c r="C574" s="14" t="str"/>
      <x:c r="D574" s="14" t="str"/>
      <x:c r="E574" s="14" t="str"/>
      <x:c r="F574" s="14" t="str">
        <x:v>産地・地名</x:v>
      </x:c>
      <x:c r="G574" s="14" t="str">
        <x:v>モルゴンはフランスのワイン産地または原産地呼称。主要品種はガメイ。低収量のガメイから、より深い色、濃い果実味、しっかりしたタンニンを得るため。</x:v>
      </x:c>
      <x:c r="H574" s="14" t="str">
        <x:v>自然条件：低収量のガメイから、より深い色、濃い果実味、しっかりしたタンニンを得るため。主要品種：ガメイ。産地内でも標高、方位、土壌、海や河川からの距離によって成熟度と香味の強さが変わる。</x:v>
      </x:c>
      <x:c r="I574" s="14" t="str">
        <x:v>フランス</x:v>
      </x:c>
      <x:c r="J574" s="14" t="str">
        <x:v>モルゴン</x:v>
      </x:c>
      <x:c r="K574" s="14" t="str">
        <x:v>地理;産地;フランス</x:v>
      </x:c>
      <x:c r="L574" s="14" t="str"/>
      <x:c r="M574" s="14" t="str">
        <x:v>beaujolais_official_terroir</x:v>
      </x:c>
      <x:c r="N574" s="14" t="str">
        <x:v>2026-07-12</x:v>
      </x:c>
      <x:c r="O574" s="14" t="str">
        <x:v>Y</x:v>
      </x:c>
    </x:row>
    <x:row r="575" ht="39.599998474121094" hidden="0" customHeight="1">
      <x:c r="A575" s="14" t="str">
        <x:v>term-96b1f3397a61</x:v>
      </x:c>
      <x:c r="B575" s="14" t="str">
        <x:v>モンターニュ・ド・ランス</x:v>
      </x:c>
      <x:c r="C575" s="14" t="str"/>
      <x:c r="D575" s="14" t="str"/>
      <x:c r="E575" s="14" t="str"/>
      <x:c r="F575" s="14" t="str">
        <x:v>産地・地名</x:v>
      </x:c>
      <x:c r="G575" s="14" t="str">
        <x:v>モンターニュ・ド・ランスはフランスのワイン産地または原産地呼称。主要品種はピノ・ノワール。日照を受ける斜面と白亜質土壌が、黒ブドウの成熟と酸の保持を支える。</x:v>
      </x:c>
      <x:c r="H575" s="14" t="str">
        <x:v>自然条件：日照を受ける斜面と白亜質土壌が、黒ブドウの成熟と酸の保持を支える。主要品種：ピノ・ノワール。産地内でも標高、方位、土壌、海や河川からの距離によって成熟度と香味の強さが変わる。</x:v>
      </x:c>
      <x:c r="I575" s="14" t="str">
        <x:v>フランス</x:v>
      </x:c>
      <x:c r="J575" s="14" t="str">
        <x:v>モンターニュ・ド・ランス</x:v>
      </x:c>
      <x:c r="K575" s="14" t="str">
        <x:v>地理;産地;フランス</x:v>
      </x:c>
      <x:c r="L575" s="14" t="str"/>
      <x:c r="M575" s="14" t="str">
        <x:v>champagne_official_terroir</x:v>
      </x:c>
      <x:c r="N575" s="14" t="str">
        <x:v>2026-07-12</x:v>
      </x:c>
      <x:c r="O575" s="14" t="str">
        <x:v>Y</x:v>
      </x:c>
    </x:row>
    <x:row r="576" ht="52.79999923706055" hidden="0" customHeight="1">
      <x:c r="A576" s="14" t="str">
        <x:v>term-e34f379cb3ba</x:v>
      </x:c>
      <x:c r="B576" s="14" t="str">
        <x:v>モンティーリャ・モリレス</x:v>
      </x:c>
      <x:c r="C576" s="14" t="str"/>
      <x:c r="D576" s="14" t="str"/>
      <x:c r="E576" s="14" t="str"/>
      <x:c r="F576" s="14" t="str">
        <x:v>産地・地名</x:v>
      </x:c>
      <x:c r="G576" s="14" t="str">
        <x:v>モンティーリャ・モリレスはスペインのワイン産地または原産地呼称。主要品種はペドロ・ヒメネス。天日乾燥で糖が極度に濃縮し、品種の自然酸が比較的低いため。</x:v>
      </x:c>
      <x:c r="H576" s="14" t="str">
        <x:v>自然条件：水分を蒸発させ、糖と風味を極度に濃縮する。レーズン状の果実を圧搾して非常に糖度の高い果汁を得るため、発酵は限定的で、濃厚な甘口になる。主要品種：ペドロ・ヒメネス。典型的なスタイル：天日乾燥で糖が極度に濃縮し、品種の自然酸が比較的低いため。</x:v>
      </x:c>
      <x:c r="I576" s="14" t="str">
        <x:v>スペイン</x:v>
      </x:c>
      <x:c r="J576" s="14" t="str">
        <x:v>モンティーリャ・モリレス</x:v>
      </x:c>
      <x:c r="K576" s="14" t="str">
        <x:v>地理;産地;スペイン</x:v>
      </x:c>
      <x:c r="L576" s="14" t="str"/>
      <x:c r="M576" s="14" t="str">
        <x:v>spain_official_wine</x:v>
      </x:c>
      <x:c r="N576" s="14" t="str">
        <x:v>2026-07-12</x:v>
      </x:c>
      <x:c r="O576" s="14" t="str">
        <x:v>Y</x:v>
      </x:c>
    </x:row>
    <x:row r="577" ht="79.19999694824219" hidden="0" customHeight="1">
      <x:c r="A577" s="14" t="str">
        <x:v>term-82f1bbc379d0</x:v>
      </x:c>
      <x:c r="B577" s="14" t="str">
        <x:v>モンテプルチアーノ・ダブルッツォ</x:v>
      </x:c>
      <x:c r="C577" s="14" t="str"/>
      <x:c r="D577" s="14" t="str"/>
      <x:c r="E577" s="14" t="str"/>
      <x:c r="F577" s="14" t="str">
        <x:v>産地・地名</x:v>
      </x:c>
      <x:c r="G577" s="14" t="str">
        <x:v>モンテプルチアーノ・ダブルッツォはイタリアのワイン産地または原産地呼称。主要品種はモンテプルチアーノ。深い色、熟した黒系果実、中程度以上のタンニンを持つ赤ワイン。アドリア海と山地の影響を受けるアブルッツォで、モンテプルチアーノ種が十分に成熟し、果実味豊かな赤になる。</x:v>
      </x:c>
      <x:c r="H577" s="14" t="str">
        <x:v>自然条件：深い色、熟した黒系果実、中程度以上のタンニンを持つ赤ワイン。アドリア海と山地の影響を受けるアブルッツォで、モンテプルチアーノ種が十分に成熟し、果実味豊かな赤になる。主要品種：モンテプルチアーノ。産地内でも標高、方位、土壌、海や河川からの距離によって成熟度と香味の強さが変わる。</x:v>
      </x:c>
      <x:c r="I577" s="14" t="str">
        <x:v>イタリア</x:v>
      </x:c>
      <x:c r="J577" s="14" t="str">
        <x:v>モンテプルチアーノ・ダブルッツォ</x:v>
      </x:c>
      <x:c r="K577" s="14" t="str">
        <x:v>地理;産地;イタリア</x:v>
      </x:c>
      <x:c r="L577" s="14" t="str"/>
      <x:c r="M577" s="14" t="str">
        <x:v>italy_official_wine</x:v>
      </x:c>
      <x:c r="N577" s="14" t="str">
        <x:v>2026-07-12</x:v>
      </x:c>
      <x:c r="O577" s="14" t="str">
        <x:v>Y</x:v>
      </x:c>
    </x:row>
    <x:row r="578" ht="66" hidden="0" customHeight="1">
      <x:c r="A578" s="14" t="str">
        <x:v>term-50e362805701</x:v>
      </x:c>
      <x:c r="B578" s="14" t="str">
        <x:v>モントレー郡</x:v>
      </x:c>
      <x:c r="C578" s="14" t="str"/>
      <x:c r="D578" s="14" t="str"/>
      <x:c r="E578" s="14" t="str"/>
      <x:c r="F578" s="14" t="str">
        <x:v>産地・地名</x:v>
      </x:c>
      <x:c r="G578" s="14" t="str">
        <x:v>モントレー郡は米国のワイン産地または原産地呼称。主要品種はシャルドネ、ピノ・ノワール。モントレー湾からの冷たい風と霧がサリナス・ヴァレーへ流れ込むため。谷の向きが冷気の通路となり、内陸深くまで冷涼条件をもたらす。</x:v>
      </x:c>
      <x:c r="H578" s="14" t="str">
        <x:v>自然条件：モントレー湾からの冷たい風と霧がサリナス・ヴァレーへ流れ込むため。谷の向きが冷気の通路となり、内陸深くまで冷涼条件をもたらす。主要品種：シャルドネ、ピノ・ノワール。産地内でも標高、方位、土壌、海や河川からの距離によって成熟度と香味の強さが変わる。</x:v>
      </x:c>
      <x:c r="I578" s="14" t="str">
        <x:v>米国</x:v>
      </x:c>
      <x:c r="J578" s="14" t="str">
        <x:v>モントレー郡</x:v>
      </x:c>
      <x:c r="K578" s="14" t="str">
        <x:v>地理;産地;米国</x:v>
      </x:c>
      <x:c r="L578" s="14" t="str"/>
      <x:c r="M578" s="14" t="str">
        <x:v>usa_official_wine</x:v>
      </x:c>
      <x:c r="N578" s="14" t="str">
        <x:v>2026-07-12</x:v>
      </x:c>
      <x:c r="O578" s="14" t="str">
        <x:v>Y</x:v>
      </x:c>
    </x:row>
    <x:row r="579" ht="52.79999923706055" hidden="0" customHeight="1">
      <x:c r="A579" s="14" t="str">
        <x:v>term-754f057429dc</x:v>
      </x:c>
      <x:c r="B579" s="14" t="str">
        <x:v>モーゼル</x:v>
      </x:c>
      <x:c r="C579" s="14" t="str">
        <x:v>Mosel</x:v>
      </x:c>
      <x:c r="D579" s="14" t="str">
        <x:v>Moselle</x:v>
      </x:c>
      <x:c r="E579" s="14" t="str"/>
      <x:c r="F579" s="14" t="str">
        <x:v>産地・地名</x:v>
      </x:c>
      <x:c r="G579" s="14" t="str">
        <x:v>モーゼルはドイツのワイン産地または原産地呼称。主要品種はリースリング。Moselは低アルコール・高酸、Pfalzはより熟した果実と豊かなボディ。</x:v>
      </x:c>
      <x:c r="H579" s="14" t="str">
        <x:v>自然条件：機械化が難しく、畑作業と収穫に多くの手作業を要するから。急斜面の手作業・機械化困難が、単位当たりの生産費、供給量、在庫負担または市場需要を通じてワイン価格へ影響する。主要品種：リースリング。典型的なスタイル：Moselは低アルコール・高酸、Pfalzはより熟した果実と豊かなボディ。</x:v>
      </x:c>
      <x:c r="I579" s="14" t="str">
        <x:v>ドイツ</x:v>
      </x:c>
      <x:c r="J579" s="14" t="str">
        <x:v>モーゼル</x:v>
      </x:c>
      <x:c r="K579" s="14" t="str">
        <x:v>地理;産地;ドイツ</x:v>
      </x:c>
      <x:c r="L579" s="14" t="str"/>
      <x:c r="M579" s="14" t="str">
        <x:v>germany_official_regions</x:v>
      </x:c>
      <x:c r="N579" s="14" t="str">
        <x:v>2026-07-12</x:v>
      </x:c>
      <x:c r="O579" s="14" t="str">
        <x:v>Y</x:v>
      </x:c>
    </x:row>
    <x:row r="580" ht="66" hidden="0" customHeight="1">
      <x:c r="A580" s="14" t="str">
        <x:v>term-578f1c13a396</x:v>
      </x:c>
      <x:c r="B580" s="14" t="str">
        <x:v>モーニントン・ペニンシュラ</x:v>
      </x:c>
      <x:c r="C580" s="14" t="str"/>
      <x:c r="D580" s="14" t="str"/>
      <x:c r="E580" s="14" t="str"/>
      <x:c r="F580" s="14" t="str">
        <x:v>産地・地名</x:v>
      </x:c>
      <x:c r="G580" s="14" t="str">
        <x:v>モーニントン・ペニンシュラはオーストラリアのワイン産地または原産地呼称。主要品種はピノ・ノワール、シャルドネ。海に囲まれた冷涼な気候が成熟を遅らせ、酸を保持する。バス海峡からの風が夏の暑さを和らげ、ピノ・ノワールとシャルドネの繊細な香りを保つ。</x:v>
      </x:c>
      <x:c r="H580" s="14" t="str">
        <x:v>自然条件：海に囲まれた冷涼な気候が成熟を遅らせ、酸を保持する。バス海峡からの風が夏の暑さを和らげ、ピノ・ノワールとシャルドネの繊細な香りを保つ。主要品種：ピノ・ノワール、シャルドネ。産地内でも標高、方位、土壌、海や河川からの距離によって成熟度と香味の強さが変わる。</x:v>
      </x:c>
      <x:c r="I580" s="14" t="str">
        <x:v>オーストラリア</x:v>
      </x:c>
      <x:c r="J580" s="14" t="str">
        <x:v>モーニントン・ペニンシュラ</x:v>
      </x:c>
      <x:c r="K580" s="14" t="str">
        <x:v>地理;産地;オーストラリア</x:v>
      </x:c>
      <x:c r="L580" s="14" t="str"/>
      <x:c r="M580" s="14" t="str">
        <x:v>australia_official_wine</x:v>
      </x:c>
      <x:c r="N580" s="14" t="str">
        <x:v>2026-07-12</x:v>
      </x:c>
      <x:c r="O580" s="14" t="str">
        <x:v>Y</x:v>
      </x:c>
    </x:row>
    <x:row r="581" ht="79.19999694824219" hidden="0" customHeight="1">
      <x:c r="A581" s="14" t="str">
        <x:v>term-bdd012a3f35a</x:v>
      </x:c>
      <x:c r="B581" s="14" t="str">
        <x:v>ヤキマ・ヴァレー</x:v>
      </x:c>
      <x:c r="C581" s="14" t="str"/>
      <x:c r="D581" s="14" t="str"/>
      <x:c r="E581" s="14" t="str"/>
      <x:c r="F581" s="14" t="str">
        <x:v>産地・地名</x:v>
      </x:c>
      <x:c r="G581" s="14" t="str">
        <x:v>ヤキマ・ヴァレーは米国のワイン産地または原産地呼称。主要品種はリースリング、シャルドネ、カベルネ・ソーヴィニヨン。標高、斜面、日照、冷気のたまり方が多様で、品種に合うメソ気候を選べる。乾燥した大陸性地域の中で、冷涼な区画から温暖な区画まで存在し、灌漑で水分を制御できる。</x:v>
      </x:c>
      <x:c r="H581" s="14" t="str">
        <x:v>自然条件：標高、斜面、日照、冷気のたまり方が多様で、品種に合うメソ気候を選べる。乾燥した大陸性地域の中で、冷涼な区画から温暖な区画まで存在し、灌漑で水分を制御できる。主要品種：リースリング、シャルドネ、カベルネ・ソーヴィニヨン。</x:v>
      </x:c>
      <x:c r="I581" s="14" t="str">
        <x:v>米国</x:v>
      </x:c>
      <x:c r="J581" s="14" t="str">
        <x:v>ヤキマ・ヴァレー</x:v>
      </x:c>
      <x:c r="K581" s="14" t="str">
        <x:v>地理;産地;米国</x:v>
      </x:c>
      <x:c r="L581" s="14" t="str"/>
      <x:c r="M581" s="14" t="str">
        <x:v>usa_official_wine</x:v>
      </x:c>
      <x:c r="N581" s="14" t="str">
        <x:v>2026-07-12</x:v>
      </x:c>
      <x:c r="O581" s="14" t="str">
        <x:v>Y</x:v>
      </x:c>
    </x:row>
    <x:row r="582" ht="52.79999923706055" hidden="0" customHeight="1">
      <x:c r="A582" s="14" t="str">
        <x:v>term-c70fefbf0aa1</x:v>
      </x:c>
      <x:c r="B582" s="14" t="str">
        <x:v>ヤラ・ヴァレー</x:v>
      </x:c>
      <x:c r="C582" s="14" t="str"/>
      <x:c r="D582" s="14" t="str"/>
      <x:c r="E582" s="14" t="str"/>
      <x:c r="F582" s="14" t="str">
        <x:v>産地・地名</x:v>
      </x:c>
      <x:c r="G582" s="14" t="str">
        <x:v>ヤラ・ヴァレーはオーストラリアのワイン産地または原産地呼称。主要品種はピノ・ノワール、シャルドネ。赤いチェリーとラズベリー、高い酸、中程度以下のタンニンを持つ香り高い赤。</x:v>
      </x:c>
      <x:c r="H582" s="14" t="str">
        <x:v>自然条件：標高と南からの冷気により、シャルドネとピノ・ノワールの酸を保持できる。冷涼な区画から早めに収穫した果実が、伝統的方式に適した繊細なベースワインになる。主要品種：ピノ・ノワール、シャルドネ。典型的なスタイル：赤いチェリーとラズベリー、高い酸、中程度以下のタンニンを持つ香り高い赤。</x:v>
      </x:c>
      <x:c r="I582" s="14" t="str">
        <x:v>オーストラリア</x:v>
      </x:c>
      <x:c r="J582" s="14" t="str">
        <x:v>ヤラ・ヴァレー</x:v>
      </x:c>
      <x:c r="K582" s="14" t="str">
        <x:v>地理;産地;オーストラリア</x:v>
      </x:c>
      <x:c r="L582" s="14" t="str"/>
      <x:c r="M582" s="14" t="str">
        <x:v>australia_official_wine</x:v>
      </x:c>
      <x:c r="N582" s="14" t="str">
        <x:v>2026-07-12</x:v>
      </x:c>
      <x:c r="O582" s="14" t="str">
        <x:v>Y</x:v>
      </x:c>
    </x:row>
    <x:row r="583" ht="66" hidden="0" customHeight="1">
      <x:c r="A583" s="14" t="str">
        <x:v>term-cdd2be986bee</x:v>
      </x:c>
      <x:c r="B583" s="14" t="str">
        <x:v>ヨハニスベルク</x:v>
      </x:c>
      <x:c r="C583" s="14" t="str"/>
      <x:c r="D583" s="14" t="str"/>
      <x:c r="E583" s="14" t="str"/>
      <x:c r="F583" s="14" t="str">
        <x:v>産地・地名</x:v>
      </x:c>
      <x:c r="G583" s="14" t="str">
        <x:v>ヨハニスベルクはドイツのワイン産地または原産地呼称。主要品種はリースリング。熟した柑橘・核果、高い酸、十分なボディと熟成力。ラインガウの南向き斜面とライン川の温和な影響により、冷涼ながら完熟したリースリングを得る。</x:v>
      </x:c>
      <x:c r="H583" s="14" t="str">
        <x:v>自然条件：熟した柑橘・核果、高い酸、十分なボディと熟成力。ラインガウの南向き斜面とライン川の温和な影響により、冷涼ながら完熟したリースリングを得る。主要品種：リースリング。産地内でも標高、方位、土壌、海や河川からの距離によって成熟度と香味の強さが変わる。</x:v>
      </x:c>
      <x:c r="I583" s="14" t="str">
        <x:v>ドイツ</x:v>
      </x:c>
      <x:c r="J583" s="14" t="str">
        <x:v>ヨハニスベルク</x:v>
      </x:c>
      <x:c r="K583" s="14" t="str">
        <x:v>地理;産地;ドイツ</x:v>
      </x:c>
      <x:c r="L583" s="14" t="str"/>
      <x:c r="M583" s="14" t="str">
        <x:v>germany_official_regions</x:v>
      </x:c>
      <x:c r="N583" s="14" t="str">
        <x:v>2026-07-12</x:v>
      </x:c>
      <x:c r="O583" s="14" t="str">
        <x:v>Y</x:v>
      </x:c>
    </x:row>
    <x:row r="584" ht="39.599998474121094" hidden="0" customHeight="1">
      <x:c r="A584" s="14" t="str">
        <x:v>term-9b6f372476d4</x:v>
      </x:c>
      <x:c r="B584" s="14" t="str">
        <x:v>ラインガウ</x:v>
      </x:c>
      <x:c r="C584" s="14" t="str">
        <x:v>Rheingau</x:v>
      </x:c>
      <x:c r="D584" s="14" t="str">
        <x:v>Rheingau</x:v>
      </x:c>
      <x:c r="E584" s="14" t="str"/>
      <x:c r="F584" s="14" t="str">
        <x:v>産地・地名</x:v>
      </x:c>
      <x:c r="G584" s="14" t="str">
        <x:v>ラインガウはドイツのリースリング産地。南向き斜面とライン川の反射・保温効果が成熟を助け、高い酸と比較的豊かなボディを両立する。</x:v>
      </x:c>
      <x:c r="H584" s="14" t="str">
        <x:v>タウヌス山地の南向き斜面が日射を受け、東西に流れるライン川が光と熱を反射して冷涼気候での成熟を助ける。リースリングが中心で、柑橘・核果、高い酸、モーゼルより比較的高い熟度とボディを持つ辛口から甘口まで造られる。</x:v>
      </x:c>
      <x:c r="I584" s="14" t="str">
        <x:v>ドイツ</x:v>
      </x:c>
      <x:c r="J584" s="14" t="str">
        <x:v>ラインガウ</x:v>
      </x:c>
      <x:c r="K584" s="14" t="str">
        <x:v>地理;産地;ドイツ</x:v>
      </x:c>
      <x:c r="L584" s="14" t="str"/>
      <x:c r="M584" s="14" t="str">
        <x:v>germany_official_regions</x:v>
      </x:c>
      <x:c r="N584" s="14" t="str">
        <x:v>2026-07-12</x:v>
      </x:c>
      <x:c r="O584" s="14" t="str">
        <x:v>Y</x:v>
      </x:c>
    </x:row>
    <x:row r="585" ht="52.79999923706055" hidden="0" customHeight="1">
      <x:c r="A585" s="14" t="str">
        <x:v>term-c99609f31aa1</x:v>
      </x:c>
      <x:c r="B585" s="14" t="str">
        <x:v>ラインヘッセン</x:v>
      </x:c>
      <x:c r="C585" s="14" t="str"/>
      <x:c r="D585" s="14" t="str"/>
      <x:c r="E585" s="14" t="str"/>
      <x:c r="F585" s="14" t="str">
        <x:v>産地・地名</x:v>
      </x:c>
      <x:c r="G585" s="14" t="str">
        <x:v>ラインヘッセンはドイツのワイン産地または原産地呼称。主要品種はリースリング、シルヴァーナー。比較的温暖で乾燥した条件から、熟した果実と高い酸を備えた辛口スタイル。</x:v>
      </x:c>
      <x:c r="H585" s="14" t="str">
        <x:v>自然条件：比較的温暖で乾燥した条件から、熟した果実と高い酸を備えた辛口スタイル。主要品種：リースリング、シルヴァーナー。産地内でも標高、方位、土壌、海や河川からの距離によって成熟度と香味の強さが変わる。</x:v>
      </x:c>
      <x:c r="I585" s="14" t="str">
        <x:v>ドイツ</x:v>
      </x:c>
      <x:c r="J585" s="14" t="str">
        <x:v>ラインヘッセン</x:v>
      </x:c>
      <x:c r="K585" s="14" t="str">
        <x:v>地理;産地;ドイツ</x:v>
      </x:c>
      <x:c r="L585" s="14" t="str"/>
      <x:c r="M585" s="14" t="str">
        <x:v>germany_official_regions</x:v>
      </x:c>
      <x:c r="N585" s="14" t="str">
        <x:v>2026-07-12</x:v>
      </x:c>
      <x:c r="O585" s="14" t="str">
        <x:v>Y</x:v>
      </x:c>
    </x:row>
    <x:row r="586" ht="79.19999694824219" hidden="0" customHeight="1">
      <x:c r="A586" s="14" t="str">
        <x:v>term-19e322be7b4d</x:v>
      </x:c>
      <x:c r="B586" s="14" t="str">
        <x:v>ラザグレン</x:v>
      </x:c>
      <x:c r="C586" s="14" t="str"/>
      <x:c r="D586" s="14" t="str"/>
      <x:c r="E586" s="14" t="str"/>
      <x:c r="F586" s="14" t="str">
        <x:v>産地・地名</x:v>
      </x:c>
      <x:c r="G586" s="14" t="str">
        <x:v>ラザグレンはオーストラリアのワイン産地または原産地呼称。主要品種はマスカット、マスカット・ア・プティ・グラン・ルージュ。レーズン、糖蜜、キャラメル、コーヒー、ナッツを思わせる濃厚な風味。温暖な環境で樽熟成と蒸発が進み、色が濃くなり、乾燥果実、キャラメル、ランシオなどの複雑な酸化熟成香が発達する。</x:v>
      </x:c>
      <x:c r="H586" s="14" t="str">
        <x:v>自然条件：暑く乾燥した大陸性の影響が強い気候と長い生育期間。高温と日照によりマスカットが高糖度まで成熟し、濃厚な甘口酒精強化ワインの基礎となる。主要品種：マスカット、マスカット・ア・プティ・グラン・ルージュ。典型的なスタイル：レーズン、糖蜜、キャラメル、コーヒー、ナッツを思わせる濃厚な風味。温暖な環境で樽熟成と蒸発が進み、色が濃くなり、乾燥果実、キャラメル、ランシオなどの複雑な酸化熟成香が発達する。</x:v>
      </x:c>
      <x:c r="I586" s="14" t="str">
        <x:v>オーストラリア</x:v>
      </x:c>
      <x:c r="J586" s="14" t="str">
        <x:v>ラザグレン</x:v>
      </x:c>
      <x:c r="K586" s="14" t="str">
        <x:v>地理;産地;オーストラリア</x:v>
      </x:c>
      <x:c r="L586" s="14" t="str"/>
      <x:c r="M586" s="14" t="str">
        <x:v>australia_official_wine</x:v>
      </x:c>
      <x:c r="N586" s="14" t="str">
        <x:v>2026-07-12</x:v>
      </x:c>
      <x:c r="O586" s="14" t="str">
        <x:v>Y</x:v>
      </x:c>
    </x:row>
    <x:row r="587" ht="66" hidden="0" customHeight="1">
      <x:c r="A587" s="14" t="str">
        <x:v>term-023037db2d9e</x:v>
      </x:c>
      <x:c r="B587" s="14" t="str">
        <x:v>ラザフォード</x:v>
      </x:c>
      <x:c r="C587" s="14" t="str"/>
      <x:c r="D587" s="14" t="str"/>
      <x:c r="E587" s="14" t="str"/>
      <x:c r="F587" s="14" t="str">
        <x:v>産地・地名</x:v>
      </x:c>
      <x:c r="G587" s="14" t="str">
        <x:v>ラザフォードは米国のワイン産地または原産地呼称。主要品種はカベルネ・ソーヴィニヨン。熟したカシス、杉、しっかりしたタンニンと、土っぽい粉状の質感。谷床の砂利・ローム質土壌と暖かな気候で、成熟した果実と構造を持つ赤を生む。</x:v>
      </x:c>
      <x:c r="H587" s="14" t="str">
        <x:v>自然条件：熟したカシス、杉、しっかりしたタンニンと、土っぽい粉状の質感。谷床の砂利・ローム質土壌と暖かな気候で、成熟した果実と構造を持つ赤を生む。主要品種：カベルネ・ソーヴィニヨン。産地内でも標高、方位、土壌、海や河川からの距離によって成熟度と香味の強さが変わる。</x:v>
      </x:c>
      <x:c r="I587" s="14" t="str">
        <x:v>米国</x:v>
      </x:c>
      <x:c r="J587" s="14" t="str">
        <x:v>ラザフォード</x:v>
      </x:c>
      <x:c r="K587" s="14" t="str">
        <x:v>地理;産地;米国</x:v>
      </x:c>
      <x:c r="L587" s="14" t="str"/>
      <x:c r="M587" s="14" t="str">
        <x:v>usa_official_wine</x:v>
      </x:c>
      <x:c r="N587" s="14" t="str">
        <x:v>2026-07-12</x:v>
      </x:c>
      <x:c r="O587" s="14" t="str">
        <x:v>Y</x:v>
      </x:c>
    </x:row>
    <x:row r="588" ht="52.79999923706055" hidden="0" customHeight="1">
      <x:c r="A588" s="14" t="str">
        <x:v>term-286b380ef015</x:v>
      </x:c>
      <x:c r="B588" s="14" t="str">
        <x:v>ラ・マンチャ</x:v>
      </x:c>
      <x:c r="C588" s="14" t="str"/>
      <x:c r="D588" s="14" t="str"/>
      <x:c r="E588" s="14" t="str"/>
      <x:c r="F588" s="14" t="str">
        <x:v>産地・地名</x:v>
      </x:c>
      <x:c r="G588" s="14" t="str">
        <x:v>ラ・マンチャはスペインのワイン産地または原産地呼称。主要品種はアイレン。Prioratは急斜面・古木・低収量、La Manchaは平坦地・機械化・大規模。</x:v>
      </x:c>
      <x:c r="H588" s="14" t="str">
        <x:v>自然条件：暑く乾燥した条件に耐え、低密植の株仕立てで安定した収量を得やすい。病害が少なく機械化もしやすいため、大量の中立的な白ワインや蒸留原料を生産できる。主要品種：アイレン。典型的なスタイル：Prioratは急斜面・古木・低収量、La Manchaは平坦地・機械化・大規模。</x:v>
      </x:c>
      <x:c r="I588" s="14" t="str">
        <x:v>スペイン</x:v>
      </x:c>
      <x:c r="J588" s="14" t="str">
        <x:v>ラ・マンチャ</x:v>
      </x:c>
      <x:c r="K588" s="14" t="str">
        <x:v>地理;産地;スペイン</x:v>
      </x:c>
      <x:c r="L588" s="14" t="str"/>
      <x:c r="M588" s="14" t="str">
        <x:v>spain_official_wine</x:v>
      </x:c>
      <x:c r="N588" s="14" t="str">
        <x:v>2026-07-12</x:v>
      </x:c>
      <x:c r="O588" s="14" t="str">
        <x:v>Y</x:v>
      </x:c>
    </x:row>
    <x:row r="589" ht="52.79999923706055" hidden="0" customHeight="1">
      <x:c r="A589" s="14" t="str">
        <x:v>term-3137c2f27f17</x:v>
      </x:c>
      <x:c r="B589" s="14" t="str">
        <x:v>リアス・バイシャス</x:v>
      </x:c>
      <x:c r="C589" s="14" t="str"/>
      <x:c r="D589" s="14" t="str"/>
      <x:c r="E589" s="14" t="str"/>
      <x:c r="F589" s="14" t="str">
        <x:v>産地・地名</x:v>
      </x:c>
      <x:c r="G589" s="14" t="str">
        <x:v>リアス・バイシャスはスペインのワイン産地または原産地呼称。主要品種はアルバリーニョ、ヴェルデホ。Rías Baixasは海洋性のAlbariño、Ruedaは内陸高原のVerdejoで知られる。</x:v>
      </x:c>
      <x:c r="H589" s="14" t="str">
        <x:v>自然条件：大西洋の影響を受ける温和で湿潤な気候が、成熟を穏やかに進めるため。海洋の冷却により酸が保たれ、香りの強い辛口白ワインになりやすい。主要品種：アルバリーニョ、ヴェルデホ。典型的なスタイル：Rías Baixasは海洋性のAlbariño、Ruedaは内陸高原のVerdejoで知られる。</x:v>
      </x:c>
      <x:c r="I589" s="14" t="str">
        <x:v>スペイン</x:v>
      </x:c>
      <x:c r="J589" s="14" t="str">
        <x:v>リアス・バイシャス</x:v>
      </x:c>
      <x:c r="K589" s="14" t="str">
        <x:v>地理;産地;スペイン</x:v>
      </x:c>
      <x:c r="L589" s="14" t="str"/>
      <x:c r="M589" s="14" t="str">
        <x:v>spain_official_wine</x:v>
      </x:c>
      <x:c r="N589" s="14" t="str">
        <x:v>2026-07-12</x:v>
      </x:c>
      <x:c r="O589" s="14" t="str">
        <x:v>Y</x:v>
      </x:c>
    </x:row>
    <x:row r="590" ht="52.79999923706055" hidden="0" customHeight="1">
      <x:c r="A590" s="14" t="str">
        <x:v>term-0ebe62ef97f8</x:v>
      </x:c>
      <x:c r="B590" s="14" t="str">
        <x:v>リオハ</x:v>
      </x:c>
      <x:c r="C590" s="14" t="str">
        <x:v>Rioja</x:v>
      </x:c>
      <x:c r="D590" s="14" t="str">
        <x:v>Rioja</x:v>
      </x:c>
      <x:c r="E590" s="14" t="str"/>
      <x:c r="F590" s="14" t="str">
        <x:v>産地・地名</x:v>
      </x:c>
      <x:c r="G590" s="14" t="str">
        <x:v>リオハはスペインのワイン産地または原産地呼称。主要品種はテンプラニーリョ。Riojaは熟成区分と樽香、Riberaは高標高由来の濃い果実と構造が明瞭。</x:v>
      </x:c>
      <x:c r="H590" s="14" t="str">
        <x:v>自然条件：バニラ、ココナッツ、甘いスパイス、ディルを思わせる香り。アメリカンオークはラクトンが多く、明瞭なココナッツやバニラ香を与えやすい。主要品種：テンプラニーリョ。典型的なスタイル：Riojaは熟成区分と樽香、Riberaは高標高由来の濃い果実と構造が明瞭。</x:v>
      </x:c>
      <x:c r="I590" s="14" t="str">
        <x:v>スペイン</x:v>
      </x:c>
      <x:c r="J590" s="14" t="str">
        <x:v>リオハ</x:v>
      </x:c>
      <x:c r="K590" s="14" t="str">
        <x:v>地理;産地;スペイン</x:v>
      </x:c>
      <x:c r="L590" s="14" t="str"/>
      <x:c r="M590" s="14" t="str">
        <x:v>spain_official_wine</x:v>
      </x:c>
      <x:c r="N590" s="14" t="str">
        <x:v>2026-07-12</x:v>
      </x:c>
      <x:c r="O590" s="14" t="str">
        <x:v>Y</x:v>
      </x:c>
    </x:row>
    <x:row r="591" ht="52.79999923706055" hidden="0" customHeight="1">
      <x:c r="A591" s="14" t="str">
        <x:v>term-e0b5fec75773</x:v>
      </x:c>
      <x:c r="B591" s="14" t="str">
        <x:v>リオハ・アルタ</x:v>
      </x:c>
      <x:c r="C591" s="14" t="str"/>
      <x:c r="D591" s="14" t="str"/>
      <x:c r="E591" s="14" t="str"/>
      <x:c r="F591" s="14" t="str">
        <x:v>産地・地名</x:v>
      </x:c>
      <x:c r="G591" s="14" t="str">
        <x:v>リオハ・アルタはスペインのワイン産地または原産地呼称。主要品種はテンプラニーリョ。標高が高く大西洋の影響が強いため、成熟が緩やかに進む。冷涼な夜と短い生育期間が酸を保ち、繊細で熟成向きのワインを生む。</x:v>
      </x:c>
      <x:c r="H591" s="14" t="str">
        <x:v>自然条件：標高が高く大西洋の影響が強いため、成熟が緩やかに進む。冷涼な夜と短い生育期間が酸を保ち、繊細で熟成向きのワインを生む。主要品種：テンプラニーリョ。産地内でも標高、方位、土壌、海や河川からの距離によって成熟度と香味の強さが変わる。</x:v>
      </x:c>
      <x:c r="I591" s="14" t="str">
        <x:v>スペイン</x:v>
      </x:c>
      <x:c r="J591" s="14" t="str">
        <x:v>リオハ・アルタ</x:v>
      </x:c>
      <x:c r="K591" s="14" t="str">
        <x:v>地理;産地;スペイン</x:v>
      </x:c>
      <x:c r="L591" s="14" t="str"/>
      <x:c r="M591" s="14" t="str">
        <x:v>spain_official_wine</x:v>
      </x:c>
      <x:c r="N591" s="14" t="str">
        <x:v>2026-07-12</x:v>
      </x:c>
      <x:c r="O591" s="14" t="str">
        <x:v>Y</x:v>
      </x:c>
    </x:row>
    <x:row r="592" ht="66" hidden="0" customHeight="1">
      <x:c r="A592" s="14" t="str">
        <x:v>term-b4e7f9286e6b</x:v>
      </x:c>
      <x:c r="B592" s="14" t="str">
        <x:v>リオハ・オリエンタル</x:v>
      </x:c>
      <x:c r="C592" s="14" t="str"/>
      <x:c r="D592" s="14" t="str"/>
      <x:c r="E592" s="14" t="str"/>
      <x:c r="F592" s="14" t="str">
        <x:v>産地・地名</x:v>
      </x:c>
      <x:c r="G592" s="14" t="str">
        <x:v>リオハ・オリエンタルはスペインのワイン産地または原産地呼称。主要品種はガルナッチャ、テンプラニーリョ。地中海性の影響が強く、標高が低めで夏が暑く乾燥するため。糖度が高まりやすく、熟した赤系果実と豊かなボディをブレンドへ与える。</x:v>
      </x:c>
      <x:c r="H592" s="14" t="str">
        <x:v>自然条件：地中海性の影響が強く、標高が低めで夏が暑く乾燥するため。糖度が高まりやすく、熟した赤系果実と豊かなボディをブレンドへ与える。主要品種：ガルナッチャ、テンプラニーリョ。産地内でも標高、方位、土壌、海や河川からの距離によって成熟度と香味の強さが変わる。</x:v>
      </x:c>
      <x:c r="I592" s="14" t="str">
        <x:v>スペイン</x:v>
      </x:c>
      <x:c r="J592" s="14" t="str">
        <x:v>リオハ・オリエンタル</x:v>
      </x:c>
      <x:c r="K592" s="14" t="str">
        <x:v>地理;産地;スペイン</x:v>
      </x:c>
      <x:c r="L592" s="14" t="str"/>
      <x:c r="M592" s="14" t="str">
        <x:v>spain_official_wine</x:v>
      </x:c>
      <x:c r="N592" s="14" t="str">
        <x:v>2026-07-12</x:v>
      </x:c>
      <x:c r="O592" s="14" t="str">
        <x:v>Y</x:v>
      </x:c>
    </x:row>
    <x:row r="593" ht="39.599998474121094" hidden="0" customHeight="1">
      <x:c r="A593" s="14" t="str">
        <x:v>term-cb7bba781fbc</x:v>
      </x:c>
      <x:c r="B593" s="14" t="str">
        <x:v>リスボア</x:v>
      </x:c>
      <x:c r="C593" s="14" t="str"/>
      <x:c r="D593" s="14" t="str"/>
      <x:c r="E593" s="14" t="str"/>
      <x:c r="F593" s="14" t="str">
        <x:v>産地・地名</x:v>
      </x:c>
      <x:c r="G593" s="14" t="str">
        <x:v>リスボアはポルトガルのワイン産地または原産地呼称。主要品種は土着品種・国際品種。大西洋沿岸の冷涼な区域から内陸の温暖な区域まで気候差が大きい。</x:v>
      </x:c>
      <x:c r="H593" s="14" t="str">
        <x:v>自然条件：大西洋沿岸の冷涼な区域から内陸の温暖な区域まで気候差が大きい。主要品種：土着品種・国際品種。産地内でも標高、方位、土壌、海や河川からの距離によって成熟度と香味の強さが変わる。</x:v>
      </x:c>
      <x:c r="I593" s="14" t="str">
        <x:v>ポルトガル</x:v>
      </x:c>
      <x:c r="J593" s="14" t="str">
        <x:v>リスボア</x:v>
      </x:c>
      <x:c r="K593" s="14" t="str">
        <x:v>地理;産地;ポルトガル</x:v>
      </x:c>
      <x:c r="L593" s="14" t="str"/>
      <x:c r="M593" s="14" t="str">
        <x:v>portugal_official_wine</x:v>
      </x:c>
      <x:c r="N593" s="14" t="str">
        <x:v>2026-07-12</x:v>
      </x:c>
      <x:c r="O593" s="14" t="str">
        <x:v>Y</x:v>
      </x:c>
    </x:row>
    <x:row r="594" ht="52.79999923706055" hidden="0" customHeight="1">
      <x:c r="A594" s="14" t="str">
        <x:v>term-0f7409adac8f</x:v>
      </x:c>
      <x:c r="B594" s="14" t="str">
        <x:v>リベラ・デル・ドゥエロ</x:v>
      </x:c>
      <x:c r="C594" s="14" t="str"/>
      <x:c r="D594" s="14" t="str"/>
      <x:c r="E594" s="14" t="str"/>
      <x:c r="F594" s="14" t="str">
        <x:v>産地・地名</x:v>
      </x:c>
      <x:c r="G594" s="14" t="str">
        <x:v>リベラ・デル・ドゥエロはスペインのワイン産地または原産地呼称。主要品種はテンプラニーリョ。Riojaは熟成区分と樽香、Riberaは高標高由来の濃い果実と構造が明瞭。</x:v>
      </x:c>
      <x:c r="H594" s="14" t="str">
        <x:v>自然条件：高い標高と大きな日較差により、昼に成熟し夜に酸を保つ。主要品種：テンプラニーリョ。典型的なスタイル：Riojaは熟成区分と樽香、Riberaは高標高由来の濃い果実と構造が明瞭。産地内でも標高、方位、土壌、海や河川からの距離によって成熟度と香味の強さが変わる。</x:v>
      </x:c>
      <x:c r="I594" s="14" t="str">
        <x:v>スペイン</x:v>
      </x:c>
      <x:c r="J594" s="14" t="str">
        <x:v>リベラ・デル・ドゥエロ</x:v>
      </x:c>
      <x:c r="K594" s="14" t="str">
        <x:v>地理;産地;スペイン</x:v>
      </x:c>
      <x:c r="L594" s="14" t="str"/>
      <x:c r="M594" s="14" t="str">
        <x:v>spain_official_wine</x:v>
      </x:c>
      <x:c r="N594" s="14" t="str">
        <x:v>2026-07-12</x:v>
      </x:c>
      <x:c r="O594" s="14" t="str">
        <x:v>Y</x:v>
      </x:c>
    </x:row>
    <x:row r="595" ht="39.599998474121094" hidden="0" customHeight="1">
      <x:c r="A595" s="14" t="str">
        <x:v>term-c2c8d00e67e7</x:v>
      </x:c>
      <x:c r="B595" s="14" t="str">
        <x:v>リマリ・ヴァレー</x:v>
      </x:c>
      <x:c r="C595" s="14" t="str"/>
      <x:c r="D595" s="14" t="str"/>
      <x:c r="E595" s="14" t="str"/>
      <x:c r="F595" s="14" t="str">
        <x:v>産地・地名</x:v>
      </x:c>
      <x:c r="G595" s="14" t="str">
        <x:v>リマリ・ヴァレーはチリのワイン産地または原産地呼称。主要品種はシャルドネ。太平洋からの冷却と石灰質土壌、乾燥した気候が働くから。</x:v>
      </x:c>
      <x:c r="H595" s="14" t="str">
        <x:v>自然条件：太平洋の冷却、海岸山脈の切れ目、石灰質土壌、低降水。冷たい風と霧が酸を保ち、石灰質土壌が引き締まったスタイルに寄与する。主要品種：シャルドネ。典型的なスタイル：太平洋からの冷却と石灰質土壌、乾燥した気候が働くから。</x:v>
      </x:c>
      <x:c r="I595" s="14" t="str">
        <x:v>チリ</x:v>
      </x:c>
      <x:c r="J595" s="14" t="str">
        <x:v>リマリ・ヴァレー</x:v>
      </x:c>
      <x:c r="K595" s="14" t="str">
        <x:v>地理;産地;チリ</x:v>
      </x:c>
      <x:c r="L595" s="14" t="str"/>
      <x:c r="M595" s="14" t="str">
        <x:v>chile_official_wine</x:v>
      </x:c>
      <x:c r="N595" s="14" t="str">
        <x:v>2026-07-12</x:v>
      </x:c>
      <x:c r="O595" s="14" t="str">
        <x:v>Y</x:v>
      </x:c>
    </x:row>
    <x:row r="596" ht="52.79999923706055" hidden="0" customHeight="1">
      <x:c r="A596" s="14" t="str">
        <x:v>term-4ba06d566152</x:v>
      </x:c>
      <x:c r="B596" s="14" t="str">
        <x:v>リムー</x:v>
      </x:c>
      <x:c r="C596" s="14" t="str"/>
      <x:c r="D596" s="14" t="str"/>
      <x:c r="E596" s="14" t="str"/>
      <x:c r="F596" s="14" t="str">
        <x:v>産地・地名</x:v>
      </x:c>
      <x:c r="G596" s="14" t="str">
        <x:v>リムーはフランスのワイン産地または原産地呼称。主要品種はモーザック。モーザックは青リンゴや乾燥ハーブを思わせる風味を与え、伝統的方式の発泡性ワインに用いられる。</x:v>
      </x:c>
      <x:c r="H596" s="14" t="str">
        <x:v>自然条件：モーザックは青リンゴや乾燥ハーブを思わせる風味を与え、伝統的方式の発泡性ワインに用いられる。主要品種：モーザック。産地内でも標高、方位、土壌、海や河川からの距離によって成熟度と香味の強さが変わる。</x:v>
      </x:c>
      <x:c r="I596" s="14" t="str">
        <x:v>フランス</x:v>
      </x:c>
      <x:c r="J596" s="14" t="str">
        <x:v>リムー</x:v>
      </x:c>
      <x:c r="K596" s="14" t="str">
        <x:v>地理;産地;フランス</x:v>
      </x:c>
      <x:c r="L596" s="14" t="str"/>
      <x:c r="M596" s="14" t="str">
        <x:v>languedoc_official_terroir</x:v>
      </x:c>
      <x:c r="N596" s="14" t="str">
        <x:v>2026-07-12</x:v>
      </x:c>
      <x:c r="O596" s="14" t="str">
        <x:v>Y</x:v>
      </x:c>
    </x:row>
    <x:row r="597" ht="52.79999923706055" hidden="0" customHeight="1">
      <x:c r="A597" s="14" t="str">
        <x:v>term-6b992f012016</x:v>
      </x:c>
      <x:c r="B597" s="14" t="str">
        <x:v>リューデスハイム</x:v>
      </x:c>
      <x:c r="C597" s="14" t="str"/>
      <x:c r="D597" s="14" t="str"/>
      <x:c r="E597" s="14" t="str"/>
      <x:c r="F597" s="14" t="str">
        <x:v>産地・地名</x:v>
      </x:c>
      <x:c r="G597" s="14" t="str">
        <x:v>リューデスハイムはドイツのワイン産地または原産地呼称。主要品種はリースリング。ライン川を見下ろす急な南向き斜面が強い日射を受けるため。川の反射熱と排水のよい斜面が成熟を助け、酸と果実濃度を両立する。</x:v>
      </x:c>
      <x:c r="H597" s="14" t="str">
        <x:v>自然条件：ライン川を見下ろす急な南向き斜面が強い日射を受けるため。川の反射熱と排水のよい斜面が成熟を助け、酸と果実濃度を両立する。主要品種：リースリング。産地内でも標高、方位、土壌、海や河川からの距離によって成熟度と香味の強さが変わる。</x:v>
      </x:c>
      <x:c r="I597" s="14" t="str">
        <x:v>ドイツ</x:v>
      </x:c>
      <x:c r="J597" s="14" t="str">
        <x:v>リューデスハイム</x:v>
      </x:c>
      <x:c r="K597" s="14" t="str">
        <x:v>地理;産地;ドイツ</x:v>
      </x:c>
      <x:c r="L597" s="14" t="str"/>
      <x:c r="M597" s="14" t="str">
        <x:v>germany_official_regions</x:v>
      </x:c>
      <x:c r="N597" s="14" t="str">
        <x:v>2026-07-12</x:v>
      </x:c>
      <x:c r="O597" s="14" t="str">
        <x:v>Y</x:v>
      </x:c>
    </x:row>
    <x:row r="598" ht="66" hidden="0" customHeight="1">
      <x:c r="A598" s="14" t="str">
        <x:v>term-c5779820fbcb</x:v>
      </x:c>
      <x:c r="B598" s="14" t="str">
        <x:v>リラック</x:v>
      </x:c>
      <x:c r="C598" s="14" t="str"/>
      <x:c r="D598" s="14" t="str"/>
      <x:c r="E598" s="14" t="str"/>
      <x:c r="F598" s="14" t="str">
        <x:v>産地・地名</x:v>
      </x:c>
      <x:c r="G598" s="14" t="str">
        <x:v>リラックはフランスのワイン産地または原産地呼称。主要品種はグルナッシュ、シラー、ムールヴェードル。グルナッシュ主体で、熟した赤・黒系果実、スパイス、中程度以上のボディを持つ。温暖な南部ローヌで、グルナッシュ、シラー、ムールヴェードルなどをブレンドする。</x:v>
      </x:c>
      <x:c r="H598" s="14" t="str">
        <x:v>自然条件：グルナッシュ主体で、熟した赤・黒系果実、スパイス、中程度以上のボディを持つ。温暖な南部ローヌで、グルナッシュ、シラー、ムールヴェードルなどをブレンドする。主要品種：グルナッシュ、シラー、ムールヴェードル。</x:v>
      </x:c>
      <x:c r="I598" s="14" t="str">
        <x:v>フランス</x:v>
      </x:c>
      <x:c r="J598" s="14" t="str">
        <x:v>リラック</x:v>
      </x:c>
      <x:c r="K598" s="14" t="str">
        <x:v>地理;産地;フランス</x:v>
      </x:c>
      <x:c r="L598" s="14" t="str"/>
      <x:c r="M598" s="14" t="str">
        <x:v>rhone_official_terroir</x:v>
      </x:c>
      <x:c r="N598" s="14" t="str">
        <x:v>2026-07-12</x:v>
      </x:c>
      <x:c r="O598" s="14" t="str">
        <x:v>Y</x:v>
      </x:c>
    </x:row>
    <x:row r="599" ht="52.79999923706055" hidden="0" customHeight="1">
      <x:c r="A599" s="14" t="str">
        <x:v>term-f48b8fce21aa</x:v>
      </x:c>
      <x:c r="B599" s="14" t="str">
        <x:v>ルエダ</x:v>
      </x:c>
      <x:c r="C599" s="14" t="str"/>
      <x:c r="D599" s="14" t="str"/>
      <x:c r="E599" s="14" t="str"/>
      <x:c r="F599" s="14" t="str">
        <x:v>産地・地名</x:v>
      </x:c>
      <x:c r="G599" s="14" t="str">
        <x:v>ルエダはスペインのワイン産地または原産地呼称。主要品種はヴェルデホ、アルバリーニョ。Rías Baixasは海洋性のAlbariño、Ruedaは内陸高原のVerdejoで知られる。</x:v>
      </x:c>
      <x:c r="H599" s="14" t="str">
        <x:v>自然条件：高い標高による大きな日較差が、昼の成熟と夜の酸保持を両立するため。暖かな日中が風味成熟を進め、冷涼な夜が呼吸による酸の減少を抑える。主要品種：ヴェルデホ、アルバリーニョ。典型的なスタイル：Rías Baixasは海洋性のAlbariño、Ruedaは内陸高原のVerdejoで知られる。</x:v>
      </x:c>
      <x:c r="I599" s="14" t="str">
        <x:v>スペイン</x:v>
      </x:c>
      <x:c r="J599" s="14" t="str">
        <x:v>ルエダ</x:v>
      </x:c>
      <x:c r="K599" s="14" t="str">
        <x:v>地理;産地;スペイン</x:v>
      </x:c>
      <x:c r="L599" s="14" t="str"/>
      <x:c r="M599" s="14" t="str">
        <x:v>spain_official_wine</x:v>
      </x:c>
      <x:c r="N599" s="14" t="str">
        <x:v>2026-07-12</x:v>
      </x:c>
      <x:c r="O599" s="14" t="str">
        <x:v>Y</x:v>
      </x:c>
    </x:row>
    <x:row r="600" ht="52.79999923706055" hidden="0" customHeight="1">
      <x:c r="A600" s="14" t="str">
        <x:v>term-b21d194b0ab1</x:v>
      </x:c>
      <x:c r="B600" s="14" t="str">
        <x:v>ルハン・デ・クージョ</x:v>
      </x:c>
      <x:c r="C600" s="14" t="str"/>
      <x:c r="D600" s="14" t="str"/>
      <x:c r="E600" s="14" t="str"/>
      <x:c r="F600" s="14" t="str">
        <x:v>産地・地名</x:v>
      </x:c>
      <x:c r="G600" s="14" t="str">
        <x:v>ルハン・デ・クージョはアルゼンチンのワイン産地または原産地呼称。主要品種はマルベック。Ucoは高標高で高酸・花香、Lujánは温暖で熟した黒果実と豊かなボディ。</x:v>
      </x:c>
      <x:c r="H600" s="14" t="str">
        <x:v>自然条件：標高のある乾燥した畑で、強い日射と灌漑を管理し、十分に成熟させる。標高による涼しい夜で酸を保ちつつ、強い日射と乾燥条件で色と果実を成熟させ、灌漑により適度な水分ストレスを管理できる。主要品種：マルベック。典型的なスタイル：Ucoは高標高で高酸・花香、Lujánは温暖で熟した黒果実と豊かなボディ。</x:v>
      </x:c>
      <x:c r="I600" s="14" t="str">
        <x:v>アルゼンチン</x:v>
      </x:c>
      <x:c r="J600" s="14" t="str">
        <x:v>ルハン・デ・クージョ</x:v>
      </x:c>
      <x:c r="K600" s="14" t="str">
        <x:v>地理;産地;アルゼンチン</x:v>
      </x:c>
      <x:c r="L600" s="14" t="str"/>
      <x:c r="M600" s="14" t="str">
        <x:v>argentina_official_wine</x:v>
      </x:c>
      <x:c r="N600" s="14" t="str">
        <x:v>2026-07-12</x:v>
      </x:c>
      <x:c r="O600" s="14" t="str">
        <x:v>Y</x:v>
      </x:c>
    </x:row>
    <x:row r="601" ht="66" hidden="0" customHeight="1">
      <x:c r="A601" s="14" t="str">
        <x:v>term-98c2eccdd33f</x:v>
      </x:c>
      <x:c r="B601" s="14" t="str">
        <x:v>ルーション</x:v>
      </x:c>
      <x:c r="C601" s="14" t="str"/>
      <x:c r="D601" s="14" t="str"/>
      <x:c r="E601" s="14" t="str"/>
      <x:c r="F601" s="14" t="str">
        <x:v>産地・地名</x:v>
      </x:c>
      <x:c r="G601" s="14" t="str">
        <x:v>ルーションはフランスのワイン産地または原産地呼称。主要品種はグルナッシュ、カリニャン、シラー。暑く乾燥した気候と低収量の古木が、小粒で風味の濃い果実を生むため。乾燥と風が病害を抑え、痩せた斜面の古木は収量が低く、高アルコールで濃厚なワインになりやすい。</x:v>
      </x:c>
      <x:c r="H601" s="14" t="str">
        <x:v>自然条件：暑く乾燥した気候と低収量の古木が、小粒で風味の濃い果実を生むため。乾燥と風が病害を抑え、痩せた斜面の古木は収量が低く、高アルコールで濃厚なワインになりやすい。主要品種：グルナッシュ、カリニャン、シラー。</x:v>
      </x:c>
      <x:c r="I601" s="14" t="str">
        <x:v>フランス</x:v>
      </x:c>
      <x:c r="J601" s="14" t="str">
        <x:v>ルーション</x:v>
      </x:c>
      <x:c r="K601" s="14" t="str">
        <x:v>地理;産地;フランス</x:v>
      </x:c>
      <x:c r="L601" s="14" t="str"/>
      <x:c r="M601" s="14" t="str">
        <x:v>languedoc_official_terroir</x:v>
      </x:c>
      <x:c r="N601" s="14" t="str">
        <x:v>2026-07-12</x:v>
      </x:c>
      <x:c r="O601" s="14" t="str">
        <x:v>Y</x:v>
      </x:c>
    </x:row>
    <x:row r="602" ht="66" hidden="0" customHeight="1">
      <x:c r="A602" s="14" t="str">
        <x:v>term-6a130208bba9</x:v>
      </x:c>
      <x:c r="B602" s="14" t="str">
        <x:v>ロシアン・リヴァー・ヴァレー</x:v>
      </x:c>
      <x:c r="C602" s="14" t="str"/>
      <x:c r="D602" s="14" t="str"/>
      <x:c r="E602" s="14" t="str"/>
      <x:c r="F602" s="14" t="str">
        <x:v>産地・地名</x:v>
      </x:c>
      <x:c r="G602" s="14" t="str">
        <x:v>ロシアン・リヴァー・ヴァレーは米国のワイン産地または原産地呼称。主要品種はピノ・ノワール、シャルドネ、カベルネ・ソーヴィニヨン。Russian Riverは冷霧のPinot・Chardonnay、Alexanderは温暖なCabernet。</x:v>
      </x:c>
      <x:c r="H602" s="14" t="str">
        <x:v>自然条件：太平洋から入る霧と冷たい空気が日中の気温を下げ、成熟期間を延ばす。沿岸からの霧と風がソノマ内陸へ入り、暖かい日中を冷却するため、酸を保ちながら風味をゆっくり成熟させられる。主要品種：ピノ・ノワール、シャルドネ、カベルネ・ソーヴィニヨン。典型的なスタイル：Russian Riverは冷霧のPinot・Chardonnay、Alexanderは温暖なCabernet。</x:v>
      </x:c>
      <x:c r="I602" s="14" t="str">
        <x:v>米国</x:v>
      </x:c>
      <x:c r="J602" s="14" t="str">
        <x:v>ロシアン・リヴァー・ヴァレー</x:v>
      </x:c>
      <x:c r="K602" s="14" t="str">
        <x:v>地理;産地;米国</x:v>
      </x:c>
      <x:c r="L602" s="14" t="str"/>
      <x:c r="M602" s="14" t="str">
        <x:v>usa_official_wine</x:v>
      </x:c>
      <x:c r="N602" s="14" t="str">
        <x:v>2026-07-12</x:v>
      </x:c>
      <x:c r="O602" s="14" t="str">
        <x:v>Y</x:v>
      </x:c>
    </x:row>
    <x:row r="603" ht="66" hidden="0" customHeight="1">
      <x:c r="A603" s="14" t="str">
        <x:v>term-f0523ed83200</x:v>
      </x:c>
      <x:c r="B603" s="14" t="str">
        <x:v>ロス・カーネロス</x:v>
      </x:c>
      <x:c r="C603" s="14" t="str"/>
      <x:c r="D603" s="14" t="str"/>
      <x:c r="E603" s="14" t="str"/>
      <x:c r="F603" s="14" t="str">
        <x:v>産地・地名</x:v>
      </x:c>
      <x:c r="G603" s="14" t="str">
        <x:v>ロス・カーネロスは米国のワイン産地または原産地呼称。主要品種はシャルドネ、ピノ・ノワール。午前の気温と日射を抑え、酸の低下と糖の急上昇を遅らせる。午後には霧が晴れて光合成と成熟が進むため、長い生育期間と十分な果実味を両立する。</x:v>
      </x:c>
      <x:c r="H603" s="14" t="str">
        <x:v>自然条件：サン・パブロ湾からの風と霧が日中の気温を下げるため。冷涼な海洋影響により、シャルドネとピノ・ノワールが酸を保ち、香りをゆっくり発達させる。主要品種：シャルドネ、ピノ・ノワール。典型的なスタイル：午前の気温と日射を抑え、酸の低下と糖の急上昇を遅らせる。午後には霧が晴れて光合成と成熟が進むため、長い生育期間と十分な果実味を両立する。</x:v>
      </x:c>
      <x:c r="I603" s="14" t="str">
        <x:v>米国</x:v>
      </x:c>
      <x:c r="J603" s="14" t="str">
        <x:v>ロス・カーネロス</x:v>
      </x:c>
      <x:c r="K603" s="14" t="str">
        <x:v>地理;産地;米国</x:v>
      </x:c>
      <x:c r="L603" s="14" t="str"/>
      <x:c r="M603" s="14" t="str">
        <x:v>usa_official_wine</x:v>
      </x:c>
      <x:c r="N603" s="14" t="str">
        <x:v>2026-07-12</x:v>
      </x:c>
      <x:c r="O603" s="14" t="str">
        <x:v>Y</x:v>
      </x:c>
    </x:row>
    <x:row r="604" ht="52.79999923706055" hidden="0" customHeight="1">
      <x:c r="A604" s="14" t="str">
        <x:v>term-ba074b1d885d</x:v>
      </x:c>
      <x:c r="B604" s="14" t="str">
        <x:v>ロワール</x:v>
      </x:c>
      <x:c r="C604" s="14" t="str">
        <x:v>Loire</x:v>
      </x:c>
      <x:c r="D604" s="14" t="str">
        <x:v>Loire</x:v>
      </x:c>
      <x:c r="E604" s="14" t="str"/>
      <x:c r="F604" s="14" t="str">
        <x:v>産地・地名</x:v>
      </x:c>
      <x:c r="G604" s="14" t="str">
        <x:v>ロワールはフランスのワイン産地または原産地呼称。主要品種はシュナン・ブラン、ソーヴィニヨン・ブラン。年間を通じて低温で湿度が安定し、瓶内二次発酵と澱熟成をゆっくり進められる。</x:v>
      </x:c>
      <x:c r="H604" s="14" t="str">
        <x:v>自然条件：高い酸とリンゴ・カリンの風味を持ち、瓶内熟成にも耐えられる。ロワールの冷涼な条件で酸を保持し、伝統的方式で新鮮さと熟成由来の複雑性を両立する。主要品種：シュナン・ブラン、ソーヴィニヨン・ブラン。典型的なスタイル：年間を通じて低温で湿度が安定し、瓶内二次発酵と澱熟成をゆっくり進められる。</x:v>
      </x:c>
      <x:c r="I604" s="14" t="str">
        <x:v>フランス</x:v>
      </x:c>
      <x:c r="J604" s="14" t="str">
        <x:v>ロワール</x:v>
      </x:c>
      <x:c r="K604" s="14" t="str">
        <x:v>地理;産地;フランス</x:v>
      </x:c>
      <x:c r="L604" s="14" t="str"/>
      <x:c r="M604" s="14" t="str">
        <x:v>loire_official_terroir</x:v>
      </x:c>
      <x:c r="N604" s="14" t="str">
        <x:v>2026-07-12</x:v>
      </x:c>
      <x:c r="O604" s="14" t="str">
        <x:v>Y</x:v>
      </x:c>
    </x:row>
    <x:row r="605" ht="79.19999694824219" hidden="0" customHeight="1">
      <x:c r="A605" s="14" t="str">
        <x:v>term-39f945e326e8</x:v>
      </x:c>
      <x:c r="B605" s="14" t="str">
        <x:v>ワシントン</x:v>
      </x:c>
      <x:c r="C605" s="14" t="str"/>
      <x:c r="D605" s="14" t="str"/>
      <x:c r="E605" s="14" t="str"/>
      <x:c r="F605" s="14" t="str">
        <x:v>産地・地名</x:v>
      </x:c>
      <x:c r="G605" s="14" t="str">
        <x:v>ワシントンは米国のワイン産地または原産地呼称。主要品種はカベルネ・ソーヴィニヨン、メルロ、リースリング。カスケード山脈の雨陰で生育期が乾燥し、自然降水だけでは不足しやすい。西からの湿った空気が山脈で雨を落とすため、東側のコロンビア・ヴァレーは乾燥し、河川水を利用した灌漑で樹勢と成熟を管理する。</x:v>
      </x:c>
      <x:c r="H605" s="14" t="str">
        <x:v>自然条件：カスケード山脈の雨陰で生育期が乾燥し、自然降水だけでは不足しやすい。西からの湿った空気が山脈で雨を落とすため、東側のコロンビア・ヴァレーは乾燥し、河川水を利用した灌漑で樹勢と成熟を管理する。主要品種：カベルネ・ソーヴィニヨン、メルロ、リースリング。</x:v>
      </x:c>
      <x:c r="I605" s="14" t="str">
        <x:v>米国</x:v>
      </x:c>
      <x:c r="J605" s="14" t="str">
        <x:v>ワシントン</x:v>
      </x:c>
      <x:c r="K605" s="14" t="str">
        <x:v>地理;産地;米国</x:v>
      </x:c>
      <x:c r="L605" s="14" t="str"/>
      <x:c r="M605" s="14" t="str">
        <x:v>usa_official_wine</x:v>
      </x:c>
      <x:c r="N605" s="14" t="str">
        <x:v>2026-07-12</x:v>
      </x:c>
      <x:c r="O605" s="14" t="str">
        <x:v>Y</x:v>
      </x:c>
    </x:row>
    <x:row r="606" ht="66" hidden="0" customHeight="1">
      <x:c r="A606" s="14" t="str">
        <x:v>term-3cf0687fae7f</x:v>
      </x:c>
      <x:c r="B606" s="14" t="str">
        <x:v>ワラ・ワラ・ヴァレー</x:v>
      </x:c>
      <x:c r="C606" s="14" t="str"/>
      <x:c r="D606" s="14" t="str"/>
      <x:c r="E606" s="14" t="str"/>
      <x:c r="F606" s="14" t="str">
        <x:v>産地・地名</x:v>
      </x:c>
      <x:c r="G606" s="14" t="str">
        <x:v>ワラ・ワラ・ヴァレーは米国のワイン産地または原産地呼称。主要品種はカベルネ・ソーヴィニヨン、メルロ、シラー。乾燥した暖かい生育期、大きな日較差、灌漑による水分管理。カスケード山脈の雨陰で病害が少なく、成熟を進めながら夜間の冷却で酸を保てる。</x:v>
      </x:c>
      <x:c r="H606" s="14" t="str">
        <x:v>自然条件：乾燥した暖かい生育期、大きな日較差、灌漑による水分管理。カスケード山脈の雨陰で病害が少なく、成熟を進めながら夜間の冷却で酸を保てる。主要品種：カベルネ・ソーヴィニヨン、メルロ、シラー。産地内でも標高、方位、土壌、海や河川からの距離によって成熟度と香味の強さが変わる。</x:v>
      </x:c>
      <x:c r="I606" s="14" t="str">
        <x:v>米国</x:v>
      </x:c>
      <x:c r="J606" s="14" t="str">
        <x:v>ワラ・ワラ・ヴァレー</x:v>
      </x:c>
      <x:c r="K606" s="14" t="str">
        <x:v>地理;産地;米国</x:v>
      </x:c>
      <x:c r="L606" s="14" t="str"/>
      <x:c r="M606" s="14" t="str">
        <x:v>usa_official_wine</x:v>
      </x:c>
      <x:c r="N606" s="14" t="str">
        <x:v>2026-07-12</x:v>
      </x:c>
      <x:c r="O606" s="14" t="str">
        <x:v>Y</x:v>
      </x:c>
    </x:row>
    <x:row r="607" ht="66" hidden="0" customHeight="1">
      <x:c r="A607" s="14" t="str">
        <x:v>term-43bdbcdb05c4</x:v>
      </x:c>
      <x:c r="B607" s="14" t="str">
        <x:v>ヴァインフィアテル</x:v>
      </x:c>
      <x:c r="C607" s="14" t="str"/>
      <x:c r="D607" s="14" t="str"/>
      <x:c r="E607" s="14" t="str"/>
      <x:c r="F607" s="14" t="str">
        <x:v>産地・地名</x:v>
      </x:c>
      <x:c r="G607" s="14" t="str">
        <x:v>ヴァインフィアテルはオーストリアのワイン産地または原産地呼称。主要品種はグリューナー・ヴェルトリーナー。高い酸、柑橘、青リンゴ、白胡椒を持つ辛口白。レス土壌と大陸性気候から、フレッシュで品種のスパイシーさを明瞭に表す。</x:v>
      </x:c>
      <x:c r="H607" s="14" t="str">
        <x:v>自然条件：高い酸、柑橘、青リンゴ、白胡椒を持つ辛口白。レス土壌と大陸性気候から、フレッシュで品種のスパイシーさを明瞭に表す。主要品種：グリューナー・ヴェルトリーナー。産地内でも標高、方位、土壌、海や河川からの距離によって成熟度と香味の強さが変わる。</x:v>
      </x:c>
      <x:c r="I607" s="14" t="str">
        <x:v>オーストリア</x:v>
      </x:c>
      <x:c r="J607" s="14" t="str">
        <x:v>ヴァインフィアテル</x:v>
      </x:c>
      <x:c r="K607" s="14" t="str">
        <x:v>地理;産地;オーストリア</x:v>
      </x:c>
      <x:c r="L607" s="14" t="str"/>
      <x:c r="M607" s="14" t="str">
        <x:v>austria_official_wine</x:v>
      </x:c>
      <x:c r="N607" s="14" t="str">
        <x:v>2026-07-12</x:v>
      </x:c>
      <x:c r="O607" s="14" t="str">
        <x:v>Y</x:v>
      </x:c>
    </x:row>
    <x:row r="608" ht="79.19999694824219" hidden="0" customHeight="1">
      <x:c r="A608" s="14" t="str">
        <x:v>term-95209e7fbfcb</x:v>
      </x:c>
      <x:c r="B608" s="14" t="str">
        <x:v>ヴァッハウ</x:v>
      </x:c>
      <x:c r="C608" s="14" t="str"/>
      <x:c r="D608" s="14" t="str"/>
      <x:c r="E608" s="14" t="str"/>
      <x:c r="F608" s="14" t="str">
        <x:v>産地・地名</x:v>
      </x:c>
      <x:c r="G608" s="14" t="str">
        <x:v>ヴァッハウはオーストリアのワイン産地または原産地呼称。主要品種はリースリング、グリューナー・ヴェルトリーナー、ブラウフレンキッシュ。日当たりのよい段々畑と、標高や冷たい気流による夜間の冷却。日中の成熟と夜間の酸の保持を両立し、凝縮度と鮮度を持つワインを生みやすい。</x:v>
      </x:c>
      <x:c r="H608" s="14" t="str">
        <x:v>自然条件：日照と排水を確保し、ドナウ川と石壁の熱で成熟を助けるため。冷涼な地域で斜面と石壁が日射を活用し、川が気温を緩和する。主要品種：リースリング、グリューナー・ヴェルトリーナー、ブラウフレンキッシュ。典型的なスタイル：日当たりのよい段々畑と、標高や冷たい気流による夜間の冷却。日中の成熟と夜間の酸の保持を両立し、凝縮度と鮮度を持つワインを生みやすい。</x:v>
      </x:c>
      <x:c r="I608" s="14" t="str">
        <x:v>オーストリア</x:v>
      </x:c>
      <x:c r="J608" s="14" t="str">
        <x:v>ヴァッハウ</x:v>
      </x:c>
      <x:c r="K608" s="14" t="str">
        <x:v>地理;産地;オーストリア</x:v>
      </x:c>
      <x:c r="L608" s="14" t="str"/>
      <x:c r="M608" s="14" t="str">
        <x:v>austria_official_wine</x:v>
      </x:c>
      <x:c r="N608" s="14" t="str">
        <x:v>2026-07-12</x:v>
      </x:c>
      <x:c r="O608" s="14" t="str">
        <x:v>Y</x:v>
      </x:c>
    </x:row>
    <x:row r="609" ht="79.19999694824219" hidden="0" customHeight="1">
      <x:c r="A609" s="14" t="str">
        <x:v>term-69251d926d45</x:v>
      </x:c>
      <x:c r="B609" s="14" t="str">
        <x:v>ヴァルポリチェッラ</x:v>
      </x:c>
      <x:c r="C609" s="14" t="str"/>
      <x:c r="D609" s="14" t="str"/>
      <x:c r="E609" s="14" t="str"/>
      <x:c r="F609" s="14" t="str">
        <x:v>産地・地名</x:v>
      </x:c>
      <x:c r="G609" s="14" t="str">
        <x:v>ヴァルポリチェッラはイタリアのワイン産地または原産地呼称。主要品種はコルヴィーナ。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H609" s="14" t="str">
        <x:v>自然条件：アマローネ用の乾燥ブドウの搾りかすと再発酵し、色・アルコール・風味を増すため。残った糖と抽出成分が若いヴァルポリチェッラへ移り、より豊かなスタイルになる。主要品種：コルヴィーナ。典型的なスタイル：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I609" s="14" t="str">
        <x:v>イタリア</x:v>
      </x:c>
      <x:c r="J609" s="14" t="str">
        <x:v>ヴァルポリチェッラ</x:v>
      </x:c>
      <x:c r="K609" s="14" t="str">
        <x:v>地理;産地;イタリア</x:v>
      </x:c>
      <x:c r="L609" s="14" t="str"/>
      <x:c r="M609" s="14" t="str">
        <x:v>italy_official_wine</x:v>
      </x:c>
      <x:c r="N609" s="14" t="str">
        <x:v>2026-07-12</x:v>
      </x:c>
      <x:c r="O609" s="14" t="str">
        <x:v>Y</x:v>
      </x:c>
    </x:row>
    <x:row r="610" ht="52.79999923706055" hidden="0" customHeight="1">
      <x:c r="A610" s="14" t="str">
        <x:v>term-35bc1540d38a</x:v>
      </x:c>
      <x:c r="B610" s="14" t="str">
        <x:v>ヴァル・ド・サルネス</x:v>
      </x:c>
      <x:c r="C610" s="14" t="str"/>
      <x:c r="D610" s="14" t="str"/>
      <x:c r="E610" s="14" t="str"/>
      <x:c r="F610" s="14" t="str">
        <x:v>産地・地名</x:v>
      </x:c>
      <x:c r="G610" s="14" t="str">
        <x:v>ヴァル・ド・サルネスはスペインのワイン産地または原産地呼称。主要品種はアルバリーニョ。大西洋に近い冷涼で湿潤な気候と花崗岩質土壌。成熟がゆっくり進み、柑橘、核果、花、高い酸を保つ。棚仕立てで風通しを確保する。</x:v>
      </x:c>
      <x:c r="H610" s="14" t="str">
        <x:v>自然条件：大西洋に近い冷涼で湿潤な気候と花崗岩質土壌。成熟がゆっくり進み、柑橘、核果、花、高い酸を保つ。棚仕立てで風通しを確保する。主要品種：アルバリーニョ。産地内でも標高、方位、土壌、海や河川からの距離によって成熟度と香味の強さが変わる。</x:v>
      </x:c>
      <x:c r="I610" s="14" t="str">
        <x:v>スペイン</x:v>
      </x:c>
      <x:c r="J610" s="14" t="str">
        <x:v>ヴァル・ド・サルネス</x:v>
      </x:c>
      <x:c r="K610" s="14" t="str">
        <x:v>地理;産地;スペイン</x:v>
      </x:c>
      <x:c r="L610" s="14" t="str"/>
      <x:c r="M610" s="14" t="str">
        <x:v>spain_official_wine</x:v>
      </x:c>
      <x:c r="N610" s="14" t="str">
        <x:v>2026-07-12</x:v>
      </x:c>
      <x:c r="O610" s="14" t="str">
        <x:v>Y</x:v>
      </x:c>
    </x:row>
    <x:row r="611" ht="66" hidden="0" customHeight="1">
      <x:c r="A611" s="14" t="str">
        <x:v>term-00a4c53d009d</x:v>
      </x:c>
      <x:c r="B611" s="14" t="str">
        <x:v>ヴァレ・ドゥ・ラ・マルヌ</x:v>
      </x:c>
      <x:c r="C611" s="14" t="str"/>
      <x:c r="D611" s="14" t="str"/>
      <x:c r="E611" s="14" t="str"/>
      <x:c r="F611" s="14" t="str">
        <x:v>産地・地名</x:v>
      </x:c>
      <x:c r="G611" s="14" t="str">
        <x:v>ヴァレ・ドゥ・ラ・マルヌはフランスのワイン産地または原産地呼称。主要品種はムーニエ。萌芽が遅く比較的早熟で、霜の影響を受けやすい地域でも安定して成熟しやすいから。遅い萌芽で春霜を避けやすく、比較的早く成熟するため冷涼な条件に適応しやすい。</x:v>
      </x:c>
      <x:c r="H611" s="14" t="str">
        <x:v>自然条件：萌芽が遅く比較的早熟で、霜の影響を受けやすい地域でも安定して成熟しやすいから。遅い萌芽で春霜を避けやすく、比較的早く成熟するため冷涼な条件に適応しやすい。主要品種：ムーニエ。産地内でも標高、方位、土壌、海や河川からの距離によって成熟度と香味の強さが変わる。</x:v>
      </x:c>
      <x:c r="I611" s="14" t="str">
        <x:v>フランス</x:v>
      </x:c>
      <x:c r="J611" s="14" t="str">
        <x:v>ヴァレ・ドゥ・ラ・マルヌ</x:v>
      </x:c>
      <x:c r="K611" s="14" t="str">
        <x:v>地理;産地;フランス</x:v>
      </x:c>
      <x:c r="L611" s="14" t="str"/>
      <x:c r="M611" s="14" t="str">
        <x:v>champagne_official_terroir</x:v>
      </x:c>
      <x:c r="N611" s="14" t="str">
        <x:v>2026-07-12</x:v>
      </x:c>
      <x:c r="O611" s="14" t="str">
        <x:v>Y</x:v>
      </x:c>
    </x:row>
    <x:row r="612" ht="66" hidden="0" customHeight="1">
      <x:c r="A612" s="14" t="str">
        <x:v>term-3dd20d108b42</x:v>
      </x:c>
      <x:c r="B612" s="14" t="str">
        <x:v>ヴァレ・ド・ラ・マルヌ</x:v>
      </x:c>
      <x:c r="C612" s="14" t="str"/>
      <x:c r="D612" s="14" t="str"/>
      <x:c r="E612" s="14" t="str"/>
      <x:c r="F612" s="14" t="str">
        <x:v>産地・地名</x:v>
      </x:c>
      <x:c r="G612" s="14" t="str">
        <x:v>ヴァレ・ド・ラ・マルヌはフランスのワイン産地または原産地呼称。主要品種はムニエ。芽吹きが遅く成熟が早めで、霜の起こりやすい谷でも安定して熟す。粘土質で冷涼な畑に適応し、果実味豊かで若いうちから親しみやすいベースワインを生む。</x:v>
      </x:c>
      <x:c r="H612" s="14" t="str">
        <x:v>自然条件：芽吹きが遅く成熟が早めで、霜の起こりやすい谷でも安定して熟す。粘土質で冷涼な畑に適応し、果実味豊かで若いうちから親しみやすいベースワインを生む。主要品種：ムニエ。産地内でも標高、方位、土壌、海や河川からの距離によって成熟度と香味の強さが変わる。</x:v>
      </x:c>
      <x:c r="I612" s="14" t="str">
        <x:v>フランス</x:v>
      </x:c>
      <x:c r="J612" s="14" t="str">
        <x:v>ヴァレ・ド・ラ・マルヌ</x:v>
      </x:c>
      <x:c r="K612" s="14" t="str">
        <x:v>地理;産地;フランス</x:v>
      </x:c>
      <x:c r="L612" s="14" t="str"/>
      <x:c r="M612" s="14" t="str">
        <x:v>champagne_official_terroir</x:v>
      </x:c>
      <x:c r="N612" s="14" t="str">
        <x:v>2026-07-12</x:v>
      </x:c>
      <x:c r="O612" s="14" t="str">
        <x:v>Y</x:v>
      </x:c>
    </x:row>
    <x:row r="613" ht="52.79999923706055" hidden="0" customHeight="1">
      <x:c r="A613" s="14" t="str">
        <x:v>term-3af46aa3955d</x:v>
      </x:c>
      <x:c r="B613" s="14" t="str">
        <x:v>ヴィラ・ノヴァ・デ・ガイア</x:v>
      </x:c>
      <x:c r="C613" s="14" t="str"/>
      <x:c r="D613" s="14" t="str"/>
      <x:c r="E613" s="14" t="str"/>
      <x:c r="F613" s="14" t="str">
        <x:v>産地・地名</x:v>
      </x:c>
      <x:c r="G613" s="14" t="str">
        <x:v>ヴィラ・ノヴァ・デ・ガイアはポルトガルのワイン産地または原産地呼称。沿岸の涼しく湿潤な気候が、内陸より穏やかな熟成に適したため。河口近くは輸出港にも近く、温度変化の小さい倉庫でワインを保管できた。</x:v>
      </x:c>
      <x:c r="H613" s="14" t="str">
        <x:v>自然条件：沿岸の涼しく湿潤な気候が、内陸より穏やかな熟成に適したため。河口近くは輸出港にも近く、温度変化の小さい倉庫でワインを保管できた。産地内でも標高、方位、土壌、海や河川からの距離によって成熟度と香味の強さが変わる。</x:v>
      </x:c>
      <x:c r="I613" s="14" t="str">
        <x:v>ポルトガル</x:v>
      </x:c>
      <x:c r="J613" s="14" t="str">
        <x:v>ヴィラ・ノヴァ・デ・ガイア</x:v>
      </x:c>
      <x:c r="K613" s="14" t="str">
        <x:v>地理;産地;ポルトガル</x:v>
      </x:c>
      <x:c r="L613" s="14" t="str"/>
      <x:c r="M613" s="14" t="str">
        <x:v>portugal_official_wine</x:v>
      </x:c>
      <x:c r="N613" s="14" t="str">
        <x:v>2026-07-12</x:v>
      </x:c>
      <x:c r="O613" s="14" t="str">
        <x:v>Y</x:v>
      </x:c>
    </x:row>
    <x:row r="614" ht="52.79999923706055" hidden="0" customHeight="1">
      <x:c r="A614" s="14" t="str">
        <x:v>term-8ae032067a17</x:v>
      </x:c>
      <x:c r="B614" s="14" t="str">
        <x:v>ヴィーニョ・ヴェルデ</x:v>
      </x:c>
      <x:c r="C614" s="14" t="str"/>
      <x:c r="D614" s="14" t="str"/>
      <x:c r="E614" s="14" t="str"/>
      <x:c r="F614" s="14" t="str">
        <x:v>産地・地名</x:v>
      </x:c>
      <x:c r="G614" s="14" t="str">
        <x:v>ヴィーニョ・ヴェルデはポルトガル北西部の大西洋性産地。ロウレイロやアルヴァリーニョから、高い酸、柑橘・花、軽快なボディの白を造る。</x:v>
      </x:c>
      <x:c r="H614" s="14" t="str">
        <x:v>大西洋に近く冷涼で降雨が多いため、樹冠管理と病害対策が重要。ロウレイロ、アリント、トラジャドゥーラ、アルヴァリーニョなどを使い、一般に低〜中アルコール、高い酸、柑橘・青リンゴ・花の香りを持つ辛口白となる。モンサオン・エ・メルガソのアルヴァリーニョはより熟した核果と高いボディを示しやすい。</x:v>
      </x:c>
      <x:c r="I614" s="14" t="str">
        <x:v>ポルトガル</x:v>
      </x:c>
      <x:c r="J614" s="14" t="str">
        <x:v>ヴィーニョ・ヴェルデ</x:v>
      </x:c>
      <x:c r="K614" s="14" t="str">
        <x:v>地理;産地;ポルトガル</x:v>
      </x:c>
      <x:c r="L614" s="14" t="str"/>
      <x:c r="M614" s="14" t="str">
        <x:v>portugal_official_wine</x:v>
      </x:c>
      <x:c r="N614" s="14" t="str">
        <x:v>2026-07-12</x:v>
      </x:c>
      <x:c r="O614" s="14" t="str">
        <x:v>Y</x:v>
      </x:c>
    </x:row>
    <x:row r="615" ht="66" hidden="0" customHeight="1">
      <x:c r="A615" s="14" t="str">
        <x:v>term-21832f66033b</x:v>
      </x:c>
      <x:c r="B615" s="14" t="str">
        <x:v>ヴィーノ・ノービレ・ディ・モンテプルチアーノ</x:v>
      </x:c>
      <x:c r="C615" s="14" t="str"/>
      <x:c r="D615" s="14" t="str"/>
      <x:c r="E615" s="14" t="str"/>
      <x:c r="F615" s="14" t="str">
        <x:v>産地・地名</x:v>
      </x:c>
      <x:c r="G615" s="14" t="str">
        <x:v>ヴィーノ・ノービレ・ディ・モンテプルチアーノはイタリアのワイン産地または原産地呼称。主要品種はサンジョヴェーゼ。サンジョヴェーゼ（地域名プルニョーロ・ジェンティーレ）。トスカーナのモンテプルチアーノの町周辺で、サンジョヴェーゼを主体に赤ワインが造られる。</x:v>
      </x:c>
      <x:c r="H615" s="14" t="str">
        <x:v>自然条件：サンジョヴェーゼ（地域名プルニョーロ・ジェンティーレ）。トスカーナのモンテプルチアーノの町周辺で、サンジョヴェーゼを主体に赤ワインが造られる。主要品種：サンジョヴェーゼ。産地内でも標高、方位、土壌、海や河川からの距離によって成熟度と香味の強さが変わる。</x:v>
      </x:c>
      <x:c r="I615" s="14" t="str">
        <x:v>イタリア</x:v>
      </x:c>
      <x:c r="J615" s="14" t="str">
        <x:v>ヴィーノ・ノービレ・ディ・モンテプルチアーノ</x:v>
      </x:c>
      <x:c r="K615" s="14" t="str">
        <x:v>地理;産地;イタリア</x:v>
      </x:c>
      <x:c r="L615" s="14" t="str"/>
      <x:c r="M615" s="14" t="str">
        <x:v>italy_official_wine</x:v>
      </x:c>
      <x:c r="N615" s="14" t="str">
        <x:v>2026-07-12</x:v>
      </x:c>
      <x:c r="O615" s="14" t="str">
        <x:v>Y</x:v>
      </x:c>
    </x:row>
    <x:row r="616" ht="79.19999694824219" hidden="0" customHeight="1">
      <x:c r="A616" s="14" t="str">
        <x:v>term-022f0c14ceaa</x:v>
      </x:c>
      <x:c r="B616" s="14" t="str">
        <x:v>ヴェネト</x:v>
      </x:c>
      <x:c r="C616" s="14" t="str">
        <x:v>Veneto</x:v>
      </x:c>
      <x:c r="D616" s="14" t="str">
        <x:v>Veneto</x:v>
      </x:c>
      <x:c r="E616" s="14" t="str"/>
      <x:c r="F616" s="14" t="str">
        <x:v>産地・地名</x:v>
      </x:c>
      <x:c r="G616" s="14" t="str">
        <x:v>ヴェネトはイタリアのワイン産地または原産地呼称。主要品種はガルガーネガ、コルヴィーナ。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H616" s="14" t="str">
        <x:v>自然条件：歴史的な丘陵地帯で、排水と日照に恵まれ、収量を抑えたガルガーネガを得やすい。クラッシコ地区の丘陵畑は平地より排水性と日照に恵まれ、凝縮したガルガーネガから、より風味と酸のあるワインを造りやすい。主要品種：ガルガーネガ、コルヴィーナ。典型的なスタイル：収穫後にブドウを乾燥させて糖と風味を濃縮し、その糖の多くを発酵させる。アパッシメントで水分を減らした高糖度果汁を発酵するため、高いアルコール、豊かなボディ、乾燥果実風味を持つ辛口になりやすい。</x:v>
      </x:c>
      <x:c r="I616" s="14" t="str">
        <x:v>イタリア</x:v>
      </x:c>
      <x:c r="J616" s="14" t="str">
        <x:v>ヴェネト</x:v>
      </x:c>
      <x:c r="K616" s="14" t="str">
        <x:v>地理;産地;イタリア</x:v>
      </x:c>
      <x:c r="L616" s="14" t="str"/>
      <x:c r="M616" s="14" t="str">
        <x:v>italy_official_wine</x:v>
      </x:c>
      <x:c r="N616" s="14" t="str">
        <x:v>2026-07-12</x:v>
      </x:c>
      <x:c r="O616" s="14" t="str">
        <x:v>Y</x:v>
      </x:c>
    </x:row>
    <x:row r="617" ht="79.19999694824219" hidden="0" customHeight="1">
      <x:c r="A617" s="14" t="str">
        <x:v>term-6d9bfc2bcda5</x:v>
      </x:c>
      <x:c r="B617" s="14" t="str">
        <x:v>ヴェルディッキオ・デイ・カステッリ・ディ・イエージ</x:v>
      </x:c>
      <x:c r="C617" s="14" t="str"/>
      <x:c r="D617" s="14" t="str"/>
      <x:c r="E617" s="14" t="str"/>
      <x:c r="F617" s="14" t="str">
        <x:v>産地・地名</x:v>
      </x:c>
      <x:c r="G617" s="14" t="str">
        <x:v>ヴェルディッキオ・デイ・カステッリ・ディ・イエージはイタリアのワイン産地または原産地呼称。主要品種はヴェルディッキオ。高い酸と十分な果実濃度があり、若いうちは柑橘、熟成するとナッツや蜂蜜の複雑性を持つ。酸と濃度があり、熟成でアーモンド、蜂蜜、ナッツの複雑性を発達させる。</x:v>
      </x:c>
      <x:c r="H617" s="14" t="str">
        <x:v>自然条件：高い酸と十分な果実濃度があり、若いうちは柑橘、熟成するとナッツや蜂蜜の複雑性を持つ。酸と濃度があり、熟成でアーモンド、蜂蜜、ナッツの複雑性を発達させる。主要品種：ヴェルディッキオ。産地内でも標高、方位、土壌、海や河川からの距離によって成熟度と香味の強さが変わる。</x:v>
      </x:c>
      <x:c r="I617" s="14" t="str">
        <x:v>イタリア</x:v>
      </x:c>
      <x:c r="J617" s="14" t="str">
        <x:v>ヴェルディッキオ・デイ・カステッリ・ディ・イエージ</x:v>
      </x:c>
      <x:c r="K617" s="14" t="str">
        <x:v>地理;産地;イタリア</x:v>
      </x:c>
      <x:c r="L617" s="14" t="str"/>
      <x:c r="M617" s="14" t="str">
        <x:v>italy_official_wine</x:v>
      </x:c>
      <x:c r="N617" s="14" t="str">
        <x:v>2026-07-12</x:v>
      </x:c>
      <x:c r="O617" s="14" t="str">
        <x:v>Y</x:v>
      </x:c>
    </x:row>
    <x:row r="618" ht="66" hidden="0" customHeight="1">
      <x:c r="A618" s="14" t="str">
        <x:v>term-ede3abcf95e7</x:v>
      </x:c>
      <x:c r="B618" s="14" t="str">
        <x:v>ヴェルメンティーノ・ディ・ガッルーラ</x:v>
      </x:c>
      <x:c r="C618" s="14" t="str"/>
      <x:c r="D618" s="14" t="str"/>
      <x:c r="E618" s="14" t="str"/>
      <x:c r="F618" s="14" t="str">
        <x:v>産地・地名</x:v>
      </x:c>
      <x:c r="G618" s="14" t="str">
        <x:v>ヴェルメンティーノ・ディ・ガッルーラはイタリアのワイン産地または原産地呼称。主要品種はヴェルメンティーノ。高い酸、柑橘、白い花、ハーブ、わずかな塩味を思わせる辛口白。サルデーニャ北東部の花崗岩質土壌と海風により、芳香と爽やかさを保つ。</x:v>
      </x:c>
      <x:c r="H618" s="14" t="str">
        <x:v>自然条件：高い酸、柑橘、白い花、ハーブ、わずかな塩味を思わせる辛口白。サルデーニャ北東部の花崗岩質土壌と海風により、芳香と爽やかさを保つ。主要品種：ヴェルメンティーノ。産地内でも標高、方位、土壌、海や河川からの距離によって成熟度と香味の強さが変わる。</x:v>
      </x:c>
      <x:c r="I618" s="14" t="str">
        <x:v>イタリア</x:v>
      </x:c>
      <x:c r="J618" s="14" t="str">
        <x:v>ヴェルメンティーノ・ディ・ガッルーラ</x:v>
      </x:c>
      <x:c r="K618" s="14" t="str">
        <x:v>地理;産地;イタリア</x:v>
      </x:c>
      <x:c r="L618" s="14" t="str"/>
      <x:c r="M618" s="14" t="str">
        <x:v>italy_official_wine</x:v>
      </x:c>
      <x:c r="N618" s="14" t="str">
        <x:v>2026-07-12</x:v>
      </x:c>
      <x:c r="O618" s="14" t="str">
        <x:v>Y</x:v>
      </x:c>
    </x:row>
    <x:row r="619" ht="52.79999923706055" hidden="0" customHeight="1">
      <x:c r="A619" s="14" t="str">
        <x:v>term-f214ffd8fe38</x:v>
      </x:c>
      <x:c r="B619" s="14" t="str">
        <x:v>ヴェーレン</x:v>
      </x:c>
      <x:c r="C619" s="14" t="str"/>
      <x:c r="D619" s="14" t="str"/>
      <x:c r="E619" s="14" t="str"/>
      <x:c r="F619" s="14" t="str">
        <x:v>産地・地名</x:v>
      </x:c>
      <x:c r="G619" s="14" t="str">
        <x:v>ヴェーレンはドイツのワイン産地または原産地呼称。主要品種はリースリング。高い酸、繊細な花と柑橘、軽いボディ、長い熟成力。急斜面の排水と熱保持が冷涼気候での成熟を助け、低収量で精密なワインを生む。</x:v>
      </x:c>
      <x:c r="H619" s="14" t="str">
        <x:v>自然条件：高い酸、繊細な花と柑橘、軽いボディ、長い熟成力。急斜面の排水と熱保持が冷涼気候での成熟を助け、低収量で精密なワインを生む。主要品種：リースリング。産地内でも標高、方位、土壌、海や河川からの距離によって成熟度と香味の強さが変わる。</x:v>
      </x:c>
      <x:c r="I619" s="14" t="str">
        <x:v>ドイツ</x:v>
      </x:c>
      <x:c r="J619" s="14" t="str">
        <x:v>ヴェーレン</x:v>
      </x:c>
      <x:c r="K619" s="14" t="str">
        <x:v>地理;産地;ドイツ</x:v>
      </x:c>
      <x:c r="L619" s="14" t="str"/>
      <x:c r="M619" s="14" t="str">
        <x:v>germany_official_regions</x:v>
      </x:c>
      <x:c r="N619" s="14" t="str">
        <x:v>2026-07-12</x:v>
      </x:c>
      <x:c r="O619" s="14" t="str">
        <x:v>Y</x:v>
      </x:c>
    </x:row>
    <x:row r="620" ht="66" hidden="0" customHeight="1">
      <x:c r="A620" s="14" t="str">
        <x:v>term-e9ce9fcb9450</x:v>
      </x:c>
      <x:c r="B620" s="14" t="str">
        <x:v>ヴォーヌ・ロマネ</x:v>
      </x:c>
      <x:c r="C620" s="14" t="str"/>
      <x:c r="D620" s="14" t="str"/>
      <x:c r="E620" s="14" t="str"/>
      <x:c r="F620" s="14" t="str">
        <x:v>産地・地名</x:v>
      </x:c>
      <x:c r="G620" s="14" t="str">
        <x:v>ヴォーヌ・ロマネはフランスのワイン産地または原産地呼称。主要品種はピノ・ノワール。赤・黒系果実、花、甘いスパイス、絹のような質感と高い熟成力。優良な東向き斜面と低収量により、香りの複雑性と凝縮した構造を兼ね備える。</x:v>
      </x:c>
      <x:c r="H620" s="14" t="str">
        <x:v>自然条件：赤・黒系果実、花、甘いスパイス、絹のような質感と高い熟成力。優良な東向き斜面と低収量により、香りの複雑性と凝縮した構造を兼ね備える。主要品種：ピノ・ノワール。産地内でも標高、方位、土壌、海や河川からの距離によって成熟度と香味の強さが変わる。</x:v>
      </x:c>
      <x:c r="I620" s="14" t="str">
        <x:v>フランス</x:v>
      </x:c>
      <x:c r="J620" s="14" t="str">
        <x:v>ヴォーヌ・ロマネ</x:v>
      </x:c>
      <x:c r="K620" s="14" t="str">
        <x:v>地理;産地;フランス</x:v>
      </x:c>
      <x:c r="L620" s="14" t="str"/>
      <x:c r="M620" s="14" t="str">
        <x:v>bourgogne_official_profiles</x:v>
      </x:c>
      <x:c r="N620" s="14" t="str">
        <x:v>2026-07-12</x:v>
      </x:c>
      <x:c r="O620" s="14" t="str">
        <x:v>Y</x:v>
      </x:c>
    </x:row>
    <x:row r="621" ht="66" hidden="0" customHeight="1">
      <x:c r="A621" s="14" t="str">
        <x:v>term-0713c6ceab9e</x:v>
      </x:c>
      <x:c r="B621" s="14" t="str">
        <x:v>ヴーヴレ</x:v>
      </x:c>
      <x:c r="C621" s="14" t="str"/>
      <x:c r="D621" s="14" t="str"/>
      <x:c r="E621" s="14" t="str"/>
      <x:c r="F621" s="14" t="str">
        <x:v>産地・地名</x:v>
      </x:c>
      <x:c r="G621" s="14" t="str">
        <x:v>ヴーヴレはフランスのワイン産地または原産地呼称。主要品種はシュナン・ブラン。シュナン・ブランが高い酸を保ち、成熟度や貴腐、発酵停止などに応じて多様なスタイルに対応できる。高い酸が辛口・甘口・発泡性のすべてを支え、収穫と発酵判断でスタイルを変えられる。</x:v>
      </x:c>
      <x:c r="H621" s="14" t="str">
        <x:v>自然条件：自然な高い酸と、リンゴ・蜂蜜・蝋を思わせる風味が熟成で複雑になるため。主要品種：シュナン・ブラン。典型的なスタイル：シュナン・ブランが高い酸を保ち、成熟度や貴腐、発酵停止などに応じて多様なスタイルに対応できる。高い酸が辛口・甘口・発泡性のすべてを支え、収穫と発酵判断でスタイルを変えられる。</x:v>
      </x:c>
      <x:c r="I621" s="14" t="str">
        <x:v>フランス</x:v>
      </x:c>
      <x:c r="J621" s="14" t="str">
        <x:v>ヴーヴレ</x:v>
      </x:c>
      <x:c r="K621" s="14" t="str">
        <x:v>地理;産地;フランス</x:v>
      </x:c>
      <x:c r="L621" s="14" t="str"/>
      <x:c r="M621" s="14" t="str">
        <x:v>loire_official_terroir</x:v>
      </x:c>
      <x:c r="N621" s="14" t="str">
        <x:v>2026-07-12</x:v>
      </x:c>
      <x:c r="O621" s="14" t="str">
        <x:v>Y</x:v>
      </x:c>
    </x:row>
    <x:row r="622" ht="66" hidden="0" customHeight="1">
      <x:c r="A622" s="14" t="str">
        <x:v>term-8ec3b8c6fb2a</x:v>
      </x:c>
      <x:c r="B622" s="14" t="str">
        <x:v>ヴーヴレ・ソーミュール</x:v>
      </x:c>
      <x:c r="C622" s="14" t="str"/>
      <x:c r="D622" s="14" t="str"/>
      <x:c r="E622" s="14" t="str"/>
      <x:c r="F622" s="14" t="str">
        <x:v>産地・地名</x:v>
      </x:c>
      <x:c r="G622" s="14" t="str">
        <x:v>ヴーヴレ・ソーミュールはフランスのワイン産地または原産地呼称。主要品種はシュナン・ブラン。高い酸を保ち、リンゴや柑橘の風味と熟成能力を持つ。高い酸が二次発酵と熟成後も鮮度を支え、品種の熟成力も複雑性へ寄与する。</x:v>
      </x:c>
      <x:c r="H622" s="14" t="str">
        <x:v>自然条件：高い酸を保ち、リンゴや柑橘の風味と熟成能力を持つ。高い酸が二次発酵と熟成後も鮮度を支え、品種の熟成力も複雑性へ寄与する。主要品種：シュナン・ブラン。産地内でも標高、方位、土壌、海や河川からの距離によって成熟度と香味の強さが変わる。</x:v>
      </x:c>
      <x:c r="I622" s="14" t="str">
        <x:v>フランス</x:v>
      </x:c>
      <x:c r="J622" s="14" t="str">
        <x:v>ヴーヴレ・ソーミュール</x:v>
      </x:c>
      <x:c r="K622" s="14" t="str">
        <x:v>地理;産地;フランス</x:v>
      </x:c>
      <x:c r="L622" s="14" t="str"/>
      <x:c r="M622" s="14" t="str">
        <x:v>loire_official_terroir</x:v>
      </x:c>
      <x:c r="N622" s="14" t="str">
        <x:v>2026-07-12</x:v>
      </x:c>
      <x:c r="O622" s="14" t="str">
        <x:v>Y</x:v>
      </x:c>
    </x:row>
    <x:row r="623" ht="52.79999923706055" hidden="0" customHeight="1">
      <x:c r="A623" s="14" t="str">
        <x:v>term-728433e6c8d7</x:v>
      </x:c>
      <x:c r="B623" s="14" t="str">
        <x:v>北部ローヌ</x:v>
      </x:c>
      <x:c r="C623" s="14" t="str">
        <x:v>Northern Rhône</x:v>
      </x:c>
      <x:c r="D623" s="14" t="str">
        <x:v>Rhône septentrional</x:v>
      </x:c>
      <x:c r="E623" s="14" t="str"/>
      <x:c r="F623" s="14" t="str">
        <x:v>産地・地名</x:v>
      </x:c>
      <x:c r="G623" s="14" t="str">
        <x:v>北部ローヌはフランスのワイン産地または原産地呼称。主要品種はヴィオニエ、シラー、グルナッシュ。急斜面の低収量畑、栽培の難しさ、限られた生産量、ヴィオニエの芳香性。</x:v>
      </x:c>
      <x:c r="H623" s="14" t="str">
        <x:v>自然条件：北部はシラーの黒胡椒と高い酸、南部はグルナッシュ主体の熟したブレンド。主要品種：ヴィオニエ、シラー、グルナッシュ。典型的なスタイル：急斜面の低収量畑、栽培の難しさ、限られた生産量、ヴィオニエの芳香性。</x:v>
      </x:c>
      <x:c r="I623" s="14" t="str">
        <x:v>フランス</x:v>
      </x:c>
      <x:c r="J623" s="14" t="str">
        <x:v>北部ローヌ</x:v>
      </x:c>
      <x:c r="K623" s="14" t="str">
        <x:v>地理;産地;フランス</x:v>
      </x:c>
      <x:c r="L623" s="14" t="str"/>
      <x:c r="M623" s="14" t="str">
        <x:v>rhone_official_terroir</x:v>
      </x:c>
      <x:c r="N623" s="14" t="str">
        <x:v>2026-07-12</x:v>
      </x:c>
      <x:c r="O623" s="14" t="str">
        <x:v>Y</x:v>
      </x:c>
    </x:row>
    <x:row r="624" ht="66" hidden="0" customHeight="1">
      <x:c r="A624" s="14" t="str">
        <x:v>term-29bcade0e6f8</x:v>
      </x:c>
      <x:c r="B624" s="14" t="str">
        <x:v>西ケープ</x:v>
      </x:c>
      <x:c r="C624" s="14" t="str"/>
      <x:c r="D624" s="14" t="str"/>
      <x:c r="E624" s="14" t="str"/>
      <x:c r="F624" s="14" t="str">
        <x:v>産地・地名</x:v>
      </x:c>
      <x:c r="G624" s="14" t="str">
        <x:v>西ケープは南アフリカのワイン産地または原産地呼称。主要品種はシャルドネ、ピノ・ノワール、シュナン・ブラン。高い酸とリンゴ・カリンの果実味を与え、温暖な地域でも鮮度を保てる。シュナンの自然な酸と果実味が、温暖地域のベースワインを支える。</x:v>
      </x:c>
      <x:c r="H624" s="14" t="str">
        <x:v>自然条件：温暖な国の中で高い酸と低い潜在アルコールを確保できるため。海風や標高が成熟を遅らせ、伝統的方式に適したシャルドネとピノ・ノワールを得る。主要品種：シャルドネ、ピノ・ノワール、シュナン・ブラン。典型的なスタイル：高い酸とリンゴ・カリンの果実味を与え、温暖な地域でも鮮度を保てる。シュナンの自然な酸と果実味が、温暖地域のベースワインを支える。</x:v>
      </x:c>
      <x:c r="I624" s="14" t="str">
        <x:v>南アフリカ</x:v>
      </x:c>
      <x:c r="J624" s="14" t="str">
        <x:v>西ケープ</x:v>
      </x:c>
      <x:c r="K624" s="14" t="str">
        <x:v>地理;産地;南アフリカ</x:v>
      </x:c>
      <x:c r="L624" s="14" t="str"/>
      <x:c r="M624" s="14" t="str">
        <x:v>south_africa_official_wine</x:v>
      </x:c>
      <x:c r="N624" s="14" t="str">
        <x:v>2026-07-12</x:v>
      </x:c>
      <x:c r="O624" s="14" t="str">
        <x:v>Y</x:v>
      </x:c>
    </x:row>
    <x:row r="625" ht="66" hidden="0" customHeight="1">
      <x:c r="A625" s="14" t="str">
        <x:v>term-d6ff69ad85d0</x:v>
      </x:c>
      <x:c r="B625" s="14" t="str">
        <x:v>Bienvenues-Bâtard-Montrachet</x:v>
      </x:c>
      <x:c r="C625" s="14" t="str"/>
      <x:c r="D625" s="14" t="str">
        <x:v>Bienvenues-Bâtard-Montrachet</x:v>
      </x:c>
      <x:c r="E625" s="14" t="str"/>
      <x:c r="F625" s="14" t="str">
        <x:v>畑・AOC</x:v>
      </x:c>
      <x:c r="G625" s="14" t="str">
        <x:v>Bienvenues-Bâtard-Montrachetはピュリニー・モンラッシェ／シャサーニュ・モンラッシェのGrand Cru AOC。シャルドネから、柑橘・核果、白い花に、バター、ナッツ、蜂蜜、スパイスが重なり、豊かな質感と芯のある酸、長い熟成力を持つ白。</x:v>
      </x:c>
      <x:c r="H625"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25" s="14" t="str">
        <x:v>フランス</x:v>
      </x:c>
      <x:c r="J625" s="14" t="str">
        <x:v>Puligny-Montrachet</x:v>
      </x:c>
      <x:c r="K625" s="14" t="str">
        <x:v>格付け;Grand Cru;burgundy_grand_cru</x:v>
      </x:c>
      <x:c r="L625" s="14" t="str"/>
      <x:c r="M625" s="14" t="str">
        <x:v>bourgogne_official_profiles</x:v>
      </x:c>
      <x:c r="N625" s="14" t="str">
        <x:v>2026-07-12</x:v>
      </x:c>
      <x:c r="O625" s="14" t="str">
        <x:v>Y</x:v>
      </x:c>
    </x:row>
    <x:row r="626" ht="79.19999694824219" hidden="0" customHeight="1">
      <x:c r="A626" s="14" t="str">
        <x:v>term-e00d3f15c4b9</x:v>
      </x:c>
      <x:c r="B626" s="14" t="str">
        <x:v>Bonnes Mares</x:v>
      </x:c>
      <x:c r="C626" s="14" t="str"/>
      <x:c r="D626" s="14" t="str">
        <x:v>Bonnes Mares</x:v>
      </x:c>
      <x:c r="E626" s="14" t="str"/>
      <x:c r="F626" s="14" t="str">
        <x:v>畑・AOC</x:v>
      </x:c>
      <x:c r="G626" s="14" t="str">
        <x:v>Bonnes Maresはシャンボール・ミュジニー／モレ・サン・ドニのGrand Cru AOC。ピノ・ノワールから、花と赤・黒系果実を持ち、香りの高さとしっかりしたタンニンを併せ持つ長期熟成型の赤。</x:v>
      </x:c>
      <x:c r="H626" s="14" t="str">
        <x:v>地質・立地：石灰質の多い区画と赤い粘土の多い区画が並ぶ斜面。主要品種：ピノ・ノワール。典型的な味わい：花と赤・黒系果実を持ち、香りの高さとしっかりしたタンニンを併せ持つ長期熟成型の赤。同一AOC内でも区画、樹齢、収量、醸造・熟成によって濃度や樽香の強さは変わる。</x:v>
      </x:c>
      <x:c r="I626" s="14" t="str">
        <x:v>フランス</x:v>
      </x:c>
      <x:c r="J626" s="14" t="str">
        <x:v>Chambolle-Musigny／Morey-Saint-Denis</x:v>
      </x:c>
      <x:c r="K626" s="14" t="str">
        <x:v>格付け;Grand Cru;burgundy_grand_cru</x:v>
      </x:c>
      <x:c r="L626" s="14" t="str"/>
      <x:c r="M626" s="14" t="str">
        <x:v>bourgogne_official_profiles</x:v>
      </x:c>
      <x:c r="N626" s="14" t="str">
        <x:v>2026-07-12</x:v>
      </x:c>
      <x:c r="O626" s="14" t="str">
        <x:v>Y</x:v>
      </x:c>
    </x:row>
    <x:row r="627" ht="66" hidden="0" customHeight="1">
      <x:c r="A627" s="14" t="str">
        <x:v>term-8ce92f85d8bd</x:v>
      </x:c>
      <x:c r="B627" s="14" t="str">
        <x:v>Bâtard-Montrachet</x:v>
      </x:c>
      <x:c r="C627" s="14" t="str"/>
      <x:c r="D627" s="14" t="str">
        <x:v>Bâtard-Montrachet</x:v>
      </x:c>
      <x:c r="E627" s="14" t="str"/>
      <x:c r="F627" s="14" t="str">
        <x:v>畑・AOC</x:v>
      </x:c>
      <x:c r="G627" s="14" t="str">
        <x:v>Bâtard-Montrachetはピュリニー・モンラッシェ／シャサーニュ・モンラッシェのGrand Cru AOC。シャルドネから、柑橘・核果、白い花に、バター、ナッツ、蜂蜜、スパイスが重なり、豊かな質感と芯のある酸、長い熟成力を持つ白。</x:v>
      </x:c>
      <x:c r="H627"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27" s="14" t="str">
        <x:v>フランス</x:v>
      </x:c>
      <x:c r="J627" s="14" t="str">
        <x:v>Puligny-Montrachet／Chassagne-Montrachet</x:v>
      </x:c>
      <x:c r="K627" s="14" t="str">
        <x:v>格付け;Grand Cru;burgundy_grand_cru</x:v>
      </x:c>
      <x:c r="L627" s="14" t="str"/>
      <x:c r="M627" s="14" t="str">
        <x:v>bourgogne_official_profiles</x:v>
      </x:c>
      <x:c r="N627" s="14" t="str">
        <x:v>2026-07-12</x:v>
      </x:c>
      <x:c r="O627" s="14" t="str">
        <x:v>Y</x:v>
      </x:c>
    </x:row>
    <x:row r="628" ht="52.79999923706055" hidden="0" customHeight="1">
      <x:c r="A628" s="14" t="str">
        <x:v>term-1c367d7751ef</x:v>
      </x:c>
      <x:c r="B628" s="14" t="str">
        <x:v>Chablis Grand Cru</x:v>
      </x:c>
      <x:c r="C628" s="14" t="str"/>
      <x:c r="D628" s="14" t="str">
        <x:v>Chablis Grand Cru</x:v>
      </x:c>
      <x:c r="E628" s="14" t="str"/>
      <x:c r="F628" s="14" t="str">
        <x:v>畑・AOC</x:v>
      </x:c>
      <x:c r="G628" s="14" t="str">
        <x:v>Chablis Grand CruはシャブリのGrand Cru AOC。シャルドネから、高い酸、柑橘・青リンゴ、火打石を思わせる引き締まった辛口白。熟成で蜂蜜やナッツの複雑さを増す。</x:v>
      </x:c>
      <x:c r="H628" s="14" t="str">
        <x:v>地質・立地：キンメリジャン期の石灰岩と泥灰土を主体とする斜面。主要品種：シャルドネ。典型的な味わい：高い酸、柑橘・青リンゴ、火打石を思わせる引き締まった辛口白。熟成で蜂蜜やナッツの複雑さを増す。同一AOC内でも区画、樹齢、収量、醸造・熟成によって濃度や樽香の強さは変わる。</x:v>
      </x:c>
      <x:c r="I628" s="14" t="str">
        <x:v>フランス</x:v>
      </x:c>
      <x:c r="J628" s="14" t="str">
        <x:v>Chablis</x:v>
      </x:c>
      <x:c r="K628" s="14" t="str">
        <x:v>格付け;Grand Cru;burgundy_grand_cru</x:v>
      </x:c>
      <x:c r="L628" s="14" t="str"/>
      <x:c r="M628" s="14" t="str">
        <x:v>bourgogne_official_profiles</x:v>
      </x:c>
      <x:c r="N628" s="14" t="str">
        <x:v>2026-07-12</x:v>
      </x:c>
      <x:c r="O628" s="14" t="str">
        <x:v>Y</x:v>
      </x:c>
    </x:row>
    <x:row r="629" ht="52.79999923706055" hidden="0" customHeight="1">
      <x:c r="A629" s="14" t="str">
        <x:v>term-e9e54f8d43fe</x:v>
      </x:c>
      <x:c r="B629" s="14" t="str">
        <x:v>Chambertin</x:v>
      </x:c>
      <x:c r="C629" s="14" t="str"/>
      <x:c r="D629" s="14" t="str">
        <x:v>Chambertin</x:v>
      </x:c>
      <x:c r="E629" s="14" t="str"/>
      <x:c r="F629" s="14" t="str">
        <x:v>畑・AOC</x:v>
      </x:c>
      <x:c r="G629" s="14" t="str">
        <x:v>Chambertinはジュヴレ・シャンベルタンのGrand Cru AOC。ピノ・ノワールから、赤・黒系果実、土、スパイス、明確なタンニンを持つ力強く長期熟成型の赤。</x:v>
      </x:c>
      <x:c r="H629"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29" s="14" t="str">
        <x:v>フランス</x:v>
      </x:c>
      <x:c r="J629" s="14" t="str">
        <x:v>Gevrey-Chambertin</x:v>
      </x:c>
      <x:c r="K629" s="14" t="str">
        <x:v>格付け;Grand Cru;burgundy_grand_cru</x:v>
      </x:c>
      <x:c r="L629" s="14" t="str"/>
      <x:c r="M629" s="14" t="str">
        <x:v>bourgogne_official_profiles</x:v>
      </x:c>
      <x:c r="N629" s="14" t="str">
        <x:v>2026-07-12</x:v>
      </x:c>
      <x:c r="O629" s="14" t="str">
        <x:v>Y</x:v>
      </x:c>
    </x:row>
    <x:row r="630" ht="52.79999923706055" hidden="0" customHeight="1">
      <x:c r="A630" s="14" t="str">
        <x:v>term-efc1bce2df40</x:v>
      </x:c>
      <x:c r="B630" s="14" t="str">
        <x:v>Chambertin-Clos de Bèze</x:v>
      </x:c>
      <x:c r="C630" s="14" t="str"/>
      <x:c r="D630" s="14" t="str">
        <x:v>Chambertin-Clos de Bèze</x:v>
      </x:c>
      <x:c r="E630" s="14" t="str"/>
      <x:c r="F630" s="14" t="str">
        <x:v>畑・AOC</x:v>
      </x:c>
      <x:c r="G630" s="14" t="str">
        <x:v>Chambertin-Clos de Bèzeはジュヴレ・シャンベルタンのGrand Cru AOC。ピノ・ノワールから、赤・黒系果実、土、スパイス、明確なタンニンを持つ力強く長期熟成型の赤。</x:v>
      </x:c>
      <x:c r="H630"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30" s="14" t="str">
        <x:v>フランス</x:v>
      </x:c>
      <x:c r="J630" s="14" t="str">
        <x:v>Gevrey-Chambertin</x:v>
      </x:c>
      <x:c r="K630" s="14" t="str">
        <x:v>格付け;Grand Cru;burgundy_grand_cru</x:v>
      </x:c>
      <x:c r="L630" s="14" t="str"/>
      <x:c r="M630" s="14" t="str">
        <x:v>bourgogne_official_profiles</x:v>
      </x:c>
      <x:c r="N630" s="14" t="str">
        <x:v>2026-07-12</x:v>
      </x:c>
      <x:c r="O630" s="14" t="str">
        <x:v>Y</x:v>
      </x:c>
    </x:row>
    <x:row r="631" ht="52.79999923706055" hidden="0" customHeight="1">
      <x:c r="A631" s="14" t="str">
        <x:v>term-16acd1010ce3</x:v>
      </x:c>
      <x:c r="B631" s="14" t="str">
        <x:v>Chapelle-Chambertin</x:v>
      </x:c>
      <x:c r="C631" s="14" t="str"/>
      <x:c r="D631" s="14" t="str">
        <x:v>Chapelle-Chambertin</x:v>
      </x:c>
      <x:c r="E631" s="14" t="str"/>
      <x:c r="F631" s="14" t="str">
        <x:v>畑・AOC</x:v>
      </x:c>
      <x:c r="G631" s="14" t="str">
        <x:v>Chapelle-Chambertinはジュヴレ・シャンベルタンのGrand Cru AOC。ピノ・ノワールから、赤・黒系果実、土、スパイス、明確なタンニンを持つ力強く長期熟成型の赤。</x:v>
      </x:c>
      <x:c r="H631"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31" s="14" t="str">
        <x:v>フランス</x:v>
      </x:c>
      <x:c r="J631" s="14" t="str">
        <x:v>Gevrey-Chambertin</x:v>
      </x:c>
      <x:c r="K631" s="14" t="str">
        <x:v>格付け;Grand Cru;burgundy_grand_cru</x:v>
      </x:c>
      <x:c r="L631" s="14" t="str"/>
      <x:c r="M631" s="14" t="str">
        <x:v>bourgogne_official_profiles</x:v>
      </x:c>
      <x:c r="N631" s="14" t="str">
        <x:v>2026-07-12</x:v>
      </x:c>
      <x:c r="O631" s="14" t="str">
        <x:v>Y</x:v>
      </x:c>
    </x:row>
    <x:row r="632" ht="52.79999923706055" hidden="0" customHeight="1">
      <x:c r="A632" s="14" t="str">
        <x:v>term-3502acb3e622</x:v>
      </x:c>
      <x:c r="B632" s="14" t="str">
        <x:v>Charlemagne</x:v>
      </x:c>
      <x:c r="C632" s="14" t="str"/>
      <x:c r="D632" s="14" t="str">
        <x:v>Charlemagne</x:v>
      </x:c>
      <x:c r="E632" s="14" t="str"/>
      <x:c r="F632" s="14" t="str">
        <x:v>畑・AOC</x:v>
      </x:c>
      <x:c r="G632" s="14" t="str">
        <x:v>Charlemagneはコルトン丘のGrand Cru AOC。シャルドネから、高い酸、柑橘・リンゴ、石灰質の緊張感と厚みを備え、瓶熟成で蜂蜜やナッツの複雑さを増す白。</x:v>
      </x:c>
      <x:c r="H632" s="14" t="str">
        <x:v>地質・立地：上部の白い泥灰土と石灰岩を主体とする高い斜面。主要品種：シャルドネ。典型的な味わい：高い酸、柑橘・リンゴ、石灰質の緊張感と厚みを備え、瓶熟成で蜂蜜やナッツの複雑さを増す白。同一AOC内でも区画、樹齢、収量、醸造・熟成によって濃度や樽香の強さは変わる。</x:v>
      </x:c>
      <x:c r="I632" s="14" t="str">
        <x:v>フランス</x:v>
      </x:c>
      <x:c r="J632" s="14" t="str">
        <x:v>Aloxe-Corton／Pernand-Vergelesses</x:v>
      </x:c>
      <x:c r="K632" s="14" t="str">
        <x:v>格付け;Grand Cru;burgundy_grand_cru</x:v>
      </x:c>
      <x:c r="L632" s="14" t="str"/>
      <x:c r="M632" s="14" t="str">
        <x:v>bourgogne_official_profiles</x:v>
      </x:c>
      <x:c r="N632" s="14" t="str">
        <x:v>2026-07-12</x:v>
      </x:c>
      <x:c r="O632" s="14" t="str">
        <x:v>Y</x:v>
      </x:c>
    </x:row>
    <x:row r="633" ht="52.79999923706055" hidden="0" customHeight="1">
      <x:c r="A633" s="14" t="str">
        <x:v>term-8156d9d2929e</x:v>
      </x:c>
      <x:c r="B633" s="14" t="str">
        <x:v>Charmes-Chambertin</x:v>
      </x:c>
      <x:c r="C633" s="14" t="str"/>
      <x:c r="D633" s="14" t="str">
        <x:v>Charmes-Chambertin</x:v>
      </x:c>
      <x:c r="E633" s="14" t="str"/>
      <x:c r="F633" s="14" t="str">
        <x:v>畑・AOC</x:v>
      </x:c>
      <x:c r="G633" s="14" t="str">
        <x:v>Charmes-Chambertinはジュヴレ・シャンベルタンのGrand Cru AOC。ピノ・ノワールから、赤・黒系果実、土、スパイス、明確なタンニンを持つ力強く長期熟成型の赤。</x:v>
      </x:c>
      <x:c r="H633"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33" s="14" t="str">
        <x:v>フランス</x:v>
      </x:c>
      <x:c r="J633" s="14" t="str">
        <x:v>Gevrey-Chambertin</x:v>
      </x:c>
      <x:c r="K633" s="14" t="str">
        <x:v>格付け;Grand Cru;burgundy_grand_cru</x:v>
      </x:c>
      <x:c r="L633" s="14" t="str"/>
      <x:c r="M633" s="14" t="str">
        <x:v>bourgogne_official_profiles</x:v>
      </x:c>
      <x:c r="N633" s="14" t="str">
        <x:v>2026-07-12</x:v>
      </x:c>
      <x:c r="O633" s="14" t="str">
        <x:v>Y</x:v>
      </x:c>
    </x:row>
    <x:row r="634" ht="66" hidden="0" customHeight="1">
      <x:c r="A634" s="14" t="str">
        <x:v>term-12863cb86391</x:v>
      </x:c>
      <x:c r="B634" s="14" t="str">
        <x:v>Chevalier-Montrachet</x:v>
      </x:c>
      <x:c r="C634" s="14" t="str"/>
      <x:c r="D634" s="14" t="str">
        <x:v>Chevalier-Montrachet</x:v>
      </x:c>
      <x:c r="E634" s="14" t="str"/>
      <x:c r="F634" s="14" t="str">
        <x:v>畑・AOC</x:v>
      </x:c>
      <x:c r="G634" s="14" t="str">
        <x:v>Chevalier-Montrachetはピュリニー・モンラッシェ／シャサーニュ・モンラッシェのGrand Cru AOC。シャルドネから、柑橘・核果、白い花に、バター、ナッツ、蜂蜜、スパイスが重なり、豊かな質感と芯のある酸、長い熟成力を持つ白。</x:v>
      </x:c>
      <x:c r="H634"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34" s="14" t="str">
        <x:v>フランス</x:v>
      </x:c>
      <x:c r="J634" s="14" t="str">
        <x:v>Puligny-Montrachet</x:v>
      </x:c>
      <x:c r="K634" s="14" t="str">
        <x:v>格付け;Grand Cru;burgundy_grand_cru</x:v>
      </x:c>
      <x:c r="L634" s="14" t="str"/>
      <x:c r="M634" s="14" t="str">
        <x:v>bourgogne_official_profiles</x:v>
      </x:c>
      <x:c r="N634" s="14" t="str">
        <x:v>2026-07-12</x:v>
      </x:c>
      <x:c r="O634" s="14" t="str">
        <x:v>Y</x:v>
      </x:c>
    </x:row>
    <x:row r="635" ht="52.79999923706055" hidden="0" customHeight="1">
      <x:c r="A635" s="14" t="str">
        <x:v>term-f3abff628cbc</x:v>
      </x:c>
      <x:c r="B635" s="14" t="str">
        <x:v>Clos Saint-Denis</x:v>
      </x:c>
      <x:c r="C635" s="14" t="str"/>
      <x:c r="D635" s="14" t="str">
        <x:v>Clos Saint-Denis</x:v>
      </x:c>
      <x:c r="E635" s="14" t="str"/>
      <x:c r="F635" s="14" t="str">
        <x:v>畑・AOC</x:v>
      </x:c>
      <x:c r="G635" s="14" t="str">
        <x:v>Clos Saint-Denisはモレ・サン・ドニのGrand Cru AOC。ピノ・ノワールから、赤・黒系果実、花、スパイスを持ち、ジュヴレの力強さとシャンボールの香り高さの中間に位置する赤。</x:v>
      </x:c>
      <x:c r="H635"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5" s="14" t="str">
        <x:v>フランス</x:v>
      </x:c>
      <x:c r="J635" s="14" t="str">
        <x:v>Morey-Saint-Denis</x:v>
      </x:c>
      <x:c r="K635" s="14" t="str">
        <x:v>格付け;Grand Cru;burgundy_grand_cru</x:v>
      </x:c>
      <x:c r="L635" s="14" t="str"/>
      <x:c r="M635" s="14" t="str">
        <x:v>bourgogne_official_profiles</x:v>
      </x:c>
      <x:c r="N635" s="14" t="str">
        <x:v>2026-07-12</x:v>
      </x:c>
      <x:c r="O635" s="14" t="str">
        <x:v>Y</x:v>
      </x:c>
    </x:row>
    <x:row r="636" ht="52.79999923706055" hidden="0" customHeight="1">
      <x:c r="A636" s="14" t="str">
        <x:v>term-66781969c5e4</x:v>
      </x:c>
      <x:c r="B636" s="14" t="str">
        <x:v>Clos de Tart</x:v>
      </x:c>
      <x:c r="C636" s="14" t="str"/>
      <x:c r="D636" s="14" t="str">
        <x:v>Clos de Tart</x:v>
      </x:c>
      <x:c r="E636" s="14" t="str"/>
      <x:c r="F636" s="14" t="str">
        <x:v>畑・AOC</x:v>
      </x:c>
      <x:c r="G636" s="14" t="str">
        <x:v>Clos de Tartはモレ・サン・ドニのGrand Cru AOC。ピノ・ノワールから、赤・黒系果実、花、スパイスを持ち、ジュヴレの力強さとシャンボールの香り高さの中間に位置する赤。</x:v>
      </x:c>
      <x:c r="H636"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6" s="14" t="str">
        <x:v>フランス</x:v>
      </x:c>
      <x:c r="J636" s="14" t="str">
        <x:v>Morey-Saint-Denis</x:v>
      </x:c>
      <x:c r="K636" s="14" t="str">
        <x:v>格付け;Grand Cru;burgundy_grand_cru</x:v>
      </x:c>
      <x:c r="L636" s="14" t="str"/>
      <x:c r="M636" s="14" t="str">
        <x:v>bourgogne_official_profiles</x:v>
      </x:c>
      <x:c r="N636" s="14" t="str">
        <x:v>2026-07-12</x:v>
      </x:c>
      <x:c r="O636" s="14" t="str">
        <x:v>Y</x:v>
      </x:c>
    </x:row>
    <x:row r="637" ht="52.79999923706055" hidden="0" customHeight="1">
      <x:c r="A637" s="14" t="str">
        <x:v>term-d5c678f84d69</x:v>
      </x:c>
      <x:c r="B637" s="14" t="str">
        <x:v>Clos de Vougeot</x:v>
      </x:c>
      <x:c r="C637" s="14" t="str"/>
      <x:c r="D637" s="14" t="str">
        <x:v>Clos de Vougeot</x:v>
      </x:c>
      <x:c r="E637" s="14" t="str"/>
      <x:c r="F637" s="14" t="str">
        <x:v>畑・AOC</x:v>
      </x:c>
      <x:c r="G637" s="14" t="str">
        <x:v>Clos de VougeotはヴージョのGrand Cru AOC。ピノ・ノワールから、区画差が大きいが、赤・黒系果実、土、スパイスと確かな構造を持つ赤。</x:v>
      </x:c>
      <x:c r="H637" s="14" t="str">
        <x:v>地質・立地：斜面上部の石灰質から下部の深い粘土質まで一つのクロ内で土壌が変化する。主要品種：ピノ・ノワール。典型的な味わい：区画差が大きいが、赤・黒系果実、土、スパイスと確かな構造を持つ赤。同一AOC内でも区画、樹齢、収量、醸造・熟成によって濃度や樽香の強さは変わる。</x:v>
      </x:c>
      <x:c r="I637" s="14" t="str">
        <x:v>フランス</x:v>
      </x:c>
      <x:c r="J637" s="14" t="str">
        <x:v>Vougeot</x:v>
      </x:c>
      <x:c r="K637" s="14" t="str">
        <x:v>格付け;Grand Cru;burgundy_grand_cru</x:v>
      </x:c>
      <x:c r="L637" s="14" t="str"/>
      <x:c r="M637" s="14" t="str">
        <x:v>bourgogne_official_profiles</x:v>
      </x:c>
      <x:c r="N637" s="14" t="str">
        <x:v>2026-07-12</x:v>
      </x:c>
      <x:c r="O637" s="14" t="str">
        <x:v>Y</x:v>
      </x:c>
    </x:row>
    <x:row r="638" ht="52.79999923706055" hidden="0" customHeight="1">
      <x:c r="A638" s="14" t="str">
        <x:v>term-9e0fc039e212</x:v>
      </x:c>
      <x:c r="B638" s="14" t="str">
        <x:v>Clos de la Roche</x:v>
      </x:c>
      <x:c r="C638" s="14" t="str"/>
      <x:c r="D638" s="14" t="str">
        <x:v>Clos de la Roche</x:v>
      </x:c>
      <x:c r="E638" s="14" t="str"/>
      <x:c r="F638" s="14" t="str">
        <x:v>畑・AOC</x:v>
      </x:c>
      <x:c r="G638" s="14" t="str">
        <x:v>Clos de la Rocheはモレ・サン・ドニのGrand Cru AOC。ピノ・ノワールから、赤・黒系果実、花、スパイスを持ち、ジュヴレの力強さとシャンボールの香り高さの中間に位置する赤。</x:v>
      </x:c>
      <x:c r="H638"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8" s="14" t="str">
        <x:v>フランス</x:v>
      </x:c>
      <x:c r="J638" s="14" t="str">
        <x:v>Morey-Saint-Denis</x:v>
      </x:c>
      <x:c r="K638" s="14" t="str">
        <x:v>格付け;Grand Cru;burgundy_grand_cru</x:v>
      </x:c>
      <x:c r="L638" s="14" t="str"/>
      <x:c r="M638" s="14" t="str">
        <x:v>bourgogne_official_profiles</x:v>
      </x:c>
      <x:c r="N638" s="14" t="str">
        <x:v>2026-07-12</x:v>
      </x:c>
      <x:c r="O638" s="14" t="str">
        <x:v>Y</x:v>
      </x:c>
    </x:row>
    <x:row r="639" ht="52.79999923706055" hidden="0" customHeight="1">
      <x:c r="A639" s="14" t="str">
        <x:v>term-d8b9b44ed242</x:v>
      </x:c>
      <x:c r="B639" s="14" t="str">
        <x:v>Clos des Lambrays</x:v>
      </x:c>
      <x:c r="C639" s="14" t="str"/>
      <x:c r="D639" s="14" t="str">
        <x:v>Clos des Lambrays</x:v>
      </x:c>
      <x:c r="E639" s="14" t="str"/>
      <x:c r="F639" s="14" t="str">
        <x:v>畑・AOC</x:v>
      </x:c>
      <x:c r="G639" s="14" t="str">
        <x:v>Clos des Lambraysはモレ・サン・ドニのGrand Cru AOC。ピノ・ノワールから、赤・黒系果実、花、スパイスを持ち、ジュヴレの力強さとシャンボールの香り高さの中間に位置する赤。</x:v>
      </x:c>
      <x:c r="H639" s="14" t="str">
        <x:v>地質・立地：石灰岩・泥灰土・粘土が短い斜面の中で細かく変化する。主要品種：ピノ・ノワール。典型的な味わい：赤・黒系果実、花、スパイスを持ち、ジュヴレの力強さとシャンボールの香り高さの中間に位置する赤。同一AOC内でも区画、樹齢、収量、醸造・熟成によって濃度や樽香の強さは変わる。</x:v>
      </x:c>
      <x:c r="I639" s="14" t="str">
        <x:v>フランス</x:v>
      </x:c>
      <x:c r="J639" s="14" t="str">
        <x:v>Morey-Saint-Denis</x:v>
      </x:c>
      <x:c r="K639" s="14" t="str">
        <x:v>格付け;Grand Cru;burgundy_grand_cru</x:v>
      </x:c>
      <x:c r="L639" s="14" t="str"/>
      <x:c r="M639" s="14" t="str">
        <x:v>bourgogne_official_profiles</x:v>
      </x:c>
      <x:c r="N639" s="14" t="str">
        <x:v>2026-07-12</x:v>
      </x:c>
      <x:c r="O639" s="14" t="str">
        <x:v>Y</x:v>
      </x:c>
    </x:row>
    <x:row r="640" ht="52.79999923706055" hidden="0" customHeight="1">
      <x:c r="A640" s="14" t="str">
        <x:v>term-92caa9c43943</x:v>
      </x:c>
      <x:c r="B640" s="14" t="str">
        <x:v>Corton</x:v>
      </x:c>
      <x:c r="C640" s="14" t="str"/>
      <x:c r="D640" s="14" t="str">
        <x:v>Corton</x:v>
      </x:c>
      <x:c r="E640" s="14" t="str"/>
      <x:c r="F640" s="14" t="str">
        <x:v>畑・AOC</x:v>
      </x:c>
      <x:c r="G640" s="14" t="str">
        <x:v>Cortonはアロース・コルトン周辺のGrand Cru AOC。ピノ・ノワールから、黒系果実、土、スパイス、強いタンニンを持つ堅牢で長期熟成型の赤。</x:v>
      </x:c>
      <x:c r="H640" s="14" t="str">
        <x:v>地質・立地：コルトン丘の方位と標高により泥灰土、石灰岩、粘土の比率が変わる。主要品種：ピノ・ノワール。典型的な味わい：黒系果実、土、スパイス、強いタンニンを持つ堅牢で長期熟成型の赤。同一AOC内でも区画、樹齢、収量、醸造・熟成によって濃度や樽香の強さは変わる。</x:v>
      </x:c>
      <x:c r="I640" s="14" t="str">
        <x:v>フランス</x:v>
      </x:c>
      <x:c r="J640" s="14" t="str">
        <x:v>Aloxe-Corton／Ladoix-Serrigny／Pernand-Vergelesses</x:v>
      </x:c>
      <x:c r="K640" s="14" t="str">
        <x:v>格付け;Grand Cru;burgundy_grand_cru</x:v>
      </x:c>
      <x:c r="L640" s="14" t="str"/>
      <x:c r="M640" s="14" t="str">
        <x:v>bourgogne_official_profiles</x:v>
      </x:c>
      <x:c r="N640" s="14" t="str">
        <x:v>2026-07-12</x:v>
      </x:c>
      <x:c r="O640" s="14" t="str">
        <x:v>Y</x:v>
      </x:c>
    </x:row>
    <x:row r="641" ht="52.79999923706055" hidden="0" customHeight="1">
      <x:c r="A641" s="14" t="str">
        <x:v>term-a9ae575e6eb3</x:v>
      </x:c>
      <x:c r="B641" s="14" t="str">
        <x:v>Corton-Charlemagne</x:v>
      </x:c>
      <x:c r="C641" s="14" t="str"/>
      <x:c r="D641" s="14" t="str">
        <x:v>Corton-Charlemagne</x:v>
      </x:c>
      <x:c r="E641" s="14" t="str"/>
      <x:c r="F641" s="14" t="str">
        <x:v>畑・AOC</x:v>
      </x:c>
      <x:c r="G641" s="14" t="str">
        <x:v>Corton-Charlemagneはコルトン丘のGrand Cru AOC。シャルドネから、高い酸、柑橘・リンゴ、石灰質の緊張感と厚みを備え、瓶熟成で蜂蜜やナッツの複雑さを増す白。</x:v>
      </x:c>
      <x:c r="H641" s="14" t="str">
        <x:v>地質・立地：上部の白い泥灰土と石灰岩を主体とする高い斜面。主要品種：シャルドネ。典型的な味わい：高い酸、柑橘・リンゴ、石灰質の緊張感と厚みを備え、瓶熟成で蜂蜜やナッツの複雑さを増す白。同一AOC内でも区画、樹齢、収量、醸造・熟成によって濃度や樽香の強さは変わる。</x:v>
      </x:c>
      <x:c r="I641" s="14" t="str">
        <x:v>フランス</x:v>
      </x:c>
      <x:c r="J641" s="14" t="str">
        <x:v>Aloxe-Corton／Ladoix-Serrigny／Pernand-Vergelesses</x:v>
      </x:c>
      <x:c r="K641" s="14" t="str">
        <x:v>格付け;Grand Cru;burgundy_grand_cru</x:v>
      </x:c>
      <x:c r="L641" s="14" t="str"/>
      <x:c r="M641" s="14" t="str">
        <x:v>bourgogne_official_profiles</x:v>
      </x:c>
      <x:c r="N641" s="14" t="str">
        <x:v>2026-07-12</x:v>
      </x:c>
      <x:c r="O641" s="14" t="str">
        <x:v>Y</x:v>
      </x:c>
    </x:row>
    <x:row r="642" ht="66" hidden="0" customHeight="1">
      <x:c r="A642" s="14" t="str">
        <x:v>term-9390fc483b9b</x:v>
      </x:c>
      <x:c r="B642" s="14" t="str">
        <x:v>Criots-Bâtard-Montrachet</x:v>
      </x:c>
      <x:c r="C642" s="14" t="str"/>
      <x:c r="D642" s="14" t="str">
        <x:v>Criots-Bâtard-Montrachet</x:v>
      </x:c>
      <x:c r="E642" s="14" t="str"/>
      <x:c r="F642" s="14" t="str">
        <x:v>畑・AOC</x:v>
      </x:c>
      <x:c r="G642" s="14" t="str">
        <x:v>Criots-Bâtard-Montrachetはピュリニー・モンラッシェ／シャサーニュ・モンラッシェのGrand Cru AOC。シャルドネから、柑橘・核果、白い花に、バター、ナッツ、蜂蜜、スパイスが重なり、豊かな質感と芯のある酸、長い熟成力を持つ白。</x:v>
      </x:c>
      <x:c r="H642"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42" s="14" t="str">
        <x:v>フランス</x:v>
      </x:c>
      <x:c r="J642" s="14" t="str">
        <x:v>Chassagne-Montrachet</x:v>
      </x:c>
      <x:c r="K642" s="14" t="str">
        <x:v>格付け;Grand Cru;burgundy_grand_cru</x:v>
      </x:c>
      <x:c r="L642" s="14" t="str"/>
      <x:c r="M642" s="14" t="str">
        <x:v>bourgogne_official_profiles</x:v>
      </x:c>
      <x:c r="N642" s="14" t="str">
        <x:v>2026-07-12</x:v>
      </x:c>
      <x:c r="O642" s="14" t="str">
        <x:v>Y</x:v>
      </x:c>
    </x:row>
    <x:row r="643" ht="52.79999923706055" hidden="0" customHeight="1">
      <x:c r="A643" s="14" t="str">
        <x:v>term-c2ebf77e0dac</x:v>
      </x:c>
      <x:c r="B643" s="14" t="str">
        <x:v>Grands Échezeaux</x:v>
      </x:c>
      <x:c r="C643" s="14" t="str"/>
      <x:c r="D643" s="14" t="str">
        <x:v>Grands Échezeaux</x:v>
      </x:c>
      <x:c r="E643" s="14" t="str"/>
      <x:c r="F643" s="14" t="str">
        <x:v>畑・AOC</x:v>
      </x:c>
      <x:c r="G643" s="14" t="str">
        <x:v>Grands Échezeauxはフラジェ・エシェゾーのGrand Cru AOC。ピノ・ノワールから、赤・黒系果実、花、甘いスパイスを持つ芳香豊かな赤。Grands Échezeauxは一般により深みと骨格が出やすい。</x:v>
      </x:c>
      <x:c r="H643" s="14" t="str">
        <x:v>地質・立地：石灰岩、泥灰土、粘土が入り組む緩斜面。主要品種：ピノ・ノワール。典型的な味わい：赤・黒系果実、花、甘いスパイスを持つ芳香豊かな赤。Grands Échezeauxは一般により深みと骨格が出やすい。同一AOC内でも区画、樹齢、収量、醸造・熟成によって濃度や樽香の強さは変わる。</x:v>
      </x:c>
      <x:c r="I643" s="14" t="str">
        <x:v>フランス</x:v>
      </x:c>
      <x:c r="J643" s="14" t="str">
        <x:v>Flagey-Échezeaux</x:v>
      </x:c>
      <x:c r="K643" s="14" t="str">
        <x:v>格付け;Grand Cru;burgundy_grand_cru</x:v>
      </x:c>
      <x:c r="L643" s="14" t="str"/>
      <x:c r="M643" s="14" t="str">
        <x:v>bourgogne_official_profiles</x:v>
      </x:c>
      <x:c r="N643" s="14" t="str">
        <x:v>2026-07-12</x:v>
      </x:c>
      <x:c r="O643" s="14" t="str">
        <x:v>Y</x:v>
      </x:c>
    </x:row>
    <x:row r="644" ht="52.79999923706055" hidden="0" customHeight="1">
      <x:c r="A644" s="14" t="str">
        <x:v>term-6904afcf4811</x:v>
      </x:c>
      <x:c r="B644" s="14" t="str">
        <x:v>Griotte-Chambertin</x:v>
      </x:c>
      <x:c r="C644" s="14" t="str"/>
      <x:c r="D644" s="14" t="str">
        <x:v>Griotte-Chambertin</x:v>
      </x:c>
      <x:c r="E644" s="14" t="str"/>
      <x:c r="F644" s="14" t="str">
        <x:v>畑・AOC</x:v>
      </x:c>
      <x:c r="G644" s="14" t="str">
        <x:v>Griotte-Chambertinはジュヴレ・シャンベルタンのGrand Cru AOC。ピノ・ノワールから、赤・黒系果実、土、スパイス、明確なタンニンを持つ力強く長期熟成型の赤。</x:v>
      </x:c>
      <x:c r="H644"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44" s="14" t="str">
        <x:v>フランス</x:v>
      </x:c>
      <x:c r="J644" s="14" t="str">
        <x:v>Gevrey-Chambertin</x:v>
      </x:c>
      <x:c r="K644" s="14" t="str">
        <x:v>格付け;Grand Cru;burgundy_grand_cru</x:v>
      </x:c>
      <x:c r="L644" s="14" t="str"/>
      <x:c r="M644" s="14" t="str">
        <x:v>bourgogne_official_profiles</x:v>
      </x:c>
      <x:c r="N644" s="14" t="str">
        <x:v>2026-07-12</x:v>
      </x:c>
      <x:c r="O644" s="14" t="str">
        <x:v>Y</x:v>
      </x:c>
    </x:row>
    <x:row r="645" ht="52.79999923706055" hidden="0" customHeight="1">
      <x:c r="A645" s="14" t="str">
        <x:v>term-202b50e8c59a</x:v>
      </x:c>
      <x:c r="B645" s="14" t="str">
        <x:v>La Grande Rue</x:v>
      </x:c>
      <x:c r="C645" s="14" t="str"/>
      <x:c r="D645" s="14" t="str">
        <x:v>La Grande Rue</x:v>
      </x:c>
      <x:c r="E645" s="14" t="str"/>
      <x:c r="F645" s="14" t="str">
        <x:v>畑・AOC</x:v>
      </x:c>
      <x:c r="G645" s="14" t="str">
        <x:v>La Grande Rueはヴォーヌ・ロマネのGrand Cru AOC。ピノ・ノワールから、赤・黒系果実、スミレ、甘いスパイス、土の複雑さを持ち、緻密なタンニンと長い熟成力を示す赤。</x:v>
      </x:c>
      <x:c r="H645"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45" s="14" t="str">
        <x:v>フランス</x:v>
      </x:c>
      <x:c r="J645" s="14" t="str">
        <x:v>Vosne-Romanée</x:v>
      </x:c>
      <x:c r="K645" s="14" t="str">
        <x:v>格付け;Grand Cru;burgundy_grand_cru</x:v>
      </x:c>
      <x:c r="L645" s="14" t="str"/>
      <x:c r="M645" s="14" t="str">
        <x:v>bourgogne_official_profiles</x:v>
      </x:c>
      <x:c r="N645" s="14" t="str">
        <x:v>2026-07-12</x:v>
      </x:c>
      <x:c r="O645" s="14" t="str">
        <x:v>Y</x:v>
      </x:c>
    </x:row>
    <x:row r="646" ht="52.79999923706055" hidden="0" customHeight="1">
      <x:c r="A646" s="14" t="str">
        <x:v>term-612ce77941b6</x:v>
      </x:c>
      <x:c r="B646" s="14" t="str">
        <x:v>La Romanée</x:v>
      </x:c>
      <x:c r="C646" s="14" t="str"/>
      <x:c r="D646" s="14" t="str">
        <x:v>La Romanée</x:v>
      </x:c>
      <x:c r="E646" s="14" t="str"/>
      <x:c r="F646" s="14" t="str">
        <x:v>畑・AOC</x:v>
      </x:c>
      <x:c r="G646" s="14" t="str">
        <x:v>La Romanéeはヴォーヌ・ロマネのGrand Cru AOC。ピノ・ノワールから、赤・黒系果実、スミレ、甘いスパイス、土の複雑さを持ち、緻密なタンニンと長い熟成力を示す赤。</x:v>
      </x:c>
      <x:c r="H646"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46" s="14" t="str">
        <x:v>フランス</x:v>
      </x:c>
      <x:c r="J646" s="14" t="str">
        <x:v>Vosne-Romanée</x:v>
      </x:c>
      <x:c r="K646" s="14" t="str">
        <x:v>格付け;Grand Cru;burgundy_grand_cru</x:v>
      </x:c>
      <x:c r="L646" s="14" t="str"/>
      <x:c r="M646" s="14" t="str">
        <x:v>bourgogne_official_profiles</x:v>
      </x:c>
      <x:c r="N646" s="14" t="str">
        <x:v>2026-07-12</x:v>
      </x:c>
      <x:c r="O646" s="14" t="str">
        <x:v>Y</x:v>
      </x:c>
    </x:row>
    <x:row r="647" ht="52.79999923706055" hidden="0" customHeight="1">
      <x:c r="A647" s="14" t="str">
        <x:v>term-013fb7759267</x:v>
      </x:c>
      <x:c r="B647" s="14" t="str">
        <x:v>La Tâche</x:v>
      </x:c>
      <x:c r="C647" s="14" t="str"/>
      <x:c r="D647" s="14" t="str">
        <x:v>La Tâche</x:v>
      </x:c>
      <x:c r="E647" s="14" t="str"/>
      <x:c r="F647" s="14" t="str">
        <x:v>畑・AOC</x:v>
      </x:c>
      <x:c r="G647" s="14" t="str">
        <x:v>La Tâcheはヴォーヌ・ロマネのGrand Cru AOC。ピノ・ノワールから、赤・黒系果実、スミレ、甘いスパイス、土の複雑さを持ち、緻密なタンニンと長い熟成力を示す赤。</x:v>
      </x:c>
      <x:c r="H647"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47" s="14" t="str">
        <x:v>フランス</x:v>
      </x:c>
      <x:c r="J647" s="14" t="str">
        <x:v>Vosne-Romanée</x:v>
      </x:c>
      <x:c r="K647" s="14" t="str">
        <x:v>格付け;Grand Cru;burgundy_grand_cru</x:v>
      </x:c>
      <x:c r="L647" s="14" t="str"/>
      <x:c r="M647" s="14" t="str">
        <x:v>bourgogne_official_profiles</x:v>
      </x:c>
      <x:c r="N647" s="14" t="str">
        <x:v>2026-07-12</x:v>
      </x:c>
      <x:c r="O647" s="14" t="str">
        <x:v>Y</x:v>
      </x:c>
    </x:row>
    <x:row r="648" ht="52.79999923706055" hidden="0" customHeight="1">
      <x:c r="A648" s="14" t="str">
        <x:v>term-13a5ee3d1e26</x:v>
      </x:c>
      <x:c r="B648" s="14" t="str">
        <x:v>Latricières-Chambertin</x:v>
      </x:c>
      <x:c r="C648" s="14" t="str"/>
      <x:c r="D648" s="14" t="str">
        <x:v>Latricières-Chambertin</x:v>
      </x:c>
      <x:c r="E648" s="14" t="str"/>
      <x:c r="F648" s="14" t="str">
        <x:v>畑・AOC</x:v>
      </x:c>
      <x:c r="G648" s="14" t="str">
        <x:v>Latricières-Chambertinはジュヴレ・シャンベルタンのGrand Cru AOC。ピノ・ノワールから、赤・黒系果実、土、スパイス、明確なタンニンを持つ力強く長期熟成型の赤。</x:v>
      </x:c>
      <x:c r="H648"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48" s="14" t="str">
        <x:v>フランス</x:v>
      </x:c>
      <x:c r="J648" s="14" t="str">
        <x:v>Gevrey-Chambertin</x:v>
      </x:c>
      <x:c r="K648" s="14" t="str">
        <x:v>格付け;Grand Cru;burgundy_grand_cru</x:v>
      </x:c>
      <x:c r="L648" s="14" t="str"/>
      <x:c r="M648" s="14" t="str">
        <x:v>bourgogne_official_profiles</x:v>
      </x:c>
      <x:c r="N648" s="14" t="str">
        <x:v>2026-07-12</x:v>
      </x:c>
      <x:c r="O648" s="14" t="str">
        <x:v>Y</x:v>
      </x:c>
    </x:row>
    <x:row r="649" ht="52.79999923706055" hidden="0" customHeight="1">
      <x:c r="A649" s="14" t="str">
        <x:v>term-7a2a682ebddc</x:v>
      </x:c>
      <x:c r="B649" s="14" t="str">
        <x:v>Mazis-Chambertin</x:v>
      </x:c>
      <x:c r="C649" s="14" t="str"/>
      <x:c r="D649" s="14" t="str">
        <x:v>Mazis-Chambertin</x:v>
      </x:c>
      <x:c r="E649" s="14" t="str"/>
      <x:c r="F649" s="14" t="str">
        <x:v>畑・AOC</x:v>
      </x:c>
      <x:c r="G649" s="14" t="str">
        <x:v>Mazis-Chambertinはジュヴレ・シャンベルタンのGrand Cru AOC。ピノ・ノワールから、赤・黒系果実、土、スパイス、明確なタンニンを持つ力強く長期熟成型の赤。</x:v>
      </x:c>
      <x:c r="H649"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49" s="14" t="str">
        <x:v>フランス</x:v>
      </x:c>
      <x:c r="J649" s="14" t="str">
        <x:v>Gevrey-Chambertin</x:v>
      </x:c>
      <x:c r="K649" s="14" t="str">
        <x:v>格付け;Grand Cru;burgundy_grand_cru</x:v>
      </x:c>
      <x:c r="L649" s="14" t="str"/>
      <x:c r="M649" s="14" t="str">
        <x:v>bourgogne_official_profiles</x:v>
      </x:c>
      <x:c r="N649" s="14" t="str">
        <x:v>2026-07-12</x:v>
      </x:c>
      <x:c r="O649" s="14" t="str">
        <x:v>Y</x:v>
      </x:c>
    </x:row>
    <x:row r="650" ht="52.79999923706055" hidden="0" customHeight="1">
      <x:c r="A650" s="14" t="str">
        <x:v>term-ea6789f950b9</x:v>
      </x:c>
      <x:c r="B650" s="14" t="str">
        <x:v>Mazoyères-Chambertin</x:v>
      </x:c>
      <x:c r="C650" s="14" t="str"/>
      <x:c r="D650" s="14" t="str">
        <x:v>Mazoyères-Chambertin</x:v>
      </x:c>
      <x:c r="E650" s="14" t="str"/>
      <x:c r="F650" s="14" t="str">
        <x:v>畑・AOC</x:v>
      </x:c>
      <x:c r="G650" s="14" t="str">
        <x:v>Mazoyères-Chambertinはジュヴレ・シャンベルタンのGrand Cru AOC。ピノ・ノワールから、赤・黒系果実、土、スパイス、明確なタンニンを持つ力強く長期熟成型の赤。</x:v>
      </x:c>
      <x:c r="H650"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50" s="14" t="str">
        <x:v>フランス</x:v>
      </x:c>
      <x:c r="J650" s="14" t="str">
        <x:v>Gevrey-Chambertin</x:v>
      </x:c>
      <x:c r="K650" s="14" t="str">
        <x:v>格付け;Grand Cru;burgundy_grand_cru</x:v>
      </x:c>
      <x:c r="L650" s="14" t="str"/>
      <x:c r="M650" s="14" t="str">
        <x:v>bourgogne_official_profiles</x:v>
      </x:c>
      <x:c r="N650" s="14" t="str">
        <x:v>2026-07-12</x:v>
      </x:c>
      <x:c r="O650" s="14" t="str">
        <x:v>Y</x:v>
      </x:c>
    </x:row>
    <x:row r="651" ht="66" hidden="0" customHeight="1">
      <x:c r="A651" s="14" t="str">
        <x:v>term-2065413f4ea4</x:v>
      </x:c>
      <x:c r="B651" s="14" t="str">
        <x:v>Montrachet</x:v>
      </x:c>
      <x:c r="C651" s="14" t="str"/>
      <x:c r="D651" s="14" t="str">
        <x:v>Montrachet</x:v>
      </x:c>
      <x:c r="E651" s="14" t="str"/>
      <x:c r="F651" s="14" t="str">
        <x:v>畑・AOC</x:v>
      </x:c>
      <x:c r="G651" s="14" t="str">
        <x:v>Montrachetはピュリニー・モンラッシェ／シャサーニュ・モンラッシェのGrand Cru AOC。シャルドネから、柑橘・核果、白い花に、バター、ナッツ、蜂蜜、スパイスが重なり、豊かな質感と芯のある酸、長い熟成力を持つ白。</x:v>
      </x:c>
      <x:c r="H651" s="14" t="str">
        <x:v>地質・立地：石灰岩と泥灰土に小石を含む、排水と日照に優れた中腹斜面。主要品種：シャルドネ。典型的な味わい：柑橘・核果、白い花に、バター、ナッツ、蜂蜜、スパイスが重なり、豊かな質感と芯のある酸、長い熟成力を持つ白。同一AOC内でも区画、樹齢、収量、醸造・熟成によって濃度や樽香の強さは変わる。</x:v>
      </x:c>
      <x:c r="I651" s="14" t="str">
        <x:v>フランス</x:v>
      </x:c>
      <x:c r="J651" s="14" t="str">
        <x:v>Puligny-Montrachet／Chassagne-Montrachet</x:v>
      </x:c>
      <x:c r="K651" s="14" t="str">
        <x:v>格付け;Grand Cru;burgundy_grand_cru</x:v>
      </x:c>
      <x:c r="L651" s="14" t="str"/>
      <x:c r="M651" s="14" t="str">
        <x:v>bourgogne_official_profiles</x:v>
      </x:c>
      <x:c r="N651" s="14" t="str">
        <x:v>2026-07-12</x:v>
      </x:c>
      <x:c r="O651" s="14" t="str">
        <x:v>Y</x:v>
      </x:c>
    </x:row>
    <x:row r="652" ht="52.79999923706055" hidden="0" customHeight="1">
      <x:c r="A652" s="14" t="str">
        <x:v>term-8a0f0d2bccf8</x:v>
      </x:c>
      <x:c r="B652" s="14" t="str">
        <x:v>Musigny</x:v>
      </x:c>
      <x:c r="C652" s="14" t="str"/>
      <x:c r="D652" s="14" t="str">
        <x:v>Musigny</x:v>
      </x:c>
      <x:c r="E652" s="14" t="str"/>
      <x:c r="F652" s="14" t="str">
        <x:v>畑・AOC</x:v>
      </x:c>
      <x:c r="G652" s="14" t="str">
        <x:v>Musignyはシャンボール・ミュジニーのGrand Cru AOC。主にピノ・ノワールから、赤い果実、スミレ、スパイスの香りと、絹のような質感、精緻な酸と長い余韻を持つ赤。</x:v>
      </x:c>
      <x:c r="H652" s="14" t="str">
        <x:v>地質・立地：薄い表土の下に石灰岩がある急斜面。主要品種：主にピノ・ノワール。典型的な味わい：赤い果実、スミレ、スパイスの香りと、絹のような質感、精緻な酸と長い余韻を持つ赤。同一AOC内でも区画、樹齢、収量、醸造・熟成によって濃度や樽香の強さは変わる。</x:v>
      </x:c>
      <x:c r="I652" s="14" t="str">
        <x:v>フランス</x:v>
      </x:c>
      <x:c r="J652" s="14" t="str">
        <x:v>Chambolle-Musigny</x:v>
      </x:c>
      <x:c r="K652" s="14" t="str">
        <x:v>格付け;Grand Cru;burgundy_grand_cru</x:v>
      </x:c>
      <x:c r="L652" s="14" t="str"/>
      <x:c r="M652" s="14" t="str">
        <x:v>bourgogne_official_profiles</x:v>
      </x:c>
      <x:c r="N652" s="14" t="str">
        <x:v>2026-07-12</x:v>
      </x:c>
      <x:c r="O652" s="14" t="str">
        <x:v>Y</x:v>
      </x:c>
    </x:row>
    <x:row r="653" ht="52.79999923706055" hidden="0" customHeight="1">
      <x:c r="A653" s="14" t="str">
        <x:v>term-d443fb003ff0</x:v>
      </x:c>
      <x:c r="B653" s="14" t="str">
        <x:v>Richebourg</x:v>
      </x:c>
      <x:c r="C653" s="14" t="str"/>
      <x:c r="D653" s="14" t="str">
        <x:v>Richebourg</x:v>
      </x:c>
      <x:c r="E653" s="14" t="str"/>
      <x:c r="F653" s="14" t="str">
        <x:v>畑・AOC</x:v>
      </x:c>
      <x:c r="G653" s="14" t="str">
        <x:v>Richebourgはヴォーヌ・ロマネのGrand Cru AOC。ピノ・ノワールから、赤・黒系果実、スミレ、甘いスパイス、土の複雑さを持ち、緻密なタンニンと長い熟成力を示す赤。</x:v>
      </x:c>
      <x:c r="H653"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53" s="14" t="str">
        <x:v>フランス</x:v>
      </x:c>
      <x:c r="J653" s="14" t="str">
        <x:v>Vosne-Romanée</x:v>
      </x:c>
      <x:c r="K653" s="14" t="str">
        <x:v>格付け;Grand Cru;burgundy_grand_cru</x:v>
      </x:c>
      <x:c r="L653" s="14" t="str"/>
      <x:c r="M653" s="14" t="str">
        <x:v>bourgogne_official_profiles</x:v>
      </x:c>
      <x:c r="N653" s="14" t="str">
        <x:v>2026-07-12</x:v>
      </x:c>
      <x:c r="O653" s="14" t="str">
        <x:v>Y</x:v>
      </x:c>
    </x:row>
    <x:row r="654" ht="52.79999923706055" hidden="0" customHeight="1">
      <x:c r="A654" s="14" t="str">
        <x:v>term-4f375eaa990b</x:v>
      </x:c>
      <x:c r="B654" s="14" t="str">
        <x:v>Romanée-Conti</x:v>
      </x:c>
      <x:c r="C654" s="14" t="str"/>
      <x:c r="D654" s="14" t="str">
        <x:v>Romanée-Conti</x:v>
      </x:c>
      <x:c r="E654" s="14" t="str"/>
      <x:c r="F654" s="14" t="str">
        <x:v>畑・AOC</x:v>
      </x:c>
      <x:c r="G654" s="14" t="str">
        <x:v>Romanée-Contiはヴォーヌ・ロマネのGrand Cru AOC。ピノ・ノワールから、赤・黒系果実、スミレ、甘いスパイス、土の複雑さを持ち、緻密なタンニンと長い熟成力を示す赤。</x:v>
      </x:c>
      <x:c r="H654"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54" s="14" t="str">
        <x:v>フランス</x:v>
      </x:c>
      <x:c r="J654" s="14" t="str">
        <x:v>Vosne-Romanée</x:v>
      </x:c>
      <x:c r="K654" s="14" t="str">
        <x:v>格付け;Grand Cru;burgundy_grand_cru</x:v>
      </x:c>
      <x:c r="L654" s="14" t="str"/>
      <x:c r="M654" s="14" t="str">
        <x:v>bourgogne_official_profiles</x:v>
      </x:c>
      <x:c r="N654" s="14" t="str">
        <x:v>2026-07-12</x:v>
      </x:c>
      <x:c r="O654" s="14" t="str">
        <x:v>Y</x:v>
      </x:c>
    </x:row>
    <x:row r="655" ht="52.79999923706055" hidden="0" customHeight="1">
      <x:c r="A655" s="14" t="str">
        <x:v>term-256fe3f829d7</x:v>
      </x:c>
      <x:c r="B655" s="14" t="str">
        <x:v>Romanée-Saint-Vivant</x:v>
      </x:c>
      <x:c r="C655" s="14" t="str"/>
      <x:c r="D655" s="14" t="str">
        <x:v>Romanée-Saint-Vivant</x:v>
      </x:c>
      <x:c r="E655" s="14" t="str"/>
      <x:c r="F655" s="14" t="str">
        <x:v>畑・AOC</x:v>
      </x:c>
      <x:c r="G655" s="14" t="str">
        <x:v>Romanée-Saint-Vivantはヴォーヌ・ロマネのGrand Cru AOC。ピノ・ノワールから、赤・黒系果実、スミレ、甘いスパイス、土の複雑さを持ち、緻密なタンニンと長い熟成力を示す赤。</x:v>
      </x:c>
      <x:c r="H655" s="14" t="str">
        <x:v>地質・立地：石灰岩と泥灰土に粘土が混じる東向き斜面。主要品種：ピノ・ノワール。典型的な味わい：赤・黒系果実、スミレ、甘いスパイス、土の複雑さを持ち、緻密なタンニンと長い熟成力を示す赤。同一AOC内でも区画、樹齢、収量、醸造・熟成によって濃度や樽香の強さは変わる。</x:v>
      </x:c>
      <x:c r="I655" s="14" t="str">
        <x:v>フランス</x:v>
      </x:c>
      <x:c r="J655" s="14" t="str">
        <x:v>Vosne-Romanée</x:v>
      </x:c>
      <x:c r="K655" s="14" t="str">
        <x:v>格付け;Grand Cru;burgundy_grand_cru</x:v>
      </x:c>
      <x:c r="L655" s="14" t="str"/>
      <x:c r="M655" s="14" t="str">
        <x:v>bourgogne_official_profiles</x:v>
      </x:c>
      <x:c r="N655" s="14" t="str">
        <x:v>2026-07-12</x:v>
      </x:c>
      <x:c r="O655" s="14" t="str">
        <x:v>Y</x:v>
      </x:c>
    </x:row>
    <x:row r="656" ht="52.79999923706055" hidden="0" customHeight="1">
      <x:c r="A656" s="14" t="str">
        <x:v>term-c6f14fef65bb</x:v>
      </x:c>
      <x:c r="B656" s="14" t="str">
        <x:v>Ruchottes-Chambertin</x:v>
      </x:c>
      <x:c r="C656" s="14" t="str"/>
      <x:c r="D656" s="14" t="str">
        <x:v>Ruchottes-Chambertin</x:v>
      </x:c>
      <x:c r="E656" s="14" t="str"/>
      <x:c r="F656" s="14" t="str">
        <x:v>畑・AOC</x:v>
      </x:c>
      <x:c r="G656" s="14" t="str">
        <x:v>Ruchottes-Chambertinはジュヴレ・シャンベルタンのGrand Cru AOC。ピノ・ノワールから、赤・黒系果実、土、スパイス、明確なタンニンを持つ力強く長期熟成型の赤。</x:v>
      </x:c>
      <x:c r="H656" s="14" t="str">
        <x:v>地質・立地：石灰岩と泥灰土に粘土が混じる東向き斜面。主要品種：ピノ・ノワール。典型的な味わい：赤・黒系果実、土、スパイス、明確なタンニンを持つ力強く長期熟成型の赤。同一AOC内でも区画、樹齢、収量、醸造・熟成によって濃度や樽香の強さは変わる。</x:v>
      </x:c>
      <x:c r="I656" s="14" t="str">
        <x:v>フランス</x:v>
      </x:c>
      <x:c r="J656" s="14" t="str">
        <x:v>Gevrey-Chambertin</x:v>
      </x:c>
      <x:c r="K656" s="14" t="str">
        <x:v>格付け;Grand Cru;burgundy_grand_cru</x:v>
      </x:c>
      <x:c r="L656" s="14" t="str"/>
      <x:c r="M656" s="14" t="str">
        <x:v>bourgogne_official_profiles</x:v>
      </x:c>
      <x:c r="N656" s="14" t="str">
        <x:v>2026-07-12</x:v>
      </x:c>
      <x:c r="O656" s="14" t="str">
        <x:v>Y</x:v>
      </x:c>
    </x:row>
    <x:row r="657" ht="52.79999923706055" hidden="0" customHeight="1">
      <x:c r="A657" s="14" t="str">
        <x:v>term-7e386318e115</x:v>
      </x:c>
      <x:c r="B657" s="14" t="str">
        <x:v>Échezeaux</x:v>
      </x:c>
      <x:c r="C657" s="14" t="str"/>
      <x:c r="D657" s="14" t="str">
        <x:v>Échezeaux</x:v>
      </x:c>
      <x:c r="E657" s="14" t="str"/>
      <x:c r="F657" s="14" t="str">
        <x:v>畑・AOC</x:v>
      </x:c>
      <x:c r="G657" s="14" t="str">
        <x:v>Échezeauxはフラジェ・エシェゾーのGrand Cru AOC。ピノ・ノワールから、赤・黒系果実、花、甘いスパイスを持つ芳香豊かな赤。Grands Échezeauxは一般により深みと骨格が出やすい。</x:v>
      </x:c>
      <x:c r="H657" s="14" t="str">
        <x:v>地質・立地：石灰岩、泥灰土、粘土が入り組む緩斜面。主要品種：ピノ・ノワール。典型的な味わい：赤・黒系果実、花、甘いスパイスを持つ芳香豊かな赤。Grands Échezeauxは一般により深みと骨格が出やすい。同一AOC内でも区画、樹齢、収量、醸造・熟成によって濃度や樽香の強さは変わる。</x:v>
      </x:c>
      <x:c r="I657" s="14" t="str">
        <x:v>フランス</x:v>
      </x:c>
      <x:c r="J657" s="14" t="str">
        <x:v>Flagey-Échezeaux</x:v>
      </x:c>
      <x:c r="K657" s="14" t="str">
        <x:v>格付け;Grand Cru;burgundy_grand_cru</x:v>
      </x:c>
      <x:c r="L657" s="14" t="str"/>
      <x:c r="M657" s="14" t="str">
        <x:v>bourgogne_official_profiles</x:v>
      </x:c>
      <x:c r="N657" s="14" t="str">
        <x:v>2026-07-12</x:v>
      </x:c>
      <x:c r="O657" s="14" t="str">
        <x:v>Y</x:v>
      </x:c>
    </x:row>
    <x:row r="658" ht="26.399999618530273" hidden="0" customHeight="1">
      <x:c r="A658" s="14" t="str">
        <x:v>term-a3e780a50cf8</x:v>
      </x:c>
      <x:c r="B658" s="14" t="str">
        <x:v>ティラージュ</x:v>
      </x:c>
      <x:c r="C658" s="14" t="str">
        <x:v>tirage</x:v>
      </x:c>
      <x:c r="D658" s="14" t="str">
        <x:v>tirage</x:v>
      </x:c>
      <x:c r="E658" s="14" t="str"/>
      <x:c r="F658" s="14" t="str">
        <x:v>発泡性ワイン</x:v>
      </x:c>
      <x:c r="G658" s="14" t="str">
        <x:v>瓶内二次発酵のため、ベースワインへ糖と酵母を加えて瓶詰めする工程。</x:v>
      </x:c>
      <x:c r="H658" s="14" t="str">
        <x:v>瓶内二次発酵のため、ベースワインへ糖と酵母を加えて瓶詰めする工程。</x:v>
      </x:c>
      <x:c r="I658" s="14" t="str"/>
      <x:c r="J658" s="14" t="str"/>
      <x:c r="K658" s="14" t="str">
        <x:v>発泡;瓶内二次発酵</x:v>
      </x:c>
      <x:c r="L658" s="14" t="str"/>
      <x:c r="M658" s="14" t="str">
        <x:v>wset_questions_1100_v6</x:v>
      </x:c>
      <x:c r="N658" s="14" t="str">
        <x:v>2026-07-12</x:v>
      </x:c>
      <x:c r="O658" s="14" t="str">
        <x:v>Y</x:v>
      </x:c>
    </x:row>
    <x:row r="659" ht="15" hidden="0" customHeight="1">
      <x:c r="A659" s="14" t="str">
        <x:v>term-225d8e38e70f</x:v>
      </x:c>
      <x:c r="B659" s="14" t="str">
        <x:v>デゴルジュマン</x:v>
      </x:c>
      <x:c r="C659" s="14" t="str">
        <x:v>disgorgement</x:v>
      </x:c>
      <x:c r="D659" s="14" t="str">
        <x:v>dégorgement</x:v>
      </x:c>
      <x:c r="E659" s="14" t="str"/>
      <x:c r="F659" s="14" t="str">
        <x:v>発泡性ワイン</x:v>
      </x:c>
      <x:c r="G659" s="14" t="str">
        <x:v>瓶口に集めた澱を取り除く工程。</x:v>
      </x:c>
      <x:c r="H659" s="14" t="str">
        <x:v>瓶口に集めた澱を取り除く工程。</x:v>
      </x:c>
      <x:c r="I659" s="14" t="str"/>
      <x:c r="J659" s="14" t="str"/>
      <x:c r="K659" s="14" t="str">
        <x:v>発泡;澱抜き</x:v>
      </x:c>
      <x:c r="L659" s="14" t="str"/>
      <x:c r="M659" s="14" t="str">
        <x:v>wset_questions_1100_v6</x:v>
      </x:c>
      <x:c r="N659" s="14" t="str">
        <x:v>2026-07-12</x:v>
      </x:c>
      <x:c r="O659" s="14" t="str">
        <x:v>Y</x:v>
      </x:c>
    </x:row>
    <x:row r="660" ht="26.399999618530273" hidden="0" customHeight="1">
      <x:c r="A660" s="14" t="str">
        <x:v>term-84d07699ae5a</x:v>
      </x:c>
      <x:c r="B660" s="14" t="str">
        <x:v>ドサージュ</x:v>
      </x:c>
      <x:c r="C660" s="14" t="str">
        <x:v>dosage</x:v>
      </x:c>
      <x:c r="D660" s="14" t="str">
        <x:v>dosage</x:v>
      </x:c>
      <x:c r="E660" s="14" t="str"/>
      <x:c r="F660" s="14" t="str">
        <x:v>発泡性ワイン</x:v>
      </x:c>
      <x:c r="G660" s="14" t="str">
        <x:v>デゴルジュマン後にリキュール・デクスペディシオンを加え、甘味や最終バランスを調整する工程。</x:v>
      </x:c>
      <x:c r="H660" s="14" t="str">
        <x:v>デゴルジュマン後にリキュール・デクスペディシオンを加え、甘味や最終バランスを調整する工程。</x:v>
      </x:c>
      <x:c r="I660" s="14" t="str"/>
      <x:c r="J660" s="14" t="str"/>
      <x:c r="K660" s="14" t="str">
        <x:v>発泡;シャンパーニュ</x:v>
      </x:c>
      <x:c r="L660" s="14" t="str"/>
      <x:c r="M660" s="14" t="str">
        <x:v>wset_questions_1100_v6</x:v>
      </x:c>
      <x:c r="N660" s="14" t="str">
        <x:v>2026-07-12</x:v>
      </x:c>
      <x:c r="O660" s="14" t="str">
        <x:v>Y</x:v>
      </x:c>
    </x:row>
    <x:row r="661" ht="15" hidden="0" customHeight="1">
      <x:c r="A661" s="14" t="str">
        <x:v>term-a060cd2d4e81</x:v>
      </x:c>
      <x:c r="B661" s="14" t="str">
        <x:v>プリズ・ド・ムース</x:v>
      </x:c>
      <x:c r="C661" s="14" t="str">
        <x:v>second alcoholic fermentation</x:v>
      </x:c>
      <x:c r="D661" s="14" t="str">
        <x:v>prise de mousse</x:v>
      </x:c>
      <x:c r="E661" s="14" t="str"/>
      <x:c r="F661" s="14" t="str">
        <x:v>発泡性ワイン</x:v>
      </x:c>
      <x:c r="G661" s="14" t="str">
        <x:v>二次発酵によってワインに炭酸ガスを生じさせる工程。</x:v>
      </x:c>
      <x:c r="H661" s="14" t="str">
        <x:v>二次発酵によってワインに炭酸ガスを生じさせる工程。</x:v>
      </x:c>
      <x:c r="I661" s="14" t="str"/>
      <x:c r="J661" s="14" t="str"/>
      <x:c r="K661" s="14" t="str">
        <x:v>発泡;二次発酵</x:v>
      </x:c>
      <x:c r="L661" s="14" t="str"/>
      <x:c r="M661" s="14" t="str">
        <x:v>wset_questions_1100_v6</x:v>
      </x:c>
      <x:c r="N661" s="14" t="str">
        <x:v>2026-07-12</x:v>
      </x:c>
      <x:c r="O661" s="14" t="str">
        <x:v>Y</x:v>
      </x:c>
    </x:row>
    <x:row r="662" ht="26.399999618530273" hidden="0" customHeight="1">
      <x:c r="A662" s="14" t="str">
        <x:v>term-a15fd4a00525</x:v>
      </x:c>
      <x:c r="B662" s="14" t="str">
        <x:v>リキュール・デクスペディシオン</x:v>
      </x:c>
      <x:c r="C662" s="14" t="str">
        <x:v>expedition liqueur</x:v>
      </x:c>
      <x:c r="D662" s="14" t="str">
        <x:v>liqueur d’expédition</x:v>
      </x:c>
      <x:c r="E662" s="14" t="str"/>
      <x:c r="F662" s="14" t="str">
        <x:v>発泡性ワイン</x:v>
      </x:c>
      <x:c r="G662" s="14" t="str">
        <x:v>デゴルジュマン後の補填と甘味調整に用いるワインと糖などの混合液。</x:v>
      </x:c>
      <x:c r="H662" s="14" t="str">
        <x:v>デゴルジュマン後の補填と甘味調整に用いるワインと糖などの混合液。</x:v>
      </x:c>
      <x:c r="I662" s="14" t="str"/>
      <x:c r="J662" s="14" t="str"/>
      <x:c r="K662" s="14" t="str">
        <x:v>発泡;ドサージュ</x:v>
      </x:c>
      <x:c r="L662" s="14" t="str"/>
      <x:c r="M662" s="14" t="str">
        <x:v>wset_questions_1100_v6</x:v>
      </x:c>
      <x:c r="N662" s="14" t="str">
        <x:v>2026-07-12</x:v>
      </x:c>
      <x:c r="O662" s="14" t="str">
        <x:v>Y</x:v>
      </x:c>
    </x:row>
    <x:row r="663" ht="26.399999618530273" hidden="0" customHeight="1">
      <x:c r="A663" s="14" t="str">
        <x:v>term-1f072e690169</x:v>
      </x:c>
      <x:c r="B663" s="14" t="str">
        <x:v>リキュール・ド・ティラージュ</x:v>
      </x:c>
      <x:c r="C663" s="14" t="str">
        <x:v>tirage liqueur</x:v>
      </x:c>
      <x:c r="D663" s="14" t="str">
        <x:v>liqueur de tirage</x:v>
      </x:c>
      <x:c r="E663" s="14" t="str"/>
      <x:c r="F663" s="14" t="str">
        <x:v>発泡性ワイン</x:v>
      </x:c>
      <x:c r="G663" s="14" t="str">
        <x:v>瓶内二次発酵を始めるために加える糖、酵母、ワインなどの混合液。</x:v>
      </x:c>
      <x:c r="H663" s="14" t="str">
        <x:v>瓶内二次発酵を始めるために加える糖、酵母、ワインなどの混合液。</x:v>
      </x:c>
      <x:c r="I663" s="14" t="str"/>
      <x:c r="J663" s="14" t="str"/>
      <x:c r="K663" s="14" t="str">
        <x:v>発泡;瓶内二次発酵</x:v>
      </x:c>
      <x:c r="L663" s="14" t="str"/>
      <x:c r="M663" s="14" t="str">
        <x:v>wset_questions_1100_v6</x:v>
      </x:c>
      <x:c r="N663" s="14" t="str">
        <x:v>2026-07-12</x:v>
      </x:c>
      <x:c r="O663" s="14" t="str">
        <x:v>Y</x:v>
      </x:c>
    </x:row>
    <x:row r="664" ht="26.399999618530273" hidden="0" customHeight="1">
      <x:c r="A664" s="14" t="str">
        <x:v>term-f02ca9d1155c</x:v>
      </x:c>
      <x:c r="B664" s="14" t="str">
        <x:v>ルミュアージュ</x:v>
      </x:c>
      <x:c r="C664" s="14" t="str">
        <x:v>riddling</x:v>
      </x:c>
      <x:c r="D664" s="14" t="str">
        <x:v>remuage</x:v>
      </x:c>
      <x:c r="E664" s="14" t="str"/>
      <x:c r="F664" s="14" t="str">
        <x:v>発泡性ワイン</x:v>
      </x:c>
      <x:c r="G664" s="14" t="str">
        <x:v>瓶内二次発酵後の澱を瓶口へ集めるため、瓶を少しずつ回転・傾斜させる作業。</x:v>
      </x:c>
      <x:c r="H664" s="14" t="str">
        <x:v>瓶内二次発酵後の澱を瓶口へ集めるため、瓶を少しずつ回転・傾斜させる作業。</x:v>
      </x:c>
      <x:c r="I664" s="14" t="str"/>
      <x:c r="J664" s="14" t="str"/>
      <x:c r="K664" s="14" t="str">
        <x:v>発泡;澱</x:v>
      </x:c>
      <x:c r="L664" s="14" t="str"/>
      <x:c r="M664" s="14" t="str">
        <x:v>wset_questions_1100_v6</x:v>
      </x:c>
      <x:c r="N664" s="14" t="str">
        <x:v>2026-07-12</x:v>
      </x:c>
      <x:c r="O664" s="14" t="str">
        <x:v>Y</x:v>
      </x:c>
    </x:row>
    <x:row r="665" ht="15" hidden="0" customHeight="1">
      <x:c r="A665" s="14" t="str">
        <x:v>term-058c62d3df55</x:v>
      </x:c>
      <x:c r="B665" s="14" t="str">
        <x:v>地中海性気候</x:v>
      </x:c>
      <x:c r="C665" s="14" t="str">
        <x:v>Mediterranean climate</x:v>
      </x:c>
      <x:c r="D665" s="14" t="str">
        <x:v>climat méditerranéen</x:v>
      </x:c>
      <x:c r="E665" s="14" t="str"/>
      <x:c r="F665" s="14" t="str">
        <x:v>自然要因</x:v>
      </x:c>
      <x:c r="G665" s="14" t="str">
        <x:v>一般に夏が暑く乾燥し、冬が温和で降水が多い気候。</x:v>
      </x:c>
      <x:c r="H665" s="14" t="str">
        <x:v>一般に夏が暑く乾燥し、冬が温和で降水が多い気候。</x:v>
      </x:c>
      <x:c r="I665" s="14" t="str"/>
      <x:c r="J665" s="14" t="str"/>
      <x:c r="K665" s="14" t="str">
        <x:v>気候;自然要因</x:v>
      </x:c>
      <x:c r="L665" s="14" t="str"/>
      <x:c r="M665" s="14" t="str">
        <x:v>wset_questions_1100_v6</x:v>
      </x:c>
      <x:c r="N665" s="14" t="str">
        <x:v>2026-07-12</x:v>
      </x:c>
      <x:c r="O665" s="14" t="str">
        <x:v>Y</x:v>
      </x:c>
    </x:row>
    <x:row r="666" ht="26.399999618530273" hidden="0" customHeight="1">
      <x:c r="A666" s="14" t="str">
        <x:v>term-6803a79e33e0</x:v>
      </x:c>
      <x:c r="B666" s="14" t="str">
        <x:v>大陸性気候</x:v>
      </x:c>
      <x:c r="C666" s="14" t="str">
        <x:v>continental climate</x:v>
      </x:c>
      <x:c r="D666" s="14" t="str">
        <x:v>climat continental</x:v>
      </x:c>
      <x:c r="E666" s="14" t="str"/>
      <x:c r="F666" s="14" t="str">
        <x:v>自然要因</x:v>
      </x:c>
      <x:c r="G666" s="14" t="str">
        <x:v>海洋の緩和作用が小さく、季節や昼夜の気温差が大きくなりやすい気候。</x:v>
      </x:c>
      <x:c r="H666" s="14" t="str">
        <x:v>海洋の緩和作用が小さく、季節や昼夜の気温差が大きくなりやすい気候。</x:v>
      </x:c>
      <x:c r="I666" s="14" t="str"/>
      <x:c r="J666" s="14" t="str"/>
      <x:c r="K666" s="14" t="str">
        <x:v>気候;自然要因</x:v>
      </x:c>
      <x:c r="L666" s="14" t="str"/>
      <x:c r="M666" s="14" t="str">
        <x:v>wset_questions_1100_v6</x:v>
      </x:c>
      <x:c r="N666" s="14" t="str">
        <x:v>2026-07-12</x:v>
      </x:c>
      <x:c r="O666" s="14" t="str">
        <x:v>Y</x:v>
      </x:c>
    </x:row>
    <x:row r="667" ht="26.399999618530273" hidden="0" customHeight="1">
      <x:c r="A667" s="14" t="str">
        <x:v>term-2462daec884e</x:v>
      </x:c>
      <x:c r="B667" s="14" t="str">
        <x:v>日較差</x:v>
      </x:c>
      <x:c r="C667" s="14" t="str">
        <x:v>diurnal range</x:v>
      </x:c>
      <x:c r="D667" s="14" t="str">
        <x:v>amplitude thermique diurne</x:v>
      </x:c>
      <x:c r="E667" s="14" t="str"/>
      <x:c r="F667" s="14" t="str">
        <x:v>自然要因</x:v>
      </x:c>
      <x:c r="G667" s="14" t="str">
        <x:v>一日の最高気温と最低気温の差。成熟速度、酸、香りの保持へ影響する。</x:v>
      </x:c>
      <x:c r="H667" s="14" t="str">
        <x:v>一日の最高気温と最低気温の差。成熟速度、酸、香りの保持へ影響する。</x:v>
      </x:c>
      <x:c r="I667" s="14" t="str"/>
      <x:c r="J667" s="14" t="str"/>
      <x:c r="K667" s="14" t="str">
        <x:v>気候;成熟</x:v>
      </x:c>
      <x:c r="L667" s="14" t="str"/>
      <x:c r="M667" s="14" t="str">
        <x:v>wset_questions_1100_v6</x:v>
      </x:c>
      <x:c r="N667" s="14" t="str">
        <x:v>2026-07-12</x:v>
      </x:c>
      <x:c r="O667" s="14" t="str">
        <x:v>Y</x:v>
      </x:c>
    </x:row>
    <x:row r="668" ht="26.399999618530273" hidden="0" customHeight="1">
      <x:c r="A668" s="14" t="str">
        <x:v>term-71cdcab321fd</x:v>
      </x:c>
      <x:c r="B668" s="14" t="str">
        <x:v>海洋性気候</x:v>
      </x:c>
      <x:c r="C668" s="14" t="str">
        <x:v>maritime climate</x:v>
      </x:c>
      <x:c r="D668" s="14" t="str">
        <x:v>climat océanique</x:v>
      </x:c>
      <x:c r="E668" s="14" t="str"/>
      <x:c r="F668" s="14" t="str">
        <x:v>自然要因</x:v>
      </x:c>
      <x:c r="G668" s="14" t="str">
        <x:v>海洋の影響で気温差が比較的小さく、年間を通じて降水が見られやすい気候。</x:v>
      </x:c>
      <x:c r="H668" s="14" t="str">
        <x:v>海洋の影響で気温差が比較的小さく、年間を通じて降水が見られやすい気候。</x:v>
      </x:c>
      <x:c r="I668" s="14" t="str"/>
      <x:c r="J668" s="14" t="str"/>
      <x:c r="K668" s="14" t="str">
        <x:v>気候;自然要因</x:v>
      </x:c>
      <x:c r="L668" s="14" t="str"/>
      <x:c r="M668" s="14" t="str">
        <x:v>wset_questions_1100_v6</x:v>
      </x:c>
      <x:c r="N668" s="14" t="str">
        <x:v>2026-07-12</x:v>
      </x:c>
      <x:c r="O668" s="14" t="str">
        <x:v>Y</x:v>
      </x:c>
    </x:row>
    <x:row r="669" ht="26.399999618530273" hidden="0" customHeight="1">
      <x:c r="A669" s="14" t="str">
        <x:v>term-30892603b5c3</x:v>
      </x:c>
      <x:c r="B669" s="14" t="str">
        <x:v>フロール</x:v>
      </x:c>
      <x:c r="C669" s="14" t="str">
        <x:v>flor</x:v>
      </x:c>
      <x:c r="D669" s="14" t="str">
        <x:v>flor</x:v>
      </x:c>
      <x:c r="E669" s="14" t="str"/>
      <x:c r="F669" s="14" t="str">
        <x:v>酒精強化ワイン</x:v>
      </x:c>
      <x:c r="G669" s="14" t="str">
        <x:v>シェリーなどのワイン表面に形成され、酸化を抑えながら独特の香味を生む酵母膜。</x:v>
      </x:c>
      <x:c r="H669" s="14" t="str">
        <x:v>シェリーなどのワイン表面に形成され、酸化を抑えながら独特の香味を生む酵母膜。</x:v>
      </x:c>
      <x:c r="I669" s="14" t="str"/>
      <x:c r="J669" s="14" t="str"/>
      <x:c r="K669" s="14" t="str">
        <x:v>シェリー;生物学的熟成</x:v>
      </x:c>
      <x:c r="L669" s="14" t="str"/>
      <x:c r="M669" s="14" t="str">
        <x:v>wset_questions_1100_v6</x:v>
      </x:c>
      <x:c r="N669" s="14" t="str">
        <x:v>2026-07-12</x:v>
      </x:c>
      <x:c r="O669" s="14" t="str">
        <x:v>Y</x:v>
      </x:c>
    </x:row>
    <x:row r="670" ht="26.399999618530273" hidden="0" customHeight="1">
      <x:c r="A670" s="14" t="str">
        <x:v>term-3893c43168b9</x:v>
      </x:c>
      <x:c r="B670" s="14" t="str">
        <x:v>酒精強化</x:v>
      </x:c>
      <x:c r="C670" s="14" t="str">
        <x:v>fortification</x:v>
      </x:c>
      <x:c r="D670" s="14" t="str">
        <x:v>mutage</x:v>
      </x:c>
      <x:c r="E670" s="14" t="str"/>
      <x:c r="F670" s="14" t="str">
        <x:v>酒精強化ワイン</x:v>
      </x:c>
      <x:c r="G670" s="14" t="str">
        <x:v>発酵中または発酵後にブドウ由来の蒸留酒を加え、アルコール度数を高めること。</x:v>
      </x:c>
      <x:c r="H670" s="14" t="str">
        <x:v>発酵中または発酵後にブドウ由来の蒸留酒を加え、アルコール度数を高めること。</x:v>
      </x:c>
      <x:c r="I670" s="14" t="str"/>
      <x:c r="J670" s="14" t="str"/>
      <x:c r="K670" s="14" t="str">
        <x:v>酒精強化;醸造</x:v>
      </x:c>
      <x:c r="L670" s="14" t="str"/>
      <x:c r="M670" s="14" t="str">
        <x:v>wset_questions_1100_v6</x:v>
      </x:c>
      <x:c r="N670" s="14" t="str">
        <x:v>2026-07-12</x:v>
      </x:c>
      <x:c r="O670" s="14" t="str">
        <x:v>Y</x:v>
      </x:c>
    </x:row>
    <x:row r="671" ht="26.399999618530273" hidden="0" customHeight="1">
      <x:c r="A671" s="14" t="str">
        <x:v>term-1b7de08b389e</x:v>
      </x:c>
      <x:c r="B671" s="14" t="str">
        <x:v>アッサンブラージュ</x:v>
      </x:c>
      <x:c r="C671" s="14" t="str">
        <x:v>blending</x:v>
      </x:c>
      <x:c r="D671" s="14" t="str">
        <x:v>assemblage</x:v>
      </x:c>
      <x:c r="E671" s="14" t="str"/>
      <x:c r="F671" s="14" t="str">
        <x:v>醸造・製法</x:v>
      </x:c>
      <x:c r="G671" s="14" t="str">
        <x:v>品種、区画、ヴィンテージなどが異なるワインを組み合わせ、狙うスタイルを作ること。</x:v>
      </x:c>
      <x:c r="H671" s="14" t="str">
        <x:v>品種、区画、ヴィンテージなどが異なるワインを組み合わせ、狙うスタイルを作ること。</x:v>
      </x:c>
      <x:c r="I671" s="14" t="str"/>
      <x:c r="J671" s="14" t="str"/>
      <x:c r="K671" s="14" t="str">
        <x:v>醸造;ブレンド</x:v>
      </x:c>
      <x:c r="L671" s="14" t="str"/>
      <x:c r="M671" s="14" t="str">
        <x:v>wset_questions_1100_v6</x:v>
      </x:c>
      <x:c r="N671" s="14" t="str">
        <x:v>2026-07-12</x:v>
      </x:c>
      <x:c r="O671" s="14" t="str">
        <x:v>Y</x:v>
      </x:c>
    </x:row>
    <x:row r="672" ht="26.399999618530273" hidden="0" customHeight="1">
      <x:c r="A672" s="14" t="str">
        <x:v>term-a737e7844550</x:v>
      </x:c>
      <x:c r="B672" s="14" t="str">
        <x:v>マセラシオン</x:v>
      </x:c>
      <x:c r="C672" s="14" t="str">
        <x:v>maceration</x:v>
      </x:c>
      <x:c r="D672" s="14" t="str">
        <x:v>macération</x:v>
      </x:c>
      <x:c r="E672" s="14" t="str"/>
      <x:c r="F672" s="14" t="str">
        <x:v>醸造・製法</x:v>
      </x:c>
      <x:c r="G672" s="14" t="str">
        <x:v>果皮、種、果梗などの固形物を果汁またはワインに浸し、色、タンニン、香味を抽出する工程。</x:v>
      </x:c>
      <x:c r="H672" s="14" t="str">
        <x:v>果皮、種、果梗などの固形物を果汁またはワインに浸し、色、タンニン、香味を抽出する工程。</x:v>
      </x:c>
      <x:c r="I672" s="14" t="str"/>
      <x:c r="J672" s="14" t="str"/>
      <x:c r="K672" s="14" t="str">
        <x:v>醸造;抽出</x:v>
      </x:c>
      <x:c r="L672" s="14" t="str"/>
      <x:c r="M672" s="14" t="str">
        <x:v>wset_questions_1100_v6</x:v>
      </x:c>
      <x:c r="N672" s="14" t="str">
        <x:v>2026-07-12</x:v>
      </x:c>
      <x:c r="O672" s="14" t="str">
        <x:v>Y</x:v>
      </x:c>
    </x:row>
    <x:row r="673" ht="26.399999618530273" hidden="0" customHeight="1">
      <x:c r="A673" s="14" t="str">
        <x:v>term-8aa413ee1c10</x:v>
      </x:c>
      <x:c r="B673" s="14" t="str">
        <x:v>マロラクティック発酵</x:v>
      </x:c>
      <x:c r="C673" s="14" t="str">
        <x:v>malolactic fermentation</x:v>
      </x:c>
      <x:c r="D673" s="14" t="str">
        <x:v>fermentation malolactique</x:v>
      </x:c>
      <x:c r="E673" s="14" t="str"/>
      <x:c r="F673" s="14" t="str">
        <x:v>醸造・製法</x:v>
      </x:c>
      <x:c r="G673" s="14" t="str">
        <x:v>鋭いリンゴ酸を柔らかな乳酸へ変える微生物的変換。酸味と香味に影響する。</x:v>
      </x:c>
      <x:c r="H673" s="14" t="str">
        <x:v>鋭いリンゴ酸を柔らかな乳酸へ変える微生物的変換。酸味と香味に影響する。</x:v>
      </x:c>
      <x:c r="I673" s="14" t="str"/>
      <x:c r="J673" s="14" t="str"/>
      <x:c r="K673" s="14" t="str">
        <x:v>醸造;酸</x:v>
      </x:c>
      <x:c r="L673" s="14" t="str"/>
      <x:c r="M673" s="14" t="str">
        <x:v>wset_questions_1100_v6</x:v>
      </x:c>
      <x:c r="N673" s="14" t="str">
        <x:v>2026-07-12</x:v>
      </x:c>
      <x:c r="O673" s="14" t="str">
        <x:v>Y</x:v>
      </x:c>
    </x:row>
    <x:row r="674" ht="26.399999618530273" hidden="0" customHeight="1">
      <x:c r="A674" s="14" t="str">
        <x:v>term-b4bb0dfb23cb</x:v>
      </x:c>
      <x:c r="B674" s="14" t="str">
        <x:v>全房発酵</x:v>
      </x:c>
      <x:c r="C674" s="14" t="str">
        <x:v>whole-bunch fermentation</x:v>
      </x:c>
      <x:c r="D674" s="14" t="str">
        <x:v>vendange entière</x:v>
      </x:c>
      <x:c r="E674" s="14" t="str"/>
      <x:c r="F674" s="14" t="str">
        <x:v>醸造・製法</x:v>
      </x:c>
      <x:c r="G674" s="14" t="str">
        <x:v>除梗せず果梗を含む房ごと発酵させる方法。香味、タンニン、発酵挙動へ影響する。</x:v>
      </x:c>
      <x:c r="H674" s="14" t="str">
        <x:v>除梗せず果梗を含む房ごと発酵させる方法。香味、タンニン、発酵挙動へ影響する。</x:v>
      </x:c>
      <x:c r="I674" s="14" t="str"/>
      <x:c r="J674" s="14" t="str"/>
      <x:c r="K674" s="14" t="str">
        <x:v>醸造;果梗</x:v>
      </x:c>
      <x:c r="L674" s="14" t="str"/>
      <x:c r="M674" s="14" t="str">
        <x:v>wset_questions_1100_v6</x:v>
      </x:c>
      <x:c r="N674" s="14" t="str">
        <x:v>2026-07-12</x:v>
      </x:c>
      <x:c r="O674" s="14" t="str">
        <x:v>Y</x:v>
      </x:c>
    </x:row>
    <x:row r="675" ht="26.399999618530273" hidden="0" customHeight="1">
      <x:c r="A675" s="14" t="str">
        <x:v>term-3a5fbee8c05b</x:v>
      </x:c>
      <x:c r="B675" s="14" t="str">
        <x:v>圧搾</x:v>
      </x:c>
      <x:c r="C675" s="14" t="str">
        <x:v>pressing</x:v>
      </x:c>
      <x:c r="D675" s="14" t="str">
        <x:v>pressurage</x:v>
      </x:c>
      <x:c r="E675" s="14" t="str"/>
      <x:c r="F675" s="14" t="str">
        <x:v>醸造・製法</x:v>
      </x:c>
      <x:c r="G675" s="14" t="str">
        <x:v>ブドウまたは果醪へ圧力を加えて果汁やワインを取り出す工程。</x:v>
      </x:c>
      <x:c r="H675" s="14" t="str">
        <x:v>ブドウまたは果醪へ圧力を加えて果汁やワインを取り出す工程。</x:v>
      </x:c>
      <x:c r="I675" s="14" t="str"/>
      <x:c r="J675" s="14" t="str"/>
      <x:c r="K675" s="14" t="str">
        <x:v>醸造;果汁</x:v>
      </x:c>
      <x:c r="L675" s="14" t="str"/>
      <x:c r="M675" s="14" t="str">
        <x:v>wset_questions_1100_v6</x:v>
      </x:c>
      <x:c r="N675" s="14" t="str">
        <x:v>2026-07-12</x:v>
      </x:c>
      <x:c r="O675" s="14" t="str">
        <x:v>Y</x:v>
      </x:c>
    </x:row>
    <x:row r="676" ht="26.399999618530273" hidden="0" customHeight="1">
      <x:c r="A676" s="14" t="str">
        <x:v>term-1241be6e1904</x:v>
      </x:c>
      <x:c r="B676" s="14" t="str">
        <x:v>清澄</x:v>
      </x:c>
      <x:c r="C676" s="14" t="str">
        <x:v>fining</x:v>
      </x:c>
      <x:c r="D676" s="14" t="str">
        <x:v>collage</x:v>
      </x:c>
      <x:c r="E676" s="14" t="str"/>
      <x:c r="F676" s="14" t="str">
        <x:v>醸造・製法</x:v>
      </x:c>
      <x:c r="G676" s="14" t="str">
        <x:v>清澄剤を加えて不要な粒子や成分を凝集・除去し、透明度や安定性を高める処理。</x:v>
      </x:c>
      <x:c r="H676" s="14" t="str">
        <x:v>清澄剤を加えて不要な粒子や成分を凝集・除去し、透明度や安定性を高める処理。</x:v>
      </x:c>
      <x:c r="I676" s="14" t="str"/>
      <x:c r="J676" s="14" t="str"/>
      <x:c r="K676" s="14" t="str">
        <x:v>醸造;安定化</x:v>
      </x:c>
      <x:c r="L676" s="14" t="str"/>
      <x:c r="M676" s="14" t="str">
        <x:v>wset_questions_1100_v6</x:v>
      </x:c>
      <x:c r="N676" s="14" t="str">
        <x:v>2026-07-12</x:v>
      </x:c>
      <x:c r="O676" s="14" t="str">
        <x:v>Y</x:v>
      </x:c>
    </x:row>
    <x:row r="677" ht="15" hidden="0" customHeight="1">
      <x:c r="A677" s="14" t="str">
        <x:v>term-0cfebde719e8</x:v>
      </x:c>
      <x:c r="B677" s="14" t="str">
        <x:v>澱引き</x:v>
      </x:c>
      <x:c r="C677" s="14" t="str">
        <x:v>racking</x:v>
      </x:c>
      <x:c r="D677" s="14" t="str">
        <x:v>soutirage</x:v>
      </x:c>
      <x:c r="E677" s="14" t="str"/>
      <x:c r="F677" s="14" t="str">
        <x:v>醸造・製法</x:v>
      </x:c>
      <x:c r="G677" s="14" t="str">
        <x:v>ワインを別容器へ移し、沈殿した澱から分離する作業。</x:v>
      </x:c>
      <x:c r="H677" s="14" t="str">
        <x:v>ワインを別容器へ移し、沈殿した澱から分離する作業。</x:v>
      </x:c>
      <x:c r="I677" s="14" t="str"/>
      <x:c r="J677" s="14" t="str"/>
      <x:c r="K677" s="14" t="str">
        <x:v>醸造;清澄</x:v>
      </x:c>
      <x:c r="L677" s="14" t="str"/>
      <x:c r="M677" s="14" t="str">
        <x:v>wset_questions_1100_v6</x:v>
      </x:c>
      <x:c r="N677" s="14" t="str">
        <x:v>2026-07-12</x:v>
      </x:c>
      <x:c r="O677" s="14" t="str">
        <x:v>Y</x:v>
      </x:c>
    </x:row>
    <x:row r="678" ht="26.399999618530273" hidden="0" customHeight="1">
      <x:c r="A678" s="14" t="str">
        <x:v>term-70de29a120b9</x:v>
      </x:c>
      <x:c r="B678" s="14" t="str">
        <x:v>濾過</x:v>
      </x:c>
      <x:c r="C678" s="14" t="str">
        <x:v>filtration</x:v>
      </x:c>
      <x:c r="D678" s="14" t="str">
        <x:v>filtration</x:v>
      </x:c>
      <x:c r="E678" s="14" t="str"/>
      <x:c r="F678" s="14" t="str">
        <x:v>醸造・製法</x:v>
      </x:c>
      <x:c r="G678" s="14" t="str">
        <x:v>フィルターを通して固形物や微生物を除き、ワインを清澄・安定化する処理。</x:v>
      </x:c>
      <x:c r="H678" s="14" t="str">
        <x:v>フィルターを通して固形物や微生物を除き、ワインを清澄・安定化する処理。</x:v>
      </x:c>
      <x:c r="I678" s="14" t="str"/>
      <x:c r="J678" s="14" t="str"/>
      <x:c r="K678" s="14" t="str">
        <x:v>醸造;安定化</x:v>
      </x:c>
      <x:c r="L678" s="14" t="str"/>
      <x:c r="M678" s="14" t="str">
        <x:v>wset_questions_1100_v6</x:v>
      </x:c>
      <x:c r="N678" s="14" t="str">
        <x:v>2026-07-12</x:v>
      </x:c>
      <x:c r="O678" s="14" t="str">
        <x:v>Y</x:v>
      </x:c>
    </x:row>
    <x:row r="679" ht="26.399999618530273" hidden="0" customHeight="1">
      <x:c r="A679" s="14" t="str">
        <x:v>term-1aa9520150bd</x:v>
      </x:c>
      <x:c r="B679" s="14" t="str">
        <x:v>炭酸ガス浸漬法</x:v>
      </x:c>
      <x:c r="C679" s="14" t="str">
        <x:v>carbonic maceration</x:v>
      </x:c>
      <x:c r="D679" s="14" t="str">
        <x:v>macération carbonique</x:v>
      </x:c>
      <x:c r="E679" s="14" t="str"/>
      <x:c r="F679" s="14" t="str">
        <x:v>醸造・製法</x:v>
      </x:c>
      <x:c r="G679" s="14" t="str">
        <x:v>二酸化炭素で満たした容器内で全房ブドウの細胞内発酵を促す製法。</x:v>
      </x:c>
      <x:c r="H679" s="14" t="str">
        <x:v>二酸化炭素で満たした容器内で全房ブドウの細胞内発酵を促す製法。</x:v>
      </x:c>
      <x:c r="I679" s="14" t="str"/>
      <x:c r="J679" s="14" t="str"/>
      <x:c r="K679" s="14" t="str">
        <x:v>醸造;赤ワイン</x:v>
      </x:c>
      <x:c r="L679" s="14" t="str"/>
      <x:c r="M679" s="14" t="str">
        <x:v>wset_questions_1100_v6</x:v>
      </x:c>
      <x:c r="N679" s="14" t="str">
        <x:v>2026-07-12</x:v>
      </x:c>
      <x:c r="O679" s="14" t="str">
        <x:v>Y</x:v>
      </x:c>
    </x:row>
    <x:row r="680" ht="26.399999618530273" hidden="0" customHeight="1">
      <x:c r="A680" s="14" t="str">
        <x:v>term-adbfc72d0aea</x:v>
      </x:c>
      <x:c r="B680" s="14" t="str">
        <x:v>補糖</x:v>
      </x:c>
      <x:c r="C680" s="14" t="str">
        <x:v>chaptalisation</x:v>
      </x:c>
      <x:c r="D680" s="14" t="str">
        <x:v>chaptalisation</x:v>
      </x:c>
      <x:c r="E680" s="14" t="str"/>
      <x:c r="F680" s="14" t="str">
        <x:v>醸造・製法</x:v>
      </x:c>
      <x:c r="G680" s="14" t="str">
        <x:v>発酵前または発酵中の果汁へ糖を加え、最終アルコール度数を高める操作。</x:v>
      </x:c>
      <x:c r="H680" s="14" t="str">
        <x:v>発酵前または発酵中の果汁へ糖を加え、最終アルコール度数を高める操作。</x:v>
      </x:c>
      <x:c r="I680" s="14" t="str"/>
      <x:c r="J680" s="14" t="str"/>
      <x:c r="K680" s="14" t="str">
        <x:v>醸造;アルコール</x:v>
      </x:c>
      <x:c r="L680" s="14" t="str"/>
      <x:c r="M680" s="14" t="str">
        <x:v>wset_questions_1100_v6</x:v>
      </x:c>
      <x:c r="N680" s="14" t="str">
        <x:v>2026-07-12</x:v>
      </x:c>
      <x:c r="O680" s="14" t="str">
        <x:v>Y</x:v>
      </x:c>
    </x:row>
    <x:row r="681" ht="26.399999618530273" hidden="0" customHeight="1">
      <x:c r="A681" s="15" t="str">
        <x:v>term-1df30ce80e08</x:v>
      </x:c>
      <x:c r="B681" s="15" t="str">
        <x:v>酸添加</x:v>
      </x:c>
      <x:c r="C681" s="15" t="str">
        <x:v>acidification</x:v>
      </x:c>
      <x:c r="D681" s="15" t="str">
        <x:v>acidification</x:v>
      </x:c>
      <x:c r="E681" s="15" t="str"/>
      <x:c r="F681" s="15" t="str">
        <x:v>醸造・製法</x:v>
      </x:c>
      <x:c r="G681" s="15" t="str">
        <x:v>果汁またはワインへ酸を加え、酸度とバランスを調整する操作。</x:v>
      </x:c>
      <x:c r="H681" s="15" t="str">
        <x:v>果汁またはワインへ酸を加え、酸度とバランスを調整する操作。</x:v>
      </x:c>
      <x:c r="I681" s="15" t="str"/>
      <x:c r="J681" s="15" t="str"/>
      <x:c r="K681" s="15" t="str">
        <x:v>醸造;酸</x:v>
      </x:c>
      <x:c r="L681" s="15" t="str"/>
      <x:c r="M681" s="15" t="str">
        <x:v>wset_questions_1100_v6</x:v>
      </x:c>
      <x:c r="N681" s="15" t="str">
        <x:v>2026-07-12</x:v>
      </x:c>
      <x:c r="O681" s="15" t="str">
        <x:v>Y</x:v>
      </x:c>
    </x:row>
  </x:sheetData>
  <x:dataValidations count="1">
    <x:dataValidation type="list" sqref="O2:O681">
      <x:formula1>"Y,N"</x:formula1>
    </x:dataValidation>
  </x:dataValidations>
  <x:pageMargins left="0.7" right="0.7" top="0.75" bottom="0.75" header="0.3" footer="0.3"/>
  <x:tableParts count="1">
    <x:tablePart xmlns:r="http://schemas.openxmlformats.org/officeDocument/2006/relationships" r:id="R88474ac3371945f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0" hidden="0" customWidth="1"/>
    <x:col min="3" max="3" width="32" hidden="0" customWidth="1"/>
    <x:col min="4" max="4" width="10" hidden="0" customWidth="1"/>
    <x:col min="5" max="5" width="18" hidden="0" customWidth="1"/>
  </x:cols>
  <x:sheetData>
    <x:row r="1" ht="36" customHeight="1">
      <x:c r="A1" s="5" t="str">
        <x:v>alias_id</x:v>
      </x:c>
      <x:c r="B1" s="5" t="str">
        <x:v>term_id</x:v>
      </x:c>
      <x:c r="C1" s="5" t="str">
        <x:v>表記</x:v>
      </x:c>
      <x:c r="D1" s="5" t="str">
        <x:v>言語</x:v>
      </x:c>
      <x:c r="E1" s="5" t="str">
        <x:v>別名種別</x:v>
      </x:c>
    </x:row>
    <x:row r="2" ht="30" customHeight="1">
      <x:c r="A2" s="13" t="str">
        <x:v>alias-0175</x:v>
      </x:c>
      <x:c r="B2" s="13" t="str">
        <x:v>term-af027284fbf9</x:v>
      </x:c>
      <x:c r="C2" s="13" t="str">
        <x:v>Argentina</x:v>
      </x:c>
      <x:c r="D2" s="13" t="str">
        <x:v>en</x:v>
      </x:c>
      <x:c r="E2" s="13" t="str">
        <x:v>原語・訳語</x:v>
      </x:c>
    </x:row>
    <x:row r="3" ht="30" customHeight="1">
      <x:c r="A3" s="14" t="str">
        <x:v>alias-0176</x:v>
      </x:c>
      <x:c r="B3" s="14" t="str">
        <x:v>term-af027284fbf9</x:v>
      </x:c>
      <x:c r="C3" s="14" t="str">
        <x:v>Argentine</x:v>
      </x:c>
      <x:c r="D3" s="14" t="str">
        <x:v>fr</x:v>
      </x:c>
      <x:c r="E3" s="14" t="str">
        <x:v>原語・訳語</x:v>
      </x:c>
    </x:row>
    <x:row r="4" ht="30" customHeight="1">
      <x:c r="A4" s="14" t="str">
        <x:v>alias-0108</x:v>
      </x:c>
      <x:c r="B4" s="14" t="str">
        <x:v>term-67a9ed2cd62b</x:v>
      </x:c>
      <x:c r="C4" s="14" t="str">
        <x:v>Italy</x:v>
      </x:c>
      <x:c r="D4" s="14" t="str">
        <x:v>en</x:v>
      </x:c>
      <x:c r="E4" s="14" t="str">
        <x:v>原語・訳語</x:v>
      </x:c>
    </x:row>
    <x:row r="5" ht="30" customHeight="1">
      <x:c r="A5" s="14" t="str">
        <x:v>alias-0107</x:v>
      </x:c>
      <x:c r="B5" s="14" t="str">
        <x:v>term-67a9ed2cd62b</x:v>
      </x:c>
      <x:c r="C5" s="14" t="str">
        <x:v>Italie</x:v>
      </x:c>
      <x:c r="D5" s="14" t="str">
        <x:v>fr</x:v>
      </x:c>
      <x:c r="E5" s="14" t="str">
        <x:v>原語・訳語</x:v>
      </x:c>
    </x:row>
    <x:row r="6" ht="30" customHeight="1">
      <x:c r="A6" s="14" t="str">
        <x:v>alias-0078</x:v>
      </x:c>
      <x:c r="B6" s="14" t="str">
        <x:v>term-45b17a686735</x:v>
      </x:c>
      <x:c r="C6" s="14" t="str">
        <x:v>Australia</x:v>
      </x:c>
      <x:c r="D6" s="14" t="str">
        <x:v>en</x:v>
      </x:c>
      <x:c r="E6" s="14" t="str">
        <x:v>原語・訳語</x:v>
      </x:c>
    </x:row>
    <x:row r="7" ht="30" customHeight="1">
      <x:c r="A7" s="14" t="str">
        <x:v>alias-0079</x:v>
      </x:c>
      <x:c r="B7" s="14" t="str">
        <x:v>term-45b17a686735</x:v>
      </x:c>
      <x:c r="C7" s="14" t="str">
        <x:v>Australie</x:v>
      </x:c>
      <x:c r="D7" s="14" t="str">
        <x:v>fr</x:v>
      </x:c>
      <x:c r="E7" s="14" t="str">
        <x:v>原語・訳語</x:v>
      </x:c>
    </x:row>
    <x:row r="8" ht="30" customHeight="1">
      <x:c r="A8" s="14" t="str">
        <x:v>alias-0036</x:v>
      </x:c>
      <x:c r="B8" s="14" t="str">
        <x:v>term-1ea0b4418377</x:v>
      </x:c>
      <x:c r="C8" s="14" t="str">
        <x:v>Austria</x:v>
      </x:c>
      <x:c r="D8" s="14" t="str">
        <x:v>en</x:v>
      </x:c>
      <x:c r="E8" s="14" t="str">
        <x:v>原語・訳語</x:v>
      </x:c>
    </x:row>
    <x:row r="9" ht="30" customHeight="1">
      <x:c r="A9" s="14" t="str">
        <x:v>alias-0037</x:v>
      </x:c>
      <x:c r="B9" s="14" t="str">
        <x:v>term-1ea0b4418377</x:v>
      </x:c>
      <x:c r="C9" s="14" t="str">
        <x:v>Autriche</x:v>
      </x:c>
      <x:c r="D9" s="14" t="str">
        <x:v>fr</x:v>
      </x:c>
      <x:c r="E9" s="14" t="str">
        <x:v>原語・訳語</x:v>
      </x:c>
    </x:row>
    <x:row r="10" ht="30" customHeight="1">
      <x:c r="A10" s="14" t="str">
        <x:v>alias-0092</x:v>
      </x:c>
      <x:c r="B10" s="14" t="str">
        <x:v>term-514bc46c6643</x:v>
      </x:c>
      <x:c r="C10" s="14" t="str">
        <x:v>Canada</x:v>
      </x:c>
      <x:c r="D10" s="14" t="str">
        <x:v>fr</x:v>
      </x:c>
      <x:c r="E10" s="14" t="str">
        <x:v>原語・訳語</x:v>
      </x:c>
    </x:row>
    <x:row r="11" ht="30" customHeight="1">
      <x:c r="A11" s="14" t="str">
        <x:v>alias-0173</x:v>
      </x:c>
      <x:c r="B11" s="14" t="str">
        <x:v>term-ae1e7a46ed40</x:v>
      </x:c>
      <x:c r="C11" s="14" t="str">
        <x:v>Greece</x:v>
      </x:c>
      <x:c r="D11" s="14" t="str">
        <x:v>en</x:v>
      </x:c>
      <x:c r="E11" s="14" t="str">
        <x:v>原語・訳語</x:v>
      </x:c>
    </x:row>
    <x:row r="12" ht="30" customHeight="1">
      <x:c r="A12" s="14" t="str">
        <x:v>alias-0174</x:v>
      </x:c>
      <x:c r="B12" s="14" t="str">
        <x:v>term-ae1e7a46ed40</x:v>
      </x:c>
      <x:c r="C12" s="14" t="str">
        <x:v>Grèce</x:v>
      </x:c>
      <x:c r="D12" s="14" t="str">
        <x:v>fr</x:v>
      </x:c>
      <x:c r="E12" s="14" t="str">
        <x:v>原語・訳語</x:v>
      </x:c>
    </x:row>
    <x:row r="13" ht="30" customHeight="1">
      <x:c r="A13" s="14" t="str">
        <x:v>alias-0131</x:v>
      </x:c>
      <x:c r="B13" s="14" t="str">
        <x:v>term-7f1681deee26</x:v>
      </x:c>
      <x:c r="C13" s="14" t="str">
        <x:v>Spain</x:v>
      </x:c>
      <x:c r="D13" s="14" t="str">
        <x:v>en</x:v>
      </x:c>
      <x:c r="E13" s="14" t="str">
        <x:v>原語・訳語</x:v>
      </x:c>
    </x:row>
    <x:row r="14" ht="30" customHeight="1">
      <x:c r="A14" s="14" t="str">
        <x:v>alias-0130</x:v>
      </x:c>
      <x:c r="B14" s="14" t="str">
        <x:v>term-7f1681deee26</x:v>
      </x:c>
      <x:c r="C14" s="14" t="str">
        <x:v>Espagne</x:v>
      </x:c>
      <x:c r="D14" s="14" t="str">
        <x:v>fr</x:v>
      </x:c>
      <x:c r="E14" s="14" t="str">
        <x:v>原語・訳語</x:v>
      </x:c>
    </x:row>
    <x:row r="15" ht="30" customHeight="1">
      <x:c r="A15" s="14" t="str">
        <x:v>alias-0179</x:v>
      </x:c>
      <x:c r="B15" s="14" t="str">
        <x:v>term-b0bd1b747ff2</x:v>
      </x:c>
      <x:c r="C15" s="14" t="str">
        <x:v>Chile</x:v>
      </x:c>
      <x:c r="D15" s="14" t="str">
        <x:v>en</x:v>
      </x:c>
      <x:c r="E15" s="14" t="str">
        <x:v>原語・訳語</x:v>
      </x:c>
    </x:row>
    <x:row r="16" ht="30" customHeight="1">
      <x:c r="A16" s="14" t="str">
        <x:v>alias-0180</x:v>
      </x:c>
      <x:c r="B16" s="14" t="str">
        <x:v>term-b0bd1b747ff2</x:v>
      </x:c>
      <x:c r="C16" s="14" t="str">
        <x:v>Chili</x:v>
      </x:c>
      <x:c r="D16" s="14" t="str">
        <x:v>fr</x:v>
      </x:c>
      <x:c r="E16" s="14" t="str">
        <x:v>原語・訳語</x:v>
      </x:c>
    </x:row>
    <x:row r="17" ht="30" customHeight="1">
      <x:c r="A17" s="14" t="str">
        <x:v>alias-0216</x:v>
      </x:c>
      <x:c r="B17" s="14" t="str">
        <x:v>term-f5526525be70</x:v>
      </x:c>
      <x:c r="C17" s="14" t="str">
        <x:v>Germany</x:v>
      </x:c>
      <x:c r="D17" s="14" t="str">
        <x:v>en</x:v>
      </x:c>
      <x:c r="E17" s="14" t="str">
        <x:v>原語・訳語</x:v>
      </x:c>
    </x:row>
    <x:row r="18" ht="30" customHeight="1">
      <x:c r="A18" s="14" t="str">
        <x:v>alias-0215</x:v>
      </x:c>
      <x:c r="B18" s="14" t="str">
        <x:v>term-f5526525be70</x:v>
      </x:c>
      <x:c r="C18" s="14" t="str">
        <x:v>Allemagne</x:v>
      </x:c>
      <x:c r="D18" s="14" t="str">
        <x:v>fr</x:v>
      </x:c>
      <x:c r="E18" s="14" t="str">
        <x:v>原語・訳語</x:v>
      </x:c>
    </x:row>
    <x:row r="19" ht="30" customHeight="1">
      <x:c r="A19" s="14" t="str">
        <x:v>alias-0177</x:v>
      </x:c>
      <x:c r="B19" s="14" t="str">
        <x:v>term-b0a7e8b47eeb</x:v>
      </x:c>
      <x:c r="C19" s="14" t="str">
        <x:v>New Zealand</x:v>
      </x:c>
      <x:c r="D19" s="14" t="str">
        <x:v>en</x:v>
      </x:c>
      <x:c r="E19" s="14" t="str">
        <x:v>原語・訳語</x:v>
      </x:c>
    </x:row>
    <x:row r="20" ht="30" customHeight="1">
      <x:c r="A20" s="14" t="str">
        <x:v>alias-0178</x:v>
      </x:c>
      <x:c r="B20" s="14" t="str">
        <x:v>term-b0a7e8b47eeb</x:v>
      </x:c>
      <x:c r="C20" s="14" t="str">
        <x:v>Nouvelle-Zélande</x:v>
      </x:c>
      <x:c r="D20" s="14" t="str">
        <x:v>fr</x:v>
      </x:c>
      <x:c r="E20" s="14" t="str">
        <x:v>原語・訳語</x:v>
      </x:c>
    </x:row>
    <x:row r="21" ht="30" customHeight="1">
      <x:c r="A21" s="14" t="str">
        <x:v>alias-0017</x:v>
      </x:c>
      <x:c r="B21" s="14" t="str">
        <x:v>term-150c0cf6278e</x:v>
      </x:c>
      <x:c r="C21" s="14" t="str">
        <x:v>Hungary</x:v>
      </x:c>
      <x:c r="D21" s="14" t="str">
        <x:v>en</x:v>
      </x:c>
      <x:c r="E21" s="14" t="str">
        <x:v>原語・訳語</x:v>
      </x:c>
    </x:row>
    <x:row r="22" ht="30" customHeight="1">
      <x:c r="A22" s="14" t="str">
        <x:v>alias-0016</x:v>
      </x:c>
      <x:c r="B22" s="14" t="str">
        <x:v>term-150c0cf6278e</x:v>
      </x:c>
      <x:c r="C22" s="14" t="str">
        <x:v>Hongrie</x:v>
      </x:c>
      <x:c r="D22" s="14" t="str">
        <x:v>fr</x:v>
      </x:c>
      <x:c r="E22" s="14" t="str">
        <x:v>原語・訳語</x:v>
      </x:c>
    </x:row>
    <x:row r="23" ht="30" customHeight="1">
      <x:c r="A23" s="14" t="str">
        <x:v>alias-0221</x:v>
      </x:c>
      <x:c r="B23" s="14" t="str">
        <x:v>term-f8b6010de8a1</x:v>
      </x:c>
      <x:c r="C23" s="14" t="str">
        <x:v>France</x:v>
      </x:c>
      <x:c r="D23" s="14" t="str">
        <x:v>fr</x:v>
      </x:c>
      <x:c r="E23" s="14" t="str">
        <x:v>原語・訳語</x:v>
      </x:c>
    </x:row>
    <x:row r="24" ht="30" customHeight="1">
      <x:c r="A24" s="14" t="str">
        <x:v>alias-0190</x:v>
      </x:c>
      <x:c r="B24" s="14" t="str">
        <x:v>term-c7ad78773b6f</x:v>
      </x:c>
      <x:c r="C24" s="14" t="str">
        <x:v>Portugal</x:v>
      </x:c>
      <x:c r="D24" s="14" t="str">
        <x:v>fr</x:v>
      </x:c>
      <x:c r="E24" s="14" t="str">
        <x:v>原語・訳語</x:v>
      </x:c>
    </x:row>
    <x:row r="25" ht="30" customHeight="1">
      <x:c r="A25" s="14" t="str">
        <x:v>alias-0057</x:v>
      </x:c>
      <x:c r="B25" s="14" t="str">
        <x:v>term-336dba546ef3</x:v>
      </x:c>
      <x:c r="C25" s="14" t="str">
        <x:v>South Africa</x:v>
      </x:c>
      <x:c r="D25" s="14" t="str">
        <x:v>en</x:v>
      </x:c>
      <x:c r="E25" s="14" t="str">
        <x:v>原語・訳語</x:v>
      </x:c>
    </x:row>
    <x:row r="26" ht="30" customHeight="1">
      <x:c r="A26" s="14" t="str">
        <x:v>alias-0056</x:v>
      </x:c>
      <x:c r="B26" s="14" t="str">
        <x:v>term-336dba546ef3</x:v>
      </x:c>
      <x:c r="C26" s="14" t="str">
        <x:v>Afrique du Sud</x:v>
      </x:c>
      <x:c r="D26" s="14" t="str">
        <x:v>fr</x:v>
      </x:c>
      <x:c r="E26" s="14" t="str">
        <x:v>原語・訳語</x:v>
      </x:c>
    </x:row>
    <x:row r="27" ht="30" customHeight="1">
      <x:c r="A27" s="14" t="str">
        <x:v>alias-0040</x:v>
      </x:c>
      <x:c r="B27" s="14" t="str">
        <x:v>term-1fd1015b28fa</x:v>
      </x:c>
      <x:c r="C27" s="14" t="str">
        <x:v>United States</x:v>
      </x:c>
      <x:c r="D27" s="14" t="str">
        <x:v>en</x:v>
      </x:c>
      <x:c r="E27" s="14" t="str">
        <x:v>原語・訳語</x:v>
      </x:c>
    </x:row>
    <x:row r="28" ht="30" customHeight="1">
      <x:c r="A28" s="14" t="str">
        <x:v>alias-0041</x:v>
      </x:c>
      <x:c r="B28" s="14" t="str">
        <x:v>term-1fd1015b28fa</x:v>
      </x:c>
      <x:c r="C28" s="14" t="str">
        <x:v>États-Unis</x:v>
      </x:c>
      <x:c r="D28" s="14" t="str">
        <x:v>fr</x:v>
      </x:c>
      <x:c r="E28" s="14" t="str">
        <x:v>原語・訳語</x:v>
      </x:c>
    </x:row>
    <x:row r="29" ht="30" customHeight="1">
      <x:c r="A29" s="14" t="str">
        <x:v>alias-0072</x:v>
      </x:c>
      <x:c r="B29" s="14" t="str">
        <x:v>term-3f0ef1e249e0</x:v>
      </x:c>
      <x:c r="C29" s="14" t="str">
        <x:v>United Kingdom</x:v>
      </x:c>
      <x:c r="D29" s="14" t="str">
        <x:v>en</x:v>
      </x:c>
      <x:c r="E29" s="14" t="str">
        <x:v>原語・訳語</x:v>
      </x:c>
    </x:row>
    <x:row r="30" ht="30" customHeight="1">
      <x:c r="A30" s="14" t="str">
        <x:v>alias-0071</x:v>
      </x:c>
      <x:c r="B30" s="14" t="str">
        <x:v>term-3f0ef1e249e0</x:v>
      </x:c>
      <x:c r="C30" s="14" t="str">
        <x:v>Royaume-Uni</x:v>
      </x:c>
      <x:c r="D30" s="14" t="str">
        <x:v>fr</x:v>
      </x:c>
      <x:c r="E30" s="14" t="str">
        <x:v>原語・訳語</x:v>
      </x:c>
    </x:row>
    <x:row r="31" ht="30" customHeight="1">
      <x:c r="A31" s="14" t="str">
        <x:v>alias-0162</x:v>
      </x:c>
      <x:c r="B31" s="14" t="str">
        <x:v>term-a2a15f74ce1f</x:v>
      </x:c>
      <x:c r="C31" s="14" t="str">
        <x:v>Alsace</x:v>
      </x:c>
      <x:c r="D31" s="14" t="str">
        <x:v>fr</x:v>
      </x:c>
      <x:c r="E31" s="14" t="str">
        <x:v>原語・訳語</x:v>
      </x:c>
    </x:row>
    <x:row r="32" ht="30" customHeight="1">
      <x:c r="A32" s="14" t="str">
        <x:v>alias-0124</x:v>
      </x:c>
      <x:c r="B32" s="14" t="str">
        <x:v>term-77090d5269ec</x:v>
      </x:c>
      <x:c r="C32" s="14" t="str">
        <x:v>Southern England</x:v>
      </x:c>
      <x:c r="D32" s="14" t="str">
        <x:v>en</x:v>
      </x:c>
      <x:c r="E32" s="14" t="str">
        <x:v>原語・訳語</x:v>
      </x:c>
    </x:row>
    <x:row r="33" ht="30" customHeight="1">
      <x:c r="A33" s="14" t="str">
        <x:v>alias-0125</x:v>
      </x:c>
      <x:c r="B33" s="14" t="str">
        <x:v>term-77090d5269ec</x:v>
      </x:c>
      <x:c r="C33" s="14" t="str">
        <x:v>Sud de l’Angleterre</x:v>
      </x:c>
      <x:c r="D33" s="14" t="str">
        <x:v>fr</x:v>
      </x:c>
      <x:c r="E33" s="14" t="str">
        <x:v>原語・訳語</x:v>
      </x:c>
    </x:row>
    <x:row r="34" ht="30" customHeight="1">
      <x:c r="A34" s="14" t="str">
        <x:v>alias-0143</x:v>
      </x:c>
      <x:c r="B34" s="14" t="str">
        <x:v>term-860f262b3493</x:v>
      </x:c>
      <x:c r="C34" s="14" t="str">
        <x:v>Santorini</x:v>
      </x:c>
      <x:c r="D34" s="14" t="str">
        <x:v>en</x:v>
      </x:c>
      <x:c r="E34" s="14" t="str">
        <x:v>原語・訳語</x:v>
      </x:c>
    </x:row>
    <x:row r="35" ht="30" customHeight="1">
      <x:c r="A35" s="14" t="str">
        <x:v>alias-0142</x:v>
      </x:c>
      <x:c r="B35" s="14" t="str">
        <x:v>term-860f262b3493</x:v>
      </x:c>
      <x:c r="C35" s="14" t="str">
        <x:v>Santorin</x:v>
      </x:c>
      <x:c r="D35" s="14" t="str">
        <x:v>fr</x:v>
      </x:c>
      <x:c r="E35" s="14" t="str">
        <x:v>原語・訳語</x:v>
      </x:c>
    </x:row>
    <x:row r="36" ht="30" customHeight="1">
      <x:c r="A36" s="14" t="str">
        <x:v>alias-0182</x:v>
      </x:c>
      <x:c r="B36" s="14" t="str">
        <x:v>term-b41a0670803e</x:v>
      </x:c>
      <x:c r="C36" s="14" t="str">
        <x:v>Champagne</x:v>
      </x:c>
      <x:c r="D36" s="14" t="str">
        <x:v>fr</x:v>
      </x:c>
      <x:c r="E36" s="14" t="str">
        <x:v>原語・訳語</x:v>
      </x:c>
    </x:row>
    <x:row r="37" ht="30" customHeight="1">
      <x:c r="A37" s="14" t="str">
        <x:v>alias-0020</x:v>
      </x:c>
      <x:c r="B37" s="14" t="str">
        <x:v>term-15b207d45c79</x:v>
      </x:c>
      <x:c r="C37" s="14" t="str">
        <x:v>Stellenbosch</x:v>
      </x:c>
      <x:c r="D37" s="14" t="str">
        <x:v>fr</x:v>
      </x:c>
      <x:c r="E37" s="14" t="str">
        <x:v>原語・訳語</x:v>
      </x:c>
    </x:row>
    <x:row r="38" ht="30" customHeight="1">
      <x:c r="A38" s="14" t="str">
        <x:v>alias-0060</x:v>
      </x:c>
      <x:c r="B38" s="14" t="str">
        <x:v>term-384b278e8822</x:v>
      </x:c>
      <x:c r="C38" s="14" t="str">
        <x:v>Sonoma</x:v>
      </x:c>
      <x:c r="D38" s="14" t="str">
        <x:v>fr</x:v>
      </x:c>
      <x:c r="E38" s="14" t="str">
        <x:v>原語・訳語</x:v>
      </x:c>
    </x:row>
    <x:row r="39" ht="30" customHeight="1">
      <x:c r="A39" s="14" t="str">
        <x:v>alias-0207</x:v>
      </x:c>
      <x:c r="B39" s="14" t="str">
        <x:v>term-ead8721f641b</x:v>
      </x:c>
      <x:c r="C39" s="14" t="str">
        <x:v>Tokaj</x:v>
      </x:c>
      <x:c r="D39" s="14" t="str">
        <x:v>fr</x:v>
      </x:c>
      <x:c r="E39" s="14" t="str">
        <x:v>原語・訳語</x:v>
      </x:c>
    </x:row>
    <x:row r="40" ht="30" customHeight="1">
      <x:c r="A40" s="14" t="str">
        <x:v>alias-0030</x:v>
      </x:c>
      <x:c r="B40" s="14" t="str">
        <x:v>term-1affe25ce3c5</x:v>
      </x:c>
      <x:c r="C40" s="14" t="str">
        <x:v>Tuscany</x:v>
      </x:c>
      <x:c r="D40" s="14" t="str">
        <x:v>en</x:v>
      </x:c>
      <x:c r="E40" s="14" t="str">
        <x:v>原語・訳語</x:v>
      </x:c>
    </x:row>
    <x:row r="41" ht="30" customHeight="1">
      <x:c r="A41" s="14" t="str">
        <x:v>alias-0029</x:v>
      </x:c>
      <x:c r="B41" s="14" t="str">
        <x:v>term-1affe25ce3c5</x:v>
      </x:c>
      <x:c r="C41" s="14" t="str">
        <x:v>Toscana</x:v>
      </x:c>
      <x:c r="D41" s="14" t="str">
        <x:v>fr</x:v>
      </x:c>
      <x:c r="E41" s="14" t="str">
        <x:v>原語・訳語</x:v>
      </x:c>
    </x:row>
    <x:row r="42" ht="30" customHeight="1">
      <x:c r="A42" s="14" t="str">
        <x:v>alias-0153</x:v>
      </x:c>
      <x:c r="B42" s="14" t="str">
        <x:v>term-99139cf01141</x:v>
      </x:c>
      <x:c r="C42" s="14" t="str">
        <x:v>Douro</x:v>
      </x:c>
      <x:c r="D42" s="14" t="str">
        <x:v>fr</x:v>
      </x:c>
      <x:c r="E42" s="14" t="str">
        <x:v>原語・訳語</x:v>
      </x:c>
    </x:row>
    <x:row r="43" ht="30" customHeight="1">
      <x:c r="A43" s="14" t="str">
        <x:v>alias-0164</x:v>
      </x:c>
      <x:c r="B43" s="14" t="str">
        <x:v>term-a4ea17a12902</x:v>
      </x:c>
      <x:c r="C43" s="14" t="str">
        <x:v>Napa Valley</x:v>
      </x:c>
      <x:c r="D43" s="14" t="str">
        <x:v>fr</x:v>
      </x:c>
      <x:c r="E43" s="14" t="str">
        <x:v>原語・訳語</x:v>
      </x:c>
    </x:row>
    <x:row r="44" ht="30" customHeight="1">
      <x:c r="A44" s="14" t="str">
        <x:v>alias-0201</x:v>
      </x:c>
      <x:c r="B44" s="14" t="str">
        <x:v>term-e28c1d648b72</x:v>
      </x:c>
      <x:c r="C44" s="14" t="str">
        <x:v>Barossa Valley</x:v>
      </x:c>
      <x:c r="D44" s="14" t="str">
        <x:v>fr</x:v>
      </x:c>
      <x:c r="E44" s="14" t="str">
        <x:v>原語・訳語</x:v>
      </x:c>
    </x:row>
    <x:row r="45" ht="30" customHeight="1">
      <x:c r="A45" s="14" t="str">
        <x:v>alias-0193</x:v>
      </x:c>
      <x:c r="B45" s="14" t="str">
        <x:v>term-d70646472489</x:v>
      </x:c>
      <x:c r="C45" s="14" t="str">
        <x:v>Piedmont</x:v>
      </x:c>
      <x:c r="D45" s="14" t="str">
        <x:v>en</x:v>
      </x:c>
      <x:c r="E45" s="14" t="str">
        <x:v>原語・訳語</x:v>
      </x:c>
    </x:row>
    <x:row r="46" ht="30" customHeight="1">
      <x:c r="A46" s="14" t="str">
        <x:v>alias-0194</x:v>
      </x:c>
      <x:c r="B46" s="14" t="str">
        <x:v>term-d70646472489</x:v>
      </x:c>
      <x:c r="C46" s="14" t="str">
        <x:v>Piemonte</x:v>
      </x:c>
      <x:c r="D46" s="14" t="str">
        <x:v>fr</x:v>
      </x:c>
      <x:c r="E46" s="14" t="str">
        <x:v>原語・訳語</x:v>
      </x:c>
    </x:row>
    <x:row r="47" ht="30" customHeight="1">
      <x:c r="A47" s="14" t="str">
        <x:v>alias-0156</x:v>
      </x:c>
      <x:c r="B47" s="14" t="str">
        <x:v>term-9d9fa57ec700</x:v>
      </x:c>
      <x:c r="C47" s="14" t="str">
        <x:v>Burgundy</x:v>
      </x:c>
      <x:c r="D47" s="14" t="str">
        <x:v>en</x:v>
      </x:c>
      <x:c r="E47" s="14" t="str">
        <x:v>原語・訳語</x:v>
      </x:c>
    </x:row>
    <x:row r="48" ht="30" customHeight="1">
      <x:c r="A48" s="14" t="str">
        <x:v>alias-0155</x:v>
      </x:c>
      <x:c r="B48" s="14" t="str">
        <x:v>term-9d9fa57ec700</x:v>
      </x:c>
      <x:c r="C48" s="14" t="str">
        <x:v>Bourgogne</x:v>
      </x:c>
      <x:c r="D48" s="14" t="str">
        <x:v>fr</x:v>
      </x:c>
      <x:c r="E48" s="14" t="str">
        <x:v>原語・訳語</x:v>
      </x:c>
    </x:row>
    <x:row r="49" ht="30" customHeight="1">
      <x:c r="A49" s="14" t="str">
        <x:v>alias-0191</x:v>
      </x:c>
      <x:c r="B49" s="14" t="str">
        <x:v>term-c8df8c129e24</x:v>
      </x:c>
      <x:c r="C49" s="14" t="str">
        <x:v>Provence</x:v>
      </x:c>
      <x:c r="D49" s="14" t="str">
        <x:v>fr</x:v>
      </x:c>
      <x:c r="E49" s="14" t="str">
        <x:v>原語・訳語</x:v>
      </x:c>
    </x:row>
    <x:row r="50" ht="30" customHeight="1">
      <x:c r="A50" s="14" t="str">
        <x:v>alias-0053</x:v>
      </x:c>
      <x:c r="B50" s="14" t="str">
        <x:v>term-2ff50a3f0f1d</x:v>
      </x:c>
      <x:c r="C50" s="14" t="str">
        <x:v>Jerez</x:v>
      </x:c>
      <x:c r="D50" s="14" t="str">
        <x:v>fr</x:v>
      </x:c>
      <x:c r="E50" s="14" t="str">
        <x:v>原語・訳語</x:v>
      </x:c>
    </x:row>
    <x:row r="51" ht="30" customHeight="1">
      <x:c r="A51" s="14" t="str">
        <x:v>alias-0152</x:v>
      </x:c>
      <x:c r="B51" s="14" t="str">
        <x:v>term-97f5e23c0c74</x:v>
      </x:c>
      <x:c r="C51" s="14" t="str">
        <x:v>Bordeaux</x:v>
      </x:c>
      <x:c r="D51" s="14" t="str">
        <x:v>fr</x:v>
      </x:c>
      <x:c r="E51" s="14" t="str">
        <x:v>原語・訳語</x:v>
      </x:c>
    </x:row>
    <x:row r="52" ht="30" customHeight="1">
      <x:c r="A52" s="14" t="str">
        <x:v>alias-0111</x:v>
      </x:c>
      <x:c r="B52" s="14" t="str">
        <x:v>term-69e84211d0df</x:v>
      </x:c>
      <x:c r="C52" s="14" t="str">
        <x:v>Beaujolais</x:v>
      </x:c>
      <x:c r="D52" s="14" t="str">
        <x:v>fr</x:v>
      </x:c>
      <x:c r="E52" s="14" t="str">
        <x:v>原語・訳語</x:v>
      </x:c>
    </x:row>
    <x:row r="53" ht="30" customHeight="1">
      <x:c r="A53" s="14" t="str">
        <x:v>alias-0077</x:v>
      </x:c>
      <x:c r="B53" s="14" t="str">
        <x:v>term-43e34de84ac1</x:v>
      </x:c>
      <x:c r="C53" s="14" t="str">
        <x:v>Margaret River</x:v>
      </x:c>
      <x:c r="D53" s="14" t="str">
        <x:v>fr</x:v>
      </x:c>
      <x:c r="E53" s="14" t="str">
        <x:v>原語・訳語</x:v>
      </x:c>
    </x:row>
    <x:row r="54" ht="30" customHeight="1">
      <x:c r="A54" s="14" t="str">
        <x:v>alias-0003</x:v>
      </x:c>
      <x:c r="B54" s="14" t="str">
        <x:v>term-02e082e262ad</x:v>
      </x:c>
      <x:c r="C54" s="14" t="str">
        <x:v>Marlborough</x:v>
      </x:c>
      <x:c r="D54" s="14" t="str">
        <x:v>fr</x:v>
      </x:c>
      <x:c r="E54" s="14" t="str">
        <x:v>原語・訳語</x:v>
      </x:c>
    </x:row>
    <x:row r="55" ht="30" customHeight="1">
      <x:c r="A55" s="14" t="str">
        <x:v>alias-0080</x:v>
      </x:c>
      <x:c r="B55" s="14" t="str">
        <x:v>term-48af418855e5</x:v>
      </x:c>
      <x:c r="C55" s="14" t="str">
        <x:v>Mendoza</x:v>
      </x:c>
      <x:c r="D55" s="14" t="str">
        <x:v>fr</x:v>
      </x:c>
      <x:c r="E55" s="14" t="str">
        <x:v>原語・訳語</x:v>
      </x:c>
    </x:row>
    <x:row r="56" ht="30" customHeight="1">
      <x:c r="A56" s="14" t="str">
        <x:v>alias-0120</x:v>
      </x:c>
      <x:c r="B56" s="14" t="str">
        <x:v>term-754f057429dc</x:v>
      </x:c>
      <x:c r="C56" s="14" t="str">
        <x:v>Mosel</x:v>
      </x:c>
      <x:c r="D56" s="14" t="str">
        <x:v>en</x:v>
      </x:c>
      <x:c r="E56" s="14" t="str">
        <x:v>原語・訳語</x:v>
      </x:c>
    </x:row>
    <x:row r="57" ht="30" customHeight="1">
      <x:c r="A57" s="14" t="str">
        <x:v>alias-0121</x:v>
      </x:c>
      <x:c r="B57" s="14" t="str">
        <x:v>term-754f057429dc</x:v>
      </x:c>
      <x:c r="C57" s="14" t="str">
        <x:v>Moselle</x:v>
      </x:c>
      <x:c r="D57" s="14" t="str">
        <x:v>fr</x:v>
      </x:c>
      <x:c r="E57" s="14" t="str">
        <x:v>原語・訳語</x:v>
      </x:c>
    </x:row>
    <x:row r="58" ht="30" customHeight="1">
      <x:c r="A58" s="14" t="str">
        <x:v>alias-0154</x:v>
      </x:c>
      <x:c r="B58" s="14" t="str">
        <x:v>term-9b6f372476d4</x:v>
      </x:c>
      <x:c r="C58" s="14" t="str">
        <x:v>Rheingau</x:v>
      </x:c>
      <x:c r="D58" s="14" t="str">
        <x:v>fr</x:v>
      </x:c>
      <x:c r="E58" s="14" t="str">
        <x:v>原語・訳語</x:v>
      </x:c>
    </x:row>
    <x:row r="59" ht="30" customHeight="1">
      <x:c r="A59" s="14" t="str">
        <x:v>alias-0009</x:v>
      </x:c>
      <x:c r="B59" s="14" t="str">
        <x:v>term-0ebe62ef97f8</x:v>
      </x:c>
      <x:c r="C59" s="14" t="str">
        <x:v>Rioja</x:v>
      </x:c>
      <x:c r="D59" s="14" t="str">
        <x:v>fr</x:v>
      </x:c>
      <x:c r="E59" s="14" t="str">
        <x:v>原語・訳語</x:v>
      </x:c>
    </x:row>
    <x:row r="60" ht="30" customHeight="1">
      <x:c r="A60" s="14" t="str">
        <x:v>alias-0187</x:v>
      </x:c>
      <x:c r="B60" s="14" t="str">
        <x:v>term-ba074b1d885d</x:v>
      </x:c>
      <x:c r="C60" s="14" t="str">
        <x:v>Loire</x:v>
      </x:c>
      <x:c r="D60" s="14" t="str">
        <x:v>fr</x:v>
      </x:c>
      <x:c r="E60" s="14" t="str">
        <x:v>原語・訳語</x:v>
      </x:c>
    </x:row>
    <x:row r="61" ht="30" customHeight="1">
      <x:c r="A61" s="14" t="str">
        <x:v>alias-0002</x:v>
      </x:c>
      <x:c r="B61" s="14" t="str">
        <x:v>term-022f0c14ceaa</x:v>
      </x:c>
      <x:c r="C61" s="14" t="str">
        <x:v>Veneto</x:v>
      </x:c>
      <x:c r="D61" s="14" t="str">
        <x:v>fr</x:v>
      </x:c>
      <x:c r="E61" s="14" t="str">
        <x:v>原語・訳語</x:v>
      </x:c>
    </x:row>
    <x:row r="62" ht="30" customHeight="1">
      <x:c r="A62" s="14" t="str">
        <x:v>alias-0118</x:v>
      </x:c>
      <x:c r="B62" s="14" t="str">
        <x:v>term-728433e6c8d7</x:v>
      </x:c>
      <x:c r="C62" s="14" t="str">
        <x:v>Northern Rhône</x:v>
      </x:c>
      <x:c r="D62" s="14" t="str">
        <x:v>en</x:v>
      </x:c>
      <x:c r="E62" s="14" t="str">
        <x:v>原語・訳語</x:v>
      </x:c>
    </x:row>
    <x:row r="63" ht="30" customHeight="1">
      <x:c r="A63" s="14" t="str">
        <x:v>alias-0119</x:v>
      </x:c>
      <x:c r="B63" s="14" t="str">
        <x:v>term-728433e6c8d7</x:v>
      </x:c>
      <x:c r="C63" s="14" t="str">
        <x:v>Rhône septentrional</x:v>
      </x:c>
      <x:c r="D63" s="14" t="str">
        <x:v>fr</x:v>
      </x:c>
      <x:c r="E63" s="14" t="str">
        <x:v>原語・訳語</x:v>
      </x:c>
    </x:row>
    <x:row r="64" ht="30" customHeight="1">
      <x:c r="A64" s="14" t="str">
        <x:v>alias-0006</x:v>
      </x:c>
      <x:c r="B64" s="14" t="str">
        <x:v>term-05b652a4432d</x:v>
      </x:c>
      <x:c r="C64" s="14" t="str">
        <x:v>Albariño</x:v>
      </x:c>
      <x:c r="D64" s="14" t="str">
        <x:v>fr</x:v>
      </x:c>
      <x:c r="E64" s="14" t="str">
        <x:v>原語・訳語</x:v>
      </x:c>
    </x:row>
    <x:row r="65" ht="30" customHeight="1">
      <x:c r="A65" s="14" t="str">
        <x:v>alias-0213</x:v>
      </x:c>
      <x:c r="B65" s="14" t="str">
        <x:v>term-f2c340ce7b7b</x:v>
      </x:c>
      <x:c r="C65" s="14" t="str">
        <x:v>Cabernet Sauvignon</x:v>
      </x:c>
      <x:c r="D65" s="14" t="str">
        <x:v>fr</x:v>
      </x:c>
      <x:c r="E65" s="14" t="str">
        <x:v>原語・訳語</x:v>
      </x:c>
    </x:row>
    <x:row r="66" ht="30" customHeight="1">
      <x:c r="A66" s="14" t="str">
        <x:v>alias-0202</x:v>
      </x:c>
      <x:c r="B66" s="14" t="str">
        <x:v>term-e319ef6f70ab</x:v>
      </x:c>
      <x:c r="C66" s="14" t="str">
        <x:v>Cabernet Franc</x:v>
      </x:c>
      <x:c r="D66" s="14" t="str">
        <x:v>fr</x:v>
      </x:c>
      <x:c r="E66" s="14" t="str">
        <x:v>原語・訳語</x:v>
      </x:c>
    </x:row>
    <x:row r="67" ht="30" customHeight="1">
      <x:c r="A67" s="14" t="str">
        <x:v>alias-0132</x:v>
      </x:c>
      <x:c r="B67" s="14" t="str">
        <x:v>term-8042b6702ebb</x:v>
      </x:c>
      <x:c r="C67" s="14" t="str">
        <x:v>Carménère</x:v>
      </x:c>
      <x:c r="D67" s="14" t="str">
        <x:v>fr</x:v>
      </x:c>
      <x:c r="E67" s="14" t="str">
        <x:v>原語・訳語</x:v>
      </x:c>
    </x:row>
    <x:row r="68" ht="30" customHeight="1">
      <x:c r="A68" s="14" t="str">
        <x:v>alias-0001</x:v>
      </x:c>
      <x:c r="B68" s="14" t="str">
        <x:v>term-01814d7485b1</x:v>
      </x:c>
      <x:c r="C68" s="14" t="str">
        <x:v>Gamay</x:v>
      </x:c>
      <x:c r="D68" s="14" t="str">
        <x:v>fr</x:v>
      </x:c>
      <x:c r="E68" s="14" t="str">
        <x:v>原語・訳語</x:v>
      </x:c>
    </x:row>
    <x:row r="69" ht="30" customHeight="1">
      <x:c r="A69" s="14" t="str">
        <x:v>alias-0220</x:v>
      </x:c>
      <x:c r="B69" s="14" t="str">
        <x:v>term-f6b6cd0b6fe9</x:v>
      </x:c>
      <x:c r="C69" s="14" t="str">
        <x:v>Garganega</x:v>
      </x:c>
      <x:c r="D69" s="14" t="str">
        <x:v>fr</x:v>
      </x:c>
      <x:c r="E69" s="14" t="str">
        <x:v>原語・訳語</x:v>
      </x:c>
    </x:row>
    <x:row r="70" ht="30" customHeight="1">
      <x:c r="A70" s="14" t="str">
        <x:v>alias-0112</x:v>
      </x:c>
      <x:c r="B70" s="14" t="str">
        <x:v>term-6dd0710cb21b</x:v>
      </x:c>
      <x:c r="C70" s="14" t="str">
        <x:v>Garnacha</x:v>
      </x:c>
      <x:c r="D70" s="14" t="str">
        <x:v>fr</x:v>
      </x:c>
      <x:c r="E70" s="14" t="str">
        <x:v>原語・訳語</x:v>
      </x:c>
    </x:row>
    <x:row r="71" ht="30" customHeight="1">
      <x:c r="A71" s="14" t="str">
        <x:v>alias-0186</x:v>
      </x:c>
      <x:c r="B71" s="14" t="str">
        <x:v>term-b61064b4b62d</x:v>
      </x:c>
      <x:c r="C71" s="14" t="str">
        <x:v>Grenache</x:v>
      </x:c>
      <x:c r="D71" s="14" t="str">
        <x:v>fr</x:v>
      </x:c>
      <x:c r="E71" s="14" t="str">
        <x:v>原語・訳語</x:v>
      </x:c>
    </x:row>
    <x:row r="72" ht="30" customHeight="1">
      <x:c r="A72" s="14" t="str">
        <x:v>alias-0189</x:v>
      </x:c>
      <x:c r="B72" s="14" t="str">
        <x:v>term-c35d105c495c</x:v>
      </x:c>
      <x:c r="C72" s="14" t="str">
        <x:v>Glera</x:v>
      </x:c>
      <x:c r="D72" s="14" t="str">
        <x:v>fr</x:v>
      </x:c>
      <x:c r="E72" s="14" t="str">
        <x:v>原語・訳語</x:v>
      </x:c>
    </x:row>
    <x:row r="73" ht="30" customHeight="1">
      <x:c r="A73" s="14" t="str">
        <x:v>alias-0204</x:v>
      </x:c>
      <x:c r="B73" s="14" t="str">
        <x:v>term-e345cdb17ccd</x:v>
      </x:c>
      <x:c r="C73" s="14" t="str">
        <x:v>Gewürztraminer</x:v>
      </x:c>
      <x:c r="D73" s="14" t="str">
        <x:v>en</x:v>
      </x:c>
      <x:c r="E73" s="14" t="str">
        <x:v>原語・訳語</x:v>
      </x:c>
    </x:row>
    <x:row r="74" ht="30" customHeight="1">
      <x:c r="A74" s="14" t="str">
        <x:v>alias-0203</x:v>
      </x:c>
      <x:c r="B74" s="14" t="str">
        <x:v>term-e345cdb17ccd</x:v>
      </x:c>
      <x:c r="C74" s="14" t="str">
        <x:v>Gewurztraminer</x:v>
      </x:c>
      <x:c r="D74" s="14" t="str">
        <x:v>fr</x:v>
      </x:c>
      <x:c r="E74" s="14" t="str">
        <x:v>原語・訳語</x:v>
      </x:c>
    </x:row>
    <x:row r="75" ht="30" customHeight="1">
      <x:c r="A75" s="14" t="str">
        <x:v>alias-0128</x:v>
      </x:c>
      <x:c r="B75" s="14" t="str">
        <x:v>term-7c0c350da8b9</x:v>
      </x:c>
      <x:c r="C75" s="14" t="str">
        <x:v>Cortese</x:v>
      </x:c>
      <x:c r="D75" s="14" t="str">
        <x:v>fr</x:v>
      </x:c>
      <x:c r="E75" s="14" t="str">
        <x:v>原語・訳語</x:v>
      </x:c>
    </x:row>
    <x:row r="76" ht="30" customHeight="1">
      <x:c r="A76" s="14" t="str">
        <x:v>alias-0209</x:v>
      </x:c>
      <x:c r="B76" s="14" t="str">
        <x:v>term-ef3633756a35</x:v>
      </x:c>
      <x:c r="C76" s="14" t="str">
        <x:v>Sangiovese</x:v>
      </x:c>
      <x:c r="D76" s="14" t="str">
        <x:v>fr</x:v>
      </x:c>
      <x:c r="E76" s="14" t="str">
        <x:v>原語・訳語</x:v>
      </x:c>
    </x:row>
    <x:row r="77" ht="30" customHeight="1">
      <x:c r="A77" s="14" t="str">
        <x:v>alias-0192</x:v>
      </x:c>
      <x:c r="B77" s="14" t="str">
        <x:v>term-cd5c9308aeb7</x:v>
      </x:c>
      <x:c r="C77" s="14" t="str">
        <x:v>Chardonnay</x:v>
      </x:c>
      <x:c r="D77" s="14" t="str">
        <x:v>fr</x:v>
      </x:c>
      <x:c r="E77" s="14" t="str">
        <x:v>原語・訳語</x:v>
      </x:c>
    </x:row>
    <x:row r="78" ht="30" customHeight="1">
      <x:c r="A78" s="14" t="str">
        <x:v>alias-0165</x:v>
      </x:c>
      <x:c r="B78" s="14" t="str">
        <x:v>term-a6d22f5f32d6</x:v>
      </x:c>
      <x:c r="C78" s="14" t="str">
        <x:v>Chenin Blanc</x:v>
      </x:c>
      <x:c r="D78" s="14" t="str">
        <x:v>fr</x:v>
      </x:c>
      <x:c r="E78" s="14" t="str">
        <x:v>原語・訳語</x:v>
      </x:c>
    </x:row>
    <x:row r="79" ht="30" customHeight="1">
      <x:c r="A79" s="14" t="str">
        <x:v>alias-0214</x:v>
      </x:c>
      <x:c r="B79" s="14" t="str">
        <x:v>term-f33d6c9b7f02</x:v>
      </x:c>
      <x:c r="C79" s="14" t="str">
        <x:v>Syrah</x:v>
      </x:c>
      <x:c r="D79" s="14" t="str">
        <x:v>fr</x:v>
      </x:c>
      <x:c r="E79" s="14" t="str">
        <x:v>原語・訳語</x:v>
      </x:c>
    </x:row>
    <x:row r="80" ht="30" customHeight="1">
      <x:c r="A80" s="14" t="str">
        <x:v>alias-0066</x:v>
      </x:c>
      <x:c r="B80" s="14" t="str">
        <x:v>term-3cbfd0c8cfbb</x:v>
      </x:c>
      <x:c r="C80" s="14" t="str">
        <x:v>Shiraz</x:v>
      </x:c>
      <x:c r="D80" s="14" t="str">
        <x:v>en</x:v>
      </x:c>
      <x:c r="E80" s="14" t="str">
        <x:v>原語・訳語</x:v>
      </x:c>
    </x:row>
    <x:row r="81" ht="30" customHeight="1">
      <x:c r="A81" s="14" t="str">
        <x:v>alias-0067</x:v>
      </x:c>
      <x:c r="B81" s="14" t="str">
        <x:v>term-3cbfd0c8cfbb</x:v>
      </x:c>
      <x:c r="C81" s="14" t="str">
        <x:v>Syrah</x:v>
      </x:c>
      <x:c r="D81" s="14" t="str">
        <x:v>fr</x:v>
      </x:c>
      <x:c r="E81" s="14" t="str">
        <x:v>原語・訳語</x:v>
      </x:c>
    </x:row>
    <x:row r="82" ht="30" customHeight="1">
      <x:c r="A82" s="14" t="str">
        <x:v>alias-0129</x:v>
      </x:c>
      <x:c r="B82" s="14" t="str">
        <x:v>term-7c26883502a0</x:v>
      </x:c>
      <x:c r="C82" s="14" t="str">
        <x:v>Sémillon</x:v>
      </x:c>
      <x:c r="D82" s="14" t="str">
        <x:v>fr</x:v>
      </x:c>
      <x:c r="E82" s="14" t="str">
        <x:v>原語・訳語</x:v>
      </x:c>
    </x:row>
    <x:row r="83" ht="30" customHeight="1">
      <x:c r="A83" s="14" t="str">
        <x:v>alias-0208</x:v>
      </x:c>
      <x:c r="B83" s="14" t="str">
        <x:v>term-ebd7781081b9</x:v>
      </x:c>
      <x:c r="C83" s="14" t="str">
        <x:v>Sauvignon Blanc</x:v>
      </x:c>
      <x:c r="D83" s="14" t="str">
        <x:v>fr</x:v>
      </x:c>
      <x:c r="E83" s="14" t="str">
        <x:v>原語・訳語</x:v>
      </x:c>
    </x:row>
    <x:row r="84" ht="30" customHeight="1">
      <x:c r="A84" s="14" t="str">
        <x:v>alias-0149</x:v>
      </x:c>
      <x:c r="B84" s="14" t="str">
        <x:v>term-8d9e8fb51794</x:v>
      </x:c>
      <x:c r="C84" s="14" t="str">
        <x:v>Tempranillo</x:v>
      </x:c>
      <x:c r="D84" s="14" t="str">
        <x:v>fr</x:v>
      </x:c>
      <x:c r="E84" s="14" t="str">
        <x:v>原語・訳語</x:v>
      </x:c>
    </x:row>
    <x:row r="85" ht="30" customHeight="1">
      <x:c r="A85" s="14" t="str">
        <x:v>alias-0217</x:v>
      </x:c>
      <x:c r="B85" s="14" t="str">
        <x:v>term-f5ceb1ab84a0</x:v>
      </x:c>
      <x:c r="C85" s="14" t="str">
        <x:v>Nebbiolo</x:v>
      </x:c>
      <x:c r="D85" s="14" t="str">
        <x:v>fr</x:v>
      </x:c>
      <x:c r="E85" s="14" t="str">
        <x:v>原語・訳語</x:v>
      </x:c>
    </x:row>
    <x:row r="86" ht="30" customHeight="1">
      <x:c r="A86" s="14" t="str">
        <x:v>alias-0188</x:v>
      </x:c>
      <x:c r="B86" s="14" t="str">
        <x:v>term-bc0cb08a3cd9</x:v>
      </x:c>
      <x:c r="C86" s="14" t="str">
        <x:v>Palomino</x:v>
      </x:c>
      <x:c r="D86" s="14" t="str">
        <x:v>fr</x:v>
      </x:c>
      <x:c r="E86" s="14" t="str">
        <x:v>原語・訳語</x:v>
      </x:c>
    </x:row>
    <x:row r="87" ht="30" customHeight="1">
      <x:c r="A87" s="14" t="str">
        <x:v>alias-0140</x:v>
      </x:c>
      <x:c r="B87" s="14" t="str">
        <x:v>term-837aa50433bd</x:v>
      </x:c>
      <x:c r="C87" s="14" t="str">
        <x:v>Pinot Gris</x:v>
      </x:c>
      <x:c r="D87" s="14" t="str">
        <x:v>fr</x:v>
      </x:c>
      <x:c r="E87" s="14" t="str">
        <x:v>原語・訳語</x:v>
      </x:c>
    </x:row>
    <x:row r="88" ht="30" customHeight="1">
      <x:c r="A88" s="14" t="str">
        <x:v>alias-0048</x:v>
      </x:c>
      <x:c r="B88" s="14" t="str">
        <x:v>term-2a0523caaee7</x:v>
      </x:c>
      <x:c r="C88" s="14" t="str">
        <x:v>Pinot Grigio</x:v>
      </x:c>
      <x:c r="D88" s="14" t="str">
        <x:v>en</x:v>
      </x:c>
      <x:c r="E88" s="14" t="str">
        <x:v>原語・訳語</x:v>
      </x:c>
    </x:row>
    <x:row r="89" ht="30" customHeight="1">
      <x:c r="A89" s="14" t="str">
        <x:v>alias-0049</x:v>
      </x:c>
      <x:c r="B89" s="14" t="str">
        <x:v>term-2a0523caaee7</x:v>
      </x:c>
      <x:c r="C89" s="14" t="str">
        <x:v>Pinot Gris</x:v>
      </x:c>
      <x:c r="D89" s="14" t="str">
        <x:v>fr</x:v>
      </x:c>
      <x:c r="E89" s="14" t="str">
        <x:v>原語・訳語</x:v>
      </x:c>
    </x:row>
    <x:row r="90" ht="30" customHeight="1">
      <x:c r="A90" s="14" t="str">
        <x:v>alias-0144</x:v>
      </x:c>
      <x:c r="B90" s="14" t="str">
        <x:v>term-8a3522eab015</x:v>
      </x:c>
      <x:c r="C90" s="14" t="str">
        <x:v>Pinot Noir</x:v>
      </x:c>
      <x:c r="D90" s="14" t="str">
        <x:v>fr</x:v>
      </x:c>
      <x:c r="E90" s="14" t="str">
        <x:v>原語・訳語</x:v>
      </x:c>
    </x:row>
    <x:row r="91" ht="30" customHeight="1">
      <x:c r="A91" s="14" t="str">
        <x:v>alias-0073</x:v>
      </x:c>
      <x:c r="B91" s="14" t="str">
        <x:v>term-3f4eeb9cd8b9</x:v>
      </x:c>
      <x:c r="C91" s="14" t="str">
        <x:v>Malbec</x:v>
      </x:c>
      <x:c r="D91" s="14" t="str">
        <x:v>fr</x:v>
      </x:c>
      <x:c r="E91" s="14" t="str">
        <x:v>原語・訳語</x:v>
      </x:c>
    </x:row>
    <x:row r="92" ht="30" customHeight="1">
      <x:c r="A92" s="14" t="str">
        <x:v>alias-0169</x:v>
      </x:c>
      <x:c r="B92" s="14" t="str">
        <x:v>term-aca8186e4b2d</x:v>
      </x:c>
      <x:c r="C92" s="14" t="str">
        <x:v>Meunier</x:v>
      </x:c>
      <x:c r="D92" s="14" t="str">
        <x:v>fr</x:v>
      </x:c>
      <x:c r="E92" s="14" t="str">
        <x:v>原語・訳語</x:v>
      </x:c>
    </x:row>
    <x:row r="93" ht="30" customHeight="1">
      <x:c r="A93" s="14" t="str">
        <x:v>alias-0050</x:v>
      </x:c>
      <x:c r="B93" s="14" t="str">
        <x:v>term-2a0610c58883</x:v>
      </x:c>
      <x:c r="C93" s="14" t="str">
        <x:v>Merlot</x:v>
      </x:c>
      <x:c r="D93" s="14" t="str">
        <x:v>fr</x:v>
      </x:c>
      <x:c r="E93" s="14" t="str">
        <x:v>原語・訳語</x:v>
      </x:c>
    </x:row>
    <x:row r="94" ht="30" customHeight="1">
      <x:c r="A94" s="14" t="str">
        <x:v>alias-0089</x:v>
      </x:c>
      <x:c r="B94" s="14" t="str">
        <x:v>term-4e7a12a4d8fa</x:v>
      </x:c>
      <x:c r="C94" s="14" t="str">
        <x:v>Riesling</x:v>
      </x:c>
      <x:c r="D94" s="14" t="str">
        <x:v>fr</x:v>
      </x:c>
      <x:c r="E94" s="14" t="str">
        <x:v>原語・訳語</x:v>
      </x:c>
    </x:row>
    <x:row r="95" ht="30" customHeight="1">
      <x:c r="A95" s="14" t="str">
        <x:v>alias-0034</x:v>
      </x:c>
      <x:c r="B95" s="14" t="str">
        <x:v>term-1c9cb2dba59e</x:v>
      </x:c>
      <x:c r="C95" s="14" t="str">
        <x:v>Viognier</x:v>
      </x:c>
      <x:c r="D95" s="14" t="str">
        <x:v>fr</x:v>
      </x:c>
      <x:c r="E95" s="14" t="str">
        <x:v>原語・訳語</x:v>
      </x:c>
    </x:row>
    <x:row r="96" ht="30" customHeight="1">
      <x:c r="A96" s="14" t="str">
        <x:v>alias-0197</x:v>
      </x:c>
      <x:c r="B96" s="14" t="str">
        <x:v>term-dd83994a2ebb</x:v>
      </x:c>
      <x:c r="C96" s="14" t="str">
        <x:v>terroir</x:v>
      </x:c>
      <x:c r="D96" s="14" t="str">
        <x:v>fr</x:v>
      </x:c>
      <x:c r="E96" s="14" t="str">
        <x:v>原語・訳語</x:v>
      </x:c>
    </x:row>
    <x:row r="97" ht="30" customHeight="1">
      <x:c r="A97" s="14" t="str">
        <x:v>alias-0018</x:v>
      </x:c>
      <x:c r="B97" s="14" t="str">
        <x:v>term-151cf76b0881</x:v>
      </x:c>
      <x:c r="C97" s="14" t="str">
        <x:v>appellation</x:v>
      </x:c>
      <x:c r="D97" s="14" t="str">
        <x:v>fr</x:v>
      </x:c>
      <x:c r="E97" s="14" t="str">
        <x:v>原語・訳語</x:v>
      </x:c>
    </x:row>
    <x:row r="98" ht="30" customHeight="1">
      <x:c r="A98" s="14" t="str">
        <x:v>alias-0019</x:v>
      </x:c>
      <x:c r="B98" s="14" t="str">
        <x:v>term-151cf76b0881</x:v>
      </x:c>
      <x:c r="C98" s="14" t="str">
        <x:v>原産地呼称</x:v>
      </x:c>
      <x:c r="D98" s="14" t="str">
        <x:v>ja</x:v>
      </x:c>
      <x:c r="E98" s="14" t="str">
        <x:v>別名</x:v>
      </x:c>
    </x:row>
    <x:row r="99" ht="30" customHeight="1">
      <x:c r="A99" s="14" t="str">
        <x:v>alias-0181</x:v>
      </x:c>
      <x:c r="B99" s="14" t="str">
        <x:v>term-b0edf2fe907e</x:v>
      </x:c>
      <x:c r="C99" s="14" t="str">
        <x:v>Appellation d’Origine Contrôlée</x:v>
      </x:c>
      <x:c r="D99" s="14" t="str">
        <x:v>fr</x:v>
      </x:c>
      <x:c r="E99" s="14" t="str">
        <x:v>原語・訳語</x:v>
      </x:c>
    </x:row>
    <x:row r="100" ht="30" customHeight="1">
      <x:c r="A100" s="14" t="str">
        <x:v>alias-0200</x:v>
      </x:c>
      <x:c r="B100" s="14" t="str">
        <x:v>term-df43997607cc</x:v>
      </x:c>
      <x:c r="C100" s="14" t="str">
        <x:v>Protected Designation of Origin</x:v>
      </x:c>
      <x:c r="D100" s="14" t="str">
        <x:v>en</x:v>
      </x:c>
      <x:c r="E100" s="14" t="str">
        <x:v>原語・訳語</x:v>
      </x:c>
    </x:row>
    <x:row r="101" ht="30" customHeight="1">
      <x:c r="A101" s="14" t="str">
        <x:v>alias-0198</x:v>
      </x:c>
      <x:c r="B101" s="14" t="str">
        <x:v>term-df43997607cc</x:v>
      </x:c>
      <x:c r="C101" s="14" t="str">
        <x:v>Appellation d’Origine Protégée</x:v>
      </x:c>
      <x:c r="D101" s="14" t="str">
        <x:v>fr</x:v>
      </x:c>
      <x:c r="E101" s="14" t="str">
        <x:v>原語・訳語</x:v>
      </x:c>
    </x:row>
    <x:row r="102" ht="30" customHeight="1">
      <x:c r="A102" s="14" t="str">
        <x:v>alias-0199</x:v>
      </x:c>
      <x:c r="B102" s="14" t="str">
        <x:v>term-df43997607cc</x:v>
      </x:c>
      <x:c r="C102" s="14" t="str">
        <x:v>PDO</x:v>
      </x:c>
      <x:c r="D102" s="14" t="str">
        <x:v>ja</x:v>
      </x:c>
      <x:c r="E102" s="14" t="str">
        <x:v>別名</x:v>
      </x:c>
    </x:row>
    <x:row r="103" ht="30" customHeight="1">
      <x:c r="A103" s="14" t="str">
        <x:v>alias-0150</x:v>
      </x:c>
      <x:c r="B103" s="14" t="str">
        <x:v>term-8e8c70fcea00</x:v>
      </x:c>
      <x:c r="C103" s="14" t="str">
        <x:v>Grand Cru</x:v>
      </x:c>
      <x:c r="D103" s="14" t="str">
        <x:v>ja</x:v>
      </x:c>
      <x:c r="E103" s="14" t="str">
        <x:v>別名</x:v>
      </x:c>
    </x:row>
    <x:row r="104" ht="30" customHeight="1">
      <x:c r="A104" s="14" t="str">
        <x:v>alias-0151</x:v>
      </x:c>
      <x:c r="B104" s="14" t="str">
        <x:v>term-8e8c70fcea00</x:v>
      </x:c>
      <x:c r="C104" s="14" t="str">
        <x:v>グランクリュ</x:v>
      </x:c>
      <x:c r="D104" s="14" t="str">
        <x:v>ja</x:v>
      </x:c>
      <x:c r="E104" s="14" t="str">
        <x:v>別名</x:v>
      </x:c>
    </x:row>
    <x:row r="105" ht="30" customHeight="1">
      <x:c r="A105" s="14" t="str">
        <x:v>alias-0205</x:v>
      </x:c>
      <x:c r="B105" s="14" t="str">
        <x:v>term-e69c2782c211</x:v>
      </x:c>
      <x:c r="C105" s="14" t="str">
        <x:v>Premier Cru</x:v>
      </x:c>
      <x:c r="D105" s="14" t="str">
        <x:v>ja</x:v>
      </x:c>
      <x:c r="E105" s="14" t="str">
        <x:v>別名</x:v>
      </x:c>
    </x:row>
    <x:row r="106" ht="30" customHeight="1">
      <x:c r="A106" s="14" t="str">
        <x:v>alias-0206</x:v>
      </x:c>
      <x:c r="B106" s="14" t="str">
        <x:v>term-e69c2782c211</x:v>
      </x:c>
      <x:c r="C106" s="14" t="str">
        <x:v>プルミエクリュ</x:v>
      </x:c>
      <x:c r="D106" s="14" t="str">
        <x:v>ja</x:v>
      </x:c>
      <x:c r="E106" s="14" t="str">
        <x:v>別名</x:v>
      </x:c>
    </x:row>
    <x:row r="107" ht="30" customHeight="1">
      <x:c r="A107" s="14" t="str">
        <x:v>alias-0082</x:v>
      </x:c>
      <x:c r="B107" s="14" t="str">
        <x:v>term-4ca2970b0160</x:v>
      </x:c>
      <x:c r="C107" s="14" t="str">
        <x:v>vintage</x:v>
      </x:c>
      <x:c r="D107" s="14" t="str">
        <x:v>en</x:v>
      </x:c>
      <x:c r="E107" s="14" t="str">
        <x:v>原語・訳語</x:v>
      </x:c>
    </x:row>
    <x:row r="108" ht="30" customHeight="1">
      <x:c r="A108" s="14" t="str">
        <x:v>alias-0081</x:v>
      </x:c>
      <x:c r="B108" s="14" t="str">
        <x:v>term-4ca2970b0160</x:v>
      </x:c>
      <x:c r="C108" s="14" t="str">
        <x:v>millésime</x:v>
      </x:c>
      <x:c r="D108" s="14" t="str">
        <x:v>ja</x:v>
      </x:c>
      <x:c r="E108" s="14" t="str">
        <x:v>別名</x:v>
      </x:c>
    </x:row>
    <x:row r="109" ht="30" customHeight="1">
      <x:c r="A109" s="14" t="str">
        <x:v>alias-0083</x:v>
      </x:c>
      <x:c r="B109" s="14" t="str">
        <x:v>term-4ca2970b0160</x:v>
      </x:c>
      <x:c r="C109" s="14" t="str">
        <x:v>ミレジム</x:v>
      </x:c>
      <x:c r="D109" s="14" t="str">
        <x:v>ja</x:v>
      </x:c>
      <x:c r="E109" s="14" t="str">
        <x:v>別名</x:v>
      </x:c>
    </x:row>
    <x:row r="110" ht="30" customHeight="1">
      <x:c r="A110" s="14" t="str">
        <x:v>alias-0084</x:v>
      </x:c>
      <x:c r="B110" s="14" t="str">
        <x:v>term-4ca2970b0160</x:v>
      </x:c>
      <x:c r="C110" s="14" t="str">
        <x:v>ミレジメ</x:v>
      </x:c>
      <x:c r="D110" s="14" t="str">
        <x:v>ja</x:v>
      </x:c>
      <x:c r="E110" s="14" t="str">
        <x:v>別名</x:v>
      </x:c>
    </x:row>
    <x:row r="111" ht="30" customHeight="1">
      <x:c r="A111" s="14" t="str">
        <x:v>alias-0032</x:v>
      </x:c>
      <x:c r="B111" s="14" t="str">
        <x:v>term-1b7de08b389e</x:v>
      </x:c>
      <x:c r="C111" s="14" t="str">
        <x:v>blending</x:v>
      </x:c>
      <x:c r="D111" s="14" t="str">
        <x:v>en</x:v>
      </x:c>
      <x:c r="E111" s="14" t="str">
        <x:v>原語・訳語</x:v>
      </x:c>
    </x:row>
    <x:row r="112" ht="30" customHeight="1">
      <x:c r="A112" s="14" t="str">
        <x:v>alias-0031</x:v>
      </x:c>
      <x:c r="B112" s="14" t="str">
        <x:v>term-1b7de08b389e</x:v>
      </x:c>
      <x:c r="C112" s="14" t="str">
        <x:v>assemblage</x:v>
      </x:c>
      <x:c r="D112" s="14" t="str">
        <x:v>ja</x:v>
      </x:c>
      <x:c r="E112" s="14" t="str">
        <x:v>別名</x:v>
      </x:c>
    </x:row>
    <x:row r="113" ht="30" customHeight="1">
      <x:c r="A113" s="14" t="str">
        <x:v>alias-0033</x:v>
      </x:c>
      <x:c r="B113" s="14" t="str">
        <x:v>term-1b7de08b389e</x:v>
      </x:c>
      <x:c r="C113" s="14" t="str">
        <x:v>ブレンド</x:v>
      </x:c>
      <x:c r="D113" s="14" t="str">
        <x:v>ja</x:v>
      </x:c>
      <x:c r="E113" s="14" t="str">
        <x:v>別名</x:v>
      </x:c>
    </x:row>
    <x:row r="114" ht="30" customHeight="1">
      <x:c r="A114" s="14" t="str">
        <x:v>alias-0141</x:v>
      </x:c>
      <x:c r="B114" s="14" t="str">
        <x:v>term-84d07699ae5a</x:v>
      </x:c>
      <x:c r="C114" s="14" t="str">
        <x:v>dosage</x:v>
      </x:c>
      <x:c r="D114" s="14" t="str">
        <x:v>ja</x:v>
      </x:c>
      <x:c r="E114" s="14" t="str">
        <x:v>別名</x:v>
      </x:c>
    </x:row>
    <x:row r="115" ht="30" customHeight="1">
      <x:c r="A115" s="14" t="str">
        <x:v>alias-0163</x:v>
      </x:c>
      <x:c r="B115" s="14" t="str">
        <x:v>term-a3e780a50cf8</x:v>
      </x:c>
      <x:c r="C115" s="14" t="str">
        <x:v>tirage</x:v>
      </x:c>
      <x:c r="D115" s="14" t="str">
        <x:v>ja</x:v>
      </x:c>
      <x:c r="E115" s="14" t="str">
        <x:v>別名</x:v>
      </x:c>
    </x:row>
    <x:row r="116" ht="30" customHeight="1">
      <x:c r="A116" s="14" t="str">
        <x:v>alias-0039</x:v>
      </x:c>
      <x:c r="B116" s="14" t="str">
        <x:v>term-1f072e690169</x:v>
      </x:c>
      <x:c r="C116" s="14" t="str">
        <x:v>tirage liqueur</x:v>
      </x:c>
      <x:c r="D116" s="14" t="str">
        <x:v>en</x:v>
      </x:c>
      <x:c r="E116" s="14" t="str">
        <x:v>原語・訳語</x:v>
      </x:c>
    </x:row>
    <x:row r="117" ht="30" customHeight="1">
      <x:c r="A117" s="14" t="str">
        <x:v>alias-0038</x:v>
      </x:c>
      <x:c r="B117" s="14" t="str">
        <x:v>term-1f072e690169</x:v>
      </x:c>
      <x:c r="C117" s="14" t="str">
        <x:v>liqueur de tirage</x:v>
      </x:c>
      <x:c r="D117" s="14" t="str">
        <x:v>ja</x:v>
      </x:c>
      <x:c r="E117" s="14" t="str">
        <x:v>別名</x:v>
      </x:c>
    </x:row>
    <x:row r="118" ht="30" customHeight="1">
      <x:c r="A118" s="14" t="str">
        <x:v>alias-0160</x:v>
      </x:c>
      <x:c r="B118" s="14" t="str">
        <x:v>term-a15fd4a00525</x:v>
      </x:c>
      <x:c r="C118" s="14" t="str">
        <x:v>expedition liqueur</x:v>
      </x:c>
      <x:c r="D118" s="14" t="str">
        <x:v>en</x:v>
      </x:c>
      <x:c r="E118" s="14" t="str">
        <x:v>原語・訳語</x:v>
      </x:c>
    </x:row>
    <x:row r="119" ht="30" customHeight="1">
      <x:c r="A119" s="14" t="str">
        <x:v>alias-0161</x:v>
      </x:c>
      <x:c r="B119" s="14" t="str">
        <x:v>term-a15fd4a00525</x:v>
      </x:c>
      <x:c r="C119" s="14" t="str">
        <x:v>liqueur d’expédition</x:v>
      </x:c>
      <x:c r="D119" s="14" t="str">
        <x:v>ja</x:v>
      </x:c>
      <x:c r="E119" s="14" t="str">
        <x:v>別名</x:v>
      </x:c>
    </x:row>
    <x:row r="120" ht="30" customHeight="1">
      <x:c r="A120" s="14" t="str">
        <x:v>alias-0158</x:v>
      </x:c>
      <x:c r="B120" s="14" t="str">
        <x:v>term-a060cd2d4e81</x:v>
      </x:c>
      <x:c r="C120" s="14" t="str">
        <x:v>second alcoholic fermentation</x:v>
      </x:c>
      <x:c r="D120" s="14" t="str">
        <x:v>en</x:v>
      </x:c>
      <x:c r="E120" s="14" t="str">
        <x:v>原語・訳語</x:v>
      </x:c>
    </x:row>
    <x:row r="121" ht="30" customHeight="1">
      <x:c r="A121" s="14" t="str">
        <x:v>alias-0157</x:v>
      </x:c>
      <x:c r="B121" s="14" t="str">
        <x:v>term-a060cd2d4e81</x:v>
      </x:c>
      <x:c r="C121" s="14" t="str">
        <x:v>prise de mousse</x:v>
      </x:c>
      <x:c r="D121" s="14" t="str">
        <x:v>ja</x:v>
      </x:c>
      <x:c r="E121" s="14" t="str">
        <x:v>別名</x:v>
      </x:c>
    </x:row>
    <x:row r="122" ht="30" customHeight="1">
      <x:c r="A122" s="14" t="str">
        <x:v>alias-0159</x:v>
      </x:c>
      <x:c r="B122" s="14" t="str">
        <x:v>term-a060cd2d4e81</x:v>
      </x:c>
      <x:c r="C122" s="14" t="str">
        <x:v>二次発酵</x:v>
      </x:c>
      <x:c r="D122" s="14" t="str">
        <x:v>ja</x:v>
      </x:c>
      <x:c r="E122" s="14" t="str">
        <x:v>別名</x:v>
      </x:c>
    </x:row>
    <x:row r="123" ht="30" customHeight="1">
      <x:c r="A123" s="14" t="str">
        <x:v>alias-0211</x:v>
      </x:c>
      <x:c r="B123" s="14" t="str">
        <x:v>term-f02ca9d1155c</x:v>
      </x:c>
      <x:c r="C123" s="14" t="str">
        <x:v>riddling</x:v>
      </x:c>
      <x:c r="D123" s="14" t="str">
        <x:v>en</x:v>
      </x:c>
      <x:c r="E123" s="14" t="str">
        <x:v>原語・訳語</x:v>
      </x:c>
    </x:row>
    <x:row r="124" ht="30" customHeight="1">
      <x:c r="A124" s="14" t="str">
        <x:v>alias-0210</x:v>
      </x:c>
      <x:c r="B124" s="14" t="str">
        <x:v>term-f02ca9d1155c</x:v>
      </x:c>
      <x:c r="C124" s="14" t="str">
        <x:v>remuage</x:v>
      </x:c>
      <x:c r="D124" s="14" t="str">
        <x:v>ja</x:v>
      </x:c>
      <x:c r="E124" s="14" t="str">
        <x:v>別名</x:v>
      </x:c>
    </x:row>
    <x:row r="125" ht="30" customHeight="1">
      <x:c r="A125" s="14" t="str">
        <x:v>alias-0212</x:v>
      </x:c>
      <x:c r="B125" s="14" t="str">
        <x:v>term-f02ca9d1155c</x:v>
      </x:c>
      <x:c r="C125" s="14" t="str">
        <x:v>動瓶</x:v>
      </x:c>
      <x:c r="D125" s="14" t="str">
        <x:v>ja</x:v>
      </x:c>
      <x:c r="E125" s="14" t="str">
        <x:v>別名</x:v>
      </x:c>
    </x:row>
    <x:row r="126" ht="30" customHeight="1">
      <x:c r="A126" s="14" t="str">
        <x:v>alias-0042</x:v>
      </x:c>
      <x:c r="B126" s="14" t="str">
        <x:v>term-225d8e38e70f</x:v>
      </x:c>
      <x:c r="C126" s="14" t="str">
        <x:v>disgorgement</x:v>
      </x:c>
      <x:c r="D126" s="14" t="str">
        <x:v>en</x:v>
      </x:c>
      <x:c r="E126" s="14" t="str">
        <x:v>原語・訳語</x:v>
      </x:c>
    </x:row>
    <x:row r="127" ht="30" customHeight="1">
      <x:c r="A127" s="14" t="str">
        <x:v>alias-0043</x:v>
      </x:c>
      <x:c r="B127" s="14" t="str">
        <x:v>term-225d8e38e70f</x:v>
      </x:c>
      <x:c r="C127" s="14" t="str">
        <x:v>dégorgement</x:v>
      </x:c>
      <x:c r="D127" s="14" t="str">
        <x:v>ja</x:v>
      </x:c>
      <x:c r="E127" s="14" t="str">
        <x:v>別名</x:v>
      </x:c>
    </x:row>
    <x:row r="128" ht="30" customHeight="1">
      <x:c r="A128" s="14" t="str">
        <x:v>alias-0044</x:v>
      </x:c>
      <x:c r="B128" s="14" t="str">
        <x:v>term-225d8e38e70f</x:v>
      </x:c>
      <x:c r="C128" s="14" t="str">
        <x:v>澱抜き</x:v>
      </x:c>
      <x:c r="D128" s="14" t="str">
        <x:v>ja</x:v>
      </x:c>
      <x:c r="E128" s="14" t="str">
        <x:v>別名</x:v>
      </x:c>
    </x:row>
    <x:row r="129" ht="30" customHeight="1">
      <x:c r="A129" s="14" t="str">
        <x:v>alias-0075</x:v>
      </x:c>
      <x:c r="B129" s="14" t="str">
        <x:v>term-417e0c287a84</x:v>
      </x:c>
      <x:c r="C129" s="14" t="str">
        <x:v>autolysis</x:v>
      </x:c>
      <x:c r="D129" s="14" t="str">
        <x:v>ja</x:v>
      </x:c>
      <x:c r="E129" s="14" t="str">
        <x:v>別名</x:v>
      </x:c>
    </x:row>
    <x:row r="130" ht="30" customHeight="1">
      <x:c r="A130" s="14" t="str">
        <x:v>alias-0074</x:v>
      </x:c>
      <x:c r="B130" s="14" t="str">
        <x:v>term-417e0c287a84</x:v>
      </x:c>
      <x:c r="C130" s="14" t="str">
        <x:v>autolyse</x:v>
      </x:c>
      <x:c r="D130" s="14" t="str">
        <x:v>fr</x:v>
      </x:c>
      <x:c r="E130" s="14" t="str">
        <x:v>原語・訳語</x:v>
      </x:c>
    </x:row>
    <x:row r="131" ht="30" customHeight="1">
      <x:c r="A131" s="14" t="str">
        <x:v>alias-0076</x:v>
      </x:c>
      <x:c r="B131" s="14" t="str">
        <x:v>term-417e0c287a84</x:v>
      </x:c>
      <x:c r="C131" s="14" t="str">
        <x:v>オートリシス</x:v>
      </x:c>
      <x:c r="D131" s="14" t="str">
        <x:v>ja</x:v>
      </x:c>
      <x:c r="E131" s="14" t="str">
        <x:v>別名</x:v>
      </x:c>
    </x:row>
    <x:row r="132" ht="30" customHeight="1">
      <x:c r="A132" s="14" t="str">
        <x:v>alias-0012</x:v>
      </x:c>
      <x:c r="B132" s="14" t="str">
        <x:v>term-13c6eb8f9233</x:v>
      </x:c>
      <x:c r="C132" s="14" t="str">
        <x:v>lees ageing</x:v>
      </x:c>
      <x:c r="D132" s="14" t="str">
        <x:v>en</x:v>
      </x:c>
      <x:c r="E132" s="14" t="str">
        <x:v>原語・訳語</x:v>
      </x:c>
    </x:row>
    <x:row r="133" ht="30" customHeight="1">
      <x:c r="A133" s="14" t="str">
        <x:v>alias-0014</x:v>
      </x:c>
      <x:c r="B133" s="14" t="str">
        <x:v>term-13c6eb8f9233</x:v>
      </x:c>
      <x:c r="C133" s="14" t="str">
        <x:v>élevage sur lies</x:v>
      </x:c>
      <x:c r="D133" s="14" t="str">
        <x:v>fr</x:v>
      </x:c>
      <x:c r="E133" s="14" t="str">
        <x:v>原語・訳語</x:v>
      </x:c>
    </x:row>
    <x:row r="134" ht="30" customHeight="1">
      <x:c r="A134" s="14" t="str">
        <x:v>alias-0015</x:v>
      </x:c>
      <x:c r="B134" s="14" t="str">
        <x:v>term-13c6eb8f9233</x:v>
      </x:c>
      <x:c r="C134" s="14" t="str">
        <x:v>澱との接触</x:v>
      </x:c>
      <x:c r="D134" s="14" t="str">
        <x:v>ja</x:v>
      </x:c>
      <x:c r="E134" s="14" t="str">
        <x:v>別名</x:v>
      </x:c>
    </x:row>
    <x:row r="135" ht="30" customHeight="1">
      <x:c r="A135" s="14" t="str">
        <x:v>alias-0013</x:v>
      </x:c>
      <x:c r="B135" s="14" t="str">
        <x:v>term-13c6eb8f9233</x:v>
      </x:c>
      <x:c r="C135" s="14" t="str">
        <x:v>sur lie</x:v>
      </x:c>
      <x:c r="D135" s="14" t="str">
        <x:v>ja</x:v>
      </x:c>
      <x:c r="E135" s="14" t="str">
        <x:v>別名</x:v>
      </x:c>
    </x:row>
    <x:row r="136" ht="30" customHeight="1">
      <x:c r="A136" s="14" t="str">
        <x:v>alias-0147</x:v>
      </x:c>
      <x:c r="B136" s="14" t="str">
        <x:v>term-8aa413ee1c10</x:v>
      </x:c>
      <x:c r="C136" s="14" t="str">
        <x:v>malolactic fermentation</x:v>
      </x:c>
      <x:c r="D136" s="14" t="str">
        <x:v>en</x:v>
      </x:c>
      <x:c r="E136" s="14" t="str">
        <x:v>原語・訳語</x:v>
      </x:c>
    </x:row>
    <x:row r="137" ht="30" customHeight="1">
      <x:c r="A137" s="14" t="str">
        <x:v>alias-0146</x:v>
      </x:c>
      <x:c r="B137" s="14" t="str">
        <x:v>term-8aa413ee1c10</x:v>
      </x:c>
      <x:c r="C137" s="14" t="str">
        <x:v>fermentation malolactique</x:v>
      </x:c>
      <x:c r="D137" s="14" t="str">
        <x:v>fr</x:v>
      </x:c>
      <x:c r="E137" s="14" t="str">
        <x:v>原語・訳語</x:v>
      </x:c>
    </x:row>
    <x:row r="138" ht="30" customHeight="1">
      <x:c r="A138" s="14" t="str">
        <x:v>alias-0145</x:v>
      </x:c>
      <x:c r="B138" s="14" t="str">
        <x:v>term-8aa413ee1c10</x:v>
      </x:c>
      <x:c r="C138" s="14" t="str">
        <x:v>MLF</x:v>
      </x:c>
      <x:c r="D138" s="14" t="str">
        <x:v>ja</x:v>
      </x:c>
      <x:c r="E138" s="14" t="str">
        <x:v>別名</x:v>
      </x:c>
    </x:row>
    <x:row r="139" ht="30" customHeight="1">
      <x:c r="A139" s="14" t="str">
        <x:v>alias-0148</x:v>
      </x:c>
      <x:c r="B139" s="14" t="str">
        <x:v>term-8aa413ee1c10</x:v>
      </x:c>
      <x:c r="C139" s="14" t="str">
        <x:v>乳酸発酵</x:v>
      </x:c>
      <x:c r="D139" s="14" t="str">
        <x:v>ja</x:v>
      </x:c>
      <x:c r="E139" s="14" t="str">
        <x:v>別名</x:v>
      </x:c>
    </x:row>
    <x:row r="140" ht="30" customHeight="1">
      <x:c r="A140" s="14" t="str">
        <x:v>alias-0166</x:v>
      </x:c>
      <x:c r="B140" s="14" t="str">
        <x:v>term-a737e7844550</x:v>
      </x:c>
      <x:c r="C140" s="14" t="str">
        <x:v>maceration</x:v>
      </x:c>
      <x:c r="D140" s="14" t="str">
        <x:v>en</x:v>
      </x:c>
      <x:c r="E140" s="14" t="str">
        <x:v>原語・訳語</x:v>
      </x:c>
    </x:row>
    <x:row r="141" ht="30" customHeight="1">
      <x:c r="A141" s="14" t="str">
        <x:v>alias-0167</x:v>
      </x:c>
      <x:c r="B141" s="14" t="str">
        <x:v>term-a737e7844550</x:v>
      </x:c>
      <x:c r="C141" s="14" t="str">
        <x:v>macération</x:v>
      </x:c>
      <x:c r="D141" s="14" t="str">
        <x:v>ja</x:v>
      </x:c>
      <x:c r="E141" s="14" t="str">
        <x:v>別名</x:v>
      </x:c>
    </x:row>
    <x:row r="142" ht="30" customHeight="1">
      <x:c r="A142" s="14" t="str">
        <x:v>alias-0168</x:v>
      </x:c>
      <x:c r="B142" s="14" t="str">
        <x:v>term-a737e7844550</x:v>
      </x:c>
      <x:c r="C142" s="14" t="str">
        <x:v>醸し</x:v>
      </x:c>
      <x:c r="D142" s="14" t="str">
        <x:v>ja</x:v>
      </x:c>
      <x:c r="E142" s="14" t="str">
        <x:v>別名</x:v>
      </x:c>
    </x:row>
    <x:row r="143" ht="30" customHeight="1">
      <x:c r="A143" s="14" t="str">
        <x:v>alias-0026</x:v>
      </x:c>
      <x:c r="B143" s="14" t="str">
        <x:v>term-1aa9520150bd</x:v>
      </x:c>
      <x:c r="C143" s="14" t="str">
        <x:v>carbonic maceration</x:v>
      </x:c>
      <x:c r="D143" s="14" t="str">
        <x:v>en</x:v>
      </x:c>
      <x:c r="E143" s="14" t="str">
        <x:v>原語・訳語</x:v>
      </x:c>
    </x:row>
    <x:row r="144" ht="30" customHeight="1">
      <x:c r="A144" s="14" t="str">
        <x:v>alias-0027</x:v>
      </x:c>
      <x:c r="B144" s="14" t="str">
        <x:v>term-1aa9520150bd</x:v>
      </x:c>
      <x:c r="C144" s="14" t="str">
        <x:v>macération carbonique</x:v>
      </x:c>
      <x:c r="D144" s="14" t="str">
        <x:v>fr</x:v>
      </x:c>
      <x:c r="E144" s="14" t="str">
        <x:v>原語・訳語</x:v>
      </x:c>
    </x:row>
    <x:row r="145" ht="30" customHeight="1">
      <x:c r="A145" s="14" t="str">
        <x:v>alias-0028</x:v>
      </x:c>
      <x:c r="B145" s="14" t="str">
        <x:v>term-1aa9520150bd</x:v>
      </x:c>
      <x:c r="C145" s="14" t="str">
        <x:v>カーボニック・マセレーション</x:v>
      </x:c>
      <x:c r="D145" s="14" t="str">
        <x:v>ja</x:v>
      </x:c>
      <x:c r="E145" s="14" t="str">
        <x:v>別名</x:v>
      </x:c>
    </x:row>
    <x:row r="146" ht="30" customHeight="1">
      <x:c r="A146" s="14" t="str">
        <x:v>alias-0185</x:v>
      </x:c>
      <x:c r="B146" s="14" t="str">
        <x:v>term-b4bb0dfb23cb</x:v>
      </x:c>
      <x:c r="C146" s="14" t="str">
        <x:v>whole-bunch fermentation</x:v>
      </x:c>
      <x:c r="D146" s="14" t="str">
        <x:v>en</x:v>
      </x:c>
      <x:c r="E146" s="14" t="str">
        <x:v>原語・訳語</x:v>
      </x:c>
    </x:row>
    <x:row r="147" ht="30" customHeight="1">
      <x:c r="A147" s="14" t="str">
        <x:v>alias-0183</x:v>
      </x:c>
      <x:c r="B147" s="14" t="str">
        <x:v>term-b4bb0dfb23cb</x:v>
      </x:c>
      <x:c r="C147" s="14" t="str">
        <x:v>vendange entière</x:v>
      </x:c>
      <x:c r="D147" s="14" t="str">
        <x:v>ja</x:v>
      </x:c>
      <x:c r="E147" s="14" t="str">
        <x:v>別名</x:v>
      </x:c>
    </x:row>
    <x:row r="148" ht="30" customHeight="1">
      <x:c r="A148" s="14" t="str">
        <x:v>alias-0184</x:v>
      </x:c>
      <x:c r="B148" s="14" t="str">
        <x:v>term-b4bb0dfb23cb</x:v>
      </x:c>
      <x:c r="C148" s="14" t="str">
        <x:v>whole bunch</x:v>
      </x:c>
      <x:c r="D148" s="14" t="str">
        <x:v>ja</x:v>
      </x:c>
      <x:c r="E148" s="14" t="str">
        <x:v>別名</x:v>
      </x:c>
    </x:row>
    <x:row r="149" ht="30" customHeight="1">
      <x:c r="A149" s="14" t="str">
        <x:v>alias-0063</x:v>
      </x:c>
      <x:c r="B149" s="14" t="str">
        <x:v>term-3a5fbee8c05b</x:v>
      </x:c>
      <x:c r="C149" s="14" t="str">
        <x:v>pressing</x:v>
      </x:c>
      <x:c r="D149" s="14" t="str">
        <x:v>en</x:v>
      </x:c>
      <x:c r="E149" s="14" t="str">
        <x:v>原語・訳語</x:v>
      </x:c>
    </x:row>
    <x:row r="150" ht="30" customHeight="1">
      <x:c r="A150" s="14" t="str">
        <x:v>alias-0064</x:v>
      </x:c>
      <x:c r="B150" s="14" t="str">
        <x:v>term-3a5fbee8c05b</x:v>
      </x:c>
      <x:c r="C150" s="14" t="str">
        <x:v>pressurage</x:v>
      </x:c>
      <x:c r="D150" s="14" t="str">
        <x:v>ja</x:v>
      </x:c>
      <x:c r="E150" s="14" t="str">
        <x:v>別名</x:v>
      </x:c>
    </x:row>
    <x:row r="151" ht="30" customHeight="1">
      <x:c r="A151" s="14" t="str">
        <x:v>alias-0065</x:v>
      </x:c>
      <x:c r="B151" s="14" t="str">
        <x:v>term-3a5fbee8c05b</x:v>
      </x:c>
      <x:c r="C151" s="14" t="str">
        <x:v>プレス</x:v>
      </x:c>
      <x:c r="D151" s="14" t="str">
        <x:v>ja</x:v>
      </x:c>
      <x:c r="E151" s="14" t="str">
        <x:v>別名</x:v>
      </x:c>
    </x:row>
    <x:row r="152" ht="30" customHeight="1">
      <x:c r="A152" s="14" t="str">
        <x:v>alias-0007</x:v>
      </x:c>
      <x:c r="B152" s="14" t="str">
        <x:v>term-0cfebde719e8</x:v>
      </x:c>
      <x:c r="C152" s="14" t="str">
        <x:v>racking</x:v>
      </x:c>
      <x:c r="D152" s="14" t="str">
        <x:v>ja</x:v>
      </x:c>
      <x:c r="E152" s="14" t="str">
        <x:v>別名</x:v>
      </x:c>
    </x:row>
    <x:row r="153" ht="30" customHeight="1">
      <x:c r="A153" s="14" t="str">
        <x:v>alias-0008</x:v>
      </x:c>
      <x:c r="B153" s="14" t="str">
        <x:v>term-0cfebde719e8</x:v>
      </x:c>
      <x:c r="C153" s="14" t="str">
        <x:v>soutirage</x:v>
      </x:c>
      <x:c r="D153" s="14" t="str">
        <x:v>ja</x:v>
      </x:c>
      <x:c r="E153" s="14" t="str">
        <x:v>別名</x:v>
      </x:c>
    </x:row>
    <x:row r="154" ht="30" customHeight="1">
      <x:c r="A154" s="14" t="str">
        <x:v>alias-0011</x:v>
      </x:c>
      <x:c r="B154" s="14" t="str">
        <x:v>term-1241be6e1904</x:v>
      </x:c>
      <x:c r="C154" s="14" t="str">
        <x:v>fining</x:v>
      </x:c>
      <x:c r="D154" s="14" t="str">
        <x:v>ja</x:v>
      </x:c>
      <x:c r="E154" s="14" t="str">
        <x:v>別名</x:v>
      </x:c>
    </x:row>
    <x:row r="155" ht="30" customHeight="1">
      <x:c r="A155" s="14" t="str">
        <x:v>alias-0010</x:v>
      </x:c>
      <x:c r="B155" s="14" t="str">
        <x:v>term-1241be6e1904</x:v>
      </x:c>
      <x:c r="C155" s="14" t="str">
        <x:v>collage</x:v>
      </x:c>
      <x:c r="D155" s="14" t="str">
        <x:v>ja</x:v>
      </x:c>
      <x:c r="E155" s="14" t="str">
        <x:v>別名</x:v>
      </x:c>
    </x:row>
    <x:row r="156" ht="30" customHeight="1">
      <x:c r="A156" s="14" t="str">
        <x:v>alias-0113</x:v>
      </x:c>
      <x:c r="B156" s="14" t="str">
        <x:v>term-70de29a120b9</x:v>
      </x:c>
      <x:c r="C156" s="14" t="str">
        <x:v>filtration</x:v>
      </x:c>
      <x:c r="D156" s="14" t="str">
        <x:v>ja</x:v>
      </x:c>
      <x:c r="E156" s="14" t="str">
        <x:v>別名</x:v>
      </x:c>
    </x:row>
    <x:row r="157" ht="30" customHeight="1">
      <x:c r="A157" s="14" t="str">
        <x:v>alias-0114</x:v>
      </x:c>
      <x:c r="B157" s="14" t="str">
        <x:v>term-70de29a120b9</x:v>
      </x:c>
      <x:c r="C157" s="14" t="str">
        <x:v>ろ過</x:v>
      </x:c>
      <x:c r="D157" s="14" t="str">
        <x:v>ja</x:v>
      </x:c>
      <x:c r="E157" s="14" t="str">
        <x:v>別名</x:v>
      </x:c>
    </x:row>
    <x:row r="158" ht="30" customHeight="1">
      <x:c r="A158" s="14" t="str">
        <x:v>alias-0170</x:v>
      </x:c>
      <x:c r="B158" s="14" t="str">
        <x:v>term-adbfc72d0aea</x:v>
      </x:c>
      <x:c r="C158" s="14" t="str">
        <x:v>chaptalisation</x:v>
      </x:c>
      <x:c r="D158" s="14" t="str">
        <x:v>fr</x:v>
      </x:c>
      <x:c r="E158" s="14" t="str">
        <x:v>原語・訳語</x:v>
      </x:c>
    </x:row>
    <x:row r="159" ht="30" customHeight="1">
      <x:c r="A159" s="14" t="str">
        <x:v>alias-0172</x:v>
      </x:c>
      <x:c r="B159" s="14" t="str">
        <x:v>term-adbfc72d0aea</x:v>
      </x:c>
      <x:c r="C159" s="14" t="str">
        <x:v>シャプタリザシオン</x:v>
      </x:c>
      <x:c r="D159" s="14" t="str">
        <x:v>ja</x:v>
      </x:c>
      <x:c r="E159" s="14" t="str">
        <x:v>別名</x:v>
      </x:c>
    </x:row>
    <x:row r="160" ht="30" customHeight="1">
      <x:c r="A160" s="14" t="str">
        <x:v>alias-0171</x:v>
      </x:c>
      <x:c r="B160" s="14" t="str">
        <x:v>term-adbfc72d0aea</x:v>
      </x:c>
      <x:c r="C160" s="14" t="str">
        <x:v>chaptalization</x:v>
      </x:c>
      <x:c r="D160" s="14" t="str">
        <x:v>ja</x:v>
      </x:c>
      <x:c r="E160" s="14" t="str">
        <x:v>別名</x:v>
      </x:c>
    </x:row>
    <x:row r="161" ht="30" customHeight="1">
      <x:c r="A161" s="14" t="str">
        <x:v>alias-0035</x:v>
      </x:c>
      <x:c r="B161" s="14" t="str">
        <x:v>term-1df30ce80e08</x:v>
      </x:c>
      <x:c r="C161" s="14" t="str">
        <x:v>acidification</x:v>
      </x:c>
      <x:c r="D161" s="14" t="str">
        <x:v>ja</x:v>
      </x:c>
      <x:c r="E161" s="14" t="str">
        <x:v>別名</x:v>
      </x:c>
    </x:row>
    <x:row r="162" ht="30" customHeight="1">
      <x:c r="A162" s="14" t="str">
        <x:v>alias-0061</x:v>
      </x:c>
      <x:c r="B162" s="14" t="str">
        <x:v>term-3893c43168b9</x:v>
      </x:c>
      <x:c r="C162" s="14" t="str">
        <x:v>fortification</x:v>
      </x:c>
      <x:c r="D162" s="14" t="str">
        <x:v>ja</x:v>
      </x:c>
      <x:c r="E162" s="14" t="str">
        <x:v>別名</x:v>
      </x:c>
    </x:row>
    <x:row r="163" ht="30" customHeight="1">
      <x:c r="A163" s="14" t="str">
        <x:v>alias-0062</x:v>
      </x:c>
      <x:c r="B163" s="14" t="str">
        <x:v>term-3893c43168b9</x:v>
      </x:c>
      <x:c r="C163" s="14" t="str">
        <x:v>mutage</x:v>
      </x:c>
      <x:c r="D163" s="14" t="str">
        <x:v>ja</x:v>
      </x:c>
      <x:c r="E163" s="14" t="str">
        <x:v>別名</x:v>
      </x:c>
    </x:row>
    <x:row r="164" ht="30" customHeight="1">
      <x:c r="A164" s="14" t="str">
        <x:v>alias-0054</x:v>
      </x:c>
      <x:c r="B164" s="14" t="str">
        <x:v>term-30892603b5c3</x:v>
      </x:c>
      <x:c r="C164" s="14" t="str">
        <x:v>flor</x:v>
      </x:c>
      <x:c r="D164" s="14" t="str">
        <x:v>ja</x:v>
      </x:c>
      <x:c r="E164" s="14" t="str">
        <x:v>別名</x:v>
      </x:c>
    </x:row>
    <x:row r="165" ht="30" customHeight="1">
      <x:c r="A165" s="14" t="str">
        <x:v>alias-0055</x:v>
      </x:c>
      <x:c r="B165" s="14" t="str">
        <x:v>term-30892603b5c3</x:v>
      </x:c>
      <x:c r="C165" s="14" t="str">
        <x:v>産膜酵母</x:v>
      </x:c>
      <x:c r="D165" s="14" t="str">
        <x:v>ja</x:v>
      </x:c>
      <x:c r="E165" s="14" t="str">
        <x:v>別名</x:v>
      </x:c>
    </x:row>
    <x:row r="166" ht="30" customHeight="1">
      <x:c r="A166" s="14" t="str">
        <x:v>alias-0134</x:v>
      </x:c>
      <x:c r="B166" s="14" t="str">
        <x:v>term-81af8319f489</x:v>
      </x:c>
      <x:c r="C166" s="14" t="str">
        <x:v>solera system</x:v>
      </x:c>
      <x:c r="D166" s="14" t="str">
        <x:v>en</x:v>
      </x:c>
      <x:c r="E166" s="14" t="str">
        <x:v>原語・訳語</x:v>
      </x:c>
    </x:row>
    <x:row r="167" ht="30" customHeight="1">
      <x:c r="A167" s="14" t="str">
        <x:v>alias-0135</x:v>
      </x:c>
      <x:c r="B167" s="14" t="str">
        <x:v>term-81af8319f489</x:v>
      </x:c>
      <x:c r="C167" s="14" t="str">
        <x:v>système de solera</x:v>
      </x:c>
      <x:c r="D167" s="14" t="str">
        <x:v>fr</x:v>
      </x:c>
      <x:c r="E167" s="14" t="str">
        <x:v>原語・訳語</x:v>
      </x:c>
    </x:row>
    <x:row r="168" ht="30" customHeight="1">
      <x:c r="A168" s="14" t="str">
        <x:v>alias-0136</x:v>
      </x:c>
      <x:c r="B168" s="14" t="str">
        <x:v>term-81af8319f489</x:v>
      </x:c>
      <x:c r="C168" s="14" t="str">
        <x:v>ソレラ</x:v>
      </x:c>
      <x:c r="D168" s="14" t="str">
        <x:v>ja</x:v>
      </x:c>
      <x:c r="E168" s="14" t="str">
        <x:v>別名</x:v>
      </x:c>
    </x:row>
    <x:row r="169" ht="30" customHeight="1">
      <x:c r="A169" s="14" t="str">
        <x:v>alias-0133</x:v>
      </x:c>
      <x:c r="B169" s="14" t="str">
        <x:v>term-81af8319f489</x:v>
      </x:c>
      <x:c r="C169" s="14" t="str">
        <x:v>criaderas y solera</x:v>
      </x:c>
      <x:c r="D169" s="14" t="str">
        <x:v>ja</x:v>
      </x:c>
      <x:c r="E169" s="14" t="str">
        <x:v>別名</x:v>
      </x:c>
    </x:row>
    <x:row r="170" ht="30" customHeight="1">
      <x:c r="A170" s="14" t="str">
        <x:v>alias-0195</x:v>
      </x:c>
      <x:c r="B170" s="14" t="str">
        <x:v>term-d9e0d57c9bf3</x:v>
      </x:c>
      <x:c r="C170" s="14" t="str">
        <x:v>oxidative ageing</x:v>
      </x:c>
      <x:c r="D170" s="14" t="str">
        <x:v>ja</x:v>
      </x:c>
      <x:c r="E170" s="14" t="str">
        <x:v>別名</x:v>
      </x:c>
    </x:row>
    <x:row r="171" ht="30" customHeight="1">
      <x:c r="A171" s="14" t="str">
        <x:v>alias-0196</x:v>
      </x:c>
      <x:c r="B171" s="14" t="str">
        <x:v>term-d9e0d57c9bf3</x:v>
      </x:c>
      <x:c r="C171" s="14" t="str">
        <x:v>élevage oxydatif</x:v>
      </x:c>
      <x:c r="D171" s="14" t="str">
        <x:v>fr</x:v>
      </x:c>
      <x:c r="E171" s="14" t="str">
        <x:v>原語・訳語</x:v>
      </x:c>
    </x:row>
    <x:row r="172" ht="30" customHeight="1">
      <x:c r="A172" s="14" t="str">
        <x:v>alias-0218</x:v>
      </x:c>
      <x:c r="B172" s="14" t="str">
        <x:v>term-f5d0f6653494</x:v>
      </x:c>
      <x:c r="C172" s="14" t="str">
        <x:v>biological ageing</x:v>
      </x:c>
      <x:c r="D172" s="14" t="str">
        <x:v>ja</x:v>
      </x:c>
      <x:c r="E172" s="14" t="str">
        <x:v>別名</x:v>
      </x:c>
    </x:row>
    <x:row r="173" ht="30" customHeight="1">
      <x:c r="A173" s="14" t="str">
        <x:v>alias-0219</x:v>
      </x:c>
      <x:c r="B173" s="14" t="str">
        <x:v>term-f5d0f6653494</x:v>
      </x:c>
      <x:c r="C173" s="14" t="str">
        <x:v>élevage biologique</x:v>
      </x:c>
      <x:c r="D173" s="14" t="str">
        <x:v>fr</x:v>
      </x:c>
      <x:c r="E173" s="14" t="str">
        <x:v>原語・訳語</x:v>
      </x:c>
    </x:row>
    <x:row r="174" ht="30" customHeight="1">
      <x:c r="A174" s="14" t="str">
        <x:v>alias-0022</x:v>
      </x:c>
      <x:c r="B174" s="14" t="str">
        <x:v>term-18166cb03e25</x:v>
      </x:c>
      <x:c r="C174" s="14" t="str">
        <x:v>noble rot</x:v>
      </x:c>
      <x:c r="D174" s="14" t="str">
        <x:v>en</x:v>
      </x:c>
      <x:c r="E174" s="14" t="str">
        <x:v>原語・訳語</x:v>
      </x:c>
    </x:row>
    <x:row r="175" ht="30" customHeight="1">
      <x:c r="A175" s="14" t="str">
        <x:v>alias-0023</x:v>
      </x:c>
      <x:c r="B175" s="14" t="str">
        <x:v>term-18166cb03e25</x:v>
      </x:c>
      <x:c r="C175" s="14" t="str">
        <x:v>pourriture noble</x:v>
      </x:c>
      <x:c r="D175" s="14" t="str">
        <x:v>fr</x:v>
      </x:c>
      <x:c r="E175" s="14" t="str">
        <x:v>原語・訳語</x:v>
      </x:c>
    </x:row>
    <x:row r="176" ht="30" customHeight="1">
      <x:c r="A176" s="14" t="str">
        <x:v>alias-0024</x:v>
      </x:c>
      <x:c r="B176" s="14" t="str">
        <x:v>term-18166cb03e25</x:v>
      </x:c>
      <x:c r="C176" s="14" t="str">
        <x:v>ノーブル・ロット</x:v>
      </x:c>
      <x:c r="D176" s="14" t="str">
        <x:v>ja</x:v>
      </x:c>
      <x:c r="E176" s="14" t="str">
        <x:v>別名</x:v>
      </x:c>
    </x:row>
    <x:row r="177" ht="30" customHeight="1">
      <x:c r="A177" s="14" t="str">
        <x:v>alias-0021</x:v>
      </x:c>
      <x:c r="B177" s="14" t="str">
        <x:v>term-18166cb03e25</x:v>
      </x:c>
      <x:c r="C177" s="14" t="str">
        <x:v>Botrytis cinerea</x:v>
      </x:c>
      <x:c r="D177" s="14" t="str">
        <x:v>ja</x:v>
      </x:c>
      <x:c r="E177" s="14" t="str">
        <x:v>別名</x:v>
      </x:c>
    </x:row>
    <x:row r="178" ht="30" customHeight="1">
      <x:c r="A178" s="14" t="str">
        <x:v>alias-0096</x:v>
      </x:c>
      <x:c r="B178" s="14" t="str">
        <x:v>term-5bcf973fc8cb</x:v>
      </x:c>
      <x:c r="C178" s="14" t="str">
        <x:v>icewine</x:v>
      </x:c>
      <x:c r="D178" s="14" t="str">
        <x:v>en</x:v>
      </x:c>
      <x:c r="E178" s="14" t="str">
        <x:v>原語・訳語</x:v>
      </x:c>
    </x:row>
    <x:row r="179" ht="30" customHeight="1">
      <x:c r="A179" s="14" t="str">
        <x:v>alias-0097</x:v>
      </x:c>
      <x:c r="B179" s="14" t="str">
        <x:v>term-5bcf973fc8cb</x:v>
      </x:c>
      <x:c r="C179" s="14" t="str">
        <x:v>vin de glace</x:v>
      </x:c>
      <x:c r="D179" s="14" t="str">
        <x:v>fr</x:v>
      </x:c>
      <x:c r="E179" s="14" t="str">
        <x:v>原語・訳語</x:v>
      </x:c>
    </x:row>
    <x:row r="180" ht="30" customHeight="1">
      <x:c r="A180" s="14" t="str">
        <x:v>alias-0098</x:v>
      </x:c>
      <x:c r="B180" s="14" t="str">
        <x:v>term-5bcf973fc8cb</x:v>
      </x:c>
      <x:c r="C180" s="14" t="str">
        <x:v>アイスワイン</x:v>
      </x:c>
      <x:c r="D180" s="14" t="str">
        <x:v>ja</x:v>
      </x:c>
      <x:c r="E180" s="14" t="str">
        <x:v>別名</x:v>
      </x:c>
    </x:row>
    <x:row r="181" ht="30" customHeight="1">
      <x:c r="A181" s="14" t="str">
        <x:v>alias-0095</x:v>
      </x:c>
      <x:c r="B181" s="14" t="str">
        <x:v>term-5bcf973fc8cb</x:v>
      </x:c>
      <x:c r="C181" s="14" t="str">
        <x:v>Eiswein</x:v>
      </x:c>
      <x:c r="D181" s="14" t="str">
        <x:v>ja</x:v>
      </x:c>
      <x:c r="E181" s="14" t="str">
        <x:v>別名</x:v>
      </x:c>
    </x:row>
    <x:row r="182" ht="30" customHeight="1">
      <x:c r="A182" s="14" t="str">
        <x:v>alias-0137</x:v>
      </x:c>
      <x:c r="B182" s="14" t="str">
        <x:v>term-82501ca47011</x:v>
      </x:c>
      <x:c r="C182" s="14" t="str">
        <x:v>canopy management</x:v>
      </x:c>
      <x:c r="D182" s="14" t="str">
        <x:v>ja</x:v>
      </x:c>
      <x:c r="E182" s="14" t="str">
        <x:v>別名</x:v>
      </x:c>
    </x:row>
    <x:row r="183" ht="30" customHeight="1">
      <x:c r="A183" s="14" t="str">
        <x:v>alias-0138</x:v>
      </x:c>
      <x:c r="B183" s="14" t="str">
        <x:v>term-82501ca47011</x:v>
      </x:c>
      <x:c r="C183" s="14" t="str">
        <x:v>gestion de la canopée</x:v>
      </x:c>
      <x:c r="D183" s="14" t="str">
        <x:v>fr</x:v>
      </x:c>
      <x:c r="E183" s="14" t="str">
        <x:v>原語・訳語</x:v>
      </x:c>
    </x:row>
    <x:row r="184" ht="30" customHeight="1">
      <x:c r="A184" s="14" t="str">
        <x:v>alias-0139</x:v>
      </x:c>
      <x:c r="B184" s="14" t="str">
        <x:v>term-82501ca47011</x:v>
      </x:c>
      <x:c r="C184" s="14" t="str">
        <x:v>樹冠管理</x:v>
      </x:c>
      <x:c r="D184" s="14" t="str">
        <x:v>ja</x:v>
      </x:c>
      <x:c r="E184" s="14" t="str">
        <x:v>別名</x:v>
      </x:c>
    </x:row>
    <x:row r="185" ht="30" customHeight="1">
      <x:c r="A185" s="14" t="str">
        <x:v>alias-0090</x:v>
      </x:c>
      <x:c r="B185" s="14" t="str">
        <x:v>term-50fa18b78e2a</x:v>
      </x:c>
      <x:c r="C185" s="14" t="str">
        <x:v>grafting</x:v>
      </x:c>
      <x:c r="D185" s="14" t="str">
        <x:v>ja</x:v>
      </x:c>
      <x:c r="E185" s="14" t="str">
        <x:v>別名</x:v>
      </x:c>
    </x:row>
    <x:row r="186" ht="30" customHeight="1">
      <x:c r="A186" s="14" t="str">
        <x:v>alias-0091</x:v>
      </x:c>
      <x:c r="B186" s="14" t="str">
        <x:v>term-50fa18b78e2a</x:v>
      </x:c>
      <x:c r="C186" s="14" t="str">
        <x:v>greffage</x:v>
      </x:c>
      <x:c r="D186" s="14" t="str">
        <x:v>ja</x:v>
      </x:c>
      <x:c r="E186" s="14" t="str">
        <x:v>別名</x:v>
      </x:c>
    </x:row>
    <x:row r="187" ht="30" customHeight="1">
      <x:c r="A187" s="14" t="str">
        <x:v>alias-0127</x:v>
      </x:c>
      <x:c r="B187" s="14" t="str">
        <x:v>term-7abe0129252e</x:v>
      </x:c>
      <x:c r="C187" s="14" t="str">
        <x:v>rootstock</x:v>
      </x:c>
      <x:c r="D187" s="14" t="str">
        <x:v>ja</x:v>
      </x:c>
      <x:c r="E187" s="14" t="str">
        <x:v>別名</x:v>
      </x:c>
    </x:row>
    <x:row r="188" ht="30" customHeight="1">
      <x:c r="A188" s="14" t="str">
        <x:v>alias-0126</x:v>
      </x:c>
      <x:c r="B188" s="14" t="str">
        <x:v>term-7abe0129252e</x:v>
      </x:c>
      <x:c r="C188" s="14" t="str">
        <x:v>porte-greffe</x:v>
      </x:c>
      <x:c r="D188" s="14" t="str">
        <x:v>ja</x:v>
      </x:c>
      <x:c r="E188" s="14" t="str">
        <x:v>別名</x:v>
      </x:c>
    </x:row>
    <x:row r="189" ht="30" customHeight="1">
      <x:c r="A189" s="14" t="str">
        <x:v>alias-0051</x:v>
      </x:c>
      <x:c r="B189" s="14" t="str">
        <x:v>term-2f0889ce5ac4</x:v>
      </x:c>
      <x:c r="C189" s="14" t="str">
        <x:v>phylloxera</x:v>
      </x:c>
      <x:c r="D189" s="14" t="str">
        <x:v>ja</x:v>
      </x:c>
      <x:c r="E189" s="14" t="str">
        <x:v>別名</x:v>
      </x:c>
    </x:row>
    <x:row r="190" ht="30" customHeight="1">
      <x:c r="A190" s="14" t="str">
        <x:v>alias-0052</x:v>
      </x:c>
      <x:c r="B190" s="14" t="str">
        <x:v>term-2f0889ce5ac4</x:v>
      </x:c>
      <x:c r="C190" s="14" t="str">
        <x:v>phylloxéra</x:v>
      </x:c>
      <x:c r="D190" s="14" t="str">
        <x:v>fr</x:v>
      </x:c>
      <x:c r="E190" s="14" t="str">
        <x:v>原語・訳語</x:v>
      </x:c>
    </x:row>
    <x:row r="191" ht="30" customHeight="1">
      <x:c r="A191" s="14" t="str">
        <x:v>alias-0093</x:v>
      </x:c>
      <x:c r="B191" s="14" t="str">
        <x:v>term-5a3bc330eab8</x:v>
      </x:c>
      <x:c r="C191" s="14" t="str">
        <x:v>irrigation</x:v>
      </x:c>
      <x:c r="D191" s="14" t="str">
        <x:v>ja</x:v>
      </x:c>
      <x:c r="E191" s="14" t="str">
        <x:v>別名</x:v>
      </x:c>
    </x:row>
    <x:row r="192" ht="30" customHeight="1">
      <x:c r="A192" s="14" t="str">
        <x:v>alias-0094</x:v>
      </x:c>
      <x:c r="B192" s="14" t="str">
        <x:v>term-5a3bc330eab8</x:v>
      </x:c>
      <x:c r="C192" s="14" t="str">
        <x:v>かんがい</x:v>
      </x:c>
      <x:c r="D192" s="14" t="str">
        <x:v>ja</x:v>
      </x:c>
      <x:c r="E192" s="14" t="str">
        <x:v>別名</x:v>
      </x:c>
    </x:row>
    <x:row r="193" ht="30" customHeight="1">
      <x:c r="A193" s="14" t="str">
        <x:v>alias-0222</x:v>
      </x:c>
      <x:c r="B193" s="14" t="str">
        <x:v>term-ffef96d8d1c5</x:v>
      </x:c>
      <x:c r="C193" s="14" t="str">
        <x:v>green harvest</x:v>
      </x:c>
      <x:c r="D193" s="14" t="str">
        <x:v>en</x:v>
      </x:c>
      <x:c r="E193" s="14" t="str">
        <x:v>原語・訳語</x:v>
      </x:c>
    </x:row>
    <x:row r="194" ht="30" customHeight="1">
      <x:c r="A194" s="14" t="str">
        <x:v>alias-0223</x:v>
      </x:c>
      <x:c r="B194" s="14" t="str">
        <x:v>term-ffef96d8d1c5</x:v>
      </x:c>
      <x:c r="C194" s="14" t="str">
        <x:v>vendange en vert</x:v>
      </x:c>
      <x:c r="D194" s="14" t="str">
        <x:v>ja</x:v>
      </x:c>
      <x:c r="E194" s="14" t="str">
        <x:v>別名</x:v>
      </x:c>
    </x:row>
    <x:row r="195" ht="30" customHeight="1">
      <x:c r="A195" s="14" t="str">
        <x:v>alias-0224</x:v>
      </x:c>
      <x:c r="B195" s="14" t="str">
        <x:v>term-ffef96d8d1c5</x:v>
      </x:c>
      <x:c r="C195" s="14" t="str">
        <x:v>摘房</x:v>
      </x:c>
      <x:c r="D195" s="14" t="str">
        <x:v>ja</x:v>
      </x:c>
      <x:c r="E195" s="14" t="str">
        <x:v>別名</x:v>
      </x:c>
    </x:row>
    <x:row r="196" ht="30" customHeight="1">
      <x:c r="A196" s="14" t="str">
        <x:v>alias-0069</x:v>
      </x:c>
      <x:c r="B196" s="14" t="str">
        <x:v>term-3cf841a452d4</x:v>
      </x:c>
      <x:c r="C196" s="14" t="str">
        <x:v>vertical shoot positioning</x:v>
      </x:c>
      <x:c r="D196" s="14" t="str">
        <x:v>en</x:v>
      </x:c>
      <x:c r="E196" s="14" t="str">
        <x:v>原語・訳語</x:v>
      </x:c>
    </x:row>
    <x:row r="197" ht="30" customHeight="1">
      <x:c r="A197" s="14" t="str">
        <x:v>alias-0068</x:v>
      </x:c>
      <x:c r="B197" s="14" t="str">
        <x:v>term-3cf841a452d4</x:v>
      </x:c>
      <x:c r="C197" s="14" t="str">
        <x:v>palissage vertical</x:v>
      </x:c>
      <x:c r="D197" s="14" t="str">
        <x:v>fr</x:v>
      </x:c>
      <x:c r="E197" s="14" t="str">
        <x:v>原語・訳語</x:v>
      </x:c>
    </x:row>
    <x:row r="198" ht="30" customHeight="1">
      <x:c r="A198" s="14" t="str">
        <x:v>alias-0070</x:v>
      </x:c>
      <x:c r="B198" s="14" t="str">
        <x:v>term-3cf841a452d4</x:v>
      </x:c>
      <x:c r="C198" s="14" t="str">
        <x:v>垂直シュート・ポジショニング</x:v>
      </x:c>
      <x:c r="D198" s="14" t="str">
        <x:v>ja</x:v>
      </x:c>
      <x:c r="E198" s="14" t="str">
        <x:v>別名</x:v>
      </x:c>
    </x:row>
    <x:row r="199" ht="30" customHeight="1">
      <x:c r="A199" s="14" t="str">
        <x:v>alias-0103</x:v>
      </x:c>
      <x:c r="B199" s="14" t="str">
        <x:v>term-62fa6d77a555</x:v>
      </x:c>
      <x:c r="C199" s="14" t="str">
        <x:v>Guyot training</x:v>
      </x:c>
      <x:c r="D199" s="14" t="str">
        <x:v>en</x:v>
      </x:c>
      <x:c r="E199" s="14" t="str">
        <x:v>原語・訳語</x:v>
      </x:c>
    </x:row>
    <x:row r="200" ht="30" customHeight="1">
      <x:c r="A200" s="14" t="str">
        <x:v>alias-0104</x:v>
      </x:c>
      <x:c r="B200" s="14" t="str">
        <x:v>term-62fa6d77a555</x:v>
      </x:c>
      <x:c r="C200" s="14" t="str">
        <x:v>taille Guyot</x:v>
      </x:c>
      <x:c r="D200" s="14" t="str">
        <x:v>fr</x:v>
      </x:c>
      <x:c r="E200" s="14" t="str">
        <x:v>原語・訳語</x:v>
      </x:c>
    </x:row>
    <x:row r="201" ht="30" customHeight="1">
      <x:c r="A201" s="14" t="str">
        <x:v>alias-0105</x:v>
      </x:c>
      <x:c r="B201" s="14" t="str">
        <x:v>term-62fa6d77a555</x:v>
      </x:c>
      <x:c r="C201" s="14" t="str">
        <x:v>ギュイヨ</x:v>
      </x:c>
      <x:c r="D201" s="14" t="str">
        <x:v>ja</x:v>
      </x:c>
      <x:c r="E201" s="14" t="str">
        <x:v>別名</x:v>
      </x:c>
    </x:row>
    <x:row r="202" ht="30" customHeight="1">
      <x:c r="A202" s="14" t="str">
        <x:v>alias-0102</x:v>
      </x:c>
      <x:c r="B202" s="14" t="str">
        <x:v>term-62fa6d77a555</x:v>
      </x:c>
      <x:c r="C202" s="14" t="str">
        <x:v>Guyot</x:v>
      </x:c>
      <x:c r="D202" s="14" t="str">
        <x:v>ja</x:v>
      </x:c>
      <x:c r="E202" s="14" t="str">
        <x:v>別名</x:v>
      </x:c>
    </x:row>
    <x:row r="203" ht="30" customHeight="1">
      <x:c r="A203" s="14" t="str">
        <x:v>alias-0059</x:v>
      </x:c>
      <x:c r="B203" s="14" t="str">
        <x:v>term-365dbb230a37</x:v>
      </x:c>
      <x:c r="C203" s="14" t="str">
        <x:v>cordon training</x:v>
      </x:c>
      <x:c r="D203" s="14" t="str">
        <x:v>en</x:v>
      </x:c>
      <x:c r="E203" s="14" t="str">
        <x:v>原語・訳語</x:v>
      </x:c>
    </x:row>
    <x:row r="204" ht="30" customHeight="1">
      <x:c r="A204" s="14" t="str">
        <x:v>alias-0058</x:v>
      </x:c>
      <x:c r="B204" s="14" t="str">
        <x:v>term-365dbb230a37</x:v>
      </x:c>
      <x:c r="C204" s="14" t="str">
        <x:v>cordon de Royat</x:v>
      </x:c>
      <x:c r="D204" s="14" t="str">
        <x:v>ja</x:v>
      </x:c>
      <x:c r="E204" s="14" t="str">
        <x:v>別名</x:v>
      </x:c>
    </x:row>
    <x:row r="205" ht="30" customHeight="1">
      <x:c r="A205" s="14" t="str">
        <x:v>alias-0099</x:v>
      </x:c>
      <x:c r="B205" s="14" t="str">
        <x:v>term-60d78e669912</x:v>
      </x:c>
      <x:c r="C205" s="14" t="str">
        <x:v>veraison</x:v>
      </x:c>
      <x:c r="D205" s="14" t="str">
        <x:v>en</x:v>
      </x:c>
      <x:c r="E205" s="14" t="str">
        <x:v>原語・訳語</x:v>
      </x:c>
    </x:row>
    <x:row r="206" ht="30" customHeight="1">
      <x:c r="A206" s="14" t="str">
        <x:v>alias-0100</x:v>
      </x:c>
      <x:c r="B206" s="14" t="str">
        <x:v>term-60d78e669912</x:v>
      </x:c>
      <x:c r="C206" s="14" t="str">
        <x:v>véraison</x:v>
      </x:c>
      <x:c r="D206" s="14" t="str">
        <x:v>ja</x:v>
      </x:c>
      <x:c r="E206" s="14" t="str">
        <x:v>別名</x:v>
      </x:c>
    </x:row>
    <x:row r="207" ht="30" customHeight="1">
      <x:c r="A207" s="14" t="str">
        <x:v>alias-0101</x:v>
      </x:c>
      <x:c r="B207" s="14" t="str">
        <x:v>term-60d78e669912</x:v>
      </x:c>
      <x:c r="C207" s="14" t="str">
        <x:v>着色期</x:v>
      </x:c>
      <x:c r="D207" s="14" t="str">
        <x:v>ja</x:v>
      </x:c>
      <x:c r="E207" s="14" t="str">
        <x:v>別名</x:v>
      </x:c>
    </x:row>
    <x:row r="208" ht="30" customHeight="1">
      <x:c r="A208" s="14" t="str">
        <x:v>alias-0086</x:v>
      </x:c>
      <x:c r="B208" s="14" t="str">
        <x:v>term-4da73545bddc</x:v>
      </x:c>
      <x:c r="C208" s="14" t="str">
        <x:v>budburst</x:v>
      </x:c>
      <x:c r="D208" s="14" t="str">
        <x:v>en</x:v>
      </x:c>
      <x:c r="E208" s="14" t="str">
        <x:v>原語・訳語</x:v>
      </x:c>
    </x:row>
    <x:row r="209" ht="30" customHeight="1">
      <x:c r="A209" s="14" t="str">
        <x:v>alias-0087</x:v>
      </x:c>
      <x:c r="B209" s="14" t="str">
        <x:v>term-4da73545bddc</x:v>
      </x:c>
      <x:c r="C209" s="14" t="str">
        <x:v>débourrement</x:v>
      </x:c>
      <x:c r="D209" s="14" t="str">
        <x:v>fr</x:v>
      </x:c>
      <x:c r="E209" s="14" t="str">
        <x:v>原語・訳語</x:v>
      </x:c>
    </x:row>
    <x:row r="210" ht="30" customHeight="1">
      <x:c r="A210" s="14" t="str">
        <x:v>alias-0088</x:v>
      </x:c>
      <x:c r="B210" s="14" t="str">
        <x:v>term-4da73545bddc</x:v>
      </x:c>
      <x:c r="C210" s="14" t="str">
        <x:v>芽吹き</x:v>
      </x:c>
      <x:c r="D210" s="14" t="str">
        <x:v>ja</x:v>
      </x:c>
      <x:c r="E210" s="14" t="str">
        <x:v>別名</x:v>
      </x:c>
    </x:row>
    <x:row r="211" ht="30" customHeight="1">
      <x:c r="A211" s="14" t="str">
        <x:v>alias-0085</x:v>
      </x:c>
      <x:c r="B211" s="14" t="str">
        <x:v>term-4da73545bddc</x:v>
      </x:c>
      <x:c r="C211" s="14" t="str">
        <x:v>budbreak</x:v>
      </x:c>
      <x:c r="D211" s="14" t="str">
        <x:v>ja</x:v>
      </x:c>
      <x:c r="E211" s="14" t="str">
        <x:v>別名</x:v>
      </x:c>
    </x:row>
    <x:row r="212" ht="30" customHeight="1">
      <x:c r="A212" s="14" t="str">
        <x:v>alias-0122</x:v>
      </x:c>
      <x:c r="B212" s="14" t="str">
        <x:v>term-76e451fceaa3</x:v>
      </x:c>
      <x:c r="C212" s="14" t="str">
        <x:v>fruit set</x:v>
      </x:c>
      <x:c r="D212" s="14" t="str">
        <x:v>ja</x:v>
      </x:c>
      <x:c r="E212" s="14" t="str">
        <x:v>別名</x:v>
      </x:c>
    </x:row>
    <x:row r="213" ht="30" customHeight="1">
      <x:c r="A213" s="14" t="str">
        <x:v>alias-0123</x:v>
      </x:c>
      <x:c r="B213" s="14" t="str">
        <x:v>term-76e451fceaa3</x:v>
      </x:c>
      <x:c r="C213" s="14" t="str">
        <x:v>nouaison</x:v>
      </x:c>
      <x:c r="D213" s="14" t="str">
        <x:v>ja</x:v>
      </x:c>
      <x:c r="E213" s="14" t="str">
        <x:v>別名</x:v>
      </x:c>
    </x:row>
    <x:row r="214" ht="30" customHeight="1">
      <x:c r="A214" s="14" t="str">
        <x:v>alias-0106</x:v>
      </x:c>
      <x:c r="B214" s="14" t="str">
        <x:v>term-6310757b6a06</x:v>
      </x:c>
      <x:c r="C214" s="14" t="str">
        <x:v>coulure</x:v>
      </x:c>
      <x:c r="D214" s="14" t="str">
        <x:v>ja</x:v>
      </x:c>
      <x:c r="E214" s="14" t="str">
        <x:v>別名</x:v>
      </x:c>
    </x:row>
    <x:row r="215" ht="30" customHeight="1">
      <x:c r="A215" s="14" t="str">
        <x:v>alias-0025</x:v>
      </x:c>
      <x:c r="B215" s="14" t="str">
        <x:v>term-194066242053</x:v>
      </x:c>
      <x:c r="C215" s="14" t="str">
        <x:v>millerandage</x:v>
      </x:c>
      <x:c r="D215" s="14" t="str">
        <x:v>ja</x:v>
      </x:c>
      <x:c r="E215" s="14" t="str">
        <x:v>別名</x:v>
      </x:c>
    </x:row>
    <x:row r="216" ht="30" customHeight="1">
      <x:c r="A216" s="14" t="str">
        <x:v>alias-0046</x:v>
      </x:c>
      <x:c r="B216" s="14" t="str">
        <x:v>term-2462daec884e</x:v>
      </x:c>
      <x:c r="C216" s="14" t="str">
        <x:v>diurnal range</x:v>
      </x:c>
      <x:c r="D216" s="14" t="str">
        <x:v>en</x:v>
      </x:c>
      <x:c r="E216" s="14" t="str">
        <x:v>原語・訳語</x:v>
      </x:c>
    </x:row>
    <x:row r="217" ht="30" customHeight="1">
      <x:c r="A217" s="14" t="str">
        <x:v>alias-0045</x:v>
      </x:c>
      <x:c r="B217" s="14" t="str">
        <x:v>term-2462daec884e</x:v>
      </x:c>
      <x:c r="C217" s="14" t="str">
        <x:v>amplitude thermique diurne</x:v>
      </x:c>
      <x:c r="D217" s="14" t="str">
        <x:v>fr</x:v>
      </x:c>
      <x:c r="E217" s="14" t="str">
        <x:v>原語・訳語</x:v>
      </x:c>
    </x:row>
    <x:row r="218" ht="30" customHeight="1">
      <x:c r="A218" s="14" t="str">
        <x:v>alias-0047</x:v>
      </x:c>
      <x:c r="B218" s="14" t="str">
        <x:v>term-2462daec884e</x:v>
      </x:c>
      <x:c r="C218" s="14" t="str">
        <x:v>昼夜温度差</x:v>
      </x:c>
      <x:c r="D218" s="14" t="str">
        <x:v>ja</x:v>
      </x:c>
      <x:c r="E218" s="14" t="str">
        <x:v>別名</x:v>
      </x:c>
    </x:row>
    <x:row r="219" ht="30" customHeight="1">
      <x:c r="A219" s="14" t="str">
        <x:v>alias-0110</x:v>
      </x:c>
      <x:c r="B219" s="14" t="str">
        <x:v>term-6803a79e33e0</x:v>
      </x:c>
      <x:c r="C219" s="14" t="str">
        <x:v>continental climate</x:v>
      </x:c>
      <x:c r="D219" s="14" t="str">
        <x:v>ja</x:v>
      </x:c>
      <x:c r="E219" s="14" t="str">
        <x:v>別名</x:v>
      </x:c>
    </x:row>
    <x:row r="220" ht="30" customHeight="1">
      <x:c r="A220" s="14" t="str">
        <x:v>alias-0109</x:v>
      </x:c>
      <x:c r="B220" s="14" t="str">
        <x:v>term-6803a79e33e0</x:v>
      </x:c>
      <x:c r="C220" s="14" t="str">
        <x:v>climat continental</x:v>
      </x:c>
      <x:c r="D220" s="14" t="str">
        <x:v>fr</x:v>
      </x:c>
      <x:c r="E220" s="14" t="str">
        <x:v>原語・訳語</x:v>
      </x:c>
    </x:row>
    <x:row r="221" ht="30" customHeight="1">
      <x:c r="A221" s="14" t="str">
        <x:v>alias-0116</x:v>
      </x:c>
      <x:c r="B221" s="14" t="str">
        <x:v>term-71cdcab321fd</x:v>
      </x:c>
      <x:c r="C221" s="14" t="str">
        <x:v>maritime climate</x:v>
      </x:c>
      <x:c r="D221" s="14" t="str">
        <x:v>ja</x:v>
      </x:c>
      <x:c r="E221" s="14" t="str">
        <x:v>別名</x:v>
      </x:c>
    </x:row>
    <x:row r="222" ht="30" customHeight="1">
      <x:c r="A222" s="14" t="str">
        <x:v>alias-0115</x:v>
      </x:c>
      <x:c r="B222" s="14" t="str">
        <x:v>term-71cdcab321fd</x:v>
      </x:c>
      <x:c r="C222" s="14" t="str">
        <x:v>climat océanique</x:v>
      </x:c>
      <x:c r="D222" s="14" t="str">
        <x:v>fr</x:v>
      </x:c>
      <x:c r="E222" s="14" t="str">
        <x:v>原語・訳語</x:v>
      </x:c>
    </x:row>
    <x:row r="223" ht="30" customHeight="1">
      <x:c r="A223" s="14" t="str">
        <x:v>alias-0117</x:v>
      </x:c>
      <x:c r="B223" s="14" t="str">
        <x:v>term-71cdcab321fd</x:v>
      </x:c>
      <x:c r="C223" s="14" t="str">
        <x:v>海洋性</x:v>
      </x:c>
      <x:c r="D223" s="14" t="str">
        <x:v>ja</x:v>
      </x:c>
      <x:c r="E223" s="14" t="str">
        <x:v>別名</x:v>
      </x:c>
    </x:row>
    <x:row r="224" ht="30" customHeight="1">
      <x:c r="A224" s="14" t="str">
        <x:v>alias-0004</x:v>
      </x:c>
      <x:c r="B224" s="14" t="str">
        <x:v>term-058c62d3df55</x:v>
      </x:c>
      <x:c r="C224" s="14" t="str">
        <x:v>Mediterranean climate</x:v>
      </x:c>
      <x:c r="D224" s="14" t="str">
        <x:v>ja</x:v>
      </x:c>
      <x:c r="E224" s="14" t="str">
        <x:v>別名</x:v>
      </x:c>
    </x:row>
    <x:row r="225" ht="30" customHeight="1">
      <x:c r="A225" s="15" t="str">
        <x:v>alias-0005</x:v>
      </x:c>
      <x:c r="B225" s="15" t="str">
        <x:v>term-058c62d3df55</x:v>
      </x:c>
      <x:c r="C225" s="15" t="str">
        <x:v>climat méditerranéen</x:v>
      </x:c>
      <x:c r="D225" s="15" t="str">
        <x:v>fr</x:v>
      </x:c>
      <x:c r="E225" s="15" t="str">
        <x:v>原語・訳語</x:v>
      </x:c>
    </x:row>
  </x:sheetData>
  <x:pageMargins left="0.7" right="0.7" top="0.75" bottom="0.75" header="0.3" footer="0.3"/>
  <x:tableParts count="1">
    <x:tablePart xmlns:r="http://schemas.openxmlformats.org/officeDocument/2006/relationships" r:id="Rdc09de4beded4e9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34" hidden="0" customWidth="1"/>
    <x:col min="4" max="4" width="38" hidden="0" customWidth="1"/>
    <x:col min="5" max="5" width="38" hidden="0" customWidth="1"/>
    <x:col min="6" max="6" width="58" hidden="0" customWidth="1"/>
    <x:col min="7" max="7" width="22" hidden="0" customWidth="1"/>
    <x:col min="8" max="8" width="28" hidden="0" customWidth="1"/>
  </x:cols>
  <x:sheetData>
    <x:row r="1" ht="36" customHeight="1">
      <x:c r="A1" s="5" t="str">
        <x:v>system_id</x:v>
      </x:c>
      <x:c r="B1" s="5" t="str">
        <x:v>地域</x:v>
      </x:c>
      <x:c r="C1" s="5" t="str">
        <x:v>日本語名</x:v>
      </x:c>
      <x:c r="D1" s="5" t="str">
        <x:v>English</x:v>
      </x:c>
      <x:c r="E1" s="5" t="str">
        <x:v>Français</x:v>
      </x:c>
      <x:c r="F1" s="5" t="str">
        <x:v>概要</x:v>
      </x:c>
      <x:c r="G1" s="5" t="str">
        <x:v>基準日</x:v>
      </x:c>
      <x:c r="H1" s="5" t="str">
        <x:v>source_id</x:v>
      </x:c>
    </x:row>
    <x:row r="2" ht="30" customHeight="1">
      <x:c r="A2" s="13" t="str">
        <x:v>bordeaux_1855_medoc</x:v>
      </x:c>
      <x:c r="B2" s="13" t="str">
        <x:v>ボルドー</x:v>
      </x:c>
      <x:c r="C2" s="13" t="str">
        <x:v>1855年メドック格付け</x:v>
      </x:c>
      <x:c r="D2" s="13" t="str">
        <x:v>1855 Classification — Médoc</x:v>
      </x:c>
      <x:c r="E2" s="13" t="str">
        <x:v>Classement de 1855 — Médoc</x:v>
      </x:c>
      <x:c r="F2" s="13" t="str">
        <x:v>シャトーを第1級から第5級に区分する歴史的格付け。</x:v>
      </x:c>
      <x:c r="G2" s="13" t="str">
        <x:v>1855</x:v>
      </x:c>
      <x:c r="H2" s="13" t="str">
        <x:v>bordeaux_1855_official</x:v>
      </x:c>
    </x:row>
    <x:row r="3" ht="30" customHeight="1">
      <x:c r="A3" s="14" t="str">
        <x:v>bordeaux_1855_sauternes</x:v>
      </x:c>
      <x:c r="B3" s="14" t="str">
        <x:v>ボルドー</x:v>
      </x:c>
      <x:c r="C3" s="14" t="str">
        <x:v>1855年ソーテルヌ／バルサック格付け</x:v>
      </x:c>
      <x:c r="D3" s="14" t="str">
        <x:v>1855 Classification — Sauternes and Barsac</x:v>
      </x:c>
      <x:c r="E3" s="14" t="str">
        <x:v>Classement de 1855 — Sauternes et Barsac</x:v>
      </x:c>
      <x:c r="F3" s="14" t="str">
        <x:v>甘口ワインのシャトーを特別第1級、第1級、第2級に区分する格付け。</x:v>
      </x:c>
      <x:c r="G3" s="14" t="str">
        <x:v>1855</x:v>
      </x:c>
      <x:c r="H3" s="14" t="str">
        <x:v>bordeaux_1855_official</x:v>
      </x:c>
    </x:row>
    <x:row r="4" ht="30" customHeight="1">
      <x:c r="A4" s="14" t="str">
        <x:v>bordeaux_graves</x:v>
      </x:c>
      <x:c r="B4" s="14" t="str">
        <x:v>ボルドー</x:v>
      </x:c>
      <x:c r="C4" s="14" t="str">
        <x:v>グラーヴ格付け</x:v>
      </x:c>
      <x:c r="D4" s="14" t="str">
        <x:v>Graves Classification</x:v>
      </x:c>
      <x:c r="E4" s="14" t="str">
        <x:v>Classement des Graves</x:v>
      </x:c>
      <x:c r="F4" s="14" t="str">
        <x:v>現在はペサック・レオニャンに属する格付けシャトーの一覧。赤・白の対象を区別する。</x:v>
      </x:c>
      <x:c r="G4" s="14" t="str">
        <x:v>1959</x:v>
      </x:c>
      <x:c r="H4" s="14" t="str">
        <x:v>bordeaux_graves_official</x:v>
      </x:c>
    </x:row>
    <x:row r="5" ht="30" customHeight="1">
      <x:c r="A5" s="14" t="str">
        <x:v>bordeaux_saint_emilion_2022</x:v>
      </x:c>
      <x:c r="B5" s="14" t="str">
        <x:v>ボルドー</x:v>
      </x:c>
      <x:c r="C5" s="14" t="str">
        <x:v>サンテミリオン格付け 2022</x:v>
      </x:c>
      <x:c r="D5" s="14" t="str">
        <x:v>Saint-Émilion Classification 2022</x:v>
      </x:c>
      <x:c r="E5" s="14" t="str">
        <x:v>Classement de Saint-Émilion 2022</x:v>
      </x:c>
      <x:c r="F5" s="14" t="str">
        <x:v>2022年版のPremiers Grands Crus Classés A／BとGrands Crus Classés。</x:v>
      </x:c>
      <x:c r="G5" s="14" t="str">
        <x:v>2022</x:v>
      </x:c>
      <x:c r="H5" s="14" t="str">
        <x:v>saint_emilion_2022_official</x:v>
      </x:c>
    </x:row>
    <x:row r="6" ht="30" customHeight="1">
      <x:c r="A6" s="14" t="str">
        <x:v>burgundy_grand_cru</x:v>
      </x:c>
      <x:c r="B6" s="14" t="str">
        <x:v>ブルゴーニュ</x:v>
      </x:c>
      <x:c r="C6" s="14" t="str">
        <x:v>グラン・クリュAOC</x:v>
      </x:c>
      <x:c r="D6" s="14" t="str">
        <x:v>Bourgogne Grand Cru AOCs</x:v>
      </x:c>
      <x:c r="E6" s="14" t="str">
        <x:v>AOC Grands Crus de Bourgogne</x:v>
      </x:c>
      <x:c r="F6" s="14" t="str">
        <x:v>ブルゴーニュの33グラン・クリュAOCと対応する村。生産者の格付けではない。</x:v>
      </x:c>
      <x:c r="G6" s="14" t="str">
        <x:v>2026-07-12確認</x:v>
      </x:c>
      <x:c r="H6" s="14" t="str">
        <x:v>bourgogne_aoc_official</x:v>
      </x:c>
    </x:row>
    <x:row r="7" ht="30" customHeight="1">
      <x:c r="A7" s="15" t="str">
        <x:v>champagne_cru_2025</x:v>
      </x:c>
      <x:c r="B7" s="15" t="str">
        <x:v>シャンパーニュ</x:v>
      </x:c>
      <x:c r="C7" s="15" t="str">
        <x:v>Grand Cru／Premier Cru対象村</x:v>
      </x:c>
      <x:c r="D7" s="15" t="str">
        <x:v>Champagne Grand Cru and Premier Cru villages</x:v>
      </x:c>
      <x:c r="E7" s="15" t="str">
        <x:v>Communes Grand Cru et Premier Cru</x:v>
      </x:c>
      <x:c r="F7" s="15" t="str">
        <x:v>2025年のChampagne AOC仕様書に列挙されたGrand Cru 17村とPremier Cru 42村。</x:v>
      </x:c>
      <x:c r="G7" s="15" t="str">
        <x:v>2025-07-31</x:v>
      </x:c>
      <x:c r="H7" s="15" t="str">
        <x:v>champagne_2025_official</x:v>
      </x:c>
    </x:row>
  </x:sheetData>
  <x:pageMargins left="0.7" right="0.7" top="0.75" bottom="0.75" header="0.3" footer="0.3"/>
  <x:tableParts count="1">
    <x:tablePart xmlns:r="http://schemas.openxmlformats.org/officeDocument/2006/relationships" r:id="Raa0753c94d264dd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34" hidden="0" customWidth="1"/>
    <x:col min="4" max="4" width="34" hidden="0" customWidth="1"/>
    <x:col min="5" max="5" width="28" hidden="0" customWidth="1"/>
    <x:col min="6" max="6" width="32" hidden="0" customWidth="1"/>
    <x:col min="7" max="7" width="24" hidden="0" customWidth="1"/>
    <x:col min="8" max="8" width="16" hidden="0" customWidth="1"/>
    <x:col min="9" max="9" width="20" hidden="0" customWidth="1"/>
    <x:col min="10" max="10" width="46" hidden="0" customWidth="1"/>
    <x:col min="11" max="11" width="28" hidden="0" customWidth="1"/>
  </x:cols>
  <x:sheetData>
    <x:row r="1" ht="36" customHeight="1">
      <x:c r="A1" s="5" t="str">
        <x:v>entry_id</x:v>
      </x:c>
      <x:c r="B1" s="5" t="str">
        <x:v>system_id</x:v>
      </x:c>
      <x:c r="C1" s="5" t="str">
        <x:v>日本語名</x:v>
      </x:c>
      <x:c r="D1" s="5" t="str">
        <x:v>原語名</x:v>
      </x:c>
      <x:c r="E1" s="5" t="str">
        <x:v>階級</x:v>
      </x:c>
      <x:c r="F1" s="5" t="str">
        <x:v>村・アペラシオン</x:v>
      </x:c>
      <x:c r="G1" s="5" t="str">
        <x:v>サブリージョン</x:v>
      </x:c>
      <x:c r="H1" s="5" t="str">
        <x:v>対象種別</x:v>
      </x:c>
      <x:c r="I1" s="5" t="str">
        <x:v>term_id</x:v>
      </x:c>
      <x:c r="J1" s="5" t="str">
        <x:v>注記</x:v>
      </x:c>
      <x:c r="K1" s="5" t="str">
        <x:v>source_id</x:v>
      </x:c>
    </x:row>
    <x:row r="2" ht="30" customHeight="1">
      <x:c r="A2" s="13" t="str">
        <x:v>classification-001</x:v>
      </x:c>
      <x:c r="B2" s="13" t="str">
        <x:v>bordeaux_1855_medoc</x:v>
      </x:c>
      <x:c r="C2" s="13" t="str">
        <x:v>Château Lafite-Rothschild</x:v>
      </x:c>
      <x:c r="D2" s="13" t="str">
        <x:v>Château Lafite-Rothschild</x:v>
      </x:c>
      <x:c r="E2" s="13" t="str">
        <x:v>第1級</x:v>
      </x:c>
      <x:c r="F2" s="13" t="str">
        <x:v>Pauillac</x:v>
      </x:c>
      <x:c r="G2" s="13" t="str">
        <x:v>Médoc／Graves</x:v>
      </x:c>
      <x:c r="H2" s="13" t="str">
        <x:v>生産者</x:v>
      </x:c>
      <x:c r="I2" s="13" t="str">
        <x:v>term-f5b984f4cabc</x:v>
      </x:c>
      <x:c r="J2" s="13" t="str"/>
      <x:c r="K2" s="13" t="str">
        <x:v>bordeaux_1855_official</x:v>
      </x:c>
    </x:row>
    <x:row r="3" ht="30" customHeight="1">
      <x:c r="A3" s="14" t="str">
        <x:v>classification-002</x:v>
      </x:c>
      <x:c r="B3" s="14" t="str">
        <x:v>bordeaux_1855_medoc</x:v>
      </x:c>
      <x:c r="C3" s="14" t="str">
        <x:v>Château Latour</x:v>
      </x:c>
      <x:c r="D3" s="14" t="str">
        <x:v>Château Latour</x:v>
      </x:c>
      <x:c r="E3" s="14" t="str">
        <x:v>第1級</x:v>
      </x:c>
      <x:c r="F3" s="14" t="str">
        <x:v>Pauillac</x:v>
      </x:c>
      <x:c r="G3" s="14" t="str">
        <x:v>Médoc／Graves</x:v>
      </x:c>
      <x:c r="H3" s="14" t="str">
        <x:v>生産者</x:v>
      </x:c>
      <x:c r="I3" s="14" t="str">
        <x:v>term-844a9492fcbb</x:v>
      </x:c>
      <x:c r="J3" s="14" t="str"/>
      <x:c r="K3" s="14" t="str">
        <x:v>bordeaux_1855_official</x:v>
      </x:c>
    </x:row>
    <x:row r="4" ht="30" customHeight="1">
      <x:c r="A4" s="14" t="str">
        <x:v>classification-003</x:v>
      </x:c>
      <x:c r="B4" s="14" t="str">
        <x:v>bordeaux_1855_medoc</x:v>
      </x:c>
      <x:c r="C4" s="14" t="str">
        <x:v>Château Margaux</x:v>
      </x:c>
      <x:c r="D4" s="14" t="str">
        <x:v>Château Margaux</x:v>
      </x:c>
      <x:c r="E4" s="14" t="str">
        <x:v>第1級</x:v>
      </x:c>
      <x:c r="F4" s="14" t="str">
        <x:v>Margaux</x:v>
      </x:c>
      <x:c r="G4" s="14" t="str">
        <x:v>Médoc／Graves</x:v>
      </x:c>
      <x:c r="H4" s="14" t="str">
        <x:v>生産者</x:v>
      </x:c>
      <x:c r="I4" s="14" t="str">
        <x:v>term-a65f677bf597</x:v>
      </x:c>
      <x:c r="J4" s="14" t="str"/>
      <x:c r="K4" s="14" t="str">
        <x:v>bordeaux_1855_official</x:v>
      </x:c>
    </x:row>
    <x:row r="5" ht="30" customHeight="1">
      <x:c r="A5" s="14" t="str">
        <x:v>classification-004</x:v>
      </x:c>
      <x:c r="B5" s="14" t="str">
        <x:v>bordeaux_1855_medoc</x:v>
      </x:c>
      <x:c r="C5" s="14" t="str">
        <x:v>Château Haut-Brion</x:v>
      </x:c>
      <x:c r="D5" s="14" t="str">
        <x:v>Château Haut-Brion</x:v>
      </x:c>
      <x:c r="E5" s="14" t="str">
        <x:v>第1級</x:v>
      </x:c>
      <x:c r="F5" s="14" t="str">
        <x:v>Pessac</x:v>
      </x:c>
      <x:c r="G5" s="14" t="str">
        <x:v>Médoc／Graves</x:v>
      </x:c>
      <x:c r="H5" s="14" t="str">
        <x:v>生産者</x:v>
      </x:c>
      <x:c r="I5" s="14" t="str">
        <x:v>term-79d2d1c223fe</x:v>
      </x:c>
      <x:c r="J5" s="14" t="str"/>
      <x:c r="K5" s="14" t="str">
        <x:v>bordeaux_1855_official</x:v>
      </x:c>
    </x:row>
    <x:row r="6" ht="30" customHeight="1">
      <x:c r="A6" s="14" t="str">
        <x:v>classification-005</x:v>
      </x:c>
      <x:c r="B6" s="14" t="str">
        <x:v>bordeaux_1855_medoc</x:v>
      </x:c>
      <x:c r="C6" s="14" t="str">
        <x:v>Château Rauzan-Segla</x:v>
      </x:c>
      <x:c r="D6" s="14" t="str">
        <x:v>Château Rauzan-Segla</x:v>
      </x:c>
      <x:c r="E6" s="14" t="str">
        <x:v>第2級</x:v>
      </x:c>
      <x:c r="F6" s="14" t="str">
        <x:v>Margaux</x:v>
      </x:c>
      <x:c r="G6" s="14" t="str">
        <x:v>Médoc／Graves</x:v>
      </x:c>
      <x:c r="H6" s="14" t="str">
        <x:v>生産者</x:v>
      </x:c>
      <x:c r="I6" s="14" t="str">
        <x:v>term-4e881ca5a5a7</x:v>
      </x:c>
      <x:c r="J6" s="14" t="str"/>
      <x:c r="K6" s="14" t="str">
        <x:v>bordeaux_1855_official</x:v>
      </x:c>
    </x:row>
    <x:row r="7" ht="30" customHeight="1">
      <x:c r="A7" s="14" t="str">
        <x:v>classification-006</x:v>
      </x:c>
      <x:c r="B7" s="14" t="str">
        <x:v>bordeaux_1855_medoc</x:v>
      </x:c>
      <x:c r="C7" s="14" t="str">
        <x:v>Château Rauzan-Gassies</x:v>
      </x:c>
      <x:c r="D7" s="14" t="str">
        <x:v>Château Rauzan-Gassies</x:v>
      </x:c>
      <x:c r="E7" s="14" t="str">
        <x:v>第2級</x:v>
      </x:c>
      <x:c r="F7" s="14" t="str">
        <x:v>Margaux</x:v>
      </x:c>
      <x:c r="G7" s="14" t="str">
        <x:v>Médoc／Graves</x:v>
      </x:c>
      <x:c r="H7" s="14" t="str">
        <x:v>生産者</x:v>
      </x:c>
      <x:c r="I7" s="14" t="str">
        <x:v>term-392444913402</x:v>
      </x:c>
      <x:c r="J7" s="14" t="str"/>
      <x:c r="K7" s="14" t="str">
        <x:v>bordeaux_1855_official</x:v>
      </x:c>
    </x:row>
    <x:row r="8" ht="30" customHeight="1">
      <x:c r="A8" s="14" t="str">
        <x:v>classification-007</x:v>
      </x:c>
      <x:c r="B8" s="14" t="str">
        <x:v>bordeaux_1855_medoc</x:v>
      </x:c>
      <x:c r="C8" s="14" t="str">
        <x:v>Château Leoville Las Cases</x:v>
      </x:c>
      <x:c r="D8" s="14" t="str">
        <x:v>Château Leoville Las Cases</x:v>
      </x:c>
      <x:c r="E8" s="14" t="str">
        <x:v>第2級</x:v>
      </x:c>
      <x:c r="F8" s="14" t="str">
        <x:v>Saint-Julien</x:v>
      </x:c>
      <x:c r="G8" s="14" t="str">
        <x:v>Médoc／Graves</x:v>
      </x:c>
      <x:c r="H8" s="14" t="str">
        <x:v>生産者</x:v>
      </x:c>
      <x:c r="I8" s="14" t="str">
        <x:v>term-799546bfb7cb</x:v>
      </x:c>
      <x:c r="J8" s="14" t="str"/>
      <x:c r="K8" s="14" t="str">
        <x:v>bordeaux_1855_official</x:v>
      </x:c>
    </x:row>
    <x:row r="9" ht="30" customHeight="1">
      <x:c r="A9" s="14" t="str">
        <x:v>classification-008</x:v>
      </x:c>
      <x:c r="B9" s="14" t="str">
        <x:v>bordeaux_1855_medoc</x:v>
      </x:c>
      <x:c r="C9" s="14" t="str">
        <x:v>Château Leoville-Poyferre</x:v>
      </x:c>
      <x:c r="D9" s="14" t="str">
        <x:v>Château Leoville-Poyferre</x:v>
      </x:c>
      <x:c r="E9" s="14" t="str">
        <x:v>第2級</x:v>
      </x:c>
      <x:c r="F9" s="14" t="str">
        <x:v>Saint-Julien</x:v>
      </x:c>
      <x:c r="G9" s="14" t="str">
        <x:v>Médoc／Graves</x:v>
      </x:c>
      <x:c r="H9" s="14" t="str">
        <x:v>生産者</x:v>
      </x:c>
      <x:c r="I9" s="14" t="str">
        <x:v>term-ddde3dc25f79</x:v>
      </x:c>
      <x:c r="J9" s="14" t="str"/>
      <x:c r="K9" s="14" t="str">
        <x:v>bordeaux_1855_official</x:v>
      </x:c>
    </x:row>
    <x:row r="10" ht="30" customHeight="1">
      <x:c r="A10" s="14" t="str">
        <x:v>classification-009</x:v>
      </x:c>
      <x:c r="B10" s="14" t="str">
        <x:v>bordeaux_1855_medoc</x:v>
      </x:c>
      <x:c r="C10" s="14" t="str">
        <x:v>Château Leoville Barton</x:v>
      </x:c>
      <x:c r="D10" s="14" t="str">
        <x:v>Château Leoville Barton</x:v>
      </x:c>
      <x:c r="E10" s="14" t="str">
        <x:v>第2級</x:v>
      </x:c>
      <x:c r="F10" s="14" t="str">
        <x:v>Saint-Julien</x:v>
      </x:c>
      <x:c r="G10" s="14" t="str">
        <x:v>Médoc／Graves</x:v>
      </x:c>
      <x:c r="H10" s="14" t="str">
        <x:v>生産者</x:v>
      </x:c>
      <x:c r="I10" s="14" t="str">
        <x:v>term-12fce47c0ac3</x:v>
      </x:c>
      <x:c r="J10" s="14" t="str"/>
      <x:c r="K10" s="14" t="str">
        <x:v>bordeaux_1855_official</x:v>
      </x:c>
    </x:row>
    <x:row r="11" ht="30" customHeight="1">
      <x:c r="A11" s="14" t="str">
        <x:v>classification-010</x:v>
      </x:c>
      <x:c r="B11" s="14" t="str">
        <x:v>bordeaux_1855_medoc</x:v>
      </x:c>
      <x:c r="C11" s="14" t="str">
        <x:v>Château Durfort-Vivens</x:v>
      </x:c>
      <x:c r="D11" s="14" t="str">
        <x:v>Château Durfort-Vivens</x:v>
      </x:c>
      <x:c r="E11" s="14" t="str">
        <x:v>第2級</x:v>
      </x:c>
      <x:c r="F11" s="14" t="str">
        <x:v>Margaux</x:v>
      </x:c>
      <x:c r="G11" s="14" t="str">
        <x:v>Médoc／Graves</x:v>
      </x:c>
      <x:c r="H11" s="14" t="str">
        <x:v>生産者</x:v>
      </x:c>
      <x:c r="I11" s="14" t="str">
        <x:v>term-a044aab59d7d</x:v>
      </x:c>
      <x:c r="J11" s="14" t="str"/>
      <x:c r="K11" s="14" t="str">
        <x:v>bordeaux_1855_official</x:v>
      </x:c>
    </x:row>
    <x:row r="12" ht="30" customHeight="1">
      <x:c r="A12" s="14" t="str">
        <x:v>classification-011</x:v>
      </x:c>
      <x:c r="B12" s="14" t="str">
        <x:v>bordeaux_1855_medoc</x:v>
      </x:c>
      <x:c r="C12" s="14" t="str">
        <x:v>Château Gruaud Larose</x:v>
      </x:c>
      <x:c r="D12" s="14" t="str">
        <x:v>Château Gruaud Larose</x:v>
      </x:c>
      <x:c r="E12" s="14" t="str">
        <x:v>第2級</x:v>
      </x:c>
      <x:c r="F12" s="14" t="str">
        <x:v>Saint-Julien</x:v>
      </x:c>
      <x:c r="G12" s="14" t="str">
        <x:v>Médoc／Graves</x:v>
      </x:c>
      <x:c r="H12" s="14" t="str">
        <x:v>生産者</x:v>
      </x:c>
      <x:c r="I12" s="14" t="str">
        <x:v>term-587df26dad0e</x:v>
      </x:c>
      <x:c r="J12" s="14" t="str"/>
      <x:c r="K12" s="14" t="str">
        <x:v>bordeaux_1855_official</x:v>
      </x:c>
    </x:row>
    <x:row r="13" ht="30" customHeight="1">
      <x:c r="A13" s="14" t="str">
        <x:v>classification-012</x:v>
      </x:c>
      <x:c r="B13" s="14" t="str">
        <x:v>bordeaux_1855_medoc</x:v>
      </x:c>
      <x:c r="C13" s="14" t="str">
        <x:v>Château Lascombes</x:v>
      </x:c>
      <x:c r="D13" s="14" t="str">
        <x:v>Château Lascombes</x:v>
      </x:c>
      <x:c r="E13" s="14" t="str">
        <x:v>第2級</x:v>
      </x:c>
      <x:c r="F13" s="14" t="str">
        <x:v>Margaux</x:v>
      </x:c>
      <x:c r="G13" s="14" t="str">
        <x:v>Médoc／Graves</x:v>
      </x:c>
      <x:c r="H13" s="14" t="str">
        <x:v>生産者</x:v>
      </x:c>
      <x:c r="I13" s="14" t="str">
        <x:v>term-1535a8594dd5</x:v>
      </x:c>
      <x:c r="J13" s="14" t="str"/>
      <x:c r="K13" s="14" t="str">
        <x:v>bordeaux_1855_official</x:v>
      </x:c>
    </x:row>
    <x:row r="14" ht="30" customHeight="1">
      <x:c r="A14" s="14" t="str">
        <x:v>classification-013</x:v>
      </x:c>
      <x:c r="B14" s="14" t="str">
        <x:v>bordeaux_1855_medoc</x:v>
      </x:c>
      <x:c r="C14" s="14" t="str">
        <x:v>Château Brane-Cantenac</x:v>
      </x:c>
      <x:c r="D14" s="14" t="str">
        <x:v>Château Brane-Cantenac</x:v>
      </x:c>
      <x:c r="E14" s="14" t="str">
        <x:v>第2級</x:v>
      </x:c>
      <x:c r="F14" s="14" t="str">
        <x:v>Margaux</x:v>
      </x:c>
      <x:c r="G14" s="14" t="str">
        <x:v>Médoc／Graves</x:v>
      </x:c>
      <x:c r="H14" s="14" t="str">
        <x:v>生産者</x:v>
      </x:c>
      <x:c r="I14" s="14" t="str">
        <x:v>term-ed44f40868c8</x:v>
      </x:c>
      <x:c r="J14" s="14" t="str"/>
      <x:c r="K14" s="14" t="str">
        <x:v>bordeaux_1855_official</x:v>
      </x:c>
    </x:row>
    <x:row r="15" ht="30" customHeight="1">
      <x:c r="A15" s="14" t="str">
        <x:v>classification-014</x:v>
      </x:c>
      <x:c r="B15" s="14" t="str">
        <x:v>bordeaux_1855_medoc</x:v>
      </x:c>
      <x:c r="C15" s="14" t="str">
        <x:v>Château Pichon-Baron</x:v>
      </x:c>
      <x:c r="D15" s="14" t="str">
        <x:v>Château Pichon-Baron</x:v>
      </x:c>
      <x:c r="E15" s="14" t="str">
        <x:v>第2級</x:v>
      </x:c>
      <x:c r="F15" s="14" t="str">
        <x:v>Pauillac</x:v>
      </x:c>
      <x:c r="G15" s="14" t="str">
        <x:v>Médoc／Graves</x:v>
      </x:c>
      <x:c r="H15" s="14" t="str">
        <x:v>生産者</x:v>
      </x:c>
      <x:c r="I15" s="14" t="str">
        <x:v>term-67af24c9c81b</x:v>
      </x:c>
      <x:c r="J15" s="14" t="str"/>
      <x:c r="K15" s="14" t="str">
        <x:v>bordeaux_1855_official</x:v>
      </x:c>
    </x:row>
    <x:row r="16" ht="30" customHeight="1">
      <x:c r="A16" s="14" t="str">
        <x:v>classification-015</x:v>
      </x:c>
      <x:c r="B16" s="14" t="str">
        <x:v>bordeaux_1855_medoc</x:v>
      </x:c>
      <x:c r="C16" s="14" t="str">
        <x:v>Château Pichon Longueville Comtesse De Lalande</x:v>
      </x:c>
      <x:c r="D16" s="14" t="str">
        <x:v>Château Pichon Longueville Comtesse De Lalande</x:v>
      </x:c>
      <x:c r="E16" s="14" t="str">
        <x:v>第2級</x:v>
      </x:c>
      <x:c r="F16" s="14" t="str">
        <x:v>Pauillac</x:v>
      </x:c>
      <x:c r="G16" s="14" t="str">
        <x:v>Médoc／Graves</x:v>
      </x:c>
      <x:c r="H16" s="14" t="str">
        <x:v>生産者</x:v>
      </x:c>
      <x:c r="I16" s="14" t="str">
        <x:v>term-57503d730c4c</x:v>
      </x:c>
      <x:c r="J16" s="14" t="str"/>
      <x:c r="K16" s="14" t="str">
        <x:v>bordeaux_1855_official</x:v>
      </x:c>
    </x:row>
    <x:row r="17" ht="30" customHeight="1">
      <x:c r="A17" s="14" t="str">
        <x:v>classification-016</x:v>
      </x:c>
      <x:c r="B17" s="14" t="str">
        <x:v>bordeaux_1855_medoc</x:v>
      </x:c>
      <x:c r="C17" s="14" t="str">
        <x:v>Château Ducru-Beaucaillou</x:v>
      </x:c>
      <x:c r="D17" s="14" t="str">
        <x:v>Château Ducru-Beaucaillou</x:v>
      </x:c>
      <x:c r="E17" s="14" t="str">
        <x:v>第2級</x:v>
      </x:c>
      <x:c r="F17" s="14" t="str">
        <x:v>Saint-Julien</x:v>
      </x:c>
      <x:c r="G17" s="14" t="str">
        <x:v>Médoc／Graves</x:v>
      </x:c>
      <x:c r="H17" s="14" t="str">
        <x:v>生産者</x:v>
      </x:c>
      <x:c r="I17" s="14" t="str">
        <x:v>term-9492e0605d9a</x:v>
      </x:c>
      <x:c r="J17" s="14" t="str"/>
      <x:c r="K17" s="14" t="str">
        <x:v>bordeaux_1855_official</x:v>
      </x:c>
    </x:row>
    <x:row r="18" ht="30" customHeight="1">
      <x:c r="A18" s="14" t="str">
        <x:v>classification-017</x:v>
      </x:c>
      <x:c r="B18" s="14" t="str">
        <x:v>bordeaux_1855_medoc</x:v>
      </x:c>
      <x:c r="C18" s="14" t="str">
        <x:v>Château Cos D’Estournel</x:v>
      </x:c>
      <x:c r="D18" s="14" t="str">
        <x:v>Château Cos D’Estournel</x:v>
      </x:c>
      <x:c r="E18" s="14" t="str">
        <x:v>第2級</x:v>
      </x:c>
      <x:c r="F18" s="14" t="str">
        <x:v>Saint-Estèphe</x:v>
      </x:c>
      <x:c r="G18" s="14" t="str">
        <x:v>Médoc／Graves</x:v>
      </x:c>
      <x:c r="H18" s="14" t="str">
        <x:v>生産者</x:v>
      </x:c>
      <x:c r="I18" s="14" t="str">
        <x:v>term-729fc0f00dc1</x:v>
      </x:c>
      <x:c r="J18" s="14" t="str"/>
      <x:c r="K18" s="14" t="str">
        <x:v>bordeaux_1855_official</x:v>
      </x:c>
    </x:row>
    <x:row r="19" ht="30" customHeight="1">
      <x:c r="A19" s="14" t="str">
        <x:v>classification-018</x:v>
      </x:c>
      <x:c r="B19" s="14" t="str">
        <x:v>bordeaux_1855_medoc</x:v>
      </x:c>
      <x:c r="C19" s="14" t="str">
        <x:v>Château Montrose</x:v>
      </x:c>
      <x:c r="D19" s="14" t="str">
        <x:v>Château Montrose</x:v>
      </x:c>
      <x:c r="E19" s="14" t="str">
        <x:v>第2級</x:v>
      </x:c>
      <x:c r="F19" s="14" t="str">
        <x:v>Saint-Estèphe</x:v>
      </x:c>
      <x:c r="G19" s="14" t="str">
        <x:v>Médoc／Graves</x:v>
      </x:c>
      <x:c r="H19" s="14" t="str">
        <x:v>生産者</x:v>
      </x:c>
      <x:c r="I19" s="14" t="str">
        <x:v>term-a9b639bf2bcb</x:v>
      </x:c>
      <x:c r="J19" s="14" t="str"/>
      <x:c r="K19" s="14" t="str">
        <x:v>bordeaux_1855_official</x:v>
      </x:c>
    </x:row>
    <x:row r="20" ht="30" customHeight="1">
      <x:c r="A20" s="14" t="str">
        <x:v>classification-019</x:v>
      </x:c>
      <x:c r="B20" s="14" t="str">
        <x:v>bordeaux_1855_medoc</x:v>
      </x:c>
      <x:c r="C20" s="14" t="str">
        <x:v>Château Kirwan</x:v>
      </x:c>
      <x:c r="D20" s="14" t="str">
        <x:v>Château Kirwan</x:v>
      </x:c>
      <x:c r="E20" s="14" t="str">
        <x:v>第3級</x:v>
      </x:c>
      <x:c r="F20" s="14" t="str">
        <x:v>Margaux</x:v>
      </x:c>
      <x:c r="G20" s="14" t="str">
        <x:v>Médoc／Graves</x:v>
      </x:c>
      <x:c r="H20" s="14" t="str">
        <x:v>生産者</x:v>
      </x:c>
      <x:c r="I20" s="14" t="str">
        <x:v>term-0220bb557553</x:v>
      </x:c>
      <x:c r="J20" s="14" t="str"/>
      <x:c r="K20" s="14" t="str">
        <x:v>bordeaux_1855_official</x:v>
      </x:c>
    </x:row>
    <x:row r="21" ht="30" customHeight="1">
      <x:c r="A21" s="14" t="str">
        <x:v>classification-020</x:v>
      </x:c>
      <x:c r="B21" s="14" t="str">
        <x:v>bordeaux_1855_medoc</x:v>
      </x:c>
      <x:c r="C21" s="14" t="str">
        <x:v>Château d’Issan</x:v>
      </x:c>
      <x:c r="D21" s="14" t="str">
        <x:v>Château d’Issan</x:v>
      </x:c>
      <x:c r="E21" s="14" t="str">
        <x:v>第3級</x:v>
      </x:c>
      <x:c r="F21" s="14" t="str">
        <x:v>Margaux</x:v>
      </x:c>
      <x:c r="G21" s="14" t="str">
        <x:v>Médoc／Graves</x:v>
      </x:c>
      <x:c r="H21" s="14" t="str">
        <x:v>生産者</x:v>
      </x:c>
      <x:c r="I21" s="14" t="str">
        <x:v>term-14e298b945c7</x:v>
      </x:c>
      <x:c r="J21" s="14" t="str"/>
      <x:c r="K21" s="14" t="str">
        <x:v>bordeaux_1855_official</x:v>
      </x:c>
    </x:row>
    <x:row r="22" ht="30" customHeight="1">
      <x:c r="A22" s="14" t="str">
        <x:v>classification-021</x:v>
      </x:c>
      <x:c r="B22" s="14" t="str">
        <x:v>bordeaux_1855_medoc</x:v>
      </x:c>
      <x:c r="C22" s="14" t="str">
        <x:v>Château Lagrange</x:v>
      </x:c>
      <x:c r="D22" s="14" t="str">
        <x:v>Château Lagrange</x:v>
      </x:c>
      <x:c r="E22" s="14" t="str">
        <x:v>第3級</x:v>
      </x:c>
      <x:c r="F22" s="14" t="str">
        <x:v>Saint-Julien</x:v>
      </x:c>
      <x:c r="G22" s="14" t="str">
        <x:v>Médoc／Graves</x:v>
      </x:c>
      <x:c r="H22" s="14" t="str">
        <x:v>生産者</x:v>
      </x:c>
      <x:c r="I22" s="14" t="str">
        <x:v>term-ce54f532f9f7</x:v>
      </x:c>
      <x:c r="J22" s="14" t="str"/>
      <x:c r="K22" s="14" t="str">
        <x:v>bordeaux_1855_official</x:v>
      </x:c>
    </x:row>
    <x:row r="23" ht="30" customHeight="1">
      <x:c r="A23" s="14" t="str">
        <x:v>classification-022</x:v>
      </x:c>
      <x:c r="B23" s="14" t="str">
        <x:v>bordeaux_1855_medoc</x:v>
      </x:c>
      <x:c r="C23" s="14" t="str">
        <x:v>Château Langoa Barton</x:v>
      </x:c>
      <x:c r="D23" s="14" t="str">
        <x:v>Château Langoa Barton</x:v>
      </x:c>
      <x:c r="E23" s="14" t="str">
        <x:v>第3級</x:v>
      </x:c>
      <x:c r="F23" s="14" t="str">
        <x:v>Saint-Julien</x:v>
      </x:c>
      <x:c r="G23" s="14" t="str">
        <x:v>Médoc／Graves</x:v>
      </x:c>
      <x:c r="H23" s="14" t="str">
        <x:v>生産者</x:v>
      </x:c>
      <x:c r="I23" s="14" t="str">
        <x:v>term-e81d94fdb4f9</x:v>
      </x:c>
      <x:c r="J23" s="14" t="str"/>
      <x:c r="K23" s="14" t="str">
        <x:v>bordeaux_1855_official</x:v>
      </x:c>
    </x:row>
    <x:row r="24" ht="30" customHeight="1">
      <x:c r="A24" s="14" t="str">
        <x:v>classification-023</x:v>
      </x:c>
      <x:c r="B24" s="14" t="str">
        <x:v>bordeaux_1855_medoc</x:v>
      </x:c>
      <x:c r="C24" s="14" t="str">
        <x:v>Château Giscours</x:v>
      </x:c>
      <x:c r="D24" s="14" t="str">
        <x:v>Château Giscours</x:v>
      </x:c>
      <x:c r="E24" s="14" t="str">
        <x:v>第3級</x:v>
      </x:c>
      <x:c r="F24" s="14" t="str">
        <x:v>Margaux</x:v>
      </x:c>
      <x:c r="G24" s="14" t="str">
        <x:v>Médoc／Graves</x:v>
      </x:c>
      <x:c r="H24" s="14" t="str">
        <x:v>生産者</x:v>
      </x:c>
      <x:c r="I24" s="14" t="str">
        <x:v>term-82a0094ae469</x:v>
      </x:c>
      <x:c r="J24" s="14" t="str"/>
      <x:c r="K24" s="14" t="str">
        <x:v>bordeaux_1855_official</x:v>
      </x:c>
    </x:row>
    <x:row r="25" ht="30" customHeight="1">
      <x:c r="A25" s="14" t="str">
        <x:v>classification-024</x:v>
      </x:c>
      <x:c r="B25" s="14" t="str">
        <x:v>bordeaux_1855_medoc</x:v>
      </x:c>
      <x:c r="C25" s="14" t="str">
        <x:v>Château Malescot Saint-Exupery</x:v>
      </x:c>
      <x:c r="D25" s="14" t="str">
        <x:v>Château Malescot Saint-Exupery</x:v>
      </x:c>
      <x:c r="E25" s="14" t="str">
        <x:v>第3級</x:v>
      </x:c>
      <x:c r="F25" s="14" t="str">
        <x:v>Margaux</x:v>
      </x:c>
      <x:c r="G25" s="14" t="str">
        <x:v>Médoc／Graves</x:v>
      </x:c>
      <x:c r="H25" s="14" t="str">
        <x:v>生産者</x:v>
      </x:c>
      <x:c r="I25" s="14" t="str">
        <x:v>term-405f81b60c31</x:v>
      </x:c>
      <x:c r="J25" s="14" t="str"/>
      <x:c r="K25" s="14" t="str">
        <x:v>bordeaux_1855_official</x:v>
      </x:c>
    </x:row>
    <x:row r="26" ht="30" customHeight="1">
      <x:c r="A26" s="14" t="str">
        <x:v>classification-025</x:v>
      </x:c>
      <x:c r="B26" s="14" t="str">
        <x:v>bordeaux_1855_medoc</x:v>
      </x:c>
      <x:c r="C26" s="14" t="str">
        <x:v>Château Boyd-Cantenac</x:v>
      </x:c>
      <x:c r="D26" s="14" t="str">
        <x:v>Château Boyd-Cantenac</x:v>
      </x:c>
      <x:c r="E26" s="14" t="str">
        <x:v>第3級</x:v>
      </x:c>
      <x:c r="F26" s="14" t="str">
        <x:v>Margaux</x:v>
      </x:c>
      <x:c r="G26" s="14" t="str">
        <x:v>Médoc／Graves</x:v>
      </x:c>
      <x:c r="H26" s="14" t="str">
        <x:v>生産者</x:v>
      </x:c>
      <x:c r="I26" s="14" t="str">
        <x:v>term-d19fc222afe8</x:v>
      </x:c>
      <x:c r="J26" s="14" t="str"/>
      <x:c r="K26" s="14" t="str">
        <x:v>bordeaux_1855_official</x:v>
      </x:c>
    </x:row>
    <x:row r="27" ht="30" customHeight="1">
      <x:c r="A27" s="14" t="str">
        <x:v>classification-026</x:v>
      </x:c>
      <x:c r="B27" s="14" t="str">
        <x:v>bordeaux_1855_medoc</x:v>
      </x:c>
      <x:c r="C27" s="14" t="str">
        <x:v>Château Cantenac Brown</x:v>
      </x:c>
      <x:c r="D27" s="14" t="str">
        <x:v>Château Cantenac Brown</x:v>
      </x:c>
      <x:c r="E27" s="14" t="str">
        <x:v>第3級</x:v>
      </x:c>
      <x:c r="F27" s="14" t="str">
        <x:v>Margaux</x:v>
      </x:c>
      <x:c r="G27" s="14" t="str">
        <x:v>Médoc／Graves</x:v>
      </x:c>
      <x:c r="H27" s="14" t="str">
        <x:v>生産者</x:v>
      </x:c>
      <x:c r="I27" s="14" t="str">
        <x:v>term-9bc23625f3df</x:v>
      </x:c>
      <x:c r="J27" s="14" t="str"/>
      <x:c r="K27" s="14" t="str">
        <x:v>bordeaux_1855_official</x:v>
      </x:c>
    </x:row>
    <x:row r="28" ht="30" customHeight="1">
      <x:c r="A28" s="14" t="str">
        <x:v>classification-027</x:v>
      </x:c>
      <x:c r="B28" s="14" t="str">
        <x:v>bordeaux_1855_medoc</x:v>
      </x:c>
      <x:c r="C28" s="14" t="str">
        <x:v>Château Palmer</x:v>
      </x:c>
      <x:c r="D28" s="14" t="str">
        <x:v>Château Palmer</x:v>
      </x:c>
      <x:c r="E28" s="14" t="str">
        <x:v>第3級</x:v>
      </x:c>
      <x:c r="F28" s="14" t="str">
        <x:v>Margaux</x:v>
      </x:c>
      <x:c r="G28" s="14" t="str">
        <x:v>Médoc／Graves</x:v>
      </x:c>
      <x:c r="H28" s="14" t="str">
        <x:v>生産者</x:v>
      </x:c>
      <x:c r="I28" s="14" t="str">
        <x:v>term-933e2929c83f</x:v>
      </x:c>
      <x:c r="J28" s="14" t="str"/>
      <x:c r="K28" s="14" t="str">
        <x:v>bordeaux_1855_official</x:v>
      </x:c>
    </x:row>
    <x:row r="29" ht="30" customHeight="1">
      <x:c r="A29" s="14" t="str">
        <x:v>classification-028</x:v>
      </x:c>
      <x:c r="B29" s="14" t="str">
        <x:v>bordeaux_1855_medoc</x:v>
      </x:c>
      <x:c r="C29" s="14" t="str">
        <x:v>Château La Lagune</x:v>
      </x:c>
      <x:c r="D29" s="14" t="str">
        <x:v>Château La Lagune</x:v>
      </x:c>
      <x:c r="E29" s="14" t="str">
        <x:v>第3級</x:v>
      </x:c>
      <x:c r="F29" s="14" t="str">
        <x:v>Haut-Médoc</x:v>
      </x:c>
      <x:c r="G29" s="14" t="str">
        <x:v>Médoc／Graves</x:v>
      </x:c>
      <x:c r="H29" s="14" t="str">
        <x:v>生産者</x:v>
      </x:c>
      <x:c r="I29" s="14" t="str">
        <x:v>term-077d1941f23a</x:v>
      </x:c>
      <x:c r="J29" s="14" t="str"/>
      <x:c r="K29" s="14" t="str">
        <x:v>bordeaux_1855_official</x:v>
      </x:c>
    </x:row>
    <x:row r="30" ht="30" customHeight="1">
      <x:c r="A30" s="14" t="str">
        <x:v>classification-029</x:v>
      </x:c>
      <x:c r="B30" s="14" t="str">
        <x:v>bordeaux_1855_medoc</x:v>
      </x:c>
      <x:c r="C30" s="14" t="str">
        <x:v>Château Desmirail</x:v>
      </x:c>
      <x:c r="D30" s="14" t="str">
        <x:v>Château Desmirail</x:v>
      </x:c>
      <x:c r="E30" s="14" t="str">
        <x:v>第3級</x:v>
      </x:c>
      <x:c r="F30" s="14" t="str">
        <x:v>Margaux</x:v>
      </x:c>
      <x:c r="G30" s="14" t="str">
        <x:v>Médoc／Graves</x:v>
      </x:c>
      <x:c r="H30" s="14" t="str">
        <x:v>生産者</x:v>
      </x:c>
      <x:c r="I30" s="14" t="str">
        <x:v>term-103b5dd43ea9</x:v>
      </x:c>
      <x:c r="J30" s="14" t="str"/>
      <x:c r="K30" s="14" t="str">
        <x:v>bordeaux_1855_official</x:v>
      </x:c>
    </x:row>
    <x:row r="31" ht="30" customHeight="1">
      <x:c r="A31" s="14" t="str">
        <x:v>classification-030</x:v>
      </x:c>
      <x:c r="B31" s="14" t="str">
        <x:v>bordeaux_1855_medoc</x:v>
      </x:c>
      <x:c r="C31" s="14" t="str">
        <x:v>Château Calon Segur</x:v>
      </x:c>
      <x:c r="D31" s="14" t="str">
        <x:v>Château Calon Segur</x:v>
      </x:c>
      <x:c r="E31" s="14" t="str">
        <x:v>第3級</x:v>
      </x:c>
      <x:c r="F31" s="14" t="str">
        <x:v>Saint-Estèphe</x:v>
      </x:c>
      <x:c r="G31" s="14" t="str">
        <x:v>Médoc／Graves</x:v>
      </x:c>
      <x:c r="H31" s="14" t="str">
        <x:v>生産者</x:v>
      </x:c>
      <x:c r="I31" s="14" t="str">
        <x:v>term-b58631c93db6</x:v>
      </x:c>
      <x:c r="J31" s="14" t="str"/>
      <x:c r="K31" s="14" t="str">
        <x:v>bordeaux_1855_official</x:v>
      </x:c>
    </x:row>
    <x:row r="32" ht="30" customHeight="1">
      <x:c r="A32" s="14" t="str">
        <x:v>classification-031</x:v>
      </x:c>
      <x:c r="B32" s="14" t="str">
        <x:v>bordeaux_1855_medoc</x:v>
      </x:c>
      <x:c r="C32" s="14" t="str">
        <x:v>Château Ferriere</x:v>
      </x:c>
      <x:c r="D32" s="14" t="str">
        <x:v>Château Ferriere</x:v>
      </x:c>
      <x:c r="E32" s="14" t="str">
        <x:v>第3級</x:v>
      </x:c>
      <x:c r="F32" s="14" t="str">
        <x:v>Margaux</x:v>
      </x:c>
      <x:c r="G32" s="14" t="str">
        <x:v>Médoc／Graves</x:v>
      </x:c>
      <x:c r="H32" s="14" t="str">
        <x:v>生産者</x:v>
      </x:c>
      <x:c r="I32" s="14" t="str">
        <x:v>term-f9d4f2064433</x:v>
      </x:c>
      <x:c r="J32" s="14" t="str"/>
      <x:c r="K32" s="14" t="str">
        <x:v>bordeaux_1855_official</x:v>
      </x:c>
    </x:row>
    <x:row r="33" ht="30" customHeight="1">
      <x:c r="A33" s="14" t="str">
        <x:v>classification-032</x:v>
      </x:c>
      <x:c r="B33" s="14" t="str">
        <x:v>bordeaux_1855_medoc</x:v>
      </x:c>
      <x:c r="C33" s="14" t="str">
        <x:v>Château Marquis D’Alesme Becker</x:v>
      </x:c>
      <x:c r="D33" s="14" t="str">
        <x:v>Château Marquis D’Alesme Becker</x:v>
      </x:c>
      <x:c r="E33" s="14" t="str">
        <x:v>第3級</x:v>
      </x:c>
      <x:c r="F33" s="14" t="str">
        <x:v>Margaux</x:v>
      </x:c>
      <x:c r="G33" s="14" t="str">
        <x:v>Médoc／Graves</x:v>
      </x:c>
      <x:c r="H33" s="14" t="str">
        <x:v>生産者</x:v>
      </x:c>
      <x:c r="I33" s="14" t="str">
        <x:v>term-ea212cbcba84</x:v>
      </x:c>
      <x:c r="J33" s="14" t="str"/>
      <x:c r="K33" s="14" t="str">
        <x:v>bordeaux_1855_official</x:v>
      </x:c>
    </x:row>
    <x:row r="34" ht="30" customHeight="1">
      <x:c r="A34" s="14" t="str">
        <x:v>classification-033</x:v>
      </x:c>
      <x:c r="B34" s="14" t="str">
        <x:v>bordeaux_1855_medoc</x:v>
      </x:c>
      <x:c r="C34" s="14" t="str">
        <x:v>Château Saint-Pierre</x:v>
      </x:c>
      <x:c r="D34" s="14" t="str">
        <x:v>Château Saint-Pierre</x:v>
      </x:c>
      <x:c r="E34" s="14" t="str">
        <x:v>第4級</x:v>
      </x:c>
      <x:c r="F34" s="14" t="str">
        <x:v>Saint-Julien</x:v>
      </x:c>
      <x:c r="G34" s="14" t="str">
        <x:v>Médoc／Graves</x:v>
      </x:c>
      <x:c r="H34" s="14" t="str">
        <x:v>生産者</x:v>
      </x:c>
      <x:c r="I34" s="14" t="str">
        <x:v>term-d7cb6ca7dc95</x:v>
      </x:c>
      <x:c r="J34" s="14" t="str"/>
      <x:c r="K34" s="14" t="str">
        <x:v>bordeaux_1855_official</x:v>
      </x:c>
    </x:row>
    <x:row r="35" ht="30" customHeight="1">
      <x:c r="A35" s="14" t="str">
        <x:v>classification-034</x:v>
      </x:c>
      <x:c r="B35" s="14" t="str">
        <x:v>bordeaux_1855_medoc</x:v>
      </x:c>
      <x:c r="C35" s="14" t="str">
        <x:v>Château Talbot</x:v>
      </x:c>
      <x:c r="D35" s="14" t="str">
        <x:v>Château Talbot</x:v>
      </x:c>
      <x:c r="E35" s="14" t="str">
        <x:v>第4級</x:v>
      </x:c>
      <x:c r="F35" s="14" t="str">
        <x:v>Saint-Julien</x:v>
      </x:c>
      <x:c r="G35" s="14" t="str">
        <x:v>Médoc／Graves</x:v>
      </x:c>
      <x:c r="H35" s="14" t="str">
        <x:v>生産者</x:v>
      </x:c>
      <x:c r="I35" s="14" t="str">
        <x:v>term-fd7a6b2b681a</x:v>
      </x:c>
      <x:c r="J35" s="14" t="str"/>
      <x:c r="K35" s="14" t="str">
        <x:v>bordeaux_1855_official</x:v>
      </x:c>
    </x:row>
    <x:row r="36" ht="30" customHeight="1">
      <x:c r="A36" s="14" t="str">
        <x:v>classification-035</x:v>
      </x:c>
      <x:c r="B36" s="14" t="str">
        <x:v>bordeaux_1855_medoc</x:v>
      </x:c>
      <x:c r="C36" s="14" t="str">
        <x:v>Château Branaire-Ducru</x:v>
      </x:c>
      <x:c r="D36" s="14" t="str">
        <x:v>Château Branaire-Ducru</x:v>
      </x:c>
      <x:c r="E36" s="14" t="str">
        <x:v>第4級</x:v>
      </x:c>
      <x:c r="F36" s="14" t="str">
        <x:v>Saint-Julien</x:v>
      </x:c>
      <x:c r="G36" s="14" t="str">
        <x:v>Médoc／Graves</x:v>
      </x:c>
      <x:c r="H36" s="14" t="str">
        <x:v>生産者</x:v>
      </x:c>
      <x:c r="I36" s="14" t="str">
        <x:v>term-966a9db61fec</x:v>
      </x:c>
      <x:c r="J36" s="14" t="str"/>
      <x:c r="K36" s="14" t="str">
        <x:v>bordeaux_1855_official</x:v>
      </x:c>
    </x:row>
    <x:row r="37" ht="30" customHeight="1">
      <x:c r="A37" s="14" t="str">
        <x:v>classification-036</x:v>
      </x:c>
      <x:c r="B37" s="14" t="str">
        <x:v>bordeaux_1855_medoc</x:v>
      </x:c>
      <x:c r="C37" s="14" t="str">
        <x:v>Château Duhart-Milon</x:v>
      </x:c>
      <x:c r="D37" s="14" t="str">
        <x:v>Château Duhart-Milon</x:v>
      </x:c>
      <x:c r="E37" s="14" t="str">
        <x:v>第4級</x:v>
      </x:c>
      <x:c r="F37" s="14" t="str">
        <x:v>Pauillac</x:v>
      </x:c>
      <x:c r="G37" s="14" t="str">
        <x:v>Médoc／Graves</x:v>
      </x:c>
      <x:c r="H37" s="14" t="str">
        <x:v>生産者</x:v>
      </x:c>
      <x:c r="I37" s="14" t="str">
        <x:v>term-f12a75b35596</x:v>
      </x:c>
      <x:c r="J37" s="14" t="str"/>
      <x:c r="K37" s="14" t="str">
        <x:v>bordeaux_1855_official</x:v>
      </x:c>
    </x:row>
    <x:row r="38" ht="30" customHeight="1">
      <x:c r="A38" s="14" t="str">
        <x:v>classification-037</x:v>
      </x:c>
      <x:c r="B38" s="14" t="str">
        <x:v>bordeaux_1855_medoc</x:v>
      </x:c>
      <x:c r="C38" s="14" t="str">
        <x:v>Château Pouget</x:v>
      </x:c>
      <x:c r="D38" s="14" t="str">
        <x:v>Château Pouget</x:v>
      </x:c>
      <x:c r="E38" s="14" t="str">
        <x:v>第4級</x:v>
      </x:c>
      <x:c r="F38" s="14" t="str">
        <x:v>Margaux</x:v>
      </x:c>
      <x:c r="G38" s="14" t="str">
        <x:v>Médoc／Graves</x:v>
      </x:c>
      <x:c r="H38" s="14" t="str">
        <x:v>生産者</x:v>
      </x:c>
      <x:c r="I38" s="14" t="str">
        <x:v>term-339849f39089</x:v>
      </x:c>
      <x:c r="J38" s="14" t="str"/>
      <x:c r="K38" s="14" t="str">
        <x:v>bordeaux_1855_official</x:v>
      </x:c>
    </x:row>
    <x:row r="39" ht="30" customHeight="1">
      <x:c r="A39" s="14" t="str">
        <x:v>classification-038</x:v>
      </x:c>
      <x:c r="B39" s="14" t="str">
        <x:v>bordeaux_1855_medoc</x:v>
      </x:c>
      <x:c r="C39" s="14" t="str">
        <x:v>Château La Tour Carnet</x:v>
      </x:c>
      <x:c r="D39" s="14" t="str">
        <x:v>Château La Tour Carnet</x:v>
      </x:c>
      <x:c r="E39" s="14" t="str">
        <x:v>第4級</x:v>
      </x:c>
      <x:c r="F39" s="14" t="str">
        <x:v>Haut-Médoc</x:v>
      </x:c>
      <x:c r="G39" s="14" t="str">
        <x:v>Médoc／Graves</x:v>
      </x:c>
      <x:c r="H39" s="14" t="str">
        <x:v>生産者</x:v>
      </x:c>
      <x:c r="I39" s="14" t="str">
        <x:v>term-e792497d8611</x:v>
      </x:c>
      <x:c r="J39" s="14" t="str"/>
      <x:c r="K39" s="14" t="str">
        <x:v>bordeaux_1855_official</x:v>
      </x:c>
    </x:row>
    <x:row r="40" ht="30" customHeight="1">
      <x:c r="A40" s="14" t="str">
        <x:v>classification-039</x:v>
      </x:c>
      <x:c r="B40" s="14" t="str">
        <x:v>bordeaux_1855_medoc</x:v>
      </x:c>
      <x:c r="C40" s="14" t="str">
        <x:v>Château Lafon-Rochet</x:v>
      </x:c>
      <x:c r="D40" s="14" t="str">
        <x:v>Château Lafon-Rochet</x:v>
      </x:c>
      <x:c r="E40" s="14" t="str">
        <x:v>第4級</x:v>
      </x:c>
      <x:c r="F40" s="14" t="str">
        <x:v>Saint-Estèphe</x:v>
      </x:c>
      <x:c r="G40" s="14" t="str">
        <x:v>Médoc／Graves</x:v>
      </x:c>
      <x:c r="H40" s="14" t="str">
        <x:v>生産者</x:v>
      </x:c>
      <x:c r="I40" s="14" t="str">
        <x:v>term-71491c09b080</x:v>
      </x:c>
      <x:c r="J40" s="14" t="str"/>
      <x:c r="K40" s="14" t="str">
        <x:v>bordeaux_1855_official</x:v>
      </x:c>
    </x:row>
    <x:row r="41" ht="30" customHeight="1">
      <x:c r="A41" s="14" t="str">
        <x:v>classification-040</x:v>
      </x:c>
      <x:c r="B41" s="14" t="str">
        <x:v>bordeaux_1855_medoc</x:v>
      </x:c>
      <x:c r="C41" s="14" t="str">
        <x:v>Château Beychevelle</x:v>
      </x:c>
      <x:c r="D41" s="14" t="str">
        <x:v>Château Beychevelle</x:v>
      </x:c>
      <x:c r="E41" s="14" t="str">
        <x:v>第4級</x:v>
      </x:c>
      <x:c r="F41" s="14" t="str">
        <x:v>Saint-Julien</x:v>
      </x:c>
      <x:c r="G41" s="14" t="str">
        <x:v>Médoc／Graves</x:v>
      </x:c>
      <x:c r="H41" s="14" t="str">
        <x:v>生産者</x:v>
      </x:c>
      <x:c r="I41" s="14" t="str">
        <x:v>term-261714b91726</x:v>
      </x:c>
      <x:c r="J41" s="14" t="str"/>
      <x:c r="K41" s="14" t="str">
        <x:v>bordeaux_1855_official</x:v>
      </x:c>
    </x:row>
    <x:row r="42" ht="30" customHeight="1">
      <x:c r="A42" s="14" t="str">
        <x:v>classification-041</x:v>
      </x:c>
      <x:c r="B42" s="14" t="str">
        <x:v>bordeaux_1855_medoc</x:v>
      </x:c>
      <x:c r="C42" s="14" t="str">
        <x:v>Château Prieure-Lichine</x:v>
      </x:c>
      <x:c r="D42" s="14" t="str">
        <x:v>Château Prieure-Lichine</x:v>
      </x:c>
      <x:c r="E42" s="14" t="str">
        <x:v>第4級</x:v>
      </x:c>
      <x:c r="F42" s="14" t="str">
        <x:v>Margaux</x:v>
      </x:c>
      <x:c r="G42" s="14" t="str">
        <x:v>Médoc／Graves</x:v>
      </x:c>
      <x:c r="H42" s="14" t="str">
        <x:v>生産者</x:v>
      </x:c>
      <x:c r="I42" s="14" t="str">
        <x:v>term-36caeaf87ee5</x:v>
      </x:c>
      <x:c r="J42" s="14" t="str"/>
      <x:c r="K42" s="14" t="str">
        <x:v>bordeaux_1855_official</x:v>
      </x:c>
    </x:row>
    <x:row r="43" ht="30" customHeight="1">
      <x:c r="A43" s="14" t="str">
        <x:v>classification-042</x:v>
      </x:c>
      <x:c r="B43" s="14" t="str">
        <x:v>bordeaux_1855_medoc</x:v>
      </x:c>
      <x:c r="C43" s="14" t="str">
        <x:v>Château Marquis De Terme</x:v>
      </x:c>
      <x:c r="D43" s="14" t="str">
        <x:v>Château Marquis De Terme</x:v>
      </x:c>
      <x:c r="E43" s="14" t="str">
        <x:v>第4級</x:v>
      </x:c>
      <x:c r="F43" s="14" t="str">
        <x:v>Margaux</x:v>
      </x:c>
      <x:c r="G43" s="14" t="str">
        <x:v>Médoc／Graves</x:v>
      </x:c>
      <x:c r="H43" s="14" t="str">
        <x:v>生産者</x:v>
      </x:c>
      <x:c r="I43" s="14" t="str">
        <x:v>term-9c9ef170f40a</x:v>
      </x:c>
      <x:c r="J43" s="14" t="str"/>
      <x:c r="K43" s="14" t="str">
        <x:v>bordeaux_1855_official</x:v>
      </x:c>
    </x:row>
    <x:row r="44" ht="30" customHeight="1">
      <x:c r="A44" s="14" t="str">
        <x:v>classification-043</x:v>
      </x:c>
      <x:c r="B44" s="14" t="str">
        <x:v>bordeaux_1855_medoc</x:v>
      </x:c>
      <x:c r="C44" s="14" t="str">
        <x:v>Château Pontet-Canet</x:v>
      </x:c>
      <x:c r="D44" s="14" t="str">
        <x:v>Château Pontet-Canet</x:v>
      </x:c>
      <x:c r="E44" s="14" t="str">
        <x:v>第5級</x:v>
      </x:c>
      <x:c r="F44" s="14" t="str">
        <x:v>Pauillac</x:v>
      </x:c>
      <x:c r="G44" s="14" t="str">
        <x:v>Médoc／Graves</x:v>
      </x:c>
      <x:c r="H44" s="14" t="str">
        <x:v>生産者</x:v>
      </x:c>
      <x:c r="I44" s="14" t="str">
        <x:v>term-5dca698ca3e4</x:v>
      </x:c>
      <x:c r="J44" s="14" t="str"/>
      <x:c r="K44" s="14" t="str">
        <x:v>bordeaux_1855_official</x:v>
      </x:c>
    </x:row>
    <x:row r="45" ht="30" customHeight="1">
      <x:c r="A45" s="14" t="str">
        <x:v>classification-044</x:v>
      </x:c>
      <x:c r="B45" s="14" t="str">
        <x:v>bordeaux_1855_medoc</x:v>
      </x:c>
      <x:c r="C45" s="14" t="str">
        <x:v>Château Batailley</x:v>
      </x:c>
      <x:c r="D45" s="14" t="str">
        <x:v>Château Batailley</x:v>
      </x:c>
      <x:c r="E45" s="14" t="str">
        <x:v>第5級</x:v>
      </x:c>
      <x:c r="F45" s="14" t="str">
        <x:v>Pauillac</x:v>
      </x:c>
      <x:c r="G45" s="14" t="str">
        <x:v>Médoc／Graves</x:v>
      </x:c>
      <x:c r="H45" s="14" t="str">
        <x:v>生産者</x:v>
      </x:c>
      <x:c r="I45" s="14" t="str">
        <x:v>term-97ba03a31ca9</x:v>
      </x:c>
      <x:c r="J45" s="14" t="str"/>
      <x:c r="K45" s="14" t="str">
        <x:v>bordeaux_1855_official</x:v>
      </x:c>
    </x:row>
    <x:row r="46" ht="30" customHeight="1">
      <x:c r="A46" s="14" t="str">
        <x:v>classification-045</x:v>
      </x:c>
      <x:c r="B46" s="14" t="str">
        <x:v>bordeaux_1855_medoc</x:v>
      </x:c>
      <x:c r="C46" s="14" t="str">
        <x:v>Château Haut-Batailley</x:v>
      </x:c>
      <x:c r="D46" s="14" t="str">
        <x:v>Château Haut-Batailley</x:v>
      </x:c>
      <x:c r="E46" s="14" t="str">
        <x:v>第5級</x:v>
      </x:c>
      <x:c r="F46" s="14" t="str">
        <x:v>Pauillac</x:v>
      </x:c>
      <x:c r="G46" s="14" t="str">
        <x:v>Médoc／Graves</x:v>
      </x:c>
      <x:c r="H46" s="14" t="str">
        <x:v>生産者</x:v>
      </x:c>
      <x:c r="I46" s="14" t="str">
        <x:v>term-6fe5bb51e3bb</x:v>
      </x:c>
      <x:c r="J46" s="14" t="str"/>
      <x:c r="K46" s="14" t="str">
        <x:v>bordeaux_1855_official</x:v>
      </x:c>
    </x:row>
    <x:row r="47" ht="30" customHeight="1">
      <x:c r="A47" s="14" t="str">
        <x:v>classification-046</x:v>
      </x:c>
      <x:c r="B47" s="14" t="str">
        <x:v>bordeaux_1855_medoc</x:v>
      </x:c>
      <x:c r="C47" s="14" t="str">
        <x:v>Château Grand-Puy-Lacoste</x:v>
      </x:c>
      <x:c r="D47" s="14" t="str">
        <x:v>Château Grand-Puy-Lacoste</x:v>
      </x:c>
      <x:c r="E47" s="14" t="str">
        <x:v>第5級</x:v>
      </x:c>
      <x:c r="F47" s="14" t="str">
        <x:v>Pauillac</x:v>
      </x:c>
      <x:c r="G47" s="14" t="str">
        <x:v>Médoc／Graves</x:v>
      </x:c>
      <x:c r="H47" s="14" t="str">
        <x:v>生産者</x:v>
      </x:c>
      <x:c r="I47" s="14" t="str">
        <x:v>term-b9613ffd4ae7</x:v>
      </x:c>
      <x:c r="J47" s="14" t="str"/>
      <x:c r="K47" s="14" t="str">
        <x:v>bordeaux_1855_official</x:v>
      </x:c>
    </x:row>
    <x:row r="48" ht="30" customHeight="1">
      <x:c r="A48" s="14" t="str">
        <x:v>classification-047</x:v>
      </x:c>
      <x:c r="B48" s="14" t="str">
        <x:v>bordeaux_1855_medoc</x:v>
      </x:c>
      <x:c r="C48" s="14" t="str">
        <x:v>Château Grand-Puy Ducasse</x:v>
      </x:c>
      <x:c r="D48" s="14" t="str">
        <x:v>Château Grand-Puy Ducasse</x:v>
      </x:c>
      <x:c r="E48" s="14" t="str">
        <x:v>第5級</x:v>
      </x:c>
      <x:c r="F48" s="14" t="str">
        <x:v>Pauillac</x:v>
      </x:c>
      <x:c r="G48" s="14" t="str">
        <x:v>Médoc／Graves</x:v>
      </x:c>
      <x:c r="H48" s="14" t="str">
        <x:v>生産者</x:v>
      </x:c>
      <x:c r="I48" s="14" t="str">
        <x:v>term-1da2d73a38a4</x:v>
      </x:c>
      <x:c r="J48" s="14" t="str"/>
      <x:c r="K48" s="14" t="str">
        <x:v>bordeaux_1855_official</x:v>
      </x:c>
    </x:row>
    <x:row r="49" ht="30" customHeight="1">
      <x:c r="A49" s="14" t="str">
        <x:v>classification-048</x:v>
      </x:c>
      <x:c r="B49" s="14" t="str">
        <x:v>bordeaux_1855_medoc</x:v>
      </x:c>
      <x:c r="C49" s="14" t="str">
        <x:v>Château Lynch-Bages</x:v>
      </x:c>
      <x:c r="D49" s="14" t="str">
        <x:v>Château Lynch-Bages</x:v>
      </x:c>
      <x:c r="E49" s="14" t="str">
        <x:v>第5級</x:v>
      </x:c>
      <x:c r="F49" s="14" t="str">
        <x:v>Pauillac</x:v>
      </x:c>
      <x:c r="G49" s="14" t="str">
        <x:v>Médoc／Graves</x:v>
      </x:c>
      <x:c r="H49" s="14" t="str">
        <x:v>生産者</x:v>
      </x:c>
      <x:c r="I49" s="14" t="str">
        <x:v>term-ac47d334c3d5</x:v>
      </x:c>
      <x:c r="J49" s="14" t="str"/>
      <x:c r="K49" s="14" t="str">
        <x:v>bordeaux_1855_official</x:v>
      </x:c>
    </x:row>
    <x:row r="50" ht="30" customHeight="1">
      <x:c r="A50" s="14" t="str">
        <x:v>classification-049</x:v>
      </x:c>
      <x:c r="B50" s="14" t="str">
        <x:v>bordeaux_1855_medoc</x:v>
      </x:c>
      <x:c r="C50" s="14" t="str">
        <x:v>Château Lynch-Moussas</x:v>
      </x:c>
      <x:c r="D50" s="14" t="str">
        <x:v>Château Lynch-Moussas</x:v>
      </x:c>
      <x:c r="E50" s="14" t="str">
        <x:v>第5級</x:v>
      </x:c>
      <x:c r="F50" s="14" t="str">
        <x:v>Pauillac</x:v>
      </x:c>
      <x:c r="G50" s="14" t="str">
        <x:v>Médoc／Graves</x:v>
      </x:c>
      <x:c r="H50" s="14" t="str">
        <x:v>生産者</x:v>
      </x:c>
      <x:c r="I50" s="14" t="str">
        <x:v>term-c7d7405c27d9</x:v>
      </x:c>
      <x:c r="J50" s="14" t="str"/>
      <x:c r="K50" s="14" t="str">
        <x:v>bordeaux_1855_official</x:v>
      </x:c>
    </x:row>
    <x:row r="51" ht="30" customHeight="1">
      <x:c r="A51" s="14" t="str">
        <x:v>classification-050</x:v>
      </x:c>
      <x:c r="B51" s="14" t="str">
        <x:v>bordeaux_1855_medoc</x:v>
      </x:c>
      <x:c r="C51" s="14" t="str">
        <x:v>Château Dauzac</x:v>
      </x:c>
      <x:c r="D51" s="14" t="str">
        <x:v>Château Dauzac</x:v>
      </x:c>
      <x:c r="E51" s="14" t="str">
        <x:v>第5級</x:v>
      </x:c>
      <x:c r="F51" s="14" t="str">
        <x:v>Margaux</x:v>
      </x:c>
      <x:c r="G51" s="14" t="str">
        <x:v>Médoc／Graves</x:v>
      </x:c>
      <x:c r="H51" s="14" t="str">
        <x:v>生産者</x:v>
      </x:c>
      <x:c r="I51" s="14" t="str">
        <x:v>term-b6c5d8c4d0f1</x:v>
      </x:c>
      <x:c r="J51" s="14" t="str"/>
      <x:c r="K51" s="14" t="str">
        <x:v>bordeaux_1855_official</x:v>
      </x:c>
    </x:row>
    <x:row r="52" ht="30" customHeight="1">
      <x:c r="A52" s="14" t="str">
        <x:v>classification-051</x:v>
      </x:c>
      <x:c r="B52" s="14" t="str">
        <x:v>bordeaux_1855_medoc</x:v>
      </x:c>
      <x:c r="C52" s="14" t="str">
        <x:v>Château d’Armailhac</x:v>
      </x:c>
      <x:c r="D52" s="14" t="str">
        <x:v>Château d’Armailhac</x:v>
      </x:c>
      <x:c r="E52" s="14" t="str">
        <x:v>第5級</x:v>
      </x:c>
      <x:c r="F52" s="14" t="str">
        <x:v>Pauillac</x:v>
      </x:c>
      <x:c r="G52" s="14" t="str">
        <x:v>Médoc／Graves</x:v>
      </x:c>
      <x:c r="H52" s="14" t="str">
        <x:v>生産者</x:v>
      </x:c>
      <x:c r="I52" s="14" t="str">
        <x:v>term-1d85775b9f8a</x:v>
      </x:c>
      <x:c r="J52" s="14" t="str"/>
      <x:c r="K52" s="14" t="str">
        <x:v>bordeaux_1855_official</x:v>
      </x:c>
    </x:row>
    <x:row r="53" ht="30" customHeight="1">
      <x:c r="A53" s="14" t="str">
        <x:v>classification-052</x:v>
      </x:c>
      <x:c r="B53" s="14" t="str">
        <x:v>bordeaux_1855_medoc</x:v>
      </x:c>
      <x:c r="C53" s="14" t="str">
        <x:v>Château du Tertre</x:v>
      </x:c>
      <x:c r="D53" s="14" t="str">
        <x:v>Château du Tertre</x:v>
      </x:c>
      <x:c r="E53" s="14" t="str">
        <x:v>第5級</x:v>
      </x:c>
      <x:c r="F53" s="14" t="str">
        <x:v>Margaux</x:v>
      </x:c>
      <x:c r="G53" s="14" t="str">
        <x:v>Médoc／Graves</x:v>
      </x:c>
      <x:c r="H53" s="14" t="str">
        <x:v>生産者</x:v>
      </x:c>
      <x:c r="I53" s="14" t="str">
        <x:v>term-5fb416f30e38</x:v>
      </x:c>
      <x:c r="J53" s="14" t="str"/>
      <x:c r="K53" s="14" t="str">
        <x:v>bordeaux_1855_official</x:v>
      </x:c>
    </x:row>
    <x:row r="54" ht="30" customHeight="1">
      <x:c r="A54" s="14" t="str">
        <x:v>classification-053</x:v>
      </x:c>
      <x:c r="B54" s="14" t="str">
        <x:v>bordeaux_1855_medoc</x:v>
      </x:c>
      <x:c r="C54" s="14" t="str">
        <x:v>Château Haut-Bages Liberal</x:v>
      </x:c>
      <x:c r="D54" s="14" t="str">
        <x:v>Château Haut-Bages Liberal</x:v>
      </x:c>
      <x:c r="E54" s="14" t="str">
        <x:v>第5級</x:v>
      </x:c>
      <x:c r="F54" s="14" t="str">
        <x:v>Pauillac</x:v>
      </x:c>
      <x:c r="G54" s="14" t="str">
        <x:v>Médoc／Graves</x:v>
      </x:c>
      <x:c r="H54" s="14" t="str">
        <x:v>生産者</x:v>
      </x:c>
      <x:c r="I54" s="14" t="str">
        <x:v>term-20fcb06a55bd</x:v>
      </x:c>
      <x:c r="J54" s="14" t="str"/>
      <x:c r="K54" s="14" t="str">
        <x:v>bordeaux_1855_official</x:v>
      </x:c>
    </x:row>
    <x:row r="55" ht="30" customHeight="1">
      <x:c r="A55" s="14" t="str">
        <x:v>classification-054</x:v>
      </x:c>
      <x:c r="B55" s="14" t="str">
        <x:v>bordeaux_1855_medoc</x:v>
      </x:c>
      <x:c r="C55" s="14" t="str">
        <x:v>Château Pedesclaux</x:v>
      </x:c>
      <x:c r="D55" s="14" t="str">
        <x:v>Château Pedesclaux</x:v>
      </x:c>
      <x:c r="E55" s="14" t="str">
        <x:v>第5級</x:v>
      </x:c>
      <x:c r="F55" s="14" t="str">
        <x:v>Pauillac</x:v>
      </x:c>
      <x:c r="G55" s="14" t="str">
        <x:v>Médoc／Graves</x:v>
      </x:c>
      <x:c r="H55" s="14" t="str">
        <x:v>生産者</x:v>
      </x:c>
      <x:c r="I55" s="14" t="str">
        <x:v>term-17c7841cc3b8</x:v>
      </x:c>
      <x:c r="J55" s="14" t="str"/>
      <x:c r="K55" s="14" t="str">
        <x:v>bordeaux_1855_official</x:v>
      </x:c>
    </x:row>
    <x:row r="56" ht="30" customHeight="1">
      <x:c r="A56" s="14" t="str">
        <x:v>classification-055</x:v>
      </x:c>
      <x:c r="B56" s="14" t="str">
        <x:v>bordeaux_1855_medoc</x:v>
      </x:c>
      <x:c r="C56" s="14" t="str">
        <x:v>Château Belgrave</x:v>
      </x:c>
      <x:c r="D56" s="14" t="str">
        <x:v>Château Belgrave</x:v>
      </x:c>
      <x:c r="E56" s="14" t="str">
        <x:v>第5級</x:v>
      </x:c>
      <x:c r="F56" s="14" t="str">
        <x:v>Haut-Médoc</x:v>
      </x:c>
      <x:c r="G56" s="14" t="str">
        <x:v>Médoc／Graves</x:v>
      </x:c>
      <x:c r="H56" s="14" t="str">
        <x:v>生産者</x:v>
      </x:c>
      <x:c r="I56" s="14" t="str">
        <x:v>term-da278770d53a</x:v>
      </x:c>
      <x:c r="J56" s="14" t="str"/>
      <x:c r="K56" s="14" t="str">
        <x:v>bordeaux_1855_official</x:v>
      </x:c>
    </x:row>
    <x:row r="57" ht="30" customHeight="1">
      <x:c r="A57" s="14" t="str">
        <x:v>classification-056</x:v>
      </x:c>
      <x:c r="B57" s="14" t="str">
        <x:v>bordeaux_1855_medoc</x:v>
      </x:c>
      <x:c r="C57" s="14" t="str">
        <x:v>Château de Camensac</x:v>
      </x:c>
      <x:c r="D57" s="14" t="str">
        <x:v>Château de Camensac</x:v>
      </x:c>
      <x:c r="E57" s="14" t="str">
        <x:v>第5級</x:v>
      </x:c>
      <x:c r="F57" s="14" t="str">
        <x:v>Haut-Médoc</x:v>
      </x:c>
      <x:c r="G57" s="14" t="str">
        <x:v>Médoc／Graves</x:v>
      </x:c>
      <x:c r="H57" s="14" t="str">
        <x:v>生産者</x:v>
      </x:c>
      <x:c r="I57" s="14" t="str">
        <x:v>term-d48311f086cf</x:v>
      </x:c>
      <x:c r="J57" s="14" t="str"/>
      <x:c r="K57" s="14" t="str">
        <x:v>bordeaux_1855_official</x:v>
      </x:c>
    </x:row>
    <x:row r="58" ht="30" customHeight="1">
      <x:c r="A58" s="14" t="str">
        <x:v>classification-057</x:v>
      </x:c>
      <x:c r="B58" s="14" t="str">
        <x:v>bordeaux_1855_medoc</x:v>
      </x:c>
      <x:c r="C58" s="14" t="str">
        <x:v>Château Cos Labory</x:v>
      </x:c>
      <x:c r="D58" s="14" t="str">
        <x:v>Château Cos Labory</x:v>
      </x:c>
      <x:c r="E58" s="14" t="str">
        <x:v>第5級</x:v>
      </x:c>
      <x:c r="F58" s="14" t="str">
        <x:v>Saint-Estèphe</x:v>
      </x:c>
      <x:c r="G58" s="14" t="str">
        <x:v>Médoc／Graves</x:v>
      </x:c>
      <x:c r="H58" s="14" t="str">
        <x:v>生産者</x:v>
      </x:c>
      <x:c r="I58" s="14" t="str">
        <x:v>term-69ed513cc7bc</x:v>
      </x:c>
      <x:c r="J58" s="14" t="str"/>
      <x:c r="K58" s="14" t="str">
        <x:v>bordeaux_1855_official</x:v>
      </x:c>
    </x:row>
    <x:row r="59" ht="30" customHeight="1">
      <x:c r="A59" s="14" t="str">
        <x:v>classification-058</x:v>
      </x:c>
      <x:c r="B59" s="14" t="str">
        <x:v>bordeaux_1855_medoc</x:v>
      </x:c>
      <x:c r="C59" s="14" t="str">
        <x:v>Château Clerc Milon</x:v>
      </x:c>
      <x:c r="D59" s="14" t="str">
        <x:v>Château Clerc Milon</x:v>
      </x:c>
      <x:c r="E59" s="14" t="str">
        <x:v>第5級</x:v>
      </x:c>
      <x:c r="F59" s="14" t="str">
        <x:v>Pauillac</x:v>
      </x:c>
      <x:c r="G59" s="14" t="str">
        <x:v>Médoc／Graves</x:v>
      </x:c>
      <x:c r="H59" s="14" t="str">
        <x:v>生産者</x:v>
      </x:c>
      <x:c r="I59" s="14" t="str">
        <x:v>term-170c57c6c659</x:v>
      </x:c>
      <x:c r="J59" s="14" t="str"/>
      <x:c r="K59" s="14" t="str">
        <x:v>bordeaux_1855_official</x:v>
      </x:c>
    </x:row>
    <x:row r="60" ht="30" customHeight="1">
      <x:c r="A60" s="14" t="str">
        <x:v>classification-059</x:v>
      </x:c>
      <x:c r="B60" s="14" t="str">
        <x:v>bordeaux_1855_medoc</x:v>
      </x:c>
      <x:c r="C60" s="14" t="str">
        <x:v>Château Croizet-Bages</x:v>
      </x:c>
      <x:c r="D60" s="14" t="str">
        <x:v>Château Croizet-Bages</x:v>
      </x:c>
      <x:c r="E60" s="14" t="str">
        <x:v>第5級</x:v>
      </x:c>
      <x:c r="F60" s="14" t="str">
        <x:v>Pauillac</x:v>
      </x:c>
      <x:c r="G60" s="14" t="str">
        <x:v>Médoc／Graves</x:v>
      </x:c>
      <x:c r="H60" s="14" t="str">
        <x:v>生産者</x:v>
      </x:c>
      <x:c r="I60" s="14" t="str">
        <x:v>term-a8fbe7bf2aac</x:v>
      </x:c>
      <x:c r="J60" s="14" t="str"/>
      <x:c r="K60" s="14" t="str">
        <x:v>bordeaux_1855_official</x:v>
      </x:c>
    </x:row>
    <x:row r="61" ht="30" customHeight="1">
      <x:c r="A61" s="14" t="str">
        <x:v>classification-060</x:v>
      </x:c>
      <x:c r="B61" s="14" t="str">
        <x:v>bordeaux_1855_medoc</x:v>
      </x:c>
      <x:c r="C61" s="14" t="str">
        <x:v>Château Cantemerle</x:v>
      </x:c>
      <x:c r="D61" s="14" t="str">
        <x:v>Château Cantemerle</x:v>
      </x:c>
      <x:c r="E61" s="14" t="str">
        <x:v>第5級</x:v>
      </x:c>
      <x:c r="F61" s="14" t="str">
        <x:v>Haut-Médoc</x:v>
      </x:c>
      <x:c r="G61" s="14" t="str">
        <x:v>Médoc／Graves</x:v>
      </x:c>
      <x:c r="H61" s="14" t="str">
        <x:v>生産者</x:v>
      </x:c>
      <x:c r="I61" s="14" t="str">
        <x:v>term-1c1f722c48a4</x:v>
      </x:c>
      <x:c r="J61" s="14" t="str"/>
      <x:c r="K61" s="14" t="str">
        <x:v>bordeaux_1855_official</x:v>
      </x:c>
    </x:row>
    <x:row r="62" ht="30" customHeight="1">
      <x:c r="A62" s="14" t="str">
        <x:v>classification-061</x:v>
      </x:c>
      <x:c r="B62" s="14" t="str">
        <x:v>bordeaux_1855_medoc</x:v>
      </x:c>
      <x:c r="C62" s="14" t="str">
        <x:v>Château Mouton Rothschild</x:v>
      </x:c>
      <x:c r="D62" s="14" t="str">
        <x:v>Château Mouton Rothschild</x:v>
      </x:c>
      <x:c r="E62" s="14" t="str">
        <x:v>第1級</x:v>
      </x:c>
      <x:c r="F62" s="14" t="str">
        <x:v>Pauillac</x:v>
      </x:c>
      <x:c r="G62" s="14" t="str">
        <x:v>Médoc／Graves</x:v>
      </x:c>
      <x:c r="H62" s="14" t="str">
        <x:v>生産者</x:v>
      </x:c>
      <x:c r="I62" s="14" t="str">
        <x:v>term-8df5aaaa0a5c</x:v>
      </x:c>
      <x:c r="J62" s="14" t="str"/>
      <x:c r="K62" s="14" t="str">
        <x:v>bordeaux_1855_official</x:v>
      </x:c>
    </x:row>
    <x:row r="63" ht="30" customHeight="1">
      <x:c r="A63" s="14" t="str">
        <x:v>classification-062</x:v>
      </x:c>
      <x:c r="B63" s="14" t="str">
        <x:v>bordeaux_1855_sauternes</x:v>
      </x:c>
      <x:c r="C63" s="14" t="str">
        <x:v>Château d’Yquem</x:v>
      </x:c>
      <x:c r="D63" s="14" t="str">
        <x:v>Château d’Yquem</x:v>
      </x:c>
      <x:c r="E63" s="14" t="str">
        <x:v>特別第1級</x:v>
      </x:c>
      <x:c r="F63" s="14" t="str">
        <x:v>Sauternes</x:v>
      </x:c>
      <x:c r="G63" s="14" t="str">
        <x:v>Sauternes／Barsac</x:v>
      </x:c>
      <x:c r="H63" s="14" t="str">
        <x:v>生産者</x:v>
      </x:c>
      <x:c r="I63" s="14" t="str">
        <x:v>term-457679e0457c</x:v>
      </x:c>
      <x:c r="J63" s="14" t="str"/>
      <x:c r="K63" s="14" t="str">
        <x:v>bordeaux_1855_official</x:v>
      </x:c>
    </x:row>
    <x:row r="64" ht="30" customHeight="1">
      <x:c r="A64" s="14" t="str">
        <x:v>classification-063</x:v>
      </x:c>
      <x:c r="B64" s="14" t="str">
        <x:v>bordeaux_1855_sauternes</x:v>
      </x:c>
      <x:c r="C64" s="14" t="str">
        <x:v>Château La Tour Blanche</x:v>
      </x:c>
      <x:c r="D64" s="14" t="str">
        <x:v>Château La Tour Blanche</x:v>
      </x:c>
      <x:c r="E64" s="14" t="str">
        <x:v>第1級</x:v>
      </x:c>
      <x:c r="F64" s="14" t="str">
        <x:v>Sauternes</x:v>
      </x:c>
      <x:c r="G64" s="14" t="str">
        <x:v>Sauternes／Barsac</x:v>
      </x:c>
      <x:c r="H64" s="14" t="str">
        <x:v>生産者</x:v>
      </x:c>
      <x:c r="I64" s="14" t="str">
        <x:v>term-61dc64e65db5</x:v>
      </x:c>
      <x:c r="J64" s="14" t="str"/>
      <x:c r="K64" s="14" t="str">
        <x:v>bordeaux_1855_official</x:v>
      </x:c>
    </x:row>
    <x:row r="65" ht="30" customHeight="1">
      <x:c r="A65" s="14" t="str">
        <x:v>classification-064</x:v>
      </x:c>
      <x:c r="B65" s="14" t="str">
        <x:v>bordeaux_1855_sauternes</x:v>
      </x:c>
      <x:c r="C65" s="14" t="str">
        <x:v>Château Lafaurie-Peyraguey</x:v>
      </x:c>
      <x:c r="D65" s="14" t="str">
        <x:v>Château Lafaurie-Peyraguey</x:v>
      </x:c>
      <x:c r="E65" s="14" t="str">
        <x:v>第1級</x:v>
      </x:c>
      <x:c r="F65" s="14" t="str">
        <x:v>Sauternes</x:v>
      </x:c>
      <x:c r="G65" s="14" t="str">
        <x:v>Sauternes／Barsac</x:v>
      </x:c>
      <x:c r="H65" s="14" t="str">
        <x:v>生産者</x:v>
      </x:c>
      <x:c r="I65" s="14" t="str">
        <x:v>term-b3159761ccf4</x:v>
      </x:c>
      <x:c r="J65" s="14" t="str"/>
      <x:c r="K65" s="14" t="str">
        <x:v>bordeaux_1855_official</x:v>
      </x:c>
    </x:row>
    <x:row r="66" ht="30" customHeight="1">
      <x:c r="A66" s="14" t="str">
        <x:v>classification-065</x:v>
      </x:c>
      <x:c r="B66" s="14" t="str">
        <x:v>bordeaux_1855_sauternes</x:v>
      </x:c>
      <x:c r="C66" s="14" t="str">
        <x:v>Clos Haut-Peyraguey</x:v>
      </x:c>
      <x:c r="D66" s="14" t="str">
        <x:v>Clos Haut-Peyraguey</x:v>
      </x:c>
      <x:c r="E66" s="14" t="str">
        <x:v>第1級</x:v>
      </x:c>
      <x:c r="F66" s="14" t="str">
        <x:v>Sauternes</x:v>
      </x:c>
      <x:c r="G66" s="14" t="str">
        <x:v>Sauternes／Barsac</x:v>
      </x:c>
      <x:c r="H66" s="14" t="str">
        <x:v>生産者</x:v>
      </x:c>
      <x:c r="I66" s="14" t="str">
        <x:v>term-b85a28673d61</x:v>
      </x:c>
      <x:c r="J66" s="14" t="str"/>
      <x:c r="K66" s="14" t="str">
        <x:v>bordeaux_1855_official</x:v>
      </x:c>
    </x:row>
    <x:row r="67" ht="30" customHeight="1">
      <x:c r="A67" s="14" t="str">
        <x:v>classification-066</x:v>
      </x:c>
      <x:c r="B67" s="14" t="str">
        <x:v>bordeaux_1855_sauternes</x:v>
      </x:c>
      <x:c r="C67" s="14" t="str">
        <x:v>Château de Rayne-Vigneau</x:v>
      </x:c>
      <x:c r="D67" s="14" t="str">
        <x:v>Château de Rayne-Vigneau</x:v>
      </x:c>
      <x:c r="E67" s="14" t="str">
        <x:v>第1級</x:v>
      </x:c>
      <x:c r="F67" s="14" t="str">
        <x:v>Sauternes</x:v>
      </x:c>
      <x:c r="G67" s="14" t="str">
        <x:v>Sauternes／Barsac</x:v>
      </x:c>
      <x:c r="H67" s="14" t="str">
        <x:v>生産者</x:v>
      </x:c>
      <x:c r="I67" s="14" t="str">
        <x:v>term-ccea4412d917</x:v>
      </x:c>
      <x:c r="J67" s="14" t="str"/>
      <x:c r="K67" s="14" t="str">
        <x:v>bordeaux_1855_official</x:v>
      </x:c>
    </x:row>
    <x:row r="68" ht="30" customHeight="1">
      <x:c r="A68" s="14" t="str">
        <x:v>classification-067</x:v>
      </x:c>
      <x:c r="B68" s="14" t="str">
        <x:v>bordeaux_1855_sauternes</x:v>
      </x:c>
      <x:c r="C68" s="14" t="str">
        <x:v>Château Suduiraut</x:v>
      </x:c>
      <x:c r="D68" s="14" t="str">
        <x:v>Château Suduiraut</x:v>
      </x:c>
      <x:c r="E68" s="14" t="str">
        <x:v>第1級</x:v>
      </x:c>
      <x:c r="F68" s="14" t="str">
        <x:v>Sauternes</x:v>
      </x:c>
      <x:c r="G68" s="14" t="str">
        <x:v>Sauternes／Barsac</x:v>
      </x:c>
      <x:c r="H68" s="14" t="str">
        <x:v>生産者</x:v>
      </x:c>
      <x:c r="I68" s="14" t="str">
        <x:v>term-535f7750762c</x:v>
      </x:c>
      <x:c r="J68" s="14" t="str"/>
      <x:c r="K68" s="14" t="str">
        <x:v>bordeaux_1855_official</x:v>
      </x:c>
    </x:row>
    <x:row r="69" ht="30" customHeight="1">
      <x:c r="A69" s="14" t="str">
        <x:v>classification-068</x:v>
      </x:c>
      <x:c r="B69" s="14" t="str">
        <x:v>bordeaux_1855_sauternes</x:v>
      </x:c>
      <x:c r="C69" s="14" t="str">
        <x:v>Château Coutet</x:v>
      </x:c>
      <x:c r="D69" s="14" t="str">
        <x:v>Château Coutet</x:v>
      </x:c>
      <x:c r="E69" s="14" t="str">
        <x:v>第1級</x:v>
      </x:c>
      <x:c r="F69" s="14" t="str">
        <x:v>Barsac</x:v>
      </x:c>
      <x:c r="G69" s="14" t="str">
        <x:v>Sauternes／Barsac</x:v>
      </x:c>
      <x:c r="H69" s="14" t="str">
        <x:v>生産者</x:v>
      </x:c>
      <x:c r="I69" s="14" t="str">
        <x:v>term-4bca31cd40c7</x:v>
      </x:c>
      <x:c r="J69" s="14" t="str"/>
      <x:c r="K69" s="14" t="str">
        <x:v>bordeaux_1855_official</x:v>
      </x:c>
    </x:row>
    <x:row r="70" ht="30" customHeight="1">
      <x:c r="A70" s="14" t="str">
        <x:v>classification-069</x:v>
      </x:c>
      <x:c r="B70" s="14" t="str">
        <x:v>bordeaux_1855_sauternes</x:v>
      </x:c>
      <x:c r="C70" s="14" t="str">
        <x:v>Château Climens</x:v>
      </x:c>
      <x:c r="D70" s="14" t="str">
        <x:v>Château Climens</x:v>
      </x:c>
      <x:c r="E70" s="14" t="str">
        <x:v>第1級</x:v>
      </x:c>
      <x:c r="F70" s="14" t="str">
        <x:v>Barsac</x:v>
      </x:c>
      <x:c r="G70" s="14" t="str">
        <x:v>Sauternes／Barsac</x:v>
      </x:c>
      <x:c r="H70" s="14" t="str">
        <x:v>生産者</x:v>
      </x:c>
      <x:c r="I70" s="14" t="str">
        <x:v>term-f27a68e46826</x:v>
      </x:c>
      <x:c r="J70" s="14" t="str"/>
      <x:c r="K70" s="14" t="str">
        <x:v>bordeaux_1855_official</x:v>
      </x:c>
    </x:row>
    <x:row r="71" ht="30" customHeight="1">
      <x:c r="A71" s="14" t="str">
        <x:v>classification-070</x:v>
      </x:c>
      <x:c r="B71" s="14" t="str">
        <x:v>bordeaux_1855_sauternes</x:v>
      </x:c>
      <x:c r="C71" s="14" t="str">
        <x:v>Château Guiraud</x:v>
      </x:c>
      <x:c r="D71" s="14" t="str">
        <x:v>Château Guiraud</x:v>
      </x:c>
      <x:c r="E71" s="14" t="str">
        <x:v>第1級</x:v>
      </x:c>
      <x:c r="F71" s="14" t="str">
        <x:v>Sauternes</x:v>
      </x:c>
      <x:c r="G71" s="14" t="str">
        <x:v>Sauternes／Barsac</x:v>
      </x:c>
      <x:c r="H71" s="14" t="str">
        <x:v>生産者</x:v>
      </x:c>
      <x:c r="I71" s="14" t="str">
        <x:v>term-ff10e85bda52</x:v>
      </x:c>
      <x:c r="J71" s="14" t="str"/>
      <x:c r="K71" s="14" t="str">
        <x:v>bordeaux_1855_official</x:v>
      </x:c>
    </x:row>
    <x:row r="72" ht="30" customHeight="1">
      <x:c r="A72" s="14" t="str">
        <x:v>classification-071</x:v>
      </x:c>
      <x:c r="B72" s="14" t="str">
        <x:v>bordeaux_1855_sauternes</x:v>
      </x:c>
      <x:c r="C72" s="14" t="str">
        <x:v>Château Rieussec</x:v>
      </x:c>
      <x:c r="D72" s="14" t="str">
        <x:v>Château Rieussec</x:v>
      </x:c>
      <x:c r="E72" s="14" t="str">
        <x:v>第1級</x:v>
      </x:c>
      <x:c r="F72" s="14" t="str">
        <x:v>Sauternes</x:v>
      </x:c>
      <x:c r="G72" s="14" t="str">
        <x:v>Sauternes／Barsac</x:v>
      </x:c>
      <x:c r="H72" s="14" t="str">
        <x:v>生産者</x:v>
      </x:c>
      <x:c r="I72" s="14" t="str">
        <x:v>term-e2aa475326c1</x:v>
      </x:c>
      <x:c r="J72" s="14" t="str"/>
      <x:c r="K72" s="14" t="str">
        <x:v>bordeaux_1855_official</x:v>
      </x:c>
    </x:row>
    <x:row r="73" ht="30" customHeight="1">
      <x:c r="A73" s="14" t="str">
        <x:v>classification-072</x:v>
      </x:c>
      <x:c r="B73" s="14" t="str">
        <x:v>bordeaux_1855_sauternes</x:v>
      </x:c>
      <x:c r="C73" s="14" t="str">
        <x:v>Château Rabaud-Promis</x:v>
      </x:c>
      <x:c r="D73" s="14" t="str">
        <x:v>Château Rabaud-Promis</x:v>
      </x:c>
      <x:c r="E73" s="14" t="str">
        <x:v>第1級</x:v>
      </x:c>
      <x:c r="F73" s="14" t="str">
        <x:v>Sauternes</x:v>
      </x:c>
      <x:c r="G73" s="14" t="str">
        <x:v>Sauternes／Barsac</x:v>
      </x:c>
      <x:c r="H73" s="14" t="str">
        <x:v>生産者</x:v>
      </x:c>
      <x:c r="I73" s="14" t="str">
        <x:v>term-da979e805a17</x:v>
      </x:c>
      <x:c r="J73" s="14" t="str"/>
      <x:c r="K73" s="14" t="str">
        <x:v>bordeaux_1855_official</x:v>
      </x:c>
    </x:row>
    <x:row r="74" ht="30" customHeight="1">
      <x:c r="A74" s="14" t="str">
        <x:v>classification-073</x:v>
      </x:c>
      <x:c r="B74" s="14" t="str">
        <x:v>bordeaux_1855_sauternes</x:v>
      </x:c>
      <x:c r="C74" s="14" t="str">
        <x:v>Château de Myrat</x:v>
      </x:c>
      <x:c r="D74" s="14" t="str">
        <x:v>Château de Myrat</x:v>
      </x:c>
      <x:c r="E74" s="14" t="str">
        <x:v>第2級</x:v>
      </x:c>
      <x:c r="F74" s="14" t="str">
        <x:v>Barsac</x:v>
      </x:c>
      <x:c r="G74" s="14" t="str">
        <x:v>Sauternes／Barsac</x:v>
      </x:c>
      <x:c r="H74" s="14" t="str">
        <x:v>生産者</x:v>
      </x:c>
      <x:c r="I74" s="14" t="str">
        <x:v>term-6790a6944ca2</x:v>
      </x:c>
      <x:c r="J74" s="14" t="str"/>
      <x:c r="K74" s="14" t="str">
        <x:v>bordeaux_1855_official</x:v>
      </x:c>
    </x:row>
    <x:row r="75" ht="30" customHeight="1">
      <x:c r="A75" s="14" t="str">
        <x:v>classification-074</x:v>
      </x:c>
      <x:c r="B75" s="14" t="str">
        <x:v>bordeaux_1855_sauternes</x:v>
      </x:c>
      <x:c r="C75" s="14" t="str">
        <x:v>Château Doisy Daene</x:v>
      </x:c>
      <x:c r="D75" s="14" t="str">
        <x:v>Château Doisy Daene</x:v>
      </x:c>
      <x:c r="E75" s="14" t="str">
        <x:v>第2級</x:v>
      </x:c>
      <x:c r="F75" s="14" t="str">
        <x:v>Barsac</x:v>
      </x:c>
      <x:c r="G75" s="14" t="str">
        <x:v>Sauternes／Barsac</x:v>
      </x:c>
      <x:c r="H75" s="14" t="str">
        <x:v>生産者</x:v>
      </x:c>
      <x:c r="I75" s="14" t="str">
        <x:v>term-e66bb394d739</x:v>
      </x:c>
      <x:c r="J75" s="14" t="str"/>
      <x:c r="K75" s="14" t="str">
        <x:v>bordeaux_1855_official</x:v>
      </x:c>
    </x:row>
    <x:row r="76" ht="30" customHeight="1">
      <x:c r="A76" s="14" t="str">
        <x:v>classification-075</x:v>
      </x:c>
      <x:c r="B76" s="14" t="str">
        <x:v>bordeaux_1855_sauternes</x:v>
      </x:c>
      <x:c r="C76" s="14" t="str">
        <x:v>Château Doisy-Dubroca</x:v>
      </x:c>
      <x:c r="D76" s="14" t="str">
        <x:v>Château Doisy-Dubroca</x:v>
      </x:c>
      <x:c r="E76" s="14" t="str">
        <x:v>第2級</x:v>
      </x:c>
      <x:c r="F76" s="14" t="str">
        <x:v>Barsac</x:v>
      </x:c>
      <x:c r="G76" s="14" t="str">
        <x:v>Sauternes／Barsac</x:v>
      </x:c>
      <x:c r="H76" s="14" t="str">
        <x:v>生産者</x:v>
      </x:c>
      <x:c r="I76" s="14" t="str">
        <x:v>term-250f3a6a90c4</x:v>
      </x:c>
      <x:c r="J76" s="14" t="str"/>
      <x:c r="K76" s="14" t="str">
        <x:v>bordeaux_1855_official</x:v>
      </x:c>
    </x:row>
    <x:row r="77" ht="30" customHeight="1">
      <x:c r="A77" s="14" t="str">
        <x:v>classification-076</x:v>
      </x:c>
      <x:c r="B77" s="14" t="str">
        <x:v>bordeaux_1855_sauternes</x:v>
      </x:c>
      <x:c r="C77" s="14" t="str">
        <x:v>Château Doisy-Vedrines</x:v>
      </x:c>
      <x:c r="D77" s="14" t="str">
        <x:v>Château Doisy-Vedrines</x:v>
      </x:c>
      <x:c r="E77" s="14" t="str">
        <x:v>第2級</x:v>
      </x:c>
      <x:c r="F77" s="14" t="str">
        <x:v>Barsac</x:v>
      </x:c>
      <x:c r="G77" s="14" t="str">
        <x:v>Sauternes／Barsac</x:v>
      </x:c>
      <x:c r="H77" s="14" t="str">
        <x:v>生産者</x:v>
      </x:c>
      <x:c r="I77" s="14" t="str">
        <x:v>term-99397e5fb40d</x:v>
      </x:c>
      <x:c r="J77" s="14" t="str"/>
      <x:c r="K77" s="14" t="str">
        <x:v>bordeaux_1855_official</x:v>
      </x:c>
    </x:row>
    <x:row r="78" ht="30" customHeight="1">
      <x:c r="A78" s="14" t="str">
        <x:v>classification-077</x:v>
      </x:c>
      <x:c r="B78" s="14" t="str">
        <x:v>bordeaux_1855_sauternes</x:v>
      </x:c>
      <x:c r="C78" s="14" t="str">
        <x:v>Château d’Arche</x:v>
      </x:c>
      <x:c r="D78" s="14" t="str">
        <x:v>Château d’Arche</x:v>
      </x:c>
      <x:c r="E78" s="14" t="str">
        <x:v>第2級</x:v>
      </x:c>
      <x:c r="F78" s="14" t="str">
        <x:v>Sauternes</x:v>
      </x:c>
      <x:c r="G78" s="14" t="str">
        <x:v>Sauternes／Barsac</x:v>
      </x:c>
      <x:c r="H78" s="14" t="str">
        <x:v>生産者</x:v>
      </x:c>
      <x:c r="I78" s="14" t="str">
        <x:v>term-8dfac958ccf7</x:v>
      </x:c>
      <x:c r="J78" s="14" t="str"/>
      <x:c r="K78" s="14" t="str">
        <x:v>bordeaux_1855_official</x:v>
      </x:c>
    </x:row>
    <x:row r="79" ht="30" customHeight="1">
      <x:c r="A79" s="14" t="str">
        <x:v>classification-078</x:v>
      </x:c>
      <x:c r="B79" s="14" t="str">
        <x:v>bordeaux_1855_sauternes</x:v>
      </x:c>
      <x:c r="C79" s="14" t="str">
        <x:v>Château Filhot</x:v>
      </x:c>
      <x:c r="D79" s="14" t="str">
        <x:v>Château Filhot</x:v>
      </x:c>
      <x:c r="E79" s="14" t="str">
        <x:v>第2級</x:v>
      </x:c>
      <x:c r="F79" s="14" t="str">
        <x:v>Sauternes</x:v>
      </x:c>
      <x:c r="G79" s="14" t="str">
        <x:v>Sauternes／Barsac</x:v>
      </x:c>
      <x:c r="H79" s="14" t="str">
        <x:v>生産者</x:v>
      </x:c>
      <x:c r="I79" s="14" t="str">
        <x:v>term-8f19e27eb59a</x:v>
      </x:c>
      <x:c r="J79" s="14" t="str"/>
      <x:c r="K79" s="14" t="str">
        <x:v>bordeaux_1855_official</x:v>
      </x:c>
    </x:row>
    <x:row r="80" ht="30" customHeight="1">
      <x:c r="A80" s="14" t="str">
        <x:v>classification-079</x:v>
      </x:c>
      <x:c r="B80" s="14" t="str">
        <x:v>bordeaux_1855_sauternes</x:v>
      </x:c>
      <x:c r="C80" s="14" t="str">
        <x:v>Château Broustet</x:v>
      </x:c>
      <x:c r="D80" s="14" t="str">
        <x:v>Château Broustet</x:v>
      </x:c>
      <x:c r="E80" s="14" t="str">
        <x:v>第2級</x:v>
      </x:c>
      <x:c r="F80" s="14" t="str">
        <x:v>Barsac</x:v>
      </x:c>
      <x:c r="G80" s="14" t="str">
        <x:v>Sauternes／Barsac</x:v>
      </x:c>
      <x:c r="H80" s="14" t="str">
        <x:v>生産者</x:v>
      </x:c>
      <x:c r="I80" s="14" t="str">
        <x:v>term-c5f0b9781b42</x:v>
      </x:c>
      <x:c r="J80" s="14" t="str"/>
      <x:c r="K80" s="14" t="str">
        <x:v>bordeaux_1855_official</x:v>
      </x:c>
    </x:row>
    <x:row r="81" ht="30" customHeight="1">
      <x:c r="A81" s="14" t="str">
        <x:v>classification-080</x:v>
      </x:c>
      <x:c r="B81" s="14" t="str">
        <x:v>bordeaux_1855_sauternes</x:v>
      </x:c>
      <x:c r="C81" s="14" t="str">
        <x:v>Château Nairac</x:v>
      </x:c>
      <x:c r="D81" s="14" t="str">
        <x:v>Château Nairac</x:v>
      </x:c>
      <x:c r="E81" s="14" t="str">
        <x:v>第2級</x:v>
      </x:c>
      <x:c r="F81" s="14" t="str">
        <x:v>Barsac</x:v>
      </x:c>
      <x:c r="G81" s="14" t="str">
        <x:v>Sauternes／Barsac</x:v>
      </x:c>
      <x:c r="H81" s="14" t="str">
        <x:v>生産者</x:v>
      </x:c>
      <x:c r="I81" s="14" t="str">
        <x:v>term-48c335ef30b7</x:v>
      </x:c>
      <x:c r="J81" s="14" t="str"/>
      <x:c r="K81" s="14" t="str">
        <x:v>bordeaux_1855_official</x:v>
      </x:c>
    </x:row>
    <x:row r="82" ht="30" customHeight="1">
      <x:c r="A82" s="14" t="str">
        <x:v>classification-081</x:v>
      </x:c>
      <x:c r="B82" s="14" t="str">
        <x:v>bordeaux_1855_sauternes</x:v>
      </x:c>
      <x:c r="C82" s="14" t="str">
        <x:v>Château Caillou</x:v>
      </x:c>
      <x:c r="D82" s="14" t="str">
        <x:v>Château Caillou</x:v>
      </x:c>
      <x:c r="E82" s="14" t="str">
        <x:v>第2級</x:v>
      </x:c>
      <x:c r="F82" s="14" t="str">
        <x:v>Barsac</x:v>
      </x:c>
      <x:c r="G82" s="14" t="str">
        <x:v>Sauternes／Barsac</x:v>
      </x:c>
      <x:c r="H82" s="14" t="str">
        <x:v>生産者</x:v>
      </x:c>
      <x:c r="I82" s="14" t="str">
        <x:v>term-1bf065679caa</x:v>
      </x:c>
      <x:c r="J82" s="14" t="str"/>
      <x:c r="K82" s="14" t="str">
        <x:v>bordeaux_1855_official</x:v>
      </x:c>
    </x:row>
    <x:row r="83" ht="30" customHeight="1">
      <x:c r="A83" s="14" t="str">
        <x:v>classification-082</x:v>
      </x:c>
      <x:c r="B83" s="14" t="str">
        <x:v>bordeaux_1855_sauternes</x:v>
      </x:c>
      <x:c r="C83" s="14" t="str">
        <x:v>Château Suau</x:v>
      </x:c>
      <x:c r="D83" s="14" t="str">
        <x:v>Château Suau</x:v>
      </x:c>
      <x:c r="E83" s="14" t="str">
        <x:v>第2級</x:v>
      </x:c>
      <x:c r="F83" s="14" t="str">
        <x:v>Barsac</x:v>
      </x:c>
      <x:c r="G83" s="14" t="str">
        <x:v>Sauternes／Barsac</x:v>
      </x:c>
      <x:c r="H83" s="14" t="str">
        <x:v>生産者</x:v>
      </x:c>
      <x:c r="I83" s="14" t="str">
        <x:v>term-597018e01631</x:v>
      </x:c>
      <x:c r="J83" s="14" t="str"/>
      <x:c r="K83" s="14" t="str">
        <x:v>bordeaux_1855_official</x:v>
      </x:c>
    </x:row>
    <x:row r="84" ht="30" customHeight="1">
      <x:c r="A84" s="14" t="str">
        <x:v>classification-083</x:v>
      </x:c>
      <x:c r="B84" s="14" t="str">
        <x:v>bordeaux_1855_sauternes</x:v>
      </x:c>
      <x:c r="C84" s="14" t="str">
        <x:v>Château de Malle</x:v>
      </x:c>
      <x:c r="D84" s="14" t="str">
        <x:v>Château de Malle</x:v>
      </x:c>
      <x:c r="E84" s="14" t="str">
        <x:v>第2級</x:v>
      </x:c>
      <x:c r="F84" s="14" t="str">
        <x:v>Sauternes</x:v>
      </x:c>
      <x:c r="G84" s="14" t="str">
        <x:v>Sauternes／Barsac</x:v>
      </x:c>
      <x:c r="H84" s="14" t="str">
        <x:v>生産者</x:v>
      </x:c>
      <x:c r="I84" s="14" t="str">
        <x:v>term-8452b12d1066</x:v>
      </x:c>
      <x:c r="J84" s="14" t="str"/>
      <x:c r="K84" s="14" t="str">
        <x:v>bordeaux_1855_official</x:v>
      </x:c>
    </x:row>
    <x:row r="85" ht="30" customHeight="1">
      <x:c r="A85" s="14" t="str">
        <x:v>classification-084</x:v>
      </x:c>
      <x:c r="B85" s="14" t="str">
        <x:v>bordeaux_1855_sauternes</x:v>
      </x:c>
      <x:c r="C85" s="14" t="str">
        <x:v>Château Romer</x:v>
      </x:c>
      <x:c r="D85" s="14" t="str">
        <x:v>Château Romer</x:v>
      </x:c>
      <x:c r="E85" s="14" t="str">
        <x:v>第2級</x:v>
      </x:c>
      <x:c r="F85" s="14" t="str">
        <x:v>Sauternes</x:v>
      </x:c>
      <x:c r="G85" s="14" t="str">
        <x:v>Sauternes／Barsac</x:v>
      </x:c>
      <x:c r="H85" s="14" t="str">
        <x:v>生産者</x:v>
      </x:c>
      <x:c r="I85" s="14" t="str">
        <x:v>term-3e47e37e5e2c</x:v>
      </x:c>
      <x:c r="J85" s="14" t="str"/>
      <x:c r="K85" s="14" t="str">
        <x:v>bordeaux_1855_official</x:v>
      </x:c>
    </x:row>
    <x:row r="86" ht="30" customHeight="1">
      <x:c r="A86" s="14" t="str">
        <x:v>classification-085</x:v>
      </x:c>
      <x:c r="B86" s="14" t="str">
        <x:v>bordeaux_1855_sauternes</x:v>
      </x:c>
      <x:c r="C86" s="14" t="str">
        <x:v>Château Romer-Du-Hayot</x:v>
      </x:c>
      <x:c r="D86" s="14" t="str">
        <x:v>Château Romer-Du-Hayot</x:v>
      </x:c>
      <x:c r="E86" s="14" t="str">
        <x:v>第2級</x:v>
      </x:c>
      <x:c r="F86" s="14" t="str">
        <x:v>Sauternes</x:v>
      </x:c>
      <x:c r="G86" s="14" t="str">
        <x:v>Sauternes／Barsac</x:v>
      </x:c>
      <x:c r="H86" s="14" t="str">
        <x:v>生産者</x:v>
      </x:c>
      <x:c r="I86" s="14" t="str">
        <x:v>term-ba51b054f730</x:v>
      </x:c>
      <x:c r="J86" s="14" t="str"/>
      <x:c r="K86" s="14" t="str">
        <x:v>bordeaux_1855_official</x:v>
      </x:c>
    </x:row>
    <x:row r="87" ht="30" customHeight="1">
      <x:c r="A87" s="14" t="str">
        <x:v>classification-086</x:v>
      </x:c>
      <x:c r="B87" s="14" t="str">
        <x:v>bordeaux_1855_sauternes</x:v>
      </x:c>
      <x:c r="C87" s="14" t="str">
        <x:v>Château Lamothe</x:v>
      </x:c>
      <x:c r="D87" s="14" t="str">
        <x:v>Château Lamothe</x:v>
      </x:c>
      <x:c r="E87" s="14" t="str">
        <x:v>第2級</x:v>
      </x:c>
      <x:c r="F87" s="14" t="str">
        <x:v>Sauternes</x:v>
      </x:c>
      <x:c r="G87" s="14" t="str">
        <x:v>Sauternes／Barsac</x:v>
      </x:c>
      <x:c r="H87" s="14" t="str">
        <x:v>生産者</x:v>
      </x:c>
      <x:c r="I87" s="14" t="str">
        <x:v>term-baf1de74a970</x:v>
      </x:c>
      <x:c r="J87" s="14" t="str"/>
      <x:c r="K87" s="14" t="str">
        <x:v>bordeaux_1855_official</x:v>
      </x:c>
    </x:row>
    <x:row r="88" ht="30" customHeight="1">
      <x:c r="A88" s="14" t="str">
        <x:v>classification-087</x:v>
      </x:c>
      <x:c r="B88" s="14" t="str">
        <x:v>bordeaux_1855_sauternes</x:v>
      </x:c>
      <x:c r="C88" s="14" t="str">
        <x:v>Château Lamothe-Guignard</x:v>
      </x:c>
      <x:c r="D88" s="14" t="str">
        <x:v>Château Lamothe-Guignard</x:v>
      </x:c>
      <x:c r="E88" s="14" t="str">
        <x:v>第2級</x:v>
      </x:c>
      <x:c r="F88" s="14" t="str">
        <x:v>Sauternes</x:v>
      </x:c>
      <x:c r="G88" s="14" t="str">
        <x:v>Sauternes／Barsac</x:v>
      </x:c>
      <x:c r="H88" s="14" t="str">
        <x:v>生産者</x:v>
      </x:c>
      <x:c r="I88" s="14" t="str">
        <x:v>term-7b28192e5d61</x:v>
      </x:c>
      <x:c r="J88" s="14" t="str"/>
      <x:c r="K88" s="14" t="str">
        <x:v>bordeaux_1855_official</x:v>
      </x:c>
    </x:row>
    <x:row r="89" ht="30" customHeight="1">
      <x:c r="A89" s="14" t="str">
        <x:v>classification-088</x:v>
      </x:c>
      <x:c r="B89" s="14" t="str">
        <x:v>bordeaux_1855_sauternes</x:v>
      </x:c>
      <x:c r="C89" s="14" t="str">
        <x:v>Château Sigalas-Rabaud</x:v>
      </x:c>
      <x:c r="D89" s="14" t="str">
        <x:v>Château Sigalas-Rabaud</x:v>
      </x:c>
      <x:c r="E89" s="14" t="str">
        <x:v>第1級</x:v>
      </x:c>
      <x:c r="F89" s="14" t="str">
        <x:v>Sauternes</x:v>
      </x:c>
      <x:c r="G89" s="14" t="str">
        <x:v>Sauternes／Barsac</x:v>
      </x:c>
      <x:c r="H89" s="14" t="str">
        <x:v>生産者</x:v>
      </x:c>
      <x:c r="I89" s="14" t="str">
        <x:v>term-b14e02ebc8c8</x:v>
      </x:c>
      <x:c r="J89" s="14" t="str">
        <x:v>公式ページの現行カード一覧で欠落しているため歴史的分類表から補完。</x:v>
      </x:c>
      <x:c r="K89" s="14" t="str">
        <x:v>bordeaux_1855_official</x:v>
      </x:c>
    </x:row>
    <x:row r="90" ht="30" customHeight="1">
      <x:c r="A90" s="14" t="str">
        <x:v>classification-089</x:v>
      </x:c>
      <x:c r="B90" s="14" t="str">
        <x:v>bordeaux_saint_emilion_2022</x:v>
      </x:c>
      <x:c r="C90" s="14" t="str">
        <x:v>Château Beau-Séjour Bécot</x:v>
      </x:c>
      <x:c r="D90" s="14" t="str">
        <x:v>Château Beau-Séjour Bécot</x:v>
      </x:c>
      <x:c r="E90" s="14" t="str">
        <x:v>Premier Grand Cru Classé B</x:v>
      </x:c>
      <x:c r="F90" s="14" t="str">
        <x:v>Saint-Émilion</x:v>
      </x:c>
      <x:c r="G90" s="14" t="str">
        <x:v>右岸</x:v>
      </x:c>
      <x:c r="H90" s="14" t="str">
        <x:v>生産者</x:v>
      </x:c>
      <x:c r="I90" s="14" t="str">
        <x:v>term-4de91af9a760</x:v>
      </x:c>
      <x:c r="J90" s="14" t="str"/>
      <x:c r="K90" s="14" t="str">
        <x:v>saint_emilion_2022_official</x:v>
      </x:c>
    </x:row>
    <x:row r="91" ht="30" customHeight="1">
      <x:c r="A91" s="14" t="str">
        <x:v>classification-090</x:v>
      </x:c>
      <x:c r="B91" s="14" t="str">
        <x:v>bordeaux_saint_emilion_2022</x:v>
      </x:c>
      <x:c r="C91" s="14" t="str">
        <x:v>Château Beauséjour Duffau-Lagarrosse</x:v>
      </x:c>
      <x:c r="D91" s="14" t="str">
        <x:v>Château Beauséjour Duffau-Lagarrosse</x:v>
      </x:c>
      <x:c r="E91" s="14" t="str">
        <x:v>Premier Grand Cru Classé B</x:v>
      </x:c>
      <x:c r="F91" s="14" t="str">
        <x:v>Saint-Émilion</x:v>
      </x:c>
      <x:c r="G91" s="14" t="str">
        <x:v>右岸</x:v>
      </x:c>
      <x:c r="H91" s="14" t="str">
        <x:v>生産者</x:v>
      </x:c>
      <x:c r="I91" s="14" t="str">
        <x:v>term-43f2578e5d61</x:v>
      </x:c>
      <x:c r="J91" s="14" t="str"/>
      <x:c r="K91" s="14" t="str">
        <x:v>saint_emilion_2022_official</x:v>
      </x:c>
    </x:row>
    <x:row r="92" ht="30" customHeight="1">
      <x:c r="A92" s="14" t="str">
        <x:v>classification-091</x:v>
      </x:c>
      <x:c r="B92" s="14" t="str">
        <x:v>bordeaux_saint_emilion_2022</x:v>
      </x:c>
      <x:c r="C92" s="14" t="str">
        <x:v>Château Bélair-Monange</x:v>
      </x:c>
      <x:c r="D92" s="14" t="str">
        <x:v>Château Bélair-Monange</x:v>
      </x:c>
      <x:c r="E92" s="14" t="str">
        <x:v>Premier Grand Cru Classé B</x:v>
      </x:c>
      <x:c r="F92" s="14" t="str">
        <x:v>Saint-Émilion</x:v>
      </x:c>
      <x:c r="G92" s="14" t="str">
        <x:v>右岸</x:v>
      </x:c>
      <x:c r="H92" s="14" t="str">
        <x:v>生産者</x:v>
      </x:c>
      <x:c r="I92" s="14" t="str">
        <x:v>term-dbc9ed4a2d2e</x:v>
      </x:c>
      <x:c r="J92" s="14" t="str"/>
      <x:c r="K92" s="14" t="str">
        <x:v>saint_emilion_2022_official</x:v>
      </x:c>
    </x:row>
    <x:row r="93" ht="30" customHeight="1">
      <x:c r="A93" s="14" t="str">
        <x:v>classification-092</x:v>
      </x:c>
      <x:c r="B93" s="14" t="str">
        <x:v>bordeaux_saint_emilion_2022</x:v>
      </x:c>
      <x:c r="C93" s="14" t="str">
        <x:v>Château Canon</x:v>
      </x:c>
      <x:c r="D93" s="14" t="str">
        <x:v>Château Canon</x:v>
      </x:c>
      <x:c r="E93" s="14" t="str">
        <x:v>Premier Grand Cru Classé B</x:v>
      </x:c>
      <x:c r="F93" s="14" t="str">
        <x:v>Saint-Émilion</x:v>
      </x:c>
      <x:c r="G93" s="14" t="str">
        <x:v>右岸</x:v>
      </x:c>
      <x:c r="H93" s="14" t="str">
        <x:v>生産者</x:v>
      </x:c>
      <x:c r="I93" s="14" t="str">
        <x:v>term-7ca84e8f9e2a</x:v>
      </x:c>
      <x:c r="J93" s="14" t="str"/>
      <x:c r="K93" s="14" t="str">
        <x:v>saint_emilion_2022_official</x:v>
      </x:c>
    </x:row>
    <x:row r="94" ht="30" customHeight="1">
      <x:c r="A94" s="14" t="str">
        <x:v>classification-093</x:v>
      </x:c>
      <x:c r="B94" s="14" t="str">
        <x:v>bordeaux_saint_emilion_2022</x:v>
      </x:c>
      <x:c r="C94" s="14" t="str">
        <x:v>Château Canon la Gaffelière</x:v>
      </x:c>
      <x:c r="D94" s="14" t="str">
        <x:v>Château Canon la Gaffelière</x:v>
      </x:c>
      <x:c r="E94" s="14" t="str">
        <x:v>Premier Grand Cru Classé B</x:v>
      </x:c>
      <x:c r="F94" s="14" t="str">
        <x:v>Saint-Émilion</x:v>
      </x:c>
      <x:c r="G94" s="14" t="str">
        <x:v>右岸</x:v>
      </x:c>
      <x:c r="H94" s="14" t="str">
        <x:v>生産者</x:v>
      </x:c>
      <x:c r="I94" s="14" t="str">
        <x:v>term-36fa235c2d46</x:v>
      </x:c>
      <x:c r="J94" s="14" t="str"/>
      <x:c r="K94" s="14" t="str">
        <x:v>saint_emilion_2022_official</x:v>
      </x:c>
    </x:row>
    <x:row r="95" ht="30" customHeight="1">
      <x:c r="A95" s="14" t="str">
        <x:v>classification-094</x:v>
      </x:c>
      <x:c r="B95" s="14" t="str">
        <x:v>bordeaux_saint_emilion_2022</x:v>
      </x:c>
      <x:c r="C95" s="14" t="str">
        <x:v>Clos Fourtet</x:v>
      </x:c>
      <x:c r="D95" s="14" t="str">
        <x:v>Clos Fourtet</x:v>
      </x:c>
      <x:c r="E95" s="14" t="str">
        <x:v>Premier Grand Cru Classé B</x:v>
      </x:c>
      <x:c r="F95" s="14" t="str">
        <x:v>Saint-Émilion</x:v>
      </x:c>
      <x:c r="G95" s="14" t="str">
        <x:v>右岸</x:v>
      </x:c>
      <x:c r="H95" s="14" t="str">
        <x:v>生産者</x:v>
      </x:c>
      <x:c r="I95" s="14" t="str">
        <x:v>term-50aa4b3cdeb8</x:v>
      </x:c>
      <x:c r="J95" s="14" t="str"/>
      <x:c r="K95" s="14" t="str">
        <x:v>saint_emilion_2022_official</x:v>
      </x:c>
    </x:row>
    <x:row r="96" ht="30" customHeight="1">
      <x:c r="A96" s="14" t="str">
        <x:v>classification-095</x:v>
      </x:c>
      <x:c r="B96" s="14" t="str">
        <x:v>bordeaux_saint_emilion_2022</x:v>
      </x:c>
      <x:c r="C96" s="14" t="str">
        <x:v>Château Figeac</x:v>
      </x:c>
      <x:c r="D96" s="14" t="str">
        <x:v>Château Figeac</x:v>
      </x:c>
      <x:c r="E96" s="14" t="str">
        <x:v>Premier Grand Cru Classé A</x:v>
      </x:c>
      <x:c r="F96" s="14" t="str">
        <x:v>Saint-Émilion</x:v>
      </x:c>
      <x:c r="G96" s="14" t="str">
        <x:v>右岸</x:v>
      </x:c>
      <x:c r="H96" s="14" t="str">
        <x:v>生産者</x:v>
      </x:c>
      <x:c r="I96" s="14" t="str">
        <x:v>term-b63c8dfce054</x:v>
      </x:c>
      <x:c r="J96" s="14" t="str"/>
      <x:c r="K96" s="14" t="str">
        <x:v>saint_emilion_2022_official</x:v>
      </x:c>
    </x:row>
    <x:row r="97" ht="30" customHeight="1">
      <x:c r="A97" s="14" t="str">
        <x:v>classification-096</x:v>
      </x:c>
      <x:c r="B97" s="14" t="str">
        <x:v>bordeaux_saint_emilion_2022</x:v>
      </x:c>
      <x:c r="C97" s="14" t="str">
        <x:v>La Mondotte</x:v>
      </x:c>
      <x:c r="D97" s="14" t="str">
        <x:v>La Mondotte</x:v>
      </x:c>
      <x:c r="E97" s="14" t="str">
        <x:v>Premier Grand Cru Classé B</x:v>
      </x:c>
      <x:c r="F97" s="14" t="str">
        <x:v>Saint-Émilion</x:v>
      </x:c>
      <x:c r="G97" s="14" t="str">
        <x:v>右岸</x:v>
      </x:c>
      <x:c r="H97" s="14" t="str">
        <x:v>生産者</x:v>
      </x:c>
      <x:c r="I97" s="14" t="str">
        <x:v>term-5631fcb0907e</x:v>
      </x:c>
      <x:c r="J97" s="14" t="str"/>
      <x:c r="K97" s="14" t="str">
        <x:v>saint_emilion_2022_official</x:v>
      </x:c>
    </x:row>
    <x:row r="98" ht="30" customHeight="1">
      <x:c r="A98" s="14" t="str">
        <x:v>classification-097</x:v>
      </x:c>
      <x:c r="B98" s="14" t="str">
        <x:v>bordeaux_saint_emilion_2022</x:v>
      </x:c>
      <x:c r="C98" s="14" t="str">
        <x:v>Château Larcis Ducasse</x:v>
      </x:c>
      <x:c r="D98" s="14" t="str">
        <x:v>Château Larcis Ducasse</x:v>
      </x:c>
      <x:c r="E98" s="14" t="str">
        <x:v>Premier Grand Cru Classé B</x:v>
      </x:c>
      <x:c r="F98" s="14" t="str">
        <x:v>Saint-Émilion</x:v>
      </x:c>
      <x:c r="G98" s="14" t="str">
        <x:v>右岸</x:v>
      </x:c>
      <x:c r="H98" s="14" t="str">
        <x:v>生産者</x:v>
      </x:c>
      <x:c r="I98" s="14" t="str">
        <x:v>term-801406d8b7a2</x:v>
      </x:c>
      <x:c r="J98" s="14" t="str"/>
      <x:c r="K98" s="14" t="str">
        <x:v>saint_emilion_2022_official</x:v>
      </x:c>
    </x:row>
    <x:row r="99" ht="30" customHeight="1">
      <x:c r="A99" s="14" t="str">
        <x:v>classification-098</x:v>
      </x:c>
      <x:c r="B99" s="14" t="str">
        <x:v>bordeaux_saint_emilion_2022</x:v>
      </x:c>
      <x:c r="C99" s="14" t="str">
        <x:v>Château Pavie</x:v>
      </x:c>
      <x:c r="D99" s="14" t="str">
        <x:v>Château Pavie</x:v>
      </x:c>
      <x:c r="E99" s="14" t="str">
        <x:v>Premier Grand Cru Classé A</x:v>
      </x:c>
      <x:c r="F99" s="14" t="str">
        <x:v>Saint-Émilion</x:v>
      </x:c>
      <x:c r="G99" s="14" t="str">
        <x:v>右岸</x:v>
      </x:c>
      <x:c r="H99" s="14" t="str">
        <x:v>生産者</x:v>
      </x:c>
      <x:c r="I99" s="14" t="str">
        <x:v>term-04a67d3969da</x:v>
      </x:c>
      <x:c r="J99" s="14" t="str"/>
      <x:c r="K99" s="14" t="str">
        <x:v>saint_emilion_2022_official</x:v>
      </x:c>
    </x:row>
    <x:row r="100" ht="30" customHeight="1">
      <x:c r="A100" s="14" t="str">
        <x:v>classification-099</x:v>
      </x:c>
      <x:c r="B100" s="14" t="str">
        <x:v>bordeaux_saint_emilion_2022</x:v>
      </x:c>
      <x:c r="C100" s="14" t="str">
        <x:v>Château Pavie Macquin</x:v>
      </x:c>
      <x:c r="D100" s="14" t="str">
        <x:v>Château Pavie Macquin</x:v>
      </x:c>
      <x:c r="E100" s="14" t="str">
        <x:v>Premier Grand Cru Classé B</x:v>
      </x:c>
      <x:c r="F100" s="14" t="str">
        <x:v>Saint-Émilion</x:v>
      </x:c>
      <x:c r="G100" s="14" t="str">
        <x:v>右岸</x:v>
      </x:c>
      <x:c r="H100" s="14" t="str">
        <x:v>生産者</x:v>
      </x:c>
      <x:c r="I100" s="14" t="str">
        <x:v>term-d3f90b16b4c7</x:v>
      </x:c>
      <x:c r="J100" s="14" t="str"/>
      <x:c r="K100" s="14" t="str">
        <x:v>saint_emilion_2022_official</x:v>
      </x:c>
    </x:row>
    <x:row r="101" ht="30" customHeight="1">
      <x:c r="A101" s="14" t="str">
        <x:v>classification-100</x:v>
      </x:c>
      <x:c r="B101" s="14" t="str">
        <x:v>bordeaux_saint_emilion_2022</x:v>
      </x:c>
      <x:c r="C101" s="14" t="str">
        <x:v>Château Trolong Mondot</x:v>
      </x:c>
      <x:c r="D101" s="14" t="str">
        <x:v>Château Trolong Mondot</x:v>
      </x:c>
      <x:c r="E101" s="14" t="str">
        <x:v>Premier Grand Cru Classé B</x:v>
      </x:c>
      <x:c r="F101" s="14" t="str">
        <x:v>Saint-Émilion</x:v>
      </x:c>
      <x:c r="G101" s="14" t="str">
        <x:v>右岸</x:v>
      </x:c>
      <x:c r="H101" s="14" t="str">
        <x:v>生産者</x:v>
      </x:c>
      <x:c r="I101" s="14" t="str">
        <x:v>term-ee3c8e47326c</x:v>
      </x:c>
      <x:c r="J101" s="14" t="str"/>
      <x:c r="K101" s="14" t="str">
        <x:v>saint_emilion_2022_official</x:v>
      </x:c>
    </x:row>
    <x:row r="102" ht="30" customHeight="1">
      <x:c r="A102" s="14" t="str">
        <x:v>classification-101</x:v>
      </x:c>
      <x:c r="B102" s="14" t="str">
        <x:v>bordeaux_saint_emilion_2022</x:v>
      </x:c>
      <x:c r="C102" s="14" t="str">
        <x:v>Château Trottevieille</x:v>
      </x:c>
      <x:c r="D102" s="14" t="str">
        <x:v>Château Trottevieille</x:v>
      </x:c>
      <x:c r="E102" s="14" t="str">
        <x:v>Premier Grand Cru Classé B</x:v>
      </x:c>
      <x:c r="F102" s="14" t="str">
        <x:v>Saint-Émilion</x:v>
      </x:c>
      <x:c r="G102" s="14" t="str">
        <x:v>右岸</x:v>
      </x:c>
      <x:c r="H102" s="14" t="str">
        <x:v>生産者</x:v>
      </x:c>
      <x:c r="I102" s="14" t="str">
        <x:v>term-bbdffa96437b</x:v>
      </x:c>
      <x:c r="J102" s="14" t="str"/>
      <x:c r="K102" s="14" t="str">
        <x:v>saint_emilion_2022_official</x:v>
      </x:c>
    </x:row>
    <x:row r="103" ht="30" customHeight="1">
      <x:c r="A103" s="14" t="str">
        <x:v>classification-102</x:v>
      </x:c>
      <x:c r="B103" s="14" t="str">
        <x:v>bordeaux_saint_emilion_2022</x:v>
      </x:c>
      <x:c r="C103" s="14" t="str">
        <x:v>Château Valandraud</x:v>
      </x:c>
      <x:c r="D103" s="14" t="str">
        <x:v>Château Valandraud</x:v>
      </x:c>
      <x:c r="E103" s="14" t="str">
        <x:v>Premier Grand Cru Classé B</x:v>
      </x:c>
      <x:c r="F103" s="14" t="str">
        <x:v>Saint-Émilion</x:v>
      </x:c>
      <x:c r="G103" s="14" t="str">
        <x:v>右岸</x:v>
      </x:c>
      <x:c r="H103" s="14" t="str">
        <x:v>生産者</x:v>
      </x:c>
      <x:c r="I103" s="14" t="str">
        <x:v>term-3e99d99a8c84</x:v>
      </x:c>
      <x:c r="J103" s="14" t="str"/>
      <x:c r="K103" s="14" t="str">
        <x:v>saint_emilion_2022_official</x:v>
      </x:c>
    </x:row>
    <x:row r="104" ht="30" customHeight="1">
      <x:c r="A104" s="14" t="str">
        <x:v>classification-103</x:v>
      </x:c>
      <x:c r="B104" s="14" t="str">
        <x:v>bordeaux_saint_emilion_2022</x:v>
      </x:c>
      <x:c r="C104" s="14" t="str">
        <x:v>Château Badette</x:v>
      </x:c>
      <x:c r="D104" s="14" t="str">
        <x:v>Château Badette</x:v>
      </x:c>
      <x:c r="E104" s="14" t="str">
        <x:v>Grand Cru Classé</x:v>
      </x:c>
      <x:c r="F104" s="14" t="str">
        <x:v>Saint-Émilion</x:v>
      </x:c>
      <x:c r="G104" s="14" t="str">
        <x:v>右岸</x:v>
      </x:c>
      <x:c r="H104" s="14" t="str">
        <x:v>生産者</x:v>
      </x:c>
      <x:c r="I104" s="14" t="str">
        <x:v>term-fff09b3a61be</x:v>
      </x:c>
      <x:c r="J104" s="14" t="str"/>
      <x:c r="K104" s="14" t="str">
        <x:v>saint_emilion_2022_official</x:v>
      </x:c>
    </x:row>
    <x:row r="105" ht="30" customHeight="1">
      <x:c r="A105" s="14" t="str">
        <x:v>classification-104</x:v>
      </x:c>
      <x:c r="B105" s="14" t="str">
        <x:v>bordeaux_saint_emilion_2022</x:v>
      </x:c>
      <x:c r="C105" s="14" t="str">
        <x:v>Château Balestard la Tonnelle</x:v>
      </x:c>
      <x:c r="D105" s="14" t="str">
        <x:v>Château Balestard la Tonnelle</x:v>
      </x:c>
      <x:c r="E105" s="14" t="str">
        <x:v>Grand Cru Classé</x:v>
      </x:c>
      <x:c r="F105" s="14" t="str">
        <x:v>Saint-Émilion</x:v>
      </x:c>
      <x:c r="G105" s="14" t="str">
        <x:v>右岸</x:v>
      </x:c>
      <x:c r="H105" s="14" t="str">
        <x:v>生産者</x:v>
      </x:c>
      <x:c r="I105" s="14" t="str">
        <x:v>term-a4cabe675999</x:v>
      </x:c>
      <x:c r="J105" s="14" t="str"/>
      <x:c r="K105" s="14" t="str">
        <x:v>saint_emilion_2022_official</x:v>
      </x:c>
    </x:row>
    <x:row r="106" ht="30" customHeight="1">
      <x:c r="A106" s="14" t="str">
        <x:v>classification-105</x:v>
      </x:c>
      <x:c r="B106" s="14" t="str">
        <x:v>bordeaux_saint_emilion_2022</x:v>
      </x:c>
      <x:c r="C106" s="14" t="str">
        <x:v>Château Barde-Haut</x:v>
      </x:c>
      <x:c r="D106" s="14" t="str">
        <x:v>Château Barde-Haut</x:v>
      </x:c>
      <x:c r="E106" s="14" t="str">
        <x:v>Grand Cru Classé</x:v>
      </x:c>
      <x:c r="F106" s="14" t="str">
        <x:v>Saint-Émilion</x:v>
      </x:c>
      <x:c r="G106" s="14" t="str">
        <x:v>右岸</x:v>
      </x:c>
      <x:c r="H106" s="14" t="str">
        <x:v>生産者</x:v>
      </x:c>
      <x:c r="I106" s="14" t="str">
        <x:v>term-123e0d9e736f</x:v>
      </x:c>
      <x:c r="J106" s="14" t="str"/>
      <x:c r="K106" s="14" t="str">
        <x:v>saint_emilion_2022_official</x:v>
      </x:c>
    </x:row>
    <x:row r="107" ht="30" customHeight="1">
      <x:c r="A107" s="14" t="str">
        <x:v>classification-106</x:v>
      </x:c>
      <x:c r="B107" s="14" t="str">
        <x:v>bordeaux_saint_emilion_2022</x:v>
      </x:c>
      <x:c r="C107" s="14" t="str">
        <x:v>Château Bellefont Belcier</x:v>
      </x:c>
      <x:c r="D107" s="14" t="str">
        <x:v>Château Bellefont Belcier</x:v>
      </x:c>
      <x:c r="E107" s="14" t="str">
        <x:v>Grand Cru Classé</x:v>
      </x:c>
      <x:c r="F107" s="14" t="str">
        <x:v>Saint-Émilion</x:v>
      </x:c>
      <x:c r="G107" s="14" t="str">
        <x:v>右岸</x:v>
      </x:c>
      <x:c r="H107" s="14" t="str">
        <x:v>生産者</x:v>
      </x:c>
      <x:c r="I107" s="14" t="str">
        <x:v>term-bfef02e4e8cb</x:v>
      </x:c>
      <x:c r="J107" s="14" t="str"/>
      <x:c r="K107" s="14" t="str">
        <x:v>saint_emilion_2022_official</x:v>
      </x:c>
    </x:row>
    <x:row r="108" ht="30" customHeight="1">
      <x:c r="A108" s="14" t="str">
        <x:v>classification-107</x:v>
      </x:c>
      <x:c r="B108" s="14" t="str">
        <x:v>bordeaux_saint_emilion_2022</x:v>
      </x:c>
      <x:c r="C108" s="14" t="str">
        <x:v>Château Bellevue</x:v>
      </x:c>
      <x:c r="D108" s="14" t="str">
        <x:v>Château Bellevue</x:v>
      </x:c>
      <x:c r="E108" s="14" t="str">
        <x:v>Grand Cru Classé</x:v>
      </x:c>
      <x:c r="F108" s="14" t="str">
        <x:v>Saint-Émilion</x:v>
      </x:c>
      <x:c r="G108" s="14" t="str">
        <x:v>右岸</x:v>
      </x:c>
      <x:c r="H108" s="14" t="str">
        <x:v>生産者</x:v>
      </x:c>
      <x:c r="I108" s="14" t="str">
        <x:v>term-8b79f470129d</x:v>
      </x:c>
      <x:c r="J108" s="14" t="str"/>
      <x:c r="K108" s="14" t="str">
        <x:v>saint_emilion_2022_official</x:v>
      </x:c>
    </x:row>
    <x:row r="109" ht="30" customHeight="1">
      <x:c r="A109" s="14" t="str">
        <x:v>classification-108</x:v>
      </x:c>
      <x:c r="B109" s="14" t="str">
        <x:v>bordeaux_saint_emilion_2022</x:v>
      </x:c>
      <x:c r="C109" s="14" t="str">
        <x:v>Château Berliquet</x:v>
      </x:c>
      <x:c r="D109" s="14" t="str">
        <x:v>Château Berliquet</x:v>
      </x:c>
      <x:c r="E109" s="14" t="str">
        <x:v>Grand Cru Classé</x:v>
      </x:c>
      <x:c r="F109" s="14" t="str">
        <x:v>Saint-Émilion</x:v>
      </x:c>
      <x:c r="G109" s="14" t="str">
        <x:v>右岸</x:v>
      </x:c>
      <x:c r="H109" s="14" t="str">
        <x:v>生産者</x:v>
      </x:c>
      <x:c r="I109" s="14" t="str">
        <x:v>term-3ae4887cfe95</x:v>
      </x:c>
      <x:c r="J109" s="14" t="str"/>
      <x:c r="K109" s="14" t="str">
        <x:v>saint_emilion_2022_official</x:v>
      </x:c>
    </x:row>
    <x:row r="110" ht="30" customHeight="1">
      <x:c r="A110" s="14" t="str">
        <x:v>classification-109</x:v>
      </x:c>
      <x:c r="B110" s="14" t="str">
        <x:v>bordeaux_saint_emilion_2022</x:v>
      </x:c>
      <x:c r="C110" s="14" t="str">
        <x:v>Château Boutisse</x:v>
      </x:c>
      <x:c r="D110" s="14" t="str">
        <x:v>Château Boutisse</x:v>
      </x:c>
      <x:c r="E110" s="14" t="str">
        <x:v>Grand Cru Classé</x:v>
      </x:c>
      <x:c r="F110" s="14" t="str">
        <x:v>Saint-Émilion</x:v>
      </x:c>
      <x:c r="G110" s="14" t="str">
        <x:v>右岸</x:v>
      </x:c>
      <x:c r="H110" s="14" t="str">
        <x:v>生産者</x:v>
      </x:c>
      <x:c r="I110" s="14" t="str">
        <x:v>term-a3477ba874ab</x:v>
      </x:c>
      <x:c r="J110" s="14" t="str"/>
      <x:c r="K110" s="14" t="str">
        <x:v>saint_emilion_2022_official</x:v>
      </x:c>
    </x:row>
    <x:row r="111" ht="30" customHeight="1">
      <x:c r="A111" s="14" t="str">
        <x:v>classification-110</x:v>
      </x:c>
      <x:c r="B111" s="14" t="str">
        <x:v>bordeaux_saint_emilion_2022</x:v>
      </x:c>
      <x:c r="C111" s="14" t="str">
        <x:v>Château Cadet-Bon</x:v>
      </x:c>
      <x:c r="D111" s="14" t="str">
        <x:v>Château Cadet-Bon</x:v>
      </x:c>
      <x:c r="E111" s="14" t="str">
        <x:v>Grand Cru Classé</x:v>
      </x:c>
      <x:c r="F111" s="14" t="str">
        <x:v>Saint-Émilion</x:v>
      </x:c>
      <x:c r="G111" s="14" t="str">
        <x:v>右岸</x:v>
      </x:c>
      <x:c r="H111" s="14" t="str">
        <x:v>生産者</x:v>
      </x:c>
      <x:c r="I111" s="14" t="str">
        <x:v>term-015fff6b432d</x:v>
      </x:c>
      <x:c r="J111" s="14" t="str"/>
      <x:c r="K111" s="14" t="str">
        <x:v>saint_emilion_2022_official</x:v>
      </x:c>
    </x:row>
    <x:row r="112" ht="30" customHeight="1">
      <x:c r="A112" s="14" t="str">
        <x:v>classification-111</x:v>
      </x:c>
      <x:c r="B112" s="14" t="str">
        <x:v>bordeaux_saint_emilion_2022</x:v>
      </x:c>
      <x:c r="C112" s="14" t="str">
        <x:v>Château Cap de Mourlin</x:v>
      </x:c>
      <x:c r="D112" s="14" t="str">
        <x:v>Château Cap de Mourlin</x:v>
      </x:c>
      <x:c r="E112" s="14" t="str">
        <x:v>Grand Cru Classé</x:v>
      </x:c>
      <x:c r="F112" s="14" t="str">
        <x:v>Saint-Émilion</x:v>
      </x:c>
      <x:c r="G112" s="14" t="str">
        <x:v>右岸</x:v>
      </x:c>
      <x:c r="H112" s="14" t="str">
        <x:v>生産者</x:v>
      </x:c>
      <x:c r="I112" s="14" t="str">
        <x:v>term-1a21ff19a115</x:v>
      </x:c>
      <x:c r="J112" s="14" t="str"/>
      <x:c r="K112" s="14" t="str">
        <x:v>saint_emilion_2022_official</x:v>
      </x:c>
    </x:row>
    <x:row r="113" ht="30" customHeight="1">
      <x:c r="A113" s="14" t="str">
        <x:v>classification-112</x:v>
      </x:c>
      <x:c r="B113" s="14" t="str">
        <x:v>bordeaux_saint_emilion_2022</x:v>
      </x:c>
      <x:c r="C113" s="14" t="str">
        <x:v>Château Chauvin</x:v>
      </x:c>
      <x:c r="D113" s="14" t="str">
        <x:v>Château Chauvin</x:v>
      </x:c>
      <x:c r="E113" s="14" t="str">
        <x:v>Grand Cru Classé</x:v>
      </x:c>
      <x:c r="F113" s="14" t="str">
        <x:v>Saint-Émilion</x:v>
      </x:c>
      <x:c r="G113" s="14" t="str">
        <x:v>右岸</x:v>
      </x:c>
      <x:c r="H113" s="14" t="str">
        <x:v>生産者</x:v>
      </x:c>
      <x:c r="I113" s="14" t="str">
        <x:v>term-fa11d695b182</x:v>
      </x:c>
      <x:c r="J113" s="14" t="str"/>
      <x:c r="K113" s="14" t="str">
        <x:v>saint_emilion_2022_official</x:v>
      </x:c>
    </x:row>
    <x:row r="114" ht="30" customHeight="1">
      <x:c r="A114" s="14" t="str">
        <x:v>classification-113</x:v>
      </x:c>
      <x:c r="B114" s="14" t="str">
        <x:v>bordeaux_saint_emilion_2022</x:v>
      </x:c>
      <x:c r="C114" s="14" t="str">
        <x:v>Château Clos de Sarpe</x:v>
      </x:c>
      <x:c r="D114" s="14" t="str">
        <x:v>Château Clos de Sarpe</x:v>
      </x:c>
      <x:c r="E114" s="14" t="str">
        <x:v>Grand Cru Classé</x:v>
      </x:c>
      <x:c r="F114" s="14" t="str">
        <x:v>Saint-Émilion</x:v>
      </x:c>
      <x:c r="G114" s="14" t="str">
        <x:v>右岸</x:v>
      </x:c>
      <x:c r="H114" s="14" t="str">
        <x:v>生産者</x:v>
      </x:c>
      <x:c r="I114" s="14" t="str">
        <x:v>term-211c6d6cfacf</x:v>
      </x:c>
      <x:c r="J114" s="14" t="str"/>
      <x:c r="K114" s="14" t="str">
        <x:v>saint_emilion_2022_official</x:v>
      </x:c>
    </x:row>
    <x:row r="115" ht="30" customHeight="1">
      <x:c r="A115" s="14" t="str">
        <x:v>classification-114</x:v>
      </x:c>
      <x:c r="B115" s="14" t="str">
        <x:v>bordeaux_saint_emilion_2022</x:v>
      </x:c>
      <x:c r="C115" s="14" t="str">
        <x:v>Château Corbin</x:v>
      </x:c>
      <x:c r="D115" s="14" t="str">
        <x:v>Château Corbin</x:v>
      </x:c>
      <x:c r="E115" s="14" t="str">
        <x:v>Grand Cru Classé</x:v>
      </x:c>
      <x:c r="F115" s="14" t="str">
        <x:v>Saint-Émilion</x:v>
      </x:c>
      <x:c r="G115" s="14" t="str">
        <x:v>右岸</x:v>
      </x:c>
      <x:c r="H115" s="14" t="str">
        <x:v>生産者</x:v>
      </x:c>
      <x:c r="I115" s="14" t="str">
        <x:v>term-cf53a0e81ae3</x:v>
      </x:c>
      <x:c r="J115" s="14" t="str"/>
      <x:c r="K115" s="14" t="str">
        <x:v>saint_emilion_2022_official</x:v>
      </x:c>
    </x:row>
    <x:row r="116" ht="30" customHeight="1">
      <x:c r="A116" s="14" t="str">
        <x:v>classification-115</x:v>
      </x:c>
      <x:c r="B116" s="14" t="str">
        <x:v>bordeaux_saint_emilion_2022</x:v>
      </x:c>
      <x:c r="C116" s="14" t="str">
        <x:v>Château Corbin Michotte</x:v>
      </x:c>
      <x:c r="D116" s="14" t="str">
        <x:v>Château Corbin Michotte</x:v>
      </x:c>
      <x:c r="E116" s="14" t="str">
        <x:v>Grand Cru Classé</x:v>
      </x:c>
      <x:c r="F116" s="14" t="str">
        <x:v>Saint-Émilion</x:v>
      </x:c>
      <x:c r="G116" s="14" t="str">
        <x:v>右岸</x:v>
      </x:c>
      <x:c r="H116" s="14" t="str">
        <x:v>生産者</x:v>
      </x:c>
      <x:c r="I116" s="14" t="str">
        <x:v>term-73f2f5631c20</x:v>
      </x:c>
      <x:c r="J116" s="14" t="str"/>
      <x:c r="K116" s="14" t="str">
        <x:v>saint_emilion_2022_official</x:v>
      </x:c>
    </x:row>
    <x:row r="117" ht="30" customHeight="1">
      <x:c r="A117" s="14" t="str">
        <x:v>classification-116</x:v>
      </x:c>
      <x:c r="B117" s="14" t="str">
        <x:v>bordeaux_saint_emilion_2022</x:v>
      </x:c>
      <x:c r="C117" s="14" t="str">
        <x:v>Château Croix de Labrie</x:v>
      </x:c>
      <x:c r="D117" s="14" t="str">
        <x:v>Château Croix de Labrie</x:v>
      </x:c>
      <x:c r="E117" s="14" t="str">
        <x:v>Grand Cru Classé</x:v>
      </x:c>
      <x:c r="F117" s="14" t="str">
        <x:v>Saint-Émilion</x:v>
      </x:c>
      <x:c r="G117" s="14" t="str">
        <x:v>右岸</x:v>
      </x:c>
      <x:c r="H117" s="14" t="str">
        <x:v>生産者</x:v>
      </x:c>
      <x:c r="I117" s="14" t="str">
        <x:v>term-84834d95c9e6</x:v>
      </x:c>
      <x:c r="J117" s="14" t="str"/>
      <x:c r="K117" s="14" t="str">
        <x:v>saint_emilion_2022_official</x:v>
      </x:c>
    </x:row>
    <x:row r="118" ht="30" customHeight="1">
      <x:c r="A118" s="14" t="str">
        <x:v>classification-117</x:v>
      </x:c>
      <x:c r="B118" s="14" t="str">
        <x:v>bordeaux_saint_emilion_2022</x:v>
      </x:c>
      <x:c r="C118" s="14" t="str">
        <x:v>Château Côte de Baleau</x:v>
      </x:c>
      <x:c r="D118" s="14" t="str">
        <x:v>Château Côte de Baleau</x:v>
      </x:c>
      <x:c r="E118" s="14" t="str">
        <x:v>Grand Cru Classé</x:v>
      </x:c>
      <x:c r="F118" s="14" t="str">
        <x:v>Saint-Émilion</x:v>
      </x:c>
      <x:c r="G118" s="14" t="str">
        <x:v>右岸</x:v>
      </x:c>
      <x:c r="H118" s="14" t="str">
        <x:v>生産者</x:v>
      </x:c>
      <x:c r="I118" s="14" t="str">
        <x:v>term-3b458a0678af</x:v>
      </x:c>
      <x:c r="J118" s="14" t="str"/>
      <x:c r="K118" s="14" t="str">
        <x:v>saint_emilion_2022_official</x:v>
      </x:c>
    </x:row>
    <x:row r="119" ht="30" customHeight="1">
      <x:c r="A119" s="14" t="str">
        <x:v>classification-118</x:v>
      </x:c>
      <x:c r="B119" s="14" t="str">
        <x:v>bordeaux_saint_emilion_2022</x:v>
      </x:c>
      <x:c r="C119" s="14" t="str">
        <x:v>Château Dassault</x:v>
      </x:c>
      <x:c r="D119" s="14" t="str">
        <x:v>Château Dassault</x:v>
      </x:c>
      <x:c r="E119" s="14" t="str">
        <x:v>Grand Cru Classé</x:v>
      </x:c>
      <x:c r="F119" s="14" t="str">
        <x:v>Saint-Émilion</x:v>
      </x:c>
      <x:c r="G119" s="14" t="str">
        <x:v>右岸</x:v>
      </x:c>
      <x:c r="H119" s="14" t="str">
        <x:v>生産者</x:v>
      </x:c>
      <x:c r="I119" s="14" t="str">
        <x:v>term-04db4de743e2</x:v>
      </x:c>
      <x:c r="J119" s="14" t="str"/>
      <x:c r="K119" s="14" t="str">
        <x:v>saint_emilion_2022_official</x:v>
      </x:c>
    </x:row>
    <x:row r="120" ht="30" customHeight="1">
      <x:c r="A120" s="14" t="str">
        <x:v>classification-119</x:v>
      </x:c>
      <x:c r="B120" s="14" t="str">
        <x:v>bordeaux_saint_emilion_2022</x:v>
      </x:c>
      <x:c r="C120" s="14" t="str">
        <x:v>Château Destieux</x:v>
      </x:c>
      <x:c r="D120" s="14" t="str">
        <x:v>Château Destieux</x:v>
      </x:c>
      <x:c r="E120" s="14" t="str">
        <x:v>Grand Cru Classé</x:v>
      </x:c>
      <x:c r="F120" s="14" t="str">
        <x:v>Saint-Émilion</x:v>
      </x:c>
      <x:c r="G120" s="14" t="str">
        <x:v>右岸</x:v>
      </x:c>
      <x:c r="H120" s="14" t="str">
        <x:v>生産者</x:v>
      </x:c>
      <x:c r="I120" s="14" t="str">
        <x:v>term-cd4b0b25ad9d</x:v>
      </x:c>
      <x:c r="J120" s="14" t="str"/>
      <x:c r="K120" s="14" t="str">
        <x:v>saint_emilion_2022_official</x:v>
      </x:c>
    </x:row>
    <x:row r="121" ht="30" customHeight="1">
      <x:c r="A121" s="14" t="str">
        <x:v>classification-120</x:v>
      </x:c>
      <x:c r="B121" s="14" t="str">
        <x:v>bordeaux_saint_emilion_2022</x:v>
      </x:c>
      <x:c r="C121" s="14" t="str">
        <x:v>Château Faugères</x:v>
      </x:c>
      <x:c r="D121" s="14" t="str">
        <x:v>Château Faugères</x:v>
      </x:c>
      <x:c r="E121" s="14" t="str">
        <x:v>Grand Cru Classé</x:v>
      </x:c>
      <x:c r="F121" s="14" t="str">
        <x:v>Saint-Émilion</x:v>
      </x:c>
      <x:c r="G121" s="14" t="str">
        <x:v>右岸</x:v>
      </x:c>
      <x:c r="H121" s="14" t="str">
        <x:v>生産者</x:v>
      </x:c>
      <x:c r="I121" s="14" t="str">
        <x:v>term-c2b3c142885d</x:v>
      </x:c>
      <x:c r="J121" s="14" t="str"/>
      <x:c r="K121" s="14" t="str">
        <x:v>saint_emilion_2022_official</x:v>
      </x:c>
    </x:row>
    <x:row r="122" ht="30" customHeight="1">
      <x:c r="A122" s="14" t="str">
        <x:v>classification-121</x:v>
      </x:c>
      <x:c r="B122" s="14" t="str">
        <x:v>bordeaux_saint_emilion_2022</x:v>
      </x:c>
      <x:c r="C122" s="14" t="str">
        <x:v>Château Fleur Cardinale</x:v>
      </x:c>
      <x:c r="D122" s="14" t="str">
        <x:v>Château Fleur Cardinale</x:v>
      </x:c>
      <x:c r="E122" s="14" t="str">
        <x:v>Grand Cru Classé</x:v>
      </x:c>
      <x:c r="F122" s="14" t="str">
        <x:v>Saint-Émilion</x:v>
      </x:c>
      <x:c r="G122" s="14" t="str">
        <x:v>右岸</x:v>
      </x:c>
      <x:c r="H122" s="14" t="str">
        <x:v>生産者</x:v>
      </x:c>
      <x:c r="I122" s="14" t="str">
        <x:v>term-6e77eb7b24d9</x:v>
      </x:c>
      <x:c r="J122" s="14" t="str"/>
      <x:c r="K122" s="14" t="str">
        <x:v>saint_emilion_2022_official</x:v>
      </x:c>
    </x:row>
    <x:row r="123" ht="30" customHeight="1">
      <x:c r="A123" s="14" t="str">
        <x:v>classification-122</x:v>
      </x:c>
      <x:c r="B123" s="14" t="str">
        <x:v>bordeaux_saint_emilion_2022</x:v>
      </x:c>
      <x:c r="C123" s="14" t="str">
        <x:v>Château Fombrauge</x:v>
      </x:c>
      <x:c r="D123" s="14" t="str">
        <x:v>Château Fombrauge</x:v>
      </x:c>
      <x:c r="E123" s="14" t="str">
        <x:v>Grand Cru Classé</x:v>
      </x:c>
      <x:c r="F123" s="14" t="str">
        <x:v>Saint-Émilion</x:v>
      </x:c>
      <x:c r="G123" s="14" t="str">
        <x:v>右岸</x:v>
      </x:c>
      <x:c r="H123" s="14" t="str">
        <x:v>生産者</x:v>
      </x:c>
      <x:c r="I123" s="14" t="str">
        <x:v>term-06783d3ef46c</x:v>
      </x:c>
      <x:c r="J123" s="14" t="str"/>
      <x:c r="K123" s="14" t="str">
        <x:v>saint_emilion_2022_official</x:v>
      </x:c>
    </x:row>
    <x:row r="124" ht="30" customHeight="1">
      <x:c r="A124" s="14" t="str">
        <x:v>classification-123</x:v>
      </x:c>
      <x:c r="B124" s="14" t="str">
        <x:v>bordeaux_saint_emilion_2022</x:v>
      </x:c>
      <x:c r="C124" s="14" t="str">
        <x:v>Château Fonplégade</x:v>
      </x:c>
      <x:c r="D124" s="14" t="str">
        <x:v>Château Fonplégade</x:v>
      </x:c>
      <x:c r="E124" s="14" t="str">
        <x:v>Grand Cru Classé</x:v>
      </x:c>
      <x:c r="F124" s="14" t="str">
        <x:v>Saint-Émilion</x:v>
      </x:c>
      <x:c r="G124" s="14" t="str">
        <x:v>右岸</x:v>
      </x:c>
      <x:c r="H124" s="14" t="str">
        <x:v>生産者</x:v>
      </x:c>
      <x:c r="I124" s="14" t="str">
        <x:v>term-a320e5a6741a</x:v>
      </x:c>
      <x:c r="J124" s="14" t="str"/>
      <x:c r="K124" s="14" t="str">
        <x:v>saint_emilion_2022_official</x:v>
      </x:c>
    </x:row>
    <x:row r="125" ht="30" customHeight="1">
      <x:c r="A125" s="14" t="str">
        <x:v>classification-124</x:v>
      </x:c>
      <x:c r="B125" s="14" t="str">
        <x:v>bordeaux_saint_emilion_2022</x:v>
      </x:c>
      <x:c r="C125" s="14" t="str">
        <x:v>Château Fonroque</x:v>
      </x:c>
      <x:c r="D125" s="14" t="str">
        <x:v>Château Fonroque</x:v>
      </x:c>
      <x:c r="E125" s="14" t="str">
        <x:v>Grand Cru Classé</x:v>
      </x:c>
      <x:c r="F125" s="14" t="str">
        <x:v>Saint-Émilion</x:v>
      </x:c>
      <x:c r="G125" s="14" t="str">
        <x:v>右岸</x:v>
      </x:c>
      <x:c r="H125" s="14" t="str">
        <x:v>生産者</x:v>
      </x:c>
      <x:c r="I125" s="14" t="str">
        <x:v>term-691f2b97a580</x:v>
      </x:c>
      <x:c r="J125" s="14" t="str"/>
      <x:c r="K125" s="14" t="str">
        <x:v>saint_emilion_2022_official</x:v>
      </x:c>
    </x:row>
    <x:row r="126" ht="30" customHeight="1">
      <x:c r="A126" s="14" t="str">
        <x:v>classification-125</x:v>
      </x:c>
      <x:c r="B126" s="14" t="str">
        <x:v>bordeaux_saint_emilion_2022</x:v>
      </x:c>
      <x:c r="C126" s="14" t="str">
        <x:v>Château Franc Mayne</x:v>
      </x:c>
      <x:c r="D126" s="14" t="str">
        <x:v>Château Franc Mayne</x:v>
      </x:c>
      <x:c r="E126" s="14" t="str">
        <x:v>Grand Cru Classé</x:v>
      </x:c>
      <x:c r="F126" s="14" t="str">
        <x:v>Saint-Émilion</x:v>
      </x:c>
      <x:c r="G126" s="14" t="str">
        <x:v>右岸</x:v>
      </x:c>
      <x:c r="H126" s="14" t="str">
        <x:v>生産者</x:v>
      </x:c>
      <x:c r="I126" s="14" t="str">
        <x:v>term-e3800eb1b69b</x:v>
      </x:c>
      <x:c r="J126" s="14" t="str"/>
      <x:c r="K126" s="14" t="str">
        <x:v>saint_emilion_2022_official</x:v>
      </x:c>
    </x:row>
    <x:row r="127" ht="30" customHeight="1">
      <x:c r="A127" s="14" t="str">
        <x:v>classification-126</x:v>
      </x:c>
      <x:c r="B127" s="14" t="str">
        <x:v>bordeaux_saint_emilion_2022</x:v>
      </x:c>
      <x:c r="C127" s="14" t="str">
        <x:v>Château Grand Corbin</x:v>
      </x:c>
      <x:c r="D127" s="14" t="str">
        <x:v>Château Grand Corbin</x:v>
      </x:c>
      <x:c r="E127" s="14" t="str">
        <x:v>Grand Cru Classé</x:v>
      </x:c>
      <x:c r="F127" s="14" t="str">
        <x:v>Saint-Émilion</x:v>
      </x:c>
      <x:c r="G127" s="14" t="str">
        <x:v>右岸</x:v>
      </x:c>
      <x:c r="H127" s="14" t="str">
        <x:v>生産者</x:v>
      </x:c>
      <x:c r="I127" s="14" t="str">
        <x:v>term-da727bcd2392</x:v>
      </x:c>
      <x:c r="J127" s="14" t="str"/>
      <x:c r="K127" s="14" t="str">
        <x:v>saint_emilion_2022_official</x:v>
      </x:c>
    </x:row>
    <x:row r="128" ht="30" customHeight="1">
      <x:c r="A128" s="14" t="str">
        <x:v>classification-127</x:v>
      </x:c>
      <x:c r="B128" s="14" t="str">
        <x:v>bordeaux_saint_emilion_2022</x:v>
      </x:c>
      <x:c r="C128" s="14" t="str">
        <x:v>Château Grand Corbin-Despagne</x:v>
      </x:c>
      <x:c r="D128" s="14" t="str">
        <x:v>Château Grand Corbin-Despagne</x:v>
      </x:c>
      <x:c r="E128" s="14" t="str">
        <x:v>Grand Cru Classé</x:v>
      </x:c>
      <x:c r="F128" s="14" t="str">
        <x:v>Saint-Émilion</x:v>
      </x:c>
      <x:c r="G128" s="14" t="str">
        <x:v>右岸</x:v>
      </x:c>
      <x:c r="H128" s="14" t="str">
        <x:v>生産者</x:v>
      </x:c>
      <x:c r="I128" s="14" t="str">
        <x:v>term-ab40042320f1</x:v>
      </x:c>
      <x:c r="J128" s="14" t="str"/>
      <x:c r="K128" s="14" t="str">
        <x:v>saint_emilion_2022_official</x:v>
      </x:c>
    </x:row>
    <x:row r="129" ht="30" customHeight="1">
      <x:c r="A129" s="14" t="str">
        <x:v>classification-128</x:v>
      </x:c>
      <x:c r="B129" s="14" t="str">
        <x:v>bordeaux_saint_emilion_2022</x:v>
      </x:c>
      <x:c r="C129" s="14" t="str">
        <x:v>Château Grand Mayne</x:v>
      </x:c>
      <x:c r="D129" s="14" t="str">
        <x:v>Château Grand Mayne</x:v>
      </x:c>
      <x:c r="E129" s="14" t="str">
        <x:v>Grand Cru Classé</x:v>
      </x:c>
      <x:c r="F129" s="14" t="str">
        <x:v>Saint-Émilion</x:v>
      </x:c>
      <x:c r="G129" s="14" t="str">
        <x:v>右岸</x:v>
      </x:c>
      <x:c r="H129" s="14" t="str">
        <x:v>生産者</x:v>
      </x:c>
      <x:c r="I129" s="14" t="str">
        <x:v>term-f14f7402b96b</x:v>
      </x:c>
      <x:c r="J129" s="14" t="str"/>
      <x:c r="K129" s="14" t="str">
        <x:v>saint_emilion_2022_official</x:v>
      </x:c>
    </x:row>
    <x:row r="130" ht="30" customHeight="1">
      <x:c r="A130" s="14" t="str">
        <x:v>classification-129</x:v>
      </x:c>
      <x:c r="B130" s="14" t="str">
        <x:v>bordeaux_saint_emilion_2022</x:v>
      </x:c>
      <x:c r="C130" s="14" t="str">
        <x:v>Château Guadet</x:v>
      </x:c>
      <x:c r="D130" s="14" t="str">
        <x:v>Château Guadet</x:v>
      </x:c>
      <x:c r="E130" s="14" t="str">
        <x:v>Grand Cru Classé</x:v>
      </x:c>
      <x:c r="F130" s="14" t="str">
        <x:v>Saint-Émilion</x:v>
      </x:c>
      <x:c r="G130" s="14" t="str">
        <x:v>右岸</x:v>
      </x:c>
      <x:c r="H130" s="14" t="str">
        <x:v>生産者</x:v>
      </x:c>
      <x:c r="I130" s="14" t="str">
        <x:v>term-dd2f0657db4c</x:v>
      </x:c>
      <x:c r="J130" s="14" t="str"/>
      <x:c r="K130" s="14" t="str">
        <x:v>saint_emilion_2022_official</x:v>
      </x:c>
    </x:row>
    <x:row r="131" ht="30" customHeight="1">
      <x:c r="A131" s="14" t="str">
        <x:v>classification-130</x:v>
      </x:c>
      <x:c r="B131" s="14" t="str">
        <x:v>bordeaux_saint_emilion_2022</x:v>
      </x:c>
      <x:c r="C131" s="14" t="str">
        <x:v>Château Haut-Sarpe</x:v>
      </x:c>
      <x:c r="D131" s="14" t="str">
        <x:v>Château Haut-Sarpe</x:v>
      </x:c>
      <x:c r="E131" s="14" t="str">
        <x:v>Grand Cru Classé</x:v>
      </x:c>
      <x:c r="F131" s="14" t="str">
        <x:v>Saint-Émilion</x:v>
      </x:c>
      <x:c r="G131" s="14" t="str">
        <x:v>右岸</x:v>
      </x:c>
      <x:c r="H131" s="14" t="str">
        <x:v>生産者</x:v>
      </x:c>
      <x:c r="I131" s="14" t="str">
        <x:v>term-20c6c72656a7</x:v>
      </x:c>
      <x:c r="J131" s="14" t="str"/>
      <x:c r="K131" s="14" t="str">
        <x:v>saint_emilion_2022_official</x:v>
      </x:c>
    </x:row>
    <x:row r="132" ht="30" customHeight="1">
      <x:c r="A132" s="14" t="str">
        <x:v>classification-131</x:v>
      </x:c>
      <x:c r="B132" s="14" t="str">
        <x:v>bordeaux_saint_emilion_2022</x:v>
      </x:c>
      <x:c r="C132" s="14" t="str">
        <x:v>Château Jean Faure</x:v>
      </x:c>
      <x:c r="D132" s="14" t="str">
        <x:v>Château Jean Faure</x:v>
      </x:c>
      <x:c r="E132" s="14" t="str">
        <x:v>Grand Cru Classé</x:v>
      </x:c>
      <x:c r="F132" s="14" t="str">
        <x:v>Saint-Émilion</x:v>
      </x:c>
      <x:c r="G132" s="14" t="str">
        <x:v>右岸</x:v>
      </x:c>
      <x:c r="H132" s="14" t="str">
        <x:v>生産者</x:v>
      </x:c>
      <x:c r="I132" s="14" t="str">
        <x:v>term-3e878e8ac52f</x:v>
      </x:c>
      <x:c r="J132" s="14" t="str"/>
      <x:c r="K132" s="14" t="str">
        <x:v>saint_emilion_2022_official</x:v>
      </x:c>
    </x:row>
    <x:row r="133" ht="30" customHeight="1">
      <x:c r="A133" s="14" t="str">
        <x:v>classification-132</x:v>
      </x:c>
      <x:c r="B133" s="14" t="str">
        <x:v>bordeaux_saint_emilion_2022</x:v>
      </x:c>
      <x:c r="C133" s="14" t="str">
        <x:v>Château La Fleur Morange</x:v>
      </x:c>
      <x:c r="D133" s="14" t="str">
        <x:v>Château La Fleur Morange</x:v>
      </x:c>
      <x:c r="E133" s="14" t="str">
        <x:v>Grand Cru Classé</x:v>
      </x:c>
      <x:c r="F133" s="14" t="str">
        <x:v>Saint-Émilion</x:v>
      </x:c>
      <x:c r="G133" s="14" t="str">
        <x:v>右岸</x:v>
      </x:c>
      <x:c r="H133" s="14" t="str">
        <x:v>生産者</x:v>
      </x:c>
      <x:c r="I133" s="14" t="str">
        <x:v>term-e918c651f3e8</x:v>
      </x:c>
      <x:c r="J133" s="14" t="str"/>
      <x:c r="K133" s="14" t="str">
        <x:v>saint_emilion_2022_official</x:v>
      </x:c>
    </x:row>
    <x:row r="134" ht="30" customHeight="1">
      <x:c r="A134" s="14" t="str">
        <x:v>classification-133</x:v>
      </x:c>
      <x:c r="B134" s="14" t="str">
        <x:v>bordeaux_saint_emilion_2022</x:v>
      </x:c>
      <x:c r="C134" s="14" t="str">
        <x:v>Château Laniote</x:v>
      </x:c>
      <x:c r="D134" s="14" t="str">
        <x:v>Château Laniote</x:v>
      </x:c>
      <x:c r="E134" s="14" t="str">
        <x:v>Grand Cru Classé</x:v>
      </x:c>
      <x:c r="F134" s="14" t="str">
        <x:v>Saint-Émilion</x:v>
      </x:c>
      <x:c r="G134" s="14" t="str">
        <x:v>右岸</x:v>
      </x:c>
      <x:c r="H134" s="14" t="str">
        <x:v>生産者</x:v>
      </x:c>
      <x:c r="I134" s="14" t="str">
        <x:v>term-20eb33535c13</x:v>
      </x:c>
      <x:c r="J134" s="14" t="str"/>
      <x:c r="K134" s="14" t="str">
        <x:v>saint_emilion_2022_official</x:v>
      </x:c>
    </x:row>
    <x:row r="135" ht="30" customHeight="1">
      <x:c r="A135" s="14" t="str">
        <x:v>classification-134</x:v>
      </x:c>
      <x:c r="B135" s="14" t="str">
        <x:v>bordeaux_saint_emilion_2022</x:v>
      </x:c>
      <x:c r="C135" s="14" t="str">
        <x:v>Château Larmande</x:v>
      </x:c>
      <x:c r="D135" s="14" t="str">
        <x:v>Château Larmande</x:v>
      </x:c>
      <x:c r="E135" s="14" t="str">
        <x:v>Grand Cru Classé</x:v>
      </x:c>
      <x:c r="F135" s="14" t="str">
        <x:v>Saint-Émilion</x:v>
      </x:c>
      <x:c r="G135" s="14" t="str">
        <x:v>右岸</x:v>
      </x:c>
      <x:c r="H135" s="14" t="str">
        <x:v>生産者</x:v>
      </x:c>
      <x:c r="I135" s="14" t="str">
        <x:v>term-2d84b28c6064</x:v>
      </x:c>
      <x:c r="J135" s="14" t="str"/>
      <x:c r="K135" s="14" t="str">
        <x:v>saint_emilion_2022_official</x:v>
      </x:c>
    </x:row>
    <x:row r="136" ht="30" customHeight="1">
      <x:c r="A136" s="14" t="str">
        <x:v>classification-135</x:v>
      </x:c>
      <x:c r="B136" s="14" t="str">
        <x:v>bordeaux_saint_emilion_2022</x:v>
      </x:c>
      <x:c r="C136" s="14" t="str">
        <x:v>Château Laroque</x:v>
      </x:c>
      <x:c r="D136" s="14" t="str">
        <x:v>Château Laroque</x:v>
      </x:c>
      <x:c r="E136" s="14" t="str">
        <x:v>Grand Cru Classé</x:v>
      </x:c>
      <x:c r="F136" s="14" t="str">
        <x:v>Saint-Émilion</x:v>
      </x:c>
      <x:c r="G136" s="14" t="str">
        <x:v>右岸</x:v>
      </x:c>
      <x:c r="H136" s="14" t="str">
        <x:v>生産者</x:v>
      </x:c>
      <x:c r="I136" s="14" t="str">
        <x:v>term-8d37d777c962</x:v>
      </x:c>
      <x:c r="J136" s="14" t="str"/>
      <x:c r="K136" s="14" t="str">
        <x:v>saint_emilion_2022_official</x:v>
      </x:c>
    </x:row>
    <x:row r="137" ht="30" customHeight="1">
      <x:c r="A137" s="14" t="str">
        <x:v>classification-136</x:v>
      </x:c>
      <x:c r="B137" s="14" t="str">
        <x:v>bordeaux_saint_emilion_2022</x:v>
      </x:c>
      <x:c r="C137" s="14" t="str">
        <x:v>Château Laroze</x:v>
      </x:c>
      <x:c r="D137" s="14" t="str">
        <x:v>Château Laroze</x:v>
      </x:c>
      <x:c r="E137" s="14" t="str">
        <x:v>Grand Cru Classé</x:v>
      </x:c>
      <x:c r="F137" s="14" t="str">
        <x:v>Saint-Émilion</x:v>
      </x:c>
      <x:c r="G137" s="14" t="str">
        <x:v>右岸</x:v>
      </x:c>
      <x:c r="H137" s="14" t="str">
        <x:v>生産者</x:v>
      </x:c>
      <x:c r="I137" s="14" t="str">
        <x:v>term-a965933b86e1</x:v>
      </x:c>
      <x:c r="J137" s="14" t="str"/>
      <x:c r="K137" s="14" t="str">
        <x:v>saint_emilion_2022_official</x:v>
      </x:c>
    </x:row>
    <x:row r="138" ht="30" customHeight="1">
      <x:c r="A138" s="14" t="str">
        <x:v>classification-137</x:v>
      </x:c>
      <x:c r="B138" s="14" t="str">
        <x:v>bordeaux_saint_emilion_2022</x:v>
      </x:c>
      <x:c r="C138" s="14" t="str">
        <x:v>Château Le Prieuré</x:v>
      </x:c>
      <x:c r="D138" s="14" t="str">
        <x:v>Château Le Prieuré</x:v>
      </x:c>
      <x:c r="E138" s="14" t="str">
        <x:v>Grand Cru Classé</x:v>
      </x:c>
      <x:c r="F138" s="14" t="str">
        <x:v>Saint-Émilion</x:v>
      </x:c>
      <x:c r="G138" s="14" t="str">
        <x:v>右岸</x:v>
      </x:c>
      <x:c r="H138" s="14" t="str">
        <x:v>生産者</x:v>
      </x:c>
      <x:c r="I138" s="14" t="str">
        <x:v>term-b8b519c0e588</x:v>
      </x:c>
      <x:c r="J138" s="14" t="str"/>
      <x:c r="K138" s="14" t="str">
        <x:v>saint_emilion_2022_official</x:v>
      </x:c>
    </x:row>
    <x:row r="139" ht="30" customHeight="1">
      <x:c r="A139" s="14" t="str">
        <x:v>classification-138</x:v>
      </x:c>
      <x:c r="B139" s="14" t="str">
        <x:v>bordeaux_saint_emilion_2022</x:v>
      </x:c>
      <x:c r="C139" s="14" t="str">
        <x:v>Château Mangot</x:v>
      </x:c>
      <x:c r="D139" s="14" t="str">
        <x:v>Château Mangot</x:v>
      </x:c>
      <x:c r="E139" s="14" t="str">
        <x:v>Grand Cru Classé</x:v>
      </x:c>
      <x:c r="F139" s="14" t="str">
        <x:v>Saint-Émilion</x:v>
      </x:c>
      <x:c r="G139" s="14" t="str">
        <x:v>右岸</x:v>
      </x:c>
      <x:c r="H139" s="14" t="str">
        <x:v>生産者</x:v>
      </x:c>
      <x:c r="I139" s="14" t="str">
        <x:v>term-e9c6c1bd8132</x:v>
      </x:c>
      <x:c r="J139" s="14" t="str"/>
      <x:c r="K139" s="14" t="str">
        <x:v>saint_emilion_2022_official</x:v>
      </x:c>
    </x:row>
    <x:row r="140" ht="30" customHeight="1">
      <x:c r="A140" s="14" t="str">
        <x:v>classification-139</x:v>
      </x:c>
      <x:c r="B140" s="14" t="str">
        <x:v>bordeaux_saint_emilion_2022</x:v>
      </x:c>
      <x:c r="C140" s="14" t="str">
        <x:v>Château Monbousquet</x:v>
      </x:c>
      <x:c r="D140" s="14" t="str">
        <x:v>Château Monbousquet</x:v>
      </x:c>
      <x:c r="E140" s="14" t="str">
        <x:v>Grand Cru Classé</x:v>
      </x:c>
      <x:c r="F140" s="14" t="str">
        <x:v>Saint-Émilion</x:v>
      </x:c>
      <x:c r="G140" s="14" t="str">
        <x:v>右岸</x:v>
      </x:c>
      <x:c r="H140" s="14" t="str">
        <x:v>生産者</x:v>
      </x:c>
      <x:c r="I140" s="14" t="str">
        <x:v>term-4b3e99166724</x:v>
      </x:c>
      <x:c r="J140" s="14" t="str"/>
      <x:c r="K140" s="14" t="str">
        <x:v>saint_emilion_2022_official</x:v>
      </x:c>
    </x:row>
    <x:row r="141" ht="30" customHeight="1">
      <x:c r="A141" s="14" t="str">
        <x:v>classification-140</x:v>
      </x:c>
      <x:c r="B141" s="14" t="str">
        <x:v>bordeaux_saint_emilion_2022</x:v>
      </x:c>
      <x:c r="C141" s="14" t="str">
        <x:v>Château Montlabert</x:v>
      </x:c>
      <x:c r="D141" s="14" t="str">
        <x:v>Château Montlabert</x:v>
      </x:c>
      <x:c r="E141" s="14" t="str">
        <x:v>Grand Cru Classé</x:v>
      </x:c>
      <x:c r="F141" s="14" t="str">
        <x:v>Saint-Émilion</x:v>
      </x:c>
      <x:c r="G141" s="14" t="str">
        <x:v>右岸</x:v>
      </x:c>
      <x:c r="H141" s="14" t="str">
        <x:v>生産者</x:v>
      </x:c>
      <x:c r="I141" s="14" t="str">
        <x:v>term-861dc8cc8b9b</x:v>
      </x:c>
      <x:c r="J141" s="14" t="str"/>
      <x:c r="K141" s="14" t="str">
        <x:v>saint_emilion_2022_official</x:v>
      </x:c>
    </x:row>
    <x:row r="142" ht="30" customHeight="1">
      <x:c r="A142" s="14" t="str">
        <x:v>classification-141</x:v>
      </x:c>
      <x:c r="B142" s="14" t="str">
        <x:v>bordeaux_saint_emilion_2022</x:v>
      </x:c>
      <x:c r="C142" s="14" t="str">
        <x:v>Château Montlisse</x:v>
      </x:c>
      <x:c r="D142" s="14" t="str">
        <x:v>Château Montlisse</x:v>
      </x:c>
      <x:c r="E142" s="14" t="str">
        <x:v>Grand Cru Classé</x:v>
      </x:c>
      <x:c r="F142" s="14" t="str">
        <x:v>Saint-Émilion</x:v>
      </x:c>
      <x:c r="G142" s="14" t="str">
        <x:v>右岸</x:v>
      </x:c>
      <x:c r="H142" s="14" t="str">
        <x:v>生産者</x:v>
      </x:c>
      <x:c r="I142" s="14" t="str">
        <x:v>term-ba3a04d6b963</x:v>
      </x:c>
      <x:c r="J142" s="14" t="str"/>
      <x:c r="K142" s="14" t="str">
        <x:v>saint_emilion_2022_official</x:v>
      </x:c>
    </x:row>
    <x:row r="143" ht="30" customHeight="1">
      <x:c r="A143" s="14" t="str">
        <x:v>classification-142</x:v>
      </x:c>
      <x:c r="B143" s="14" t="str">
        <x:v>bordeaux_saint_emilion_2022</x:v>
      </x:c>
      <x:c r="C143" s="14" t="str">
        <x:v>Château Moulin du Cadet</x:v>
      </x:c>
      <x:c r="D143" s="14" t="str">
        <x:v>Château Moulin du Cadet</x:v>
      </x:c>
      <x:c r="E143" s="14" t="str">
        <x:v>Grand Cru Classé</x:v>
      </x:c>
      <x:c r="F143" s="14" t="str">
        <x:v>Saint-Émilion</x:v>
      </x:c>
      <x:c r="G143" s="14" t="str">
        <x:v>右岸</x:v>
      </x:c>
      <x:c r="H143" s="14" t="str">
        <x:v>生産者</x:v>
      </x:c>
      <x:c r="I143" s="14" t="str">
        <x:v>term-4c6d58c94ecc</x:v>
      </x:c>
      <x:c r="J143" s="14" t="str"/>
      <x:c r="K143" s="14" t="str">
        <x:v>saint_emilion_2022_official</x:v>
      </x:c>
    </x:row>
    <x:row r="144" ht="30" customHeight="1">
      <x:c r="A144" s="14" t="str">
        <x:v>classification-143</x:v>
      </x:c>
      <x:c r="B144" s="14" t="str">
        <x:v>bordeaux_saint_emilion_2022</x:v>
      </x:c>
      <x:c r="C144" s="14" t="str">
        <x:v>Château Peby Faugères</x:v>
      </x:c>
      <x:c r="D144" s="14" t="str">
        <x:v>Château Peby Faugères</x:v>
      </x:c>
      <x:c r="E144" s="14" t="str">
        <x:v>Grand Cru Classé</x:v>
      </x:c>
      <x:c r="F144" s="14" t="str">
        <x:v>Saint-Émilion</x:v>
      </x:c>
      <x:c r="G144" s="14" t="str">
        <x:v>右岸</x:v>
      </x:c>
      <x:c r="H144" s="14" t="str">
        <x:v>生産者</x:v>
      </x:c>
      <x:c r="I144" s="14" t="str">
        <x:v>term-9acad5112ae0</x:v>
      </x:c>
      <x:c r="J144" s="14" t="str"/>
      <x:c r="K144" s="14" t="str">
        <x:v>saint_emilion_2022_official</x:v>
      </x:c>
    </x:row>
    <x:row r="145" ht="30" customHeight="1">
      <x:c r="A145" s="14" t="str">
        <x:v>classification-144</x:v>
      </x:c>
      <x:c r="B145" s="14" t="str">
        <x:v>bordeaux_saint_emilion_2022</x:v>
      </x:c>
      <x:c r="C145" s="14" t="str">
        <x:v>Château Petit Faurie de Soutard</x:v>
      </x:c>
      <x:c r="D145" s="14" t="str">
        <x:v>Château Petit Faurie de Soutard</x:v>
      </x:c>
      <x:c r="E145" s="14" t="str">
        <x:v>Grand Cru Classé</x:v>
      </x:c>
      <x:c r="F145" s="14" t="str">
        <x:v>Saint-Émilion</x:v>
      </x:c>
      <x:c r="G145" s="14" t="str">
        <x:v>右岸</x:v>
      </x:c>
      <x:c r="H145" s="14" t="str">
        <x:v>生産者</x:v>
      </x:c>
      <x:c r="I145" s="14" t="str">
        <x:v>term-43c9d78ba707</x:v>
      </x:c>
      <x:c r="J145" s="14" t="str"/>
      <x:c r="K145" s="14" t="str">
        <x:v>saint_emilion_2022_official</x:v>
      </x:c>
    </x:row>
    <x:row r="146" ht="30" customHeight="1">
      <x:c r="A146" s="14" t="str">
        <x:v>classification-145</x:v>
      </x:c>
      <x:c r="B146" s="14" t="str">
        <x:v>bordeaux_saint_emilion_2022</x:v>
      </x:c>
      <x:c r="C146" s="14" t="str">
        <x:v>Château Ripeau</x:v>
      </x:c>
      <x:c r="D146" s="14" t="str">
        <x:v>Château Ripeau</x:v>
      </x:c>
      <x:c r="E146" s="14" t="str">
        <x:v>Grand Cru Classé</x:v>
      </x:c>
      <x:c r="F146" s="14" t="str">
        <x:v>Saint-Émilion</x:v>
      </x:c>
      <x:c r="G146" s="14" t="str">
        <x:v>右岸</x:v>
      </x:c>
      <x:c r="H146" s="14" t="str">
        <x:v>生産者</x:v>
      </x:c>
      <x:c r="I146" s="14" t="str">
        <x:v>term-96bde92d4f86</x:v>
      </x:c>
      <x:c r="J146" s="14" t="str"/>
      <x:c r="K146" s="14" t="str">
        <x:v>saint_emilion_2022_official</x:v>
      </x:c>
    </x:row>
    <x:row r="147" ht="30" customHeight="1">
      <x:c r="A147" s="14" t="str">
        <x:v>classification-146</x:v>
      </x:c>
      <x:c r="B147" s="14" t="str">
        <x:v>bordeaux_saint_emilion_2022</x:v>
      </x:c>
      <x:c r="C147" s="14" t="str">
        <x:v>Château Rochebelle</x:v>
      </x:c>
      <x:c r="D147" s="14" t="str">
        <x:v>Château Rochebelle</x:v>
      </x:c>
      <x:c r="E147" s="14" t="str">
        <x:v>Grand Cru Classé</x:v>
      </x:c>
      <x:c r="F147" s="14" t="str">
        <x:v>Saint-Émilion</x:v>
      </x:c>
      <x:c r="G147" s="14" t="str">
        <x:v>右岸</x:v>
      </x:c>
      <x:c r="H147" s="14" t="str">
        <x:v>生産者</x:v>
      </x:c>
      <x:c r="I147" s="14" t="str">
        <x:v>term-1da2306ae154</x:v>
      </x:c>
      <x:c r="J147" s="14" t="str"/>
      <x:c r="K147" s="14" t="str">
        <x:v>saint_emilion_2022_official</x:v>
      </x:c>
    </x:row>
    <x:row r="148" ht="30" customHeight="1">
      <x:c r="A148" s="14" t="str">
        <x:v>classification-147</x:v>
      </x:c>
      <x:c r="B148" s="14" t="str">
        <x:v>bordeaux_saint_emilion_2022</x:v>
      </x:c>
      <x:c r="C148" s="14" t="str">
        <x:v>Château Rol Valentin</x:v>
      </x:c>
      <x:c r="D148" s="14" t="str">
        <x:v>Château Rol Valentin</x:v>
      </x:c>
      <x:c r="E148" s="14" t="str">
        <x:v>Grand Cru Classé</x:v>
      </x:c>
      <x:c r="F148" s="14" t="str">
        <x:v>Saint-Émilion</x:v>
      </x:c>
      <x:c r="G148" s="14" t="str">
        <x:v>右岸</x:v>
      </x:c>
      <x:c r="H148" s="14" t="str">
        <x:v>生産者</x:v>
      </x:c>
      <x:c r="I148" s="14" t="str">
        <x:v>term-cbffbf6291cb</x:v>
      </x:c>
      <x:c r="J148" s="14" t="str"/>
      <x:c r="K148" s="14" t="str">
        <x:v>saint_emilion_2022_official</x:v>
      </x:c>
    </x:row>
    <x:row r="149" ht="30" customHeight="1">
      <x:c r="A149" s="14" t="str">
        <x:v>classification-148</x:v>
      </x:c>
      <x:c r="B149" s="14" t="str">
        <x:v>bordeaux_saint_emilion_2022</x:v>
      </x:c>
      <x:c r="C149" s="14" t="str">
        <x:v>Château Saint-Georges-Cote-Pavie</x:v>
      </x:c>
      <x:c r="D149" s="14" t="str">
        <x:v>Château Saint-Georges-Cote-Pavie</x:v>
      </x:c>
      <x:c r="E149" s="14" t="str">
        <x:v>Grand Cru Classé</x:v>
      </x:c>
      <x:c r="F149" s="14" t="str">
        <x:v>Saint-Émilion</x:v>
      </x:c>
      <x:c r="G149" s="14" t="str">
        <x:v>右岸</x:v>
      </x:c>
      <x:c r="H149" s="14" t="str">
        <x:v>生産者</x:v>
      </x:c>
      <x:c r="I149" s="14" t="str">
        <x:v>term-02f79210dd25</x:v>
      </x:c>
      <x:c r="J149" s="14" t="str"/>
      <x:c r="K149" s="14" t="str">
        <x:v>saint_emilion_2022_official</x:v>
      </x:c>
    </x:row>
    <x:row r="150" ht="30" customHeight="1">
      <x:c r="A150" s="14" t="str">
        <x:v>classification-149</x:v>
      </x:c>
      <x:c r="B150" s="14" t="str">
        <x:v>bordeaux_saint_emilion_2022</x:v>
      </x:c>
      <x:c r="C150" s="14" t="str">
        <x:v>Château Sansonnet</x:v>
      </x:c>
      <x:c r="D150" s="14" t="str">
        <x:v>Château Sansonnet</x:v>
      </x:c>
      <x:c r="E150" s="14" t="str">
        <x:v>Grand Cru Classé</x:v>
      </x:c>
      <x:c r="F150" s="14" t="str">
        <x:v>Saint-Émilion</x:v>
      </x:c>
      <x:c r="G150" s="14" t="str">
        <x:v>右岸</x:v>
      </x:c>
      <x:c r="H150" s="14" t="str">
        <x:v>生産者</x:v>
      </x:c>
      <x:c r="I150" s="14" t="str">
        <x:v>term-6f4d0b402ec6</x:v>
      </x:c>
      <x:c r="J150" s="14" t="str"/>
      <x:c r="K150" s="14" t="str">
        <x:v>saint_emilion_2022_official</x:v>
      </x:c>
    </x:row>
    <x:row r="151" ht="30" customHeight="1">
      <x:c r="A151" s="14" t="str">
        <x:v>classification-150</x:v>
      </x:c>
      <x:c r="B151" s="14" t="str">
        <x:v>bordeaux_saint_emilion_2022</x:v>
      </x:c>
      <x:c r="C151" s="14" t="str">
        <x:v>Château Soutard</x:v>
      </x:c>
      <x:c r="D151" s="14" t="str">
        <x:v>Château Soutard</x:v>
      </x:c>
      <x:c r="E151" s="14" t="str">
        <x:v>Grand Cru Classé</x:v>
      </x:c>
      <x:c r="F151" s="14" t="str">
        <x:v>Saint-Émilion</x:v>
      </x:c>
      <x:c r="G151" s="14" t="str">
        <x:v>右岸</x:v>
      </x:c>
      <x:c r="H151" s="14" t="str">
        <x:v>生産者</x:v>
      </x:c>
      <x:c r="I151" s="14" t="str">
        <x:v>term-a6ad50e4dfee</x:v>
      </x:c>
      <x:c r="J151" s="14" t="str"/>
      <x:c r="K151" s="14" t="str">
        <x:v>saint_emilion_2022_official</x:v>
      </x:c>
    </x:row>
    <x:row r="152" ht="30" customHeight="1">
      <x:c r="A152" s="14" t="str">
        <x:v>classification-151</x:v>
      </x:c>
      <x:c r="B152" s="14" t="str">
        <x:v>bordeaux_saint_emilion_2022</x:v>
      </x:c>
      <x:c r="C152" s="14" t="str">
        <x:v>Château Tour Baladoz</x:v>
      </x:c>
      <x:c r="D152" s="14" t="str">
        <x:v>Château Tour Baladoz</x:v>
      </x:c>
      <x:c r="E152" s="14" t="str">
        <x:v>Grand Cru Classé</x:v>
      </x:c>
      <x:c r="F152" s="14" t="str">
        <x:v>Saint-Émilion</x:v>
      </x:c>
      <x:c r="G152" s="14" t="str">
        <x:v>右岸</x:v>
      </x:c>
      <x:c r="H152" s="14" t="str">
        <x:v>生産者</x:v>
      </x:c>
      <x:c r="I152" s="14" t="str">
        <x:v>term-6fcdc53533a6</x:v>
      </x:c>
      <x:c r="J152" s="14" t="str"/>
      <x:c r="K152" s="14" t="str">
        <x:v>saint_emilion_2022_official</x:v>
      </x:c>
    </x:row>
    <x:row r="153" ht="30" customHeight="1">
      <x:c r="A153" s="14" t="str">
        <x:v>classification-152</x:v>
      </x:c>
      <x:c r="B153" s="14" t="str">
        <x:v>bordeaux_saint_emilion_2022</x:v>
      </x:c>
      <x:c r="C153" s="14" t="str">
        <x:v>Château Tour Saint-Christophe</x:v>
      </x:c>
      <x:c r="D153" s="14" t="str">
        <x:v>Château Tour Saint-Christophe</x:v>
      </x:c>
      <x:c r="E153" s="14" t="str">
        <x:v>Grand Cru Classé</x:v>
      </x:c>
      <x:c r="F153" s="14" t="str">
        <x:v>Saint-Émilion</x:v>
      </x:c>
      <x:c r="G153" s="14" t="str">
        <x:v>右岸</x:v>
      </x:c>
      <x:c r="H153" s="14" t="str">
        <x:v>生産者</x:v>
      </x:c>
      <x:c r="I153" s="14" t="str">
        <x:v>term-0e5455e7d20e</x:v>
      </x:c>
      <x:c r="J153" s="14" t="str"/>
      <x:c r="K153" s="14" t="str">
        <x:v>saint_emilion_2022_official</x:v>
      </x:c>
    </x:row>
    <x:row r="154" ht="30" customHeight="1">
      <x:c r="A154" s="14" t="str">
        <x:v>classification-153</x:v>
      </x:c>
      <x:c r="B154" s="14" t="str">
        <x:v>bordeaux_saint_emilion_2022</x:v>
      </x:c>
      <x:c r="C154" s="14" t="str">
        <x:v>Château Villemaurine</x:v>
      </x:c>
      <x:c r="D154" s="14" t="str">
        <x:v>Château Villemaurine</x:v>
      </x:c>
      <x:c r="E154" s="14" t="str">
        <x:v>Grand Cru Classé</x:v>
      </x:c>
      <x:c r="F154" s="14" t="str">
        <x:v>Saint-Émilion</x:v>
      </x:c>
      <x:c r="G154" s="14" t="str">
        <x:v>右岸</x:v>
      </x:c>
      <x:c r="H154" s="14" t="str">
        <x:v>生産者</x:v>
      </x:c>
      <x:c r="I154" s="14" t="str">
        <x:v>term-29ca631c5900</x:v>
      </x:c>
      <x:c r="J154" s="14" t="str"/>
      <x:c r="K154" s="14" t="str">
        <x:v>saint_emilion_2022_official</x:v>
      </x:c>
    </x:row>
    <x:row r="155" ht="30" customHeight="1">
      <x:c r="A155" s="14" t="str">
        <x:v>classification-154</x:v>
      </x:c>
      <x:c r="B155" s="14" t="str">
        <x:v>bordeaux_saint_emilion_2022</x:v>
      </x:c>
      <x:c r="C155" s="14" t="str">
        <x:v>Château Yon-Figeac</x:v>
      </x:c>
      <x:c r="D155" s="14" t="str">
        <x:v>Château Yon-Figeac</x:v>
      </x:c>
      <x:c r="E155" s="14" t="str">
        <x:v>Grand Cru Classé</x:v>
      </x:c>
      <x:c r="F155" s="14" t="str">
        <x:v>Saint-Émilion</x:v>
      </x:c>
      <x:c r="G155" s="14" t="str">
        <x:v>右岸</x:v>
      </x:c>
      <x:c r="H155" s="14" t="str">
        <x:v>生産者</x:v>
      </x:c>
      <x:c r="I155" s="14" t="str">
        <x:v>term-aa3c6434f5bc</x:v>
      </x:c>
      <x:c r="J155" s="14" t="str"/>
      <x:c r="K155" s="14" t="str">
        <x:v>saint_emilion_2022_official</x:v>
      </x:c>
    </x:row>
    <x:row r="156" ht="30" customHeight="1">
      <x:c r="A156" s="14" t="str">
        <x:v>classification-155</x:v>
      </x:c>
      <x:c r="B156" s="14" t="str">
        <x:v>bordeaux_saint_emilion_2022</x:v>
      </x:c>
      <x:c r="C156" s="14" t="str">
        <x:v>Château de Ferrand</x:v>
      </x:c>
      <x:c r="D156" s="14" t="str">
        <x:v>Château de Ferrand</x:v>
      </x:c>
      <x:c r="E156" s="14" t="str">
        <x:v>Grand Cru Classé</x:v>
      </x:c>
      <x:c r="F156" s="14" t="str">
        <x:v>Saint-Émilion</x:v>
      </x:c>
      <x:c r="G156" s="14" t="str">
        <x:v>右岸</x:v>
      </x:c>
      <x:c r="H156" s="14" t="str">
        <x:v>生産者</x:v>
      </x:c>
      <x:c r="I156" s="14" t="str">
        <x:v>term-713668e181fb</x:v>
      </x:c>
      <x:c r="J156" s="14" t="str"/>
      <x:c r="K156" s="14" t="str">
        <x:v>saint_emilion_2022_official</x:v>
      </x:c>
    </x:row>
    <x:row r="157" ht="30" customHeight="1">
      <x:c r="A157" s="14" t="str">
        <x:v>classification-156</x:v>
      </x:c>
      <x:c r="B157" s="14" t="str">
        <x:v>bordeaux_saint_emilion_2022</x:v>
      </x:c>
      <x:c r="C157" s="14" t="str">
        <x:v>Château de Pressac</x:v>
      </x:c>
      <x:c r="D157" s="14" t="str">
        <x:v>Château de Pressac</x:v>
      </x:c>
      <x:c r="E157" s="14" t="str">
        <x:v>Grand Cru Classé</x:v>
      </x:c>
      <x:c r="F157" s="14" t="str">
        <x:v>Saint-Émilion</x:v>
      </x:c>
      <x:c r="G157" s="14" t="str">
        <x:v>右岸</x:v>
      </x:c>
      <x:c r="H157" s="14" t="str">
        <x:v>生産者</x:v>
      </x:c>
      <x:c r="I157" s="14" t="str">
        <x:v>term-d0c14339e089</x:v>
      </x:c>
      <x:c r="J157" s="14" t="str"/>
      <x:c r="K157" s="14" t="str">
        <x:v>saint_emilion_2022_official</x:v>
      </x:c>
    </x:row>
    <x:row r="158" ht="30" customHeight="1">
      <x:c r="A158" s="14" t="str">
        <x:v>classification-157</x:v>
      </x:c>
      <x:c r="B158" s="14" t="str">
        <x:v>bordeaux_saint_emilion_2022</x:v>
      </x:c>
      <x:c r="C158" s="14" t="str">
        <x:v>Château la Commanderie</x:v>
      </x:c>
      <x:c r="D158" s="14" t="str">
        <x:v>Château la Commanderie</x:v>
      </x:c>
      <x:c r="E158" s="14" t="str">
        <x:v>Grand Cru Classé</x:v>
      </x:c>
      <x:c r="F158" s="14" t="str">
        <x:v>Saint-Émilion</x:v>
      </x:c>
      <x:c r="G158" s="14" t="str">
        <x:v>右岸</x:v>
      </x:c>
      <x:c r="H158" s="14" t="str">
        <x:v>生産者</x:v>
      </x:c>
      <x:c r="I158" s="14" t="str">
        <x:v>term-f0ead8ef444d</x:v>
      </x:c>
      <x:c r="J158" s="14" t="str"/>
      <x:c r="K158" s="14" t="str">
        <x:v>saint_emilion_2022_official</x:v>
      </x:c>
    </x:row>
    <x:row r="159" ht="30" customHeight="1">
      <x:c r="A159" s="14" t="str">
        <x:v>classification-158</x:v>
      </x:c>
      <x:c r="B159" s="14" t="str">
        <x:v>bordeaux_saint_emilion_2022</x:v>
      </x:c>
      <x:c r="C159" s="14" t="str">
        <x:v>Château la Confession</x:v>
      </x:c>
      <x:c r="D159" s="14" t="str">
        <x:v>Château la Confession</x:v>
      </x:c>
      <x:c r="E159" s="14" t="str">
        <x:v>Grand Cru Classé</x:v>
      </x:c>
      <x:c r="F159" s="14" t="str">
        <x:v>Saint-Émilion</x:v>
      </x:c>
      <x:c r="G159" s="14" t="str">
        <x:v>右岸</x:v>
      </x:c>
      <x:c r="H159" s="14" t="str">
        <x:v>生産者</x:v>
      </x:c>
      <x:c r="I159" s="14" t="str">
        <x:v>term-66627ea22f18</x:v>
      </x:c>
      <x:c r="J159" s="14" t="str"/>
      <x:c r="K159" s="14" t="str">
        <x:v>saint_emilion_2022_official</x:v>
      </x:c>
    </x:row>
    <x:row r="160" ht="30" customHeight="1">
      <x:c r="A160" s="14" t="str">
        <x:v>classification-159</x:v>
      </x:c>
      <x:c r="B160" s="14" t="str">
        <x:v>bordeaux_saint_emilion_2022</x:v>
      </x:c>
      <x:c r="C160" s="14" t="str">
        <x:v>Château la Couspaude</x:v>
      </x:c>
      <x:c r="D160" s="14" t="str">
        <x:v>Château la Couspaude</x:v>
      </x:c>
      <x:c r="E160" s="14" t="str">
        <x:v>Grand Cru Classé</x:v>
      </x:c>
      <x:c r="F160" s="14" t="str">
        <x:v>Saint-Émilion</x:v>
      </x:c>
      <x:c r="G160" s="14" t="str">
        <x:v>右岸</x:v>
      </x:c>
      <x:c r="H160" s="14" t="str">
        <x:v>生産者</x:v>
      </x:c>
      <x:c r="I160" s="14" t="str">
        <x:v>term-314d1d6a5dde</x:v>
      </x:c>
      <x:c r="J160" s="14" t="str"/>
      <x:c r="K160" s="14" t="str">
        <x:v>saint_emilion_2022_official</x:v>
      </x:c>
    </x:row>
    <x:row r="161" ht="30" customHeight="1">
      <x:c r="A161" s="14" t="str">
        <x:v>classification-160</x:v>
      </x:c>
      <x:c r="B161" s="14" t="str">
        <x:v>bordeaux_saint_emilion_2022</x:v>
      </x:c>
      <x:c r="C161" s="14" t="str">
        <x:v>Château la Croizille</x:v>
      </x:c>
      <x:c r="D161" s="14" t="str">
        <x:v>Château la Croizille</x:v>
      </x:c>
      <x:c r="E161" s="14" t="str">
        <x:v>Grand Cru Classé</x:v>
      </x:c>
      <x:c r="F161" s="14" t="str">
        <x:v>Saint-Émilion</x:v>
      </x:c>
      <x:c r="G161" s="14" t="str">
        <x:v>右岸</x:v>
      </x:c>
      <x:c r="H161" s="14" t="str">
        <x:v>生産者</x:v>
      </x:c>
      <x:c r="I161" s="14" t="str">
        <x:v>term-e619644284a4</x:v>
      </x:c>
      <x:c r="J161" s="14" t="str"/>
      <x:c r="K161" s="14" t="str">
        <x:v>saint_emilion_2022_official</x:v>
      </x:c>
    </x:row>
    <x:row r="162" ht="30" customHeight="1">
      <x:c r="A162" s="14" t="str">
        <x:v>classification-161</x:v>
      </x:c>
      <x:c r="B162" s="14" t="str">
        <x:v>bordeaux_saint_emilion_2022</x:v>
      </x:c>
      <x:c r="C162" s="14" t="str">
        <x:v>Château la Dominique</x:v>
      </x:c>
      <x:c r="D162" s="14" t="str">
        <x:v>Château la Dominique</x:v>
      </x:c>
      <x:c r="E162" s="14" t="str">
        <x:v>Grand Cru Classé</x:v>
      </x:c>
      <x:c r="F162" s="14" t="str">
        <x:v>Saint-Émilion</x:v>
      </x:c>
      <x:c r="G162" s="14" t="str">
        <x:v>右岸</x:v>
      </x:c>
      <x:c r="H162" s="14" t="str">
        <x:v>生産者</x:v>
      </x:c>
      <x:c r="I162" s="14" t="str">
        <x:v>term-f684f67cc474</x:v>
      </x:c>
      <x:c r="J162" s="14" t="str"/>
      <x:c r="K162" s="14" t="str">
        <x:v>saint_emilion_2022_official</x:v>
      </x:c>
    </x:row>
    <x:row r="163" ht="30" customHeight="1">
      <x:c r="A163" s="14" t="str">
        <x:v>classification-162</x:v>
      </x:c>
      <x:c r="B163" s="14" t="str">
        <x:v>bordeaux_saint_emilion_2022</x:v>
      </x:c>
      <x:c r="C163" s="14" t="str">
        <x:v>Château la Marzelle</x:v>
      </x:c>
      <x:c r="D163" s="14" t="str">
        <x:v>Château la Marzelle</x:v>
      </x:c>
      <x:c r="E163" s="14" t="str">
        <x:v>Grand Cru Classé</x:v>
      </x:c>
      <x:c r="F163" s="14" t="str">
        <x:v>Saint-Émilion</x:v>
      </x:c>
      <x:c r="G163" s="14" t="str">
        <x:v>右岸</x:v>
      </x:c>
      <x:c r="H163" s="14" t="str">
        <x:v>生産者</x:v>
      </x:c>
      <x:c r="I163" s="14" t="str">
        <x:v>term-d5b217101076</x:v>
      </x:c>
      <x:c r="J163" s="14" t="str"/>
      <x:c r="K163" s="14" t="str">
        <x:v>saint_emilion_2022_official</x:v>
      </x:c>
    </x:row>
    <x:row r="164" ht="30" customHeight="1">
      <x:c r="A164" s="14" t="str">
        <x:v>classification-163</x:v>
      </x:c>
      <x:c r="B164" s="14" t="str">
        <x:v>bordeaux_saint_emilion_2022</x:v>
      </x:c>
      <x:c r="C164" s="14" t="str">
        <x:v>Château la Serre</x:v>
      </x:c>
      <x:c r="D164" s="14" t="str">
        <x:v>Château la Serre</x:v>
      </x:c>
      <x:c r="E164" s="14" t="str">
        <x:v>Grand Cru Classé</x:v>
      </x:c>
      <x:c r="F164" s="14" t="str">
        <x:v>Saint-Émilion</x:v>
      </x:c>
      <x:c r="G164" s="14" t="str">
        <x:v>右岸</x:v>
      </x:c>
      <x:c r="H164" s="14" t="str">
        <x:v>生産者</x:v>
      </x:c>
      <x:c r="I164" s="14" t="str">
        <x:v>term-b4789b61f111</x:v>
      </x:c>
      <x:c r="J164" s="14" t="str"/>
      <x:c r="K164" s="14" t="str">
        <x:v>saint_emilion_2022_official</x:v>
      </x:c>
    </x:row>
    <x:row r="165" ht="30" customHeight="1">
      <x:c r="A165" s="14" t="str">
        <x:v>classification-164</x:v>
      </x:c>
      <x:c r="B165" s="14" t="str">
        <x:v>bordeaux_saint_emilion_2022</x:v>
      </x:c>
      <x:c r="C165" s="14" t="str">
        <x:v>Château la Tour Figeac</x:v>
      </x:c>
      <x:c r="D165" s="14" t="str">
        <x:v>Château la Tour Figeac</x:v>
      </x:c>
      <x:c r="E165" s="14" t="str">
        <x:v>Grand Cru Classé</x:v>
      </x:c>
      <x:c r="F165" s="14" t="str">
        <x:v>Saint-Émilion</x:v>
      </x:c>
      <x:c r="G165" s="14" t="str">
        <x:v>右岸</x:v>
      </x:c>
      <x:c r="H165" s="14" t="str">
        <x:v>生産者</x:v>
      </x:c>
      <x:c r="I165" s="14" t="str">
        <x:v>term-eae7df4506bc</x:v>
      </x:c>
      <x:c r="J165" s="14" t="str"/>
      <x:c r="K165" s="14" t="str">
        <x:v>saint_emilion_2022_official</x:v>
      </x:c>
    </x:row>
    <x:row r="166" ht="30" customHeight="1">
      <x:c r="A166" s="14" t="str">
        <x:v>classification-165</x:v>
      </x:c>
      <x:c r="B166" s="14" t="str">
        <x:v>bordeaux_saint_emilion_2022</x:v>
      </x:c>
      <x:c r="C166" s="14" t="str">
        <x:v>Château le Chatelet</x:v>
      </x:c>
      <x:c r="D166" s="14" t="str">
        <x:v>Château le Chatelet</x:v>
      </x:c>
      <x:c r="E166" s="14" t="str">
        <x:v>Grand Cru Classé</x:v>
      </x:c>
      <x:c r="F166" s="14" t="str">
        <x:v>Saint-Émilion</x:v>
      </x:c>
      <x:c r="G166" s="14" t="str">
        <x:v>右岸</x:v>
      </x:c>
      <x:c r="H166" s="14" t="str">
        <x:v>生産者</x:v>
      </x:c>
      <x:c r="I166" s="14" t="str">
        <x:v>term-f66b11deff10</x:v>
      </x:c>
      <x:c r="J166" s="14" t="str"/>
      <x:c r="K166" s="14" t="str">
        <x:v>saint_emilion_2022_official</x:v>
      </x:c>
    </x:row>
    <x:row r="167" ht="30" customHeight="1">
      <x:c r="A167" s="14" t="str">
        <x:v>classification-166</x:v>
      </x:c>
      <x:c r="B167" s="14" t="str">
        <x:v>bordeaux_saint_emilion_2022</x:v>
      </x:c>
      <x:c r="C167" s="14" t="str">
        <x:v>Clos Badon Thunevin</x:v>
      </x:c>
      <x:c r="D167" s="14" t="str">
        <x:v>Clos Badon Thunevin</x:v>
      </x:c>
      <x:c r="E167" s="14" t="str">
        <x:v>Grand Cru Classé</x:v>
      </x:c>
      <x:c r="F167" s="14" t="str">
        <x:v>Saint-Émilion</x:v>
      </x:c>
      <x:c r="G167" s="14" t="str">
        <x:v>右岸</x:v>
      </x:c>
      <x:c r="H167" s="14" t="str">
        <x:v>生産者</x:v>
      </x:c>
      <x:c r="I167" s="14" t="str">
        <x:v>term-8af2e6f48d88</x:v>
      </x:c>
      <x:c r="J167" s="14" t="str"/>
      <x:c r="K167" s="14" t="str">
        <x:v>saint_emilion_2022_official</x:v>
      </x:c>
    </x:row>
    <x:row r="168" ht="30" customHeight="1">
      <x:c r="A168" s="14" t="str">
        <x:v>classification-167</x:v>
      </x:c>
      <x:c r="B168" s="14" t="str">
        <x:v>bordeaux_saint_emilion_2022</x:v>
      </x:c>
      <x:c r="C168" s="14" t="str">
        <x:v>Clos Dubreuil</x:v>
      </x:c>
      <x:c r="D168" s="14" t="str">
        <x:v>Clos Dubreuil</x:v>
      </x:c>
      <x:c r="E168" s="14" t="str">
        <x:v>Grand Cru Classé</x:v>
      </x:c>
      <x:c r="F168" s="14" t="str">
        <x:v>Saint-Émilion</x:v>
      </x:c>
      <x:c r="G168" s="14" t="str">
        <x:v>右岸</x:v>
      </x:c>
      <x:c r="H168" s="14" t="str">
        <x:v>生産者</x:v>
      </x:c>
      <x:c r="I168" s="14" t="str">
        <x:v>term-0df5f3bb27f3</x:v>
      </x:c>
      <x:c r="J168" s="14" t="str"/>
      <x:c r="K168" s="14" t="str">
        <x:v>saint_emilion_2022_official</x:v>
      </x:c>
    </x:row>
    <x:row r="169" ht="30" customHeight="1">
      <x:c r="A169" s="14" t="str">
        <x:v>classification-168</x:v>
      </x:c>
      <x:c r="B169" s="14" t="str">
        <x:v>bordeaux_saint_emilion_2022</x:v>
      </x:c>
      <x:c r="C169" s="14" t="str">
        <x:v>Clos Saint-Julien</x:v>
      </x:c>
      <x:c r="D169" s="14" t="str">
        <x:v>Clos Saint-Julien</x:v>
      </x:c>
      <x:c r="E169" s="14" t="str">
        <x:v>Grand Cru Classé</x:v>
      </x:c>
      <x:c r="F169" s="14" t="str">
        <x:v>Saint-Émilion</x:v>
      </x:c>
      <x:c r="G169" s="14" t="str">
        <x:v>右岸</x:v>
      </x:c>
      <x:c r="H169" s="14" t="str">
        <x:v>生産者</x:v>
      </x:c>
      <x:c r="I169" s="14" t="str">
        <x:v>term-ea1061b4bd49</x:v>
      </x:c>
      <x:c r="J169" s="14" t="str"/>
      <x:c r="K169" s="14" t="str">
        <x:v>saint_emilion_2022_official</x:v>
      </x:c>
    </x:row>
    <x:row r="170" ht="30" customHeight="1">
      <x:c r="A170" s="14" t="str">
        <x:v>classification-169</x:v>
      </x:c>
      <x:c r="B170" s="14" t="str">
        <x:v>bordeaux_saint_emilion_2022</x:v>
      </x:c>
      <x:c r="C170" s="14" t="str">
        <x:v>Clos Saint-Martin</x:v>
      </x:c>
      <x:c r="D170" s="14" t="str">
        <x:v>Clos Saint-Martin</x:v>
      </x:c>
      <x:c r="E170" s="14" t="str">
        <x:v>Grand Cru Classé</x:v>
      </x:c>
      <x:c r="F170" s="14" t="str">
        <x:v>Saint-Émilion</x:v>
      </x:c>
      <x:c r="G170" s="14" t="str">
        <x:v>右岸</x:v>
      </x:c>
      <x:c r="H170" s="14" t="str">
        <x:v>生産者</x:v>
      </x:c>
      <x:c r="I170" s="14" t="str">
        <x:v>term-3ef9229da812</x:v>
      </x:c>
      <x:c r="J170" s="14" t="str"/>
      <x:c r="K170" s="14" t="str">
        <x:v>saint_emilion_2022_official</x:v>
      </x:c>
    </x:row>
    <x:row r="171" ht="30" customHeight="1">
      <x:c r="A171" s="14" t="str">
        <x:v>classification-170</x:v>
      </x:c>
      <x:c r="B171" s="14" t="str">
        <x:v>bordeaux_saint_emilion_2022</x:v>
      </x:c>
      <x:c r="C171" s="14" t="str">
        <x:v>Clos de l'Oratoire</x:v>
      </x:c>
      <x:c r="D171" s="14" t="str">
        <x:v>Clos de l'Oratoire</x:v>
      </x:c>
      <x:c r="E171" s="14" t="str">
        <x:v>Grand Cru Classé</x:v>
      </x:c>
      <x:c r="F171" s="14" t="str">
        <x:v>Saint-Émilion</x:v>
      </x:c>
      <x:c r="G171" s="14" t="str">
        <x:v>右岸</x:v>
      </x:c>
      <x:c r="H171" s="14" t="str">
        <x:v>生産者</x:v>
      </x:c>
      <x:c r="I171" s="14" t="str">
        <x:v>term-e79fb0574325</x:v>
      </x:c>
      <x:c r="J171" s="14" t="str"/>
      <x:c r="K171" s="14" t="str">
        <x:v>saint_emilion_2022_official</x:v>
      </x:c>
    </x:row>
    <x:row r="172" ht="30" customHeight="1">
      <x:c r="A172" s="14" t="str">
        <x:v>classification-171</x:v>
      </x:c>
      <x:c r="B172" s="14" t="str">
        <x:v>bordeaux_saint_emilion_2022</x:v>
      </x:c>
      <x:c r="C172" s="14" t="str">
        <x:v>Clos des Jacobins</x:v>
      </x:c>
      <x:c r="D172" s="14" t="str">
        <x:v>Clos des Jacobins</x:v>
      </x:c>
      <x:c r="E172" s="14" t="str">
        <x:v>Grand Cru Classé</x:v>
      </x:c>
      <x:c r="F172" s="14" t="str">
        <x:v>Saint-Émilion</x:v>
      </x:c>
      <x:c r="G172" s="14" t="str">
        <x:v>右岸</x:v>
      </x:c>
      <x:c r="H172" s="14" t="str">
        <x:v>生産者</x:v>
      </x:c>
      <x:c r="I172" s="14" t="str">
        <x:v>term-78b7c5f15dfb</x:v>
      </x:c>
      <x:c r="J172" s="14" t="str"/>
      <x:c r="K172" s="14" t="str">
        <x:v>saint_emilion_2022_official</x:v>
      </x:c>
    </x:row>
    <x:row r="173" ht="30" customHeight="1">
      <x:c r="A173" s="14" t="str">
        <x:v>classification-172</x:v>
      </x:c>
      <x:c r="B173" s="14" t="str">
        <x:v>bordeaux_saint_emilion_2022</x:v>
      </x:c>
      <x:c r="C173" s="14" t="str">
        <x:v>Couvent des Jacobins</x:v>
      </x:c>
      <x:c r="D173" s="14" t="str">
        <x:v>Couvent des Jacobins</x:v>
      </x:c>
      <x:c r="E173" s="14" t="str">
        <x:v>Grand Cru Classé</x:v>
      </x:c>
      <x:c r="F173" s="14" t="str">
        <x:v>Saint-Émilion</x:v>
      </x:c>
      <x:c r="G173" s="14" t="str">
        <x:v>右岸</x:v>
      </x:c>
      <x:c r="H173" s="14" t="str">
        <x:v>生産者</x:v>
      </x:c>
      <x:c r="I173" s="14" t="str">
        <x:v>term-a29790ac1b60</x:v>
      </x:c>
      <x:c r="J173" s="14" t="str"/>
      <x:c r="K173" s="14" t="str">
        <x:v>saint_emilion_2022_official</x:v>
      </x:c>
    </x:row>
    <x:row r="174" ht="30" customHeight="1">
      <x:c r="A174" s="14" t="str">
        <x:v>classification-173</x:v>
      </x:c>
      <x:c r="B174" s="14" t="str">
        <x:v>bordeaux_saint_emilion_2022</x:v>
      </x:c>
      <x:c r="C174" s="14" t="str">
        <x:v>Lassegue</x:v>
      </x:c>
      <x:c r="D174" s="14" t="str">
        <x:v>Lassegue</x:v>
      </x:c>
      <x:c r="E174" s="14" t="str">
        <x:v>Grand Cru Classé</x:v>
      </x:c>
      <x:c r="F174" s="14" t="str">
        <x:v>Saint-Émilion</x:v>
      </x:c>
      <x:c r="G174" s="14" t="str">
        <x:v>右岸</x:v>
      </x:c>
      <x:c r="H174" s="14" t="str">
        <x:v>生産者</x:v>
      </x:c>
      <x:c r="I174" s="14" t="str">
        <x:v>term-c0246b141ac1</x:v>
      </x:c>
      <x:c r="J174" s="14" t="str"/>
      <x:c r="K174" s="14" t="str">
        <x:v>saint_emilion_2022_official</x:v>
      </x:c>
    </x:row>
    <x:row r="175" ht="30" customHeight="1">
      <x:c r="A175" s="14" t="str">
        <x:v>classification-174</x:v>
      </x:c>
      <x:c r="B175" s="14" t="str">
        <x:v>bordeaux_graves</x:v>
      </x:c>
      <x:c r="C175" s="14" t="str">
        <x:v>Château Bouscaut</x:v>
      </x:c>
      <x:c r="D175" s="14" t="str">
        <x:v>Château Bouscaut</x:v>
      </x:c>
      <x:c r="E175" s="14" t="str">
        <x:v>Cru Classé de Graves</x:v>
      </x:c>
      <x:c r="F175" s="14" t="str">
        <x:v>Pessac-Léognan</x:v>
      </x:c>
      <x:c r="G175" s="14" t="str">
        <x:v>Graves</x:v>
      </x:c>
      <x:c r="H175" s="14" t="str">
        <x:v>生産者</x:v>
      </x:c>
      <x:c r="I175" s="14" t="str">
        <x:v>term-b826976f4676</x:v>
      </x:c>
      <x:c r="J175" s="14" t="str">
        <x:v>対象：赤・白</x:v>
      </x:c>
      <x:c r="K175" s="14" t="str">
        <x:v>bordeaux_graves_official</x:v>
      </x:c>
    </x:row>
    <x:row r="176" ht="30" customHeight="1">
      <x:c r="A176" s="14" t="str">
        <x:v>classification-175</x:v>
      </x:c>
      <x:c r="B176" s="14" t="str">
        <x:v>bordeaux_graves</x:v>
      </x:c>
      <x:c r="C176" s="14" t="str">
        <x:v>Château Carbonnieux</x:v>
      </x:c>
      <x:c r="D176" s="14" t="str">
        <x:v>Château Carbonnieux</x:v>
      </x:c>
      <x:c r="E176" s="14" t="str">
        <x:v>Cru Classé de Graves</x:v>
      </x:c>
      <x:c r="F176" s="14" t="str">
        <x:v>Pessac-Léognan</x:v>
      </x:c>
      <x:c r="G176" s="14" t="str">
        <x:v>Graves</x:v>
      </x:c>
      <x:c r="H176" s="14" t="str">
        <x:v>生産者</x:v>
      </x:c>
      <x:c r="I176" s="14" t="str">
        <x:v>term-13d7d390143b</x:v>
      </x:c>
      <x:c r="J176" s="14" t="str">
        <x:v>対象：赤・白</x:v>
      </x:c>
      <x:c r="K176" s="14" t="str">
        <x:v>bordeaux_graves_official</x:v>
      </x:c>
    </x:row>
    <x:row r="177" ht="30" customHeight="1">
      <x:c r="A177" s="14" t="str">
        <x:v>classification-176</x:v>
      </x:c>
      <x:c r="B177" s="14" t="str">
        <x:v>bordeaux_graves</x:v>
      </x:c>
      <x:c r="C177" s="14" t="str">
        <x:v>Domaine de Chevalier</x:v>
      </x:c>
      <x:c r="D177" s="14" t="str">
        <x:v>Domaine de Chevalier</x:v>
      </x:c>
      <x:c r="E177" s="14" t="str">
        <x:v>Cru Classé de Graves</x:v>
      </x:c>
      <x:c r="F177" s="14" t="str">
        <x:v>Pessac-Léognan</x:v>
      </x:c>
      <x:c r="G177" s="14" t="str">
        <x:v>Graves</x:v>
      </x:c>
      <x:c r="H177" s="14" t="str">
        <x:v>生産者</x:v>
      </x:c>
      <x:c r="I177" s="14" t="str">
        <x:v>term-54afd285e5ba</x:v>
      </x:c>
      <x:c r="J177" s="14" t="str">
        <x:v>対象：赤・白</x:v>
      </x:c>
      <x:c r="K177" s="14" t="str">
        <x:v>bordeaux_graves_official</x:v>
      </x:c>
    </x:row>
    <x:row r="178" ht="30" customHeight="1">
      <x:c r="A178" s="14" t="str">
        <x:v>classification-177</x:v>
      </x:c>
      <x:c r="B178" s="14" t="str">
        <x:v>bordeaux_graves</x:v>
      </x:c>
      <x:c r="C178" s="14" t="str">
        <x:v>Château Couhins</x:v>
      </x:c>
      <x:c r="D178" s="14" t="str">
        <x:v>Château Couhins</x:v>
      </x:c>
      <x:c r="E178" s="14" t="str">
        <x:v>Cru Classé de Graves</x:v>
      </x:c>
      <x:c r="F178" s="14" t="str">
        <x:v>Pessac-Léognan</x:v>
      </x:c>
      <x:c r="G178" s="14" t="str">
        <x:v>Graves</x:v>
      </x:c>
      <x:c r="H178" s="14" t="str">
        <x:v>生産者</x:v>
      </x:c>
      <x:c r="I178" s="14" t="str">
        <x:v>term-a21db01b9b88</x:v>
      </x:c>
      <x:c r="J178" s="14" t="str">
        <x:v>対象：白</x:v>
      </x:c>
      <x:c r="K178" s="14" t="str">
        <x:v>bordeaux_graves_official</x:v>
      </x:c>
    </x:row>
    <x:row r="179" ht="30" customHeight="1">
      <x:c r="A179" s="14" t="str">
        <x:v>classification-178</x:v>
      </x:c>
      <x:c r="B179" s="14" t="str">
        <x:v>bordeaux_graves</x:v>
      </x:c>
      <x:c r="C179" s="14" t="str">
        <x:v>Château Couhins-Lurton</x:v>
      </x:c>
      <x:c r="D179" s="14" t="str">
        <x:v>Château Couhins-Lurton</x:v>
      </x:c>
      <x:c r="E179" s="14" t="str">
        <x:v>Cru Classé de Graves</x:v>
      </x:c>
      <x:c r="F179" s="14" t="str">
        <x:v>Pessac-Léognan</x:v>
      </x:c>
      <x:c r="G179" s="14" t="str">
        <x:v>Graves</x:v>
      </x:c>
      <x:c r="H179" s="14" t="str">
        <x:v>生産者</x:v>
      </x:c>
      <x:c r="I179" s="14" t="str">
        <x:v>term-99cd362867c7</x:v>
      </x:c>
      <x:c r="J179" s="14" t="str">
        <x:v>対象：白</x:v>
      </x:c>
      <x:c r="K179" s="14" t="str">
        <x:v>bordeaux_graves_official</x:v>
      </x:c>
    </x:row>
    <x:row r="180" ht="30" customHeight="1">
      <x:c r="A180" s="14" t="str">
        <x:v>classification-179</x:v>
      </x:c>
      <x:c r="B180" s="14" t="str">
        <x:v>bordeaux_graves</x:v>
      </x:c>
      <x:c r="C180" s="14" t="str">
        <x:v>Château de Fieuzal</x:v>
      </x:c>
      <x:c r="D180" s="14" t="str">
        <x:v>Château de Fieuzal</x:v>
      </x:c>
      <x:c r="E180" s="14" t="str">
        <x:v>Cru Classé de Graves</x:v>
      </x:c>
      <x:c r="F180" s="14" t="str">
        <x:v>Pessac-Léognan</x:v>
      </x:c>
      <x:c r="G180" s="14" t="str">
        <x:v>Graves</x:v>
      </x:c>
      <x:c r="H180" s="14" t="str">
        <x:v>生産者</x:v>
      </x:c>
      <x:c r="I180" s="14" t="str">
        <x:v>term-ae269d296b33</x:v>
      </x:c>
      <x:c r="J180" s="14" t="str">
        <x:v>対象：赤</x:v>
      </x:c>
      <x:c r="K180" s="14" t="str">
        <x:v>bordeaux_graves_official</x:v>
      </x:c>
    </x:row>
    <x:row r="181" ht="30" customHeight="1">
      <x:c r="A181" s="14" t="str">
        <x:v>classification-180</x:v>
      </x:c>
      <x:c r="B181" s="14" t="str">
        <x:v>bordeaux_graves</x:v>
      </x:c>
      <x:c r="C181" s="14" t="str">
        <x:v>Château Haut-Bailly</x:v>
      </x:c>
      <x:c r="D181" s="14" t="str">
        <x:v>Château Haut-Bailly</x:v>
      </x:c>
      <x:c r="E181" s="14" t="str">
        <x:v>Cru Classé de Graves</x:v>
      </x:c>
      <x:c r="F181" s="14" t="str">
        <x:v>Pessac-Léognan</x:v>
      </x:c>
      <x:c r="G181" s="14" t="str">
        <x:v>Graves</x:v>
      </x:c>
      <x:c r="H181" s="14" t="str">
        <x:v>生産者</x:v>
      </x:c>
      <x:c r="I181" s="14" t="str">
        <x:v>term-13701d39effc</x:v>
      </x:c>
      <x:c r="J181" s="14" t="str">
        <x:v>対象：赤</x:v>
      </x:c>
      <x:c r="K181" s="14" t="str">
        <x:v>bordeaux_graves_official</x:v>
      </x:c>
    </x:row>
    <x:row r="182" ht="30" customHeight="1">
      <x:c r="A182" s="14" t="str">
        <x:v>classification-181</x:v>
      </x:c>
      <x:c r="B182" s="14" t="str">
        <x:v>bordeaux_graves</x:v>
      </x:c>
      <x:c r="C182" s="14" t="str">
        <x:v>Château Haut-Brion</x:v>
      </x:c>
      <x:c r="D182" s="14" t="str">
        <x:v>Château Haut-Brion</x:v>
      </x:c>
      <x:c r="E182" s="14" t="str">
        <x:v>Cru Classé de Graves</x:v>
      </x:c>
      <x:c r="F182" s="14" t="str">
        <x:v>Pessac-Léognan</x:v>
      </x:c>
      <x:c r="G182" s="14" t="str">
        <x:v>Graves</x:v>
      </x:c>
      <x:c r="H182" s="14" t="str">
        <x:v>生産者</x:v>
      </x:c>
      <x:c r="I182" s="14" t="str">
        <x:v>term-79d2d1c223fe</x:v>
      </x:c>
      <x:c r="J182" s="14" t="str">
        <x:v>対象：赤</x:v>
      </x:c>
      <x:c r="K182" s="14" t="str">
        <x:v>bordeaux_graves_official</x:v>
      </x:c>
    </x:row>
    <x:row r="183" ht="30" customHeight="1">
      <x:c r="A183" s="14" t="str">
        <x:v>classification-182</x:v>
      </x:c>
      <x:c r="B183" s="14" t="str">
        <x:v>bordeaux_graves</x:v>
      </x:c>
      <x:c r="C183" s="14" t="str">
        <x:v>Château La Mission Haut-Brion</x:v>
      </x:c>
      <x:c r="D183" s="14" t="str">
        <x:v>Château La Mission Haut-Brion</x:v>
      </x:c>
      <x:c r="E183" s="14" t="str">
        <x:v>Cru Classé de Graves</x:v>
      </x:c>
      <x:c r="F183" s="14" t="str">
        <x:v>Pessac-Léognan</x:v>
      </x:c>
      <x:c r="G183" s="14" t="str">
        <x:v>Graves</x:v>
      </x:c>
      <x:c r="H183" s="14" t="str">
        <x:v>生産者</x:v>
      </x:c>
      <x:c r="I183" s="14" t="str">
        <x:v>term-98842a010bd8</x:v>
      </x:c>
      <x:c r="J183" s="14" t="str">
        <x:v>対象：赤</x:v>
      </x:c>
      <x:c r="K183" s="14" t="str">
        <x:v>bordeaux_graves_official</x:v>
      </x:c>
    </x:row>
    <x:row r="184" ht="30" customHeight="1">
      <x:c r="A184" s="14" t="str">
        <x:v>classification-183</x:v>
      </x:c>
      <x:c r="B184" s="14" t="str">
        <x:v>bordeaux_graves</x:v>
      </x:c>
      <x:c r="C184" s="14" t="str">
        <x:v>Château Latour-Martillac</x:v>
      </x:c>
      <x:c r="D184" s="14" t="str">
        <x:v>Château Latour-Martillac</x:v>
      </x:c>
      <x:c r="E184" s="14" t="str">
        <x:v>Cru Classé de Graves</x:v>
      </x:c>
      <x:c r="F184" s="14" t="str">
        <x:v>Pessac-Léognan</x:v>
      </x:c>
      <x:c r="G184" s="14" t="str">
        <x:v>Graves</x:v>
      </x:c>
      <x:c r="H184" s="14" t="str">
        <x:v>生産者</x:v>
      </x:c>
      <x:c r="I184" s="14" t="str">
        <x:v>term-8da916bca8aa</x:v>
      </x:c>
      <x:c r="J184" s="14" t="str">
        <x:v>対象：赤・白</x:v>
      </x:c>
      <x:c r="K184" s="14" t="str">
        <x:v>bordeaux_graves_official</x:v>
      </x:c>
    </x:row>
    <x:row r="185" ht="30" customHeight="1">
      <x:c r="A185" s="14" t="str">
        <x:v>classification-184</x:v>
      </x:c>
      <x:c r="B185" s="14" t="str">
        <x:v>bordeaux_graves</x:v>
      </x:c>
      <x:c r="C185" s="14" t="str">
        <x:v>Château Malartic-Lagravière</x:v>
      </x:c>
      <x:c r="D185" s="14" t="str">
        <x:v>Château Malartic-Lagravière</x:v>
      </x:c>
      <x:c r="E185" s="14" t="str">
        <x:v>Cru Classé de Graves</x:v>
      </x:c>
      <x:c r="F185" s="14" t="str">
        <x:v>Pessac-Léognan</x:v>
      </x:c>
      <x:c r="G185" s="14" t="str">
        <x:v>Graves</x:v>
      </x:c>
      <x:c r="H185" s="14" t="str">
        <x:v>生産者</x:v>
      </x:c>
      <x:c r="I185" s="14" t="str">
        <x:v>term-b8f5b04ad944</x:v>
      </x:c>
      <x:c r="J185" s="14" t="str">
        <x:v>対象：赤・白</x:v>
      </x:c>
      <x:c r="K185" s="14" t="str">
        <x:v>bordeaux_graves_official</x:v>
      </x:c>
    </x:row>
    <x:row r="186" ht="30" customHeight="1">
      <x:c r="A186" s="14" t="str">
        <x:v>classification-185</x:v>
      </x:c>
      <x:c r="B186" s="14" t="str">
        <x:v>bordeaux_graves</x:v>
      </x:c>
      <x:c r="C186" s="14" t="str">
        <x:v>Château Olivier</x:v>
      </x:c>
      <x:c r="D186" s="14" t="str">
        <x:v>Château Olivier</x:v>
      </x:c>
      <x:c r="E186" s="14" t="str">
        <x:v>Cru Classé de Graves</x:v>
      </x:c>
      <x:c r="F186" s="14" t="str">
        <x:v>Pessac-Léognan</x:v>
      </x:c>
      <x:c r="G186" s="14" t="str">
        <x:v>Graves</x:v>
      </x:c>
      <x:c r="H186" s="14" t="str">
        <x:v>生産者</x:v>
      </x:c>
      <x:c r="I186" s="14" t="str">
        <x:v>term-1f7604f95b81</x:v>
      </x:c>
      <x:c r="J186" s="14" t="str">
        <x:v>対象：赤・白</x:v>
      </x:c>
      <x:c r="K186" s="14" t="str">
        <x:v>bordeaux_graves_official</x:v>
      </x:c>
    </x:row>
    <x:row r="187" ht="30" customHeight="1">
      <x:c r="A187" s="14" t="str">
        <x:v>classification-186</x:v>
      </x:c>
      <x:c r="B187" s="14" t="str">
        <x:v>bordeaux_graves</x:v>
      </x:c>
      <x:c r="C187" s="14" t="str">
        <x:v>Château Pape Clément</x:v>
      </x:c>
      <x:c r="D187" s="14" t="str">
        <x:v>Château Pape Clément</x:v>
      </x:c>
      <x:c r="E187" s="14" t="str">
        <x:v>Cru Classé de Graves</x:v>
      </x:c>
      <x:c r="F187" s="14" t="str">
        <x:v>Pessac-Léognan</x:v>
      </x:c>
      <x:c r="G187" s="14" t="str">
        <x:v>Graves</x:v>
      </x:c>
      <x:c r="H187" s="14" t="str">
        <x:v>生産者</x:v>
      </x:c>
      <x:c r="I187" s="14" t="str">
        <x:v>term-a16cda038200</x:v>
      </x:c>
      <x:c r="J187" s="14" t="str">
        <x:v>対象：赤</x:v>
      </x:c>
      <x:c r="K187" s="14" t="str">
        <x:v>bordeaux_graves_official</x:v>
      </x:c>
    </x:row>
    <x:row r="188" ht="30" customHeight="1">
      <x:c r="A188" s="14" t="str">
        <x:v>classification-187</x:v>
      </x:c>
      <x:c r="B188" s="14" t="str">
        <x:v>bordeaux_graves</x:v>
      </x:c>
      <x:c r="C188" s="14" t="str">
        <x:v>Château Smith Haut Lafitte</x:v>
      </x:c>
      <x:c r="D188" s="14" t="str">
        <x:v>Château Smith Haut Lafitte</x:v>
      </x:c>
      <x:c r="E188" s="14" t="str">
        <x:v>Cru Classé de Graves</x:v>
      </x:c>
      <x:c r="F188" s="14" t="str">
        <x:v>Pessac-Léognan</x:v>
      </x:c>
      <x:c r="G188" s="14" t="str">
        <x:v>Graves</x:v>
      </x:c>
      <x:c r="H188" s="14" t="str">
        <x:v>生産者</x:v>
      </x:c>
      <x:c r="I188" s="14" t="str">
        <x:v>term-a6bee2e040ec</x:v>
      </x:c>
      <x:c r="J188" s="14" t="str">
        <x:v>対象：赤</x:v>
      </x:c>
      <x:c r="K188" s="14" t="str">
        <x:v>bordeaux_graves_official</x:v>
      </x:c>
    </x:row>
    <x:row r="189" ht="30" customHeight="1">
      <x:c r="A189" s="14" t="str">
        <x:v>classification-188</x:v>
      </x:c>
      <x:c r="B189" s="14" t="str">
        <x:v>burgundy_grand_cru</x:v>
      </x:c>
      <x:c r="C189" s="14" t="str">
        <x:v>Chablis Grand Cru</x:v>
      </x:c>
      <x:c r="D189" s="14" t="str">
        <x:v>Chablis Grand Cru</x:v>
      </x:c>
      <x:c r="E189" s="14" t="str">
        <x:v>Grand Cru</x:v>
      </x:c>
      <x:c r="F189" s="14" t="str">
        <x:v>Chablis</x:v>
      </x:c>
      <x:c r="G189" s="14" t="str">
        <x:v>Chablisien</x:v>
      </x:c>
      <x:c r="H189" s="14" t="str">
        <x:v>畑・AOC</x:v>
      </x:c>
      <x:c r="I189" s="14" t="str">
        <x:v>term-1c367d7751ef</x:v>
      </x:c>
      <x:c r="J189" s="14" t="str">
        <x:v>ブルゴーニュでは生産者ではなくAOC／畑の階層。</x:v>
      </x:c>
      <x:c r="K189" s="14" t="str">
        <x:v>bourgogne_aoc_official</x:v>
      </x:c>
    </x:row>
    <x:row r="190" ht="30" customHeight="1">
      <x:c r="A190" s="14" t="str">
        <x:v>classification-189</x:v>
      </x:c>
      <x:c r="B190" s="14" t="str">
        <x:v>burgundy_grand_cru</x:v>
      </x:c>
      <x:c r="C190" s="14" t="str">
        <x:v>Chambertin</x:v>
      </x:c>
      <x:c r="D190" s="14" t="str">
        <x:v>Chambertin</x:v>
      </x:c>
      <x:c r="E190" s="14" t="str">
        <x:v>Grand Cru</x:v>
      </x:c>
      <x:c r="F190" s="14" t="str">
        <x:v>Gevrey-Chambertin</x:v>
      </x:c>
      <x:c r="G190" s="14" t="str">
        <x:v>Côte de Nuits</x:v>
      </x:c>
      <x:c r="H190" s="14" t="str">
        <x:v>畑・AOC</x:v>
      </x:c>
      <x:c r="I190" s="14" t="str">
        <x:v>term-e9e54f8d43fe</x:v>
      </x:c>
      <x:c r="J190" s="14" t="str">
        <x:v>ブルゴーニュでは生産者ではなくAOC／畑の階層。</x:v>
      </x:c>
      <x:c r="K190" s="14" t="str">
        <x:v>bourgogne_aoc_official</x:v>
      </x:c>
    </x:row>
    <x:row r="191" ht="30" customHeight="1">
      <x:c r="A191" s="14" t="str">
        <x:v>classification-190</x:v>
      </x:c>
      <x:c r="B191" s="14" t="str">
        <x:v>burgundy_grand_cru</x:v>
      </x:c>
      <x:c r="C191" s="14" t="str">
        <x:v>Chambertin-Clos de Bèze</x:v>
      </x:c>
      <x:c r="D191" s="14" t="str">
        <x:v>Chambertin-Clos de Bèze</x:v>
      </x:c>
      <x:c r="E191" s="14" t="str">
        <x:v>Grand Cru</x:v>
      </x:c>
      <x:c r="F191" s="14" t="str">
        <x:v>Gevrey-Chambertin</x:v>
      </x:c>
      <x:c r="G191" s="14" t="str">
        <x:v>Côte de Nuits</x:v>
      </x:c>
      <x:c r="H191" s="14" t="str">
        <x:v>畑・AOC</x:v>
      </x:c>
      <x:c r="I191" s="14" t="str">
        <x:v>term-efc1bce2df40</x:v>
      </x:c>
      <x:c r="J191" s="14" t="str">
        <x:v>ブルゴーニュでは生産者ではなくAOC／畑の階層。</x:v>
      </x:c>
      <x:c r="K191" s="14" t="str">
        <x:v>bourgogne_aoc_official</x:v>
      </x:c>
    </x:row>
    <x:row r="192" ht="30" customHeight="1">
      <x:c r="A192" s="14" t="str">
        <x:v>classification-191</x:v>
      </x:c>
      <x:c r="B192" s="14" t="str">
        <x:v>burgundy_grand_cru</x:v>
      </x:c>
      <x:c r="C192" s="14" t="str">
        <x:v>Chapelle-Chambertin</x:v>
      </x:c>
      <x:c r="D192" s="14" t="str">
        <x:v>Chapelle-Chambertin</x:v>
      </x:c>
      <x:c r="E192" s="14" t="str">
        <x:v>Grand Cru</x:v>
      </x:c>
      <x:c r="F192" s="14" t="str">
        <x:v>Gevrey-Chambertin</x:v>
      </x:c>
      <x:c r="G192" s="14" t="str">
        <x:v>Côte de Nuits</x:v>
      </x:c>
      <x:c r="H192" s="14" t="str">
        <x:v>畑・AOC</x:v>
      </x:c>
      <x:c r="I192" s="14" t="str">
        <x:v>term-16acd1010ce3</x:v>
      </x:c>
      <x:c r="J192" s="14" t="str">
        <x:v>ブルゴーニュでは生産者ではなくAOC／畑の階層。</x:v>
      </x:c>
      <x:c r="K192" s="14" t="str">
        <x:v>bourgogne_aoc_official</x:v>
      </x:c>
    </x:row>
    <x:row r="193" ht="30" customHeight="1">
      <x:c r="A193" s="14" t="str">
        <x:v>classification-192</x:v>
      </x:c>
      <x:c r="B193" s="14" t="str">
        <x:v>burgundy_grand_cru</x:v>
      </x:c>
      <x:c r="C193" s="14" t="str">
        <x:v>Charmes-Chambertin</x:v>
      </x:c>
      <x:c r="D193" s="14" t="str">
        <x:v>Charmes-Chambertin</x:v>
      </x:c>
      <x:c r="E193" s="14" t="str">
        <x:v>Grand Cru</x:v>
      </x:c>
      <x:c r="F193" s="14" t="str">
        <x:v>Gevrey-Chambertin</x:v>
      </x:c>
      <x:c r="G193" s="14" t="str">
        <x:v>Côte de Nuits</x:v>
      </x:c>
      <x:c r="H193" s="14" t="str">
        <x:v>畑・AOC</x:v>
      </x:c>
      <x:c r="I193" s="14" t="str">
        <x:v>term-8156d9d2929e</x:v>
      </x:c>
      <x:c r="J193" s="14" t="str">
        <x:v>ブルゴーニュでは生産者ではなくAOC／畑の階層。</x:v>
      </x:c>
      <x:c r="K193" s="14" t="str">
        <x:v>bourgogne_aoc_official</x:v>
      </x:c>
    </x:row>
    <x:row r="194" ht="30" customHeight="1">
      <x:c r="A194" s="14" t="str">
        <x:v>classification-193</x:v>
      </x:c>
      <x:c r="B194" s="14" t="str">
        <x:v>burgundy_grand_cru</x:v>
      </x:c>
      <x:c r="C194" s="14" t="str">
        <x:v>Griotte-Chambertin</x:v>
      </x:c>
      <x:c r="D194" s="14" t="str">
        <x:v>Griotte-Chambertin</x:v>
      </x:c>
      <x:c r="E194" s="14" t="str">
        <x:v>Grand Cru</x:v>
      </x:c>
      <x:c r="F194" s="14" t="str">
        <x:v>Gevrey-Chambertin</x:v>
      </x:c>
      <x:c r="G194" s="14" t="str">
        <x:v>Côte de Nuits</x:v>
      </x:c>
      <x:c r="H194" s="14" t="str">
        <x:v>畑・AOC</x:v>
      </x:c>
      <x:c r="I194" s="14" t="str">
        <x:v>term-6904afcf4811</x:v>
      </x:c>
      <x:c r="J194" s="14" t="str">
        <x:v>ブルゴーニュでは生産者ではなくAOC／畑の階層。</x:v>
      </x:c>
      <x:c r="K194" s="14" t="str">
        <x:v>bourgogne_aoc_official</x:v>
      </x:c>
    </x:row>
    <x:row r="195" ht="30" customHeight="1">
      <x:c r="A195" s="14" t="str">
        <x:v>classification-194</x:v>
      </x:c>
      <x:c r="B195" s="14" t="str">
        <x:v>burgundy_grand_cru</x:v>
      </x:c>
      <x:c r="C195" s="14" t="str">
        <x:v>Latricières-Chambertin</x:v>
      </x:c>
      <x:c r="D195" s="14" t="str">
        <x:v>Latricières-Chambertin</x:v>
      </x:c>
      <x:c r="E195" s="14" t="str">
        <x:v>Grand Cru</x:v>
      </x:c>
      <x:c r="F195" s="14" t="str">
        <x:v>Gevrey-Chambertin</x:v>
      </x:c>
      <x:c r="G195" s="14" t="str">
        <x:v>Côte de Nuits</x:v>
      </x:c>
      <x:c r="H195" s="14" t="str">
        <x:v>畑・AOC</x:v>
      </x:c>
      <x:c r="I195" s="14" t="str">
        <x:v>term-13a5ee3d1e26</x:v>
      </x:c>
      <x:c r="J195" s="14" t="str">
        <x:v>ブルゴーニュでは生産者ではなくAOC／畑の階層。</x:v>
      </x:c>
      <x:c r="K195" s="14" t="str">
        <x:v>bourgogne_aoc_official</x:v>
      </x:c>
    </x:row>
    <x:row r="196" ht="30" customHeight="1">
      <x:c r="A196" s="14" t="str">
        <x:v>classification-195</x:v>
      </x:c>
      <x:c r="B196" s="14" t="str">
        <x:v>burgundy_grand_cru</x:v>
      </x:c>
      <x:c r="C196" s="14" t="str">
        <x:v>Mazis-Chambertin</x:v>
      </x:c>
      <x:c r="D196" s="14" t="str">
        <x:v>Mazis-Chambertin</x:v>
      </x:c>
      <x:c r="E196" s="14" t="str">
        <x:v>Grand Cru</x:v>
      </x:c>
      <x:c r="F196" s="14" t="str">
        <x:v>Gevrey-Chambertin</x:v>
      </x:c>
      <x:c r="G196" s="14" t="str">
        <x:v>Côte de Nuits</x:v>
      </x:c>
      <x:c r="H196" s="14" t="str">
        <x:v>畑・AOC</x:v>
      </x:c>
      <x:c r="I196" s="14" t="str">
        <x:v>term-7a2a682ebddc</x:v>
      </x:c>
      <x:c r="J196" s="14" t="str">
        <x:v>ブルゴーニュでは生産者ではなくAOC／畑の階層。</x:v>
      </x:c>
      <x:c r="K196" s="14" t="str">
        <x:v>bourgogne_aoc_official</x:v>
      </x:c>
    </x:row>
    <x:row r="197" ht="30" customHeight="1">
      <x:c r="A197" s="14" t="str">
        <x:v>classification-196</x:v>
      </x:c>
      <x:c r="B197" s="14" t="str">
        <x:v>burgundy_grand_cru</x:v>
      </x:c>
      <x:c r="C197" s="14" t="str">
        <x:v>Mazoyères-Chambertin</x:v>
      </x:c>
      <x:c r="D197" s="14" t="str">
        <x:v>Mazoyères-Chambertin</x:v>
      </x:c>
      <x:c r="E197" s="14" t="str">
        <x:v>Grand Cru</x:v>
      </x:c>
      <x:c r="F197" s="14" t="str">
        <x:v>Gevrey-Chambertin</x:v>
      </x:c>
      <x:c r="G197" s="14" t="str">
        <x:v>Côte de Nuits</x:v>
      </x:c>
      <x:c r="H197" s="14" t="str">
        <x:v>畑・AOC</x:v>
      </x:c>
      <x:c r="I197" s="14" t="str">
        <x:v>term-ea6789f950b9</x:v>
      </x:c>
      <x:c r="J197" s="14" t="str">
        <x:v>ブルゴーニュでは生産者ではなくAOC／畑の階層。</x:v>
      </x:c>
      <x:c r="K197" s="14" t="str">
        <x:v>bourgogne_aoc_official</x:v>
      </x:c>
    </x:row>
    <x:row r="198" ht="30" customHeight="1">
      <x:c r="A198" s="14" t="str">
        <x:v>classification-197</x:v>
      </x:c>
      <x:c r="B198" s="14" t="str">
        <x:v>burgundy_grand_cru</x:v>
      </x:c>
      <x:c r="C198" s="14" t="str">
        <x:v>Ruchottes-Chambertin</x:v>
      </x:c>
      <x:c r="D198" s="14" t="str">
        <x:v>Ruchottes-Chambertin</x:v>
      </x:c>
      <x:c r="E198" s="14" t="str">
        <x:v>Grand Cru</x:v>
      </x:c>
      <x:c r="F198" s="14" t="str">
        <x:v>Gevrey-Chambertin</x:v>
      </x:c>
      <x:c r="G198" s="14" t="str">
        <x:v>Côte de Nuits</x:v>
      </x:c>
      <x:c r="H198" s="14" t="str">
        <x:v>畑・AOC</x:v>
      </x:c>
      <x:c r="I198" s="14" t="str">
        <x:v>term-c6f14fef65bb</x:v>
      </x:c>
      <x:c r="J198" s="14" t="str">
        <x:v>ブルゴーニュでは生産者ではなくAOC／畑の階層。</x:v>
      </x:c>
      <x:c r="K198" s="14" t="str">
        <x:v>bourgogne_aoc_official</x:v>
      </x:c>
    </x:row>
    <x:row r="199" ht="30" customHeight="1">
      <x:c r="A199" s="14" t="str">
        <x:v>classification-198</x:v>
      </x:c>
      <x:c r="B199" s="14" t="str">
        <x:v>burgundy_grand_cru</x:v>
      </x:c>
      <x:c r="C199" s="14" t="str">
        <x:v>Clos de la Roche</x:v>
      </x:c>
      <x:c r="D199" s="14" t="str">
        <x:v>Clos de la Roche</x:v>
      </x:c>
      <x:c r="E199" s="14" t="str">
        <x:v>Grand Cru</x:v>
      </x:c>
      <x:c r="F199" s="14" t="str">
        <x:v>Morey-Saint-Denis</x:v>
      </x:c>
      <x:c r="G199" s="14" t="str">
        <x:v>Côte de Nuits</x:v>
      </x:c>
      <x:c r="H199" s="14" t="str">
        <x:v>畑・AOC</x:v>
      </x:c>
      <x:c r="I199" s="14" t="str">
        <x:v>term-9e0fc039e212</x:v>
      </x:c>
      <x:c r="J199" s="14" t="str">
        <x:v>ブルゴーニュでは生産者ではなくAOC／畑の階層。</x:v>
      </x:c>
      <x:c r="K199" s="14" t="str">
        <x:v>bourgogne_aoc_official</x:v>
      </x:c>
    </x:row>
    <x:row r="200" ht="30" customHeight="1">
      <x:c r="A200" s="14" t="str">
        <x:v>classification-199</x:v>
      </x:c>
      <x:c r="B200" s="14" t="str">
        <x:v>burgundy_grand_cru</x:v>
      </x:c>
      <x:c r="C200" s="14" t="str">
        <x:v>Clos Saint-Denis</x:v>
      </x:c>
      <x:c r="D200" s="14" t="str">
        <x:v>Clos Saint-Denis</x:v>
      </x:c>
      <x:c r="E200" s="14" t="str">
        <x:v>Grand Cru</x:v>
      </x:c>
      <x:c r="F200" s="14" t="str">
        <x:v>Morey-Saint-Denis</x:v>
      </x:c>
      <x:c r="G200" s="14" t="str">
        <x:v>Côte de Nuits</x:v>
      </x:c>
      <x:c r="H200" s="14" t="str">
        <x:v>畑・AOC</x:v>
      </x:c>
      <x:c r="I200" s="14" t="str">
        <x:v>term-f3abff628cbc</x:v>
      </x:c>
      <x:c r="J200" s="14" t="str">
        <x:v>ブルゴーニュでは生産者ではなくAOC／畑の階層。</x:v>
      </x:c>
      <x:c r="K200" s="14" t="str">
        <x:v>bourgogne_aoc_official</x:v>
      </x:c>
    </x:row>
    <x:row r="201" ht="30" customHeight="1">
      <x:c r="A201" s="14" t="str">
        <x:v>classification-200</x:v>
      </x:c>
      <x:c r="B201" s="14" t="str">
        <x:v>burgundy_grand_cru</x:v>
      </x:c>
      <x:c r="C201" s="14" t="str">
        <x:v>Clos des Lambrays</x:v>
      </x:c>
      <x:c r="D201" s="14" t="str">
        <x:v>Clos des Lambrays</x:v>
      </x:c>
      <x:c r="E201" s="14" t="str">
        <x:v>Grand Cru</x:v>
      </x:c>
      <x:c r="F201" s="14" t="str">
        <x:v>Morey-Saint-Denis</x:v>
      </x:c>
      <x:c r="G201" s="14" t="str">
        <x:v>Côte de Nuits</x:v>
      </x:c>
      <x:c r="H201" s="14" t="str">
        <x:v>畑・AOC</x:v>
      </x:c>
      <x:c r="I201" s="14" t="str">
        <x:v>term-d8b9b44ed242</x:v>
      </x:c>
      <x:c r="J201" s="14" t="str">
        <x:v>ブルゴーニュでは生産者ではなくAOC／畑の階層。</x:v>
      </x:c>
      <x:c r="K201" s="14" t="str">
        <x:v>bourgogne_aoc_official</x:v>
      </x:c>
    </x:row>
    <x:row r="202" ht="30" customHeight="1">
      <x:c r="A202" s="14" t="str">
        <x:v>classification-201</x:v>
      </x:c>
      <x:c r="B202" s="14" t="str">
        <x:v>burgundy_grand_cru</x:v>
      </x:c>
      <x:c r="C202" s="14" t="str">
        <x:v>Clos de Tart</x:v>
      </x:c>
      <x:c r="D202" s="14" t="str">
        <x:v>Clos de Tart</x:v>
      </x:c>
      <x:c r="E202" s="14" t="str">
        <x:v>Grand Cru</x:v>
      </x:c>
      <x:c r="F202" s="14" t="str">
        <x:v>Morey-Saint-Denis</x:v>
      </x:c>
      <x:c r="G202" s="14" t="str">
        <x:v>Côte de Nuits</x:v>
      </x:c>
      <x:c r="H202" s="14" t="str">
        <x:v>畑・AOC</x:v>
      </x:c>
      <x:c r="I202" s="14" t="str">
        <x:v>term-66781969c5e4</x:v>
      </x:c>
      <x:c r="J202" s="14" t="str">
        <x:v>ブルゴーニュでは生産者ではなくAOC／畑の階層。</x:v>
      </x:c>
      <x:c r="K202" s="14" t="str">
        <x:v>bourgogne_aoc_official</x:v>
      </x:c>
    </x:row>
    <x:row r="203" ht="30" customHeight="1">
      <x:c r="A203" s="14" t="str">
        <x:v>classification-202</x:v>
      </x:c>
      <x:c r="B203" s="14" t="str">
        <x:v>burgundy_grand_cru</x:v>
      </x:c>
      <x:c r="C203" s="14" t="str">
        <x:v>Bonnes Mares</x:v>
      </x:c>
      <x:c r="D203" s="14" t="str">
        <x:v>Bonnes Mares</x:v>
      </x:c>
      <x:c r="E203" s="14" t="str">
        <x:v>Grand Cru</x:v>
      </x:c>
      <x:c r="F203" s="14" t="str">
        <x:v>Chambolle-Musigny／Morey-Saint-Denis</x:v>
      </x:c>
      <x:c r="G203" s="14" t="str">
        <x:v>Côte de Nuits</x:v>
      </x:c>
      <x:c r="H203" s="14" t="str">
        <x:v>畑・AOC</x:v>
      </x:c>
      <x:c r="I203" s="14" t="str">
        <x:v>term-e00d3f15c4b9</x:v>
      </x:c>
      <x:c r="J203" s="14" t="str">
        <x:v>ブルゴーニュでは生産者ではなくAOC／畑の階層。</x:v>
      </x:c>
      <x:c r="K203" s="14" t="str">
        <x:v>bourgogne_aoc_official</x:v>
      </x:c>
    </x:row>
    <x:row r="204" ht="30" customHeight="1">
      <x:c r="A204" s="14" t="str">
        <x:v>classification-203</x:v>
      </x:c>
      <x:c r="B204" s="14" t="str">
        <x:v>burgundy_grand_cru</x:v>
      </x:c>
      <x:c r="C204" s="14" t="str">
        <x:v>Musigny</x:v>
      </x:c>
      <x:c r="D204" s="14" t="str">
        <x:v>Musigny</x:v>
      </x:c>
      <x:c r="E204" s="14" t="str">
        <x:v>Grand Cru</x:v>
      </x:c>
      <x:c r="F204" s="14" t="str">
        <x:v>Chambolle-Musigny</x:v>
      </x:c>
      <x:c r="G204" s="14" t="str">
        <x:v>Côte de Nuits</x:v>
      </x:c>
      <x:c r="H204" s="14" t="str">
        <x:v>畑・AOC</x:v>
      </x:c>
      <x:c r="I204" s="14" t="str">
        <x:v>term-8a0f0d2bccf8</x:v>
      </x:c>
      <x:c r="J204" s="14" t="str">
        <x:v>ブルゴーニュでは生産者ではなくAOC／畑の階層。</x:v>
      </x:c>
      <x:c r="K204" s="14" t="str">
        <x:v>bourgogne_aoc_official</x:v>
      </x:c>
    </x:row>
    <x:row r="205" ht="30" customHeight="1">
      <x:c r="A205" s="14" t="str">
        <x:v>classification-204</x:v>
      </x:c>
      <x:c r="B205" s="14" t="str">
        <x:v>burgundy_grand_cru</x:v>
      </x:c>
      <x:c r="C205" s="14" t="str">
        <x:v>Clos de Vougeot</x:v>
      </x:c>
      <x:c r="D205" s="14" t="str">
        <x:v>Clos de Vougeot</x:v>
      </x:c>
      <x:c r="E205" s="14" t="str">
        <x:v>Grand Cru</x:v>
      </x:c>
      <x:c r="F205" s="14" t="str">
        <x:v>Vougeot</x:v>
      </x:c>
      <x:c r="G205" s="14" t="str">
        <x:v>Côte de Nuits</x:v>
      </x:c>
      <x:c r="H205" s="14" t="str">
        <x:v>畑・AOC</x:v>
      </x:c>
      <x:c r="I205" s="14" t="str">
        <x:v>term-d5c678f84d69</x:v>
      </x:c>
      <x:c r="J205" s="14" t="str">
        <x:v>ブルゴーニュでは生産者ではなくAOC／畑の階層。</x:v>
      </x:c>
      <x:c r="K205" s="14" t="str">
        <x:v>bourgogne_aoc_official</x:v>
      </x:c>
    </x:row>
    <x:row r="206" ht="30" customHeight="1">
      <x:c r="A206" s="14" t="str">
        <x:v>classification-205</x:v>
      </x:c>
      <x:c r="B206" s="14" t="str">
        <x:v>burgundy_grand_cru</x:v>
      </x:c>
      <x:c r="C206" s="14" t="str">
        <x:v>Échezeaux</x:v>
      </x:c>
      <x:c r="D206" s="14" t="str">
        <x:v>Échezeaux</x:v>
      </x:c>
      <x:c r="E206" s="14" t="str">
        <x:v>Grand Cru</x:v>
      </x:c>
      <x:c r="F206" s="14" t="str">
        <x:v>Flagey-Échezeaux</x:v>
      </x:c>
      <x:c r="G206" s="14" t="str">
        <x:v>Côte de Nuits</x:v>
      </x:c>
      <x:c r="H206" s="14" t="str">
        <x:v>畑・AOC</x:v>
      </x:c>
      <x:c r="I206" s="14" t="str">
        <x:v>term-7e386318e115</x:v>
      </x:c>
      <x:c r="J206" s="14" t="str">
        <x:v>ブルゴーニュでは生産者ではなくAOC／畑の階層。</x:v>
      </x:c>
      <x:c r="K206" s="14" t="str">
        <x:v>bourgogne_aoc_official</x:v>
      </x:c>
    </x:row>
    <x:row r="207" ht="30" customHeight="1">
      <x:c r="A207" s="14" t="str">
        <x:v>classification-206</x:v>
      </x:c>
      <x:c r="B207" s="14" t="str">
        <x:v>burgundy_grand_cru</x:v>
      </x:c>
      <x:c r="C207" s="14" t="str">
        <x:v>Grands Échezeaux</x:v>
      </x:c>
      <x:c r="D207" s="14" t="str">
        <x:v>Grands Échezeaux</x:v>
      </x:c>
      <x:c r="E207" s="14" t="str">
        <x:v>Grand Cru</x:v>
      </x:c>
      <x:c r="F207" s="14" t="str">
        <x:v>Flagey-Échezeaux</x:v>
      </x:c>
      <x:c r="G207" s="14" t="str">
        <x:v>Côte de Nuits</x:v>
      </x:c>
      <x:c r="H207" s="14" t="str">
        <x:v>畑・AOC</x:v>
      </x:c>
      <x:c r="I207" s="14" t="str">
        <x:v>term-c2ebf77e0dac</x:v>
      </x:c>
      <x:c r="J207" s="14" t="str">
        <x:v>ブルゴーニュでは生産者ではなくAOC／畑の階層。</x:v>
      </x:c>
      <x:c r="K207" s="14" t="str">
        <x:v>bourgogne_aoc_official</x:v>
      </x:c>
    </x:row>
    <x:row r="208" ht="30" customHeight="1">
      <x:c r="A208" s="14" t="str">
        <x:v>classification-207</x:v>
      </x:c>
      <x:c r="B208" s="14" t="str">
        <x:v>burgundy_grand_cru</x:v>
      </x:c>
      <x:c r="C208" s="14" t="str">
        <x:v>La Grande Rue</x:v>
      </x:c>
      <x:c r="D208" s="14" t="str">
        <x:v>La Grande Rue</x:v>
      </x:c>
      <x:c r="E208" s="14" t="str">
        <x:v>Grand Cru</x:v>
      </x:c>
      <x:c r="F208" s="14" t="str">
        <x:v>Vosne-Romanée</x:v>
      </x:c>
      <x:c r="G208" s="14" t="str">
        <x:v>Côte de Nuits</x:v>
      </x:c>
      <x:c r="H208" s="14" t="str">
        <x:v>畑・AOC</x:v>
      </x:c>
      <x:c r="I208" s="14" t="str">
        <x:v>term-202b50e8c59a</x:v>
      </x:c>
      <x:c r="J208" s="14" t="str">
        <x:v>ブルゴーニュでは生産者ではなくAOC／畑の階層。</x:v>
      </x:c>
      <x:c r="K208" s="14" t="str">
        <x:v>bourgogne_aoc_official</x:v>
      </x:c>
    </x:row>
    <x:row r="209" ht="30" customHeight="1">
      <x:c r="A209" s="14" t="str">
        <x:v>classification-208</x:v>
      </x:c>
      <x:c r="B209" s="14" t="str">
        <x:v>burgundy_grand_cru</x:v>
      </x:c>
      <x:c r="C209" s="14" t="str">
        <x:v>La Romanée</x:v>
      </x:c>
      <x:c r="D209" s="14" t="str">
        <x:v>La Romanée</x:v>
      </x:c>
      <x:c r="E209" s="14" t="str">
        <x:v>Grand Cru</x:v>
      </x:c>
      <x:c r="F209" s="14" t="str">
        <x:v>Vosne-Romanée</x:v>
      </x:c>
      <x:c r="G209" s="14" t="str">
        <x:v>Côte de Nuits</x:v>
      </x:c>
      <x:c r="H209" s="14" t="str">
        <x:v>畑・AOC</x:v>
      </x:c>
      <x:c r="I209" s="14" t="str">
        <x:v>term-612ce77941b6</x:v>
      </x:c>
      <x:c r="J209" s="14" t="str">
        <x:v>ブルゴーニュでは生産者ではなくAOC／畑の階層。</x:v>
      </x:c>
      <x:c r="K209" s="14" t="str">
        <x:v>bourgogne_aoc_official</x:v>
      </x:c>
    </x:row>
    <x:row r="210" ht="30" customHeight="1">
      <x:c r="A210" s="14" t="str">
        <x:v>classification-209</x:v>
      </x:c>
      <x:c r="B210" s="14" t="str">
        <x:v>burgundy_grand_cru</x:v>
      </x:c>
      <x:c r="C210" s="14" t="str">
        <x:v>La Tâche</x:v>
      </x:c>
      <x:c r="D210" s="14" t="str">
        <x:v>La Tâche</x:v>
      </x:c>
      <x:c r="E210" s="14" t="str">
        <x:v>Grand Cru</x:v>
      </x:c>
      <x:c r="F210" s="14" t="str">
        <x:v>Vosne-Romanée</x:v>
      </x:c>
      <x:c r="G210" s="14" t="str">
        <x:v>Côte de Nuits</x:v>
      </x:c>
      <x:c r="H210" s="14" t="str">
        <x:v>畑・AOC</x:v>
      </x:c>
      <x:c r="I210" s="14" t="str">
        <x:v>term-013fb7759267</x:v>
      </x:c>
      <x:c r="J210" s="14" t="str">
        <x:v>ブルゴーニュでは生産者ではなくAOC／畑の階層。</x:v>
      </x:c>
      <x:c r="K210" s="14" t="str">
        <x:v>bourgogne_aoc_official</x:v>
      </x:c>
    </x:row>
    <x:row r="211" ht="30" customHeight="1">
      <x:c r="A211" s="14" t="str">
        <x:v>classification-210</x:v>
      </x:c>
      <x:c r="B211" s="14" t="str">
        <x:v>burgundy_grand_cru</x:v>
      </x:c>
      <x:c r="C211" s="14" t="str">
        <x:v>Richebourg</x:v>
      </x:c>
      <x:c r="D211" s="14" t="str">
        <x:v>Richebourg</x:v>
      </x:c>
      <x:c r="E211" s="14" t="str">
        <x:v>Grand Cru</x:v>
      </x:c>
      <x:c r="F211" s="14" t="str">
        <x:v>Vosne-Romanée</x:v>
      </x:c>
      <x:c r="G211" s="14" t="str">
        <x:v>Côte de Nuits</x:v>
      </x:c>
      <x:c r="H211" s="14" t="str">
        <x:v>畑・AOC</x:v>
      </x:c>
      <x:c r="I211" s="14" t="str">
        <x:v>term-d443fb003ff0</x:v>
      </x:c>
      <x:c r="J211" s="14" t="str">
        <x:v>ブルゴーニュでは生産者ではなくAOC／畑の階層。</x:v>
      </x:c>
      <x:c r="K211" s="14" t="str">
        <x:v>bourgogne_aoc_official</x:v>
      </x:c>
    </x:row>
    <x:row r="212" ht="30" customHeight="1">
      <x:c r="A212" s="14" t="str">
        <x:v>classification-211</x:v>
      </x:c>
      <x:c r="B212" s="14" t="str">
        <x:v>burgundy_grand_cru</x:v>
      </x:c>
      <x:c r="C212" s="14" t="str">
        <x:v>Romanée-Conti</x:v>
      </x:c>
      <x:c r="D212" s="14" t="str">
        <x:v>Romanée-Conti</x:v>
      </x:c>
      <x:c r="E212" s="14" t="str">
        <x:v>Grand Cru</x:v>
      </x:c>
      <x:c r="F212" s="14" t="str">
        <x:v>Vosne-Romanée</x:v>
      </x:c>
      <x:c r="G212" s="14" t="str">
        <x:v>Côte de Nuits</x:v>
      </x:c>
      <x:c r="H212" s="14" t="str">
        <x:v>畑・AOC</x:v>
      </x:c>
      <x:c r="I212" s="14" t="str">
        <x:v>term-4f375eaa990b</x:v>
      </x:c>
      <x:c r="J212" s="14" t="str">
        <x:v>ブルゴーニュでは生産者ではなくAOC／畑の階層。</x:v>
      </x:c>
      <x:c r="K212" s="14" t="str">
        <x:v>bourgogne_aoc_official</x:v>
      </x:c>
    </x:row>
    <x:row r="213" ht="30" customHeight="1">
      <x:c r="A213" s="14" t="str">
        <x:v>classification-212</x:v>
      </x:c>
      <x:c r="B213" s="14" t="str">
        <x:v>burgundy_grand_cru</x:v>
      </x:c>
      <x:c r="C213" s="14" t="str">
        <x:v>Romanée-Saint-Vivant</x:v>
      </x:c>
      <x:c r="D213" s="14" t="str">
        <x:v>Romanée-Saint-Vivant</x:v>
      </x:c>
      <x:c r="E213" s="14" t="str">
        <x:v>Grand Cru</x:v>
      </x:c>
      <x:c r="F213" s="14" t="str">
        <x:v>Vosne-Romanée</x:v>
      </x:c>
      <x:c r="G213" s="14" t="str">
        <x:v>Côte de Nuits</x:v>
      </x:c>
      <x:c r="H213" s="14" t="str">
        <x:v>畑・AOC</x:v>
      </x:c>
      <x:c r="I213" s="14" t="str">
        <x:v>term-256fe3f829d7</x:v>
      </x:c>
      <x:c r="J213" s="14" t="str">
        <x:v>ブルゴーニュでは生産者ではなくAOC／畑の階層。</x:v>
      </x:c>
      <x:c r="K213" s="14" t="str">
        <x:v>bourgogne_aoc_official</x:v>
      </x:c>
    </x:row>
    <x:row r="214" ht="30" customHeight="1">
      <x:c r="A214" s="14" t="str">
        <x:v>classification-213</x:v>
      </x:c>
      <x:c r="B214" s="14" t="str">
        <x:v>burgundy_grand_cru</x:v>
      </x:c>
      <x:c r="C214" s="14" t="str">
        <x:v>Corton</x:v>
      </x:c>
      <x:c r="D214" s="14" t="str">
        <x:v>Corton</x:v>
      </x:c>
      <x:c r="E214" s="14" t="str">
        <x:v>Grand Cru</x:v>
      </x:c>
      <x:c r="F214" s="14" t="str">
        <x:v>Aloxe-Corton／Ladoix-Serrigny／Pernand-Vergelesses</x:v>
      </x:c>
      <x:c r="G214" s="14" t="str">
        <x:v>Côte de Beaune</x:v>
      </x:c>
      <x:c r="H214" s="14" t="str">
        <x:v>畑・AOC</x:v>
      </x:c>
      <x:c r="I214" s="14" t="str">
        <x:v>term-92caa9c43943</x:v>
      </x:c>
      <x:c r="J214" s="14" t="str">
        <x:v>ブルゴーニュでは生産者ではなくAOC／畑の階層。</x:v>
      </x:c>
      <x:c r="K214" s="14" t="str">
        <x:v>bourgogne_aoc_official</x:v>
      </x:c>
    </x:row>
    <x:row r="215" ht="30" customHeight="1">
      <x:c r="A215" s="14" t="str">
        <x:v>classification-214</x:v>
      </x:c>
      <x:c r="B215" s="14" t="str">
        <x:v>burgundy_grand_cru</x:v>
      </x:c>
      <x:c r="C215" s="14" t="str">
        <x:v>Corton-Charlemagne</x:v>
      </x:c>
      <x:c r="D215" s="14" t="str">
        <x:v>Corton-Charlemagne</x:v>
      </x:c>
      <x:c r="E215" s="14" t="str">
        <x:v>Grand Cru</x:v>
      </x:c>
      <x:c r="F215" s="14" t="str">
        <x:v>Aloxe-Corton／Ladoix-Serrigny／Pernand-Vergelesses</x:v>
      </x:c>
      <x:c r="G215" s="14" t="str">
        <x:v>Côte de Beaune</x:v>
      </x:c>
      <x:c r="H215" s="14" t="str">
        <x:v>畑・AOC</x:v>
      </x:c>
      <x:c r="I215" s="14" t="str">
        <x:v>term-a9ae575e6eb3</x:v>
      </x:c>
      <x:c r="J215" s="14" t="str">
        <x:v>ブルゴーニュでは生産者ではなくAOC／畑の階層。</x:v>
      </x:c>
      <x:c r="K215" s="14" t="str">
        <x:v>bourgogne_aoc_official</x:v>
      </x:c>
    </x:row>
    <x:row r="216" ht="30" customHeight="1">
      <x:c r="A216" s="14" t="str">
        <x:v>classification-215</x:v>
      </x:c>
      <x:c r="B216" s="14" t="str">
        <x:v>burgundy_grand_cru</x:v>
      </x:c>
      <x:c r="C216" s="14" t="str">
        <x:v>Charlemagne</x:v>
      </x:c>
      <x:c r="D216" s="14" t="str">
        <x:v>Charlemagne</x:v>
      </x:c>
      <x:c r="E216" s="14" t="str">
        <x:v>Grand Cru</x:v>
      </x:c>
      <x:c r="F216" s="14" t="str">
        <x:v>Aloxe-Corton／Pernand-Vergelesses</x:v>
      </x:c>
      <x:c r="G216" s="14" t="str">
        <x:v>Côte de Beaune</x:v>
      </x:c>
      <x:c r="H216" s="14" t="str">
        <x:v>畑・AOC</x:v>
      </x:c>
      <x:c r="I216" s="14" t="str">
        <x:v>term-3502acb3e622</x:v>
      </x:c>
      <x:c r="J216" s="14" t="str">
        <x:v>ブルゴーニュでは生産者ではなくAOC／畑の階層。</x:v>
      </x:c>
      <x:c r="K216" s="14" t="str">
        <x:v>bourgogne_aoc_official</x:v>
      </x:c>
    </x:row>
    <x:row r="217" ht="30" customHeight="1">
      <x:c r="A217" s="14" t="str">
        <x:v>classification-216</x:v>
      </x:c>
      <x:c r="B217" s="14" t="str">
        <x:v>burgundy_grand_cru</x:v>
      </x:c>
      <x:c r="C217" s="14" t="str">
        <x:v>Montrachet</x:v>
      </x:c>
      <x:c r="D217" s="14" t="str">
        <x:v>Montrachet</x:v>
      </x:c>
      <x:c r="E217" s="14" t="str">
        <x:v>Grand Cru</x:v>
      </x:c>
      <x:c r="F217" s="14" t="str">
        <x:v>Puligny-Montrachet／Chassagne-Montrachet</x:v>
      </x:c>
      <x:c r="G217" s="14" t="str">
        <x:v>Côte de Beaune</x:v>
      </x:c>
      <x:c r="H217" s="14" t="str">
        <x:v>畑・AOC</x:v>
      </x:c>
      <x:c r="I217" s="14" t="str">
        <x:v>term-2065413f4ea4</x:v>
      </x:c>
      <x:c r="J217" s="14" t="str">
        <x:v>ブルゴーニュでは生産者ではなくAOC／畑の階層。</x:v>
      </x:c>
      <x:c r="K217" s="14" t="str">
        <x:v>bourgogne_aoc_official</x:v>
      </x:c>
    </x:row>
    <x:row r="218" ht="30" customHeight="1">
      <x:c r="A218" s="14" t="str">
        <x:v>classification-217</x:v>
      </x:c>
      <x:c r="B218" s="14" t="str">
        <x:v>burgundy_grand_cru</x:v>
      </x:c>
      <x:c r="C218" s="14" t="str">
        <x:v>Bâtard-Montrachet</x:v>
      </x:c>
      <x:c r="D218" s="14" t="str">
        <x:v>Bâtard-Montrachet</x:v>
      </x:c>
      <x:c r="E218" s="14" t="str">
        <x:v>Grand Cru</x:v>
      </x:c>
      <x:c r="F218" s="14" t="str">
        <x:v>Puligny-Montrachet／Chassagne-Montrachet</x:v>
      </x:c>
      <x:c r="G218" s="14" t="str">
        <x:v>Côte de Beaune</x:v>
      </x:c>
      <x:c r="H218" s="14" t="str">
        <x:v>畑・AOC</x:v>
      </x:c>
      <x:c r="I218" s="14" t="str">
        <x:v>term-8ce92f85d8bd</x:v>
      </x:c>
      <x:c r="J218" s="14" t="str">
        <x:v>ブルゴーニュでは生産者ではなくAOC／畑の階層。</x:v>
      </x:c>
      <x:c r="K218" s="14" t="str">
        <x:v>bourgogne_aoc_official</x:v>
      </x:c>
    </x:row>
    <x:row r="219" ht="30" customHeight="1">
      <x:c r="A219" s="14" t="str">
        <x:v>classification-218</x:v>
      </x:c>
      <x:c r="B219" s="14" t="str">
        <x:v>burgundy_grand_cru</x:v>
      </x:c>
      <x:c r="C219" s="14" t="str">
        <x:v>Bienvenues-Bâtard-Montrachet</x:v>
      </x:c>
      <x:c r="D219" s="14" t="str">
        <x:v>Bienvenues-Bâtard-Montrachet</x:v>
      </x:c>
      <x:c r="E219" s="14" t="str">
        <x:v>Grand Cru</x:v>
      </x:c>
      <x:c r="F219" s="14" t="str">
        <x:v>Puligny-Montrachet</x:v>
      </x:c>
      <x:c r="G219" s="14" t="str">
        <x:v>Côte de Beaune</x:v>
      </x:c>
      <x:c r="H219" s="14" t="str">
        <x:v>畑・AOC</x:v>
      </x:c>
      <x:c r="I219" s="14" t="str">
        <x:v>term-d6ff69ad85d0</x:v>
      </x:c>
      <x:c r="J219" s="14" t="str">
        <x:v>ブルゴーニュでは生産者ではなくAOC／畑の階層。</x:v>
      </x:c>
      <x:c r="K219" s="14" t="str">
        <x:v>bourgogne_aoc_official</x:v>
      </x:c>
    </x:row>
    <x:row r="220" ht="30" customHeight="1">
      <x:c r="A220" s="14" t="str">
        <x:v>classification-219</x:v>
      </x:c>
      <x:c r="B220" s="14" t="str">
        <x:v>burgundy_grand_cru</x:v>
      </x:c>
      <x:c r="C220" s="14" t="str">
        <x:v>Chevalier-Montrachet</x:v>
      </x:c>
      <x:c r="D220" s="14" t="str">
        <x:v>Chevalier-Montrachet</x:v>
      </x:c>
      <x:c r="E220" s="14" t="str">
        <x:v>Grand Cru</x:v>
      </x:c>
      <x:c r="F220" s="14" t="str">
        <x:v>Puligny-Montrachet</x:v>
      </x:c>
      <x:c r="G220" s="14" t="str">
        <x:v>Côte de Beaune</x:v>
      </x:c>
      <x:c r="H220" s="14" t="str">
        <x:v>畑・AOC</x:v>
      </x:c>
      <x:c r="I220" s="14" t="str">
        <x:v>term-12863cb86391</x:v>
      </x:c>
      <x:c r="J220" s="14" t="str">
        <x:v>ブルゴーニュでは生産者ではなくAOC／畑の階層。</x:v>
      </x:c>
      <x:c r="K220" s="14" t="str">
        <x:v>bourgogne_aoc_official</x:v>
      </x:c>
    </x:row>
    <x:row r="221" ht="30" customHeight="1">
      <x:c r="A221" s="14" t="str">
        <x:v>classification-220</x:v>
      </x:c>
      <x:c r="B221" s="14" t="str">
        <x:v>burgundy_grand_cru</x:v>
      </x:c>
      <x:c r="C221" s="14" t="str">
        <x:v>Criots-Bâtard-Montrachet</x:v>
      </x:c>
      <x:c r="D221" s="14" t="str">
        <x:v>Criots-Bâtard-Montrachet</x:v>
      </x:c>
      <x:c r="E221" s="14" t="str">
        <x:v>Grand Cru</x:v>
      </x:c>
      <x:c r="F221" s="14" t="str">
        <x:v>Chassagne-Montrachet</x:v>
      </x:c>
      <x:c r="G221" s="14" t="str">
        <x:v>Côte de Beaune</x:v>
      </x:c>
      <x:c r="H221" s="14" t="str">
        <x:v>畑・AOC</x:v>
      </x:c>
      <x:c r="I221" s="14" t="str">
        <x:v>term-9390fc483b9b</x:v>
      </x:c>
      <x:c r="J221" s="14" t="str">
        <x:v>ブルゴーニュでは生産者ではなくAOC／畑の階層。</x:v>
      </x:c>
      <x:c r="K221" s="14" t="str">
        <x:v>bourgogne_aoc_official</x:v>
      </x:c>
    </x:row>
    <x:row r="222" ht="30" customHeight="1">
      <x:c r="A222" s="14" t="str">
        <x:v>classification-221</x:v>
      </x:c>
      <x:c r="B222" s="14" t="str">
        <x:v>champagne_cru_2025</x:v>
      </x:c>
      <x:c r="C222" s="14" t="str">
        <x:v>Ambonnay</x:v>
      </x:c>
      <x:c r="D222" s="14" t="str">
        <x:v>Ambonnay</x:v>
      </x:c>
      <x:c r="E222" s="14" t="str">
        <x:v>Grand Cru</x:v>
      </x:c>
      <x:c r="F222" s="14" t="str">
        <x:v>Ambonnay</x:v>
      </x:c>
      <x:c r="G222" s="14" t="str">
        <x:v>Champagne</x:v>
      </x:c>
      <x:c r="H222" s="14" t="str">
        <x:v>村</x:v>
      </x:c>
      <x:c r="I222" s="14" t="str">
        <x:v>term-e41988dd2cc9</x:v>
      </x:c>
      <x:c r="J222" s="14" t="str">
        <x:v>歴史的な村名表記を含む。</x:v>
      </x:c>
      <x:c r="K222" s="14" t="str">
        <x:v>champagne_2025_official</x:v>
      </x:c>
    </x:row>
    <x:row r="223" ht="30" customHeight="1">
      <x:c r="A223" s="14" t="str">
        <x:v>classification-222</x:v>
      </x:c>
      <x:c r="B223" s="14" t="str">
        <x:v>champagne_cru_2025</x:v>
      </x:c>
      <x:c r="C223" s="14" t="str">
        <x:v>Avize</x:v>
      </x:c>
      <x:c r="D223" s="14" t="str">
        <x:v>Avize</x:v>
      </x:c>
      <x:c r="E223" s="14" t="str">
        <x:v>Grand Cru</x:v>
      </x:c>
      <x:c r="F223" s="14" t="str">
        <x:v>Avize</x:v>
      </x:c>
      <x:c r="G223" s="14" t="str">
        <x:v>Champagne</x:v>
      </x:c>
      <x:c r="H223" s="14" t="str">
        <x:v>村</x:v>
      </x:c>
      <x:c r="I223" s="14" t="str">
        <x:v>term-62a707311865</x:v>
      </x:c>
      <x:c r="J223" s="14" t="str">
        <x:v>歴史的な村名表記を含む。</x:v>
      </x:c>
      <x:c r="K223" s="14" t="str">
        <x:v>champagne_2025_official</x:v>
      </x:c>
    </x:row>
    <x:row r="224" ht="30" customHeight="1">
      <x:c r="A224" s="14" t="str">
        <x:v>classification-223</x:v>
      </x:c>
      <x:c r="B224" s="14" t="str">
        <x:v>champagne_cru_2025</x:v>
      </x:c>
      <x:c r="C224" s="14" t="str">
        <x:v>Ay</x:v>
      </x:c>
      <x:c r="D224" s="14" t="str">
        <x:v>Ay</x:v>
      </x:c>
      <x:c r="E224" s="14" t="str">
        <x:v>Grand Cru</x:v>
      </x:c>
      <x:c r="F224" s="14" t="str">
        <x:v>Ay</x:v>
      </x:c>
      <x:c r="G224" s="14" t="str">
        <x:v>Champagne</x:v>
      </x:c>
      <x:c r="H224" s="14" t="str">
        <x:v>村</x:v>
      </x:c>
      <x:c r="I224" s="14" t="str">
        <x:v>term-c5f34eaf833d</x:v>
      </x:c>
      <x:c r="J224" s="14" t="str">
        <x:v>歴史的な村名表記を含む。</x:v>
      </x:c>
      <x:c r="K224" s="14" t="str">
        <x:v>champagne_2025_official</x:v>
      </x:c>
    </x:row>
    <x:row r="225" ht="30" customHeight="1">
      <x:c r="A225" s="14" t="str">
        <x:v>classification-224</x:v>
      </x:c>
      <x:c r="B225" s="14" t="str">
        <x:v>champagne_cru_2025</x:v>
      </x:c>
      <x:c r="C225" s="14" t="str">
        <x:v>Beaumont-sur-Vesle</x:v>
      </x:c>
      <x:c r="D225" s="14" t="str">
        <x:v>Beaumont-sur-Vesle</x:v>
      </x:c>
      <x:c r="E225" s="14" t="str">
        <x:v>Grand Cru</x:v>
      </x:c>
      <x:c r="F225" s="14" t="str">
        <x:v>Beaumont-sur-Vesle</x:v>
      </x:c>
      <x:c r="G225" s="14" t="str">
        <x:v>Champagne</x:v>
      </x:c>
      <x:c r="H225" s="14" t="str">
        <x:v>村</x:v>
      </x:c>
      <x:c r="I225" s="14" t="str">
        <x:v>term-53f82dee6063</x:v>
      </x:c>
      <x:c r="J225" s="14" t="str">
        <x:v>歴史的な村名表記を含む。</x:v>
      </x:c>
      <x:c r="K225" s="14" t="str">
        <x:v>champagne_2025_official</x:v>
      </x:c>
    </x:row>
    <x:row r="226" ht="30" customHeight="1">
      <x:c r="A226" s="14" t="str">
        <x:v>classification-225</x:v>
      </x:c>
      <x:c r="B226" s="14" t="str">
        <x:v>champagne_cru_2025</x:v>
      </x:c>
      <x:c r="C226" s="14" t="str">
        <x:v>Bouzy</x:v>
      </x:c>
      <x:c r="D226" s="14" t="str">
        <x:v>Bouzy</x:v>
      </x:c>
      <x:c r="E226" s="14" t="str">
        <x:v>Grand Cru</x:v>
      </x:c>
      <x:c r="F226" s="14" t="str">
        <x:v>Bouzy</x:v>
      </x:c>
      <x:c r="G226" s="14" t="str">
        <x:v>Champagne</x:v>
      </x:c>
      <x:c r="H226" s="14" t="str">
        <x:v>村</x:v>
      </x:c>
      <x:c r="I226" s="14" t="str">
        <x:v>term-0ed2c846ca21</x:v>
      </x:c>
      <x:c r="J226" s="14" t="str">
        <x:v>歴史的な村名表記を含む。</x:v>
      </x:c>
      <x:c r="K226" s="14" t="str">
        <x:v>champagne_2025_official</x:v>
      </x:c>
    </x:row>
    <x:row r="227" ht="30" customHeight="1">
      <x:c r="A227" s="14" t="str">
        <x:v>classification-226</x:v>
      </x:c>
      <x:c r="B227" s="14" t="str">
        <x:v>champagne_cru_2025</x:v>
      </x:c>
      <x:c r="C227" s="14" t="str">
        <x:v>Chouilly</x:v>
      </x:c>
      <x:c r="D227" s="14" t="str">
        <x:v>Chouilly</x:v>
      </x:c>
      <x:c r="E227" s="14" t="str">
        <x:v>Grand Cru</x:v>
      </x:c>
      <x:c r="F227" s="14" t="str">
        <x:v>Chouilly</x:v>
      </x:c>
      <x:c r="G227" s="14" t="str">
        <x:v>Champagne</x:v>
      </x:c>
      <x:c r="H227" s="14" t="str">
        <x:v>村</x:v>
      </x:c>
      <x:c r="I227" s="14" t="str">
        <x:v>term-1bbff1d1d104</x:v>
      </x:c>
      <x:c r="J227" s="14" t="str">
        <x:v>歴史的な村名表記を含む。</x:v>
      </x:c>
      <x:c r="K227" s="14" t="str">
        <x:v>champagne_2025_official</x:v>
      </x:c>
    </x:row>
    <x:row r="228" ht="30" customHeight="1">
      <x:c r="A228" s="14" t="str">
        <x:v>classification-227</x:v>
      </x:c>
      <x:c r="B228" s="14" t="str">
        <x:v>champagne_cru_2025</x:v>
      </x:c>
      <x:c r="C228" s="14" t="str">
        <x:v>Cramant</x:v>
      </x:c>
      <x:c r="D228" s="14" t="str">
        <x:v>Cramant</x:v>
      </x:c>
      <x:c r="E228" s="14" t="str">
        <x:v>Grand Cru</x:v>
      </x:c>
      <x:c r="F228" s="14" t="str">
        <x:v>Cramant</x:v>
      </x:c>
      <x:c r="G228" s="14" t="str">
        <x:v>Champagne</x:v>
      </x:c>
      <x:c r="H228" s="14" t="str">
        <x:v>村</x:v>
      </x:c>
      <x:c r="I228" s="14" t="str">
        <x:v>term-963dd3be86e5</x:v>
      </x:c>
      <x:c r="J228" s="14" t="str">
        <x:v>歴史的な村名表記を含む。</x:v>
      </x:c>
      <x:c r="K228" s="14" t="str">
        <x:v>champagne_2025_official</x:v>
      </x:c>
    </x:row>
    <x:row r="229" ht="30" customHeight="1">
      <x:c r="A229" s="14" t="str">
        <x:v>classification-228</x:v>
      </x:c>
      <x:c r="B229" s="14" t="str">
        <x:v>champagne_cru_2025</x:v>
      </x:c>
      <x:c r="C229" s="14" t="str">
        <x:v>Louvois</x:v>
      </x:c>
      <x:c r="D229" s="14" t="str">
        <x:v>Louvois</x:v>
      </x:c>
      <x:c r="E229" s="14" t="str">
        <x:v>Grand Cru</x:v>
      </x:c>
      <x:c r="F229" s="14" t="str">
        <x:v>Louvois</x:v>
      </x:c>
      <x:c r="G229" s="14" t="str">
        <x:v>Champagne</x:v>
      </x:c>
      <x:c r="H229" s="14" t="str">
        <x:v>村</x:v>
      </x:c>
      <x:c r="I229" s="14" t="str">
        <x:v>term-bcce4bd4ae9b</x:v>
      </x:c>
      <x:c r="J229" s="14" t="str">
        <x:v>歴史的な村名表記を含む。</x:v>
      </x:c>
      <x:c r="K229" s="14" t="str">
        <x:v>champagne_2025_official</x:v>
      </x:c>
    </x:row>
    <x:row r="230" ht="30" customHeight="1">
      <x:c r="A230" s="14" t="str">
        <x:v>classification-229</x:v>
      </x:c>
      <x:c r="B230" s="14" t="str">
        <x:v>champagne_cru_2025</x:v>
      </x:c>
      <x:c r="C230" s="14" t="str">
        <x:v>Mailly-Champagne</x:v>
      </x:c>
      <x:c r="D230" s="14" t="str">
        <x:v>Mailly-Champagne</x:v>
      </x:c>
      <x:c r="E230" s="14" t="str">
        <x:v>Grand Cru</x:v>
      </x:c>
      <x:c r="F230" s="14" t="str">
        <x:v>Mailly-Champagne</x:v>
      </x:c>
      <x:c r="G230" s="14" t="str">
        <x:v>Champagne</x:v>
      </x:c>
      <x:c r="H230" s="14" t="str">
        <x:v>村</x:v>
      </x:c>
      <x:c r="I230" s="14" t="str">
        <x:v>term-30bb06c345ce</x:v>
      </x:c>
      <x:c r="J230" s="14" t="str">
        <x:v>歴史的な村名表記を含む。</x:v>
      </x:c>
      <x:c r="K230" s="14" t="str">
        <x:v>champagne_2025_official</x:v>
      </x:c>
    </x:row>
    <x:row r="231" ht="30" customHeight="1">
      <x:c r="A231" s="14" t="str">
        <x:v>classification-230</x:v>
      </x:c>
      <x:c r="B231" s="14" t="str">
        <x:v>champagne_cru_2025</x:v>
      </x:c>
      <x:c r="C231" s="14" t="str">
        <x:v>Le Mesnil-sur-Oger</x:v>
      </x:c>
      <x:c r="D231" s="14" t="str">
        <x:v>Le Mesnil-sur-Oger</x:v>
      </x:c>
      <x:c r="E231" s="14" t="str">
        <x:v>Grand Cru</x:v>
      </x:c>
      <x:c r="F231" s="14" t="str">
        <x:v>Le Mesnil-sur-Oger</x:v>
      </x:c>
      <x:c r="G231" s="14" t="str">
        <x:v>Champagne</x:v>
      </x:c>
      <x:c r="H231" s="14" t="str">
        <x:v>村</x:v>
      </x:c>
      <x:c r="I231" s="14" t="str">
        <x:v>term-e506f4c43e8f</x:v>
      </x:c>
      <x:c r="J231" s="14" t="str">
        <x:v>歴史的な村名表記を含む。</x:v>
      </x:c>
      <x:c r="K231" s="14" t="str">
        <x:v>champagne_2025_official</x:v>
      </x:c>
    </x:row>
    <x:row r="232" ht="30" customHeight="1">
      <x:c r="A232" s="14" t="str">
        <x:v>classification-231</x:v>
      </x:c>
      <x:c r="B232" s="14" t="str">
        <x:v>champagne_cru_2025</x:v>
      </x:c>
      <x:c r="C232" s="14" t="str">
        <x:v>Oger</x:v>
      </x:c>
      <x:c r="D232" s="14" t="str">
        <x:v>Oger</x:v>
      </x:c>
      <x:c r="E232" s="14" t="str">
        <x:v>Grand Cru</x:v>
      </x:c>
      <x:c r="F232" s="14" t="str">
        <x:v>Oger</x:v>
      </x:c>
      <x:c r="G232" s="14" t="str">
        <x:v>Champagne</x:v>
      </x:c>
      <x:c r="H232" s="14" t="str">
        <x:v>村</x:v>
      </x:c>
      <x:c r="I232" s="14" t="str">
        <x:v>term-a8a92c8e041e</x:v>
      </x:c>
      <x:c r="J232" s="14" t="str">
        <x:v>歴史的な村名表記を含む。</x:v>
      </x:c>
      <x:c r="K232" s="14" t="str">
        <x:v>champagne_2025_official</x:v>
      </x:c>
    </x:row>
    <x:row r="233" ht="30" customHeight="1">
      <x:c r="A233" s="14" t="str">
        <x:v>classification-232</x:v>
      </x:c>
      <x:c r="B233" s="14" t="str">
        <x:v>champagne_cru_2025</x:v>
      </x:c>
      <x:c r="C233" s="14" t="str">
        <x:v>Oiry</x:v>
      </x:c>
      <x:c r="D233" s="14" t="str">
        <x:v>Oiry</x:v>
      </x:c>
      <x:c r="E233" s="14" t="str">
        <x:v>Grand Cru</x:v>
      </x:c>
      <x:c r="F233" s="14" t="str">
        <x:v>Oiry</x:v>
      </x:c>
      <x:c r="G233" s="14" t="str">
        <x:v>Champagne</x:v>
      </x:c>
      <x:c r="H233" s="14" t="str">
        <x:v>村</x:v>
      </x:c>
      <x:c r="I233" s="14" t="str">
        <x:v>term-fe1cd32cb66a</x:v>
      </x:c>
      <x:c r="J233" s="14" t="str">
        <x:v>歴史的な村名表記を含む。</x:v>
      </x:c>
      <x:c r="K233" s="14" t="str">
        <x:v>champagne_2025_official</x:v>
      </x:c>
    </x:row>
    <x:row r="234" ht="30" customHeight="1">
      <x:c r="A234" s="14" t="str">
        <x:v>classification-233</x:v>
      </x:c>
      <x:c r="B234" s="14" t="str">
        <x:v>champagne_cru_2025</x:v>
      </x:c>
      <x:c r="C234" s="14" t="str">
        <x:v>Puisieulx</x:v>
      </x:c>
      <x:c r="D234" s="14" t="str">
        <x:v>Puisieulx</x:v>
      </x:c>
      <x:c r="E234" s="14" t="str">
        <x:v>Grand Cru</x:v>
      </x:c>
      <x:c r="F234" s="14" t="str">
        <x:v>Puisieulx</x:v>
      </x:c>
      <x:c r="G234" s="14" t="str">
        <x:v>Champagne</x:v>
      </x:c>
      <x:c r="H234" s="14" t="str">
        <x:v>村</x:v>
      </x:c>
      <x:c r="I234" s="14" t="str">
        <x:v>term-2b7430d9ea02</x:v>
      </x:c>
      <x:c r="J234" s="14" t="str">
        <x:v>歴史的な村名表記を含む。</x:v>
      </x:c>
      <x:c r="K234" s="14" t="str">
        <x:v>champagne_2025_official</x:v>
      </x:c>
    </x:row>
    <x:row r="235" ht="30" customHeight="1">
      <x:c r="A235" s="14" t="str">
        <x:v>classification-234</x:v>
      </x:c>
      <x:c r="B235" s="14" t="str">
        <x:v>champagne_cru_2025</x:v>
      </x:c>
      <x:c r="C235" s="14" t="str">
        <x:v>Sillery</x:v>
      </x:c>
      <x:c r="D235" s="14" t="str">
        <x:v>Sillery</x:v>
      </x:c>
      <x:c r="E235" s="14" t="str">
        <x:v>Grand Cru</x:v>
      </x:c>
      <x:c r="F235" s="14" t="str">
        <x:v>Sillery</x:v>
      </x:c>
      <x:c r="G235" s="14" t="str">
        <x:v>Champagne</x:v>
      </x:c>
      <x:c r="H235" s="14" t="str">
        <x:v>村</x:v>
      </x:c>
      <x:c r="I235" s="14" t="str">
        <x:v>term-3932be23d0fe</x:v>
      </x:c>
      <x:c r="J235" s="14" t="str">
        <x:v>歴史的な村名表記を含む。</x:v>
      </x:c>
      <x:c r="K235" s="14" t="str">
        <x:v>champagne_2025_official</x:v>
      </x:c>
    </x:row>
    <x:row r="236" ht="30" customHeight="1">
      <x:c r="A236" s="14" t="str">
        <x:v>classification-235</x:v>
      </x:c>
      <x:c r="B236" s="14" t="str">
        <x:v>champagne_cru_2025</x:v>
      </x:c>
      <x:c r="C236" s="14" t="str">
        <x:v>Tours-sur-Marne</x:v>
      </x:c>
      <x:c r="D236" s="14" t="str">
        <x:v>Tours-sur-Marne</x:v>
      </x:c>
      <x:c r="E236" s="14" t="str">
        <x:v>Grand Cru</x:v>
      </x:c>
      <x:c r="F236" s="14" t="str">
        <x:v>Tours-sur-Marne</x:v>
      </x:c>
      <x:c r="G236" s="14" t="str">
        <x:v>Champagne</x:v>
      </x:c>
      <x:c r="H236" s="14" t="str">
        <x:v>村</x:v>
      </x:c>
      <x:c r="I236" s="14" t="str">
        <x:v>term-95c34de6c37b</x:v>
      </x:c>
      <x:c r="J236" s="14" t="str">
        <x:v>歴史的な村名表記を含む。</x:v>
      </x:c>
      <x:c r="K236" s="14" t="str">
        <x:v>champagne_2025_official</x:v>
      </x:c>
    </x:row>
    <x:row r="237" ht="30" customHeight="1">
      <x:c r="A237" s="14" t="str">
        <x:v>classification-236</x:v>
      </x:c>
      <x:c r="B237" s="14" t="str">
        <x:v>champagne_cru_2025</x:v>
      </x:c>
      <x:c r="C237" s="14" t="str">
        <x:v>Verzenay</x:v>
      </x:c>
      <x:c r="D237" s="14" t="str">
        <x:v>Verzenay</x:v>
      </x:c>
      <x:c r="E237" s="14" t="str">
        <x:v>Grand Cru</x:v>
      </x:c>
      <x:c r="F237" s="14" t="str">
        <x:v>Verzenay</x:v>
      </x:c>
      <x:c r="G237" s="14" t="str">
        <x:v>Champagne</x:v>
      </x:c>
      <x:c r="H237" s="14" t="str">
        <x:v>村</x:v>
      </x:c>
      <x:c r="I237" s="14" t="str">
        <x:v>term-8317a97ac130</x:v>
      </x:c>
      <x:c r="J237" s="14" t="str">
        <x:v>歴史的な村名表記を含む。</x:v>
      </x:c>
      <x:c r="K237" s="14" t="str">
        <x:v>champagne_2025_official</x:v>
      </x:c>
    </x:row>
    <x:row r="238" ht="30" customHeight="1">
      <x:c r="A238" s="14" t="str">
        <x:v>classification-237</x:v>
      </x:c>
      <x:c r="B238" s="14" t="str">
        <x:v>champagne_cru_2025</x:v>
      </x:c>
      <x:c r="C238" s="14" t="str">
        <x:v>Verzy</x:v>
      </x:c>
      <x:c r="D238" s="14" t="str">
        <x:v>Verzy</x:v>
      </x:c>
      <x:c r="E238" s="14" t="str">
        <x:v>Grand Cru</x:v>
      </x:c>
      <x:c r="F238" s="14" t="str">
        <x:v>Verzy</x:v>
      </x:c>
      <x:c r="G238" s="14" t="str">
        <x:v>Champagne</x:v>
      </x:c>
      <x:c r="H238" s="14" t="str">
        <x:v>村</x:v>
      </x:c>
      <x:c r="I238" s="14" t="str">
        <x:v>term-eeb8c8455672</x:v>
      </x:c>
      <x:c r="J238" s="14" t="str">
        <x:v>歴史的な村名表記を含む。</x:v>
      </x:c>
      <x:c r="K238" s="14" t="str">
        <x:v>champagne_2025_official</x:v>
      </x:c>
    </x:row>
    <x:row r="239" ht="30" customHeight="1">
      <x:c r="A239" s="14" t="str">
        <x:v>classification-238</x:v>
      </x:c>
      <x:c r="B239" s="14" t="str">
        <x:v>champagne_cru_2025</x:v>
      </x:c>
      <x:c r="C239" s="14" t="str">
        <x:v>Avenay-Val-d’Or</x:v>
      </x:c>
      <x:c r="D239" s="14" t="str">
        <x:v>Avenay-Val-d’Or</x:v>
      </x:c>
      <x:c r="E239" s="14" t="str">
        <x:v>Premier Cru</x:v>
      </x:c>
      <x:c r="F239" s="14" t="str">
        <x:v>Avenay-Val-d’Or</x:v>
      </x:c>
      <x:c r="G239" s="14" t="str">
        <x:v>Champagne</x:v>
      </x:c>
      <x:c r="H239" s="14" t="str">
        <x:v>村</x:v>
      </x:c>
      <x:c r="I239" s="14" t="str">
        <x:v>term-0c8e86c948c1</x:v>
      </x:c>
      <x:c r="J239" s="14" t="str">
        <x:v>歴史的な村名表記を含む。</x:v>
      </x:c>
      <x:c r="K239" s="14" t="str">
        <x:v>champagne_2025_official</x:v>
      </x:c>
    </x:row>
    <x:row r="240" ht="30" customHeight="1">
      <x:c r="A240" s="14" t="str">
        <x:v>classification-239</x:v>
      </x:c>
      <x:c r="B240" s="14" t="str">
        <x:v>champagne_cru_2025</x:v>
      </x:c>
      <x:c r="C240" s="14" t="str">
        <x:v>Bergères-lès-Vertus</x:v>
      </x:c>
      <x:c r="D240" s="14" t="str">
        <x:v>Bergères-lès-Vertus</x:v>
      </x:c>
      <x:c r="E240" s="14" t="str">
        <x:v>Premier Cru</x:v>
      </x:c>
      <x:c r="F240" s="14" t="str">
        <x:v>Bergères-lès-Vertus</x:v>
      </x:c>
      <x:c r="G240" s="14" t="str">
        <x:v>Champagne</x:v>
      </x:c>
      <x:c r="H240" s="14" t="str">
        <x:v>村</x:v>
      </x:c>
      <x:c r="I240" s="14" t="str">
        <x:v>term-b3f1e89e4ddd</x:v>
      </x:c>
      <x:c r="J240" s="14" t="str">
        <x:v>歴史的な村名表記を含む。</x:v>
      </x:c>
      <x:c r="K240" s="14" t="str">
        <x:v>champagne_2025_official</x:v>
      </x:c>
    </x:row>
    <x:row r="241" ht="30" customHeight="1">
      <x:c r="A241" s="14" t="str">
        <x:v>classification-240</x:v>
      </x:c>
      <x:c r="B241" s="14" t="str">
        <x:v>champagne_cru_2025</x:v>
      </x:c>
      <x:c r="C241" s="14" t="str">
        <x:v>Bezannes</x:v>
      </x:c>
      <x:c r="D241" s="14" t="str">
        <x:v>Bezannes</x:v>
      </x:c>
      <x:c r="E241" s="14" t="str">
        <x:v>Premier Cru</x:v>
      </x:c>
      <x:c r="F241" s="14" t="str">
        <x:v>Bezannes</x:v>
      </x:c>
      <x:c r="G241" s="14" t="str">
        <x:v>Champagne</x:v>
      </x:c>
      <x:c r="H241" s="14" t="str">
        <x:v>村</x:v>
      </x:c>
      <x:c r="I241" s="14" t="str">
        <x:v>term-438384c45943</x:v>
      </x:c>
      <x:c r="J241" s="14" t="str">
        <x:v>歴史的な村名表記を含む。</x:v>
      </x:c>
      <x:c r="K241" s="14" t="str">
        <x:v>champagne_2025_official</x:v>
      </x:c>
    </x:row>
    <x:row r="242" ht="30" customHeight="1">
      <x:c r="A242" s="14" t="str">
        <x:v>classification-241</x:v>
      </x:c>
      <x:c r="B242" s="14" t="str">
        <x:v>champagne_cru_2025</x:v>
      </x:c>
      <x:c r="C242" s="14" t="str">
        <x:v>Billy-le-Grand</x:v>
      </x:c>
      <x:c r="D242" s="14" t="str">
        <x:v>Billy-le-Grand</x:v>
      </x:c>
      <x:c r="E242" s="14" t="str">
        <x:v>Premier Cru</x:v>
      </x:c>
      <x:c r="F242" s="14" t="str">
        <x:v>Billy-le-Grand</x:v>
      </x:c>
      <x:c r="G242" s="14" t="str">
        <x:v>Champagne</x:v>
      </x:c>
      <x:c r="H242" s="14" t="str">
        <x:v>村</x:v>
      </x:c>
      <x:c r="I242" s="14" t="str">
        <x:v>term-5d0fe831218f</x:v>
      </x:c>
      <x:c r="J242" s="14" t="str">
        <x:v>歴史的な村名表記を含む。</x:v>
      </x:c>
      <x:c r="K242" s="14" t="str">
        <x:v>champagne_2025_official</x:v>
      </x:c>
    </x:row>
    <x:row r="243" ht="30" customHeight="1">
      <x:c r="A243" s="14" t="str">
        <x:v>classification-242</x:v>
      </x:c>
      <x:c r="B243" s="14" t="str">
        <x:v>champagne_cru_2025</x:v>
      </x:c>
      <x:c r="C243" s="14" t="str">
        <x:v>Bisseuil</x:v>
      </x:c>
      <x:c r="D243" s="14" t="str">
        <x:v>Bisseuil</x:v>
      </x:c>
      <x:c r="E243" s="14" t="str">
        <x:v>Premier Cru</x:v>
      </x:c>
      <x:c r="F243" s="14" t="str">
        <x:v>Bisseuil</x:v>
      </x:c>
      <x:c r="G243" s="14" t="str">
        <x:v>Champagne</x:v>
      </x:c>
      <x:c r="H243" s="14" t="str">
        <x:v>村</x:v>
      </x:c>
      <x:c r="I243" s="14" t="str">
        <x:v>term-0380312134d8</x:v>
      </x:c>
      <x:c r="J243" s="14" t="str">
        <x:v>歴史的な村名表記を含む。</x:v>
      </x:c>
      <x:c r="K243" s="14" t="str">
        <x:v>champagne_2025_official</x:v>
      </x:c>
    </x:row>
    <x:row r="244" ht="30" customHeight="1">
      <x:c r="A244" s="14" t="str">
        <x:v>classification-243</x:v>
      </x:c>
      <x:c r="B244" s="14" t="str">
        <x:v>champagne_cru_2025</x:v>
      </x:c>
      <x:c r="C244" s="14" t="str">
        <x:v>Chamery</x:v>
      </x:c>
      <x:c r="D244" s="14" t="str">
        <x:v>Chamery</x:v>
      </x:c>
      <x:c r="E244" s="14" t="str">
        <x:v>Premier Cru</x:v>
      </x:c>
      <x:c r="F244" s="14" t="str">
        <x:v>Chamery</x:v>
      </x:c>
      <x:c r="G244" s="14" t="str">
        <x:v>Champagne</x:v>
      </x:c>
      <x:c r="H244" s="14" t="str">
        <x:v>村</x:v>
      </x:c>
      <x:c r="I244" s="14" t="str">
        <x:v>term-de450cd7fd85</x:v>
      </x:c>
      <x:c r="J244" s="14" t="str">
        <x:v>歴史的な村名表記を含む。</x:v>
      </x:c>
      <x:c r="K244" s="14" t="str">
        <x:v>champagne_2025_official</x:v>
      </x:c>
    </x:row>
    <x:row r="245" ht="30" customHeight="1">
      <x:c r="A245" s="14" t="str">
        <x:v>classification-244</x:v>
      </x:c>
      <x:c r="B245" s="14" t="str">
        <x:v>champagne_cru_2025</x:v>
      </x:c>
      <x:c r="C245" s="14" t="str">
        <x:v>Champillon</x:v>
      </x:c>
      <x:c r="D245" s="14" t="str">
        <x:v>Champillon</x:v>
      </x:c>
      <x:c r="E245" s="14" t="str">
        <x:v>Premier Cru</x:v>
      </x:c>
      <x:c r="F245" s="14" t="str">
        <x:v>Champillon</x:v>
      </x:c>
      <x:c r="G245" s="14" t="str">
        <x:v>Champagne</x:v>
      </x:c>
      <x:c r="H245" s="14" t="str">
        <x:v>村</x:v>
      </x:c>
      <x:c r="I245" s="14" t="str">
        <x:v>term-c6074d73e410</x:v>
      </x:c>
      <x:c r="J245" s="14" t="str">
        <x:v>歴史的な村名表記を含む。</x:v>
      </x:c>
      <x:c r="K245" s="14" t="str">
        <x:v>champagne_2025_official</x:v>
      </x:c>
    </x:row>
    <x:row r="246" ht="30" customHeight="1">
      <x:c r="A246" s="14" t="str">
        <x:v>classification-245</x:v>
      </x:c>
      <x:c r="B246" s="14" t="str">
        <x:v>champagne_cru_2025</x:v>
      </x:c>
      <x:c r="C246" s="14" t="str">
        <x:v>Chigny-lès-Roses</x:v>
      </x:c>
      <x:c r="D246" s="14" t="str">
        <x:v>Chigny-lès-Roses</x:v>
      </x:c>
      <x:c r="E246" s="14" t="str">
        <x:v>Premier Cru</x:v>
      </x:c>
      <x:c r="F246" s="14" t="str">
        <x:v>Chigny-lès-Roses</x:v>
      </x:c>
      <x:c r="G246" s="14" t="str">
        <x:v>Champagne</x:v>
      </x:c>
      <x:c r="H246" s="14" t="str">
        <x:v>村</x:v>
      </x:c>
      <x:c r="I246" s="14" t="str">
        <x:v>term-28b4574646fc</x:v>
      </x:c>
      <x:c r="J246" s="14" t="str">
        <x:v>歴史的な村名表記を含む。</x:v>
      </x:c>
      <x:c r="K246" s="14" t="str">
        <x:v>champagne_2025_official</x:v>
      </x:c>
    </x:row>
    <x:row r="247" ht="30" customHeight="1">
      <x:c r="A247" s="14" t="str">
        <x:v>classification-246</x:v>
      </x:c>
      <x:c r="B247" s="14" t="str">
        <x:v>champagne_cru_2025</x:v>
      </x:c>
      <x:c r="C247" s="14" t="str">
        <x:v>Coligny (Val-des-Marais)</x:v>
      </x:c>
      <x:c r="D247" s="14" t="str">
        <x:v>Coligny (Val-des-Marais)</x:v>
      </x:c>
      <x:c r="E247" s="14" t="str">
        <x:v>Premier Cru</x:v>
      </x:c>
      <x:c r="F247" s="14" t="str">
        <x:v>Coligny (Val-des-Marais)</x:v>
      </x:c>
      <x:c r="G247" s="14" t="str">
        <x:v>Champagne</x:v>
      </x:c>
      <x:c r="H247" s="14" t="str">
        <x:v>村</x:v>
      </x:c>
      <x:c r="I247" s="14" t="str">
        <x:v>term-deb6cbe23b3d</x:v>
      </x:c>
      <x:c r="J247" s="14" t="str">
        <x:v>歴史的な村名表記を含む。</x:v>
      </x:c>
      <x:c r="K247" s="14" t="str">
        <x:v>champagne_2025_official</x:v>
      </x:c>
    </x:row>
    <x:row r="248" ht="30" customHeight="1">
      <x:c r="A248" s="14" t="str">
        <x:v>classification-247</x:v>
      </x:c>
      <x:c r="B248" s="14" t="str">
        <x:v>champagne_cru_2025</x:v>
      </x:c>
      <x:c r="C248" s="14" t="str">
        <x:v>Cormontreuil</x:v>
      </x:c>
      <x:c r="D248" s="14" t="str">
        <x:v>Cormontreuil</x:v>
      </x:c>
      <x:c r="E248" s="14" t="str">
        <x:v>Premier Cru</x:v>
      </x:c>
      <x:c r="F248" s="14" t="str">
        <x:v>Cormontreuil</x:v>
      </x:c>
      <x:c r="G248" s="14" t="str">
        <x:v>Champagne</x:v>
      </x:c>
      <x:c r="H248" s="14" t="str">
        <x:v>村</x:v>
      </x:c>
      <x:c r="I248" s="14" t="str">
        <x:v>term-b1ad0c7ec6c3</x:v>
      </x:c>
      <x:c r="J248" s="14" t="str">
        <x:v>歴史的な村名表記を含む。</x:v>
      </x:c>
      <x:c r="K248" s="14" t="str">
        <x:v>champagne_2025_official</x:v>
      </x:c>
    </x:row>
    <x:row r="249" ht="30" customHeight="1">
      <x:c r="A249" s="14" t="str">
        <x:v>classification-248</x:v>
      </x:c>
      <x:c r="B249" s="14" t="str">
        <x:v>champagne_cru_2025</x:v>
      </x:c>
      <x:c r="C249" s="14" t="str">
        <x:v>Coulommes-la-Montagne</x:v>
      </x:c>
      <x:c r="D249" s="14" t="str">
        <x:v>Coulommes-la-Montagne</x:v>
      </x:c>
      <x:c r="E249" s="14" t="str">
        <x:v>Premier Cru</x:v>
      </x:c>
      <x:c r="F249" s="14" t="str">
        <x:v>Coulommes-la-Montagne</x:v>
      </x:c>
      <x:c r="G249" s="14" t="str">
        <x:v>Champagne</x:v>
      </x:c>
      <x:c r="H249" s="14" t="str">
        <x:v>村</x:v>
      </x:c>
      <x:c r="I249" s="14" t="str">
        <x:v>term-f2e7ffbfb8f2</x:v>
      </x:c>
      <x:c r="J249" s="14" t="str">
        <x:v>歴史的な村名表記を含む。</x:v>
      </x:c>
      <x:c r="K249" s="14" t="str">
        <x:v>champagne_2025_official</x:v>
      </x:c>
    </x:row>
    <x:row r="250" ht="30" customHeight="1">
      <x:c r="A250" s="14" t="str">
        <x:v>classification-249</x:v>
      </x:c>
      <x:c r="B250" s="14" t="str">
        <x:v>champagne_cru_2025</x:v>
      </x:c>
      <x:c r="C250" s="14" t="str">
        <x:v>Cuis</x:v>
      </x:c>
      <x:c r="D250" s="14" t="str">
        <x:v>Cuis</x:v>
      </x:c>
      <x:c r="E250" s="14" t="str">
        <x:v>Premier Cru</x:v>
      </x:c>
      <x:c r="F250" s="14" t="str">
        <x:v>Cuis</x:v>
      </x:c>
      <x:c r="G250" s="14" t="str">
        <x:v>Champagne</x:v>
      </x:c>
      <x:c r="H250" s="14" t="str">
        <x:v>村</x:v>
      </x:c>
      <x:c r="I250" s="14" t="str">
        <x:v>term-0c971b61838e</x:v>
      </x:c>
      <x:c r="J250" s="14" t="str">
        <x:v>歴史的な村名表記を含む。</x:v>
      </x:c>
      <x:c r="K250" s="14" t="str">
        <x:v>champagne_2025_official</x:v>
      </x:c>
    </x:row>
    <x:row r="251" ht="30" customHeight="1">
      <x:c r="A251" s="14" t="str">
        <x:v>classification-250</x:v>
      </x:c>
      <x:c r="B251" s="14" t="str">
        <x:v>champagne_cru_2025</x:v>
      </x:c>
      <x:c r="C251" s="14" t="str">
        <x:v>Cumières</x:v>
      </x:c>
      <x:c r="D251" s="14" t="str">
        <x:v>Cumières</x:v>
      </x:c>
      <x:c r="E251" s="14" t="str">
        <x:v>Premier Cru</x:v>
      </x:c>
      <x:c r="F251" s="14" t="str">
        <x:v>Cumières</x:v>
      </x:c>
      <x:c r="G251" s="14" t="str">
        <x:v>Champagne</x:v>
      </x:c>
      <x:c r="H251" s="14" t="str">
        <x:v>村</x:v>
      </x:c>
      <x:c r="I251" s="14" t="str">
        <x:v>term-e46436317140</x:v>
      </x:c>
      <x:c r="J251" s="14" t="str">
        <x:v>歴史的な村名表記を含む。</x:v>
      </x:c>
      <x:c r="K251" s="14" t="str">
        <x:v>champagne_2025_official</x:v>
      </x:c>
    </x:row>
    <x:row r="252" ht="30" customHeight="1">
      <x:c r="A252" s="14" t="str">
        <x:v>classification-251</x:v>
      </x:c>
      <x:c r="B252" s="14" t="str">
        <x:v>champagne_cru_2025</x:v>
      </x:c>
      <x:c r="C252" s="14" t="str">
        <x:v>Dizy</x:v>
      </x:c>
      <x:c r="D252" s="14" t="str">
        <x:v>Dizy</x:v>
      </x:c>
      <x:c r="E252" s="14" t="str">
        <x:v>Premier Cru</x:v>
      </x:c>
      <x:c r="F252" s="14" t="str">
        <x:v>Dizy</x:v>
      </x:c>
      <x:c r="G252" s="14" t="str">
        <x:v>Champagne</x:v>
      </x:c>
      <x:c r="H252" s="14" t="str">
        <x:v>村</x:v>
      </x:c>
      <x:c r="I252" s="14" t="str">
        <x:v>term-1bf793e8006c</x:v>
      </x:c>
      <x:c r="J252" s="14" t="str">
        <x:v>歴史的な村名表記を含む。</x:v>
      </x:c>
      <x:c r="K252" s="14" t="str">
        <x:v>champagne_2025_official</x:v>
      </x:c>
    </x:row>
    <x:row r="253" ht="30" customHeight="1">
      <x:c r="A253" s="14" t="str">
        <x:v>classification-252</x:v>
      </x:c>
      <x:c r="B253" s="14" t="str">
        <x:v>champagne_cru_2025</x:v>
      </x:c>
      <x:c r="C253" s="14" t="str">
        <x:v>Ecueil</x:v>
      </x:c>
      <x:c r="D253" s="14" t="str">
        <x:v>Ecueil</x:v>
      </x:c>
      <x:c r="E253" s="14" t="str">
        <x:v>Premier Cru</x:v>
      </x:c>
      <x:c r="F253" s="14" t="str">
        <x:v>Ecueil</x:v>
      </x:c>
      <x:c r="G253" s="14" t="str">
        <x:v>Champagne</x:v>
      </x:c>
      <x:c r="H253" s="14" t="str">
        <x:v>村</x:v>
      </x:c>
      <x:c r="I253" s="14" t="str">
        <x:v>term-a7dc4c177804</x:v>
      </x:c>
      <x:c r="J253" s="14" t="str">
        <x:v>歴史的な村名表記を含む。</x:v>
      </x:c>
      <x:c r="K253" s="14" t="str">
        <x:v>champagne_2025_official</x:v>
      </x:c>
    </x:row>
    <x:row r="254" ht="30" customHeight="1">
      <x:c r="A254" s="14" t="str">
        <x:v>classification-253</x:v>
      </x:c>
      <x:c r="B254" s="14" t="str">
        <x:v>champagne_cru_2025</x:v>
      </x:c>
      <x:c r="C254" s="14" t="str">
        <x:v>Etrechy</x:v>
      </x:c>
      <x:c r="D254" s="14" t="str">
        <x:v>Etrechy</x:v>
      </x:c>
      <x:c r="E254" s="14" t="str">
        <x:v>Premier Cru</x:v>
      </x:c>
      <x:c r="F254" s="14" t="str">
        <x:v>Etrechy</x:v>
      </x:c>
      <x:c r="G254" s="14" t="str">
        <x:v>Champagne</x:v>
      </x:c>
      <x:c r="H254" s="14" t="str">
        <x:v>村</x:v>
      </x:c>
      <x:c r="I254" s="14" t="str">
        <x:v>term-0585d7fff718</x:v>
      </x:c>
      <x:c r="J254" s="14" t="str">
        <x:v>歴史的な村名表記を含む。</x:v>
      </x:c>
      <x:c r="K254" s="14" t="str">
        <x:v>champagne_2025_official</x:v>
      </x:c>
    </x:row>
    <x:row r="255" ht="30" customHeight="1">
      <x:c r="A255" s="14" t="str">
        <x:v>classification-254</x:v>
      </x:c>
      <x:c r="B255" s="14" t="str">
        <x:v>champagne_cru_2025</x:v>
      </x:c>
      <x:c r="C255" s="14" t="str">
        <x:v>Grauves</x:v>
      </x:c>
      <x:c r="D255" s="14" t="str">
        <x:v>Grauves</x:v>
      </x:c>
      <x:c r="E255" s="14" t="str">
        <x:v>Premier Cru</x:v>
      </x:c>
      <x:c r="F255" s="14" t="str">
        <x:v>Grauves</x:v>
      </x:c>
      <x:c r="G255" s="14" t="str">
        <x:v>Champagne</x:v>
      </x:c>
      <x:c r="H255" s="14" t="str">
        <x:v>村</x:v>
      </x:c>
      <x:c r="I255" s="14" t="str">
        <x:v>term-bc44fbe1a3a4</x:v>
      </x:c>
      <x:c r="J255" s="14" t="str">
        <x:v>歴史的な村名表記を含む。</x:v>
      </x:c>
      <x:c r="K255" s="14" t="str">
        <x:v>champagne_2025_official</x:v>
      </x:c>
    </x:row>
    <x:row r="256" ht="30" customHeight="1">
      <x:c r="A256" s="14" t="str">
        <x:v>classification-255</x:v>
      </x:c>
      <x:c r="B256" s="14" t="str">
        <x:v>champagne_cru_2025</x:v>
      </x:c>
      <x:c r="C256" s="14" t="str">
        <x:v>Hautvillers</x:v>
      </x:c>
      <x:c r="D256" s="14" t="str">
        <x:v>Hautvillers</x:v>
      </x:c>
      <x:c r="E256" s="14" t="str">
        <x:v>Premier Cru</x:v>
      </x:c>
      <x:c r="F256" s="14" t="str">
        <x:v>Hautvillers</x:v>
      </x:c>
      <x:c r="G256" s="14" t="str">
        <x:v>Champagne</x:v>
      </x:c>
      <x:c r="H256" s="14" t="str">
        <x:v>村</x:v>
      </x:c>
      <x:c r="I256" s="14" t="str">
        <x:v>term-124705053d5c</x:v>
      </x:c>
      <x:c r="J256" s="14" t="str">
        <x:v>歴史的な村名表記を含む。</x:v>
      </x:c>
      <x:c r="K256" s="14" t="str">
        <x:v>champagne_2025_official</x:v>
      </x:c>
    </x:row>
    <x:row r="257" ht="30" customHeight="1">
      <x:c r="A257" s="14" t="str">
        <x:v>classification-256</x:v>
      </x:c>
      <x:c r="B257" s="14" t="str">
        <x:v>champagne_cru_2025</x:v>
      </x:c>
      <x:c r="C257" s="14" t="str">
        <x:v>Jouy-lès-Reims</x:v>
      </x:c>
      <x:c r="D257" s="14" t="str">
        <x:v>Jouy-lès-Reims</x:v>
      </x:c>
      <x:c r="E257" s="14" t="str">
        <x:v>Premier Cru</x:v>
      </x:c>
      <x:c r="F257" s="14" t="str">
        <x:v>Jouy-lès-Reims</x:v>
      </x:c>
      <x:c r="G257" s="14" t="str">
        <x:v>Champagne</x:v>
      </x:c>
      <x:c r="H257" s="14" t="str">
        <x:v>村</x:v>
      </x:c>
      <x:c r="I257" s="14" t="str">
        <x:v>term-4d55ca4bd3fd</x:v>
      </x:c>
      <x:c r="J257" s="14" t="str">
        <x:v>歴史的な村名表記を含む。</x:v>
      </x:c>
      <x:c r="K257" s="14" t="str">
        <x:v>champagne_2025_official</x:v>
      </x:c>
    </x:row>
    <x:row r="258" ht="30" customHeight="1">
      <x:c r="A258" s="14" t="str">
        <x:v>classification-257</x:v>
      </x:c>
      <x:c r="B258" s="14" t="str">
        <x:v>champagne_cru_2025</x:v>
      </x:c>
      <x:c r="C258" s="14" t="str">
        <x:v>Ludes</x:v>
      </x:c>
      <x:c r="D258" s="14" t="str">
        <x:v>Ludes</x:v>
      </x:c>
      <x:c r="E258" s="14" t="str">
        <x:v>Premier Cru</x:v>
      </x:c>
      <x:c r="F258" s="14" t="str">
        <x:v>Ludes</x:v>
      </x:c>
      <x:c r="G258" s="14" t="str">
        <x:v>Champagne</x:v>
      </x:c>
      <x:c r="H258" s="14" t="str">
        <x:v>村</x:v>
      </x:c>
      <x:c r="I258" s="14" t="str">
        <x:v>term-48046e98a88f</x:v>
      </x:c>
      <x:c r="J258" s="14" t="str">
        <x:v>歴史的な村名表記を含む。</x:v>
      </x:c>
      <x:c r="K258" s="14" t="str">
        <x:v>champagne_2025_official</x:v>
      </x:c>
    </x:row>
    <x:row r="259" ht="30" customHeight="1">
      <x:c r="A259" s="14" t="str">
        <x:v>classification-258</x:v>
      </x:c>
      <x:c r="B259" s="14" t="str">
        <x:v>champagne_cru_2025</x:v>
      </x:c>
      <x:c r="C259" s="14" t="str">
        <x:v>Mareuil-sur-Ay</x:v>
      </x:c>
      <x:c r="D259" s="14" t="str">
        <x:v>Mareuil-sur-Ay</x:v>
      </x:c>
      <x:c r="E259" s="14" t="str">
        <x:v>Premier Cru</x:v>
      </x:c>
      <x:c r="F259" s="14" t="str">
        <x:v>Mareuil-sur-Ay</x:v>
      </x:c>
      <x:c r="G259" s="14" t="str">
        <x:v>Champagne</x:v>
      </x:c>
      <x:c r="H259" s="14" t="str">
        <x:v>村</x:v>
      </x:c>
      <x:c r="I259" s="14" t="str">
        <x:v>term-f1e6031b5795</x:v>
      </x:c>
      <x:c r="J259" s="14" t="str">
        <x:v>歴史的な村名表記を含む。</x:v>
      </x:c>
      <x:c r="K259" s="14" t="str">
        <x:v>champagne_2025_official</x:v>
      </x:c>
    </x:row>
    <x:row r="260" ht="30" customHeight="1">
      <x:c r="A260" s="14" t="str">
        <x:v>classification-259</x:v>
      </x:c>
      <x:c r="B260" s="14" t="str">
        <x:v>champagne_cru_2025</x:v>
      </x:c>
      <x:c r="C260" s="14" t="str">
        <x:v>Les Mesneux</x:v>
      </x:c>
      <x:c r="D260" s="14" t="str">
        <x:v>Les Mesneux</x:v>
      </x:c>
      <x:c r="E260" s="14" t="str">
        <x:v>Premier Cru</x:v>
      </x:c>
      <x:c r="F260" s="14" t="str">
        <x:v>Les Mesneux</x:v>
      </x:c>
      <x:c r="G260" s="14" t="str">
        <x:v>Champagne</x:v>
      </x:c>
      <x:c r="H260" s="14" t="str">
        <x:v>村</x:v>
      </x:c>
      <x:c r="I260" s="14" t="str">
        <x:v>term-f9acf4b044d5</x:v>
      </x:c>
      <x:c r="J260" s="14" t="str">
        <x:v>歴史的な村名表記を含む。</x:v>
      </x:c>
      <x:c r="K260" s="14" t="str">
        <x:v>champagne_2025_official</x:v>
      </x:c>
    </x:row>
    <x:row r="261" ht="30" customHeight="1">
      <x:c r="A261" s="14" t="str">
        <x:v>classification-260</x:v>
      </x:c>
      <x:c r="B261" s="14" t="str">
        <x:v>champagne_cru_2025</x:v>
      </x:c>
      <x:c r="C261" s="14" t="str">
        <x:v>Montbré</x:v>
      </x:c>
      <x:c r="D261" s="14" t="str">
        <x:v>Montbré</x:v>
      </x:c>
      <x:c r="E261" s="14" t="str">
        <x:v>Premier Cru</x:v>
      </x:c>
      <x:c r="F261" s="14" t="str">
        <x:v>Montbré</x:v>
      </x:c>
      <x:c r="G261" s="14" t="str">
        <x:v>Champagne</x:v>
      </x:c>
      <x:c r="H261" s="14" t="str">
        <x:v>村</x:v>
      </x:c>
      <x:c r="I261" s="14" t="str">
        <x:v>term-995194ebbc3d</x:v>
      </x:c>
      <x:c r="J261" s="14" t="str">
        <x:v>歴史的な村名表記を含む。</x:v>
      </x:c>
      <x:c r="K261" s="14" t="str">
        <x:v>champagne_2025_official</x:v>
      </x:c>
    </x:row>
    <x:row r="262" ht="30" customHeight="1">
      <x:c r="A262" s="14" t="str">
        <x:v>classification-261</x:v>
      </x:c>
      <x:c r="B262" s="14" t="str">
        <x:v>champagne_cru_2025</x:v>
      </x:c>
      <x:c r="C262" s="14" t="str">
        <x:v>Mutigny</x:v>
      </x:c>
      <x:c r="D262" s="14" t="str">
        <x:v>Mutigny</x:v>
      </x:c>
      <x:c r="E262" s="14" t="str">
        <x:v>Premier Cru</x:v>
      </x:c>
      <x:c r="F262" s="14" t="str">
        <x:v>Mutigny</x:v>
      </x:c>
      <x:c r="G262" s="14" t="str">
        <x:v>Champagne</x:v>
      </x:c>
      <x:c r="H262" s="14" t="str">
        <x:v>村</x:v>
      </x:c>
      <x:c r="I262" s="14" t="str">
        <x:v>term-082db24855f4</x:v>
      </x:c>
      <x:c r="J262" s="14" t="str">
        <x:v>歴史的な村名表記を含む。</x:v>
      </x:c>
      <x:c r="K262" s="14" t="str">
        <x:v>champagne_2025_official</x:v>
      </x:c>
    </x:row>
    <x:row r="263" ht="30" customHeight="1">
      <x:c r="A263" s="14" t="str">
        <x:v>classification-262</x:v>
      </x:c>
      <x:c r="B263" s="14" t="str">
        <x:v>champagne_cru_2025</x:v>
      </x:c>
      <x:c r="C263" s="14" t="str">
        <x:v>Pargny-lès-Reims</x:v>
      </x:c>
      <x:c r="D263" s="14" t="str">
        <x:v>Pargny-lès-Reims</x:v>
      </x:c>
      <x:c r="E263" s="14" t="str">
        <x:v>Premier Cru</x:v>
      </x:c>
      <x:c r="F263" s="14" t="str">
        <x:v>Pargny-lès-Reims</x:v>
      </x:c>
      <x:c r="G263" s="14" t="str">
        <x:v>Champagne</x:v>
      </x:c>
      <x:c r="H263" s="14" t="str">
        <x:v>村</x:v>
      </x:c>
      <x:c r="I263" s="14" t="str">
        <x:v>term-1d068b6db8eb</x:v>
      </x:c>
      <x:c r="J263" s="14" t="str">
        <x:v>歴史的な村名表記を含む。</x:v>
      </x:c>
      <x:c r="K263" s="14" t="str">
        <x:v>champagne_2025_official</x:v>
      </x:c>
    </x:row>
    <x:row r="264" ht="30" customHeight="1">
      <x:c r="A264" s="14" t="str">
        <x:v>classification-263</x:v>
      </x:c>
      <x:c r="B264" s="14" t="str">
        <x:v>champagne_cru_2025</x:v>
      </x:c>
      <x:c r="C264" s="14" t="str">
        <x:v>Pierry</x:v>
      </x:c>
      <x:c r="D264" s="14" t="str">
        <x:v>Pierry</x:v>
      </x:c>
      <x:c r="E264" s="14" t="str">
        <x:v>Premier Cru</x:v>
      </x:c>
      <x:c r="F264" s="14" t="str">
        <x:v>Pierry</x:v>
      </x:c>
      <x:c r="G264" s="14" t="str">
        <x:v>Champagne</x:v>
      </x:c>
      <x:c r="H264" s="14" t="str">
        <x:v>村</x:v>
      </x:c>
      <x:c r="I264" s="14" t="str">
        <x:v>term-8a97d2873b7a</x:v>
      </x:c>
      <x:c r="J264" s="14" t="str">
        <x:v>歴史的な村名表記を含む。</x:v>
      </x:c>
      <x:c r="K264" s="14" t="str">
        <x:v>champagne_2025_official</x:v>
      </x:c>
    </x:row>
    <x:row r="265" ht="30" customHeight="1">
      <x:c r="A265" s="14" t="str">
        <x:v>classification-264</x:v>
      </x:c>
      <x:c r="B265" s="14" t="str">
        <x:v>champagne_cru_2025</x:v>
      </x:c>
      <x:c r="C265" s="14" t="str">
        <x:v>Rilly-la-Montagne</x:v>
      </x:c>
      <x:c r="D265" s="14" t="str">
        <x:v>Rilly-la-Montagne</x:v>
      </x:c>
      <x:c r="E265" s="14" t="str">
        <x:v>Premier Cru</x:v>
      </x:c>
      <x:c r="F265" s="14" t="str">
        <x:v>Rilly-la-Montagne</x:v>
      </x:c>
      <x:c r="G265" s="14" t="str">
        <x:v>Champagne</x:v>
      </x:c>
      <x:c r="H265" s="14" t="str">
        <x:v>村</x:v>
      </x:c>
      <x:c r="I265" s="14" t="str">
        <x:v>term-a463a86c56af</x:v>
      </x:c>
      <x:c r="J265" s="14" t="str">
        <x:v>歴史的な村名表記を含む。</x:v>
      </x:c>
      <x:c r="K265" s="14" t="str">
        <x:v>champagne_2025_official</x:v>
      </x:c>
    </x:row>
    <x:row r="266" ht="30" customHeight="1">
      <x:c r="A266" s="14" t="str">
        <x:v>classification-265</x:v>
      </x:c>
      <x:c r="B266" s="14" t="str">
        <x:v>champagne_cru_2025</x:v>
      </x:c>
      <x:c r="C266" s="14" t="str">
        <x:v>Sacy</x:v>
      </x:c>
      <x:c r="D266" s="14" t="str">
        <x:v>Sacy</x:v>
      </x:c>
      <x:c r="E266" s="14" t="str">
        <x:v>Premier Cru</x:v>
      </x:c>
      <x:c r="F266" s="14" t="str">
        <x:v>Sacy</x:v>
      </x:c>
      <x:c r="G266" s="14" t="str">
        <x:v>Champagne</x:v>
      </x:c>
      <x:c r="H266" s="14" t="str">
        <x:v>村</x:v>
      </x:c>
      <x:c r="I266" s="14" t="str">
        <x:v>term-315040d63d1b</x:v>
      </x:c>
      <x:c r="J266" s="14" t="str">
        <x:v>歴史的な村名表記を含む。</x:v>
      </x:c>
      <x:c r="K266" s="14" t="str">
        <x:v>champagne_2025_official</x:v>
      </x:c>
    </x:row>
    <x:row r="267" ht="30" customHeight="1">
      <x:c r="A267" s="14" t="str">
        <x:v>classification-266</x:v>
      </x:c>
      <x:c r="B267" s="14" t="str">
        <x:v>champagne_cru_2025</x:v>
      </x:c>
      <x:c r="C267" s="14" t="str">
        <x:v>Sermiers</x:v>
      </x:c>
      <x:c r="D267" s="14" t="str">
        <x:v>Sermiers</x:v>
      </x:c>
      <x:c r="E267" s="14" t="str">
        <x:v>Premier Cru</x:v>
      </x:c>
      <x:c r="F267" s="14" t="str">
        <x:v>Sermiers</x:v>
      </x:c>
      <x:c r="G267" s="14" t="str">
        <x:v>Champagne</x:v>
      </x:c>
      <x:c r="H267" s="14" t="str">
        <x:v>村</x:v>
      </x:c>
      <x:c r="I267" s="14" t="str">
        <x:v>term-eca85bcdbb3b</x:v>
      </x:c>
      <x:c r="J267" s="14" t="str">
        <x:v>歴史的な村名表記を含む。</x:v>
      </x:c>
      <x:c r="K267" s="14" t="str">
        <x:v>champagne_2025_official</x:v>
      </x:c>
    </x:row>
    <x:row r="268" ht="30" customHeight="1">
      <x:c r="A268" s="14" t="str">
        <x:v>classification-267</x:v>
      </x:c>
      <x:c r="B268" s="14" t="str">
        <x:v>champagne_cru_2025</x:v>
      </x:c>
      <x:c r="C268" s="14" t="str">
        <x:v>Taissy</x:v>
      </x:c>
      <x:c r="D268" s="14" t="str">
        <x:v>Taissy</x:v>
      </x:c>
      <x:c r="E268" s="14" t="str">
        <x:v>Premier Cru</x:v>
      </x:c>
      <x:c r="F268" s="14" t="str">
        <x:v>Taissy</x:v>
      </x:c>
      <x:c r="G268" s="14" t="str">
        <x:v>Champagne</x:v>
      </x:c>
      <x:c r="H268" s="14" t="str">
        <x:v>村</x:v>
      </x:c>
      <x:c r="I268" s="14" t="str">
        <x:v>term-3f2ca5d82ddf</x:v>
      </x:c>
      <x:c r="J268" s="14" t="str">
        <x:v>歴史的な村名表記を含む。</x:v>
      </x:c>
      <x:c r="K268" s="14" t="str">
        <x:v>champagne_2025_official</x:v>
      </x:c>
    </x:row>
    <x:row r="269" ht="30" customHeight="1">
      <x:c r="A269" s="14" t="str">
        <x:v>classification-268</x:v>
      </x:c>
      <x:c r="B269" s="14" t="str">
        <x:v>champagne_cru_2025</x:v>
      </x:c>
      <x:c r="C269" s="14" t="str">
        <x:v>Tauxières</x:v>
      </x:c>
      <x:c r="D269" s="14" t="str">
        <x:v>Tauxières</x:v>
      </x:c>
      <x:c r="E269" s="14" t="str">
        <x:v>Premier Cru</x:v>
      </x:c>
      <x:c r="F269" s="14" t="str">
        <x:v>Tauxières</x:v>
      </x:c>
      <x:c r="G269" s="14" t="str">
        <x:v>Champagne</x:v>
      </x:c>
      <x:c r="H269" s="14" t="str">
        <x:v>村</x:v>
      </x:c>
      <x:c r="I269" s="14" t="str">
        <x:v>term-6deea5452010</x:v>
      </x:c>
      <x:c r="J269" s="14" t="str">
        <x:v>歴史的な村名表記を含む。</x:v>
      </x:c>
      <x:c r="K269" s="14" t="str">
        <x:v>champagne_2025_official</x:v>
      </x:c>
    </x:row>
    <x:row r="270" ht="30" customHeight="1">
      <x:c r="A270" s="14" t="str">
        <x:v>classification-269</x:v>
      </x:c>
      <x:c r="B270" s="14" t="str">
        <x:v>champagne_cru_2025</x:v>
      </x:c>
      <x:c r="C270" s="14" t="str">
        <x:v>Trépail</x:v>
      </x:c>
      <x:c r="D270" s="14" t="str">
        <x:v>Trépail</x:v>
      </x:c>
      <x:c r="E270" s="14" t="str">
        <x:v>Premier Cru</x:v>
      </x:c>
      <x:c r="F270" s="14" t="str">
        <x:v>Trépail</x:v>
      </x:c>
      <x:c r="G270" s="14" t="str">
        <x:v>Champagne</x:v>
      </x:c>
      <x:c r="H270" s="14" t="str">
        <x:v>村</x:v>
      </x:c>
      <x:c r="I270" s="14" t="str">
        <x:v>term-64969cd6db38</x:v>
      </x:c>
      <x:c r="J270" s="14" t="str">
        <x:v>歴史的な村名表記を含む。</x:v>
      </x:c>
      <x:c r="K270" s="14" t="str">
        <x:v>champagne_2025_official</x:v>
      </x:c>
    </x:row>
    <x:row r="271" ht="30" customHeight="1">
      <x:c r="A271" s="14" t="str">
        <x:v>classification-270</x:v>
      </x:c>
      <x:c r="B271" s="14" t="str">
        <x:v>champagne_cru_2025</x:v>
      </x:c>
      <x:c r="C271" s="14" t="str">
        <x:v>Trois-Puits</x:v>
      </x:c>
      <x:c r="D271" s="14" t="str">
        <x:v>Trois-Puits</x:v>
      </x:c>
      <x:c r="E271" s="14" t="str">
        <x:v>Premier Cru</x:v>
      </x:c>
      <x:c r="F271" s="14" t="str">
        <x:v>Trois-Puits</x:v>
      </x:c>
      <x:c r="G271" s="14" t="str">
        <x:v>Champagne</x:v>
      </x:c>
      <x:c r="H271" s="14" t="str">
        <x:v>村</x:v>
      </x:c>
      <x:c r="I271" s="14" t="str">
        <x:v>term-773454d56139</x:v>
      </x:c>
      <x:c r="J271" s="14" t="str">
        <x:v>歴史的な村名表記を含む。</x:v>
      </x:c>
      <x:c r="K271" s="14" t="str">
        <x:v>champagne_2025_official</x:v>
      </x:c>
    </x:row>
    <x:row r="272" ht="30" customHeight="1">
      <x:c r="A272" s="14" t="str">
        <x:v>classification-271</x:v>
      </x:c>
      <x:c r="B272" s="14" t="str">
        <x:v>champagne_cru_2025</x:v>
      </x:c>
      <x:c r="C272" s="14" t="str">
        <x:v>Vaudemanges</x:v>
      </x:c>
      <x:c r="D272" s="14" t="str">
        <x:v>Vaudemanges</x:v>
      </x:c>
      <x:c r="E272" s="14" t="str">
        <x:v>Premier Cru</x:v>
      </x:c>
      <x:c r="F272" s="14" t="str">
        <x:v>Vaudemanges</x:v>
      </x:c>
      <x:c r="G272" s="14" t="str">
        <x:v>Champagne</x:v>
      </x:c>
      <x:c r="H272" s="14" t="str">
        <x:v>村</x:v>
      </x:c>
      <x:c r="I272" s="14" t="str">
        <x:v>term-f4b216572219</x:v>
      </x:c>
      <x:c r="J272" s="14" t="str">
        <x:v>歴史的な村名表記を含む。</x:v>
      </x:c>
      <x:c r="K272" s="14" t="str">
        <x:v>champagne_2025_official</x:v>
      </x:c>
    </x:row>
    <x:row r="273" ht="30" customHeight="1">
      <x:c r="A273" s="14" t="str">
        <x:v>classification-272</x:v>
      </x:c>
      <x:c r="B273" s="14" t="str">
        <x:v>champagne_cru_2025</x:v>
      </x:c>
      <x:c r="C273" s="14" t="str">
        <x:v>Vertus</x:v>
      </x:c>
      <x:c r="D273" s="14" t="str">
        <x:v>Vertus</x:v>
      </x:c>
      <x:c r="E273" s="14" t="str">
        <x:v>Premier Cru</x:v>
      </x:c>
      <x:c r="F273" s="14" t="str">
        <x:v>Vertus</x:v>
      </x:c>
      <x:c r="G273" s="14" t="str">
        <x:v>Champagne</x:v>
      </x:c>
      <x:c r="H273" s="14" t="str">
        <x:v>村</x:v>
      </x:c>
      <x:c r="I273" s="14" t="str">
        <x:v>term-e30b83d17009</x:v>
      </x:c>
      <x:c r="J273" s="14" t="str">
        <x:v>歴史的な村名表記を含む。</x:v>
      </x:c>
      <x:c r="K273" s="14" t="str">
        <x:v>champagne_2025_official</x:v>
      </x:c>
    </x:row>
    <x:row r="274" ht="30" customHeight="1">
      <x:c r="A274" s="14" t="str">
        <x:v>classification-273</x:v>
      </x:c>
      <x:c r="B274" s="14" t="str">
        <x:v>champagne_cru_2025</x:v>
      </x:c>
      <x:c r="C274" s="14" t="str">
        <x:v>Villedommange</x:v>
      </x:c>
      <x:c r="D274" s="14" t="str">
        <x:v>Villedommange</x:v>
      </x:c>
      <x:c r="E274" s="14" t="str">
        <x:v>Premier Cru</x:v>
      </x:c>
      <x:c r="F274" s="14" t="str">
        <x:v>Villedommange</x:v>
      </x:c>
      <x:c r="G274" s="14" t="str">
        <x:v>Champagne</x:v>
      </x:c>
      <x:c r="H274" s="14" t="str">
        <x:v>村</x:v>
      </x:c>
      <x:c r="I274" s="14" t="str">
        <x:v>term-43369f906e94</x:v>
      </x:c>
      <x:c r="J274" s="14" t="str">
        <x:v>歴史的な村名表記を含む。</x:v>
      </x:c>
      <x:c r="K274" s="14" t="str">
        <x:v>champagne_2025_official</x:v>
      </x:c>
    </x:row>
    <x:row r="275" ht="30" customHeight="1">
      <x:c r="A275" s="14" t="str">
        <x:v>classification-274</x:v>
      </x:c>
      <x:c r="B275" s="14" t="str">
        <x:v>champagne_cru_2025</x:v>
      </x:c>
      <x:c r="C275" s="14" t="str">
        <x:v>Villeneuve-Renneville</x:v>
      </x:c>
      <x:c r="D275" s="14" t="str">
        <x:v>Villeneuve-Renneville</x:v>
      </x:c>
      <x:c r="E275" s="14" t="str">
        <x:v>Premier Cru</x:v>
      </x:c>
      <x:c r="F275" s="14" t="str">
        <x:v>Villeneuve-Renneville</x:v>
      </x:c>
      <x:c r="G275" s="14" t="str">
        <x:v>Champagne</x:v>
      </x:c>
      <x:c r="H275" s="14" t="str">
        <x:v>村</x:v>
      </x:c>
      <x:c r="I275" s="14" t="str">
        <x:v>term-cdc01db82d2e</x:v>
      </x:c>
      <x:c r="J275" s="14" t="str">
        <x:v>歴史的な村名表記を含む。</x:v>
      </x:c>
      <x:c r="K275" s="14" t="str">
        <x:v>champagne_2025_official</x:v>
      </x:c>
    </x:row>
    <x:row r="276" ht="30" customHeight="1">
      <x:c r="A276" s="14" t="str">
        <x:v>classification-275</x:v>
      </x:c>
      <x:c r="B276" s="14" t="str">
        <x:v>champagne_cru_2025</x:v>
      </x:c>
      <x:c r="C276" s="14" t="str">
        <x:v>Villers-Allerand</x:v>
      </x:c>
      <x:c r="D276" s="14" t="str">
        <x:v>Villers-Allerand</x:v>
      </x:c>
      <x:c r="E276" s="14" t="str">
        <x:v>Premier Cru</x:v>
      </x:c>
      <x:c r="F276" s="14" t="str">
        <x:v>Villers-Allerand</x:v>
      </x:c>
      <x:c r="G276" s="14" t="str">
        <x:v>Champagne</x:v>
      </x:c>
      <x:c r="H276" s="14" t="str">
        <x:v>村</x:v>
      </x:c>
      <x:c r="I276" s="14" t="str">
        <x:v>term-42a8ce0898f7</x:v>
      </x:c>
      <x:c r="J276" s="14" t="str">
        <x:v>歴史的な村名表記を含む。</x:v>
      </x:c>
      <x:c r="K276" s="14" t="str">
        <x:v>champagne_2025_official</x:v>
      </x:c>
    </x:row>
    <x:row r="277" ht="30" customHeight="1">
      <x:c r="A277" s="14" t="str">
        <x:v>classification-276</x:v>
      </x:c>
      <x:c r="B277" s="14" t="str">
        <x:v>champagne_cru_2025</x:v>
      </x:c>
      <x:c r="C277" s="14" t="str">
        <x:v>Villers-aux-Nœuds</x:v>
      </x:c>
      <x:c r="D277" s="14" t="str">
        <x:v>Villers-aux-Nœuds</x:v>
      </x:c>
      <x:c r="E277" s="14" t="str">
        <x:v>Premier Cru</x:v>
      </x:c>
      <x:c r="F277" s="14" t="str">
        <x:v>Villers-aux-Nœuds</x:v>
      </x:c>
      <x:c r="G277" s="14" t="str">
        <x:v>Champagne</x:v>
      </x:c>
      <x:c r="H277" s="14" t="str">
        <x:v>村</x:v>
      </x:c>
      <x:c r="I277" s="14" t="str">
        <x:v>term-038bf6b309a4</x:v>
      </x:c>
      <x:c r="J277" s="14" t="str">
        <x:v>歴史的な村名表記を含む。</x:v>
      </x:c>
      <x:c r="K277" s="14" t="str">
        <x:v>champagne_2025_official</x:v>
      </x:c>
    </x:row>
    <x:row r="278" ht="30" customHeight="1">
      <x:c r="A278" s="14" t="str">
        <x:v>classification-277</x:v>
      </x:c>
      <x:c r="B278" s="14" t="str">
        <x:v>champagne_cru_2025</x:v>
      </x:c>
      <x:c r="C278" s="14" t="str">
        <x:v>Villers-Marmery</x:v>
      </x:c>
      <x:c r="D278" s="14" t="str">
        <x:v>Villers-Marmery</x:v>
      </x:c>
      <x:c r="E278" s="14" t="str">
        <x:v>Premier Cru</x:v>
      </x:c>
      <x:c r="F278" s="14" t="str">
        <x:v>Villers-Marmery</x:v>
      </x:c>
      <x:c r="G278" s="14" t="str">
        <x:v>Champagne</x:v>
      </x:c>
      <x:c r="H278" s="14" t="str">
        <x:v>村</x:v>
      </x:c>
      <x:c r="I278" s="14" t="str">
        <x:v>term-a5a878db40d2</x:v>
      </x:c>
      <x:c r="J278" s="14" t="str">
        <x:v>歴史的な村名表記を含む。</x:v>
      </x:c>
      <x:c r="K278" s="14" t="str">
        <x:v>champagne_2025_official</x:v>
      </x:c>
    </x:row>
    <x:row r="279" ht="30" customHeight="1">
      <x:c r="A279" s="14" t="str">
        <x:v>classification-278</x:v>
      </x:c>
      <x:c r="B279" s="14" t="str">
        <x:v>champagne_cru_2025</x:v>
      </x:c>
      <x:c r="C279" s="14" t="str">
        <x:v>Voipreux</x:v>
      </x:c>
      <x:c r="D279" s="14" t="str">
        <x:v>Voipreux</x:v>
      </x:c>
      <x:c r="E279" s="14" t="str">
        <x:v>Premier Cru</x:v>
      </x:c>
      <x:c r="F279" s="14" t="str">
        <x:v>Voipreux</x:v>
      </x:c>
      <x:c r="G279" s="14" t="str">
        <x:v>Champagne</x:v>
      </x:c>
      <x:c r="H279" s="14" t="str">
        <x:v>村</x:v>
      </x:c>
      <x:c r="I279" s="14" t="str">
        <x:v>term-1e713c0666d7</x:v>
      </x:c>
      <x:c r="J279" s="14" t="str">
        <x:v>歴史的な村名表記を含む。</x:v>
      </x:c>
      <x:c r="K279" s="14" t="str">
        <x:v>champagne_2025_official</x:v>
      </x:c>
    </x:row>
    <x:row r="280" ht="30" customHeight="1">
      <x:c r="A280" s="15" t="str">
        <x:v>classification-279</x:v>
      </x:c>
      <x:c r="B280" s="15" t="str">
        <x:v>champagne_cru_2025</x:v>
      </x:c>
      <x:c r="C280" s="15" t="str">
        <x:v>Vrigny</x:v>
      </x:c>
      <x:c r="D280" s="15" t="str">
        <x:v>Vrigny</x:v>
      </x:c>
      <x:c r="E280" s="15" t="str">
        <x:v>Premier Cru</x:v>
      </x:c>
      <x:c r="F280" s="15" t="str">
        <x:v>Vrigny</x:v>
      </x:c>
      <x:c r="G280" s="15" t="str">
        <x:v>Champagne</x:v>
      </x:c>
      <x:c r="H280" s="15" t="str">
        <x:v>村</x:v>
      </x:c>
      <x:c r="I280" s="15" t="str">
        <x:v>term-d0b69227ccf9</x:v>
      </x:c>
      <x:c r="J280" s="15" t="str">
        <x:v>歴史的な村名表記を含む。</x:v>
      </x:c>
      <x:c r="K280" s="15" t="str">
        <x:v>champagne_2025_official</x:v>
      </x:c>
    </x:row>
  </x:sheetData>
  <x:pageMargins left="0.7" right="0.7" top="0.75" bottom="0.75" header="0.3" footer="0.3"/>
  <x:tableParts count="1">
    <x:tablePart xmlns:r="http://schemas.openxmlformats.org/officeDocument/2006/relationships" r:id="R0daa829dd59342b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68" hidden="0" customWidth="1"/>
    <x:col min="4" max="4" width="14" hidden="0" customWidth="1"/>
    <x:col min="5" max="5" width="14" hidden="0" customWidth="1"/>
  </x:cols>
  <x:sheetData>
    <x:row r="1" ht="15" hidden="0" customHeight="1">
      <x:c r="A1" s="5" t="str">
        <x:v>source_id</x:v>
      </x:c>
      <x:c r="B1" s="5" t="str">
        <x:v>名称</x:v>
      </x:c>
      <x:c r="C1" s="5" t="str">
        <x:v>URL</x:v>
      </x:c>
      <x:c r="D1" s="5" t="str">
        <x:v>基準日</x:v>
      </x:c>
      <x:c r="E1" s="5" t="str">
        <x:v>確認日</x:v>
      </x:c>
    </x:row>
    <x:row r="2" ht="15" hidden="0" customHeight="1">
      <x:c r="A2" s="13" t="str">
        <x:v>wset_questions_1100_v6</x:v>
      </x:c>
      <x:c r="B2" s="13" t="str">
        <x:v>WSET Level 3 オリジナル問題1100問 v6</x:v>
      </x:c>
      <x:c r="C2" s="13" t="str"/>
      <x:c r="D2" s="13" t="str">
        <x:v>2026-07-12</x:v>
      </x:c>
      <x:c r="E2" s="13" t="str">
        <x:v>2026-07-12</x:v>
      </x:c>
    </x:row>
    <x:row r="3" ht="39.599998474121094" hidden="0" customHeight="1">
      <x:c r="A3" s="14" t="str">
        <x:v>bordeaux_1855_official</x:v>
      </x:c>
      <x:c r="B3" s="14" t="str">
        <x:v>Bordeaux.com — The 1855 Wines Classifications</x:v>
      </x:c>
      <x:c r="C3" s="14" t="str">
        <x:v>https://www.bordeaux.com/en/classifications/classifications-1855/</x:v>
      </x:c>
      <x:c r="D3" s="14" t="str">
        <x:v>1855（公式掲載ページは2026-07-12確認）</x:v>
      </x:c>
      <x:c r="E3" s="14" t="str">
        <x:v>2026-07-12</x:v>
      </x:c>
    </x:row>
    <x:row r="4" ht="39.599998474121094" hidden="0" customHeight="1">
      <x:c r="A4" s="14" t="str">
        <x:v>bordeaux_graves_official</x:v>
      </x:c>
      <x:c r="B4" s="14" t="str">
        <x:v>Bordeaux.com — The Graves Classification</x:v>
      </x:c>
      <x:c r="C4" s="14" t="str">
        <x:v>https://www.bordeaux.com/en/classifications/graves/</x:v>
      </x:c>
      <x:c r="D4" s="14" t="str">
        <x:v>1959（公式掲載ページは2026-07-12確認）</x:v>
      </x:c>
      <x:c r="E4" s="14" t="str">
        <x:v>2026-07-12</x:v>
      </x:c>
    </x:row>
    <x:row r="5" ht="15" hidden="0" customHeight="1">
      <x:c r="A5" s="14" t="str">
        <x:v>saint_emilion_2022_official</x:v>
      </x:c>
      <x:c r="B5" s="14" t="str">
        <x:v>Conseil des Vins de Saint-Émilion — 2022 Classification</x:v>
      </x:c>
      <x:c r="C5" s="14" t="str">
        <x:v>https://vins-saint-emilion.com/en/welcome-in-the-vineyard/the-2022-classification/</x:v>
      </x:c>
      <x:c r="D5" s="14" t="str">
        <x:v>2022</x:v>
      </x:c>
      <x:c r="E5" s="14" t="str">
        <x:v>2026-07-12</x:v>
      </x:c>
    </x:row>
    <x:row r="6" ht="39.599998474121094" hidden="0" customHeight="1">
      <x:c r="A6" s="14" t="str">
        <x:v>bourgogne_aoc_official</x:v>
      </x:c>
      <x:c r="B6" s="14" t="str">
        <x:v>Bourgogne Wine Board — List of Bourgogne AOCs</x:v>
      </x:c>
      <x:c r="C6" s="14" t="str">
        <x:v>https://www.bourgogne-wines.com/press/gallery_files/site/289/1910/45721.pdf</x:v>
      </x:c>
      <x:c r="D6" s="14" t="str">
        <x:v>2017-10（2026-07-12公式サイト確認）</x:v>
      </x:c>
      <x:c r="E6" s="14" t="str">
        <x:v>2026-07-12</x:v>
      </x:c>
    </x:row>
    <x:row r="7" ht="26.399999618530273" hidden="0" customHeight="1">
      <x:c r="A7" s="15" t="str">
        <x:v>champagne_2025_official</x:v>
      </x:c>
      <x:c r="B7" s="15" t="str">
        <x:v>フランス農業省 — Champagne AOC Cahier des charges</x:v>
      </x:c>
      <x:c r="C7" s="15" t="str">
        <x:v>https://info.agriculture.gouv.fr/boagri/document_administratif-677d59b2-d392-4220-9fa3-e65dbc723244/telechargement</x:v>
      </x:c>
      <x:c r="D7" s="15" t="str">
        <x:v>2025-07-31</x:v>
      </x:c>
      <x:c r="E7" s="15" t="str">
        <x:v>2026-07-12</x:v>
      </x:c>
    </x:row>
    <x:row r="8" ht="15" hidden="0" customHeight="1">
      <x:c r="A8" s="37" t="str">
        <x:v>jki_vivc_official</x:v>
      </x:c>
      <x:c r="B8" s="38" t="str">
        <x:v>Julius Kühn-Institut: Vitis International Variety Catalogue</x:v>
      </x:c>
      <x:c r="C8" s="38" t="str">
        <x:v>https://www.julius-kuehn.de/en/zr/information-grapevine-and-wine</x:v>
      </x:c>
      <x:c r="D8" s="38" t="str">
        <x:v>2026-07-12</x:v>
      </x:c>
      <x:c r="E8" s="39" t="str">
        <x:v>2026-07-12</x:v>
      </x:c>
    </x:row>
    <x:row r="9" ht="15" hidden="0" customHeight="1">
      <x:c r="A9" s="40" t="str">
        <x:v>champagne_official_terroir</x:v>
      </x:c>
      <x:c r="B9" s="41" t="str">
        <x:v>Comité Champagne: terroir, soils and grape varieties</x:v>
      </x:c>
      <x:c r="C9" s="41" t="str">
        <x:v>https://www.champagne.fr/en/about-champagne/the-champagne-terroir/champagne-and-its-soil</x:v>
      </x:c>
      <x:c r="D9" s="41" t="str">
        <x:v>2026-07-12</x:v>
      </x:c>
      <x:c r="E9" s="42" t="str">
        <x:v>2026-07-12</x:v>
      </x:c>
    </x:row>
    <x:row r="10" ht="24" hidden="0" customHeight="1">
      <x:c r="A10" s="43" t="str">
        <x:v>bourgogne_official_profiles</x:v>
      </x:c>
      <x:c r="B10" s="44" t="str">
        <x:v>Vins de Bourgogne: appellation and grape-variety profiles</x:v>
      </x:c>
      <x:c r="C10" s="44" t="str">
        <x:v>https://www.bourgogne-wines.com/wine-and-terroir/our-grape-varietals-our-colors/pinot-noir-and-chardonnay-the-bourgogne-region-s-two-noble-grape-varietals%2C2475%2C9265.html</x:v>
      </x:c>
      <x:c r="D10" s="44" t="str">
        <x:v>2026-07-12</x:v>
      </x:c>
      <x:c r="E10" s="45" t="str">
        <x:v>2026-07-12</x:v>
      </x:c>
    </x:row>
    <x:row r="11" ht="15" hidden="0" customHeight="1">
      <x:c r="A11" s="40" t="str">
        <x:v>bordeaux_official_grapes</x:v>
      </x:c>
      <x:c r="B11" s="41" t="str">
        <x:v>Bordeaux.com: grape varieties and terroir</x:v>
      </x:c>
      <x:c r="C11" s="41" t="str">
        <x:v>https://www.bordeaux.com/en/grape-varieties/</x:v>
      </x:c>
      <x:c r="D11" s="41" t="str">
        <x:v>2026-07-12</x:v>
      </x:c>
      <x:c r="E11" s="42" t="str">
        <x:v>2026-07-12</x:v>
      </x:c>
    </x:row>
    <x:row r="12" ht="15" hidden="0" customHeight="1">
      <x:c r="A12" s="43" t="str">
        <x:v>rhone_official_terroir</x:v>
      </x:c>
      <x:c r="B12" s="44" t="str">
        <x:v>Vins Rhône: territory, soils and grape varieties</x:v>
      </x:c>
      <x:c r="C12" s="44" t="str">
        <x:v>https://www.vins-rhone.com/en/territory-and-terroir</x:v>
      </x:c>
      <x:c r="D12" s="44" t="str">
        <x:v>2026-07-12</x:v>
      </x:c>
      <x:c r="E12" s="45" t="str">
        <x:v>2026-07-12</x:v>
      </x:c>
    </x:row>
    <x:row r="13" ht="15" hidden="0" customHeight="1">
      <x:c r="A13" s="40" t="str">
        <x:v>loire_official_terroir</x:v>
      </x:c>
      <x:c r="B13" s="41" t="str">
        <x:v>Vins de Loire: terroirs and grape varieties</x:v>
      </x:c>
      <x:c r="C13" s="41" t="str">
        <x:v>https://www.vinsdeloire.fr/en/vines-and-faces</x:v>
      </x:c>
      <x:c r="D13" s="41" t="str">
        <x:v>2026-07-12</x:v>
      </x:c>
      <x:c r="E13" s="42" t="str">
        <x:v>2026-07-12</x:v>
      </x:c>
    </x:row>
    <x:row r="14" ht="15" hidden="0" customHeight="1">
      <x:c r="A14" s="43" t="str">
        <x:v>alsace_official_terroir</x:v>
      </x:c>
      <x:c r="B14" s="44" t="str">
        <x:v>Vins d'Alsace: terroirs and grape varieties</x:v>
      </x:c>
      <x:c r="C14" s="44" t="str">
        <x:v>https://www.vinsalsace.com/en/terroirs/genie-du-terroir/</x:v>
      </x:c>
      <x:c r="D14" s="44" t="str">
        <x:v>2026-07-12</x:v>
      </x:c>
      <x:c r="E14" s="45" t="str">
        <x:v>2026-07-12</x:v>
      </x:c>
    </x:row>
    <x:row r="15" ht="15" hidden="0" customHeight="1">
      <x:c r="A15" s="40" t="str">
        <x:v>beaujolais_official_terroir</x:v>
      </x:c>
      <x:c r="B15" s="41" t="str">
        <x:v>Vins du Beaujolais: appellations and terroirs</x:v>
      </x:c>
      <x:c r="C15" s="41" t="str">
        <x:v>https://www.beaujolais.com/decouvrir/nos-12-appellations/</x:v>
      </x:c>
      <x:c r="D15" s="41" t="str">
        <x:v>2026-07-12</x:v>
      </x:c>
      <x:c r="E15" s="42" t="str">
        <x:v>2026-07-12</x:v>
      </x:c>
    </x:row>
    <x:row r="16" ht="15" hidden="0" customHeight="1">
      <x:c r="A16" s="43" t="str">
        <x:v>languedoc_official_terroir</x:v>
      </x:c>
      <x:c r="B16" s="44" t="str">
        <x:v>Conseil Interprofessionnel des Vins du Languedoc</x:v>
      </x:c>
      <x:c r="C16" s="44" t="str">
        <x:v>https://languedoc-wines.com/en/about-us/</x:v>
      </x:c>
      <x:c r="D16" s="44" t="str">
        <x:v>2026-07-12</x:v>
      </x:c>
      <x:c r="E16" s="45" t="str">
        <x:v>2026-07-12</x:v>
      </x:c>
    </x:row>
    <x:row r="17" ht="15" hidden="0" customHeight="1">
      <x:c r="A17" s="40" t="str">
        <x:v>provence_official_terroir</x:v>
      </x:c>
      <x:c r="B17" s="41" t="str">
        <x:v>Vins de Provence: guide to Provence wines</x:v>
      </x:c>
      <x:c r="C17" s="41" t="str">
        <x:v>https://www.vinsdeprovence.com/files/e125bb60/2020_guide_pratique_vins_de_provence_en.pdf</x:v>
      </x:c>
      <x:c r="D17" s="41" t="str">
        <x:v>2026-07-12</x:v>
      </x:c>
      <x:c r="E17" s="42" t="str">
        <x:v>2026-07-12</x:v>
      </x:c>
    </x:row>
    <x:row r="18" ht="15" hidden="0" customHeight="1">
      <x:c r="A18" s="43" t="str">
        <x:v>germany_official_regions</x:v>
      </x:c>
      <x:c r="B18" s="44" t="str">
        <x:v>Wines of Germany: regions, soils and grape varieties</x:v>
      </x:c>
      <x:c r="C18" s="44" t="str">
        <x:v>https://www.winesofgermany.com/our-regions/</x:v>
      </x:c>
      <x:c r="D18" s="44" t="str">
        <x:v>2026-07-12</x:v>
      </x:c>
      <x:c r="E18" s="45" t="str">
        <x:v>2026-07-12</x:v>
      </x:c>
    </x:row>
    <x:row r="19" ht="24" hidden="0" customHeight="1">
      <x:c r="A19" s="40" t="str">
        <x:v>austria_official_wine</x:v>
      </x:c>
      <x:c r="B19" s="41" t="str">
        <x:v>Austrian Wine: grape varieties and winegrowing regions</x:v>
      </x:c>
      <x:c r="C19" s="41" t="str">
        <x:v>https://www.austrianwine.com/fileadmin/user_upload/PDF/Broschueren/Rebsortenbroschuere_2019_EN.pdf</x:v>
      </x:c>
      <x:c r="D19" s="41" t="str">
        <x:v>2026-07-12</x:v>
      </x:c>
      <x:c r="E19" s="42" t="str">
        <x:v>2026-07-12</x:v>
      </x:c>
    </x:row>
    <x:row r="20" ht="15" hidden="0" customHeight="1">
      <x:c r="A20" s="43" t="str">
        <x:v>portugal_official_wine</x:v>
      </x:c>
      <x:c r="B20" s="44" t="str">
        <x:v>Wines of Portugal: regions and grape varieties</x:v>
      </x:c>
      <x:c r="C20" s="44" t="str">
        <x:v>https://www.winesofportugal.com/documents/173/BROCHURA_EN_2022_01_WEB.pdf</x:v>
      </x:c>
      <x:c r="D20" s="44" t="str">
        <x:v>2026-07-12</x:v>
      </x:c>
      <x:c r="E20" s="45" t="str">
        <x:v>2026-07-12</x:v>
      </x:c>
    </x:row>
    <x:row r="21" ht="24" hidden="0" customHeight="1">
      <x:c r="A21" s="40" t="str">
        <x:v>spain_official_wine</x:v>
      </x:c>
      <x:c r="B21" s="41" t="str">
        <x:v>Foods and Wines from Spain: Spanish wine guide</x:v>
      </x:c>
      <x:c r="C21" s="41" t="str">
        <x:v>https://www.foodswinesfromspain.com/content/dam/en/icex-foodswines/documents/wine/wines-from-spain-certificate/dax2022900200.pdf</x:v>
      </x:c>
      <x:c r="D21" s="41" t="str">
        <x:v>2026-07-12</x:v>
      </x:c>
      <x:c r="E21" s="42" t="str">
        <x:v>2026-07-12</x:v>
      </x:c>
    </x:row>
    <x:row r="22" ht="15" hidden="0" customHeight="1">
      <x:c r="A22" s="43" t="str">
        <x:v>italy_official_wine</x:v>
      </x:c>
      <x:c r="B22" s="44" t="str">
        <x:v>Italian Ministry of Agriculture: protected wine consortia</x:v>
      </x:c>
      <x:c r="C22" s="44" t="str">
        <x:v>https://www.masaf.gov.it/flex/cm/pages/ServeBLOB.php/L/IT/IDPagina/24158</x:v>
      </x:c>
      <x:c r="D22" s="44" t="str">
        <x:v>2026-07-12</x:v>
      </x:c>
      <x:c r="E22" s="45" t="str">
        <x:v>2026-07-12</x:v>
      </x:c>
    </x:row>
    <x:row r="23" ht="15" hidden="0" customHeight="1">
      <x:c r="A23" s="40" t="str">
        <x:v>greece_official_wine</x:v>
      </x:c>
      <x:c r="B23" s="41" t="str">
        <x:v>Wines of Greece: grape varieties</x:v>
      </x:c>
      <x:c r="C23" s="41" t="str">
        <x:v>https://winesofgreece.org/meet-the-grapes/grape-varieties/</x:v>
      </x:c>
      <x:c r="D23" s="41" t="str">
        <x:v>2026-07-12</x:v>
      </x:c>
      <x:c r="E23" s="42" t="str">
        <x:v>2026-07-12</x:v>
      </x:c>
    </x:row>
    <x:row r="24" ht="24" hidden="0" customHeight="1">
      <x:c r="A24" s="43" t="str">
        <x:v>argentina_official_wine</x:v>
      </x:c>
      <x:c r="B24" s="44" t="str">
        <x:v>Wines of Argentina: terroirs and wine regions</x:v>
      </x:c>
      <x:c r="C24" s="44" t="str">
        <x:v>https://api.winesofargentina.org/uploads/web/argentina/pdfs/INTRODUCTION-TO-ARGENTINA-WOFA-EN.pdf</x:v>
      </x:c>
      <x:c r="D24" s="44" t="str">
        <x:v>2026-07-12</x:v>
      </x:c>
      <x:c r="E24" s="45" t="str">
        <x:v>2026-07-12</x:v>
      </x:c>
    </x:row>
    <x:row r="25" ht="15" hidden="0" customHeight="1">
      <x:c r="A25" s="40" t="str">
        <x:v>chile_official_wine</x:v>
      </x:c>
      <x:c r="B25" s="41" t="str">
        <x:v>Chile Travel: wine routes and valleys</x:v>
      </x:c>
      <x:c r="C25" s="41" t="str">
        <x:v>https://chile.travel/en/destinations/wine-route/</x:v>
      </x:c>
      <x:c r="D25" s="41" t="str">
        <x:v>2026-07-12</x:v>
      </x:c>
      <x:c r="E25" s="42" t="str">
        <x:v>2026-07-12</x:v>
      </x:c>
    </x:row>
    <x:row r="26" ht="15" hidden="0" customHeight="1">
      <x:c r="A26" s="43" t="str">
        <x:v>australia_official_wine</x:v>
      </x:c>
      <x:c r="B26" s="44" t="str">
        <x:v>Wine Australia: regions and varieties</x:v>
      </x:c>
      <x:c r="C26" s="44" t="str">
        <x:v>https://www.wineaustralia.com/market-insights/regional-snapshots</x:v>
      </x:c>
      <x:c r="D26" s="44" t="str">
        <x:v>2026-07-12</x:v>
      </x:c>
      <x:c r="E26" s="45" t="str">
        <x:v>2026-07-12</x:v>
      </x:c>
    </x:row>
    <x:row r="27" ht="15" hidden="0" customHeight="1">
      <x:c r="A27" s="40" t="str">
        <x:v>nz_official_wine</x:v>
      </x:c>
      <x:c r="B27" s="41" t="str">
        <x:v>New Zealand Winegrowers: wine regions</x:v>
      </x:c>
      <x:c r="C27" s="41" t="str">
        <x:v>https://www.nzwine.com/en/regions/</x:v>
      </x:c>
      <x:c r="D27" s="41" t="str">
        <x:v>2026-07-12</x:v>
      </x:c>
      <x:c r="E27" s="42" t="str">
        <x:v>2026-07-12</x:v>
      </x:c>
    </x:row>
    <x:row r="28" ht="15" hidden="0" customHeight="1">
      <x:c r="A28" s="43" t="str">
        <x:v>south_africa_official_wine</x:v>
      </x:c>
      <x:c r="B28" s="44" t="str">
        <x:v>Wines of South Africa: Wine of Origin and regional terroir</x:v>
      </x:c>
      <x:c r="C28" s="44" t="str">
        <x:v>https://www.wosa.co.za/The-Industry/Wines-Of-Origin/Wine-Of-Origin-Scheme/</x:v>
      </x:c>
      <x:c r="D28" s="44" t="str">
        <x:v>2026-07-12</x:v>
      </x:c>
      <x:c r="E28" s="45" t="str">
        <x:v>2026-07-12</x:v>
      </x:c>
    </x:row>
    <x:row r="29" ht="15" hidden="0" customHeight="1">
      <x:c r="A29" s="40" t="str">
        <x:v>canada_official_wine</x:v>
      </x:c>
      <x:c r="B29" s="41" t="str">
        <x:v>Ontario and British Columbia wine appellation authorities</x:v>
      </x:c>
      <x:c r="C29" s="41" t="str">
        <x:v>https://vqaontario.ca/ontario-appellations/</x:v>
      </x:c>
      <x:c r="D29" s="41" t="str">
        <x:v>2026-07-12</x:v>
      </x:c>
      <x:c r="E29" s="42" t="str">
        <x:v>2026-07-12</x:v>
      </x:c>
    </x:row>
    <x:row r="30" ht="15" hidden="0" customHeight="1">
      <x:c r="A30" s="43" t="str">
        <x:v>usa_official_wine</x:v>
      </x:c>
      <x:c r="B30" s="44" t="str">
        <x:v>Wine Institute: California winegrowing regions</x:v>
      </x:c>
      <x:c r="C30" s="44" t="str">
        <x:v>https://wineinstitute.org/our-industry</x:v>
      </x:c>
      <x:c r="D30" s="44" t="str">
        <x:v>2026-07-12</x:v>
      </x:c>
      <x:c r="E30" s="45" t="str">
        <x:v>2026-07-12</x:v>
      </x:c>
    </x:row>
    <x:row r="31" ht="15" hidden="0" customHeight="1">
      <x:c r="A31" s="40" t="str">
        <x:v>uk_official_wine</x:v>
      </x:c>
      <x:c r="B31" s="41" t="str">
        <x:v>WineGB: wine regions</x:v>
      </x:c>
      <x:c r="C31" s="41" t="str">
        <x:v>https://winegb.co.uk/wines/regions/</x:v>
      </x:c>
      <x:c r="D31" s="41" t="str">
        <x:v>2026-07-12</x:v>
      </x:c>
      <x:c r="E31" s="42" t="str">
        <x:v>2026-07-12</x:v>
      </x:c>
    </x:row>
    <x:row r="32" ht="15" hidden="0" customHeight="1">
      <x:c r="A32" s="46" t="str">
        <x:v>hungary_official_wine</x:v>
      </x:c>
      <x:c r="B32" s="47" t="str">
        <x:v>Wines of Tokaj: protected origin and grape varieties</x:v>
      </x:c>
      <x:c r="C32" s="47" t="str">
        <x:v>https://winesoftokaj.hu/en/</x:v>
      </x:c>
      <x:c r="D32" s="47" t="str">
        <x:v>2026-07-12</x:v>
      </x:c>
      <x:c r="E32" s="48" t="str">
        <x:v>2026-07-12</x:v>
      </x:c>
    </x:row>
  </x:sheetData>
  <x:pageMargins left="0.7" right="0.7" top="0.75" bottom="0.75" header="0.3" footer="0.3"/>
  <x:tableParts count="1">
    <x:tablePart xmlns:r="http://schemas.openxmlformats.org/officeDocument/2006/relationships" r:id="Rc53a3caa74a64a5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20" hidden="0" customWidth="1"/>
    <x:col min="3" max="3" width="18" hidden="0" customWidth="1"/>
    <x:col min="4" max="4" width="54" hidden="0" customWidth="1"/>
  </x:cols>
  <x:sheetData>
    <x:row r="1" ht="36" customHeight="1">
      <x:c r="A1" s="5" t="str">
        <x:v>label_id</x:v>
      </x:c>
      <x:c r="B1" s="5" t="str">
        <x:v>ラベル</x:v>
      </x:c>
      <x:c r="C1" s="5" t="str">
        <x:v>グループ</x:v>
      </x:c>
      <x:c r="D1" s="5" t="str">
        <x:v>説明</x:v>
      </x:c>
    </x:row>
    <x:row r="2" ht="30" customHeight="1">
      <x:c r="A2" s="13" t="str">
        <x:v>label-01</x:v>
      </x:c>
      <x:c r="B2" s="13" t="str">
        <x:v>地理</x:v>
      </x:c>
      <x:c r="C2" s="13" t="str">
        <x:v>種別</x:v>
      </x:c>
      <x:c r="D2" s="13" t="str">
        <x:v>国・産地・村など地理に関する用語</x:v>
      </x:c>
    </x:row>
    <x:row r="3" ht="30" customHeight="1">
      <x:c r="A3" s="14" t="str">
        <x:v>label-02</x:v>
      </x:c>
      <x:c r="B3" s="14" t="str">
        <x:v>品種</x:v>
      </x:c>
      <x:c r="C3" s="14" t="str">
        <x:v>種別</x:v>
      </x:c>
      <x:c r="D3" s="14" t="str">
        <x:v>ブドウ品種・品種グループ</x:v>
      </x:c>
    </x:row>
    <x:row r="4" ht="30" customHeight="1">
      <x:c r="A4" s="14" t="str">
        <x:v>label-03</x:v>
      </x:c>
      <x:c r="B4" s="14" t="str">
        <x:v>栽培</x:v>
      </x:c>
      <x:c r="C4" s="14" t="str">
        <x:v>技術</x:v>
      </x:c>
      <x:c r="D4" s="14" t="str">
        <x:v>ブドウ栽培・仕立て・病害</x:v>
      </x:c>
    </x:row>
    <x:row r="5" ht="30" customHeight="1">
      <x:c r="A5" s="14" t="str">
        <x:v>label-04</x:v>
      </x:c>
      <x:c r="B5" s="14" t="str">
        <x:v>醸造</x:v>
      </x:c>
      <x:c r="C5" s="14" t="str">
        <x:v>技術</x:v>
      </x:c>
      <x:c r="D5" s="14" t="str">
        <x:v>発酵・抽出・安定化</x:v>
      </x:c>
    </x:row>
    <x:row r="6" ht="30" customHeight="1">
      <x:c r="A6" s="14" t="str">
        <x:v>label-05</x:v>
      </x:c>
      <x:c r="B6" s="14" t="str">
        <x:v>熟成</x:v>
      </x:c>
      <x:c r="C6" s="14" t="str">
        <x:v>技術</x:v>
      </x:c>
      <x:c r="D6" s="14" t="str">
        <x:v>樽・瓶・澱・酸化などの熟成</x:v>
      </x:c>
    </x:row>
    <x:row r="7" ht="30" customHeight="1">
      <x:c r="A7" s="14" t="str">
        <x:v>label-06</x:v>
      </x:c>
      <x:c r="B7" s="14" t="str">
        <x:v>発泡</x:v>
      </x:c>
      <x:c r="C7" s="14" t="str">
        <x:v>ワイン区分</x:v>
      </x:c>
      <x:c r="D7" s="14" t="str">
        <x:v>発泡性ワインの製法・表示</x:v>
      </x:c>
    </x:row>
    <x:row r="8" ht="30" customHeight="1">
      <x:c r="A8" s="14" t="str">
        <x:v>label-07</x:v>
      </x:c>
      <x:c r="B8" s="14" t="str">
        <x:v>酒精強化</x:v>
      </x:c>
      <x:c r="C8" s="14" t="str">
        <x:v>ワイン区分</x:v>
      </x:c>
      <x:c r="D8" s="14" t="str">
        <x:v>酒精強化ワインの製法・熟成</x:v>
      </x:c>
    </x:row>
    <x:row r="9" ht="30" customHeight="1">
      <x:c r="A9" s="14" t="str">
        <x:v>label-08</x:v>
      </x:c>
      <x:c r="B9" s="14" t="str">
        <x:v>法律</x:v>
      </x:c>
      <x:c r="C9" s="14" t="str">
        <x:v>制度</x:v>
      </x:c>
      <x:c r="D9" s="14" t="str">
        <x:v>原産地呼称・表示規則</x:v>
      </x:c>
    </x:row>
    <x:row r="10" ht="30" customHeight="1">
      <x:c r="A10" s="14" t="str">
        <x:v>label-09</x:v>
      </x:c>
      <x:c r="B10" s="14" t="str">
        <x:v>格付け</x:v>
      </x:c>
      <x:c r="C10" s="14" t="str">
        <x:v>制度</x:v>
      </x:c>
      <x:c r="D10" s="14" t="str">
        <x:v>地域固有の格付け制度</x:v>
      </x:c>
    </x:row>
    <x:row r="11" ht="30" customHeight="1">
      <x:c r="A11" s="15" t="str">
        <x:v>label-10</x:v>
      </x:c>
      <x:c r="B11" s="15" t="str">
        <x:v>生産者</x:v>
      </x:c>
      <x:c r="C11" s="15" t="str">
        <x:v>主体</x:v>
      </x:c>
      <x:c r="D11" s="15" t="str">
        <x:v>シャトー、ドメーヌ、メゾン等</x:v>
      </x:c>
    </x:row>
  </x:sheetData>
  <x:pageMargins left="0.7" right="0.7" top="0.75" bottom="0.75" header="0.3" footer="0.3"/>
  <x:tableParts count="1">
    <x:tablePart xmlns:r="http://schemas.openxmlformats.org/officeDocument/2006/relationships" r:id="R18eefa819cec40f9"/>
  </x:tableParts>
</x:worksheet>
</file>