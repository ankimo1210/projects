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bb18f13fcb4ea3" /></Relationships>
</file>

<file path=xl/workbook.xml><?xml version="1.0" encoding="utf-8"?>
<x:workbook xmlns:x="http://schemas.openxmlformats.org/spreadsheetml/2006/main">
  <x:sheets>
    <x:sheet xmlns:r="http://schemas.openxmlformats.org/officeDocument/2006/relationships" name="問題集" sheetId="1" r:id="Rda72e87ac15f4ac4"/>
    <x:sheet xmlns:r="http://schemas.openxmlformats.org/officeDocument/2006/relationships" name="カバレッジ" sheetId="2" r:id="Rb52a813ce8864a72"/>
    <x:sheet xmlns:r="http://schemas.openxmlformats.org/officeDocument/2006/relationships" name="レビュー対象" sheetId="3" r:id="Rb4a8c0aa1b7148c7"/>
    <x:sheet xmlns:r="http://schemas.openxmlformats.org/officeDocument/2006/relationships" name="タグ定義" sheetId="4" r:id="Rb59d89f69d084493"/>
    <x:sheet xmlns:r="http://schemas.openxmlformats.org/officeDocument/2006/relationships" name="README" sheetId="5" r:id="R4b4247bf01684252"/>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6"/>
      <x:color rgb="FFFFFFFF"/>
      <x:name val="Carlito"/>
    </x:font>
    <x:font>
      <x:b/>
      <x:sz val="11"/>
      <x:color rgb="FF3D1B28"/>
      <x:name val="Carlito"/>
    </x:font>
    <x:font>
      <x:b/>
      <x:sz val="14"/>
      <x:color rgb="FF6B1534"/>
      <x:name val="Carlito"/>
    </x:font>
    <x:font>
      <x:i/>
      <x:sz val="11"/>
      <x:color rgb="FF5B4A00"/>
      <x:name val="Carlito"/>
    </x:font>
    <x:font>
      <x:sz val="11"/>
      <x:color rgb="FF000000"/>
      <x:name val="Carlito"/>
    </x:font>
    <x:font>
      <x:i/>
      <x:sz val="11"/>
      <x:color rgb="FF000000"/>
      <x:name val="Carlito"/>
    </x:font>
  </x:fonts>
  <x:fills count="13">
    <x:fill>
      <x:patternFill patternType="none"/>
    </x:fill>
    <x:fill>
      <x:patternFill patternType="gray125"/>
    </x:fill>
    <x:fill>
      <x:patternFill patternType="solid">
        <x:fgColor rgb="FF6B1534"/>
      </x:patternFill>
    </x:fill>
    <x:fill>
      <x:patternFill patternType="solid">
        <x:fgColor rgb="FFEAD9DF"/>
      </x:patternFill>
    </x:fill>
    <x:fill>
      <x:patternFill patternType="solid">
        <x:fgColor rgb="FFF7F2F4"/>
      </x:patternFill>
    </x:fill>
    <x:fill>
      <x:patternFill patternType="solid">
        <x:fgColor rgb="FFFFF2CC"/>
      </x:patternFill>
    </x:fill>
    <x:fill>
      <x:patternFill patternType="solid">
        <x:fgColor rgb="FFD9B46D"/>
      </x:patternFill>
    </x:fill>
    <x:fill>
      <x:patternFill patternType="solid">
        <x:fgColor rgb="FF6B1534"/>
      </x:patternFill>
    </x:fill>
    <x:fill>
      <x:patternFill patternType="solid">
        <x:fgColor rgb="FFFFF2CC"/>
      </x:patternFill>
    </x:fill>
    <x:fill>
      <x:patternFill patternType="solid">
        <x:fgColor rgb="FFD9B46D"/>
      </x:patternFill>
    </x:fill>
    <x:fill>
      <x:patternFill patternType="solid">
        <x:fgColor rgb="FFFFFFFF"/>
      </x:patternFill>
    </x:fill>
    <x:fill>
      <x:patternFill patternType="solid">
        <x:fgColor rgb="FF6B1534"/>
      </x:patternFill>
    </x:fill>
    <x:fill>
      <x:patternFill patternType="solid">
        <x:fgColor rgb="FFFFF2CC"/>
      </x:patternFill>
    </x:fill>
  </x:fills>
  <x:borders count="50">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3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18" xfId="0" applyNumberFormat="1" applyFont="1" applyFill="1" applyBorder="1"/>
    <x:xf numFmtId="0" fontId="4" fillId="4" borderId="19" xfId="0" applyNumberFormat="1" applyFont="1" applyFill="1" applyBorder="1"/>
    <x:xf numFmtId="0" fontId="4" fillId="4" borderId="20" xfId="0" applyNumberFormat="1" applyFont="1" applyFill="1" applyBorder="1"/>
    <x:xf numFmtId="0" fontId="4" fillId="4" borderId="18" xfId="0" applyNumberFormat="1" applyFont="1" applyFill="1" applyBorder="1" applyAlignment="1">
      <x:alignment horizontal="center"/>
    </x:xf>
    <x:xf numFmtId="0" fontId="4" fillId="4" borderId="19" xfId="0" applyNumberFormat="1" applyFont="1" applyFill="1" applyBorder="1" applyAlignment="1">
      <x:alignment horizontal="center"/>
    </x:xf>
    <x:xf numFmtId="0" fontId="4" fillId="4" borderId="20" xfId="0" applyNumberFormat="1" applyFont="1" applyFill="1" applyBorder="1" applyAlignment="1">
      <x:alignment horizontal="center"/>
    </x:xf>
    <x:xf numFmtId="0" fontId="4" fillId="4" borderId="18" xfId="0" applyNumberFormat="1" applyFont="1" applyFill="1" applyBorder="1" applyAlignment="1">
      <x:alignment horizontal="center" vertical="center"/>
    </x:xf>
    <x:xf numFmtId="0" fontId="4" fillId="4" borderId="19" xfId="0" applyNumberFormat="1" applyFont="1" applyFill="1" applyBorder="1" applyAlignment="1">
      <x:alignment horizontal="center" vertical="center"/>
    </x:xf>
    <x:xf numFmtId="0" fontId="4" fillId="4" borderId="2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21" xfId="0" applyNumberFormat="1" applyFont="1" applyFill="1" applyBorder="1"/>
    <x:xf numFmtId="0" fontId="4" fillId="4" borderId="22" xfId="0" applyNumberFormat="1" applyFont="1" applyFill="1" applyBorder="1"/>
    <x:xf numFmtId="0" fontId="4" fillId="4" borderId="23" xfId="0" applyNumberFormat="1" applyFont="1" applyFill="1" applyBorder="1"/>
    <x:xf numFmtId="0" fontId="4" fillId="4" borderId="21" xfId="0" applyNumberFormat="1" applyFont="1" applyFill="1" applyBorder="1" applyAlignment="1">
      <x:alignment horizontal="center"/>
    </x:xf>
    <x:xf numFmtId="0" fontId="4" fillId="4" borderId="22" xfId="0" applyNumberFormat="1" applyFont="1" applyFill="1" applyBorder="1" applyAlignment="1">
      <x:alignment horizontal="center"/>
    </x:xf>
    <x:xf numFmtId="0" fontId="4" fillId="4" borderId="23" xfId="0" applyNumberFormat="1" applyFont="1" applyFill="1" applyBorder="1" applyAlignment="1">
      <x:alignment horizontal="center"/>
    </x:xf>
    <x:xf numFmtId="0" fontId="4" fillId="4" borderId="21" xfId="0" applyNumberFormat="1" applyFont="1" applyFill="1" applyBorder="1" applyAlignment="1">
      <x:alignment horizontal="center" vertical="center"/>
    </x:xf>
    <x:xf numFmtId="0" fontId="4" fillId="4" borderId="22" xfId="0" applyNumberFormat="1" applyFont="1" applyFill="1" applyBorder="1" applyAlignment="1">
      <x:alignment horizontal="center" vertical="center"/>
    </x:xf>
    <x:xf numFmtId="0" fontId="4" fillId="4" borderId="23" xfId="0" applyNumberFormat="1" applyFont="1" applyFill="1" applyBorder="1" applyAlignment="1">
      <x:alignment horizontal="center" vertical="center"/>
    </x:xf>
    <x:xf numFmtId="0" fontId="0" fillId="0" borderId="2"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3" xfId="0" applyNumberFormat="1" applyFont="1" applyFill="1" applyBorder="1"/>
    <x:xf numFmtId="0" fontId="0" fillId="0" borderId="1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2" borderId="1" xfId="0" applyNumberFormat="1" applyFont="1" applyFill="1" applyBorder="1" applyAlignment="1">
      <x:alignment horizontal="left" vertical="center"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2" fillId="2" borderId="0" xfId="0" applyNumberFormat="1" applyFont="1" applyFill="1" applyBorder="1" applyAlignment="1">
      <x:alignment horizontal="left" vertical="top" wrapText="1"/>
    </x:xf>
    <x:xf numFmtId="0" fontId="1" fillId="2" borderId="0"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2" fillId="2" borderId="1"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left"/>
    </x:xf>
    <x:xf numFmtId="0" fontId="3" fillId="6" borderId="0" xfId="0" applyNumberFormat="1" applyFont="1" applyFill="1" applyBorder="1" applyAlignment="1">
      <x:alignment horizontal="left"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left"/>
    </x:xf>
    <x:xf numFmtId="0" fontId="3" fillId="6" borderId="1" xfId="0" applyNumberFormat="1" applyFont="1" applyFill="1" applyBorder="1" applyAlignment="1">
      <x:alignment horizontal="left" vertical="center"/>
    </x:xf>
    <x:xf numFmtId="0" fontId="0" fillId="0" borderId="24" xfId="0" applyNumberFormat="1" applyFont="1" applyFill="1" applyBorder="1"/>
    <x:xf numFmtId="0" fontId="0" fillId="0" borderId="24"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x:xf numFmtId="0" fontId="0" fillId="0" borderId="25" xfId="0" applyNumberFormat="1" applyFont="1" applyFill="1" applyBorder="1" applyAlignment="1">
      <x:alignment wrapText="1"/>
    </x:xf>
    <x:xf numFmtId="0" fontId="0" fillId="0" borderId="25" xfId="0" applyNumberFormat="1" applyFont="1" applyFill="1" applyBorder="1" applyAlignment="1">
      <x:alignment vertical="top" wrapText="1"/>
    </x:xf>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xfId="0" applyNumberFormat="1" applyFont="1" applyFill="1" applyBorder="0"/>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xfId="0" applyNumberFormat="1" applyFont="1" applyFill="1" applyBorder="0"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27" xfId="0" applyNumberFormat="1" applyFont="1" applyFill="1" applyBorder="1" applyAlignment="1">
      <x:alignment horizontal="center" vertical="top" wrapText="1"/>
    </x:xf>
    <x:xf numFmtId="0" fontId="0" fillId="0" xfId="0" applyNumberFormat="1" applyFont="1" applyFill="1" applyBorder="0" applyAlignment="1">
      <x:alignment horizontal="center" vertical="top" wrapText="1"/>
    </x:xf>
    <x:xf numFmtId="0" fontId="0" fillId="0" borderId="32"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0" fillId="0" borderId="34" xfId="0" applyNumberFormat="1" applyFont="1" applyFill="1" applyBorder="1"/>
    <x:xf numFmtId="0" fontId="0" fillId="0" borderId="35" xfId="0" applyNumberFormat="1" applyFont="1" applyFill="1" applyBorder="1"/>
    <x:xf numFmtId="0" fontId="1" fillId="2" borderId="29" xfId="0" applyNumberFormat="1" applyFont="1" applyFill="1" applyBorder="1" applyAlignment="1">
      <x:alignment horizontal="center" vertical="center" wrapText="1"/>
    </x:xf>
    <x:xf numFmtId="0" fontId="1" fillId="2" borderId="30" xfId="0" applyNumberFormat="1" applyFont="1" applyFill="1" applyBorder="1" applyAlignment="1">
      <x:alignment horizontal="center" vertical="center" wrapText="1"/>
    </x:xf>
    <x:xf numFmtId="0" fontId="0" fillId="0" borderId="36" xfId="0" applyNumberFormat="1" applyFont="1" applyFill="1" applyBorder="1"/>
    <x:xf numFmtId="0" fontId="0" fillId="0" borderId="37"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5" fillId="5" borderId="29" xfId="0" applyNumberFormat="1" applyFont="1" applyFill="1" applyBorder="1" applyAlignment="1">
      <x:alignment vertical="center" wrapText="1"/>
    </x:xf>
    <x:xf numFmtId="0" fontId="5" fillId="5" xfId="0" applyNumberFormat="1" applyFont="1" applyFill="1" applyBorder="0" applyAlignment="1">
      <x:alignment vertical="center" wrapText="1"/>
    </x:xf>
    <x:xf numFmtId="0" fontId="5" fillId="5" borderId="30" xfId="0" applyNumberFormat="1" applyFont="1" applyFill="1" applyBorder="1" applyAlignment="1">
      <x:alignmen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1" fillId="7" borderId="2" xfId="0" applyNumberFormat="1" applyFont="1" applyFill="1" applyBorder="1" applyAlignment="1">
      <x:alignment horizontal="center" vertical="center" wrapText="1"/>
    </x:xf>
    <x:xf numFmtId="0" fontId="1" fillId="7" borderId="3"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1" fillId="7" borderId="26" xfId="0" applyNumberFormat="1" applyFont="1" applyFill="1" applyBorder="1" applyAlignment="1">
      <x:alignment horizontal="center" vertical="center" wrapText="1"/>
    </x:xf>
    <x:xf numFmtId="0" fontId="1" fillId="7" borderId="27" xfId="0" applyNumberFormat="1" applyFont="1" applyFill="1" applyBorder="1" applyAlignment="1">
      <x:alignment horizontal="center" vertical="center" wrapText="1"/>
    </x:xf>
    <x:xf numFmtId="0" fontId="1" fillId="7" borderId="28" xfId="0" applyNumberFormat="1" applyFont="1" applyFill="1" applyBorder="1" applyAlignment="1">
      <x:alignment horizontal="center" vertical="center"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left"/>
    </x:xf>
    <x:xf numFmtId="0" fontId="3" fillId="9" borderId="0" xfId="0" applyNumberFormat="1" applyFont="1" applyFill="1" applyBorder="1" applyAlignment="1">
      <x:alignment horizontal="left" vertical="center"/>
    </x:xf>
    <x:xf numFmtId="0" fontId="0" fillId="0" borderId="38" xfId="0" applyNumberFormat="1" applyFont="1" applyFill="1" applyBorder="1"/>
    <x:xf numFmtId="0" fontId="0" fillId="0" borderId="38" xfId="0" applyNumberFormat="1" applyFont="1" applyFill="1" applyBorder="1" applyAlignment="1">
      <x:alignment wrapText="1"/>
    </x:xf>
    <x:xf numFmtId="0" fontId="0" fillId="0" borderId="38" xfId="0" applyNumberFormat="1" applyFont="1" applyFill="1" applyBorder="1" applyAlignment="1">
      <x:alignment vertical="top" wrapText="1"/>
    </x:xf>
    <x:xf numFmtId="0" fontId="0" fillId="10" borderId="26" xfId="0" applyNumberFormat="1" applyFont="1" applyFill="1" applyBorder="1"/>
    <x:xf numFmtId="0" fontId="0" fillId="10" borderId="28" xfId="0" applyNumberFormat="1" applyFont="1" applyFill="1" applyBorder="1"/>
    <x:xf numFmtId="0" fontId="0" fillId="10" borderId="29" xfId="0" applyNumberFormat="1" applyFont="1" applyFill="1" applyBorder="1"/>
    <x:xf numFmtId="0" fontId="0" fillId="10" borderId="30" xfId="0" applyNumberFormat="1" applyFont="1" applyFill="1" applyBorder="1"/>
    <x:xf numFmtId="0" fontId="0" fillId="10" borderId="34" xfId="0" applyNumberFormat="1" applyFont="1" applyFill="1" applyBorder="1"/>
    <x:xf numFmtId="0" fontId="0" fillId="10" borderId="35" xfId="0" applyNumberFormat="1" applyFont="1" applyFill="1" applyBorder="1"/>
    <x:xf numFmtId="0" fontId="1" fillId="10" borderId="29" xfId="0" applyNumberFormat="1" applyFont="1" applyFill="1" applyBorder="1" applyAlignment="1">
      <x:alignment horizontal="center" vertical="center" wrapText="1"/>
    </x:xf>
    <x:xf numFmtId="0" fontId="1" fillId="10" borderId="30" xfId="0" applyNumberFormat="1" applyFont="1" applyFill="1" applyBorder="1" applyAlignment="1">
      <x:alignment horizontal="center" vertical="center" wrapText="1"/>
    </x:xf>
    <x:xf numFmtId="0" fontId="0" fillId="10" borderId="36" xfId="0" applyNumberFormat="1" applyFont="1" applyFill="1" applyBorder="1"/>
    <x:xf numFmtId="0" fontId="0" fillId="10" borderId="37" xfId="0" applyNumberFormat="1" applyFont="1" applyFill="1" applyBorder="1"/>
    <x:xf numFmtId="0" fontId="6" fillId="10" borderId="26" xfId="0" applyNumberFormat="1" applyFont="1" applyFill="1" applyBorder="1"/>
    <x:xf numFmtId="0" fontId="6" fillId="10" borderId="28" xfId="0" applyNumberFormat="1" applyFont="1" applyFill="1" applyBorder="1"/>
    <x:xf numFmtId="0" fontId="6" fillId="10" borderId="29" xfId="0" applyNumberFormat="1" applyFont="1" applyFill="1" applyBorder="1"/>
    <x:xf numFmtId="0" fontId="6" fillId="10" borderId="30" xfId="0" applyNumberFormat="1" applyFont="1" applyFill="1" applyBorder="1"/>
    <x:xf numFmtId="0" fontId="6" fillId="10" borderId="34" xfId="0" applyNumberFormat="1" applyFont="1" applyFill="1" applyBorder="1"/>
    <x:xf numFmtId="0" fontId="6" fillId="10" borderId="35" xfId="0" applyNumberFormat="1" applyFont="1" applyFill="1" applyBorder="1"/>
    <x:xf numFmtId="0" fontId="6" fillId="10" borderId="29" xfId="0" applyNumberFormat="1" applyFont="1" applyFill="1" applyBorder="1" applyAlignment="1">
      <x:alignment horizontal="center" vertical="center" wrapText="1"/>
    </x:xf>
    <x:xf numFmtId="0" fontId="6" fillId="10" borderId="30" xfId="0" applyNumberFormat="1" applyFont="1" applyFill="1" applyBorder="1" applyAlignment="1">
      <x:alignment horizontal="center" vertical="center" wrapText="1"/>
    </x:xf>
    <x:xf numFmtId="0" fontId="6" fillId="10" borderId="36" xfId="0" applyNumberFormat="1" applyFont="1" applyFill="1" applyBorder="1"/>
    <x:xf numFmtId="0" fontId="6" fillId="10" borderId="37" xfId="0" applyNumberFormat="1" applyFont="1" applyFill="1" applyBorder="1"/>
    <x:xf numFmtId="0" fontId="6" fillId="10" borderId="26" xfId="0" applyNumberFormat="1" applyFont="1" applyFill="1" applyBorder="1" applyAlignment="1">
      <x:alignment vertical="center"/>
    </x:xf>
    <x:xf numFmtId="0" fontId="6" fillId="10" borderId="28" xfId="0" applyNumberFormat="1" applyFont="1" applyFill="1" applyBorder="1" applyAlignment="1">
      <x:alignment vertical="center"/>
    </x:xf>
    <x:xf numFmtId="0" fontId="6" fillId="10" borderId="29" xfId="0" applyNumberFormat="1" applyFont="1" applyFill="1" applyBorder="1" applyAlignment="1">
      <x:alignment vertical="center"/>
    </x:xf>
    <x:xf numFmtId="0" fontId="6" fillId="10" borderId="30" xfId="0" applyNumberFormat="1" applyFont="1" applyFill="1" applyBorder="1" applyAlignment="1">
      <x:alignment vertical="center"/>
    </x:xf>
    <x:xf numFmtId="0" fontId="6" fillId="10" borderId="34" xfId="0" applyNumberFormat="1" applyFont="1" applyFill="1" applyBorder="1" applyAlignment="1">
      <x:alignment vertical="center"/>
    </x:xf>
    <x:xf numFmtId="0" fontId="6" fillId="10" borderId="35" xfId="0" applyNumberFormat="1" applyFont="1" applyFill="1" applyBorder="1" applyAlignment="1">
      <x:alignment vertical="center"/>
    </x:xf>
    <x:xf numFmtId="0" fontId="6" fillId="10" borderId="36" xfId="0" applyNumberFormat="1" applyFont="1" applyFill="1" applyBorder="1" applyAlignment="1">
      <x:alignment vertical="center"/>
    </x:xf>
    <x:xf numFmtId="0" fontId="6" fillId="10" borderId="37" xfId="0" applyNumberFormat="1" applyFont="1" applyFill="1" applyBorder="1" applyAlignment="1">
      <x:alignment vertical="center"/>
    </x:xf>
    <x:xf numFmtId="0" fontId="0" fillId="10" borderId="31" xfId="0" applyNumberFormat="1" applyFont="1" applyFill="1" applyBorder="1"/>
    <x:xf numFmtId="0" fontId="0" fillId="10" borderId="33" xfId="0" applyNumberFormat="1" applyFont="1" applyFill="1" applyBorder="1"/>
    <x:xf numFmtId="0" fontId="6" fillId="10" borderId="31" xfId="0" applyNumberFormat="1" applyFont="1" applyFill="1" applyBorder="1"/>
    <x:xf numFmtId="0" fontId="6" fillId="10" borderId="33" xfId="0" applyNumberFormat="1" applyFont="1" applyFill="1" applyBorder="1"/>
    <x:xf numFmtId="0" fontId="6" fillId="10" borderId="31" xfId="0" applyNumberFormat="1" applyFont="1" applyFill="1" applyBorder="1" applyAlignment="1">
      <x:alignment vertical="center"/>
    </x:xf>
    <x:xf numFmtId="0" fontId="6" fillId="10" borderId="33" xfId="0" applyNumberFormat="1" applyFont="1" applyFill="1" applyBorder="1" applyAlignment="1">
      <x:alignment vertical="center"/>
    </x:xf>
    <x:xf numFmtId="0" fontId="6" fillId="10" borderId="26"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x:xf>
    <x:xf numFmtId="0" fontId="6" fillId="10" borderId="34"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wrapText="1"/>
    </x:xf>
    <x:xf numFmtId="0" fontId="6" fillId="10" borderId="36" xfId="0" applyNumberFormat="1" applyFont="1" applyFill="1" applyBorder="1" applyAlignment="1">
      <x:alignment horizontal="left" vertical="center"/>
    </x:xf>
    <x:xf numFmtId="0" fontId="6" fillId="10" borderId="31" xfId="0" applyNumberFormat="1" applyFont="1" applyFill="1" applyBorder="1" applyAlignment="1">
      <x:alignment horizontal="left" vertical="center"/>
    </x:xf>
    <x:xf numFmtId="0" fontId="6" fillId="10" borderId="28"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x:xf>
    <x:xf numFmtId="0" fontId="6" fillId="10" borderId="35"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wrapText="1"/>
    </x:xf>
    <x:xf numFmtId="0" fontId="6" fillId="10" borderId="37" xfId="0" applyNumberFormat="1" applyFont="1" applyFill="1" applyBorder="1" applyAlignment="1">
      <x:alignment horizontal="right" vertical="center"/>
    </x:xf>
    <x:xf numFmtId="0" fontId="6" fillId="10" borderId="33" xfId="0" applyNumberFormat="1" applyFont="1" applyFill="1" applyBorder="1" applyAlignment="1">
      <x:alignment horizontal="right" vertical="center"/>
    </x:xf>
    <x:xf numFmtId="0" fontId="5" fillId="10" borderId="0" xfId="0" applyNumberFormat="1" applyFont="1" applyFill="1" applyBorder="1" applyAlignment="1">
      <x:alignment vertical="center" wrapText="1"/>
    </x:xf>
    <x:xf numFmtId="0" fontId="5" fillId="10" borderId="29" xfId="0" applyNumberFormat="1" applyFont="1" applyFill="1" applyBorder="1" applyAlignment="1">
      <x:alignment vertical="center" wrapText="1"/>
    </x:xf>
    <x:xf numFmtId="0" fontId="5" fillId="10" xfId="0" applyNumberFormat="1" applyFont="1" applyFill="1" applyBorder="0" applyAlignment="1">
      <x:alignment vertical="center" wrapText="1"/>
    </x:xf>
    <x:xf numFmtId="0" fontId="5" fillId="10" borderId="30" xfId="0" applyNumberFormat="1" applyFont="1" applyFill="1" applyBorder="1" applyAlignment="1">
      <x:alignment vertical="center" wrapText="1"/>
    </x:xf>
    <x:xf numFmtId="0" fontId="0" fillId="10" borderId="27" xfId="0" applyNumberFormat="1" applyFont="1" applyFill="1" applyBorder="1"/>
    <x:xf numFmtId="0" fontId="0" fillId="10" xfId="0" applyNumberFormat="1" applyFont="1" applyFill="1" applyBorder="0"/>
    <x:xf numFmtId="0" fontId="0" fillId="10" borderId="32" xfId="0" applyNumberFormat="1" applyFont="1" applyFill="1" applyBorder="1"/>
    <x:xf numFmtId="0" fontId="6" fillId="10" borderId="27" xfId="0" applyNumberFormat="1" applyFont="1" applyFill="1" applyBorder="1"/>
    <x:xf numFmtId="0" fontId="6" fillId="10" xfId="0" applyNumberFormat="1" applyFont="1" applyFill="1" applyBorder="0"/>
    <x:xf numFmtId="0" fontId="7" fillId="10" borderId="29" xfId="0" applyNumberFormat="1" applyFont="1" applyFill="1" applyBorder="1" applyAlignment="1">
      <x:alignment vertical="center" wrapText="1"/>
    </x:xf>
    <x:xf numFmtId="0" fontId="7" fillId="10" xfId="0" applyNumberFormat="1" applyFont="1" applyFill="1" applyBorder="0" applyAlignment="1">
      <x:alignment vertical="center" wrapText="1"/>
    </x:xf>
    <x:xf numFmtId="0" fontId="7" fillId="10" borderId="30" xfId="0" applyNumberFormat="1" applyFont="1" applyFill="1" applyBorder="1" applyAlignment="1">
      <x:alignment vertical="center" wrapText="1"/>
    </x:xf>
    <x:xf numFmtId="0" fontId="6" fillId="10" borderId="32" xfId="0" applyNumberFormat="1" applyFont="1" applyFill="1" applyBorder="1"/>
    <x:xf numFmtId="0" fontId="6" fillId="10" borderId="27" xfId="0" applyNumberFormat="1" applyFont="1" applyFill="1" applyBorder="1" applyAlignment="1">
      <x:alignment vertical="center"/>
    </x:xf>
    <x:xf numFmtId="0" fontId="6" fillId="10" xfId="0" applyNumberFormat="1" applyFont="1" applyFill="1" applyBorder="0" applyAlignment="1">
      <x:alignment vertical="center"/>
    </x:xf>
    <x:xf numFmtId="0" fontId="6" fillId="10" borderId="32" xfId="0" applyNumberFormat="1" applyFont="1" applyFill="1" applyBorder="1" applyAlignment="1">
      <x:alignment vertical="center"/>
    </x:xf>
    <x:xf numFmtId="0" fontId="7" fillId="10" borderId="29" xfId="0" applyNumberFormat="1" applyFont="1" applyFill="1" applyBorder="1" applyAlignment="1">
      <x:alignment horizontal="left" vertical="center" wrapText="1"/>
    </x:xf>
    <x:xf numFmtId="0" fontId="6" fillId="10" borderId="27" xfId="0" applyNumberFormat="1" applyFont="1" applyFill="1" applyBorder="1" applyAlignment="1">
      <x:alignment horizontal="right" vertical="center"/>
    </x:xf>
    <x:xf numFmtId="0" fontId="6" fillId="10" xfId="0" applyNumberFormat="1" applyFont="1" applyFill="1" applyBorder="0" applyAlignment="1">
      <x:alignment horizontal="right" vertical="center"/>
    </x:xf>
    <x:xf numFmtId="0" fontId="7" fillId="10" xfId="0" applyNumberFormat="1" applyFont="1" applyFill="1" applyBorder="0" applyAlignment="1">
      <x:alignment horizontal="right" vertical="center" wrapText="1"/>
    </x:xf>
    <x:xf numFmtId="0" fontId="7" fillId="10" borderId="30" xfId="0" applyNumberFormat="1" applyFont="1" applyFill="1" applyBorder="1" applyAlignment="1">
      <x:alignment horizontal="right" vertical="center" wrapText="1"/>
    </x:xf>
    <x:xf numFmtId="0" fontId="6" fillId="10" borderId="32" xfId="0" applyNumberFormat="1" applyFont="1" applyFill="1" applyBorder="1" applyAlignment="1">
      <x:alignment horizontal="right" vertical="center"/>
    </x:xf>
    <x:xf numFmtId="0" fontId="0" fillId="10" borderId="0" xfId="0" applyNumberFormat="1" applyFont="1" applyFill="1" applyBorder="1"/>
    <x:xf numFmtId="0" fontId="1" fillId="10" borderId="0" xfId="0" applyNumberFormat="1" applyFont="1" applyFill="1" applyBorder="1" applyAlignment="1">
      <x:alignment horizontal="center" vertical="center" wrapText="1"/>
    </x:xf>
    <x:xf numFmtId="0" fontId="0" fillId="10" borderId="4" xfId="0" applyNumberFormat="1" applyFont="1" applyFill="1" applyBorder="1"/>
    <x:xf numFmtId="0" fontId="0" fillId="10" borderId="6" xfId="0" applyNumberFormat="1" applyFont="1" applyFill="1" applyBorder="1"/>
    <x:xf numFmtId="0" fontId="0" fillId="10" borderId="9"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vertical="center" wrapText="1"/>
    </x:xf>
    <x:xf numFmtId="0" fontId="6" fillId="10" borderId="4" xfId="0" applyNumberFormat="1" applyFont="1" applyFill="1" applyBorder="1"/>
    <x:xf numFmtId="0" fontId="6" fillId="10" borderId="6" xfId="0" applyNumberFormat="1" applyFont="1" applyFill="1" applyBorder="1"/>
    <x:xf numFmtId="0" fontId="6" fillId="10" borderId="9" xfId="0" applyNumberFormat="1" applyFont="1" applyFill="1" applyBorder="1"/>
    <x:xf numFmtId="0" fontId="6" fillId="10" borderId="0" xfId="0" applyNumberFormat="1" applyFont="1" applyFill="1" applyBorder="1" applyAlignment="1">
      <x:alignment vertical="center"/>
    </x:xf>
    <x:xf numFmtId="0" fontId="6" fillId="10" borderId="0" xfId="0" applyNumberFormat="1" applyFont="1" applyFill="1" applyBorder="1" applyAlignment="1">
      <x:alignment horizontal="left" vertical="center"/>
    </x:xf>
    <x:xf numFmtId="0" fontId="6" fillId="10" borderId="0" xfId="0" applyNumberFormat="1" applyFont="1" applyFill="1" applyBorder="1" applyAlignment="1">
      <x:alignment horizontal="left" vertical="center" wrapText="1"/>
    </x:xf>
    <x:xf numFmtId="0" fontId="6" fillId="10" borderId="0" xfId="0" applyNumberFormat="1" applyFont="1" applyFill="1" applyBorder="1" applyAlignment="1">
      <x:alignment horizontal="right" vertical="center"/>
    </x:xf>
    <x:xf numFmtId="0" fontId="6" fillId="10" borderId="0" xfId="0" applyNumberFormat="1" applyFont="1" applyFill="1" applyBorder="1" applyAlignment="1">
      <x:alignment horizontal="right" vertical="center" wrapText="1"/>
    </x:xf>
    <x:xf numFmtId="0" fontId="7" fillId="10" borderId="0" xfId="0" applyNumberFormat="1" applyFont="1" applyFill="1" applyBorder="1" applyAlignment="1">
      <x:alignment vertical="center" wrapText="1"/>
    </x:xf>
    <x:xf numFmtId="0" fontId="7" fillId="10" borderId="0" xfId="0" applyNumberFormat="1" applyFont="1" applyFill="1" applyBorder="1" applyAlignment="1">
      <x:alignment horizontal="left" vertical="center" wrapText="1"/>
    </x:xf>
    <x:xf numFmtId="0" fontId="7" fillId="10" borderId="0" xfId="0" applyNumberFormat="1" applyFont="1" applyFill="1" applyBorder="1" applyAlignment="1">
      <x:alignment horizontal="right" vertical="center" wrapText="1"/>
    </x:xf>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0" fillId="0" borderId="46" xfId="0" applyNumberFormat="1" applyFont="1" applyFill="1" applyBorder="1"/>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45" xfId="0" applyNumberFormat="1" applyFont="1" applyFill="1" applyBorder="1" applyAlignment="1">
      <x:alignment wrapText="1"/>
    </x:xf>
    <x:xf numFmtId="0" fontId="0" fillId="0" borderId="46" xfId="0" applyNumberFormat="1" applyFont="1" applyFill="1" applyBorder="1" applyAlignment="1">
      <x:alignment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5"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0" borderId="40"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1" fillId="11" borderId="0" xfId="0" applyNumberFormat="1" applyFont="1" applyFill="1" applyBorder="1" applyAlignment="1">
      <x:alignment horizontal="center" vertical="center" wrapText="1"/>
    </x:xf>
    <x:xf numFmtId="0" fontId="6" fillId="10" borderId="39" xfId="0" applyNumberFormat="1" applyFont="1" applyFill="1" applyBorder="1" applyAlignment="1">
      <x:alignment horizontal="left" vertical="center"/>
    </x:xf>
    <x:xf numFmtId="0" fontId="6" fillId="10" borderId="41"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x:xf>
    <x:xf numFmtId="0" fontId="6" fillId="10" borderId="43"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wrapText="1"/>
    </x:xf>
    <x:xf numFmtId="0" fontId="6" fillId="10" borderId="43" xfId="0" applyNumberFormat="1" applyFont="1" applyFill="1" applyBorder="1" applyAlignment="1">
      <x:alignment horizontal="right" vertical="center" wrapText="1"/>
    </x:xf>
    <x:xf numFmtId="0" fontId="6" fillId="10" borderId="47" xfId="0" applyNumberFormat="1" applyFont="1" applyFill="1" applyBorder="1" applyAlignment="1">
      <x:alignment horizontal="left" vertical="center"/>
    </x:xf>
    <x:xf numFmtId="0" fontId="6" fillId="10" borderId="48" xfId="0" applyNumberFormat="1" applyFont="1" applyFill="1" applyBorder="1" applyAlignment="1">
      <x:alignment horizontal="right" vertical="center"/>
    </x:xf>
    <x:xf numFmtId="0" fontId="0" fillId="0" borderId="44" xfId="0" applyNumberFormat="1" applyFont="1" applyFill="1" applyBorder="1" applyAlignment="1">
      <x:alignment horizontal="left"/>
    </x:xf>
    <x:xf numFmtId="0" fontId="0" fillId="0" borderId="46" xfId="0" applyNumberFormat="1" applyFont="1" applyFill="1" applyBorder="1" applyAlignment="1">
      <x:alignment horizontal="right"/>
    </x:xf>
    <x:xf numFmtId="0" fontId="6" fillId="10" borderId="40" xfId="0" applyNumberFormat="1" applyFont="1" applyFill="1" applyBorder="1" applyAlignment="1">
      <x:alignment horizontal="right" vertical="center"/>
    </x:xf>
    <x:xf numFmtId="0" fontId="7" fillId="10" borderId="42" xfId="0" applyNumberFormat="1" applyFont="1" applyFill="1" applyBorder="1" applyAlignment="1">
      <x:alignment horizontal="left" vertical="center" wrapText="1"/>
    </x:xf>
    <x:xf numFmtId="0" fontId="7" fillId="10" borderId="43" xfId="0" applyNumberFormat="1" applyFont="1" applyFill="1" applyBorder="1" applyAlignment="1">
      <x:alignment horizontal="right" vertical="center" wrapText="1"/>
    </x:xf>
    <x:xf numFmtId="0" fontId="6" fillId="10" borderId="44" xfId="0" applyNumberFormat="1" applyFont="1" applyFill="1" applyBorder="1" applyAlignment="1">
      <x:alignment horizontal="left" vertical="center"/>
    </x:xf>
    <x:xf numFmtId="0" fontId="6" fillId="10" borderId="45" xfId="0" applyNumberFormat="1" applyFont="1" applyFill="1" applyBorder="1" applyAlignment="1">
      <x:alignment horizontal="right" vertical="center"/>
    </x:xf>
    <x:xf numFmtId="0" fontId="6" fillId="10" borderId="46" xfId="0" applyNumberFormat="1" applyFont="1" applyFill="1" applyBorder="1" applyAlignment="1">
      <x:alignment horizontal="right" vertical="center"/>
    </x:xf>
    <x:xf numFmtId="0" fontId="5" fillId="12" borderId="0" xfId="0" applyNumberFormat="1" applyFont="1" applyFill="1" applyBorder="1" applyAlignment="1">
      <x:alignment vertical="center" wrapText="1"/>
    </x:xf>
    <x:xf numFmtId="0" fontId="1" fillId="11" borderId="26" xfId="0" applyNumberFormat="1" applyFont="1" applyFill="1" applyBorder="1" applyAlignment="1">
      <x:alignment horizontal="center" vertical="center" wrapText="1"/>
    </x:xf>
    <x:xf numFmtId="0" fontId="1" fillId="11" borderId="27" xfId="0" applyNumberFormat="1" applyFont="1" applyFill="1" applyBorder="1" applyAlignment="1">
      <x:alignment horizontal="center" vertical="center" wrapText="1"/>
    </x:xf>
    <x:xf numFmtId="0" fontId="1" fillId="11" borderId="28" xfId="0" applyNumberFormat="1" applyFont="1" applyFill="1" applyBorder="1" applyAlignment="1">
      <x:alignment horizontal="center" vertical="center" wrapText="1"/>
    </x:xf>
    <x:xf numFmtId="0" fontId="1" fillId="11" borderId="39" xfId="0" applyNumberFormat="1" applyFont="1" applyFill="1" applyBorder="1" applyAlignment="1">
      <x:alignment horizontal="center" vertical="center" wrapText="1"/>
    </x:xf>
    <x:xf numFmtId="0" fontId="1" fillId="11" borderId="40" xfId="0" applyNumberFormat="1" applyFont="1" applyFill="1" applyBorder="1" applyAlignment="1">
      <x:alignment horizontal="center" vertical="center" wrapText="1"/>
    </x:xf>
    <x:xf numFmtId="0" fontId="1" fillId="11" borderId="41" xfId="0" applyNumberFormat="1" applyFont="1" applyFill="1" applyBorder="1" applyAlignment="1">
      <x:alignment horizontal="center" vertical="center" wrapText="1"/>
    </x:xf>
    <x:xf numFmtId="0" fontId="0"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0" borderId="49" xfId="0" applyNumberFormat="1" applyFont="1" applyFill="1" applyBorder="1"/>
    <x:xf numFmtId="0" fontId="0" fillId="0" borderId="49" xfId="0" applyNumberFormat="1" applyFont="1" applyFill="1" applyBorder="1" applyAlignment="1">
      <x:alignment wrapText="1"/>
    </x:xf>
    <x:xf numFmtId="0" fontId="0" fillId="0" borderId="49" xfId="0" applyNumberFormat="1" applyFont="1" applyFill="1" applyBorder="1" applyAlignment="1">
      <x:alignment vertical="top" wrapText="1"/>
    </x:xf>
  </x:cellXfs>
  <x:cellStyles count="1">
    <x:cellStyle name="Normal" xfId="0"/>
  </x:cellStyles>
  <x:dxfs count="24">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54d304ccfe434c" /><Relationship Type="http://schemas.openxmlformats.org/officeDocument/2006/relationships/theme" Target="/xl/theme/theme1.xml" Id="Red13c6f0ca354520" /><Relationship Type="http://schemas.openxmlformats.org/officeDocument/2006/relationships/sharedStrings" Target="/xl/sharedStrings.xml" Id="R9056713d1ce44a86" /><Relationship Type="http://schemas.openxmlformats.org/officeDocument/2006/relationships/worksheet" Target="/xl/worksheets/sheet1.xml" Id="Rda72e87ac15f4ac4" /><Relationship Type="http://schemas.openxmlformats.org/officeDocument/2006/relationships/worksheet" Target="/xl/worksheets/sheet2.xml" Id="Rb52a813ce8864a72" /><Relationship Type="http://schemas.openxmlformats.org/officeDocument/2006/relationships/worksheet" Target="/xl/worksheets/sheet3.xml" Id="Rb4a8c0aa1b7148c7" /><Relationship Type="http://schemas.openxmlformats.org/officeDocument/2006/relationships/worksheet" Target="/xl/worksheets/sheet4.xml" Id="Rb59d89f69d084493" /><Relationship Type="http://schemas.openxmlformats.org/officeDocument/2006/relationships/worksheet" Target="/xl/worksheets/sheet5.xml" Id="R4b4247bf01684252" /></Relationships>
</file>

<file path=xl/drawings/_rels/drawing1.xml.rels>&#65279;<?xml version="1.0" encoding="utf-8"?><Relationships xmlns="http://schemas.openxmlformats.org/package/2006/relationships"><Relationship Type="http://schemas.openxmlformats.org/officeDocument/2006/relationships/chart" Target="/xl/drawings/charts/chart1.xml" Id="R7ebb2e9e518a463d" /><Relationship Type="http://schemas.openxmlformats.org/officeDocument/2006/relationships/chart" Target="/xl/drawings/charts/chart2.xml" Id="R0398368014dc490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LO別問題数</a:t>
            </a:r>
          </a:p>
        </c:rich>
      </c:tx>
    </c:title>
    <c:autoTitleDeleted val="0"/>
    <c:plotArea>
      <c:barChart>
        <c:barDir val="col"/>
        <c:varyColors val="0"/>
        <c:ser>
          <c:idx val="0"/>
          <c:order val="0"/>
          <c:tx>
            <c:v>問題数</c:v>
          </c:tx>
          <c:cat>
            <c:strRef>
              <c:f>'カバレッジ'!$A$8:$A$12</c:f>
              <c:strCache>
                <c:ptCount val="0"/>
              </c:strCache>
            </c:strRef>
          </c:cat>
          <c:val>
            <c:numRef>
              <c:f>'カバレッジ'!$B$8:$B$12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難易度分布</a:t>
            </a:r>
          </a:p>
        </c:rich>
      </c:tx>
    </c:title>
    <c:autoTitleDeleted val="0"/>
    <c:plotArea>
      <c:barChart>
        <c:barDir val="col"/>
        <c:varyColors val="0"/>
        <c:ser>
          <c:idx val="0"/>
          <c:order val="0"/>
          <c:tx>
            <c:v>問題数</c:v>
          </c:tx>
          <c:cat>
            <c:strRef>
              <c:f>'カバレッジ'!$A$17:$A$19</c:f>
              <c:strCache>
                <c:ptCount val="0"/>
              </c:strCache>
            </c:strRef>
          </c:cat>
          <c:val>
            <c:numRef>
              <c:f>'カバレッジ'!$B$17:$B$19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6</xdr:row>
      <xdr:rowOff>0</xdr:rowOff>
    </xdr:from>
    <xdr:to>
      <xdr:col>11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bb2e9e518a463d"/>
        </a:graphicData>
      </a:graphic>
    </xdr:graphicFrame>
    <xdr:clientData/>
  </xdr:twoCellAnchor>
  <xdr:twoCellAnchor>
    <xdr:from>
      <xdr:col>6</xdr:col>
      <xdr:colOff>0</xdr:colOff>
      <xdr:row>19</xdr:row>
      <xdr:rowOff>0</xdr:rowOff>
    </xdr:from>
    <xdr:to>
      <xdr:col>11</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98368014dc490c"/>
        </a:graphicData>
      </a:graphic>
    </xdr:graphicFrame>
    <xdr:clientData/>
  </xdr:twoCellAnchor>
</xdr:wsDr>
</file>

<file path=xl/tables/table1.xml><?xml version="1.0" encoding="utf-8"?>
<x:table xmlns:x="http://schemas.openxmlformats.org/spreadsheetml/2006/main" id="1" name="QuestionsTable" displayName="QuestionsTable" ref="A1:AG601" headerRowCount="1">
  <x:tableColumns count="33">
    <x:tableColumn id="1" name="問題ID"/>
    <x:tableColumn id="2" name="LO"/>
    <x:tableColumn id="3" name="LO名称"/>
    <x:tableColumn id="4" name="トピック"/>
    <x:tableColumn id="5" name="問題文"/>
    <x:tableColumn id="6" name="選択肢A"/>
    <x:tableColumn id="7" name="選択肢B"/>
    <x:tableColumn id="8" name="選択肢C"/>
    <x:tableColumn id="9" name="選択肢D"/>
    <x:tableColumn id="10" name="正答"/>
    <x:tableColumn id="11" name="正答本文"/>
    <x:tableColumn id="12" name="正答解説"/>
    <x:tableColumn id="13" name="A解説"/>
    <x:tableColumn id="14" name="B解説"/>
    <x:tableColumn id="15" name="C解説"/>
    <x:tableColumn id="16" name="D解説"/>
    <x:tableColumn id="17" name="知識領域"/>
    <x:tableColumn id="18" name="小分類"/>
    <x:tableColumn id="19" name="ワイン区分"/>
    <x:tableColumn id="20" name="国"/>
    <x:tableColumn id="21" name="産地"/>
    <x:tableColumn id="22" name="主要品種"/>
    <x:tableColumn id="23" name="思考スキル"/>
    <x:tableColumn id="24" name="難易度"/>
    <x:tableColumn id="25" name="誤概念タグ"/>
    <x:tableColumn id="26" name="要レビュー"/>
    <x:tableColumn id="27" name="レビュー理由"/>
    <x:tableColumn id="28" name="作成区分"/>
    <x:tableColumn id="29" name="作成根拠"/>
    <x:tableColumn id="30" name="レビュー状態"/>
    <x:tableColumn id="31" name="レビュアー"/>
    <x:tableColumn id="32" name="レビュー日"/>
    <x:tableColumn id="33" name="レビューコメント"/>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9403f8892c4772" /></Relationships>
</file>

<file path=xl/worksheets/_rels/sheet2.xml.rels>&#65279;<?xml version="1.0" encoding="utf-8"?><Relationships xmlns="http://schemas.openxmlformats.org/package/2006/relationships"><Relationship Type="http://schemas.openxmlformats.org/officeDocument/2006/relationships/drawing" Target="/xl/drawings/drawing1.xml" Id="Rd5d9981669c846e2" /></Relationships>
</file>

<file path=xl/worksheets/sheet1.xml><?xml version="1.0" encoding="utf-8"?>
<x:worksheet xmlns:x="http://schemas.openxmlformats.org/spreadsheetml/2006/main">
  <x:sheetFormatPr defaultRowHeight="15"/>
  <x:cols>
    <x:col min="1" max="1" width="13" hidden="0" customWidth="1"/>
    <x:col min="2" max="2" width="7" hidden="0" customWidth="1"/>
    <x:col min="3" max="3" width="28" hidden="0" customWidth="1"/>
    <x:col min="4" max="4" width="25" hidden="0" customWidth="1"/>
    <x:col min="5" max="5" width="48" hidden="0" customWidth="1"/>
    <x:col min="6" max="6" width="38" hidden="0" customWidth="1"/>
    <x:col min="7" max="7" width="38" hidden="0" customWidth="1"/>
    <x:col min="8" max="8" width="38" hidden="0" customWidth="1"/>
    <x:col min="9" max="9" width="38" hidden="0" customWidth="1"/>
    <x:col min="10" max="10" width="7" hidden="0" customWidth="1"/>
    <x:col min="11" max="11" width="38" hidden="0" customWidth="1"/>
    <x:col min="12" max="12" width="48" hidden="0" customWidth="1"/>
    <x:col min="13" max="13" width="48" hidden="0" customWidth="1"/>
    <x:col min="14" max="14" width="48" hidden="0" customWidth="1"/>
    <x:col min="15" max="15" width="48" hidden="0" customWidth="1"/>
    <x:col min="16" max="16" width="48" hidden="0" customWidth="1"/>
    <x:col min="17" max="17" width="24" hidden="0" customWidth="1"/>
    <x:col min="18" max="18" width="25" hidden="0" customWidth="1"/>
    <x:col min="19" max="19" width="23" hidden="0" customWidth="1"/>
    <x:col min="20" max="20" width="18" hidden="0" customWidth="1"/>
    <x:col min="21" max="21" width="28" hidden="0" customWidth="1"/>
    <x:col min="22" max="22" width="28" hidden="0" customWidth="1"/>
    <x:col min="23" max="23" width="15" hidden="0" customWidth="1"/>
    <x:col min="24" max="24" width="10" hidden="0" customWidth="1"/>
    <x:col min="25" max="25" width="32" hidden="0" customWidth="1"/>
    <x:col min="26" max="26" width="11" hidden="0" customWidth="1"/>
    <x:col min="27" max="27" width="34" hidden="0" customWidth="1"/>
    <x:col min="28" max="28" width="14" hidden="0" customWidth="1"/>
    <x:col min="29" max="29" width="42" hidden="0" customWidth="1"/>
    <x:col min="30" max="30" width="14" hidden="0" customWidth="1"/>
    <x:col min="31" max="31" width="16" hidden="0" customWidth="1"/>
    <x:col min="32" max="32" width="14" hidden="0" customWidth="1"/>
    <x:col min="33" max="33" width="38" hidden="0" customWidth="1"/>
  </x:cols>
  <x:sheetData>
    <x:row r="1" ht="40" customHeight="1">
      <x:c r="A1" s="12" t="str">
        <x:v>問題ID</x:v>
      </x:c>
      <x:c r="B1" s="13" t="str">
        <x:v>LO</x:v>
      </x:c>
      <x:c r="C1" s="13" t="str">
        <x:v>LO名称</x:v>
      </x:c>
      <x:c r="D1" s="13" t="str">
        <x:v>トピック</x:v>
      </x:c>
      <x:c r="E1" s="13" t="str">
        <x:v>問題文</x:v>
      </x:c>
      <x:c r="F1" s="13" t="str">
        <x:v>選択肢A</x:v>
      </x:c>
      <x:c r="G1" s="13" t="str">
        <x:v>選択肢B</x:v>
      </x:c>
      <x:c r="H1" s="13" t="str">
        <x:v>選択肢C</x:v>
      </x:c>
      <x:c r="I1" s="13" t="str">
        <x:v>選択肢D</x:v>
      </x:c>
      <x:c r="J1" s="13" t="str">
        <x:v>正答</x:v>
      </x:c>
      <x:c r="K1" s="13" t="str">
        <x:v>正答本文</x:v>
      </x:c>
      <x:c r="L1" s="13" t="str">
        <x:v>正答解説</x:v>
      </x:c>
      <x:c r="M1" s="13" t="str">
        <x:v>A解説</x:v>
      </x:c>
      <x:c r="N1" s="13" t="str">
        <x:v>B解説</x:v>
      </x:c>
      <x:c r="O1" s="13" t="str">
        <x:v>C解説</x:v>
      </x:c>
      <x:c r="P1" s="13" t="str">
        <x:v>D解説</x:v>
      </x:c>
      <x:c r="Q1" s="13" t="str">
        <x:v>知識領域</x:v>
      </x:c>
      <x:c r="R1" s="13" t="str">
        <x:v>小分類</x:v>
      </x:c>
      <x:c r="S1" s="13" t="str">
        <x:v>ワイン区分</x:v>
      </x:c>
      <x:c r="T1" s="13" t="str">
        <x:v>国</x:v>
      </x:c>
      <x:c r="U1" s="13" t="str">
        <x:v>産地</x:v>
      </x:c>
      <x:c r="V1" s="13" t="str">
        <x:v>主要品種</x:v>
      </x:c>
      <x:c r="W1" s="13" t="str">
        <x:v>思考スキル</x:v>
      </x:c>
      <x:c r="X1" s="13" t="str">
        <x:v>難易度</x:v>
      </x:c>
      <x:c r="Y1" s="13" t="str">
        <x:v>誤概念タグ</x:v>
      </x:c>
      <x:c r="Z1" s="13" t="str">
        <x:v>要レビュー</x:v>
      </x:c>
      <x:c r="AA1" s="13" t="str">
        <x:v>レビュー理由</x:v>
      </x:c>
      <x:c r="AB1" s="13" t="str">
        <x:v>作成区分</x:v>
      </x:c>
      <x:c r="AC1" s="13" t="str">
        <x:v>作成根拠</x:v>
      </x:c>
      <x:c r="AD1" s="13" t="str">
        <x:v>レビュー状態</x:v>
      </x:c>
      <x:c r="AE1" s="13" t="str">
        <x:v>レビュアー</x:v>
      </x:c>
      <x:c r="AF1" s="13" t="str">
        <x:v>レビュー日</x:v>
      </x:c>
      <x:c r="AG1" s="14" t="str">
        <x:v>レビューコメント</x:v>
      </x:c>
    </x:row>
    <x:row r="2" ht="84" customHeight="1">
      <x:c r="A2" s="41" t="str">
        <x:v>LO1-001</x:v>
      </x:c>
      <x:c r="B2" s="53" t="str">
        <x:v>LO1</x:v>
      </x:c>
      <x:c r="C2" s="42" t="str">
        <x:v>ブドウ畑・ワイナリーの自然要因と人的要因</x:v>
      </x:c>
      <x:c r="D2" s="42" t="str">
        <x:v>気候と成熟</x:v>
      </x:c>
      <x:c r="E2" s="42" t="str">
        <x:v>冷涼な気候で栽培されたブドウに最も起こりやすい特徴はどれか。</x:v>
      </x:c>
      <x:c r="F2" s="42" t="str">
        <x:v>糖度の上昇が遅く、酸が保持されやすい</x:v>
      </x:c>
      <x:c r="G2" s="42" t="str">
        <x:v>糖度が急速に上がり、酸が急速に減少する</x:v>
      </x:c>
      <x:c r="H2" s="42" t="str">
        <x:v>果皮のタンニンが早期に成熟し、酸より先に減少する</x:v>
      </x:c>
      <x:c r="I2" s="42" t="str">
        <x:v>ブドウの収量が気温だけで低くなり、他の栽培判断の影響を受けない</x:v>
      </x:c>
      <x:c r="J2" s="53" t="str">
        <x:v>A</x:v>
      </x:c>
      <x:c r="K2" s="42" t="str">
        <x:v>糖度の上昇が遅く、酸が保持されやすい</x:v>
      </x:c>
      <x:c r="L2" s="42" t="str">
        <x:v>気温が低いと成熟が緩やかに進み、呼吸による酸の減少も遅くなるため、収穫時に酸が高く残りやすい。</x:v>
      </x:c>
      <x:c r="M2" s="42" t="str">
        <x:v>正しい。 気温が低いと成熟が緩やかに進み、呼吸による酸の減少も遅くなるため、収穫時に酸が高く残りやすい。</x:v>
      </x:c>
      <x:c r="N2" s="42" t="str">
        <x:v>誤り。 これは一般に温暖または高温な条件で起こりやすく、冷涼な気候の典型ではない。</x:v>
      </x:c>
      <x:c r="O2" s="42" t="str">
        <x:v>誤り。 冷涼な条件ではフェノール類の成熟が遅れることがあり、タンニンが早期に成熟して減少するという説明は適切でない。</x:v>
      </x:c>
      <x:c r="P2" s="42" t="str">
        <x:v>誤り。 収量は剪定、結実、病害、土壌、水分などにも左右され、気温だけで決まらない。</x:v>
      </x:c>
      <x:c r="Q2" s="42" t="str">
        <x:v>自然要因</x:v>
      </x:c>
      <x:c r="R2" s="42" t="str">
        <x:v>気候</x:v>
      </x:c>
      <x:c r="S2" s="42" t="str">
        <x:v>非発泡性ワイン</x:v>
      </x:c>
      <x:c r="T2" s="42" t="str"/>
      <x:c r="U2" s="42" t="str"/>
      <x:c r="V2" s="42" t="str"/>
      <x:c r="W2" s="42" t="str">
        <x:v>因果説明</x:v>
      </x:c>
      <x:c r="X2" s="53" t="str">
        <x:v>D1</x:v>
      </x:c>
      <x:c r="Y2" s="42" t="str">
        <x:v>冷涼気候で糖度上昇が速い; 冷涼気候なら必ず低収量</x:v>
      </x:c>
      <x:c r="Z2" s="53" t="str">
        <x:v>N</x:v>
      </x:c>
      <x:c r="AA2" s="42" t="str"/>
      <x:c r="AB2" s="42" t="str">
        <x:v>オリジナル</x:v>
      </x:c>
      <x:c r="AC2" s="42" t="str">
        <x:v>公式Specificationの範囲＋ユーザー作成コーパスの論点を参考に独自作成</x:v>
      </x:c>
      <x:c r="AD2" s="53" t="str">
        <x:v>未レビュー</x:v>
      </x:c>
      <x:c r="AE2" s="53" t="str"/>
      <x:c r="AF2" s="53" t="str"/>
      <x:c r="AG2" s="43" t="str"/>
    </x:row>
    <x:row r="3" ht="84" customHeight="1">
      <x:c r="A3" s="41" t="str">
        <x:v>LO1-002</x:v>
      </x:c>
      <x:c r="B3" s="53" t="str">
        <x:v>LO1</x:v>
      </x:c>
      <x:c r="C3" s="42" t="str">
        <x:v>ブドウ畑・ワイナリーの自然要因と人的要因</x:v>
      </x:c>
      <x:c r="D3" s="42" t="str">
        <x:v>標高</x:v>
      </x:c>
      <x:c r="E3" s="42" t="str">
        <x:v>一般に、標高の高い畑が温暖な地域で酸の保持に役立つ主な理由はどれか。</x:v>
      </x:c>
      <x:c r="F3" s="42" t="str">
        <x:v>標高の上昇に伴って降水量が増えるため、酸が希釈されにくい</x:v>
      </x:c>
      <x:c r="G3" s="42" t="str">
        <x:v>標高の上昇に伴って気温が低下し、特に夜間の冷却が強まる</x:v>
      </x:c>
      <x:c r="H3" s="42" t="str">
        <x:v>標高が高いほど紫外線が弱くなる</x:v>
      </x:c>
      <x:c r="I3" s="42" t="str">
        <x:v>標高の上昇に伴って日照時間が短くなり、糖の蓄積が抑えられる</x:v>
      </x:c>
      <x:c r="J3" s="53" t="str">
        <x:v>B</x:v>
      </x:c>
      <x:c r="K3" s="42" t="str">
        <x:v>標高の上昇に伴って気温が低下し、特に夜間の冷却が強まる</x:v>
      </x:c>
      <x:c r="L3" s="42" t="str">
        <x:v>低い気温は成熟を遅らせ、呼吸による酸の減少を抑えるため、酸が保持されやすい。</x:v>
      </x:c>
      <x:c r="M3" s="42" t="str">
        <x:v>誤り。 降水量は地形や気象条件に左右され、酸の保持を最も直接的に説明するのは気温低下である。</x:v>
      </x:c>
      <x:c r="N3" s="42" t="str">
        <x:v>正しい。 低い気温は成熟を遅らせ、呼吸による酸の減少を抑えるため、酸が保持されやすい。</x:v>
      </x:c>
      <x:c r="O3" s="42" t="str">
        <x:v>誤り。 一般に紫外線は標高とともに強くなるため、説明が逆である。</x:v>
      </x:c>
      <x:c r="P3" s="42" t="str">
        <x:v>誤り。 日照時間は雲量、方角、地形などに左右され、標高と単純に反比例しない。</x:v>
      </x:c>
      <x:c r="Q3" s="42" t="str">
        <x:v>自然要因</x:v>
      </x:c>
      <x:c r="R3" s="42" t="str">
        <x:v>標高・日較差</x:v>
      </x:c>
      <x:c r="S3" s="42" t="str">
        <x:v>非発泡性ワイン</x:v>
      </x:c>
      <x:c r="T3" s="42" t="str"/>
      <x:c r="U3" s="42" t="str"/>
      <x:c r="V3" s="42" t="str"/>
      <x:c r="W3" s="42" t="str">
        <x:v>因果説明</x:v>
      </x:c>
      <x:c r="X3" s="53" t="str">
        <x:v>D2</x:v>
      </x:c>
      <x:c r="Y3" s="42" t="str">
        <x:v>標高=多雨; 標高=紫外線低下</x:v>
      </x:c>
      <x:c r="Z3" s="53" t="str">
        <x:v>N</x:v>
      </x:c>
      <x:c r="AA3" s="42" t="str"/>
      <x:c r="AB3" s="42" t="str">
        <x:v>オリジナル</x:v>
      </x:c>
      <x:c r="AC3" s="42" t="str">
        <x:v>公式Specificationの範囲＋ユーザー作成コーパスの論点を参考に独自作成</x:v>
      </x:c>
      <x:c r="AD3" s="53" t="str">
        <x:v>未レビュー</x:v>
      </x:c>
      <x:c r="AE3" s="53" t="str"/>
      <x:c r="AF3" s="53" t="str"/>
      <x:c r="AG3" s="43" t="str"/>
    </x:row>
    <x:row r="4" ht="84" customHeight="1">
      <x:c r="A4" s="41" t="str">
        <x:v>LO1-003</x:v>
      </x:c>
      <x:c r="B4" s="53" t="str">
        <x:v>LO1</x:v>
      </x:c>
      <x:c r="C4" s="42" t="str">
        <x:v>ブドウ畑・ワイナリーの自然要因と人的要因</x:v>
      </x:c>
      <x:c r="D4" s="42" t="str">
        <x:v>方角</x:v>
      </x:c>
      <x:c r="E4" s="42" t="str">
        <x:v>北半球の冷涼な地域で、南向き斜面がブドウの成熟を助ける最も直接的な理由はどれか。</x:v>
      </x:c>
      <x:c r="F4" s="42" t="str">
        <x:v>斜面が卓越風を遮り、畑の湿度を一定に保つため</x:v>
      </x:c>
      <x:c r="G4" s="42" t="str">
        <x:v>土壌中の栄養分が自動的に増えるため</x:v>
      </x:c>
      <x:c r="H4" s="42" t="str">
        <x:v>受ける日射量が多くなり、畑がより暖まりやすいため</x:v>
      </x:c>
      <x:c r="I4" s="42" t="str">
        <x:v>夜間の湿度が低くなり、酸の呼吸が止まるため</x:v>
      </x:c>
      <x:c r="J4" s="53" t="str">
        <x:v>C</x:v>
      </x:c>
      <x:c r="K4" s="42" t="str">
        <x:v>受ける日射量が多くなり、畑がより暖まりやすいため</x:v>
      </x:c>
      <x:c r="L4" s="42" t="str">
        <x:v>南向き斜面は北半球でより多くの日射を受けやすく、光合成と成熟を促進する。</x:v>
      </x:c>
      <x:c r="M4" s="42" t="str">
        <x:v>誤り。 斜面の方角だけで卓越風を遮るとは限らず、主な効果は受ける日射量の違いである。</x:v>
      </x:c>
      <x:c r="N4" s="42" t="str">
        <x:v>誤り。 方角は日射量に影響するが、土壌の栄養分を自動的に増やすものではない。</x:v>
      </x:c>
      <x:c r="O4" s="42" t="str">
        <x:v>正しい。 南向き斜面は北半球でより多くの日射を受けやすく、光合成と成熟を促進する。</x:v>
      </x:c>
      <x:c r="P4" s="42" t="str">
        <x:v>誤り。 湿度は風、降雨、水塊、気温などに左右され、酸の保持を直接説明するのは主に温度である。</x:v>
      </x:c>
      <x:c r="Q4" s="42" t="str">
        <x:v>自然要因</x:v>
      </x:c>
      <x:c r="R4" s="42" t="str">
        <x:v>方角・日照</x:v>
      </x:c>
      <x:c r="S4" s="42" t="str">
        <x:v>非発泡性ワイン</x:v>
      </x:c>
      <x:c r="T4" s="42" t="str"/>
      <x:c r="U4" s="42" t="str"/>
      <x:c r="V4" s="42" t="str"/>
      <x:c r="W4" s="42" t="str">
        <x:v>因果説明</x:v>
      </x:c>
      <x:c r="X4" s="53" t="str">
        <x:v>D1</x:v>
      </x:c>
      <x:c r="Y4" s="42" t="str">
        <x:v>方角=土壌肥沃度; 方角=完全な防風</x:v>
      </x:c>
      <x:c r="Z4" s="53" t="str">
        <x:v>N</x:v>
      </x:c>
      <x:c r="AA4" s="42" t="str"/>
      <x:c r="AB4" s="42" t="str">
        <x:v>オリジナル</x:v>
      </x:c>
      <x:c r="AC4" s="42" t="str">
        <x:v>公式Specificationの範囲＋ユーザー作成コーパスの論点を参考に独自作成</x:v>
      </x:c>
      <x:c r="AD4" s="53" t="str">
        <x:v>未レビュー</x:v>
      </x:c>
      <x:c r="AE4" s="53" t="str"/>
      <x:c r="AF4" s="53" t="str"/>
      <x:c r="AG4" s="43" t="str"/>
    </x:row>
    <x:row r="5" ht="84" customHeight="1">
      <x:c r="A5" s="41" t="str">
        <x:v>LO1-004</x:v>
      </x:c>
      <x:c r="B5" s="53" t="str">
        <x:v>LO1</x:v>
      </x:c>
      <x:c r="C5" s="42" t="str">
        <x:v>ブドウ畑・ワイナリーの自然要因と人的要因</x:v>
      </x:c>
      <x:c r="D5" s="42" t="str">
        <x:v>日較差</x:v>
      </x:c>
      <x:c r="E5" s="42" t="str">
        <x:v>大きな日較差がブドウの品質に有利となる場合、その効果を最も適切に説明しているものはどれか。</x:v>
      </x:c>
      <x:c r="F5" s="42" t="str">
        <x:v>暖かい夜が酸の保持を促し、涼しい昼が糖の蓄積を促す</x:v>
      </x:c>
      <x:c r="G5" s="42" t="str">
        <x:v>昼夜とも高温になるため、成熟が均一に停止する</x:v>
      </x:c>
      <x:c r="H5" s="42" t="str">
        <x:v>夜間だけ光合成が活発になり、糖分が増加する</x:v>
      </x:c>
      <x:c r="I5" s="42" t="str">
        <x:v>暖かい昼が成熟を進め、涼しい夜が酸と香りの保持に役立つ</x:v>
      </x:c>
      <x:c r="J5" s="53" t="str">
        <x:v>D</x:v>
      </x:c>
      <x:c r="K5" s="42" t="str">
        <x:v>暖かい昼が成熟を進め、涼しい夜が酸と香りの保持に役立つ</x:v>
      </x:c>
      <x:c r="L5" s="42" t="str">
        <x:v>昼の暖かさは糖と風味の成熟を支え、夜の低温は呼吸を遅らせて酸や香りを保持しやすくする。</x:v>
      </x:c>
      <x:c r="M5" s="42" t="str">
        <x:v>誤り。 昼夜の効果が逆である。一般には暖かい昼が成熟を促し、涼しい夜が酸の保持に役立つ。</x:v>
      </x:c>
      <x:c r="N5" s="42" t="str">
        <x:v>誤り。 大きな日較差とは昼夜の気温差が大きいことであり、昼夜とも高温という意味ではない。</x:v>
      </x:c>
      <x:c r="O5" s="42" t="str">
        <x:v>誤り。 光合成には日光が必要であり、夜間だけ活発になるわけではない。</x:v>
      </x:c>
      <x:c r="P5" s="42" t="str">
        <x:v>正しい。 昼の暖かさは糖と風味の成熟を支え、夜の低温は呼吸を遅らせて酸や香りを保持しやすくする。</x:v>
      </x:c>
      <x:c r="Q5" s="42" t="str">
        <x:v>自然要因</x:v>
      </x:c>
      <x:c r="R5" s="42" t="str">
        <x:v>日較差</x:v>
      </x:c>
      <x:c r="S5" s="42" t="str">
        <x:v>非発泡性ワイン</x:v>
      </x:c>
      <x:c r="T5" s="42" t="str"/>
      <x:c r="U5" s="42" t="str"/>
      <x:c r="V5" s="42" t="str"/>
      <x:c r="W5" s="42" t="str">
        <x:v>因果説明</x:v>
      </x:c>
      <x:c r="X5" s="53" t="str">
        <x:v>D2</x:v>
      </x:c>
      <x:c r="Y5" s="42" t="str">
        <x:v>夜間光合成; 日較差=常時高温</x:v>
      </x:c>
      <x:c r="Z5" s="53" t="str">
        <x:v>N</x:v>
      </x:c>
      <x:c r="AA5" s="42" t="str"/>
      <x:c r="AB5" s="42" t="str">
        <x:v>オリジナル</x:v>
      </x:c>
      <x:c r="AC5" s="42" t="str">
        <x:v>公式Specificationの範囲＋ユーザー作成コーパスの論点を参考に独自作成</x:v>
      </x:c>
      <x:c r="AD5" s="53" t="str">
        <x:v>未レビュー</x:v>
      </x:c>
      <x:c r="AE5" s="53" t="str"/>
      <x:c r="AF5" s="53" t="str"/>
      <x:c r="AG5" s="43" t="str"/>
    </x:row>
    <x:row r="6" ht="84" customHeight="1">
      <x:c r="A6" s="41" t="str">
        <x:v>LO1-005</x:v>
      </x:c>
      <x:c r="B6" s="53" t="str">
        <x:v>LO1</x:v>
      </x:c>
      <x:c r="C6" s="42" t="str">
        <x:v>ブドウ畑・ワイナリーの自然要因と人的要因</x:v>
      </x:c>
      <x:c r="D6" s="42" t="str">
        <x:v>水分供給</x:v>
      </x:c>
      <x:c r="E6" s="42" t="str">
        <x:v>ブドウ樹に軽度の水不足によるストレスが生じた場合に期待される影響として、最も適切なものはどれか。</x:v>
      </x:c>
      <x:c r="F6" s="42" t="str">
        <x:v>新梢の成長が抑えられ、果実の成熟へ資源が向かいやすくなる</x:v>
      </x:c>
      <x:c r="G6" s="42" t="str">
        <x:v>光合成が大きく低下し、糖と風味の成熟が止まる</x:v>
      </x:c>
      <x:c r="H6" s="42" t="str">
        <x:v>果粒が大きくなり、果汁が希釈される</x:v>
      </x:c>
      <x:c r="I6" s="42" t="str">
        <x:v>葉が密になり、果房周辺の湿度が上昇する</x:v>
      </x:c>
      <x:c r="J6" s="53" t="str">
        <x:v>A</x:v>
      </x:c>
      <x:c r="K6" s="42" t="str">
        <x:v>新梢の成長が抑えられ、果実の成熟へ資源が向かいやすくなる</x:v>
      </x:c>
      <x:c r="L6" s="42" t="str">
        <x:v>適度な水不足は過剰な栄養成長を抑え、果実とキャノピーのバランス改善に役立つ場合がある。</x:v>
      </x:c>
      <x:c r="M6" s="42" t="str">
        <x:v>正しい。 適度な水不足は過剰な栄養成長を抑え、果実とキャノピーのバランス改善に役立つ場合がある。</x:v>
      </x:c>
      <x:c r="N6" s="42" t="str">
        <x:v>誤り。 これは重度の水不足で起こり得るが、軽度のストレスの典型的な効果ではない。</x:v>
      </x:c>
      <x:c r="O6" s="42" t="str">
        <x:v>誤り。 十分すぎる水分供給で起こりやすい影響であり、軽度の水不足では果粒が小さくなりやすい。</x:v>
      </x:c>
      <x:c r="P6" s="42" t="str">
        <x:v>誤り。 軽度の水不足はむしろ新梢成長を抑えることがあり、葉が密になるという説明は逆である。</x:v>
      </x:c>
      <x:c r="Q6" s="42" t="str">
        <x:v>自然要因</x:v>
      </x:c>
      <x:c r="R6" s="42" t="str">
        <x:v>水分・水不足ストレス</x:v>
      </x:c>
      <x:c r="S6" s="42" t="str">
        <x:v>非発泡性ワイン</x:v>
      </x:c>
      <x:c r="T6" s="42" t="str"/>
      <x:c r="U6" s="42" t="str"/>
      <x:c r="V6" s="42" t="str"/>
      <x:c r="W6" s="42" t="str">
        <x:v>適用</x:v>
      </x:c>
      <x:c r="X6" s="53" t="str">
        <x:v>D2</x:v>
      </x:c>
      <x:c r="Y6" s="42" t="str">
        <x:v>軽度水不足=光合成完全停止; 水不足=果粒肥大</x:v>
      </x:c>
      <x:c r="Z6" s="53" t="str">
        <x:v>N</x:v>
      </x:c>
      <x:c r="AA6" s="42" t="str"/>
      <x:c r="AB6" s="42" t="str">
        <x:v>オリジナル</x:v>
      </x:c>
      <x:c r="AC6" s="42" t="str">
        <x:v>公式Specificationの範囲＋ユーザー作成コーパスの論点を参考に独自作成</x:v>
      </x:c>
      <x:c r="AD6" s="53" t="str">
        <x:v>未レビュー</x:v>
      </x:c>
      <x:c r="AE6" s="53" t="str"/>
      <x:c r="AF6" s="53" t="str"/>
      <x:c r="AG6" s="43" t="str"/>
    </x:row>
    <x:row r="7" ht="84" customHeight="1">
      <x:c r="A7" s="41" t="str">
        <x:v>LO1-006</x:v>
      </x:c>
      <x:c r="B7" s="53" t="str">
        <x:v>LO1</x:v>
      </x:c>
      <x:c r="C7" s="42" t="str">
        <x:v>ブドウ畑・ワイナリーの自然要因と人的要因</x:v>
      </x:c>
      <x:c r="D7" s="42" t="str">
        <x:v>春霜対策</x:v>
      </x:c>
      <x:c r="E7" s="42" t="str">
        <x:v>萌芽後の春霜から芽を守るため、スプリンクラーを使用する場合の原理はどれか。</x:v>
      </x:c>
      <x:c r="F7" s="42" t="str">
        <x:v>散水で芽の糖度を高め、凍結温度を下げる</x:v>
      </x:c>
      <x:c r="G7" s="42" t="str">
        <x:v>水が凍る際に放出する潜熱によって、芽の温度をおおむね0℃付近に保つ</x:v>
      </x:c>
      <x:c r="H7" s="42" t="str">
        <x:v>散水した水が放射冷却を遮る膜となり、芽を外気から断熱する</x:v>
      </x:c>
      <x:c r="I7" s="42" t="str">
        <x:v>散水により風速を上げ、冷気を畑の外へ押し出す</x:v>
      </x:c>
      <x:c r="J7" s="53" t="str">
        <x:v>B</x:v>
      </x:c>
      <x:c r="K7" s="42" t="str">
        <x:v>水が凍る際に放出する潜熱によって、芽の温度をおおむね0℃付近に保つ</x:v>
      </x:c>
      <x:c r="L7" s="42" t="str">
        <x:v>散水を継続して氷が形成される間、放出される熱が芽の温度低下を抑える。</x:v>
      </x:c>
      <x:c r="M7" s="42" t="str">
        <x:v>誤り。 散水は芽の糖度を直接高めるために行うものではない。</x:v>
      </x:c>
      <x:c r="N7" s="42" t="str">
        <x:v>正しい。 散水を継続して氷が形成される間、放出される熱が芽の温度低下を抑える。</x:v>
      </x:c>
      <x:c r="O7" s="42" t="str">
        <x:v>誤り。 保護の主な原理は水が凍る際の潜熱であり、単なる断熱膜ではない。</x:v>
      </x:c>
      <x:c r="P7" s="42" t="str">
        <x:v>誤り。 風速を上げるのは送風機の役割であり、スプリンクラーの主要原理ではない。</x:v>
      </x:c>
      <x:c r="Q7" s="42" t="str">
        <x:v>人的要因（畑）</x:v>
      </x:c>
      <x:c r="R7" s="42" t="str">
        <x:v>霜害管理</x:v>
      </x:c>
      <x:c r="S7" s="42" t="str">
        <x:v>非発泡性ワイン</x:v>
      </x:c>
      <x:c r="T7" s="42" t="str"/>
      <x:c r="U7" s="42" t="str"/>
      <x:c r="V7" s="42" t="str"/>
      <x:c r="W7" s="42" t="str">
        <x:v>因果説明</x:v>
      </x:c>
      <x:c r="X7" s="53" t="str">
        <x:v>D3</x:v>
      </x:c>
      <x:c r="Y7" s="42" t="str">
        <x:v>散水=糖度上昇; 散水=送風</x:v>
      </x:c>
      <x:c r="Z7" s="53" t="str">
        <x:v>N</x:v>
      </x:c>
      <x:c r="AA7" s="42" t="str"/>
      <x:c r="AB7" s="42" t="str">
        <x:v>オリジナル</x:v>
      </x:c>
      <x:c r="AC7" s="42" t="str">
        <x:v>公式Specificationの範囲＋ユーザー作成コーパスの論点を参考に独自作成</x:v>
      </x:c>
      <x:c r="AD7" s="53" t="str">
        <x:v>未レビュー</x:v>
      </x:c>
      <x:c r="AE7" s="53" t="str"/>
      <x:c r="AF7" s="53" t="str"/>
      <x:c r="AG7" s="43" t="str"/>
    </x:row>
    <x:row r="8" ht="84" customHeight="1">
      <x:c r="A8" s="41" t="str">
        <x:v>LO1-007</x:v>
      </x:c>
      <x:c r="B8" s="53" t="str">
        <x:v>LO1</x:v>
      </x:c>
      <x:c r="C8" s="42" t="str">
        <x:v>ブドウ畑・ワイナリーの自然要因と人的要因</x:v>
      </x:c>
      <x:c r="D8" s="42" t="str">
        <x:v>キャノピー・マネジメント</x:v>
      </x:c>
      <x:c r="E8" s="42" t="str">
        <x:v>湿度の高い畑でキャノピーを開くことが菌類病のリスク低下につながる主な理由はどれか。</x:v>
      </x:c>
      <x:c r="F8" s="42" t="str">
        <x:v>果房の糖度を直接下げるため</x:v>
      </x:c>
      <x:c r="G8" s="42" t="str">
        <x:v>土壌のpHを下げるため</x:v>
      </x:c>
      <x:c r="H8" s="42" t="str">
        <x:v>通風と日照が改善し、葉や果房が乾きやすくなるため</x:v>
      </x:c>
      <x:c r="I8" s="42" t="str">
        <x:v>フィロキセラが地上部へ移動するため</x:v>
      </x:c>
      <x:c r="J8" s="53" t="str">
        <x:v>C</x:v>
      </x:c>
      <x:c r="K8" s="42" t="str">
        <x:v>通風と日照が改善し、葉や果房が乾きやすくなるため</x:v>
      </x:c>
      <x:c r="L8" s="42" t="str">
        <x:v>湿った状態が続く時間を短くし、菌類病が発生しやすい環境を抑える。</x:v>
      </x:c>
      <x:c r="M8" s="42" t="str">
        <x:v>誤り。 キャノピーを開く主目的は微気候の改善であり、糖度を直接下げることではない。</x:v>
      </x:c>
      <x:c r="N8" s="42" t="str">
        <x:v>誤り。 キャノピー管理は土壌pHを直接変化させない。</x:v>
      </x:c>
      <x:c r="O8" s="42" t="str">
        <x:v>正しい。 湿った状態が続く時間を短くし、菌類病が発生しやすい環境を抑える。</x:v>
      </x:c>
      <x:c r="P8" s="42" t="str">
        <x:v>誤り。 フィロキセラ対策の中心は抵抗性台木であり、キャノピーを開くこととは関係がない。</x:v>
      </x:c>
      <x:c r="Q8" s="42" t="str">
        <x:v>人的要因（畑）</x:v>
      </x:c>
      <x:c r="R8" s="42" t="str">
        <x:v>キャノピー・マネジメント</x:v>
      </x:c>
      <x:c r="S8" s="42" t="str">
        <x:v>非発泡性ワイン</x:v>
      </x:c>
      <x:c r="T8" s="42" t="str"/>
      <x:c r="U8" s="42" t="str"/>
      <x:c r="V8" s="42" t="str"/>
      <x:c r="W8" s="42" t="str">
        <x:v>因果説明</x:v>
      </x:c>
      <x:c r="X8" s="53" t="str">
        <x:v>D2</x:v>
      </x:c>
      <x:c r="Y8" s="42" t="str">
        <x:v>キャノピー=土壌pH; キャノピー=フィロキセラ対策</x:v>
      </x:c>
      <x:c r="Z8" s="53" t="str">
        <x:v>N</x:v>
      </x:c>
      <x:c r="AA8" s="42" t="str"/>
      <x:c r="AB8" s="42" t="str">
        <x:v>オリジナル</x:v>
      </x:c>
      <x:c r="AC8" s="42" t="str">
        <x:v>公式Specificationの範囲＋ユーザー作成コーパスの論点を参考に独自作成</x:v>
      </x:c>
      <x:c r="AD8" s="53" t="str">
        <x:v>未レビュー</x:v>
      </x:c>
      <x:c r="AE8" s="53" t="str"/>
      <x:c r="AF8" s="53" t="str"/>
      <x:c r="AG8" s="43" t="str"/>
    </x:row>
    <x:row r="9" ht="84" customHeight="1">
      <x:c r="A9" s="41" t="str">
        <x:v>LO1-008</x:v>
      </x:c>
      <x:c r="B9" s="53" t="str">
        <x:v>LO1</x:v>
      </x:c>
      <x:c r="C9" s="42" t="str">
        <x:v>ブドウ畑・ワイナリーの自然要因と人的要因</x:v>
      </x:c>
      <x:c r="D9" s="42" t="str">
        <x:v>収穫方法</x:v>
      </x:c>
      <x:c r="E9" s="42" t="str">
        <x:v>手摘みが機械収穫より特に有利となる状況はどれか。</x:v>
      </x:c>
      <x:c r="F9" s="42" t="str">
        <x:v>広く平坦な畑で、短時間に大量のブドウを低コストで収穫したい場合</x:v>
      </x:c>
      <x:c r="G9" s="42" t="str">
        <x:v>夜間に収穫し、冷たい果実をすぐワイナリーへ運びたい場合</x:v>
      </x:c>
      <x:c r="H9" s="42" t="str">
        <x:v>広い畑で成熟度が均一な果実を一度に収穫する場合</x:v>
      </x:c>
      <x:c r="I9" s="42" t="str">
        <x:v>貴腐化した粒だけを複数回に分けて選別収穫する場合</x:v>
      </x:c>
      <x:c r="J9" s="53" t="str">
        <x:v>D</x:v>
      </x:c>
      <x:c r="K9" s="42" t="str">
        <x:v>貴腐化した粒だけを複数回に分けて選別収穫する場合</x:v>
      </x:c>
      <x:c r="L9" s="42" t="str">
        <x:v>粒や房を選びながら何度も収穫するには人の判断が必要で、手摘みが不可欠に近い。</x:v>
      </x:c>
      <x:c r="M9" s="42" t="str">
        <x:v>誤り。 この条件では一般に機械収穫の方が速度とコスト面で有利である。</x:v>
      </x:c>
      <x:c r="N9" s="42" t="str">
        <x:v>誤り。 機械収穫でも夜間収穫が可能であり、手摘み固有の利点ではない。</x:v>
      </x:c>
      <x:c r="O9" s="42" t="str">
        <x:v>誤り。 成熟が均一で一斉収穫するなら機械収穫が効率的で、手摘みの特別な優位性は小さい。</x:v>
      </x:c>
      <x:c r="P9" s="42" t="str">
        <x:v>正しい。 粒や房を選びながら何度も収穫するには人の判断が必要で、手摘みが不可欠に近い。</x:v>
      </x:c>
      <x:c r="Q9" s="42" t="str">
        <x:v>人的要因（畑）</x:v>
      </x:c>
      <x:c r="R9" s="42" t="str">
        <x:v>手摘み・選別収穫</x:v>
      </x:c>
      <x:c r="S9" s="42" t="str">
        <x:v>甘口非発泡性ワイン</x:v>
      </x:c>
      <x:c r="T9" s="42" t="str"/>
      <x:c r="U9" s="42" t="str"/>
      <x:c r="V9" s="42" t="str"/>
      <x:c r="W9" s="42" t="str">
        <x:v>適用</x:v>
      </x:c>
      <x:c r="X9" s="53" t="str">
        <x:v>D2</x:v>
      </x:c>
      <x:c r="Y9" s="42" t="str">
        <x:v>夜間収穫は手摘みのみ; 選別収穫に機械が最適</x:v>
      </x:c>
      <x:c r="Z9" s="53" t="str">
        <x:v>N</x:v>
      </x:c>
      <x:c r="AA9" s="42" t="str"/>
      <x:c r="AB9" s="42" t="str">
        <x:v>オリジナル</x:v>
      </x:c>
      <x:c r="AC9" s="42" t="str">
        <x:v>公式Specificationの範囲＋ユーザー作成コーパスの論点を参考に独自作成</x:v>
      </x:c>
      <x:c r="AD9" s="53" t="str">
        <x:v>未レビュー</x:v>
      </x:c>
      <x:c r="AE9" s="53" t="str"/>
      <x:c r="AF9" s="53" t="str"/>
      <x:c r="AG9" s="43" t="str"/>
    </x:row>
    <x:row r="10" ht="84" customHeight="1">
      <x:c r="A10" s="41" t="str">
        <x:v>LO1-009</x:v>
      </x:c>
      <x:c r="B10" s="53" t="str">
        <x:v>LO1</x:v>
      </x:c>
      <x:c r="C10" s="42" t="str">
        <x:v>ブドウ畑・ワイナリーの自然要因と人的要因</x:v>
      </x:c>
      <x:c r="D10" s="42" t="str">
        <x:v>収穫時期</x:v>
      </x:c>
      <x:c r="E10" s="42" t="str">
        <x:v>収穫を遅らせることで一般に期待される変化はどれか。</x:v>
      </x:c>
      <x:c r="F10" s="42" t="str">
        <x:v>糖度が高まり、酸が低下し、より熟した果実風味になりやすい</x:v>
      </x:c>
      <x:c r="G10" s="42" t="str">
        <x:v>糖度が低下し、酸が高まり、青い風味が強くなる</x:v>
      </x:c>
      <x:c r="H10" s="42" t="str">
        <x:v>糖度が上がる一方、発酵後のアルコール度は低くなる</x:v>
      </x:c>
      <x:c r="I10" s="42" t="str">
        <x:v>樹上で果粒が膨らみ続けるため、収量が増加する</x:v>
      </x:c>
      <x:c r="J10" s="53" t="str">
        <x:v>A</x:v>
      </x:c>
      <x:c r="K10" s="42" t="str">
        <x:v>糖度が高まり、酸が低下し、より熟した果実風味になりやすい</x:v>
      </x:c>
      <x:c r="L10" s="42" t="str">
        <x:v>成熟の進行により糖が蓄積し、酸が減少し、果実風味も熟した方向へ変化しやすい。</x:v>
      </x:c>
      <x:c r="M10" s="42" t="str">
        <x:v>正しい。 成熟の進行により糖が蓄積し、酸が減少し、果実風味も熟した方向へ変化しやすい。</x:v>
      </x:c>
      <x:c r="N10" s="42" t="str">
        <x:v>誤り。 これは早すぎる収穫の特徴に近く、遅摘みの一般的な結果ではない。</x:v>
      </x:c>
      <x:c r="O10" s="42" t="str">
        <x:v>誤り。 糖度が高いほど、完全発酵した場合の潜在アルコール度は高くなる。</x:v>
      </x:c>
      <x:c r="P10" s="42" t="str">
        <x:v>誤り。 遅摘みでは水分蒸散や病害、鳥害などで収量が減ることが多く、果粒が膨らみ続けるとは限らない。</x:v>
      </x:c>
      <x:c r="Q10" s="42" t="str">
        <x:v>人的要因（畑）</x:v>
      </x:c>
      <x:c r="R10" s="42" t="str">
        <x:v>収穫時期</x:v>
      </x:c>
      <x:c r="S10" s="42" t="str">
        <x:v>非発泡性ワイン</x:v>
      </x:c>
      <x:c r="T10" s="42" t="str"/>
      <x:c r="U10" s="42" t="str"/>
      <x:c r="V10" s="42" t="str"/>
      <x:c r="W10" s="42" t="str">
        <x:v>因果説明</x:v>
      </x:c>
      <x:c r="X10" s="53" t="str">
        <x:v>D1</x:v>
      </x:c>
      <x:c r="Y10" s="42" t="str">
        <x:v>遅摘み=低糖; 遅摘み=必ず増収</x:v>
      </x:c>
      <x:c r="Z10" s="53" t="str">
        <x:v>N</x:v>
      </x:c>
      <x:c r="AA10" s="42" t="str"/>
      <x:c r="AB10" s="42" t="str">
        <x:v>オリジナル</x:v>
      </x:c>
      <x:c r="AC10" s="42" t="str">
        <x:v>公式Specificationの範囲＋ユーザー作成コーパスの論点を参考に独自作成</x:v>
      </x:c>
      <x:c r="AD10" s="53" t="str">
        <x:v>未レビュー</x:v>
      </x:c>
      <x:c r="AE10" s="53" t="str"/>
      <x:c r="AF10" s="53" t="str"/>
      <x:c r="AG10" s="43" t="str"/>
    </x:row>
    <x:row r="11" ht="84" customHeight="1">
      <x:c r="A11" s="41" t="str">
        <x:v>LO1-010</x:v>
      </x:c>
      <x:c r="B11" s="53" t="str">
        <x:v>LO1</x:v>
      </x:c>
      <x:c r="C11" s="42" t="str">
        <x:v>ブドウ畑・ワイナリーの自然要因と人的要因</x:v>
      </x:c>
      <x:c r="D11" s="42" t="str">
        <x:v>貴腐</x:v>
      </x:c>
      <x:c r="E11" s="42" t="str">
        <x:v>貴腐が健全に進行したブドウで、糖分と風味が濃縮される主な仕組みはどれか。</x:v>
      </x:c>
      <x:c r="F11" s="42" t="str">
        <x:v>菌が果粒内で新たな糖を大量に生成する</x:v>
      </x:c>
      <x:c r="G11" s="42" t="str">
        <x:v>菌が果皮に微細な穴を開け、水分の蒸発を促す</x:v>
      </x:c>
      <x:c r="H11" s="42" t="str">
        <x:v>菌が果皮を厚くし、果汁量を増やす</x:v>
      </x:c>
      <x:c r="I11" s="42" t="str">
        <x:v>菌がアルコール発酵を果房上で完了させる</x:v>
      </x:c>
      <x:c r="J11" s="53" t="str">
        <x:v>B</x:v>
      </x:c>
      <x:c r="K11" s="42" t="str">
        <x:v>菌が果皮に微細な穴を開け、水分の蒸発を促す</x:v>
      </x:c>
      <x:c r="L11" s="42" t="str">
        <x:v>果皮が傷つき水分が失われるため、糖、酸、風味成分が濃縮する。</x:v>
      </x:c>
      <x:c r="M11" s="42" t="str">
        <x:v>誤り。 ボトリティス菌が糖を作るのではなく、水分が失われることで既存の成分が濃縮される。</x:v>
      </x:c>
      <x:c r="N11" s="42" t="str">
        <x:v>正しい。 果皮が傷つき水分が失われるため、糖、酸、風味成分が濃縮する。</x:v>
      </x:c>
      <x:c r="O11" s="42" t="str">
        <x:v>誤り。 貴腐は果粒をしぼませ、果汁量を減らす方向に働く。</x:v>
      </x:c>
      <x:c r="P11" s="42" t="str">
        <x:v>誤り。 発酵は通常ワイナリーで酵母によって行われ、畑で完了するものではない。</x:v>
      </x:c>
      <x:c r="Q11" s="42" t="str">
        <x:v>自然・人的要因</x:v>
      </x:c>
      <x:c r="R11" s="42" t="str">
        <x:v>貴腐・糖分濃縮</x:v>
      </x:c>
      <x:c r="S11" s="42" t="str">
        <x:v>甘口非発泡性ワイン</x:v>
      </x:c>
      <x:c r="T11" s="42" t="str"/>
      <x:c r="U11" s="42" t="str"/>
      <x:c r="V11" s="42" t="str"/>
      <x:c r="W11" s="42" t="str">
        <x:v>因果説明</x:v>
      </x:c>
      <x:c r="X11" s="53" t="str">
        <x:v>D2</x:v>
      </x:c>
      <x:c r="Y11" s="42" t="str">
        <x:v>貴腐菌が糖を生成; 畑で発酵</x:v>
      </x:c>
      <x:c r="Z11" s="53" t="str">
        <x:v>N</x:v>
      </x:c>
      <x:c r="AA11" s="42" t="str"/>
      <x:c r="AB11" s="42" t="str">
        <x:v>オリジナル</x:v>
      </x:c>
      <x:c r="AC11" s="42" t="str">
        <x:v>公式Specificationの範囲＋ユーザー作成コーパスの論点を参考に独自作成</x:v>
      </x:c>
      <x:c r="AD11" s="53" t="str">
        <x:v>未レビュー</x:v>
      </x:c>
      <x:c r="AE11" s="53" t="str"/>
      <x:c r="AF11" s="53" t="str"/>
      <x:c r="AG11" s="43" t="str"/>
    </x:row>
    <x:row r="12" ht="84" customHeight="1">
      <x:c r="A12" s="41" t="str">
        <x:v>LO1-011</x:v>
      </x:c>
      <x:c r="B12" s="53" t="str">
        <x:v>LO1</x:v>
      </x:c>
      <x:c r="C12" s="42" t="str">
        <x:v>ブドウ畑・ワイナリーの自然要因と人的要因</x:v>
      </x:c>
      <x:c r="D12" s="42" t="str">
        <x:v>亜硫酸</x:v>
      </x:c>
      <x:c r="E12" s="42" t="str">
        <x:v>ワイン醸造で亜硫酸を使用する主な目的の組み合わせはどれか。</x:v>
      </x:c>
      <x:c r="F12" s="42" t="str">
        <x:v>アルコール度を高め、酸を低下させる</x:v>
      </x:c>
      <x:c r="G12" s="42" t="str">
        <x:v>タンニンを増やし、色を濃くする</x:v>
      </x:c>
      <x:c r="H12" s="42" t="str">
        <x:v>酸化を抑え、望ましくない微生物の活動を抑制する</x:v>
      </x:c>
      <x:c r="I12" s="42" t="str">
        <x:v>酒石酸塩を除去し、瓶内圧を高める</x:v>
      </x:c>
      <x:c r="J12" s="53" t="str">
        <x:v>C</x:v>
      </x:c>
      <x:c r="K12" s="42" t="str">
        <x:v>酸化を抑え、望ましくない微生物の活動を抑制する</x:v>
      </x:c>
      <x:c r="L12" s="42" t="str">
        <x:v>亜硫酸は抗酸化作用と抗菌作用を持ち、果汁やワインの保護に用いられる。</x:v>
      </x:c>
      <x:c r="M12" s="42" t="str">
        <x:v>誤り。 亜硫酸は糖をアルコールに変えるものでも、酸を直接下げるものでもない。</x:v>
      </x:c>
      <x:c r="N12" s="42" t="str">
        <x:v>誤り。 亜硫酸の主目的は酸化と微生物の管理であり、タンニンを増加させることではない。</x:v>
      </x:c>
      <x:c r="O12" s="42" t="str">
        <x:v>正しい。 亜硫酸は抗酸化作用と抗菌作用を持ち、果汁やワインの保護に用いられる。</x:v>
      </x:c>
      <x:c r="P12" s="42" t="str">
        <x:v>誤り。 酒石酸安定化や発泡性ワインの加圧は亜硫酸の役割ではない。</x:v>
      </x:c>
      <x:c r="Q12" s="42" t="str">
        <x:v>人的要因（ワイナリー）</x:v>
      </x:c>
      <x:c r="R12" s="42" t="str">
        <x:v>亜硫酸・酸素管理</x:v>
      </x:c>
      <x:c r="S12" s="42" t="str">
        <x:v>全般</x:v>
      </x:c>
      <x:c r="T12" s="42" t="str"/>
      <x:c r="U12" s="42" t="str"/>
      <x:c r="V12" s="42" t="str"/>
      <x:c r="W12" s="42" t="str">
        <x:v>知識確認</x:v>
      </x:c>
      <x:c r="X12" s="53" t="str">
        <x:v>D1</x:v>
      </x:c>
      <x:c r="Y12" s="42" t="str">
        <x:v>亜硫酸=アルコール増加; 亜硫酸=酒石安定化</x:v>
      </x:c>
      <x:c r="Z12" s="53" t="str">
        <x:v>N</x:v>
      </x:c>
      <x:c r="AA12" s="42" t="str"/>
      <x:c r="AB12" s="42" t="str">
        <x:v>オリジナル</x:v>
      </x:c>
      <x:c r="AC12" s="42" t="str">
        <x:v>公式Specificationの範囲＋ユーザー作成コーパスの論点を参考に独自作成</x:v>
      </x:c>
      <x:c r="AD12" s="53" t="str">
        <x:v>未レビュー</x:v>
      </x:c>
      <x:c r="AE12" s="53" t="str"/>
      <x:c r="AF12" s="53" t="str"/>
      <x:c r="AG12" s="43" t="str"/>
    </x:row>
    <x:row r="13" ht="84" customHeight="1">
      <x:c r="A13" s="41" t="str">
        <x:v>LO1-012</x:v>
      </x:c>
      <x:c r="B13" s="53" t="str">
        <x:v>LO1</x:v>
      </x:c>
      <x:c r="C13" s="42" t="str">
        <x:v>ブドウ畑・ワイナリーの自然要因と人的要因</x:v>
      </x:c>
      <x:c r="D13" s="42" t="str">
        <x:v>マロラクティック発酵</x:v>
      </x:c>
      <x:c r="E13" s="42" t="str">
        <x:v>マロラクティック発酵（MLF）がワインに与える典型的な影響はどれか。</x:v>
      </x:c>
      <x:c r="F13" s="42" t="str">
        <x:v>酒石酸を糖に変え、甘味を増やす</x:v>
      </x:c>
      <x:c r="G13" s="42" t="str">
        <x:v>アルコールを酢酸に変え、酢のような香りを生じさせる</x:v>
      </x:c>
      <x:c r="H13" s="42" t="str">
        <x:v>果皮から色素を抽出し、赤ワインの色を濃くする</x:v>
      </x:c>
      <x:c r="I13" s="42" t="str">
        <x:v>リンゴ酸を乳酸に変え、酸味を柔らかくし、場合によりバター様の香りを加える</x:v>
      </x:c>
      <x:c r="J13" s="53" t="str">
        <x:v>D</x:v>
      </x:c>
      <x:c r="K13" s="42" t="str">
        <x:v>リンゴ酸を乳酸に変え、酸味を柔らかくし、場合によりバター様の香りを加える</x:v>
      </x:c>
      <x:c r="L13" s="42" t="str">
        <x:v>乳酸はリンゴ酸より穏やかで、ジアセチルによりバター様の香りが生じる場合がある。</x:v>
      </x:c>
      <x:c r="M13" s="42" t="str">
        <x:v>誤り。 MLFは主にリンゴ酸を乳酸へ変換するもので、酒石酸を糖に変えない。</x:v>
      </x:c>
      <x:c r="N13" s="42" t="str">
        <x:v>誤り。 これは酢酸菌などによる望ましくない変化に近く、正常なMLFの説明ではない。</x:v>
      </x:c>
      <x:c r="O13" s="42" t="str">
        <x:v>誤り。 色素抽出は主にマセラシオンや発酵中の抽出による。</x:v>
      </x:c>
      <x:c r="P13" s="42" t="str">
        <x:v>正しい。 乳酸はリンゴ酸より穏やかで、ジアセチルによりバター様の香りが生じる場合がある。</x:v>
      </x:c>
      <x:c r="Q13" s="42" t="str">
        <x:v>人的要因（ワイナリー）</x:v>
      </x:c>
      <x:c r="R13" s="42" t="str">
        <x:v>マロラクティック発酵</x:v>
      </x:c>
      <x:c r="S13" s="42" t="str">
        <x:v>全般</x:v>
      </x:c>
      <x:c r="T13" s="42" t="str"/>
      <x:c r="U13" s="42" t="str"/>
      <x:c r="V13" s="42" t="str"/>
      <x:c r="W13" s="42" t="str">
        <x:v>因果説明</x:v>
      </x:c>
      <x:c r="X13" s="53" t="str">
        <x:v>D1</x:v>
      </x:c>
      <x:c r="Y13" s="42" t="str">
        <x:v>MLF=糖生成; MLF=色抽出</x:v>
      </x:c>
      <x:c r="Z13" s="53" t="str">
        <x:v>N</x:v>
      </x:c>
      <x:c r="AA13" s="42" t="str"/>
      <x:c r="AB13" s="42" t="str">
        <x:v>オリジナル</x:v>
      </x:c>
      <x:c r="AC13" s="42" t="str">
        <x:v>公式Specificationの範囲＋ユーザー作成コーパスの論点を参考に独自作成</x:v>
      </x:c>
      <x:c r="AD13" s="53" t="str">
        <x:v>未レビュー</x:v>
      </x:c>
      <x:c r="AE13" s="53" t="str"/>
      <x:c r="AF13" s="53" t="str"/>
      <x:c r="AG13" s="43" t="str"/>
    </x:row>
    <x:row r="14" ht="84" customHeight="1">
      <x:c r="A14" s="41" t="str">
        <x:v>LO1-013</x:v>
      </x:c>
      <x:c r="B14" s="53" t="str">
        <x:v>LO1</x:v>
      </x:c>
      <x:c r="C14" s="42" t="str">
        <x:v>ブドウ畑・ワイナリーの自然要因と人的要因</x:v>
      </x:c>
      <x:c r="D14" s="42" t="str">
        <x:v>オーク樽</x:v>
      </x:c>
      <x:c r="E14" s="42" t="str">
        <x:v>同じ期間熟成する場合、小型のオーク樽が大型の古樽よりワインへ強い影響を与えやすい主な理由はどれか。</x:v>
      </x:c>
      <x:c r="F14" s="42" t="str">
        <x:v>ワイン量に対する木材表面積の比率が大きいから</x:v>
      </x:c>
      <x:c r="G14" s="42" t="str">
        <x:v>小樽では酸素が遮断され、アルコール発酵が再開するから</x:v>
      </x:c>
      <x:c r="H14" s="42" t="str">
        <x:v>小樽には新しい木材が使われ、大型樽には香りを与えない木材が使われるから</x:v>
      </x:c>
      <x:c r="I14" s="42" t="str">
        <x:v>小樽の内部で酒石酸塩がより速く溶解するから</x:v>
      </x:c>
      <x:c r="J14" s="53" t="str">
        <x:v>A</x:v>
      </x:c>
      <x:c r="K14" s="42" t="str">
        <x:v>ワイン量に対する木材表面積の比率が大きいから</x:v>
      </x:c>
      <x:c r="L14" s="42" t="str">
        <x:v>小樽ではワインが接する木材面積が相対的に大きく、オーク由来の風味や酸素の影響を受けやすい。</x:v>
      </x:c>
      <x:c r="M14" s="42" t="str">
        <x:v>正しい。 小樽ではワインが接する木材面積が相対的に大きく、オーク由来の風味や酸素の影響を受けやすい。</x:v>
      </x:c>
      <x:c r="N14" s="42" t="str">
        <x:v>誤り。 小樽は穏やかな酸素接触を与えることがあり、樽サイズが発酵再開を直接決めるわけではない。</x:v>
      </x:c>
      <x:c r="O14" s="42" t="str">
        <x:v>誤り。 樽の新旧とサイズは別の要素であり、どちらのサイズにも新樽・古樽があり得る。</x:v>
      </x:c>
      <x:c r="P14" s="42" t="str">
        <x:v>誤り。 酒石酸塩の安定性は温度などで管理され、樽サイズが主な説明ではない。</x:v>
      </x:c>
      <x:c r="Q14" s="42" t="str">
        <x:v>人的要因（ワイナリー）</x:v>
      </x:c>
      <x:c r="R14" s="42" t="str">
        <x:v>オーク熟成</x:v>
      </x:c>
      <x:c r="S14" s="42" t="str">
        <x:v>非発泡性ワイン</x:v>
      </x:c>
      <x:c r="T14" s="42" t="str"/>
      <x:c r="U14" s="42" t="str"/>
      <x:c r="V14" s="42" t="str"/>
      <x:c r="W14" s="42" t="str">
        <x:v>因果説明</x:v>
      </x:c>
      <x:c r="X14" s="53" t="str">
        <x:v>D2</x:v>
      </x:c>
      <x:c r="Y14" s="42" t="str">
        <x:v>小樽=必ず新樽; 樽熟成=酒石除去</x:v>
      </x:c>
      <x:c r="Z14" s="53" t="str">
        <x:v>N</x:v>
      </x:c>
      <x:c r="AA14" s="42" t="str"/>
      <x:c r="AB14" s="42" t="str">
        <x:v>オリジナル</x:v>
      </x:c>
      <x:c r="AC14" s="42" t="str">
        <x:v>公式Specificationの範囲＋ユーザー作成コーパスの論点を参考に独自作成</x:v>
      </x:c>
      <x:c r="AD14" s="53" t="str">
        <x:v>未レビュー</x:v>
      </x:c>
      <x:c r="AE14" s="53" t="str"/>
      <x:c r="AF14" s="53" t="str"/>
      <x:c r="AG14" s="43" t="str"/>
    </x:row>
    <x:row r="15" ht="84" customHeight="1">
      <x:c r="A15" s="41" t="str">
        <x:v>LO1-014</x:v>
      </x:c>
      <x:c r="B15" s="53" t="str">
        <x:v>LO1</x:v>
      </x:c>
      <x:c r="C15" s="42" t="str">
        <x:v>ブドウ畑・ワイナリーの自然要因と人的要因</x:v>
      </x:c>
      <x:c r="D15" s="42" t="str">
        <x:v>澱との接触</x:v>
      </x:c>
      <x:c r="E15" s="42" t="str">
        <x:v>白ワインを細かい澱と接触させて熟成することで期待される効果はどれか。</x:v>
      </x:c>
      <x:c r="F15" s="42" t="str">
        <x:v>果皮由来のタンニンと色素が増え、赤ワインに近い構造になる</x:v>
      </x:c>
      <x:c r="G15" s="42" t="str">
        <x:v>口当たりに厚みが加わり、パン生地やビスケットを思わせる風味が生じることがある</x:v>
      </x:c>
      <x:c r="H15" s="42" t="str">
        <x:v>澱がアルコールを吸収し、ワインのアルコール度を大きく下げる</x:v>
      </x:c>
      <x:c r="I15" s="42" t="str">
        <x:v>澱中の酵母が残糖を発酵し続け、辛口のスタイルを決める</x:v>
      </x:c>
      <x:c r="J15" s="53" t="str">
        <x:v>B</x:v>
      </x:c>
      <x:c r="K15" s="42" t="str">
        <x:v>口当たりに厚みが加わり、パン生地やビスケットを思わせる風味が生じることがある</x:v>
      </x:c>
      <x:c r="L15" s="42" t="str">
        <x:v>酵母の自己分解により多糖類や風味成分が放出され、質感と複雑さが増すことがある。</x:v>
      </x:c>
      <x:c r="M15" s="42" t="str">
        <x:v>誤り。 澱との接触はタンニンや色素抽出を目的とする工程ではない。</x:v>
      </x:c>
      <x:c r="N15" s="42" t="str">
        <x:v>正しい。 酵母の自己分解により多糖類や風味成分が放出され、質感と複雑さが増すことがある。</x:v>
      </x:c>
      <x:c r="O15" s="42" t="str">
        <x:v>誤り。 澱との接触はアルコールを大幅に除去する工程ではない。</x:v>
      </x:c>
      <x:c r="P15" s="42" t="str">
        <x:v>誤り。 澱との接触だけで再発酵が起こるわけではなく、残糖管理とは別である。</x:v>
      </x:c>
      <x:c r="Q15" s="42" t="str">
        <x:v>人的要因（ワイナリー）</x:v>
      </x:c>
      <x:c r="R15" s="42" t="str">
        <x:v>澱との接触</x:v>
      </x:c>
      <x:c r="S15" s="42" t="str">
        <x:v>白・発泡性ワイン</x:v>
      </x:c>
      <x:c r="T15" s="42" t="str"/>
      <x:c r="U15" s="42" t="str"/>
      <x:c r="V15" s="42" t="str"/>
      <x:c r="W15" s="42" t="str">
        <x:v>因果説明</x:v>
      </x:c>
      <x:c r="X15" s="53" t="str">
        <x:v>D2</x:v>
      </x:c>
      <x:c r="Y15" s="42" t="str">
        <x:v>澱接触=タンニン抽出; 澱接触=アルコール低下</x:v>
      </x:c>
      <x:c r="Z15" s="53" t="str">
        <x:v>N</x:v>
      </x:c>
      <x:c r="AA15" s="42" t="str"/>
      <x:c r="AB15" s="42" t="str">
        <x:v>オリジナル</x:v>
      </x:c>
      <x:c r="AC15" s="42" t="str">
        <x:v>公式Specificationの範囲＋ユーザー作成コーパスの論点を参考に独自作成</x:v>
      </x:c>
      <x:c r="AD15" s="53" t="str">
        <x:v>未レビュー</x:v>
      </x:c>
      <x:c r="AE15" s="53" t="str"/>
      <x:c r="AF15" s="53" t="str"/>
      <x:c r="AG15" s="43" t="str"/>
    </x:row>
    <x:row r="16" ht="84" customHeight="1">
      <x:c r="A16" s="41" t="str">
        <x:v>LO1-015</x:v>
      </x:c>
      <x:c r="B16" s="53" t="str">
        <x:v>LO1</x:v>
      </x:c>
      <x:c r="C16" s="42" t="str">
        <x:v>ブドウ畑・ワイナリーの自然要因と人的要因</x:v>
      </x:c>
      <x:c r="D16" s="42" t="str">
        <x:v>炭酸ガス浸漬法</x:v>
      </x:c>
      <x:c r="E16" s="42" t="str">
        <x:v>炭酸ガス浸漬法で造られた赤ワインに最も典型的な特徴はどれか。</x:v>
      </x:c>
      <x:c r="F16" s="42" t="str">
        <x:v>高いタンニンと長期熟成向きの厳格な骨格</x:v>
      </x:c>
      <x:c r="G16" s="42" t="str">
        <x:v>強い酸化香と褐色の色調</x:v>
      </x:c>
      <x:c r="H16" s="42" t="str">
        <x:v>鮮やかな果実香、低めのタンニン、早飲みのスタイル</x:v>
      </x:c>
      <x:c r="I16" s="42" t="str">
        <x:v>高い残糖と酒精強化による高アルコール</x:v>
      </x:c>
      <x:c r="J16" s="53" t="str">
        <x:v>C</x:v>
      </x:c>
      <x:c r="K16" s="42" t="str">
        <x:v>鮮やかな果実香、低めのタンニン、早飲みのスタイル</x:v>
      </x:c>
      <x:c r="L16" s="42" t="str">
        <x:v>細胞内発酵によりキャンディーやバナナを思わせる香りが生じ、抽出が穏やかなためタンニンが低くなりやすい。</x:v>
      </x:c>
      <x:c r="M16" s="42" t="str">
        <x:v>誤り。 全房を無酸素環境で発酵させる方法は抽出が穏やかで、一般に低タンニンの早飲みスタイルになりやすい。</x:v>
      </x:c>
      <x:c r="N16" s="42" t="str">
        <x:v>誤り。 この方法は酸化熟成を目的とせず、若々しい果実香を保つ方向に働く。</x:v>
      </x:c>
      <x:c r="O16" s="42" t="str">
        <x:v>正しい。 細胞内発酵によりキャンディーやバナナを思わせる香りが生じ、抽出が穏やかなためタンニンが低くなりやすい。</x:v>
      </x:c>
      <x:c r="P16" s="42" t="str">
        <x:v>誤り。 炭酸ガス浸漬法は甘口化や酒精強化の方法ではない。</x:v>
      </x:c>
      <x:c r="Q16" s="42" t="str">
        <x:v>人的要因（ワイナリー）</x:v>
      </x:c>
      <x:c r="R16" s="42" t="str">
        <x:v>炭酸ガス浸漬法</x:v>
      </x:c>
      <x:c r="S16" s="42" t="str">
        <x:v>赤非発泡性ワイン</x:v>
      </x:c>
      <x:c r="T16" s="42" t="str"/>
      <x:c r="U16" s="42" t="str"/>
      <x:c r="V16" s="42" t="str"/>
      <x:c r="W16" s="42" t="str">
        <x:v>知識確認</x:v>
      </x:c>
      <x:c r="X16" s="53" t="str">
        <x:v>D1</x:v>
      </x:c>
      <x:c r="Y16" s="42" t="str">
        <x:v>炭酸ガス浸漬=高タンニン; 炭酸ガス浸漬=酒精強化</x:v>
      </x:c>
      <x:c r="Z16" s="53" t="str">
        <x:v>N</x:v>
      </x:c>
      <x:c r="AA16" s="42" t="str"/>
      <x:c r="AB16" s="42" t="str">
        <x:v>オリジナル</x:v>
      </x:c>
      <x:c r="AC16" s="42" t="str">
        <x:v>公式Specificationの範囲＋ユーザー作成コーパスの論点を参考に独自作成</x:v>
      </x:c>
      <x:c r="AD16" s="53" t="str">
        <x:v>未レビュー</x:v>
      </x:c>
      <x:c r="AE16" s="53" t="str"/>
      <x:c r="AF16" s="53" t="str"/>
      <x:c r="AG16" s="43" t="str"/>
    </x:row>
    <x:row r="17" ht="84" customHeight="1">
      <x:c r="A17" s="41" t="str">
        <x:v>LO1-016</x:v>
      </x:c>
      <x:c r="B17" s="53" t="str">
        <x:v>LO1</x:v>
      </x:c>
      <x:c r="C17" s="42" t="str">
        <x:v>ブドウ畑・ワイナリーの自然要因と人的要因</x:v>
      </x:c>
      <x:c r="D17" s="42" t="str">
        <x:v>圧搾</x:v>
      </x:c>
      <x:c r="E17" s="42" t="str">
        <x:v>白ワイン醸造で強い圧力をかけて圧搾した果汁を別に扱うことがある主な理由はどれか。</x:v>
      </x:c>
      <x:c r="F17" s="42" t="str">
        <x:v>圧力を高めるほど香りの強いフリーラン果汁が増えるため</x:v>
      </x:c>
      <x:c r="G17" s="42" t="str">
        <x:v>圧力を高めるほど果汁中の糖が果皮へ戻るため</x:v>
      </x:c>
      <x:c r="H17" s="42" t="str">
        <x:v>強い圧搾で果汁のアルコール度がすでに高くなるため</x:v>
      </x:c>
      <x:c r="I17" s="42" t="str">
        <x:v>後半の圧搾果汁にはフェノールや苦味成分が多くなり、最終ブレンドへの使用量を調整する必要があるため</x:v>
      </x:c>
      <x:c r="J17" s="53" t="str">
        <x:v>D</x:v>
      </x:c>
      <x:c r="K17" s="42" t="str">
        <x:v>後半の圧搾果汁にはフェノールや苦味成分が多くなり、最終ブレンドへの使用量を調整する必要があるため</x:v>
      </x:c>
      <x:c r="L17" s="42" t="str">
        <x:v>圧力が高まるほど果皮や種からより多くのフェノールが抽出され、品質への影響を見ながら分別する。</x:v>
      </x:c>
      <x:c r="M17" s="42" t="str">
        <x:v>誤り。 フリーラン果汁は低い圧力で得られ、強い圧搾では苦味やフェノールが増えやすい。</x:v>
      </x:c>
      <x:c r="N17" s="42" t="str">
        <x:v>誤り。 圧搾は糖を果皮へ戻す工程ではない。</x:v>
      </x:c>
      <x:c r="O17" s="42" t="str">
        <x:v>誤り。 圧搾前の果汁には通常アルコールはほとんどなく、アルコールは発酵で生じる。</x:v>
      </x:c>
      <x:c r="P17" s="42" t="str">
        <x:v>正しい。 圧力が高まるほど果皮や種からより多くのフェノールが抽出され、品質への影響を見ながら分別する。</x:v>
      </x:c>
      <x:c r="Q17" s="42" t="str">
        <x:v>人的要因（ワイナリー）</x:v>
      </x:c>
      <x:c r="R17" s="42" t="str">
        <x:v>圧搾・果汁分画</x:v>
      </x:c>
      <x:c r="S17" s="42" t="str">
        <x:v>白非発泡性ワイン</x:v>
      </x:c>
      <x:c r="T17" s="42" t="str"/>
      <x:c r="U17" s="42" t="str"/>
      <x:c r="V17" s="42" t="str"/>
      <x:c r="W17" s="42" t="str">
        <x:v>因果説明</x:v>
      </x:c>
      <x:c r="X17" s="53" t="str">
        <x:v>D3</x:v>
      </x:c>
      <x:c r="Y17" s="42" t="str">
        <x:v>強圧搾=高品質; 圧搾=アルコール生成</x:v>
      </x:c>
      <x:c r="Z17" s="53" t="str">
        <x:v>N</x:v>
      </x:c>
      <x:c r="AA17" s="42" t="str"/>
      <x:c r="AB17" s="42" t="str">
        <x:v>オリジナル</x:v>
      </x:c>
      <x:c r="AC17" s="42" t="str">
        <x:v>公式Specificationの範囲＋ユーザー作成コーパスの論点を参考に独自作成</x:v>
      </x:c>
      <x:c r="AD17" s="53" t="str">
        <x:v>未レビュー</x:v>
      </x:c>
      <x:c r="AE17" s="53" t="str"/>
      <x:c r="AF17" s="53" t="str"/>
      <x:c r="AG17" s="43" t="str"/>
    </x:row>
    <x:row r="18" ht="84" customHeight="1">
      <x:c r="A18" s="41" t="str">
        <x:v>LO1-017</x:v>
      </x:c>
      <x:c r="B18" s="53" t="str">
        <x:v>LO1</x:v>
      </x:c>
      <x:c r="C18" s="42" t="str">
        <x:v>ブドウ畑・ワイナリーの自然要因と人的要因</x:v>
      </x:c>
      <x:c r="D18" s="42" t="str">
        <x:v>清澄・濾過</x:v>
      </x:c>
      <x:c r="E18" s="42" t="str">
        <x:v>瓶詰め前に膜状濾過を行う主な目的として最も適切なものはどれか。</x:v>
      </x:c>
      <x:c r="F18" s="42" t="str">
        <x:v>酵母や細菌を除去し、微生物学的な安定性を高める</x:v>
      </x:c>
      <x:c r="G18" s="42" t="str">
        <x:v>ワインにオーク由来の風味を加える</x:v>
      </x:c>
      <x:c r="H18" s="42" t="str">
        <x:v>酸度を上げてpHを下げる</x:v>
      </x:c>
      <x:c r="I18" s="42" t="str">
        <x:v>果皮から色素とタンニンを抽出し、ワインの構造を強める</x:v>
      </x:c>
      <x:c r="J18" s="53" t="str">
        <x:v>A</x:v>
      </x:c>
      <x:c r="K18" s="42" t="str">
        <x:v>酵母や細菌を除去し、微生物学的な安定性を高める</x:v>
      </x:c>
      <x:c r="L18" s="42" t="str">
        <x:v>細かい孔径のフィルターは微生物を除去し、残糖のあるワインなどの再発酵リスクを下げる。</x:v>
      </x:c>
      <x:c r="M18" s="42" t="str">
        <x:v>正しい。 細かい孔径のフィルターは微生物を除去し、残糖のあるワインなどの再発酵リスクを下げる。</x:v>
      </x:c>
      <x:c r="N18" s="42" t="str">
        <x:v>誤り。 オーク風味は樽やオーク代用品から得られ、濾過の役割ではない。</x:v>
      </x:c>
      <x:c r="O18" s="42" t="str">
        <x:v>誤り。 濾過は酸を添加する工程ではない。</x:v>
      </x:c>
      <x:c r="P18" s="42" t="str">
        <x:v>誤り。 濾過は成分を加える工程ではなく、過度な濾過では一部成分が減る可能性がある。</x:v>
      </x:c>
      <x:c r="Q18" s="42" t="str">
        <x:v>人的要因（ワイナリー）</x:v>
      </x:c>
      <x:c r="R18" s="42" t="str">
        <x:v>濾過・微生物安定化</x:v>
      </x:c>
      <x:c r="S18" s="42" t="str">
        <x:v>全般</x:v>
      </x:c>
      <x:c r="T18" s="42" t="str"/>
      <x:c r="U18" s="42" t="str"/>
      <x:c r="V18" s="42" t="str"/>
      <x:c r="W18" s="42" t="str">
        <x:v>知識確認</x:v>
      </x:c>
      <x:c r="X18" s="53" t="str">
        <x:v>D2</x:v>
      </x:c>
      <x:c r="Y18" s="42" t="str">
        <x:v>濾過=補酸; 濾過=オーク風味</x:v>
      </x:c>
      <x:c r="Z18" s="53" t="str">
        <x:v>N</x:v>
      </x:c>
      <x:c r="AA18" s="42" t="str"/>
      <x:c r="AB18" s="42" t="str">
        <x:v>オリジナル</x:v>
      </x:c>
      <x:c r="AC18" s="42" t="str">
        <x:v>公式Specificationの範囲＋ユーザー作成コーパスの論点を参考に独自作成</x:v>
      </x:c>
      <x:c r="AD18" s="53" t="str">
        <x:v>未レビュー</x:v>
      </x:c>
      <x:c r="AE18" s="53" t="str"/>
      <x:c r="AF18" s="53" t="str"/>
      <x:c r="AG18" s="43" t="str"/>
    </x:row>
    <x:row r="19" ht="84" customHeight="1">
      <x:c r="A19" s="41" t="str">
        <x:v>LO1-018</x:v>
      </x:c>
      <x:c r="B19" s="53" t="str">
        <x:v>LO1</x:v>
      </x:c>
      <x:c r="C19" s="42" t="str">
        <x:v>ブドウ畑・ワイナリーの自然要因と人的要因</x:v>
      </x:c>
      <x:c r="D19" s="42" t="str">
        <x:v>酒石酸安定化</x:v>
      </x:c>
      <x:c r="E19" s="42" t="str">
        <x:v>ワインを低温で保持して酒石酸塩の結晶を析出させる処理の目的はどれか。</x:v>
      </x:c>
      <x:c r="F19" s="42" t="str">
        <x:v>低温によってアルコールを蒸発させ、度数を下げる</x:v>
      </x:c>
      <x:c r="G19" s="42" t="str">
        <x:v>瓶詰め後に無害な結晶が生じ、消費者が異物と誤認するのを防ぐ</x:v>
      </x:c>
      <x:c r="H19" s="42" t="str">
        <x:v>コルク汚染の原因物質を結晶とともに沈殿させる</x:v>
      </x:c>
      <x:c r="I19" s="42" t="str">
        <x:v>二次発酵用の糖を析出させ、瓶内圧を高める</x:v>
      </x:c>
      <x:c r="J19" s="53" t="str">
        <x:v>B</x:v>
      </x:c>
      <x:c r="K19" s="42" t="str">
        <x:v>瓶詰め後に無害な結晶が生じ、消費者が異物と誤認するのを防ぐ</x:v>
      </x:c>
      <x:c r="L19" s="42" t="str">
        <x:v>瓶詰め前に結晶を析出・除去して、外観上の安定性を高める。</x:v>
      </x:c>
      <x:c r="M19" s="42" t="str">
        <x:v>誤り。 低温安定化はアルコール除去を目的としない。</x:v>
      </x:c>
      <x:c r="N19" s="42" t="str">
        <x:v>正しい。 瓶詰め前に結晶を析出・除去して、外観上の安定性を高める。</x:v>
      </x:c>
      <x:c r="O19" s="42" t="str">
        <x:v>誤り。 コルク汚染は主にTCAに由来し、低温安定化では除去できない。</x:v>
      </x:c>
      <x:c r="P19" s="42" t="str">
        <x:v>誤り。 瓶内圧は二次発酵などで生じ、酒石酸安定化とは関係がない。</x:v>
      </x:c>
      <x:c r="Q19" s="42" t="str">
        <x:v>人的要因（ワイナリー）</x:v>
      </x:c>
      <x:c r="R19" s="42" t="str">
        <x:v>酒石酸安定化</x:v>
      </x:c>
      <x:c r="S19" s="42" t="str">
        <x:v>全般</x:v>
      </x:c>
      <x:c r="T19" s="42" t="str"/>
      <x:c r="U19" s="42" t="str"/>
      <x:c r="V19" s="42" t="str"/>
      <x:c r="W19" s="42" t="str">
        <x:v>知識確認</x:v>
      </x:c>
      <x:c r="X19" s="53" t="str">
        <x:v>D1</x:v>
      </x:c>
      <x:c r="Y19" s="42" t="str">
        <x:v>低温安定化=脱アルコール; 低温安定化=TCA除去</x:v>
      </x:c>
      <x:c r="Z19" s="53" t="str">
        <x:v>N</x:v>
      </x:c>
      <x:c r="AA19" s="42" t="str"/>
      <x:c r="AB19" s="42" t="str">
        <x:v>オリジナル</x:v>
      </x:c>
      <x:c r="AC19" s="42" t="str">
        <x:v>公式Specificationの範囲＋ユーザー作成コーパスの論点を参考に独自作成</x:v>
      </x:c>
      <x:c r="AD19" s="53" t="str">
        <x:v>未レビュー</x:v>
      </x:c>
      <x:c r="AE19" s="53" t="str"/>
      <x:c r="AF19" s="53" t="str"/>
      <x:c r="AG19" s="43" t="str"/>
    </x:row>
    <x:row r="20" ht="84" customHeight="1">
      <x:c r="A20" s="41" t="str">
        <x:v>LO1-019</x:v>
      </x:c>
      <x:c r="B20" s="53" t="str">
        <x:v>LO1</x:v>
      </x:c>
      <x:c r="C20" s="42" t="str">
        <x:v>ブドウ畑・ワイナリーの自然要因と人的要因</x:v>
      </x:c>
      <x:c r="D20" s="42" t="str">
        <x:v>ブレンド</x:v>
      </x:c>
      <x:c r="E20" s="42" t="str">
        <x:v>複数のロットをブレンドする生産者の目的として、最も適切なものはどれか。</x:v>
      </x:c>
      <x:c r="F20" s="42" t="str">
        <x:v>各ロットの違いを強調し、毎年まったく異なるスタイルにすることだけ</x:v>
      </x:c>
      <x:c r="G20" s="42" t="str">
        <x:v>異なる原産地のワインを混ぜ、表示規定を適用外にすること</x:v>
      </x:c>
      <x:c r="H20" s="42" t="str">
        <x:v>酸、果実味、タンニンなどを補完し、望むバランスと一貫したスタイルを作る</x:v>
      </x:c>
      <x:c r="I20" s="42" t="str">
        <x:v>辛口ワインに甘口ワインを加え、残糖だけでバランスを整えること</x:v>
      </x:c>
      <x:c r="J20" s="53" t="str">
        <x:v>C</x:v>
      </x:c>
      <x:c r="K20" s="42" t="str">
        <x:v>酸、果実味、タンニンなどを補完し、望むバランスと一貫したスタイルを作る</x:v>
      </x:c>
      <x:c r="L20" s="42" t="str">
        <x:v>異なる品種、畑、樽、ヴィンテージの特徴を組み合わせ、品質やハウススタイルを整える。</x:v>
      </x:c>
      <x:c r="M20" s="42" t="str">
        <x:v>誤り。 ブレンドは違いを強調する場合もあるが、一般にバランスや一貫性の確保も重要な目的である。</x:v>
      </x:c>
      <x:c r="N20" s="42" t="str">
        <x:v>誤り。 ブレンドは法律の範囲内で行われ、表示規定を適用外にすることが一般目的ではない。</x:v>
      </x:c>
      <x:c r="O20" s="42" t="str">
        <x:v>正しい。 異なる品種、畑、樽、ヴィンテージの特徴を組み合わせ、品質やハウススタイルを整える。</x:v>
      </x:c>
      <x:c r="P20" s="42" t="str">
        <x:v>誤り。 甘味調整に使われる場合もあるが、ブレンドの目的は酸、果実味、タンニン、スタイルなどより広い。</x:v>
      </x:c>
      <x:c r="Q20" s="42" t="str">
        <x:v>人的要因（ワイナリー）</x:v>
      </x:c>
      <x:c r="R20" s="42" t="str">
        <x:v>ブレンド</x:v>
      </x:c>
      <x:c r="S20" s="42" t="str">
        <x:v>全般</x:v>
      </x:c>
      <x:c r="T20" s="42" t="str"/>
      <x:c r="U20" s="42" t="str"/>
      <x:c r="V20" s="42" t="str"/>
      <x:c r="W20" s="42" t="str">
        <x:v>適用</x:v>
      </x:c>
      <x:c r="X20" s="53" t="str">
        <x:v>D2</x:v>
      </x:c>
      <x:c r="Y20" s="42" t="str">
        <x:v>ブレンド=規定回避; ブレンド=甘口化のみ</x:v>
      </x:c>
      <x:c r="Z20" s="53" t="str">
        <x:v>N</x:v>
      </x:c>
      <x:c r="AA20" s="42" t="str"/>
      <x:c r="AB20" s="42" t="str">
        <x:v>オリジナル</x:v>
      </x:c>
      <x:c r="AC20" s="42" t="str">
        <x:v>公式Specificationの範囲＋ユーザー作成コーパスの論点を参考に独自作成</x:v>
      </x:c>
      <x:c r="AD20" s="53" t="str">
        <x:v>未レビュー</x:v>
      </x:c>
      <x:c r="AE20" s="53" t="str"/>
      <x:c r="AF20" s="53" t="str"/>
      <x:c r="AG20" s="43" t="str"/>
    </x:row>
    <x:row r="21" ht="84" customHeight="1">
      <x:c r="A21" s="41" t="str">
        <x:v>LO1-020</x:v>
      </x:c>
      <x:c r="B21" s="53" t="str">
        <x:v>LO1</x:v>
      </x:c>
      <x:c r="C21" s="42" t="str">
        <x:v>ブドウ畑・ワイナリーの自然要因と人的要因</x:v>
      </x:c>
      <x:c r="D21" s="42" t="str">
        <x:v>包装</x:v>
      </x:c>
      <x:c r="E21" s="42" t="str">
        <x:v>バッグ・イン・ボックスが、開封後のワインを比較的長く新鮮に保ちやすい主な理由はどれか。</x:v>
      </x:c>
      <x:c r="F21" s="42" t="str">
        <x:v>容器内で継続的に二次発酵が起こるため</x:v>
      </x:c>
      <x:c r="G21" s="42" t="str">
        <x:v>プラスチック袋がワインに亜硫酸を自動的に加えるため</x:v>
      </x:c>
      <x:c r="H21" s="42" t="str">
        <x:v>箱が光を通すことで還元臭を除去するため</x:v>
      </x:c>
      <x:c r="I21" s="42" t="str">
        <x:v>ワインを注ぐと内袋が縮み、容器内へ空気が入りにくいため</x:v>
      </x:c>
      <x:c r="J21" s="53" t="str">
        <x:v>D</x:v>
      </x:c>
      <x:c r="K21" s="42" t="str">
        <x:v>ワインを注ぐと内袋が縮み、容器内へ空気が入りにくいため</x:v>
      </x:c>
      <x:c r="L21" s="42" t="str">
        <x:v>ヘッドスペースへの酸素流入が抑えられ、開封後の酸化速度が遅くなる。</x:v>
      </x:c>
      <x:c r="M21" s="42" t="str">
        <x:v>誤り。 通常は再発酵を防ぐよう安定化されており、二次発酵が鮮度維持の理由ではない。</x:v>
      </x:c>
      <x:c r="N21" s="42" t="str">
        <x:v>誤り。 包装材が亜硫酸を自動添加するわけではない。</x:v>
      </x:c>
      <x:c r="O21" s="42" t="str">
        <x:v>誤り。 箱はむしろ光を遮り、光を通すことが鮮度維持の理由ではない。</x:v>
      </x:c>
      <x:c r="P21" s="42" t="str">
        <x:v>正しい。 ヘッドスペースへの酸素流入が抑えられ、開封後の酸化速度が遅くなる。</x:v>
      </x:c>
      <x:c r="Q21" s="42" t="str">
        <x:v>人的要因（ワイナリー）</x:v>
      </x:c>
      <x:c r="R21" s="42" t="str">
        <x:v>包装・酸化管理</x:v>
      </x:c>
      <x:c r="S21" s="42" t="str">
        <x:v>全般</x:v>
      </x:c>
      <x:c r="T21" s="42" t="str"/>
      <x:c r="U21" s="42" t="str"/>
      <x:c r="V21" s="42" t="str"/>
      <x:c r="W21" s="42" t="str">
        <x:v>因果説明</x:v>
      </x:c>
      <x:c r="X21" s="53" t="str">
        <x:v>D2</x:v>
      </x:c>
      <x:c r="Y21" s="42" t="str">
        <x:v>バッグインボックス=再発酵; 包装材=亜硫酸添加</x:v>
      </x:c>
      <x:c r="Z21" s="53" t="str">
        <x:v>N</x:v>
      </x:c>
      <x:c r="AA21" s="42" t="str"/>
      <x:c r="AB21" s="42" t="str">
        <x:v>オリジナル</x:v>
      </x:c>
      <x:c r="AC21" s="42" t="str">
        <x:v>公式Specificationの範囲＋ユーザー作成コーパスの論点を参考に独自作成</x:v>
      </x:c>
      <x:c r="AD21" s="53" t="str">
        <x:v>未レビュー</x:v>
      </x:c>
      <x:c r="AE21" s="53" t="str"/>
      <x:c r="AF21" s="53" t="str"/>
      <x:c r="AG21" s="43" t="str"/>
    </x:row>
    <x:row r="22" ht="84" customHeight="1">
      <x:c r="A22" s="41" t="str">
        <x:v>LO2-001</x:v>
      </x:c>
      <x:c r="B22" s="53" t="str">
        <x:v>LO2</x:v>
      </x:c>
      <x:c r="C22" s="42" t="str">
        <x:v>世界の主要な非発泡性ワイン</x:v>
      </x:c>
      <x:c r="D22" s="42" t="str">
        <x:v>メドック</x:v>
      </x:c>
      <x:c r="E22" s="42" t="str">
        <x:v>メドックの上質赤ワインでカベルネ・ソーヴィニヨンが重要となる自然要因として、最も適切なものはどれか。</x:v>
      </x:c>
      <x:c r="F22" s="42" t="str">
        <x:v>砂利質土壌の水はけと蓄熱性が、晩熟な品種の成熟を助ける</x:v>
      </x:c>
      <x:c r="G22" s="42" t="str">
        <x:v>粘土質土壌の高い保水性が、晩熟なカベルネ・ソーヴィニヨンの成熟を早める</x:v>
      </x:c>
      <x:c r="H22" s="42" t="str">
        <x:v>冷涼な大陸性気候が生育期の降雨を少なくし、成熟を安定させる</x:v>
      </x:c>
      <x:c r="I22" s="42" t="str">
        <x:v>高標高による大きな日較差が主な成熟要因になる</x:v>
      </x:c>
      <x:c r="J22" s="53" t="str">
        <x:v>A</x:v>
      </x:c>
      <x:c r="K22" s="42" t="str">
        <x:v>砂利質土壌の水はけと蓄熱性が、晩熟な品種の成熟を助ける</x:v>
      </x:c>
      <x:c r="L22" s="42" t="str">
        <x:v>砂利は排水性が高く、日中の熱を蓄えて成熟を助けるため、カベルネ・ソーヴィニヨンに適する。</x:v>
      </x:c>
      <x:c r="M22" s="42" t="str">
        <x:v>正しい。 砂利は排水性が高く、日中の熱を蓄えて成熟を助けるため、カベルネ・ソーヴィニヨンに適する。</x:v>
      </x:c>
      <x:c r="N22" s="42" t="str">
        <x:v>誤り。 粘土の保水性は右岸のメルロと結びつきやすく、メドックのカベルネを最も直接的に説明しない。</x:v>
      </x:c>
      <x:c r="O22" s="42" t="str">
        <x:v>誤り。 ボルドーは海洋性気候で、降雨は生育期や収穫期のリスクとなり得る。</x:v>
      </x:c>
      <x:c r="P22" s="42" t="str">
        <x:v>誤り。 メドックは高標高地域ではなく、標高が主要な説明ではない。</x:v>
      </x:c>
      <x:c r="Q22" s="42" t="str">
        <x:v>自然要因・産地</x:v>
      </x:c>
      <x:c r="R22" s="42" t="str">
        <x:v>土壌と品種</x:v>
      </x:c>
      <x:c r="S22" s="42" t="str">
        <x:v>赤非発泡性ワイン</x:v>
      </x:c>
      <x:c r="T22" s="42" t="str">
        <x:v>フランス</x:v>
      </x:c>
      <x:c r="U22" s="42" t="str">
        <x:v>メドック</x:v>
      </x:c>
      <x:c r="V22" s="42" t="str">
        <x:v>カベルネ・ソーヴィニヨン</x:v>
      </x:c>
      <x:c r="W22" s="42" t="str">
        <x:v>因果説明</x:v>
      </x:c>
      <x:c r="X22" s="53" t="str">
        <x:v>D2</x:v>
      </x:c>
      <x:c r="Y22" s="42" t="str">
        <x:v>左岸=粘土とメルロ; ボルドー=大陸性</x:v>
      </x:c>
      <x:c r="Z22" s="53" t="str">
        <x:v>N</x:v>
      </x:c>
      <x:c r="AA22" s="42" t="str"/>
      <x:c r="AB22" s="42" t="str">
        <x:v>オリジナル</x:v>
      </x:c>
      <x:c r="AC22" s="42" t="str">
        <x:v>公式Specificationの範囲＋ユーザー作成コーパスの論点を参考に独自作成</x:v>
      </x:c>
      <x:c r="AD22" s="53" t="str">
        <x:v>未レビュー</x:v>
      </x:c>
      <x:c r="AE22" s="53" t="str"/>
      <x:c r="AF22" s="53" t="str"/>
      <x:c r="AG22" s="43" t="str"/>
    </x:row>
    <x:row r="23" ht="84" customHeight="1">
      <x:c r="A23" s="41" t="str">
        <x:v>LO2-002</x:v>
      </x:c>
      <x:c r="B23" s="53" t="str">
        <x:v>LO2</x:v>
      </x:c>
      <x:c r="C23" s="42" t="str">
        <x:v>世界の主要な非発泡性ワイン</x:v>
      </x:c>
      <x:c r="D23" s="42" t="str">
        <x:v>ポムロール</x:v>
      </x:c>
      <x:c r="E23" s="42" t="str">
        <x:v>ポムロールでメルロが主要品種となる理由として最も適切なものはどれか。</x:v>
      </x:c>
      <x:c r="F23" s="42" t="str">
        <x:v>メルロはカベルネ・ソーヴィニヨンより晩熟で、冷涼な年に有利だから</x:v>
      </x:c>
      <x:c r="G23" s="42" t="str">
        <x:v>粘土質土壌が水分を保持し、早熟なメルロの生育と成熟を支えるから</x:v>
      </x:c>
      <x:c r="H23" s="42" t="str">
        <x:v>海から最も遠いため、乾燥した地中海性気候になるから</x:v>
      </x:c>
      <x:c r="I23" s="42" t="str">
        <x:v>法律によりメルロ以外の黒ブドウが全面的に禁止されているから</x:v>
      </x:c>
      <x:c r="J23" s="53" t="str">
        <x:v>B</x:v>
      </x:c>
      <x:c r="K23" s="42" t="str">
        <x:v>粘土質土壌が水分を保持し、早熟なメルロの生育と成熟を支えるから</x:v>
      </x:c>
      <x:c r="L23" s="42" t="str">
        <x:v>ポムロールの粘土質土壌は水分保持力があり、メルロに適した条件を作る。</x:v>
      </x:c>
      <x:c r="M23" s="42" t="str">
        <x:v>誤り。 メルロは一般にカベルネ・ソーヴィニヨンより早熟である。</x:v>
      </x:c>
      <x:c r="N23" s="42" t="str">
        <x:v>正しい。 ポムロールの粘土質土壌は水分保持力があり、メルロに適した条件を作る。</x:v>
      </x:c>
      <x:c r="O23" s="42" t="str">
        <x:v>誤り。 ポムロールもボルドーの海洋性気候の影響を受ける。</x:v>
      </x:c>
      <x:c r="P23" s="42" t="str">
        <x:v>誤り。 他のボルドー品種も使用可能であり、メルロだけに限定されていない。</x:v>
      </x:c>
      <x:c r="Q23" s="42" t="str">
        <x:v>自然要因・産地</x:v>
      </x:c>
      <x:c r="R23" s="42" t="str">
        <x:v>土壌と品種</x:v>
      </x:c>
      <x:c r="S23" s="42" t="str">
        <x:v>赤非発泡性ワイン</x:v>
      </x:c>
      <x:c r="T23" s="42" t="str">
        <x:v>フランス</x:v>
      </x:c>
      <x:c r="U23" s="42" t="str">
        <x:v>ポムロール</x:v>
      </x:c>
      <x:c r="V23" s="42" t="str">
        <x:v>メルロ</x:v>
      </x:c>
      <x:c r="W23" s="42" t="str">
        <x:v>因果説明</x:v>
      </x:c>
      <x:c r="X23" s="53" t="str">
        <x:v>D2</x:v>
      </x:c>
      <x:c r="Y23" s="42" t="str">
        <x:v>メルロ=晩熟; ポムロール=メルロのみ</x:v>
      </x:c>
      <x:c r="Z23" s="53" t="str">
        <x:v>N</x:v>
      </x:c>
      <x:c r="AA23" s="42" t="str"/>
      <x:c r="AB23" s="42" t="str">
        <x:v>オリジナル</x:v>
      </x:c>
      <x:c r="AC23" s="42" t="str">
        <x:v>公式Specificationの範囲＋ユーザー作成コーパスの論点を参考に独自作成</x:v>
      </x:c>
      <x:c r="AD23" s="53" t="str">
        <x:v>未レビュー</x:v>
      </x:c>
      <x:c r="AE23" s="53" t="str"/>
      <x:c r="AF23" s="53" t="str"/>
      <x:c r="AG23" s="43" t="str"/>
    </x:row>
    <x:row r="24" ht="84" customHeight="1">
      <x:c r="A24" s="41" t="str">
        <x:v>LO2-003</x:v>
      </x:c>
      <x:c r="B24" s="53" t="str">
        <x:v>LO2</x:v>
      </x:c>
      <x:c r="C24" s="42" t="str">
        <x:v>世界の主要な非発泡性ワイン</x:v>
      </x:c>
      <x:c r="D24" s="42" t="str">
        <x:v>ソーテルヌ</x:v>
      </x:c>
      <x:c r="E24" s="42" t="str">
        <x:v>ソーテルヌで複数回に分けた選別収穫が必要となる主な理由はどれか。</x:v>
      </x:c>
      <x:c r="F24" s="42" t="str">
        <x:v>貴腐化した果粒が房全体で同時に成熟するため</x:v>
      </x:c>
      <x:c r="G24" s="42" t="str">
        <x:v>法律が一日に収穫できる房数を制限しているため</x:v>
      </x:c>
      <x:c r="H24" s="42" t="str">
        <x:v>貴腐化の進み方が果粒ごとに異なり、適切な果粒だけを選ぶ必要があるため</x:v>
      </x:c>
      <x:c r="I24" s="42" t="str">
        <x:v>機械収穫が果粒の水分を増やし、糖度を下げるため</x:v>
      </x:c>
      <x:c r="J24" s="53" t="str">
        <x:v>C</x:v>
      </x:c>
      <x:c r="K24" s="42" t="str">
        <x:v>貴腐化の進み方が果粒ごとに異なり、適切な果粒だけを選ぶ必要があるため</x:v>
      </x:c>
      <x:c r="L24" s="42" t="str">
        <x:v>健全な貴腐果を選ぶために畑を何度も回り、収量と労働コストが大きくなる。</x:v>
      </x:c>
      <x:c r="M24" s="42" t="str">
        <x:v>誤り。 貴腐の進行は果粒ごとに不均一であり、一度で均一に収穫できない。</x:v>
      </x:c>
      <x:c r="N24" s="42" t="str">
        <x:v>誤り。 複数回収穫は法律上の日量制限が主因ではない。</x:v>
      </x:c>
      <x:c r="O24" s="42" t="str">
        <x:v>正しい。 健全な貴腐果を選ぶために畑を何度も回り、収量と労働コストが大きくなる。</x:v>
      </x:c>
      <x:c r="P24" s="42" t="str">
        <x:v>誤り。 主因は糖度低下ではなく、貴腐果を選別する精度が必要なことである。</x:v>
      </x:c>
      <x:c r="Q24" s="42" t="str">
        <x:v>人的要因（畑）</x:v>
      </x:c>
      <x:c r="R24" s="42" t="str">
        <x:v>選別収穫・価格</x:v>
      </x:c>
      <x:c r="S24" s="42" t="str">
        <x:v>甘口非発泡性ワイン</x:v>
      </x:c>
      <x:c r="T24" s="42" t="str">
        <x:v>フランス</x:v>
      </x:c>
      <x:c r="U24" s="42" t="str">
        <x:v>ソーテルヌ</x:v>
      </x:c>
      <x:c r="V24" s="42" t="str">
        <x:v>セミヨン、ソーヴィニヨン・ブラン</x:v>
      </x:c>
      <x:c r="W24" s="42" t="str">
        <x:v>因果説明</x:v>
      </x:c>
      <x:c r="X24" s="53" t="str">
        <x:v>D2</x:v>
      </x:c>
      <x:c r="Y24" s="42" t="str">
        <x:v>貴腐は均一; 複数回収穫=法定日量</x:v>
      </x:c>
      <x:c r="Z24" s="53" t="str">
        <x:v>N</x:v>
      </x:c>
      <x:c r="AA24" s="42" t="str"/>
      <x:c r="AB24" s="42" t="str">
        <x:v>オリジナル</x:v>
      </x:c>
      <x:c r="AC24" s="42" t="str">
        <x:v>公式Specificationの範囲＋ユーザー作成コーパスの論点を参考に独自作成</x:v>
      </x:c>
      <x:c r="AD24" s="53" t="str">
        <x:v>未レビュー</x:v>
      </x:c>
      <x:c r="AE24" s="53" t="str"/>
      <x:c r="AF24" s="53" t="str"/>
      <x:c r="AG24" s="43" t="str"/>
    </x:row>
    <x:row r="25" ht="84" customHeight="1">
      <x:c r="A25" s="41" t="str">
        <x:v>LO2-004</x:v>
      </x:c>
      <x:c r="B25" s="53" t="str">
        <x:v>LO2</x:v>
      </x:c>
      <x:c r="C25" s="42" t="str">
        <x:v>世界の主要な非発泡性ワイン</x:v>
      </x:c>
      <x:c r="D25" s="42" t="str">
        <x:v>ブルゴーニュ</x:v>
      </x:c>
      <x:c r="E25" s="42" t="str">
        <x:v>ブルゴーニュの上位畑のワインが高価格になりやすい要因の組み合わせとして最も適切なものはどれか。</x:v>
      </x:c>
      <x:c r="F25" s="42" t="str">
        <x:v>高収量、広大な畑、機械化の容易さ</x:v>
      </x:c>
      <x:c r="G25" s="42" t="str">
        <x:v>温暖な平地、短い熟成、低い需要</x:v>
      </x:c>
      <x:c r="H25" s="42" t="str">
        <x:v>ブレンドによる大量生産と毎年の均一化</x:v>
      </x:c>
      <x:c r="I25" s="42" t="str">
        <x:v>小規模な区画、限られた供給、手作業の多さ、強い需要</x:v>
      </x:c>
      <x:c r="J25" s="53" t="str">
        <x:v>D</x:v>
      </x:c>
      <x:c r="K25" s="42" t="str">
        <x:v>小規模な区画、限られた供給、手作業の多さ、強い需要</x:v>
      </x:c>
      <x:c r="L25" s="42" t="str">
        <x:v>供給が限定され、生産コストが高く、名声による需要も強いため価格が上昇しやすい。</x:v>
      </x:c>
      <x:c r="M25" s="42" t="str">
        <x:v>誤り。 高収量と機械化は一般に生産コストを抑える方向に働く。</x:v>
      </x:c>
      <x:c r="N25" s="42" t="str">
        <x:v>誤り。 上位畑の価格を説明する条件とは反対である。</x:v>
      </x:c>
      <x:c r="O25" s="42" t="str">
        <x:v>誤り。 ブルゴーニュの上位畑は小区画と原産地の個性が重視される。</x:v>
      </x:c>
      <x:c r="P25" s="42" t="str">
        <x:v>正しい。 供給が限定され、生産コストが高く、名声による需要も強いため価格が上昇しやすい。</x:v>
      </x:c>
      <x:c r="Q25" s="42" t="str">
        <x:v>商業面・産地</x:v>
      </x:c>
      <x:c r="R25" s="42" t="str">
        <x:v>価格形成</x:v>
      </x:c>
      <x:c r="S25" s="42" t="str">
        <x:v>非発泡性ワイン</x:v>
      </x:c>
      <x:c r="T25" s="42" t="str">
        <x:v>フランス</x:v>
      </x:c>
      <x:c r="U25" s="42" t="str">
        <x:v>ブルゴーニュ</x:v>
      </x:c>
      <x:c r="V25" s="42" t="str">
        <x:v>ピノ・ノワール、シャルドネ</x:v>
      </x:c>
      <x:c r="W25" s="42" t="str">
        <x:v>統合判断</x:v>
      </x:c>
      <x:c r="X25" s="53" t="str">
        <x:v>D3</x:v>
      </x:c>
      <x:c r="Y25" s="42" t="str">
        <x:v>高価格=高収量; 上位畑=大量ブレンド</x:v>
      </x:c>
      <x:c r="Z25" s="53" t="str">
        <x:v>N</x:v>
      </x:c>
      <x:c r="AA25" s="42" t="str"/>
      <x:c r="AB25" s="42" t="str">
        <x:v>オリジナル</x:v>
      </x:c>
      <x:c r="AC25" s="42" t="str">
        <x:v>公式Specificationの範囲＋ユーザー作成コーパスの論点を参考に独自作成</x:v>
      </x:c>
      <x:c r="AD25" s="53" t="str">
        <x:v>未レビュー</x:v>
      </x:c>
      <x:c r="AE25" s="53" t="str"/>
      <x:c r="AF25" s="53" t="str"/>
      <x:c r="AG25" s="43" t="str"/>
    </x:row>
    <x:row r="26" ht="84" customHeight="1">
      <x:c r="A26" s="41" t="str">
        <x:v>LO2-005</x:v>
      </x:c>
      <x:c r="B26" s="53" t="str">
        <x:v>LO2</x:v>
      </x:c>
      <x:c r="C26" s="42" t="str">
        <x:v>世界の主要な非発泡性ワイン</x:v>
      </x:c>
      <x:c r="D26" s="42" t="str">
        <x:v>ミュスカデ</x:v>
      </x:c>
      <x:c r="E26" s="42" t="str">
        <x:v>ミュスカデ・セーヴル・エ・メーヌ・シュール・リーの典型的な特徴として最も適切なものはどれか。</x:v>
      </x:c>
      <x:c r="F26" s="42" t="str">
        <x:v>高い酸、軽めのボディ、控えめな果実風味、澱由来のわずかな厚み</x:v>
      </x:c>
      <x:c r="G26" s="42" t="str">
        <x:v>低い酸、フルボディ、強い新樽香</x:v>
      </x:c>
      <x:c r="H26" s="42" t="str">
        <x:v>高いタンニン、黒系果実、長期の酸化熟成</x:v>
      </x:c>
      <x:c r="I26" s="42" t="str">
        <x:v>高い残糖と貴腐由来の蜂蜜香</x:v>
      </x:c>
      <x:c r="J26" s="53" t="str">
        <x:v>A</x:v>
      </x:c>
      <x:c r="K26" s="42" t="str">
        <x:v>高い酸、軽めのボディ、控えめな果実風味、澱由来のわずかな厚み</x:v>
      </x:c>
      <x:c r="L26" s="42" t="str">
        <x:v>冷涼な海洋性環境のムロン・ブランに、澱との接触が質感や複雑さを加える。</x:v>
      </x:c>
      <x:c r="M26" s="42" t="str">
        <x:v>正しい。 冷涼な海洋性環境のムロン・ブランに、澱との接触が質感や複雑さを加える。</x:v>
      </x:c>
      <x:c r="N26" s="42" t="str">
        <x:v>誤り。 ミュスカデは一般に高酸で軽快であり、強い新樽香は典型的でない。</x:v>
      </x:c>
      <x:c r="O26" s="42" t="str">
        <x:v>誤り。 白ワインであり、黒系果実や高タンニンは典型的でない。</x:v>
      </x:c>
      <x:c r="P26" s="42" t="str">
        <x:v>誤り。 通常は辛口で、貴腐甘口を主とする産地ではない。</x:v>
      </x:c>
      <x:c r="Q26" s="42" t="str">
        <x:v>産地スタイル</x:v>
      </x:c>
      <x:c r="R26" s="42" t="str">
        <x:v>澱との接触</x:v>
      </x:c>
      <x:c r="S26" s="42" t="str">
        <x:v>白非発泡性ワイン</x:v>
      </x:c>
      <x:c r="T26" s="42" t="str">
        <x:v>フランス</x:v>
      </x:c>
      <x:c r="U26" s="42" t="str">
        <x:v>ミュスカデ・セーヴル・エ・メーヌ</x:v>
      </x:c>
      <x:c r="V26" s="42" t="str">
        <x:v>ムロン・ブラン</x:v>
      </x:c>
      <x:c r="W26" s="42" t="str">
        <x:v>知識確認</x:v>
      </x:c>
      <x:c r="X26" s="53" t="str">
        <x:v>D1</x:v>
      </x:c>
      <x:c r="Y26" s="42" t="str">
        <x:v>ミュスカデ=樽熟成; ミュスカデ=甘口</x:v>
      </x:c>
      <x:c r="Z26" s="53" t="str">
        <x:v>N</x:v>
      </x:c>
      <x:c r="AA26" s="42" t="str"/>
      <x:c r="AB26" s="42" t="str">
        <x:v>オリジナル</x:v>
      </x:c>
      <x:c r="AC26" s="42" t="str">
        <x:v>公式Specificationの範囲＋ユーザー作成コーパスの論点を参考に独自作成</x:v>
      </x:c>
      <x:c r="AD26" s="53" t="str">
        <x:v>未レビュー</x:v>
      </x:c>
      <x:c r="AE26" s="53" t="str"/>
      <x:c r="AF26" s="53" t="str"/>
      <x:c r="AG26" s="43" t="str"/>
    </x:row>
    <x:row r="27" ht="84" customHeight="1">
      <x:c r="A27" s="41" t="str">
        <x:v>LO2-006</x:v>
      </x:c>
      <x:c r="B27" s="53" t="str">
        <x:v>LO2</x:v>
      </x:c>
      <x:c r="C27" s="42" t="str">
        <x:v>世界の主要な非発泡性ワイン</x:v>
      </x:c>
      <x:c r="D27" s="42" t="str">
        <x:v>北部ローヌ</x:v>
      </x:c>
      <x:c r="E27" s="42" t="str">
        <x:v>コート・ロティの赤ワインにシラーらしい黒コショウの香りと高い品質をもたらす条件として最も適切なものはどれか。</x:v>
      </x:c>
      <x:c r="F27" s="42" t="str">
        <x:v>温暖な平地での高収量栽培と早い収穫</x:v>
      </x:c>
      <x:c r="G27" s="42" t="str">
        <x:v>急斜面の日照、良好な水はけ、温和な気候での十分な成熟</x:v>
      </x:c>
      <x:c r="H27" s="42" t="str">
        <x:v>高湿度の沿岸気候と恒常的な霧</x:v>
      </x:c>
      <x:c r="I27" s="42" t="str">
        <x:v>貴腐化したシラーを選別収穫すること</x:v>
      </x:c>
      <x:c r="J27" s="53" t="str">
        <x:v>B</x:v>
      </x:c>
      <x:c r="K27" s="42" t="str">
        <x:v>急斜面の日照、良好な水はけ、温和な気候での十分な成熟</x:v>
      </x:c>
      <x:c r="L27" s="42" t="str">
        <x:v>急斜面は日照を確保し、シラーの成熟を助ける一方、手作業が必要でコストも高い。</x:v>
      </x:c>
      <x:c r="M27" s="42" t="str">
        <x:v>誤り。 高収量と早摘みは凝縮度や成熟を損なう可能性がある。</x:v>
      </x:c>
      <x:c r="N27" s="42" t="str">
        <x:v>正しい。 急斜面は日照を確保し、シラーの成熟を助ける一方、手作業が必要でコストも高い。</x:v>
      </x:c>
      <x:c r="O27" s="42" t="str">
        <x:v>誤り。 北部ローヌは内陸の谷で、恒常的な沿岸霧が主要因ではない。</x:v>
      </x:c>
      <x:c r="P27" s="42" t="str">
        <x:v>誤り。 赤ワイン用シラーの貴腐化は望ましい主要要因ではない。</x:v>
      </x:c>
      <x:c r="Q27" s="42" t="str">
        <x:v>自然要因・産地</x:v>
      </x:c>
      <x:c r="R27" s="42" t="str">
        <x:v>斜面・成熟</x:v>
      </x:c>
      <x:c r="S27" s="42" t="str">
        <x:v>赤非発泡性ワイン</x:v>
      </x:c>
      <x:c r="T27" s="42" t="str">
        <x:v>フランス</x:v>
      </x:c>
      <x:c r="U27" s="42" t="str">
        <x:v>コート・ロティ</x:v>
      </x:c>
      <x:c r="V27" s="42" t="str">
        <x:v>シラー</x:v>
      </x:c>
      <x:c r="W27" s="42" t="str">
        <x:v>因果説明</x:v>
      </x:c>
      <x:c r="X27" s="53" t="str">
        <x:v>D2</x:v>
      </x:c>
      <x:c r="Y27" s="42" t="str">
        <x:v>北部ローヌ=沿岸霧; シラー=貴腐</x:v>
      </x:c>
      <x:c r="Z27" s="53" t="str">
        <x:v>N</x:v>
      </x:c>
      <x:c r="AA27" s="42" t="str"/>
      <x:c r="AB27" s="42" t="str">
        <x:v>オリジナル</x:v>
      </x:c>
      <x:c r="AC27" s="42" t="str">
        <x:v>公式Specificationの範囲＋ユーザー作成コーパスの論点を参考に独自作成</x:v>
      </x:c>
      <x:c r="AD27" s="53" t="str">
        <x:v>未レビュー</x:v>
      </x:c>
      <x:c r="AE27" s="53" t="str"/>
      <x:c r="AF27" s="53" t="str"/>
      <x:c r="AG27" s="43" t="str"/>
    </x:row>
    <x:row r="28" ht="84" customHeight="1">
      <x:c r="A28" s="41" t="str">
        <x:v>LO2-007</x:v>
      </x:c>
      <x:c r="B28" s="53" t="str">
        <x:v>LO2</x:v>
      </x:c>
      <x:c r="C28" s="42" t="str">
        <x:v>世界の主要な非発泡性ワイン</x:v>
      </x:c>
      <x:c r="D28" s="42" t="str">
        <x:v>アルザス</x:v>
      </x:c>
      <x:c r="E28" s="42" t="str">
        <x:v>アルザスで香りが強く、成熟度の高い白ワインを造りやすい主な自然要因はどれか。</x:v>
      </x:c>
      <x:c r="F28" s="42" t="str">
        <x:v>大西洋から直接受ける多量の降雨</x:v>
      </x:c>
      <x:c r="G28" s="42" t="str">
        <x:v>短い生育期間と恒常的な低温</x:v>
      </x:c>
      <x:c r="H28" s="42" t="str">
        <x:v>ヴォージュ山脈の雨陰による乾燥した晴天と長い生育期間</x:v>
      </x:c>
      <x:c r="I28" s="42" t="str">
        <x:v>北海からの冷たい海風が生育期を短縮し、糖の蓄積を抑えること</x:v>
      </x:c>
      <x:c r="J28" s="53" t="str">
        <x:v>C</x:v>
      </x:c>
      <x:c r="K28" s="42" t="str">
        <x:v>ヴォージュ山脈の雨陰による乾燥した晴天と長い生育期間</x:v>
      </x:c>
      <x:c r="L28" s="42" t="str">
        <x:v>乾燥と日照が健全な果実の成熟を促し、香りと糖度を高めやすい。</x:v>
      </x:c>
      <x:c r="M28" s="42" t="str">
        <x:v>誤り。 ヴォージュ山脈が西からの降雨を遮るため、アルザスは比較的乾燥している。</x:v>
      </x:c>
      <x:c r="N28" s="42" t="str">
        <x:v>誤り。 比較的長く乾燥した生育期間が成熟を支える。</x:v>
      </x:c>
      <x:c r="O28" s="42" t="str">
        <x:v>正しい。 乾燥と日照が健全な果実の成熟を促し、香りと糖度を高めやすい。</x:v>
      </x:c>
      <x:c r="P28" s="42" t="str">
        <x:v>誤り。 アルザスは内陸で、北海からの直接的な冷却が主要因ではない。</x:v>
      </x:c>
      <x:c r="Q28" s="42" t="str">
        <x:v>自然要因・産地</x:v>
      </x:c>
      <x:c r="R28" s="42" t="str">
        <x:v>雨陰・成熟</x:v>
      </x:c>
      <x:c r="S28" s="42" t="str">
        <x:v>白非発泡性ワイン</x:v>
      </x:c>
      <x:c r="T28" s="42" t="str">
        <x:v>フランス</x:v>
      </x:c>
      <x:c r="U28" s="42" t="str">
        <x:v>アルザス</x:v>
      </x:c>
      <x:c r="V28" s="42" t="str">
        <x:v>リースリング、ピノ・グリ、ゲヴュルツトラミネール</x:v>
      </x:c>
      <x:c r="W28" s="42" t="str">
        <x:v>因果説明</x:v>
      </x:c>
      <x:c r="X28" s="53" t="str">
        <x:v>D2</x:v>
      </x:c>
      <x:c r="Y28" s="42" t="str">
        <x:v>アルザス=多雨; アルザス=沿岸冷却</x:v>
      </x:c>
      <x:c r="Z28" s="53" t="str">
        <x:v>N</x:v>
      </x:c>
      <x:c r="AA28" s="42" t="str"/>
      <x:c r="AB28" s="42" t="str">
        <x:v>オリジナル</x:v>
      </x:c>
      <x:c r="AC28" s="42" t="str">
        <x:v>公式Specificationの範囲＋ユーザー作成コーパスの論点を参考に独自作成</x:v>
      </x:c>
      <x:c r="AD28" s="53" t="str">
        <x:v>未レビュー</x:v>
      </x:c>
      <x:c r="AE28" s="53" t="str"/>
      <x:c r="AF28" s="53" t="str"/>
      <x:c r="AG28" s="43" t="str"/>
    </x:row>
    <x:row r="29" ht="84" customHeight="1">
      <x:c r="A29" s="41" t="str">
        <x:v>LO2-008</x:v>
      </x:c>
      <x:c r="B29" s="53" t="str">
        <x:v>LO2</x:v>
      </x:c>
      <x:c r="C29" s="42" t="str">
        <x:v>世界の主要な非発泡性ワイン</x:v>
      </x:c>
      <x:c r="D29" s="42" t="str">
        <x:v>モーゼル</x:v>
      </x:c>
      <x:c r="E29" s="42" t="str">
        <x:v>モーゼルの急斜面にあるリースリング畑が高コストになりやすい最も直接的な理由はどれか。</x:v>
      </x:c>
      <x:c r="F29" s="42" t="str">
        <x:v>高い酸を和らげるため、長期間の新樽熟成を行う必要があるから</x:v>
      </x:c>
      <x:c r="G29" s="42" t="str">
        <x:v>残糖を得るため、瓶内で二次発酵を行い発酵を途中で止めるから</x:v>
      </x:c>
      <x:c r="H29" s="42" t="str">
        <x:v>スレート土壌が肥沃で収量が高すぎるから</x:v>
      </x:c>
      <x:c r="I29" s="42" t="str">
        <x:v>機械化が難しく、畑作業と収穫を手作業で行う必要が多いから</x:v>
      </x:c>
      <x:c r="J29" s="53" t="str">
        <x:v>D</x:v>
      </x:c>
      <x:c r="K29" s="42" t="str">
        <x:v>機械化が難しく、畑作業と収穫を手作業で行う必要が多いから</x:v>
      </x:c>
      <x:c r="L29" s="42" t="str">
        <x:v>急斜面では機械の使用が制限され、労働時間と生産コストが増える。</x:v>
      </x:c>
      <x:c r="M29" s="42" t="str">
        <x:v>誤り。 モーゼルのリースリングは新樽熟成を必須とせず、急斜面の手作業がコストの主因である。</x:v>
      </x:c>
      <x:c r="N29" s="42" t="str">
        <x:v>誤り。 残糖は一次発酵を止めるなどして得られ、瓶内二次発酵は通常のモーゼル・リースリングの工程ではない。</x:v>
      </x:c>
      <x:c r="O29" s="42" t="str">
        <x:v>誤り。 スレートは一般に肥沃な土壌ではなく、高収量が主因ではない。</x:v>
      </x:c>
      <x:c r="P29" s="42" t="str">
        <x:v>正しい。 急斜面では機械の使用が制限され、労働時間と生産コストが増える。</x:v>
      </x:c>
      <x:c r="Q29" s="42" t="str">
        <x:v>商業面・産地</x:v>
      </x:c>
      <x:c r="R29" s="42" t="str">
        <x:v>急斜面・生産コスト</x:v>
      </x:c>
      <x:c r="S29" s="42" t="str">
        <x:v>白非発泡性ワイン</x:v>
      </x:c>
      <x:c r="T29" s="42" t="str">
        <x:v>ドイツ</x:v>
      </x:c>
      <x:c r="U29" s="42" t="str">
        <x:v>モーゼル</x:v>
      </x:c>
      <x:c r="V29" s="42" t="str">
        <x:v>リースリング</x:v>
      </x:c>
      <x:c r="W29" s="42" t="str">
        <x:v>因果説明</x:v>
      </x:c>
      <x:c r="X29" s="53" t="str">
        <x:v>D2</x:v>
      </x:c>
      <x:c r="Y29" s="42" t="str">
        <x:v>モーゼル=新樽必須; 急斜面=高収量</x:v>
      </x:c>
      <x:c r="Z29" s="53" t="str">
        <x:v>N</x:v>
      </x:c>
      <x:c r="AA29" s="42" t="str"/>
      <x:c r="AB29" s="42" t="str">
        <x:v>オリジナル</x:v>
      </x:c>
      <x:c r="AC29" s="42" t="str">
        <x:v>公式Specificationの範囲＋ユーザー作成コーパスの論点を参考に独自作成</x:v>
      </x:c>
      <x:c r="AD29" s="53" t="str">
        <x:v>未レビュー</x:v>
      </x:c>
      <x:c r="AE29" s="53" t="str"/>
      <x:c r="AF29" s="53" t="str"/>
      <x:c r="AG29" s="43" t="str"/>
    </x:row>
    <x:row r="30" ht="84" customHeight="1">
      <x:c r="A30" s="41" t="str">
        <x:v>LO2-009</x:v>
      </x:c>
      <x:c r="B30" s="53" t="str">
        <x:v>LO2</x:v>
      </x:c>
      <x:c r="C30" s="42" t="str">
        <x:v>世界の主要な非発泡性ワイン</x:v>
      </x:c>
      <x:c r="D30" s="42" t="str">
        <x:v>ヴァッハウ</x:v>
      </x:c>
      <x:c r="E30" s="42" t="str">
        <x:v>ヴァッハウの上質な辛口リースリングやグリューナー・ヴェルトリーナーに寄与する条件として最も適切なものはどれか。</x:v>
      </x:c>
      <x:c r="F30" s="42" t="str">
        <x:v>日当たりのよい段々畑と、標高や冷たい気流による夜間の冷却</x:v>
      </x:c>
      <x:c r="G30" s="42" t="str">
        <x:v>熱帯性気候と年間を通じた高湿度</x:v>
      </x:c>
      <x:c r="H30" s="42" t="str">
        <x:v>平坦で肥沃な沖積地だけを使用すること</x:v>
      </x:c>
      <x:c r="I30" s="42" t="str">
        <x:v>貴腐化した果実のみを使用する法律</x:v>
      </x:c>
      <x:c r="J30" s="53" t="str">
        <x:v>A</x:v>
      </x:c>
      <x:c r="K30" s="42" t="str">
        <x:v>日当たりのよい段々畑と、標高や冷たい気流による夜間の冷却</x:v>
      </x:c>
      <x:c r="L30" s="42" t="str">
        <x:v>日中の成熟と夜間の酸の保持を両立し、凝縮度と鮮度を持つワインを生みやすい。</x:v>
      </x:c>
      <x:c r="M30" s="42" t="str">
        <x:v>正しい。 日中の成熟と夜間の酸の保持を両立し、凝縮度と鮮度を持つワインを生みやすい。</x:v>
      </x:c>
      <x:c r="N30" s="42" t="str">
        <x:v>誤り。 ヴァッハウは熱帯性ではなく、大陸性の影響を受ける。</x:v>
      </x:c>
      <x:c r="O30" s="42" t="str">
        <x:v>誤り。 上質ワインは急斜面の段々畑とも強く結びつく。</x:v>
      </x:c>
      <x:c r="P30" s="42" t="str">
        <x:v>誤り。 辛口ワインでは貴腐果のみを使用する規定はない。</x:v>
      </x:c>
      <x:c r="Q30" s="42" t="str">
        <x:v>自然要因・産地</x:v>
      </x:c>
      <x:c r="R30" s="42" t="str">
        <x:v>斜面・日較差</x:v>
      </x:c>
      <x:c r="S30" s="42" t="str">
        <x:v>白非発泡性ワイン</x:v>
      </x:c>
      <x:c r="T30" s="42" t="str">
        <x:v>オーストリア</x:v>
      </x:c>
      <x:c r="U30" s="42" t="str">
        <x:v>ヴァッハウ</x:v>
      </x:c>
      <x:c r="V30" s="42" t="str">
        <x:v>リースリング、グリューナー・ヴェルトリーナー</x:v>
      </x:c>
      <x:c r="W30" s="42" t="str">
        <x:v>因果説明</x:v>
      </x:c>
      <x:c r="X30" s="53" t="str">
        <x:v>D3</x:v>
      </x:c>
      <x:c r="Y30" s="42" t="str">
        <x:v>ヴァッハウ=熱帯; 辛口=貴腐必須</x:v>
      </x:c>
      <x:c r="Z30" s="53" t="str">
        <x:v>N</x:v>
      </x:c>
      <x:c r="AA30" s="42" t="str"/>
      <x:c r="AB30" s="42" t="str">
        <x:v>オリジナル</x:v>
      </x:c>
      <x:c r="AC30" s="42" t="str">
        <x:v>公式Specificationの範囲＋ユーザー作成コーパスの論点を参考に独自作成</x:v>
      </x:c>
      <x:c r="AD30" s="53" t="str">
        <x:v>未レビュー</x:v>
      </x:c>
      <x:c r="AE30" s="53" t="str"/>
      <x:c r="AF30" s="53" t="str"/>
      <x:c r="AG30" s="43" t="str"/>
    </x:row>
    <x:row r="31" ht="84" customHeight="1">
      <x:c r="A31" s="41" t="str">
        <x:v>LO2-010</x:v>
      </x:c>
      <x:c r="B31" s="53" t="str">
        <x:v>LO2</x:v>
      </x:c>
      <x:c r="C31" s="42" t="str">
        <x:v>世界の主要な非発泡性ワイン</x:v>
      </x:c>
      <x:c r="D31" s="42" t="str">
        <x:v>トカイ</x:v>
      </x:c>
      <x:c r="E31" s="42" t="str">
        <x:v>トカイ・アスーの甘味と高い酸のバランスに最も重要な品種はどれか。</x:v>
      </x:c>
      <x:c r="F31" s="42" t="str">
        <x:v>グレラ</x:v>
      </x:c>
      <x:c r="G31" s="42" t="str">
        <x:v>フルミント</x:v>
      </x:c>
      <x:c r="H31" s="42" t="str">
        <x:v>パロミノ</x:v>
      </x:c>
      <x:c r="I31" s="42" t="str">
        <x:v>マカベオ</x:v>
      </x:c>
      <x:c r="J31" s="53" t="str">
        <x:v>B</x:v>
      </x:c>
      <x:c r="K31" s="42" t="str">
        <x:v>フルミント</x:v>
      </x:c>
      <x:c r="L31" s="42" t="str">
        <x:v>フルミントは高い酸を保持しやすく、貴腐にも適し、トカイの甘口ワインの骨格を支える。</x:v>
      </x:c>
      <x:c r="M31" s="42" t="str">
        <x:v>誤り。 グレラは主にプロセッコに使用される品種である。</x:v>
      </x:c>
      <x:c r="N31" s="42" t="str">
        <x:v>正しい。 フルミントは高い酸を保持しやすく、貴腐にも適し、トカイの甘口ワインの骨格を支える。</x:v>
      </x:c>
      <x:c r="O31" s="42" t="str">
        <x:v>誤り。 パロミノは主にシェリーの辛口ベースワインに使用される。</x:v>
      </x:c>
      <x:c r="P31" s="42" t="str">
        <x:v>誤り。 マカベオはカバやスペインの白ワインで重要だが、トカイの主要品種ではない。</x:v>
      </x:c>
      <x:c r="Q31" s="42" t="str">
        <x:v>品種・産地</x:v>
      </x:c>
      <x:c r="R31" s="42" t="str">
        <x:v>甘口ワインの骨格</x:v>
      </x:c>
      <x:c r="S31" s="42" t="str">
        <x:v>甘口非発泡性ワイン</x:v>
      </x:c>
      <x:c r="T31" s="42" t="str">
        <x:v>ハンガリー</x:v>
      </x:c>
      <x:c r="U31" s="42" t="str">
        <x:v>トカイ</x:v>
      </x:c>
      <x:c r="V31" s="42" t="str">
        <x:v>フルミント</x:v>
      </x:c>
      <x:c r="W31" s="42" t="str">
        <x:v>知識確認</x:v>
      </x:c>
      <x:c r="X31" s="53" t="str">
        <x:v>D1</x:v>
      </x:c>
      <x:c r="Y31" s="42" t="str">
        <x:v>トカイ=パロミノ; トカイ=グレラ</x:v>
      </x:c>
      <x:c r="Z31" s="53" t="str">
        <x:v>N</x:v>
      </x:c>
      <x:c r="AA31" s="42" t="str"/>
      <x:c r="AB31" s="42" t="str">
        <x:v>オリジナル</x:v>
      </x:c>
      <x:c r="AC31" s="42" t="str">
        <x:v>公式Specificationの範囲＋ユーザー作成コーパスの論点を参考に独自作成</x:v>
      </x:c>
      <x:c r="AD31" s="53" t="str">
        <x:v>未レビュー</x:v>
      </x:c>
      <x:c r="AE31" s="53" t="str"/>
      <x:c r="AF31" s="53" t="str"/>
      <x:c r="AG31" s="43" t="str"/>
    </x:row>
    <x:row r="32" ht="84" customHeight="1">
      <x:c r="A32" s="41" t="str">
        <x:v>LO2-011</x:v>
      </x:c>
      <x:c r="B32" s="53" t="str">
        <x:v>LO2</x:v>
      </x:c>
      <x:c r="C32" s="42" t="str">
        <x:v>世界の主要な非発泡性ワイン</x:v>
      </x:c>
      <x:c r="D32" s="42" t="str">
        <x:v>バローロ</x:v>
      </x:c>
      <x:c r="E32" s="42" t="str">
        <x:v>ネッビオーロがバローロで長い生育期間を必要とする主な理由はどれか。</x:v>
      </x:c>
      <x:c r="F32" s="42" t="str">
        <x:v>早熟で、萌芽後すぐに糖度が上がる品種だから</x:v>
      </x:c>
      <x:c r="G32" s="42" t="str">
        <x:v>色を濃くするため、収穫後に果実を陰干しする品種だから</x:v>
      </x:c>
      <x:c r="H32" s="42" t="str">
        <x:v>晩熟で、糖、香り、タンニンの成熟に十分な時間を要するから</x:v>
      </x:c>
      <x:c r="I32" s="42" t="str">
        <x:v>法律で収穫日が冬まで延期されるから</x:v>
      </x:c>
      <x:c r="J32" s="53" t="str">
        <x:v>C</x:v>
      </x:c>
      <x:c r="K32" s="42" t="str">
        <x:v>晩熟で、糖、香り、タンニンの成熟に十分な時間を要するから</x:v>
      </x:c>
      <x:c r="L32" s="42" t="str">
        <x:v>長い秋と日当たりのよい斜面が、酸を保ちながらフェノール類の成熟を進める。</x:v>
      </x:c>
      <x:c r="M32" s="42" t="str">
        <x:v>誤り。 ネッビオーロは晩熟品種であり、説明が逆である。</x:v>
      </x:c>
      <x:c r="N32" s="42" t="str">
        <x:v>誤り。 陰干しはアマローネなどに関係し、バローロの必須工程ではない。</x:v>
      </x:c>
      <x:c r="O32" s="42" t="str">
        <x:v>正しい。 長い秋と日当たりのよい斜面が、酸を保ちながらフェノール類の成熟を進める。</x:v>
      </x:c>
      <x:c r="P32" s="42" t="str">
        <x:v>誤り。 成熟の必要性は品種特性と気候によるもので、冬までの延期が法律で義務付けられているわけではない。</x:v>
      </x:c>
      <x:c r="Q32" s="42" t="str">
        <x:v>品種・産地</x:v>
      </x:c>
      <x:c r="R32" s="42" t="str">
        <x:v>晩熟・成熟</x:v>
      </x:c>
      <x:c r="S32" s="42" t="str">
        <x:v>赤非発泡性ワイン</x:v>
      </x:c>
      <x:c r="T32" s="42" t="str">
        <x:v>イタリア</x:v>
      </x:c>
      <x:c r="U32" s="42" t="str">
        <x:v>バローロ</x:v>
      </x:c>
      <x:c r="V32" s="42" t="str">
        <x:v>ネッビオーロ</x:v>
      </x:c>
      <x:c r="W32" s="42" t="str">
        <x:v>因果説明</x:v>
      </x:c>
      <x:c r="X32" s="53" t="str">
        <x:v>D2</x:v>
      </x:c>
      <x:c r="Y32" s="42" t="str">
        <x:v>ネッビオーロ=早熟; バローロ=陰干し</x:v>
      </x:c>
      <x:c r="Z32" s="53" t="str">
        <x:v>N</x:v>
      </x:c>
      <x:c r="AA32" s="42" t="str"/>
      <x:c r="AB32" s="42" t="str">
        <x:v>オリジナル</x:v>
      </x:c>
      <x:c r="AC32" s="42" t="str">
        <x:v>公式Specificationの範囲＋ユーザー作成コーパスの論点を参考に独自作成</x:v>
      </x:c>
      <x:c r="AD32" s="53" t="str">
        <x:v>未レビュー</x:v>
      </x:c>
      <x:c r="AE32" s="53" t="str"/>
      <x:c r="AF32" s="53" t="str"/>
      <x:c r="AG32" s="43" t="str"/>
    </x:row>
    <x:row r="33" ht="84" customHeight="1">
      <x:c r="A33" s="41" t="str">
        <x:v>LO2-012</x:v>
      </x:c>
      <x:c r="B33" s="53" t="str">
        <x:v>LO2</x:v>
      </x:c>
      <x:c r="C33" s="42" t="str">
        <x:v>世界の主要な非発泡性ワイン</x:v>
      </x:c>
      <x:c r="D33" s="42" t="str">
        <x:v>ヴァルポリチェッラ・リパッソ</x:v>
      </x:c>
      <x:c r="E33" s="42" t="str">
        <x:v>ヴァルポリチェッラ・リパッソが通常のヴァルポリチェッラよりボディと風味の強さを増しやすい理由はどれか。</x:v>
      </x:c>
      <x:c r="F33" s="42" t="str">
        <x:v>完成したワインを低温で凍結し、水分を除いて濃縮するから</x:v>
      </x:c>
      <x:c r="G33" s="42" t="str">
        <x:v>新樽で長期熟成し、樽由来の風味とアルコールを高めるから</x:v>
      </x:c>
      <x:c r="H33" s="42" t="str">
        <x:v>発酵途中に酒精強化し、残糖とアルコールを高めるから</x:v>
      </x:c>
      <x:c r="I33" s="42" t="str">
        <x:v>アマローネまたはレチョートの搾りかすと再発酵させ、成分を追加抽出するから</x:v>
      </x:c>
      <x:c r="J33" s="53" t="str">
        <x:v>D</x:v>
      </x:c>
      <x:c r="K33" s="42" t="str">
        <x:v>アマローネまたはレチョートの搾りかすと再発酵させ、成分を追加抽出するから</x:v>
      </x:c>
      <x:c r="L33" s="42" t="str">
        <x:v>搾りかすに残る糖、色素、タンニン、風味がワインに加わり、アルコールと構造も増す。</x:v>
      </x:c>
      <x:c r="M33" s="42" t="str">
        <x:v>誤り。 凍結濃縮はリパッソの製法ではない。</x:v>
      </x:c>
      <x:c r="N33" s="42" t="str">
        <x:v>誤り。 樽熟成はアルコールを大幅に高めず、リパッソの特徴を生む主要工程ではない。</x:v>
      </x:c>
      <x:c r="O33" s="42" t="str">
        <x:v>誤り。 リパッソは酒精強化ワインではない。</x:v>
      </x:c>
      <x:c r="P33" s="42" t="str">
        <x:v>正しい。 搾りかすに残る糖、色素、タンニン、風味がワインに加わり、アルコールと構造も増す。</x:v>
      </x:c>
      <x:c r="Q33" s="42" t="str">
        <x:v>醸造・産地</x:v>
      </x:c>
      <x:c r="R33" s="42" t="str">
        <x:v>リパッソ製法</x:v>
      </x:c>
      <x:c r="S33" s="42" t="str">
        <x:v>赤非発泡性ワイン</x:v>
      </x:c>
      <x:c r="T33" s="42" t="str">
        <x:v>イタリア</x:v>
      </x:c>
      <x:c r="U33" s="42" t="str">
        <x:v>ヴァルポリチェッラ</x:v>
      </x:c>
      <x:c r="V33" s="42" t="str">
        <x:v>コルヴィーナ</x:v>
      </x:c>
      <x:c r="W33" s="42" t="str">
        <x:v>因果説明</x:v>
      </x:c>
      <x:c r="X33" s="53" t="str">
        <x:v>D2</x:v>
      </x:c>
      <x:c r="Y33" s="42" t="str">
        <x:v>リパッソ=酒精強化; リパッソ=凍結濃縮</x:v>
      </x:c>
      <x:c r="Z33" s="53" t="str">
        <x:v>N</x:v>
      </x:c>
      <x:c r="AA33" s="42" t="str"/>
      <x:c r="AB33" s="42" t="str">
        <x:v>オリジナル</x:v>
      </x:c>
      <x:c r="AC33" s="42" t="str">
        <x:v>公式Specificationの範囲＋ユーザー作成コーパスの論点を参考に独自作成</x:v>
      </x:c>
      <x:c r="AD33" s="53" t="str">
        <x:v>未レビュー</x:v>
      </x:c>
      <x:c r="AE33" s="53" t="str"/>
      <x:c r="AF33" s="53" t="str"/>
      <x:c r="AG33" s="43" t="str"/>
    </x:row>
    <x:row r="34" ht="84" customHeight="1">
      <x:c r="A34" s="41" t="str">
        <x:v>LO2-013</x:v>
      </x:c>
      <x:c r="B34" s="53" t="str">
        <x:v>LO2</x:v>
      </x:c>
      <x:c r="C34" s="42" t="str">
        <x:v>世界の主要な非発泡性ワイン</x:v>
      </x:c>
      <x:c r="D34" s="42" t="str">
        <x:v>リオハ</x:v>
      </x:c>
      <x:c r="E34" s="42" t="str">
        <x:v>リオハでアメリカンオークを用いた熟成がワインに与えやすい特徴はどれか。</x:v>
      </x:c>
      <x:c r="F34" s="42" t="str">
        <x:v>バニラやココナッツを思わせる香りと、酸素による穏やかな熟成</x:v>
      </x:c>
      <x:c r="G34" s="42" t="str">
        <x:v>ピーマンのような草本香を強め、赤色を失わせる</x:v>
      </x:c>
      <x:c r="H34" s="42" t="str">
        <x:v>残糖が増え、アルコール度と酸度が低下する</x:v>
      </x:c>
      <x:c r="I34" s="42" t="str">
        <x:v>瓶内二次発酵による持続性の高い泡と酵母香</x:v>
      </x:c>
      <x:c r="J34" s="53" t="str">
        <x:v>A</x:v>
      </x:c>
      <x:c r="K34" s="42" t="str">
        <x:v>バニラやココナッツを思わせる香りと、酸素による穏やかな熟成</x:v>
      </x:c>
      <x:c r="L34" s="42" t="str">
        <x:v>アメリカンオークは比較的強いバニラやココナッツ香を与え、樽を通じた酸素接触が熟成を進める。</x:v>
      </x:c>
      <x:c r="M34" s="42" t="str">
        <x:v>正しい。 アメリカンオークは比較的強いバニラやココナッツ香を与え、樽を通じた酸素接触が熟成を進める。</x:v>
      </x:c>
      <x:c r="N34" s="42" t="str">
        <x:v>誤り。 アメリカンオークの典型的な影響はバニラやココナッツで、草本香や色の消失ではない。</x:v>
      </x:c>
      <x:c r="O34" s="42" t="str">
        <x:v>誤り。 樽熟成は糖を加えたりアルコールや酸を大幅に下げたりしない。</x:v>
      </x:c>
      <x:c r="P34" s="42" t="str">
        <x:v>誤り。 樽熟成で発泡性が生じるわけではない。</x:v>
      </x:c>
      <x:c r="Q34" s="42" t="str">
        <x:v>醸造・産地</x:v>
      </x:c>
      <x:c r="R34" s="42" t="str">
        <x:v>オーク熟成</x:v>
      </x:c>
      <x:c r="S34" s="42" t="str">
        <x:v>赤非発泡性ワイン</x:v>
      </x:c>
      <x:c r="T34" s="42" t="str">
        <x:v>スペイン</x:v>
      </x:c>
      <x:c r="U34" s="42" t="str">
        <x:v>リオハ</x:v>
      </x:c>
      <x:c r="V34" s="42" t="str">
        <x:v>テンプラニーリョ</x:v>
      </x:c>
      <x:c r="W34" s="42" t="str">
        <x:v>知識確認</x:v>
      </x:c>
      <x:c r="X34" s="53" t="str">
        <x:v>D1</x:v>
      </x:c>
      <x:c r="Y34" s="42" t="str">
        <x:v>樽熟成=甘口化; 樽熟成=発泡</x:v>
      </x:c>
      <x:c r="Z34" s="53" t="str">
        <x:v>N</x:v>
      </x:c>
      <x:c r="AA34" s="42" t="str"/>
      <x:c r="AB34" s="42" t="str">
        <x:v>オリジナル</x:v>
      </x:c>
      <x:c r="AC34" s="42" t="str">
        <x:v>公式Specificationの範囲＋ユーザー作成コーパスの論点を参考に独自作成</x:v>
      </x:c>
      <x:c r="AD34" s="53" t="str">
        <x:v>未レビュー</x:v>
      </x:c>
      <x:c r="AE34" s="53" t="str"/>
      <x:c r="AF34" s="53" t="str"/>
      <x:c r="AG34" s="43" t="str"/>
    </x:row>
    <x:row r="35" ht="84" customHeight="1">
      <x:c r="A35" s="41" t="str">
        <x:v>LO2-014</x:v>
      </x:c>
      <x:c r="B35" s="53" t="str">
        <x:v>LO2</x:v>
      </x:c>
      <x:c r="C35" s="42" t="str">
        <x:v>世界の主要な非発泡性ワイン</x:v>
      </x:c>
      <x:c r="D35" s="42" t="str">
        <x:v>リアス・バイシャス</x:v>
      </x:c>
      <x:c r="E35" s="42" t="str">
        <x:v>リアス・バイシャスでアルバリーニョが高い酸を保持しやすい主な理由はどれか。</x:v>
      </x:c>
      <x:c r="F35" s="42" t="str">
        <x:v>内陸の高温で夜間も暖かいため</x:v>
      </x:c>
      <x:c r="G35" s="42" t="str">
        <x:v>大西洋の影響を受ける温和で湿潤な気候が、成熟を穏やかに進めるため</x:v>
      </x:c>
      <x:c r="H35" s="42" t="str">
        <x:v>果実を収穫後に陰干しすることが義務だから</x:v>
      </x:c>
      <x:c r="I35" s="42" t="str">
        <x:v>酸を保持するため、マロラクティック発酵を積極的に行うため</x:v>
      </x:c>
      <x:c r="J35" s="53" t="str">
        <x:v>B</x:v>
      </x:c>
      <x:c r="K35" s="42" t="str">
        <x:v>大西洋の影響を受ける温和で湿潤な気候が、成熟を穏やかに進めるため</x:v>
      </x:c>
      <x:c r="L35" s="42" t="str">
        <x:v>海洋の冷却により酸が保たれ、香りの強い辛口白ワインになりやすい。</x:v>
      </x:c>
      <x:c r="M35" s="42" t="str">
        <x:v>誤り。 リアス・バイシャスは大西洋の影響を強く受け、夜間も常に高温ではない。</x:v>
      </x:c>
      <x:c r="N35" s="42" t="str">
        <x:v>正しい。 海洋の冷却により酸が保たれ、香りの強い辛口白ワインになりやすい。</x:v>
      </x:c>
      <x:c r="O35" s="42" t="str">
        <x:v>誤り。 アルバリーニョの典型的な辛口ワインで陰干しは必須ではない。</x:v>
      </x:c>
      <x:c r="P35" s="42" t="str">
        <x:v>誤り。 MLFは酸を柔らかくするため、高い酸の保持を直接説明しない。</x:v>
      </x:c>
      <x:c r="Q35" s="42" t="str">
        <x:v>自然要因・産地</x:v>
      </x:c>
      <x:c r="R35" s="42" t="str">
        <x:v>海洋性気候</x:v>
      </x:c>
      <x:c r="S35" s="42" t="str">
        <x:v>白非発泡性ワイン</x:v>
      </x:c>
      <x:c r="T35" s="42" t="str">
        <x:v>スペイン</x:v>
      </x:c>
      <x:c r="U35" s="42" t="str">
        <x:v>リアス・バイシャス</x:v>
      </x:c>
      <x:c r="V35" s="42" t="str">
        <x:v>アルバリーニョ</x:v>
      </x:c>
      <x:c r="W35" s="42" t="str">
        <x:v>因果説明</x:v>
      </x:c>
      <x:c r="X35" s="53" t="str">
        <x:v>D2</x:v>
      </x:c>
      <x:c r="Y35" s="42" t="str">
        <x:v>リアスバイシャス=内陸高温; 高酸=完全MLF</x:v>
      </x:c>
      <x:c r="Z35" s="53" t="str">
        <x:v>N</x:v>
      </x:c>
      <x:c r="AA35" s="42" t="str"/>
      <x:c r="AB35" s="42" t="str">
        <x:v>オリジナル</x:v>
      </x:c>
      <x:c r="AC35" s="42" t="str">
        <x:v>公式Specificationの範囲＋ユーザー作成コーパスの論点を参考に独自作成</x:v>
      </x:c>
      <x:c r="AD35" s="53" t="str">
        <x:v>未レビュー</x:v>
      </x:c>
      <x:c r="AE35" s="53" t="str"/>
      <x:c r="AF35" s="53" t="str"/>
      <x:c r="AG35" s="43" t="str"/>
    </x:row>
    <x:row r="36" ht="84" customHeight="1">
      <x:c r="A36" s="41" t="str">
        <x:v>LO2-015</x:v>
      </x:c>
      <x:c r="B36" s="53" t="str">
        <x:v>LO2</x:v>
      </x:c>
      <x:c r="C36" s="42" t="str">
        <x:v>世界の主要な非発泡性ワイン</x:v>
      </x:c>
      <x:c r="D36" s="42" t="str">
        <x:v>ナパ・ヴァレー</x:v>
      </x:c>
      <x:c r="E36" s="42" t="str">
        <x:v>ナパ・ヴァレーで産地内のカベルネ・ソーヴィニヨンのスタイルに差が生じる要因として最も適切なものはどれか。</x:v>
      </x:c>
      <x:c r="F36" s="42" t="str">
        <x:v>地区間で標高、霧、土壌がほぼ同じであること</x:v>
      </x:c>
      <x:c r="G36" s="42" t="str">
        <x:v>法律により各地区で異なる品種しか栽培できないこと</x:v>
      </x:c>
      <x:c r="H36" s="42" t="str">
        <x:v>サン・パブロ湾からの霧や風、標高、斜面、土壌の違い</x:v>
      </x:c>
      <x:c r="I36" s="42" t="str">
        <x:v>統一された醸造規則により、地区ごとに異なる熟成方法が指定されること</x:v>
      </x:c>
      <x:c r="J36" s="53" t="str">
        <x:v>C</x:v>
      </x:c>
      <x:c r="K36" s="42" t="str">
        <x:v>サン・パブロ湾からの霧や風、標高、斜面、土壌の違い</x:v>
      </x:c>
      <x:c r="L36" s="42" t="str">
        <x:v>冷却の強さや成熟速度が異なり、果実の熟度、酸、タンニン、香りに差が生じる。</x:v>
      </x:c>
      <x:c r="M36" s="42" t="str">
        <x:v>誤り。 実際には標高、霧、風、土壌などが地区ごとに異なる。</x:v>
      </x:c>
      <x:c r="N36" s="42" t="str">
        <x:v>誤り。 AVAは一般に使用品種を一つに限定しない。</x:v>
      </x:c>
      <x:c r="O36" s="42" t="str">
        <x:v>正しい。 冷却の強さや成熟速度が異なり、果実の熟度、酸、タンニン、香りに差が生じる。</x:v>
      </x:c>
      <x:c r="P36" s="42" t="str">
        <x:v>誤り。 AVAは一般に詳細な醸造方法を地区ごとに指定せず、生産者の判断も大きい。</x:v>
      </x:c>
      <x:c r="Q36" s="42" t="str">
        <x:v>自然・人的要因</x:v>
      </x:c>
      <x:c r="R36" s="42" t="str">
        <x:v>サブリージョン差</x:v>
      </x:c>
      <x:c r="S36" s="42" t="str">
        <x:v>赤非発泡性ワイン</x:v>
      </x:c>
      <x:c r="T36" s="42" t="str">
        <x:v>米国</x:v>
      </x:c>
      <x:c r="U36" s="42" t="str">
        <x:v>ナパ・ヴァレー</x:v>
      </x:c>
      <x:c r="V36" s="42" t="str">
        <x:v>カベルネ・ソーヴィニヨン</x:v>
      </x:c>
      <x:c r="W36" s="42" t="str">
        <x:v>統合判断</x:v>
      </x:c>
      <x:c r="X36" s="53" t="str">
        <x:v>D3</x:v>
      </x:c>
      <x:c r="Y36" s="42" t="str">
        <x:v>AVA=品種規制; ナパは均一</x:v>
      </x:c>
      <x:c r="Z36" s="53" t="str">
        <x:v>N</x:v>
      </x:c>
      <x:c r="AA36" s="42" t="str"/>
      <x:c r="AB36" s="42" t="str">
        <x:v>オリジナル</x:v>
      </x:c>
      <x:c r="AC36" s="42" t="str">
        <x:v>公式Specificationの範囲＋ユーザー作成コーパスの論点を参考に独自作成</x:v>
      </x:c>
      <x:c r="AD36" s="53" t="str">
        <x:v>未レビュー</x:v>
      </x:c>
      <x:c r="AE36" s="53" t="str"/>
      <x:c r="AF36" s="53" t="str"/>
      <x:c r="AG36" s="43" t="str"/>
    </x:row>
    <x:row r="37" ht="84" customHeight="1">
      <x:c r="A37" s="41" t="str">
        <x:v>LO2-016</x:v>
      </x:c>
      <x:c r="B37" s="53" t="str">
        <x:v>LO2</x:v>
      </x:c>
      <x:c r="C37" s="42" t="str">
        <x:v>世界の主要な非発泡性ワイン</x:v>
      </x:c>
      <x:c r="D37" s="42" t="str">
        <x:v>ウィラメット・ヴァレー</x:v>
      </x:c>
      <x:c r="E37" s="42" t="str">
        <x:v>ウィラメット・ヴァレーがピノ・ノワールに適するとされる主な理由はどれか。</x:v>
      </x:c>
      <x:c r="F37" s="42" t="str">
        <x:v>高温で乾燥した砂漠気候により糖度が急上昇するため</x:v>
      </x:c>
      <x:c r="G37" s="42" t="str">
        <x:v>秋の湿度により貴腐が広く発生し、甘口赤ワインが中心となるため</x:v>
      </x:c>
      <x:c r="H37" s="42" t="str">
        <x:v>強い大陸性気候で冬も生育が続くため</x:v>
      </x:c>
      <x:c r="I37" s="42" t="str">
        <x:v>冷涼から温和な気候と長い生育期間により、酸と繊細な香りを保ちながら成熟できるため</x:v>
      </x:c>
      <x:c r="J37" s="53" t="str">
        <x:v>D</x:v>
      </x:c>
      <x:c r="K37" s="42" t="str">
        <x:v>冷涼から温和な気候と長い生育期間により、酸と繊細な香りを保ちながら成熟できるため</x:v>
      </x:c>
      <x:c r="L37" s="42" t="str">
        <x:v>ピノ・ノワールの早熟性に合い、過度な糖度上昇を避けながら風味を発達させやすい。</x:v>
      </x:c>
      <x:c r="M37" s="42" t="str">
        <x:v>誤り。 ウィラメットは冷涼から温和な気候であり、砂漠気候ではない。</x:v>
      </x:c>
      <x:c r="N37" s="42" t="str">
        <x:v>誤り。 ウィラメットの典型は辛口ピノ・ノワールで、貴腐甘口赤ワインが中心ではない。</x:v>
      </x:c>
      <x:c r="O37" s="42" t="str">
        <x:v>誤り。 冬は休眠し、強い大陸性気候が主要説明ではない。</x:v>
      </x:c>
      <x:c r="P37" s="42" t="str">
        <x:v>正しい。 ピノ・ノワールの早熟性に合い、過度な糖度上昇を避けながら風味を発達させやすい。</x:v>
      </x:c>
      <x:c r="Q37" s="42" t="str">
        <x:v>自然要因・産地</x:v>
      </x:c>
      <x:c r="R37" s="42" t="str">
        <x:v>冷涼気候と品種</x:v>
      </x:c>
      <x:c r="S37" s="42" t="str">
        <x:v>赤非発泡性ワイン</x:v>
      </x:c>
      <x:c r="T37" s="42" t="str">
        <x:v>米国</x:v>
      </x:c>
      <x:c r="U37" s="42" t="str">
        <x:v>ウィラメット・ヴァレー</x:v>
      </x:c>
      <x:c r="V37" s="42" t="str">
        <x:v>ピノ・ノワール</x:v>
      </x:c>
      <x:c r="W37" s="42" t="str">
        <x:v>因果説明</x:v>
      </x:c>
      <x:c r="X37" s="53" t="str">
        <x:v>D2</x:v>
      </x:c>
      <x:c r="Y37" s="42" t="str">
        <x:v>オレゴン=砂漠; ピノ=貴腐甘口</x:v>
      </x:c>
      <x:c r="Z37" s="53" t="str">
        <x:v>N</x:v>
      </x:c>
      <x:c r="AA37" s="42" t="str"/>
      <x:c r="AB37" s="42" t="str">
        <x:v>オリジナル</x:v>
      </x:c>
      <x:c r="AC37" s="42" t="str">
        <x:v>公式Specificationの範囲＋ユーザー作成コーパスの論点を参考に独自作成</x:v>
      </x:c>
      <x:c r="AD37" s="53" t="str">
        <x:v>未レビュー</x:v>
      </x:c>
      <x:c r="AE37" s="53" t="str"/>
      <x:c r="AF37" s="53" t="str"/>
      <x:c r="AG37" s="43" t="str"/>
    </x:row>
    <x:row r="38" ht="84" customHeight="1">
      <x:c r="A38" s="41" t="str">
        <x:v>LO2-017</x:v>
      </x:c>
      <x:c r="B38" s="53" t="str">
        <x:v>LO2</x:v>
      </x:c>
      <x:c r="C38" s="42" t="str">
        <x:v>世界の主要な非発泡性ワイン</x:v>
      </x:c>
      <x:c r="D38" s="42" t="str">
        <x:v>カサブランカ・ヴァレー</x:v>
      </x:c>
      <x:c r="E38" s="42" t="str">
        <x:v>カサブランカ・ヴァレーのソーヴィニヨン・ブランに高い酸と青々しい柑橘系の風味をもたらす主な要因はどれか。</x:v>
      </x:c>
      <x:c r="F38" s="42" t="str">
        <x:v>太平洋からの冷たい海風と朝霧による冷却</x:v>
      </x:c>
      <x:c r="G38" s="42" t="str">
        <x:v>アンデス山脈からの高温乾燥風だけ</x:v>
      </x:c>
      <x:c r="H38" s="42" t="str">
        <x:v>果実を長期間天日干しすること</x:v>
      </x:c>
      <x:c r="I38" s="42" t="str">
        <x:v>酸を下げるためのマロラクティック発酵を広く行うこと</x:v>
      </x:c>
      <x:c r="J38" s="53" t="str">
        <x:v>A</x:v>
      </x:c>
      <x:c r="K38" s="42" t="str">
        <x:v>太平洋からの冷たい海風と朝霧による冷却</x:v>
      </x:c>
      <x:c r="L38" s="42" t="str">
        <x:v>冷却により成熟がゆっくり進み、酸と香りが保持される。</x:v>
      </x:c>
      <x:c r="M38" s="42" t="str">
        <x:v>正しい。 冷却により成熟がゆっくり進み、酸と香りが保持される。</x:v>
      </x:c>
      <x:c r="N38" s="42" t="str">
        <x:v>誤り。 アンデスの影響より太平洋の冷却が主要である。</x:v>
      </x:c>
      <x:c r="O38" s="42" t="str">
        <x:v>誤り。 天日干しは糖分を濃縮し、典型的な辛口ソーヴィニヨンの製法ではない。</x:v>
      </x:c>
      <x:c r="P38" s="42" t="str">
        <x:v>誤り。 MLFは酸を柔らかくするため、高い酸を直接説明しない。</x:v>
      </x:c>
      <x:c r="Q38" s="42" t="str">
        <x:v>自然要因・産地</x:v>
      </x:c>
      <x:c r="R38" s="42" t="str">
        <x:v>海洋冷却・霧</x:v>
      </x:c>
      <x:c r="S38" s="42" t="str">
        <x:v>白非発泡性ワイン</x:v>
      </x:c>
      <x:c r="T38" s="42" t="str">
        <x:v>チリ</x:v>
      </x:c>
      <x:c r="U38" s="42" t="str">
        <x:v>カサブランカ・ヴァレー</x:v>
      </x:c>
      <x:c r="V38" s="42" t="str">
        <x:v>ソーヴィニヨン・ブラン</x:v>
      </x:c>
      <x:c r="W38" s="42" t="str">
        <x:v>因果説明</x:v>
      </x:c>
      <x:c r="X38" s="53" t="str">
        <x:v>D2</x:v>
      </x:c>
      <x:c r="Y38" s="42" t="str">
        <x:v>カサブランカ=高温内陸; 高酸=MLF</x:v>
      </x:c>
      <x:c r="Z38" s="53" t="str">
        <x:v>N</x:v>
      </x:c>
      <x:c r="AA38" s="42" t="str"/>
      <x:c r="AB38" s="42" t="str">
        <x:v>オリジナル</x:v>
      </x:c>
      <x:c r="AC38" s="42" t="str">
        <x:v>公式Specificationの範囲＋ユーザー作成コーパスの論点を参考に独自作成</x:v>
      </x:c>
      <x:c r="AD38" s="53" t="str">
        <x:v>未レビュー</x:v>
      </x:c>
      <x:c r="AE38" s="53" t="str"/>
      <x:c r="AF38" s="53" t="str"/>
      <x:c r="AG38" s="43" t="str"/>
    </x:row>
    <x:row r="39" ht="84" customHeight="1">
      <x:c r="A39" s="41" t="str">
        <x:v>LO2-018</x:v>
      </x:c>
      <x:c r="B39" s="53" t="str">
        <x:v>LO2</x:v>
      </x:c>
      <x:c r="C39" s="42" t="str">
        <x:v>世界の主要な非発泡性ワイン</x:v>
      </x:c>
      <x:c r="D39" s="42" t="str">
        <x:v>ウコ・ヴァレー</x:v>
      </x:c>
      <x:c r="E39" s="42" t="str">
        <x:v>ウコ・ヴァレーの高標高畑がマルベックの品質に寄与する組み合わせとして最も適切なものはどれか。</x:v>
      </x:c>
      <x:c r="F39" s="42" t="str">
        <x:v>弱い日射と暖かい夜により、薄い果皮と低い酸になる</x:v>
      </x:c>
      <x:c r="G39" s="42" t="str">
        <x:v>強い日射による成熟と色の発達、涼しい夜による酸の保持</x:v>
      </x:c>
      <x:c r="H39" s="42" t="str">
        <x:v>多雨により灌漑が不要となり、病害もなくなる</x:v>
      </x:c>
      <x:c r="I39" s="42" t="str">
        <x:v>海洋の影響が強く、年ごとの天候差が小さいこと</x:v>
      </x:c>
      <x:c r="J39" s="53" t="str">
        <x:v>B</x:v>
      </x:c>
      <x:c r="K39" s="42" t="str">
        <x:v>強い日射による成熟と色の発達、涼しい夜による酸の保持</x:v>
      </x:c>
      <x:c r="L39" s="42" t="str">
        <x:v>果実の熟度と鮮度を両立し、濃い色と明瞭な風味を持つワインを生みやすい。</x:v>
      </x:c>
      <x:c r="M39" s="42" t="str">
        <x:v>誤り。 高標高では日射や紫外線が強く、夜は涼しくなりやすい。</x:v>
      </x:c>
      <x:c r="N39" s="42" t="str">
        <x:v>正しい。 果実の熟度と鮮度を両立し、濃い色と明瞭な風味を持つワインを生みやすい。</x:v>
      </x:c>
      <x:c r="O39" s="42" t="str">
        <x:v>誤り。 メンドーサは乾燥しており、一般に灌漑が必要である。</x:v>
      </x:c>
      <x:c r="P39" s="42" t="str">
        <x:v>誤り。 ウコ・ヴァレーは内陸性が強く、海洋性気候ではない。</x:v>
      </x:c>
      <x:c r="Q39" s="42" t="str">
        <x:v>自然要因・産地</x:v>
      </x:c>
      <x:c r="R39" s="42" t="str">
        <x:v>高標高・日較差</x:v>
      </x:c>
      <x:c r="S39" s="42" t="str">
        <x:v>赤非発泡性ワイン</x:v>
      </x:c>
      <x:c r="T39" s="42" t="str">
        <x:v>アルゼンチン</x:v>
      </x:c>
      <x:c r="U39" s="42" t="str">
        <x:v>ウコ・ヴァレー</x:v>
      </x:c>
      <x:c r="V39" s="42" t="str">
        <x:v>マルベック</x:v>
      </x:c>
      <x:c r="W39" s="42" t="str">
        <x:v>因果説明</x:v>
      </x:c>
      <x:c r="X39" s="53" t="str">
        <x:v>D2</x:v>
      </x:c>
      <x:c r="Y39" s="42" t="str">
        <x:v>高標高=弱紫外線; メンドーサ=多雨</x:v>
      </x:c>
      <x:c r="Z39" s="53" t="str">
        <x:v>N</x:v>
      </x:c>
      <x:c r="AA39" s="42" t="str"/>
      <x:c r="AB39" s="42" t="str">
        <x:v>オリジナル</x:v>
      </x:c>
      <x:c r="AC39" s="42" t="str">
        <x:v>公式Specificationの範囲＋ユーザー作成コーパスの論点を参考に独自作成</x:v>
      </x:c>
      <x:c r="AD39" s="53" t="str">
        <x:v>未レビュー</x:v>
      </x:c>
      <x:c r="AE39" s="53" t="str"/>
      <x:c r="AF39" s="53" t="str"/>
      <x:c r="AG39" s="43" t="str"/>
    </x:row>
    <x:row r="40" ht="84" customHeight="1">
      <x:c r="A40" s="41" t="str">
        <x:v>LO2-019</x:v>
      </x:c>
      <x:c r="B40" s="53" t="str">
        <x:v>LO2</x:v>
      </x:c>
      <x:c r="C40" s="42" t="str">
        <x:v>世界の主要な非発泡性ワイン</x:v>
      </x:c>
      <x:c r="D40" s="42" t="str">
        <x:v>マーガレット・リヴァー</x:v>
      </x:c>
      <x:c r="E40" s="42" t="str">
        <x:v>マーガレット・リヴァーのカベルネ・ソーヴィニヨンが成熟した果実味と酸のバランスを持ちやすい理由はどれか。</x:v>
      </x:c>
      <x:c r="F40" s="42" t="str">
        <x:v>内陸砂漠の極端な高温が夜間まで続くため</x:v>
      </x:c>
      <x:c r="G40" s="42" t="str">
        <x:v>秋の湿度によって貴腐が進み、糖分が濃縮されるため</x:v>
      </x:c>
      <x:c r="H40" s="42" t="str">
        <x:v>温和な海洋性気候が極端な暑さを和らげ、長く均一な成熟を可能にするため</x:v>
      </x:c>
      <x:c r="I40" s="42" t="str">
        <x:v>高いアルコール度を得るため、収穫後に酒精強化すること</x:v>
      </x:c>
      <x:c r="J40" s="53" t="str">
        <x:v>C</x:v>
      </x:c>
      <x:c r="K40" s="42" t="str">
        <x:v>温和な海洋性気候が極端な暑さを和らげ、長く均一な成熟を可能にするため</x:v>
      </x:c>
      <x:c r="L40" s="42" t="str">
        <x:v>海洋の緩和作用により過熟や急速な酸の低下を避けながら成熟しやすい。</x:v>
      </x:c>
      <x:c r="M40" s="42" t="str">
        <x:v>誤り。 マーガレット・リヴァーはインド洋と南大洋の影響を受ける海洋性の地域である。</x:v>
      </x:c>
      <x:c r="N40" s="42" t="str">
        <x:v>誤り。 カベルネ・ソーヴィニヨンの品質を説明する主因ではない。</x:v>
      </x:c>
      <x:c r="O40" s="42" t="str">
        <x:v>正しい。 海洋の緩和作用により過熟や急速な酸の低下を避けながら成熟しやすい。</x:v>
      </x:c>
      <x:c r="P40" s="42" t="str">
        <x:v>誤り。 通常のカベルネは非発泡性の辛口ワインで、酒精強化されない。</x:v>
      </x:c>
      <x:c r="Q40" s="42" t="str">
        <x:v>自然要因・産地</x:v>
      </x:c>
      <x:c r="R40" s="42" t="str">
        <x:v>海洋性気候</x:v>
      </x:c>
      <x:c r="S40" s="42" t="str">
        <x:v>赤非発泡性ワイン</x:v>
      </x:c>
      <x:c r="T40" s="42" t="str">
        <x:v>オーストラリア</x:v>
      </x:c>
      <x:c r="U40" s="42" t="str">
        <x:v>マーガレット・リヴァー</x:v>
      </x:c>
      <x:c r="V40" s="42" t="str">
        <x:v>カベルネ・ソーヴィニヨン</x:v>
      </x:c>
      <x:c r="W40" s="42" t="str">
        <x:v>因果説明</x:v>
      </x:c>
      <x:c r="X40" s="53" t="str">
        <x:v>D2</x:v>
      </x:c>
      <x:c r="Y40" s="42" t="str">
        <x:v>マーガレットリヴァー=砂漠; カベルネ=酒精強化</x:v>
      </x:c>
      <x:c r="Z40" s="53" t="str">
        <x:v>N</x:v>
      </x:c>
      <x:c r="AA40" s="42" t="str"/>
      <x:c r="AB40" s="42" t="str">
        <x:v>オリジナル</x:v>
      </x:c>
      <x:c r="AC40" s="42" t="str">
        <x:v>公式Specificationの範囲＋ユーザー作成コーパスの論点を参考に独自作成</x:v>
      </x:c>
      <x:c r="AD40" s="53" t="str">
        <x:v>未レビュー</x:v>
      </x:c>
      <x:c r="AE40" s="53" t="str"/>
      <x:c r="AF40" s="53" t="str"/>
      <x:c r="AG40" s="43" t="str"/>
    </x:row>
    <x:row r="41" ht="84" customHeight="1">
      <x:c r="A41" s="41" t="str">
        <x:v>LO2-020</x:v>
      </x:c>
      <x:c r="B41" s="53" t="str">
        <x:v>LO2</x:v>
      </x:c>
      <x:c r="C41" s="42" t="str">
        <x:v>世界の主要な非発泡性ワイン</x:v>
      </x:c>
      <x:c r="D41" s="42" t="str">
        <x:v>マールボロ</x:v>
      </x:c>
      <x:c r="E41" s="42" t="str">
        <x:v>マールボロのソーヴィニヨン・ブランが強い香りと高い酸を持ちやすい条件として最も適切なものはどれか。</x:v>
      </x:c>
      <x:c r="F41" s="42" t="str">
        <x:v>湿潤で曇天が多く、日照が限られること</x:v>
      </x:c>
      <x:c r="G41" s="42" t="str">
        <x:v>夜間も高温が続く短い生育期間によって糖度を急速に高めること</x:v>
      </x:c>
      <x:c r="H41" s="42" t="str">
        <x:v>新樽発酵とマロラクティック発酵で酸を和らげること</x:v>
      </x:c>
      <x:c r="I41" s="42" t="str">
        <x:v>強い日照で風味が発達し、涼しい夜が酸と香りを保持すること</x:v>
      </x:c>
      <x:c r="J41" s="53" t="str">
        <x:v>D</x:v>
      </x:c>
      <x:c r="K41" s="42" t="str">
        <x:v>強い日照で風味が発達し、涼しい夜が酸と香りを保持すること</x:v>
      </x:c>
      <x:c r="L41" s="42" t="str">
        <x:v>日照と日較差の組み合わせが、熟した風味と鮮度の両立に寄与する。</x:v>
      </x:c>
      <x:c r="M41" s="42" t="str">
        <x:v>誤り。 マールボロは比較的日照が多く、乾燥した条件を持つ。</x:v>
      </x:c>
      <x:c r="N41" s="42" t="str">
        <x:v>誤り。 夜間の冷却と長い生育期間が香りと酸の保持に役立つ。</x:v>
      </x:c>
      <x:c r="O41" s="42" t="str">
        <x:v>誤り。 フレッシュなスタイルでは新樽やMLFを避けることも多く、高い酸と一次香の保持を説明しない。</x:v>
      </x:c>
      <x:c r="P41" s="42" t="str">
        <x:v>正しい。 日照と日較差の組み合わせが、熟した風味と鮮度の両立に寄与する。</x:v>
      </x:c>
      <x:c r="Q41" s="42" t="str">
        <x:v>自然要因・産地</x:v>
      </x:c>
      <x:c r="R41" s="42" t="str">
        <x:v>日照・日較差</x:v>
      </x:c>
      <x:c r="S41" s="42" t="str">
        <x:v>白非発泡性ワイン</x:v>
      </x:c>
      <x:c r="T41" s="42" t="str">
        <x:v>ニュージーランド</x:v>
      </x:c>
      <x:c r="U41" s="42" t="str">
        <x:v>マールボロ</x:v>
      </x:c>
      <x:c r="V41" s="42" t="str">
        <x:v>ソーヴィニヨン・ブラン</x:v>
      </x:c>
      <x:c r="W41" s="42" t="str">
        <x:v>因果説明</x:v>
      </x:c>
      <x:c r="X41" s="53" t="str">
        <x:v>D2</x:v>
      </x:c>
      <x:c r="Y41" s="42" t="str">
        <x:v>マールボロ=多湿少日照; 全量新樽MLF</x:v>
      </x:c>
      <x:c r="Z41" s="53" t="str">
        <x:v>N</x:v>
      </x:c>
      <x:c r="AA41" s="42" t="str"/>
      <x:c r="AB41" s="42" t="str">
        <x:v>オリジナル</x:v>
      </x:c>
      <x:c r="AC41" s="42" t="str">
        <x:v>公式Specificationの範囲＋ユーザー作成コーパスの論点を参考に独自作成</x:v>
      </x:c>
      <x:c r="AD41" s="53" t="str">
        <x:v>未レビュー</x:v>
      </x:c>
      <x:c r="AE41" s="53" t="str"/>
      <x:c r="AF41" s="53" t="str"/>
      <x:c r="AG41" s="43" t="str"/>
    </x:row>
    <x:row r="42" ht="84" customHeight="1">
      <x:c r="A42" s="41" t="str">
        <x:v>LO3-001</x:v>
      </x:c>
      <x:c r="B42" s="53" t="str">
        <x:v>LO3</x:v>
      </x:c>
      <x:c r="C42" s="42" t="str">
        <x:v>世界の主要な発泡性ワイン</x:v>
      </x:c>
      <x:c r="D42" s="42" t="str">
        <x:v>ベースワイン</x:v>
      </x:c>
      <x:c r="E42" s="42" t="str">
        <x:v>伝統的方式の発泡性ワインで、ベースワインのアルコール度が比較的低く造られる主な理由はどれか。</x:v>
      </x:c>
      <x:c r="F42" s="42" t="str">
        <x:v>瓶内二次発酵でさらにアルコールが生じるため</x:v>
      </x:c>
      <x:c r="G42" s="42" t="str">
        <x:v>低いアルコール度が酵母の自己分解を促し、澱熟成期間を短縮するため</x:v>
      </x:c>
      <x:c r="H42" s="42" t="str">
        <x:v>低いアルコール度が糖の発酵量を増やし、瓶内圧を高めるため</x:v>
      </x:c>
      <x:c r="I42" s="42" t="str">
        <x:v>ドザージュによってアルコール度が下がり、ベースワインの強さが相殺されるため</x:v>
      </x:c>
      <x:c r="J42" s="53" t="str">
        <x:v>A</x:v>
      </x:c>
      <x:c r="K42" s="42" t="str">
        <x:v>瓶内二次発酵でさらにアルコールが生じるため</x:v>
      </x:c>
      <x:c r="L42" s="42" t="str">
        <x:v>二次発酵で糖がアルコールと炭酸ガスに変わるため、ベースワインの段階で高すぎるアルコール度を避ける。</x:v>
      </x:c>
      <x:c r="M42" s="42" t="str">
        <x:v>正しい。 二次発酵で糖がアルコールと炭酸ガスに変わるため、ベースワインの段階で高すぎるアルコール度を避ける。</x:v>
      </x:c>
      <x:c r="N42" s="42" t="str">
        <x:v>誤り。 自己分解の程度は主に澱との接触期間などに左右され、低アルコールが直接の主因ではない。</x:v>
      </x:c>
      <x:c r="O42" s="42" t="str">
        <x:v>誤り。 瓶内圧は主に二次発酵用に加える糖の量で決まる。</x:v>
      </x:c>
      <x:c r="P42" s="42" t="str">
        <x:v>誤り。 ドザージュは最終的な甘味調整が主目的で、アルコールを大幅に下げない。</x:v>
      </x:c>
      <x:c r="Q42" s="42" t="str">
        <x:v>発泡性ワイン製法</x:v>
      </x:c>
      <x:c r="R42" s="42" t="str">
        <x:v>ベースワイン</x:v>
      </x:c>
      <x:c r="S42" s="42" t="str">
        <x:v>発泡性ワイン</x:v>
      </x:c>
      <x:c r="T42" s="42" t="str"/>
      <x:c r="U42" s="42" t="str"/>
      <x:c r="V42" s="42" t="str"/>
      <x:c r="W42" s="42" t="str">
        <x:v>因果説明</x:v>
      </x:c>
      <x:c r="X42" s="53" t="str">
        <x:v>D1</x:v>
      </x:c>
      <x:c r="Y42" s="42" t="str">
        <x:v>低アルコール=高圧; ドザージュ=脱アルコール</x:v>
      </x:c>
      <x:c r="Z42" s="53" t="str">
        <x:v>N</x:v>
      </x:c>
      <x:c r="AA42" s="42" t="str"/>
      <x:c r="AB42" s="42" t="str">
        <x:v>オリジナル</x:v>
      </x:c>
      <x:c r="AC42" s="42" t="str">
        <x:v>公式Specificationの範囲＋ユーザー作成コーパスの論点を参考に独自作成</x:v>
      </x:c>
      <x:c r="AD42" s="53" t="str">
        <x:v>未レビュー</x:v>
      </x:c>
      <x:c r="AE42" s="53" t="str"/>
      <x:c r="AF42" s="53" t="str"/>
      <x:c r="AG42" s="43" t="str"/>
    </x:row>
    <x:row r="43" ht="84" customHeight="1">
      <x:c r="A43" s="41" t="str">
        <x:v>LO3-002</x:v>
      </x:c>
      <x:c r="B43" s="53" t="str">
        <x:v>LO3</x:v>
      </x:c>
      <x:c r="C43" s="42" t="str">
        <x:v>世界の主要な発泡性ワイン</x:v>
      </x:c>
      <x:c r="D43" s="42" t="str">
        <x:v>リクール・ドゥ・ティラージュ</x:v>
      </x:c>
      <x:c r="E43" s="42" t="str">
        <x:v>リクール・ドゥ・ティラージュをベースワインに加える主な目的はどれか。</x:v>
      </x:c>
      <x:c r="F43" s="42" t="str">
        <x:v>最終的な甘味を調整するため</x:v>
      </x:c>
      <x:c r="G43" s="42" t="str">
        <x:v>糖と酵母を供給し、二次発酵を開始させるため</x:v>
      </x:c>
      <x:c r="H43" s="42" t="str">
        <x:v>酒石酸塩を析出させるため</x:v>
      </x:c>
      <x:c r="I43" s="42" t="str">
        <x:v>フロールを形成するため</x:v>
      </x:c>
      <x:c r="J43" s="53" t="str">
        <x:v>B</x:v>
      </x:c>
      <x:c r="K43" s="42" t="str">
        <x:v>糖と酵母を供給し、二次発酵を開始させるため</x:v>
      </x:c>
      <x:c r="L43" s="42" t="str">
        <x:v>添加した糖を酵母が発酵し、アルコールと炭酸ガスを生成する。</x:v>
      </x:c>
      <x:c r="M43" s="42" t="str">
        <x:v>誤り。 最終的な甘味調整は通常リクール・デクスペディシオン（ドザージュ）が担う。</x:v>
      </x:c>
      <x:c r="N43" s="42" t="str">
        <x:v>正しい。 添加した糖を酵母が発酵し、アルコールと炭酸ガスを生成する。</x:v>
      </x:c>
      <x:c r="O43" s="42" t="str">
        <x:v>誤り。 酒石酸安定化は冷却などで行われ、ティラージュの目的ではない。</x:v>
      </x:c>
      <x:c r="P43" s="42" t="str">
        <x:v>誤り。 フロールは一部のシェリーの熟成に関係する。</x:v>
      </x:c>
      <x:c r="Q43" s="42" t="str">
        <x:v>発泡性ワイン製法</x:v>
      </x:c>
      <x:c r="R43" s="42" t="str">
        <x:v>瓶内二次発酵</x:v>
      </x:c>
      <x:c r="S43" s="42" t="str">
        <x:v>発泡性ワイン</x:v>
      </x:c>
      <x:c r="T43" s="42" t="str"/>
      <x:c r="U43" s="42" t="str"/>
      <x:c r="V43" s="42" t="str"/>
      <x:c r="W43" s="42" t="str">
        <x:v>知識確認</x:v>
      </x:c>
      <x:c r="X43" s="53" t="str">
        <x:v>D1</x:v>
      </x:c>
      <x:c r="Y43" s="42" t="str">
        <x:v>ティラージュ=ドザージュ; ティラージュ=酒石安定化</x:v>
      </x:c>
      <x:c r="Z43" s="53" t="str">
        <x:v>N</x:v>
      </x:c>
      <x:c r="AA43" s="42" t="str"/>
      <x:c r="AB43" s="42" t="str">
        <x:v>オリジナル</x:v>
      </x:c>
      <x:c r="AC43" s="42" t="str">
        <x:v>公式Specificationの範囲＋ユーザー作成コーパスの論点を参考に独自作成</x:v>
      </x:c>
      <x:c r="AD43" s="53" t="str">
        <x:v>未レビュー</x:v>
      </x:c>
      <x:c r="AE43" s="53" t="str"/>
      <x:c r="AF43" s="53" t="str"/>
      <x:c r="AG43" s="43" t="str"/>
    </x:row>
    <x:row r="44" ht="84" customHeight="1">
      <x:c r="A44" s="41" t="str">
        <x:v>LO3-003</x:v>
      </x:c>
      <x:c r="B44" s="53" t="str">
        <x:v>LO3</x:v>
      </x:c>
      <x:c r="C44" s="42" t="str">
        <x:v>世界の主要な発泡性ワイン</x:v>
      </x:c>
      <x:c r="D44" s="42" t="str">
        <x:v>澱との接触</x:v>
      </x:c>
      <x:c r="E44" s="42" t="str">
        <x:v>伝統的方式の発泡性ワインを澱と長く接触させることで最も期待される変化はどれか。</x:v>
      </x:c>
      <x:c r="F44" s="42" t="str">
        <x:v>果実の糖度が上がり、残糖が増える</x:v>
      </x:c>
      <x:c r="G44" s="42" t="str">
        <x:v>タンニンが大幅に増え、色が濃くなる</x:v>
      </x:c>
      <x:c r="H44" s="42" t="str">
        <x:v>パン、ビスケット、ブリオッシュを思わせる香りと、より滑らかな質感が生じる</x:v>
      </x:c>
      <x:c r="I44" s="42" t="str">
        <x:v>瓶内圧が時間とともに無制限に上昇する</x:v>
      </x:c>
      <x:c r="J44" s="53" t="str">
        <x:v>C</x:v>
      </x:c>
      <x:c r="K44" s="42" t="str">
        <x:v>パン、ビスケット、ブリオッシュを思わせる香りと、より滑らかな質感が生じる</x:v>
      </x:c>
      <x:c r="L44" s="42" t="str">
        <x:v>酵母の自己分解により風味成分と多糖類が放出され、複雑さと質感が増す。</x:v>
      </x:c>
      <x:c r="M44" s="42" t="str">
        <x:v>誤り。 瓶内の果実糖度が上がるわけではなく、残糖は発酵とドザージュで管理される。</x:v>
      </x:c>
      <x:c r="N44" s="42" t="str">
        <x:v>誤り。 澱との接触は主に質感と自己分解香に影響し、タンニンや色を大幅に増やさない。</x:v>
      </x:c>
      <x:c r="O44" s="42" t="str">
        <x:v>正しい。 酵母の自己分解により風味成分と多糖類が放出され、複雑さと質感が増す。</x:v>
      </x:c>
      <x:c r="P44" s="42" t="str">
        <x:v>誤り。 発酵可能な糖がなくなれば二次発酵は止まり、圧力は無制限には上がらない。</x:v>
      </x:c>
      <x:c r="Q44" s="42" t="str">
        <x:v>発泡性ワイン製法</x:v>
      </x:c>
      <x:c r="R44" s="42" t="str">
        <x:v>澱との接触・自己分解</x:v>
      </x:c>
      <x:c r="S44" s="42" t="str">
        <x:v>発泡性ワイン</x:v>
      </x:c>
      <x:c r="T44" s="42" t="str"/>
      <x:c r="U44" s="42" t="str"/>
      <x:c r="V44" s="42" t="str"/>
      <x:c r="W44" s="42" t="str">
        <x:v>因果説明</x:v>
      </x:c>
      <x:c r="X44" s="53" t="str">
        <x:v>D2</x:v>
      </x:c>
      <x:c r="Y44" s="42" t="str">
        <x:v>澱接触=残糖増加; 澱接触=圧力無制限上昇</x:v>
      </x:c>
      <x:c r="Z44" s="53" t="str">
        <x:v>N</x:v>
      </x:c>
      <x:c r="AA44" s="42" t="str"/>
      <x:c r="AB44" s="42" t="str">
        <x:v>オリジナル</x:v>
      </x:c>
      <x:c r="AC44" s="42" t="str">
        <x:v>公式Specificationの範囲＋ユーザー作成コーパスの論点を参考に独自作成</x:v>
      </x:c>
      <x:c r="AD44" s="53" t="str">
        <x:v>未レビュー</x:v>
      </x:c>
      <x:c r="AE44" s="53" t="str"/>
      <x:c r="AF44" s="53" t="str"/>
      <x:c r="AG44" s="43" t="str"/>
    </x:row>
    <x:row r="45" ht="84" customHeight="1">
      <x:c r="A45" s="41" t="str">
        <x:v>LO3-004</x:v>
      </x:c>
      <x:c r="B45" s="53" t="str">
        <x:v>LO3</x:v>
      </x:c>
      <x:c r="C45" s="42" t="str">
        <x:v>世界の主要な発泡性ワイン</x:v>
      </x:c>
      <x:c r="D45" s="42" t="str">
        <x:v>ルミュアージュ</x:v>
      </x:c>
      <x:c r="E45" s="42" t="str">
        <x:v>伝統的方式におけるルミュアージュ（動瓶）の目的はどれか。</x:v>
      </x:c>
      <x:c r="F45" s="42" t="str">
        <x:v>ワインに糖を加えて二次発酵を始めること</x:v>
      </x:c>
      <x:c r="G45" s="42" t="str">
        <x:v>瓶を回転させて炭酸ガスを栓から徐々に逃がすこと</x:v>
      </x:c>
      <x:c r="H45" s="42" t="str">
        <x:v>最終的な甘味を決定すること</x:v>
      </x:c>
      <x:c r="I45" s="42" t="str">
        <x:v>澱を瓶口に集め、デゴルジュマンで除去しやすくすること</x:v>
      </x:c>
      <x:c r="J45" s="53" t="str">
        <x:v>D</x:v>
      </x:c>
      <x:c r="K45" s="42" t="str">
        <x:v>澱を瓶口に集め、デゴルジュマンで除去しやすくすること</x:v>
      </x:c>
      <x:c r="L45" s="42" t="str">
        <x:v>瓶を徐々に回転・傾斜させ、澱を栓付近に集める。</x:v>
      </x:c>
      <x:c r="M45" s="42" t="str">
        <x:v>誤り。 二次発酵開始にはリクール・ドゥ・ティラージュを加える。</x:v>
      </x:c>
      <x:c r="N45" s="42" t="str">
        <x:v>誤り。 炭酸ガスを保持したまま澱を移動させる工程であり、ガスを逃がすことが目的ではない。</x:v>
      </x:c>
      <x:c r="O45" s="42" t="str">
        <x:v>誤り。 甘味はデゴルジュマン後のドザージュで調整される。</x:v>
      </x:c>
      <x:c r="P45" s="42" t="str">
        <x:v>正しい。 瓶を徐々に回転・傾斜させ、澱を栓付近に集める。</x:v>
      </x:c>
      <x:c r="Q45" s="42" t="str">
        <x:v>発泡性ワイン製法</x:v>
      </x:c>
      <x:c r="R45" s="42" t="str">
        <x:v>ルミュアージュ</x:v>
      </x:c>
      <x:c r="S45" s="42" t="str">
        <x:v>発泡性ワイン</x:v>
      </x:c>
      <x:c r="T45" s="42" t="str"/>
      <x:c r="U45" s="42" t="str"/>
      <x:c r="V45" s="42" t="str"/>
      <x:c r="W45" s="42" t="str">
        <x:v>知識確認</x:v>
      </x:c>
      <x:c r="X45" s="53" t="str">
        <x:v>D1</x:v>
      </x:c>
      <x:c r="Y45" s="42" t="str">
        <x:v>ルミュアージュ=ティラージュ; ルミュアージュ=ドザージュ</x:v>
      </x:c>
      <x:c r="Z45" s="53" t="str">
        <x:v>N</x:v>
      </x:c>
      <x:c r="AA45" s="42" t="str"/>
      <x:c r="AB45" s="42" t="str">
        <x:v>オリジナル</x:v>
      </x:c>
      <x:c r="AC45" s="42" t="str">
        <x:v>公式Specificationの範囲＋ユーザー作成コーパスの論点を参考に独自作成</x:v>
      </x:c>
      <x:c r="AD45" s="53" t="str">
        <x:v>未レビュー</x:v>
      </x:c>
      <x:c r="AE45" s="53" t="str"/>
      <x:c r="AF45" s="53" t="str"/>
      <x:c r="AG45" s="43" t="str"/>
    </x:row>
    <x:row r="46" ht="84" customHeight="1">
      <x:c r="A46" s="41" t="str">
        <x:v>LO3-005</x:v>
      </x:c>
      <x:c r="B46" s="53" t="str">
        <x:v>LO3</x:v>
      </x:c>
      <x:c r="C46" s="42" t="str">
        <x:v>世界の主要な発泡性ワイン</x:v>
      </x:c>
      <x:c r="D46" s="42" t="str">
        <x:v>ドザージュ</x:v>
      </x:c>
      <x:c r="E46" s="42" t="str">
        <x:v>リクール・デクスペディシオン（ドザージュ）の主な役割はどれか。</x:v>
      </x:c>
      <x:c r="F46" s="42" t="str">
        <x:v>糖と酵母を加え、瓶内二次発酵を開始すること</x:v>
      </x:c>
      <x:c r="G46" s="42" t="str">
        <x:v>デゴルジュマン後の液量を補い、最終的な甘味のスタイルを調整すること</x:v>
      </x:c>
      <x:c r="H46" s="42" t="str">
        <x:v>瓶を回転させ、澱を瓶口へ徐々に移動させること</x:v>
      </x:c>
      <x:c r="I46" s="42" t="str">
        <x:v>ブドウ由来のスピリッツを加え、ワインを酒精強化すること</x:v>
      </x:c>
      <x:c r="J46" s="53" t="str">
        <x:v>B</x:v>
      </x:c>
      <x:c r="K46" s="42" t="str">
        <x:v>デゴルジュマン後の液量を補い、最終的な甘味のスタイルを調整すること</x:v>
      </x:c>
      <x:c r="L46" s="42" t="str">
        <x:v>ワインと糖を含む液体を加え、ブリュットなどの最終スタイルを決める。</x:v>
      </x:c>
      <x:c r="M46" s="42" t="str">
        <x:v>誤り。 二次発酵の開始にはリクール・ドゥ・ティラージュを用いる。</x:v>
      </x:c>
      <x:c r="N46" s="42" t="str">
        <x:v>正しい。 ワインと糖を含む液体を加え、ブリュットなどの最終スタイルを決める。</x:v>
      </x:c>
      <x:c r="O46" s="42" t="str">
        <x:v>誤り。 澱を移動させる工程はルミュアージュである。</x:v>
      </x:c>
      <x:c r="P46" s="42" t="str">
        <x:v>誤り。 通常の発泡性ワインのドザージュは酒精強化を目的としない。</x:v>
      </x:c>
      <x:c r="Q46" s="42" t="str">
        <x:v>発泡性ワイン製法</x:v>
      </x:c>
      <x:c r="R46" s="42" t="str">
        <x:v>ドザージュ</x:v>
      </x:c>
      <x:c r="S46" s="42" t="str">
        <x:v>発泡性ワイン</x:v>
      </x:c>
      <x:c r="T46" s="42" t="str"/>
      <x:c r="U46" s="42" t="str"/>
      <x:c r="V46" s="42" t="str"/>
      <x:c r="W46" s="42" t="str">
        <x:v>知識確認</x:v>
      </x:c>
      <x:c r="X46" s="53" t="str">
        <x:v>D1</x:v>
      </x:c>
      <x:c r="Y46" s="42" t="str">
        <x:v>ドザージュ=ティラージュ; ドザージュ=酒精強化</x:v>
      </x:c>
      <x:c r="Z46" s="53" t="str">
        <x:v>N</x:v>
      </x:c>
      <x:c r="AA46" s="42" t="str"/>
      <x:c r="AB46" s="42" t="str">
        <x:v>オリジナル</x:v>
      </x:c>
      <x:c r="AC46" s="42" t="str">
        <x:v>公式Specificationの範囲＋ユーザー作成コーパスの論点を参考に独自作成</x:v>
      </x:c>
      <x:c r="AD46" s="53" t="str">
        <x:v>未レビュー</x:v>
      </x:c>
      <x:c r="AE46" s="53" t="str"/>
      <x:c r="AF46" s="53" t="str"/>
      <x:c r="AG46" s="43" t="str"/>
    </x:row>
    <x:row r="47" ht="84" customHeight="1">
      <x:c r="A47" s="41" t="str">
        <x:v>LO3-006</x:v>
      </x:c>
      <x:c r="B47" s="53" t="str">
        <x:v>LO3</x:v>
      </x:c>
      <x:c r="C47" s="42" t="str">
        <x:v>世界の主要な発泡性ワイン</x:v>
      </x:c>
      <x:c r="D47" s="42" t="str">
        <x:v>トランスファー方式</x:v>
      </x:c>
      <x:c r="E47" s="42" t="str">
        <x:v>トランスファー方式が伝統的方式と異なる点として最も適切なものはどれか。</x:v>
      </x:c>
      <x:c r="F47" s="42" t="str">
        <x:v>二次発酵を加圧タンクで行い、そのまま瓶詰めする</x:v>
      </x:c>
      <x:c r="G47" s="42" t="str">
        <x:v>完成したベースワインへ外部から炭酸ガスを注入する</x:v>
      </x:c>
      <x:c r="H47" s="42" t="str">
        <x:v>瓶内二次発酵後、ワインを加圧タンクへ移して一括して濾過し、再瓶詰めする</x:v>
      </x:c>
      <x:c r="I47" s="42" t="str">
        <x:v>加圧タンクで発酵を途中停止し、低アルコール甘口に仕上げる</x:v>
      </x:c>
      <x:c r="J47" s="53" t="str">
        <x:v>C</x:v>
      </x:c>
      <x:c r="K47" s="42" t="str">
        <x:v>瓶内二次発酵後、ワインを加圧タンクへ移して一括して濾過し、再瓶詰めする</x:v>
      </x:c>
      <x:c r="L47" s="42" t="str">
        <x:v>個別のルミュアージュとデゴルジュマンを省きながら、瓶内二次発酵由来の特徴を得られる。</x:v>
      </x:c>
      <x:c r="M47" s="42" t="str">
        <x:v>誤り。 これはタンク方式の説明で、トランスファー方式では二次発酵は瓶内で行う。</x:v>
      </x:c>
      <x:c r="N47" s="42" t="str">
        <x:v>誤り。 外部注入は炭酸ガス注入方式である。</x:v>
      </x:c>
      <x:c r="O47" s="42" t="str">
        <x:v>正しい。 個別のルミュアージュとデゴルジュマンを省きながら、瓶内二次発酵由来の特徴を得られる。</x:v>
      </x:c>
      <x:c r="P47" s="42" t="str">
        <x:v>誤り。 これはアスティ方式の特徴に近い。</x:v>
      </x:c>
      <x:c r="Q47" s="42" t="str">
        <x:v>発泡性ワイン製法</x:v>
      </x:c>
      <x:c r="R47" s="42" t="str">
        <x:v>トランスファー方式</x:v>
      </x:c>
      <x:c r="S47" s="42" t="str">
        <x:v>発泡性ワイン</x:v>
      </x:c>
      <x:c r="T47" s="42" t="str"/>
      <x:c r="U47" s="42" t="str"/>
      <x:c r="V47" s="42" t="str"/>
      <x:c r="W47" s="42" t="str">
        <x:v>比較</x:v>
      </x:c>
      <x:c r="X47" s="53" t="str">
        <x:v>D2</x:v>
      </x:c>
      <x:c r="Y47" s="42" t="str">
        <x:v>トランスファー=タンク二次発酵; トランスファー=炭酸注入</x:v>
      </x:c>
      <x:c r="Z47" s="53" t="str">
        <x:v>N</x:v>
      </x:c>
      <x:c r="AA47" s="42" t="str"/>
      <x:c r="AB47" s="42" t="str">
        <x:v>オリジナル</x:v>
      </x:c>
      <x:c r="AC47" s="42" t="str">
        <x:v>公式Specificationの範囲＋ユーザー作成コーパスの論点を参考に独自作成</x:v>
      </x:c>
      <x:c r="AD47" s="53" t="str">
        <x:v>未レビュー</x:v>
      </x:c>
      <x:c r="AE47" s="53" t="str"/>
      <x:c r="AF47" s="53" t="str"/>
      <x:c r="AG47" s="43" t="str"/>
    </x:row>
    <x:row r="48" ht="84" customHeight="1">
      <x:c r="A48" s="41" t="str">
        <x:v>LO3-007</x:v>
      </x:c>
      <x:c r="B48" s="53" t="str">
        <x:v>LO3</x:v>
      </x:c>
      <x:c r="C48" s="42" t="str">
        <x:v>世界の主要な発泡性ワイン</x:v>
      </x:c>
      <x:c r="D48" s="42" t="str">
        <x:v>タンク方式</x:v>
      </x:c>
      <x:c r="E48" s="42" t="str">
        <x:v>芳香性の高い品種から造る発泡性ワインでタンク方式が適する主な理由はどれか。</x:v>
      </x:c>
      <x:c r="F48" s="42" t="str">
        <x:v>長い瓶内澱熟成により自己分解香を最大化できるから</x:v>
      </x:c>
      <x:c r="G48" s="42" t="str">
        <x:v>高いタンニンを抽出できるから</x:v>
      </x:c>
      <x:c r="H48" s="42" t="str">
        <x:v>貴腐化した果実を加圧タンクで発酵し、甘味を残すから</x:v>
      </x:c>
      <x:c r="I48" s="42" t="str">
        <x:v>果実や花の一次香を保ちながら、効率よく発泡性ワインを生産できるから</x:v>
      </x:c>
      <x:c r="J48" s="53" t="str">
        <x:v>D</x:v>
      </x:c>
      <x:c r="K48" s="42" t="str">
        <x:v>果実や花の一次香を保ちながら、効率よく発泡性ワインを生産できるから</x:v>
      </x:c>
      <x:c r="L48" s="42" t="str">
        <x:v>密閉タンクで二次発酵し、酸素接触と長い自己分解熟成を抑えてフレッシュな香りを保持する。</x:v>
      </x:c>
      <x:c r="M48" s="42" t="str">
        <x:v>誤り。 タンク方式は通常、長期の瓶内澱熟成を目的としない。</x:v>
      </x:c>
      <x:c r="N48" s="42" t="str">
        <x:v>誤り。 白い発泡性ワインでタンニン抽出が主目的ではない。</x:v>
      </x:c>
      <x:c r="O48" s="42" t="str">
        <x:v>誤り。 貴腐はタンク方式の必須条件ではなく、芳香性品種の一次香保持が主な利点である。</x:v>
      </x:c>
      <x:c r="P48" s="42" t="str">
        <x:v>正しい。 密閉タンクで二次発酵し、酸素接触と長い自己分解熟成を抑えてフレッシュな香りを保持する。</x:v>
      </x:c>
      <x:c r="Q48" s="42" t="str">
        <x:v>発泡性ワイン製法</x:v>
      </x:c>
      <x:c r="R48" s="42" t="str">
        <x:v>タンク方式</x:v>
      </x:c>
      <x:c r="S48" s="42" t="str">
        <x:v>発泡性ワイン</x:v>
      </x:c>
      <x:c r="T48" s="42" t="str"/>
      <x:c r="U48" s="42" t="str"/>
      <x:c r="V48" s="42" t="str"/>
      <x:c r="W48" s="42" t="str">
        <x:v>因果説明</x:v>
      </x:c>
      <x:c r="X48" s="53" t="str">
        <x:v>D2</x:v>
      </x:c>
      <x:c r="Y48" s="42" t="str">
        <x:v>タンク方式=自己分解最大化; タンク方式=高タンニン</x:v>
      </x:c>
      <x:c r="Z48" s="53" t="str">
        <x:v>N</x:v>
      </x:c>
      <x:c r="AA48" s="42" t="str"/>
      <x:c r="AB48" s="42" t="str">
        <x:v>オリジナル</x:v>
      </x:c>
      <x:c r="AC48" s="42" t="str">
        <x:v>公式Specificationの範囲＋ユーザー作成コーパスの論点を参考に独自作成</x:v>
      </x:c>
      <x:c r="AD48" s="53" t="str">
        <x:v>未レビュー</x:v>
      </x:c>
      <x:c r="AE48" s="53" t="str"/>
      <x:c r="AF48" s="53" t="str"/>
      <x:c r="AG48" s="43" t="str"/>
    </x:row>
    <x:row r="49" ht="84" customHeight="1">
      <x:c r="A49" s="41" t="str">
        <x:v>LO3-008</x:v>
      </x:c>
      <x:c r="B49" s="53" t="str">
        <x:v>LO3</x:v>
      </x:c>
      <x:c r="C49" s="42" t="str">
        <x:v>世界の主要な発泡性ワイン</x:v>
      </x:c>
      <x:c r="D49" s="42" t="str">
        <x:v>アスティ方式</x:v>
      </x:c>
      <x:c r="E49" s="42" t="str">
        <x:v>アスティが一般に甘口で比較的低アルコールとなる主な理由はどれか。</x:v>
      </x:c>
      <x:c r="F49" s="42" t="str">
        <x:v>発酵を完了する前に冷却・濾過で止め、未発酵の糖を残すため</x:v>
      </x:c>
      <x:c r="G49" s="42" t="str">
        <x:v>完成後に大量の水を加えるため</x:v>
      </x:c>
      <x:c r="H49" s="42" t="str">
        <x:v>瓶内で長期間酸化熟成させるため</x:v>
      </x:c>
      <x:c r="I49" s="42" t="str">
        <x:v>酒精強化して酵母を止めるため</x:v>
      </x:c>
      <x:c r="J49" s="53" t="str">
        <x:v>A</x:v>
      </x:c>
      <x:c r="K49" s="42" t="str">
        <x:v>発酵を完了する前に冷却・濾過で止め、未発酵の糖を残すため</x:v>
      </x:c>
      <x:c r="L49" s="42" t="str">
        <x:v>一度の発酵中に炭酸ガスを保持し、途中で止めることで残糖と低いアルコール度を両立する。</x:v>
      </x:c>
      <x:c r="M49" s="42" t="str">
        <x:v>正しい。 一度の発酵中に炭酸ガスを保持し、途中で止めることで残糖と低いアルコール度を両立する。</x:v>
      </x:c>
      <x:c r="N49" s="42" t="str">
        <x:v>誤り。 水の添加が主要な製法ではない。</x:v>
      </x:c>
      <x:c r="O49" s="42" t="str">
        <x:v>誤り。 アスティはフレッシュな芳香を重視し、長期酸化熟成を行わない。</x:v>
      </x:c>
      <x:c r="P49" s="42" t="str">
        <x:v>誤り。 通常のアスティは酒精強化ワインではない。</x:v>
      </x:c>
      <x:c r="Q49" s="42" t="str">
        <x:v>発泡性ワイン製法</x:v>
      </x:c>
      <x:c r="R49" s="42" t="str">
        <x:v>アスティ方式</x:v>
      </x:c>
      <x:c r="S49" s="42" t="str">
        <x:v>甘口発泡性ワイン</x:v>
      </x:c>
      <x:c r="T49" s="42" t="str">
        <x:v>イタリア</x:v>
      </x:c>
      <x:c r="U49" s="42" t="str">
        <x:v>アスティ</x:v>
      </x:c>
      <x:c r="V49" s="42" t="str">
        <x:v>ミュスカ・ブラン・ア・プティ・グラン</x:v>
      </x:c>
      <x:c r="W49" s="42" t="str">
        <x:v>因果説明</x:v>
      </x:c>
      <x:c r="X49" s="53" t="str">
        <x:v>D2</x:v>
      </x:c>
      <x:c r="Y49" s="42" t="str">
        <x:v>アスティ=加水; アスティ=酒精強化</x:v>
      </x:c>
      <x:c r="Z49" s="53" t="str">
        <x:v>N</x:v>
      </x:c>
      <x:c r="AA49" s="42" t="str"/>
      <x:c r="AB49" s="42" t="str">
        <x:v>オリジナル</x:v>
      </x:c>
      <x:c r="AC49" s="42" t="str">
        <x:v>公式Specificationの範囲＋ユーザー作成コーパスの論点を参考に独自作成</x:v>
      </x:c>
      <x:c r="AD49" s="53" t="str">
        <x:v>未レビュー</x:v>
      </x:c>
      <x:c r="AE49" s="53" t="str"/>
      <x:c r="AF49" s="53" t="str"/>
      <x:c r="AG49" s="43" t="str"/>
    </x:row>
    <x:row r="50" ht="84" customHeight="1">
      <x:c r="A50" s="41" t="str">
        <x:v>LO3-009</x:v>
      </x:c>
      <x:c r="B50" s="53" t="str">
        <x:v>LO3</x:v>
      </x:c>
      <x:c r="C50" s="42" t="str">
        <x:v>世界の主要な発泡性ワイン</x:v>
      </x:c>
      <x:c r="D50" s="42" t="str">
        <x:v>炭酸ガス注入方式</x:v>
      </x:c>
      <x:c r="E50" s="42" t="str">
        <x:v>炭酸ガス注入方式で造られる発泡性ワインの一般的な特徴はどれか。</x:v>
      </x:c>
      <x:c r="F50" s="42" t="str">
        <x:v>長い澱熟成による複雑な自己分解香</x:v>
      </x:c>
      <x:c r="G50" s="42" t="str">
        <x:v>生産コストが低く、果実主体で単純なスタイルになりやすい</x:v>
      </x:c>
      <x:c r="H50" s="42" t="str">
        <x:v>瓶内二次発酵を行うため、自己分解香と持続性の高い泡を得やすい</x:v>
      </x:c>
      <x:c r="I50" s="42" t="str">
        <x:v>酒精強化を伴うため、高アルコールの発泡性ワインになる</x:v>
      </x:c>
      <x:c r="J50" s="53" t="str">
        <x:v>B</x:v>
      </x:c>
      <x:c r="K50" s="42" t="str">
        <x:v>生産コストが低く、果実主体で単純なスタイルになりやすい</x:v>
      </x:c>
      <x:c r="L50" s="42" t="str">
        <x:v>外部から炭酸ガスを加えるため工程が短く、複雑な発酵・熟成香は得にくい。</x:v>
      </x:c>
      <x:c r="M50" s="42" t="str">
        <x:v>誤り。 炭酸ガス注入では二次発酵や長い澱熟成を行わない。</x:v>
      </x:c>
      <x:c r="N50" s="42" t="str">
        <x:v>正しい。 外部から炭酸ガスを加えるため工程が短く、複雑な発酵・熟成香は得にくい。</x:v>
      </x:c>
      <x:c r="O50" s="42" t="str">
        <x:v>誤り。 炭酸ガス注入では瓶内二次発酵を行わず、自己分解香は得にくい。</x:v>
      </x:c>
      <x:c r="P50" s="42" t="str">
        <x:v>誤り。 酒精強化されるわけではなく、通常そのような高アルコールにはならない。</x:v>
      </x:c>
      <x:c r="Q50" s="42" t="str">
        <x:v>発泡性ワイン製法</x:v>
      </x:c>
      <x:c r="R50" s="42" t="str">
        <x:v>炭酸ガス注入方式</x:v>
      </x:c>
      <x:c r="S50" s="42" t="str">
        <x:v>発泡性ワイン</x:v>
      </x:c>
      <x:c r="T50" s="42" t="str"/>
      <x:c r="U50" s="42" t="str"/>
      <x:c r="V50" s="42" t="str"/>
      <x:c r="W50" s="42" t="str">
        <x:v>知識確認</x:v>
      </x:c>
      <x:c r="X50" s="53" t="str">
        <x:v>D1</x:v>
      </x:c>
      <x:c r="Y50" s="42" t="str">
        <x:v>炭酸注入=澱熟成; 炭酸注入=高アルコール</x:v>
      </x:c>
      <x:c r="Z50" s="53" t="str">
        <x:v>N</x:v>
      </x:c>
      <x:c r="AA50" s="42" t="str"/>
      <x:c r="AB50" s="42" t="str">
        <x:v>オリジナル</x:v>
      </x:c>
      <x:c r="AC50" s="42" t="str">
        <x:v>公式Specificationの範囲＋ユーザー作成コーパスの論点を参考に独自作成</x:v>
      </x:c>
      <x:c r="AD50" s="53" t="str">
        <x:v>未レビュー</x:v>
      </x:c>
      <x:c r="AE50" s="53" t="str"/>
      <x:c r="AF50" s="53" t="str"/>
      <x:c r="AG50" s="43" t="str"/>
    </x:row>
    <x:row r="51" ht="84" customHeight="1">
      <x:c r="A51" s="41" t="str">
        <x:v>LO3-010</x:v>
      </x:c>
      <x:c r="B51" s="53" t="str">
        <x:v>LO3</x:v>
      </x:c>
      <x:c r="C51" s="42" t="str">
        <x:v>世界の主要な発泡性ワイン</x:v>
      </x:c>
      <x:c r="D51" s="42" t="str">
        <x:v>ノン・ヴィンテージ・シャンパーニュ</x:v>
      </x:c>
      <x:c r="E51" s="42" t="str">
        <x:v>ノン・ヴィンテージ・シャンパーニュにリザーヴワインをブレンドする主な目的はどれか。</x:v>
      </x:c>
      <x:c r="F51" s="42" t="str">
        <x:v>毎年異なるスタイルにし、ヴィンテージ差を最大化するため</x:v>
      </x:c>
      <x:c r="G51" s="42" t="str">
        <x:v>熟成中の蒸発によってアルコール度を下げるため</x:v>
      </x:c>
      <x:c r="H51" s="42" t="str">
        <x:v>複数年の特徴を組み合わせ、ハウススタイルと品質の一貫性を保つため</x:v>
      </x:c>
      <x:c r="I51" s="42" t="str">
        <x:v>甘味の異なるロットを混ぜ、最終的な残糖区分を決めるため</x:v>
      </x:c>
      <x:c r="J51" s="53" t="str">
        <x:v>C</x:v>
      </x:c>
      <x:c r="K51" s="42" t="str">
        <x:v>複数年の特徴を組み合わせ、ハウススタイルと品質の一貫性を保つため</x:v>
      </x:c>
      <x:c r="L51" s="42" t="str">
        <x:v>冷涼地のヴィンテージ差を和らげ、複雑さも加えられる。</x:v>
      </x:c>
      <x:c r="M51" s="42" t="str">
        <x:v>誤り。 ハウススタイルの一貫性を高める目的と反対である。</x:v>
      </x:c>
      <x:c r="N51" s="42" t="str">
        <x:v>誤り。 リザーヴワインのブレンドは脱アルコール工程ではない。</x:v>
      </x:c>
      <x:c r="O51" s="42" t="str">
        <x:v>正しい。 冷涼地のヴィンテージ差を和らげ、複雑さも加えられる。</x:v>
      </x:c>
      <x:c r="P51" s="42" t="str">
        <x:v>誤り。 最終的な甘味は主にドザージュで決まり、リザーヴワインの主目的は一貫性と複雑さである。</x:v>
      </x:c>
      <x:c r="Q51" s="42" t="str">
        <x:v>ブレンド・商業</x:v>
      </x:c>
      <x:c r="R51" s="42" t="str">
        <x:v>ノン・ヴィンテージ</x:v>
      </x:c>
      <x:c r="S51" s="42" t="str">
        <x:v>発泡性ワイン</x:v>
      </x:c>
      <x:c r="T51" s="42" t="str">
        <x:v>フランス</x:v>
      </x:c>
      <x:c r="U51" s="42" t="str">
        <x:v>シャンパーニュ</x:v>
      </x:c>
      <x:c r="V51" s="42" t="str">
        <x:v>シャルドネ、ピノ・ノワール、ムーニエ</x:v>
      </x:c>
      <x:c r="W51" s="42" t="str">
        <x:v>因果説明</x:v>
      </x:c>
      <x:c r="X51" s="53" t="str">
        <x:v>D2</x:v>
      </x:c>
      <x:c r="Y51" s="42" t="str">
        <x:v>リザーヴワイン=甘口化; NV=差を最大化</x:v>
      </x:c>
      <x:c r="Z51" s="53" t="str">
        <x:v>N</x:v>
      </x:c>
      <x:c r="AA51" s="42" t="str"/>
      <x:c r="AB51" s="42" t="str">
        <x:v>オリジナル</x:v>
      </x:c>
      <x:c r="AC51" s="42" t="str">
        <x:v>公式Specificationの範囲＋ユーザー作成コーパスの論点を参考に独自作成</x:v>
      </x:c>
      <x:c r="AD51" s="53" t="str">
        <x:v>未レビュー</x:v>
      </x:c>
      <x:c r="AE51" s="53" t="str"/>
      <x:c r="AF51" s="53" t="str"/>
      <x:c r="AG51" s="43" t="str"/>
    </x:row>
    <x:row r="52" ht="84" customHeight="1">
      <x:c r="A52" s="41" t="str">
        <x:v>LO3-011</x:v>
      </x:c>
      <x:c r="B52" s="53" t="str">
        <x:v>LO3</x:v>
      </x:c>
      <x:c r="C52" s="42" t="str">
        <x:v>世界の主要な発泡性ワイン</x:v>
      </x:c>
      <x:c r="D52" s="42" t="str">
        <x:v>ブラン・ドゥ・ブラン</x:v>
      </x:c>
      <x:c r="E52" s="42" t="str">
        <x:v>シャンパーニュのブラン・ドゥ・ブランについて最も適切な説明はどれか。</x:v>
      </x:c>
      <x:c r="F52" s="42" t="str">
        <x:v>黒ブドウだけから造られ、赤い果実風味と高いタンニンを持つ</x:v>
      </x:c>
      <x:c r="G52" s="42" t="str">
        <x:v>白ブドウと黒ブドウを同量程度ブレンドして造る</x:v>
      </x:c>
      <x:c r="H52" s="42" t="str">
        <x:v>ドザージュを一切行わないシャンパーニュの総称である</x:v>
      </x:c>
      <x:c r="I52" s="42" t="str">
        <x:v>白ブドウ、主にシャルドネから造られ、柑橘や花、引き締まった酸を示しやすい</x:v>
      </x:c>
      <x:c r="J52" s="53" t="str">
        <x:v>D</x:v>
      </x:c>
      <x:c r="K52" s="42" t="str">
        <x:v>白ブドウ、主にシャルドネから造られ、柑橘や花、引き締まった酸を示しやすい</x:v>
      </x:c>
      <x:c r="L52" s="42" t="str">
        <x:v>シャルドネ主体のため、繊細さと高い酸、熟成による複雑さを持ちやすい。</x:v>
      </x:c>
      <x:c r="M52" s="42" t="str">
        <x:v>誤り。 これはブラン・ドゥ・ノワールの原料説明に近いが、白ワインでは高タンニンは典型的でない。</x:v>
      </x:c>
      <x:c r="N52" s="42" t="str">
        <x:v>誤り。 ブラン・ドゥ・ブランは白ブドウから造られる。</x:v>
      </x:c>
      <x:c r="O52" s="42" t="str">
        <x:v>誤り。 無添加ドザージュはブリュット・ナチュールなどの甘味区分に関係する。</x:v>
      </x:c>
      <x:c r="P52" s="42" t="str">
        <x:v>正しい。 シャルドネ主体のため、繊細さと高い酸、熟成による複雑さを持ちやすい。</x:v>
      </x:c>
      <x:c r="Q52" s="42" t="str">
        <x:v>産地スタイル</x:v>
      </x:c>
      <x:c r="R52" s="42" t="str">
        <x:v>ブラン・ドゥ・ブラン</x:v>
      </x:c>
      <x:c r="S52" s="42" t="str">
        <x:v>発泡性ワイン</x:v>
      </x:c>
      <x:c r="T52" s="42" t="str">
        <x:v>フランス</x:v>
      </x:c>
      <x:c r="U52" s="42" t="str">
        <x:v>シャンパーニュ</x:v>
      </x:c>
      <x:c r="V52" s="42" t="str">
        <x:v>シャルドネ</x:v>
      </x:c>
      <x:c r="W52" s="42" t="str">
        <x:v>知識確認</x:v>
      </x:c>
      <x:c r="X52" s="53" t="str">
        <x:v>D1</x:v>
      </x:c>
      <x:c r="Y52" s="42" t="str">
        <x:v>Blanc de Blancs=黒ブドウ; Blanc de Blancs=無ドザージュ</x:v>
      </x:c>
      <x:c r="Z52" s="53" t="str">
        <x:v>N</x:v>
      </x:c>
      <x:c r="AA52" s="42" t="str"/>
      <x:c r="AB52" s="42" t="str">
        <x:v>オリジナル</x:v>
      </x:c>
      <x:c r="AC52" s="42" t="str">
        <x:v>公式Specificationの範囲＋ユーザー作成コーパスの論点を参考に独自作成</x:v>
      </x:c>
      <x:c r="AD52" s="53" t="str">
        <x:v>未レビュー</x:v>
      </x:c>
      <x:c r="AE52" s="53" t="str"/>
      <x:c r="AF52" s="53" t="str"/>
      <x:c r="AG52" s="43" t="str"/>
    </x:row>
    <x:row r="53" ht="84" customHeight="1">
      <x:c r="A53" s="41" t="str">
        <x:v>LO3-012</x:v>
      </x:c>
      <x:c r="B53" s="53" t="str">
        <x:v>LO3</x:v>
      </x:c>
      <x:c r="C53" s="42" t="str">
        <x:v>世界の主要な発泡性ワイン</x:v>
      </x:c>
      <x:c r="D53" s="42" t="str">
        <x:v>コート・デ・ブラン</x:v>
      </x:c>
      <x:c r="E53" s="42" t="str">
        <x:v>コート・デ・ブランがシャルドネで高い評価を得る主な理由はどれか。</x:v>
      </x:c>
      <x:c r="F53" s="42" t="str">
        <x:v>白亜質土壌の水はけと保水性、冷涼な気候が高い酸と繊細な風味を支える</x:v>
      </x:c>
      <x:c r="G53" s="42" t="str">
        <x:v>高温の火山性土壌が黒ブドウのタンニンを増やす</x:v>
      </x:c>
      <x:c r="H53" s="42" t="str">
        <x:v>高標高の温暖な畑で糖度を高め、酸を低下させる</x:v>
      </x:c>
      <x:c r="I53" s="42" t="str">
        <x:v>貴腐化したブドウのみを使用する</x:v>
      </x:c>
      <x:c r="J53" s="53" t="str">
        <x:v>A</x:v>
      </x:c>
      <x:c r="K53" s="42" t="str">
        <x:v>白亜質土壌の水はけと保水性、冷涼な気候が高い酸と繊細な風味を支える</x:v>
      </x:c>
      <x:c r="L53" s="42" t="str">
        <x:v>白亜は排水しつつ水を蓄え、冷涼条件でシャルドネがゆっくり成熟する。</x:v>
      </x:c>
      <x:c r="M53" s="42" t="str">
        <x:v>正しい。 白亜は排水しつつ水を蓄え、冷涼条件でシャルドネがゆっくり成熟する。</x:v>
      </x:c>
      <x:c r="N53" s="42" t="str">
        <x:v>誤り。 コート・デ・ブランは主にシャルドネで知られ、説明が合わない。</x:v>
      </x:c>
      <x:c r="O53" s="42" t="str">
        <x:v>誤り。 コート・デ・ブランは冷涼な条件と白亜質土壌が重要で、高温・低酸を目的としない。</x:v>
      </x:c>
      <x:c r="P53" s="42" t="str">
        <x:v>誤り。 シャンパーニュ用ブドウで貴腐は一般に望まれない。</x:v>
      </x:c>
      <x:c r="Q53" s="42" t="str">
        <x:v>自然要因・産地</x:v>
      </x:c>
      <x:c r="R53" s="42" t="str">
        <x:v>白亜質土壌・シャルドネ</x:v>
      </x:c>
      <x:c r="S53" s="42" t="str">
        <x:v>発泡性ワイン</x:v>
      </x:c>
      <x:c r="T53" s="42" t="str">
        <x:v>フランス</x:v>
      </x:c>
      <x:c r="U53" s="42" t="str">
        <x:v>コート・デ・ブラン</x:v>
      </x:c>
      <x:c r="V53" s="42" t="str">
        <x:v>シャルドネ</x:v>
      </x:c>
      <x:c r="W53" s="42" t="str">
        <x:v>因果説明</x:v>
      </x:c>
      <x:c r="X53" s="53" t="str">
        <x:v>D2</x:v>
      </x:c>
      <x:c r="Y53" s="42" t="str">
        <x:v>コートデブラン=火山性; シャンパーニュ=貴腐</x:v>
      </x:c>
      <x:c r="Z53" s="53" t="str">
        <x:v>N</x:v>
      </x:c>
      <x:c r="AA53" s="42" t="str"/>
      <x:c r="AB53" s="42" t="str">
        <x:v>オリジナル</x:v>
      </x:c>
      <x:c r="AC53" s="42" t="str">
        <x:v>公式Specificationの範囲＋ユーザー作成コーパスの論点を参考に独自作成</x:v>
      </x:c>
      <x:c r="AD53" s="53" t="str">
        <x:v>未レビュー</x:v>
      </x:c>
      <x:c r="AE53" s="53" t="str"/>
      <x:c r="AF53" s="53" t="str"/>
      <x:c r="AG53" s="43" t="str"/>
    </x:row>
    <x:row r="54" ht="84" customHeight="1">
      <x:c r="A54" s="41" t="str">
        <x:v>LO3-013</x:v>
      </x:c>
      <x:c r="B54" s="53" t="str">
        <x:v>LO3</x:v>
      </x:c>
      <x:c r="C54" s="42" t="str">
        <x:v>世界の主要な発泡性ワイン</x:v>
      </x:c>
      <x:c r="D54" s="42" t="str">
        <x:v>ヴァレ・ドゥ・ラ・マルヌ</x:v>
      </x:c>
      <x:c r="E54" s="42" t="str">
        <x:v>ヴァレ・ドゥ・ラ・マルヌでムーニエが重要となる理由として最も適切なものはどれか。</x:v>
      </x:c>
      <x:c r="F54" s="42" t="str">
        <x:v>ムーニエは極めて晩熟で、最も暖かい斜面だけに適するから</x:v>
      </x:c>
      <x:c r="G54" s="42" t="str">
        <x:v>萌芽が遅く比較的早熟で、霜の影響を受けやすい地域でも安定して成熟しやすいから</x:v>
      </x:c>
      <x:c r="H54" s="42" t="str">
        <x:v>高いタンニンを得るため長期の果皮浸漬が必要だから</x:v>
      </x:c>
      <x:c r="I54" s="42" t="str">
        <x:v>法律でムーニエ以外の品種が禁止されているから</x:v>
      </x:c>
      <x:c r="J54" s="53" t="str">
        <x:v>B</x:v>
      </x:c>
      <x:c r="K54" s="42" t="str">
        <x:v>萌芽が遅く比較的早熟で、霜の影響を受けやすい地域でも安定して成熟しやすいから</x:v>
      </x:c>
      <x:c r="L54" s="42" t="str">
        <x:v>遅い萌芽で春霜を避けやすく、比較的早く成熟するため冷涼な条件に適応しやすい。</x:v>
      </x:c>
      <x:c r="M54" s="42" t="str">
        <x:v>誤り。 ムーニエは比較的早く芽吹き・成熟し、冷涼条件への適応が高い。</x:v>
      </x:c>
      <x:c r="N54" s="42" t="str">
        <x:v>正しい。 遅い萌芽で春霜を避けやすく、比較的早く成熟するため冷涼な条件に適応しやすい。</x:v>
      </x:c>
      <x:c r="O54" s="42" t="str">
        <x:v>誤り。 白い発泡性ワインでは強いタンニン抽出を避ける。</x:v>
      </x:c>
      <x:c r="P54" s="42" t="str">
        <x:v>誤り。 シャルドネやピノ・ノワールも栽培される。</x:v>
      </x:c>
      <x:c r="Q54" s="42" t="str">
        <x:v>自然要因・産地</x:v>
      </x:c>
      <x:c r="R54" s="42" t="str">
        <x:v>品種適性</x:v>
      </x:c>
      <x:c r="S54" s="42" t="str">
        <x:v>発泡性ワイン</x:v>
      </x:c>
      <x:c r="T54" s="42" t="str">
        <x:v>フランス</x:v>
      </x:c>
      <x:c r="U54" s="42" t="str">
        <x:v>ヴァレ・ドゥ・ラ・マルヌ</x:v>
      </x:c>
      <x:c r="V54" s="42" t="str">
        <x:v>ムーニエ</x:v>
      </x:c>
      <x:c r="W54" s="42" t="str">
        <x:v>因果説明</x:v>
      </x:c>
      <x:c r="X54" s="53" t="str">
        <x:v>D2</x:v>
      </x:c>
      <x:c r="Y54" s="42" t="str">
        <x:v>ムーニエ=晩熟; 地域=単一品種のみ</x:v>
      </x:c>
      <x:c r="Z54" s="53" t="str">
        <x:v>N</x:v>
      </x:c>
      <x:c r="AA54" s="42" t="str"/>
      <x:c r="AB54" s="42" t="str">
        <x:v>オリジナル</x:v>
      </x:c>
      <x:c r="AC54" s="42" t="str">
        <x:v>公式Specificationの範囲＋ユーザー作成コーパスの論点を参考に独自作成</x:v>
      </x:c>
      <x:c r="AD54" s="53" t="str">
        <x:v>未レビュー</x:v>
      </x:c>
      <x:c r="AE54" s="53" t="str"/>
      <x:c r="AF54" s="53" t="str"/>
      <x:c r="AG54" s="43" t="str"/>
    </x:row>
    <x:row r="55" ht="84" customHeight="1">
      <x:c r="A55" s="41" t="str">
        <x:v>LO3-014</x:v>
      </x:c>
      <x:c r="B55" s="53" t="str">
        <x:v>LO3</x:v>
      </x:c>
      <x:c r="C55" s="42" t="str">
        <x:v>世界の主要な発泡性ワイン</x:v>
      </x:c>
      <x:c r="D55" s="42" t="str">
        <x:v>ヴィンテージ・シャンパーニュ</x:v>
      </x:c>
      <x:c r="E55" s="42" t="str">
        <x:v>ヴィンテージ・シャンパーニュがノン・ヴィンテージより高価格になりやすい理由として最も適切なものはどれか。</x:v>
      </x:c>
      <x:c r="F55" s="42" t="str">
        <x:v>複数年のワインをブレンドし、毎年同じ量を生産できるから</x:v>
      </x:c>
      <x:c r="G55" s="42" t="str">
        <x:v>澱との接触を行わず、すぐ発売できるから</x:v>
      </x:c>
      <x:c r="H55" s="42" t="str">
        <x:v>優れた年のブドウを用い、長い熟成期間と在庫保有コストを必要とするから</x:v>
      </x:c>
      <x:c r="I55" s="42" t="str">
        <x:v>高いドザージュ量を用い、甘味の強いスタイルに限定されるから</x:v>
      </x:c>
      <x:c r="J55" s="53" t="str">
        <x:v>C</x:v>
      </x:c>
      <x:c r="K55" s="42" t="str">
        <x:v>優れた年のブドウを用い、長い熟成期間と在庫保有コストを必要とするから</x:v>
      </x:c>
      <x:c r="L55" s="42" t="str">
        <x:v>限定供給、長期熟成、品質への期待が価格を押し上げる。</x:v>
      </x:c>
      <x:c r="M55" s="42" t="str">
        <x:v>誤り。 ヴィンテージ・シャンパーニュは単一年のブドウを用い、優れた年に限って造られることが多い。</x:v>
      </x:c>
      <x:c r="N55" s="42" t="str">
        <x:v>誤り。 一般により長い熟成を行い、発売までの資金負担が大きい。</x:v>
      </x:c>
      <x:c r="O55" s="42" t="str">
        <x:v>正しい。 限定供給、長期熟成、品質への期待が価格を押し上げる。</x:v>
      </x:c>
      <x:c r="P55" s="42" t="str">
        <x:v>誤り。 ヴィンテージ表示は甘味区分ではなく、辛口のスタイルも一般的である。</x:v>
      </x:c>
      <x:c r="Q55" s="42" t="str">
        <x:v>商業面・法律面</x:v>
      </x:c>
      <x:c r="R55" s="42" t="str">
        <x:v>ヴィンテージ表示・価格</x:v>
      </x:c>
      <x:c r="S55" s="42" t="str">
        <x:v>発泡性ワイン</x:v>
      </x:c>
      <x:c r="T55" s="42" t="str">
        <x:v>フランス</x:v>
      </x:c>
      <x:c r="U55" s="42" t="str">
        <x:v>シャンパーニュ</x:v>
      </x:c>
      <x:c r="V55" s="42" t="str">
        <x:v>シャルドネ、ピノ・ノワール、ムーニエ</x:v>
      </x:c>
      <x:c r="W55" s="42" t="str">
        <x:v>統合判断</x:v>
      </x:c>
      <x:c r="X55" s="53" t="str">
        <x:v>D3</x:v>
      </x:c>
      <x:c r="Y55" s="42" t="str">
        <x:v>ヴィンテージ=毎年大量; ヴィンテージ=甘口</x:v>
      </x:c>
      <x:c r="Z55" s="53" t="str">
        <x:v>N</x:v>
      </x:c>
      <x:c r="AA55" s="42" t="str"/>
      <x:c r="AB55" s="42" t="str">
        <x:v>オリジナル</x:v>
      </x:c>
      <x:c r="AC55" s="42" t="str">
        <x:v>公式Specificationの範囲＋ユーザー作成コーパスの論点を参考に独自作成</x:v>
      </x:c>
      <x:c r="AD55" s="53" t="str">
        <x:v>未レビュー</x:v>
      </x:c>
      <x:c r="AE55" s="53" t="str"/>
      <x:c r="AF55" s="53" t="str"/>
      <x:c r="AG55" s="43" t="str"/>
    </x:row>
    <x:row r="56" ht="84" customHeight="1">
      <x:c r="A56" s="41" t="str">
        <x:v>LO3-015</x:v>
      </x:c>
      <x:c r="B56" s="53" t="str">
        <x:v>LO3</x:v>
      </x:c>
      <x:c r="C56" s="42" t="str">
        <x:v>世界の主要な発泡性ワイン</x:v>
      </x:c>
      <x:c r="D56" s="42" t="str">
        <x:v>カバ</x:v>
      </x:c>
      <x:c r="E56" s="42" t="str">
        <x:v>伝統的なカバの主要品種の組み合わせはどれか。</x:v>
      </x:c>
      <x:c r="F56" s="42" t="str">
        <x:v>グレラ、コルテーゼ、ガルガーネガ</x:v>
      </x:c>
      <x:c r="G56" s="42" t="str">
        <x:v>リースリング、シルヴァーナー、ミュラー・トゥルガウ</x:v>
      </x:c>
      <x:c r="H56" s="42" t="str">
        <x:v>シャルドネ、ピノ・ノワール、ムーニエのみ</x:v>
      </x:c>
      <x:c r="I56" s="42" t="str">
        <x:v>マカベオ、チャレッロ、パレリャーダ</x:v>
      </x:c>
      <x:c r="J56" s="53" t="str">
        <x:v>D</x:v>
      </x:c>
      <x:c r="K56" s="42" t="str">
        <x:v>マカベオ、チャレッロ、パレリャーダ</x:v>
      </x:c>
      <x:c r="L56" s="42" t="str">
        <x:v>これらが伝統的なカバの主要品種で、酸、果実味、構造などを補完する。</x:v>
      </x:c>
      <x:c r="M56" s="42" t="str">
        <x:v>誤り。 グレラはプロセッコ、コルテーゼはガヴィ、ガルガーネガはソアーヴェで重要である。</x:v>
      </x:c>
      <x:c r="N56" s="42" t="str">
        <x:v>誤り。 ドイツ系の品種で、伝統的なカバの主要三品種ではない。</x:v>
      </x:c>
      <x:c r="O56" s="42" t="str">
        <x:v>誤り。 国際品種も使われるが、伝統的な主要三品種ではない。</x:v>
      </x:c>
      <x:c r="P56" s="42" t="str">
        <x:v>正しい。 これらが伝統的なカバの主要品種で、酸、果実味、構造などを補完する。</x:v>
      </x:c>
      <x:c r="Q56" s="42" t="str">
        <x:v>品種・産地</x:v>
      </x:c>
      <x:c r="R56" s="42" t="str">
        <x:v>カバ主要品種</x:v>
      </x:c>
      <x:c r="S56" s="42" t="str">
        <x:v>発泡性ワイン</x:v>
      </x:c>
      <x:c r="T56" s="42" t="str">
        <x:v>スペイン</x:v>
      </x:c>
      <x:c r="U56" s="42" t="str">
        <x:v>カバ</x:v>
      </x:c>
      <x:c r="V56" s="42" t="str">
        <x:v>マカベオ、チャレッロ、パレリャーダ</x:v>
      </x:c>
      <x:c r="W56" s="42" t="str">
        <x:v>知識確認</x:v>
      </x:c>
      <x:c r="X56" s="53" t="str">
        <x:v>D1</x:v>
      </x:c>
      <x:c r="Y56" s="42" t="str">
        <x:v>カバ=シャンパーニュ三品種のみ; カバ=グレラ</x:v>
      </x:c>
      <x:c r="Z56" s="53" t="str">
        <x:v>N</x:v>
      </x:c>
      <x:c r="AA56" s="42" t="str"/>
      <x:c r="AB56" s="42" t="str">
        <x:v>オリジナル</x:v>
      </x:c>
      <x:c r="AC56" s="42" t="str">
        <x:v>公式Specificationの範囲＋ユーザー作成コーパスの論点を参考に独自作成</x:v>
      </x:c>
      <x:c r="AD56" s="53" t="str">
        <x:v>未レビュー</x:v>
      </x:c>
      <x:c r="AE56" s="53" t="str"/>
      <x:c r="AF56" s="53" t="str"/>
      <x:c r="AG56" s="43" t="str"/>
    </x:row>
    <x:row r="57" ht="84" customHeight="1">
      <x:c r="A57" s="41" t="str">
        <x:v>LO3-016</x:v>
      </x:c>
      <x:c r="B57" s="53" t="str">
        <x:v>LO3</x:v>
      </x:c>
      <x:c r="C57" s="42" t="str">
        <x:v>世界の主要な発泡性ワイン</x:v>
      </x:c>
      <x:c r="D57" s="42" t="str">
        <x:v>プロセッコ</x:v>
      </x:c>
      <x:c r="E57" s="42" t="str">
        <x:v>プロセッコでタンク方式が広く用いられる主な理由はどれか。</x:v>
      </x:c>
      <x:c r="F57" s="42" t="str">
        <x:v>グレラの洋ナシ、リンゴ、花のような一次香を保ちやすく、効率的に生産できるから</x:v>
      </x:c>
      <x:c r="G57" s="42" t="str">
        <x:v>高いタンニンを抽出し、長期瓶熟成させるため</x:v>
      </x:c>
      <x:c r="H57" s="42" t="str">
        <x:v>フロールの下で生物学的熟成を行い、酵母由来の香りを加えるため</x:v>
      </x:c>
      <x:c r="I57" s="42" t="str">
        <x:v>発酵途中で酒精強化し、残糖と高いアルコール度を得るため</x:v>
      </x:c>
      <x:c r="J57" s="53" t="str">
        <x:v>A</x:v>
      </x:c>
      <x:c r="K57" s="42" t="str">
        <x:v>グレラの洋ナシ、リンゴ、花のような一次香を保ちやすく、効率的に生産できるから</x:v>
      </x:c>
      <x:c r="L57" s="42" t="str">
        <x:v>長い自己分解熟成を避け、フレッシュな芳香を前面に出すスタイルに適する。</x:v>
      </x:c>
      <x:c r="M57" s="42" t="str">
        <x:v>正しい。 長い自己分解熟成を避け、フレッシュな芳香を前面に出すスタイルに適する。</x:v>
      </x:c>
      <x:c r="N57" s="42" t="str">
        <x:v>誤り。 プロセッコは通常、低タンニンで早飲みの発泡性白ワインである。</x:v>
      </x:c>
      <x:c r="O57" s="42" t="str">
        <x:v>誤り。 フロールはシェリーに関係し、プロセッコの製法ではない。</x:v>
      </x:c>
      <x:c r="P57" s="42" t="str">
        <x:v>誤り。 プロセッコは通常酒精強化されない。</x:v>
      </x:c>
      <x:c r="Q57" s="42" t="str">
        <x:v>発泡性ワイン製法・産地</x:v>
      </x:c>
      <x:c r="R57" s="42" t="str">
        <x:v>タンク方式と品種</x:v>
      </x:c>
      <x:c r="S57" s="42" t="str">
        <x:v>発泡性ワイン</x:v>
      </x:c>
      <x:c r="T57" s="42" t="str">
        <x:v>イタリア</x:v>
      </x:c>
      <x:c r="U57" s="42" t="str">
        <x:v>プロセッコ</x:v>
      </x:c>
      <x:c r="V57" s="42" t="str">
        <x:v>グレラ</x:v>
      </x:c>
      <x:c r="W57" s="42" t="str">
        <x:v>因果説明</x:v>
      </x:c>
      <x:c r="X57" s="53" t="str">
        <x:v>D2</x:v>
      </x:c>
      <x:c r="Y57" s="42" t="str">
        <x:v>プロセッコ=長期澱熟成; プロセッコ=酒精強化</x:v>
      </x:c>
      <x:c r="Z57" s="53" t="str">
        <x:v>N</x:v>
      </x:c>
      <x:c r="AA57" s="42" t="str"/>
      <x:c r="AB57" s="42" t="str">
        <x:v>オリジナル</x:v>
      </x:c>
      <x:c r="AC57" s="42" t="str">
        <x:v>公式Specificationの範囲＋ユーザー作成コーパスの論点を参考に独自作成</x:v>
      </x:c>
      <x:c r="AD57" s="53" t="str">
        <x:v>未レビュー</x:v>
      </x:c>
      <x:c r="AE57" s="53" t="str"/>
      <x:c r="AF57" s="53" t="str"/>
      <x:c r="AG57" s="43" t="str"/>
    </x:row>
    <x:row r="58" ht="84" customHeight="1">
      <x:c r="A58" s="41" t="str">
        <x:v>LO3-017</x:v>
      </x:c>
      <x:c r="B58" s="53" t="str">
        <x:v>LO3</x:v>
      </x:c>
      <x:c r="C58" s="42" t="str">
        <x:v>世界の主要な発泡性ワイン</x:v>
      </x:c>
      <x:c r="D58" s="42" t="str">
        <x:v>コネリアーノ・ヴァルドッビアーデネ</x:v>
      </x:c>
      <x:c r="E58" s="42" t="str">
        <x:v>コネリアーノ・ヴァルドッビアーデネの上質プロセッコが一般的な平地産より高価格になりやすい主な理由はどれか。</x:v>
      </x:c>
      <x:c r="F58" s="42" t="str">
        <x:v>平坦な畑で機械収穫し、収量を高く保てるから</x:v>
      </x:c>
      <x:c r="G58" s="42" t="str">
        <x:v>急斜面で手作業が多く、収量が制限され、評価の高い産地名への需要があるから</x:v>
      </x:c>
      <x:c r="H58" s="42" t="str">
        <x:v>長期間の瓶内澱熟成を行い、自己分解香を強めるから</x:v>
      </x:c>
      <x:c r="I58" s="42" t="str">
        <x:v>黒ブドウを主体にして長い果皮浸漬を行うから</x:v>
      </x:c>
      <x:c r="J58" s="53" t="str">
        <x:v>B</x:v>
      </x:c>
      <x:c r="K58" s="42" t="str">
        <x:v>急斜面で手作業が多く、収量が制限され、評価の高い産地名への需要があるから</x:v>
      </x:c>
      <x:c r="L58" s="42" t="str">
        <x:v>生産コストと限定供給、産地の名声が価格に反映される。</x:v>
      </x:c>
      <x:c r="M58" s="42" t="str">
        <x:v>誤り。 上質な丘陵地は急斜面が多く、機械化が難しい。</x:v>
      </x:c>
      <x:c r="N58" s="42" t="str">
        <x:v>正しい。 生産コストと限定供給、産地の名声が価格に反映される。</x:v>
      </x:c>
      <x:c r="O58" s="42" t="str">
        <x:v>誤り。 上質プロセッコの価格差は急斜面の労働、収量、産地の評価が主で、長期瓶内熟成が一般条件ではない。</x:v>
      </x:c>
      <x:c r="P58" s="42" t="str">
        <x:v>誤り。 主要品種は白ブドウのグレラで、長い果皮浸漬が価格差の主因ではない。</x:v>
      </x:c>
      <x:c r="Q58" s="42" t="str">
        <x:v>商業面・産地</x:v>
      </x:c>
      <x:c r="R58" s="42" t="str">
        <x:v>斜面・価格</x:v>
      </x:c>
      <x:c r="S58" s="42" t="str">
        <x:v>発泡性ワイン</x:v>
      </x:c>
      <x:c r="T58" s="42" t="str">
        <x:v>イタリア</x:v>
      </x:c>
      <x:c r="U58" s="42" t="str">
        <x:v>コネリアーノ・ヴァルドッビアーデネ</x:v>
      </x:c>
      <x:c r="V58" s="42" t="str">
        <x:v>グレラ</x:v>
      </x:c>
      <x:c r="W58" s="42" t="str">
        <x:v>因果説明</x:v>
      </x:c>
      <x:c r="X58" s="53" t="str">
        <x:v>D3</x:v>
      </x:c>
      <x:c r="Y58" s="42" t="str">
        <x:v>上質プロセッコ=機械化容易; プロセッコ=黒ブドウ</x:v>
      </x:c>
      <x:c r="Z58" s="53" t="str">
        <x:v>N</x:v>
      </x:c>
      <x:c r="AA58" s="42" t="str"/>
      <x:c r="AB58" s="42" t="str">
        <x:v>オリジナル</x:v>
      </x:c>
      <x:c r="AC58" s="42" t="str">
        <x:v>公式Specificationの範囲＋ユーザー作成コーパスの論点を参考に独自作成</x:v>
      </x:c>
      <x:c r="AD58" s="53" t="str">
        <x:v>未レビュー</x:v>
      </x:c>
      <x:c r="AE58" s="53" t="str"/>
      <x:c r="AF58" s="53" t="str"/>
      <x:c r="AG58" s="43" t="str"/>
    </x:row>
    <x:row r="59" ht="84" customHeight="1">
      <x:c r="A59" s="41" t="str">
        <x:v>LO3-018</x:v>
      </x:c>
      <x:c r="B59" s="53" t="str">
        <x:v>LO3</x:v>
      </x:c>
      <x:c r="C59" s="42" t="str">
        <x:v>世界の主要な発泡性ワイン</x:v>
      </x:c>
      <x:c r="D59" s="42" t="str">
        <x:v>クレマン</x:v>
      </x:c>
      <x:c r="E59" s="42" t="str">
        <x:v>クレマンについて最も適切な説明はどれか。</x:v>
      </x:c>
      <x:c r="F59" s="42" t="str">
        <x:v>シャンパーニュ地方でのみ造られる甘口発泡性ワイン</x:v>
      </x:c>
      <x:c r="G59" s="42" t="str">
        <x:v>炭酸ガス注入方式だけで造られる低価格ワイン</x:v>
      </x:c>
      <x:c r="H59" s="42" t="str">
        <x:v>シャンパーニュ以外の指定地域で、伝統的方式を用いて造られる発泡性ワイン</x:v>
      </x:c>
      <x:c r="I59" s="42" t="str">
        <x:v>酒精強化した発泡性ワインの総称</x:v>
      </x:c>
      <x:c r="J59" s="53" t="str">
        <x:v>C</x:v>
      </x:c>
      <x:c r="K59" s="42" t="str">
        <x:v>シャンパーニュ以外の指定地域で、伝統的方式を用いて造られる発泡性ワイン</x:v>
      </x:c>
      <x:c r="L59" s="42" t="str">
        <x:v>アルザス、ブルゴーニュ、ロワールなどで地域品種を用いて造られる。</x:v>
      </x:c>
      <x:c r="M59" s="42" t="str">
        <x:v>誤り。 クレマンはシャンパーニュ以外のフランス各地などで造られ、甘口に限定されない。</x:v>
      </x:c>
      <x:c r="N59" s="42" t="str">
        <x:v>誤り。 クレマンは一般に伝統的方式を用いる。</x:v>
      </x:c>
      <x:c r="O59" s="42" t="str">
        <x:v>正しい。 アルザス、ブルゴーニュ、ロワールなどで地域品種を用いて造られる。</x:v>
      </x:c>
      <x:c r="P59" s="42" t="str">
        <x:v>誤り。 クレマンは酒精強化ワインではない。</x:v>
      </x:c>
      <x:c r="Q59" s="42" t="str">
        <x:v>法律面・産地</x:v>
      </x:c>
      <x:c r="R59" s="42" t="str">
        <x:v>クレマン</x:v>
      </x:c>
      <x:c r="S59" s="42" t="str">
        <x:v>発泡性ワイン</x:v>
      </x:c>
      <x:c r="T59" s="42" t="str">
        <x:v>フランス</x:v>
      </x:c>
      <x:c r="U59" s="42" t="str">
        <x:v>クレマン</x:v>
      </x:c>
      <x:c r="V59" s="42" t="str"/>
      <x:c r="W59" s="42" t="str">
        <x:v>知識確認</x:v>
      </x:c>
      <x:c r="X59" s="53" t="str">
        <x:v>D1</x:v>
      </x:c>
      <x:c r="Y59" s="42" t="str">
        <x:v>クレマン=シャンパーニュ; クレマン=炭酸注入</x:v>
      </x:c>
      <x:c r="Z59" s="53" t="str">
        <x:v>N</x:v>
      </x:c>
      <x:c r="AA59" s="42" t="str"/>
      <x:c r="AB59" s="42" t="str">
        <x:v>オリジナル</x:v>
      </x:c>
      <x:c r="AC59" s="42" t="str">
        <x:v>公式Specificationの範囲＋ユーザー作成コーパスの論点を参考に独自作成</x:v>
      </x:c>
      <x:c r="AD59" s="53" t="str">
        <x:v>未レビュー</x:v>
      </x:c>
      <x:c r="AE59" s="53" t="str"/>
      <x:c r="AF59" s="53" t="str"/>
      <x:c r="AG59" s="43" t="str"/>
    </x:row>
    <x:row r="60" ht="84" customHeight="1">
      <x:c r="A60" s="41" t="str">
        <x:v>LO3-019</x:v>
      </x:c>
      <x:c r="B60" s="53" t="str">
        <x:v>LO3</x:v>
      </x:c>
      <x:c r="C60" s="42" t="str">
        <x:v>世界の主要な発泡性ワイン</x:v>
      </x:c>
      <x:c r="D60" s="42" t="str">
        <x:v>キャップ・クラシック</x:v>
      </x:c>
      <x:c r="E60" s="42" t="str">
        <x:v>南アフリカのキャップ・クラシックの特徴として最も適切なものはどれか。</x:v>
      </x:c>
      <x:c r="F60" s="42" t="str">
        <x:v>アスティ方式で造る甘口マスカット発泡性ワイン</x:v>
      </x:c>
      <x:c r="G60" s="42" t="str">
        <x:v>外部から炭酸ガスを注入するだけのワイン</x:v>
      </x:c>
      <x:c r="H60" s="42" t="str">
        <x:v>フロール下で熟成する酒精強化発泡性ワイン</x:v>
      </x:c>
      <x:c r="I60" s="42" t="str">
        <x:v>瓶内二次発酵を行う伝統的方式の発泡性ワイン</x:v>
      </x:c>
      <x:c r="J60" s="53" t="str">
        <x:v>D</x:v>
      </x:c>
      <x:c r="K60" s="42" t="str">
        <x:v>瓶内二次発酵を行う伝統的方式の発泡性ワイン</x:v>
      </x:c>
      <x:c r="L60" s="42" t="str">
        <x:v>シャルドネやピノ・ノワールなどを用い、澱由来の複雑さを持つことがある。</x:v>
      </x:c>
      <x:c r="M60" s="42" t="str">
        <x:v>誤り。 キャップ・クラシックは通常マスカットのアスティ方式ではない。</x:v>
      </x:c>
      <x:c r="N60" s="42" t="str">
        <x:v>誤り。 伝統的方式を用いるカテゴリーである。</x:v>
      </x:c>
      <x:c r="O60" s="42" t="str">
        <x:v>誤り。 フロールや酒精強化は関係しない。</x:v>
      </x:c>
      <x:c r="P60" s="42" t="str">
        <x:v>正しい。 シャルドネやピノ・ノワールなどを用い、澱由来の複雑さを持つことがある。</x:v>
      </x:c>
      <x:c r="Q60" s="42" t="str">
        <x:v>法律面・産地</x:v>
      </x:c>
      <x:c r="R60" s="42" t="str">
        <x:v>キャップ・クラシック</x:v>
      </x:c>
      <x:c r="S60" s="42" t="str">
        <x:v>発泡性ワイン</x:v>
      </x:c>
      <x:c r="T60" s="42" t="str">
        <x:v>南アフリカ</x:v>
      </x:c>
      <x:c r="U60" s="42" t="str">
        <x:v>キャップ・クラシック</x:v>
      </x:c>
      <x:c r="V60" s="42" t="str">
        <x:v>シャルドネ、ピノ・ノワール</x:v>
      </x:c>
      <x:c r="W60" s="42" t="str">
        <x:v>知識確認</x:v>
      </x:c>
      <x:c r="X60" s="53" t="str">
        <x:v>D1</x:v>
      </x:c>
      <x:c r="Y60" s="42" t="str">
        <x:v>キャップクラシック=炭酸注入; キャップクラシック=酒精強化</x:v>
      </x:c>
      <x:c r="Z60" s="53" t="str">
        <x:v>N</x:v>
      </x:c>
      <x:c r="AA60" s="42" t="str"/>
      <x:c r="AB60" s="42" t="str">
        <x:v>オリジナル</x:v>
      </x:c>
      <x:c r="AC60" s="42" t="str">
        <x:v>公式Specificationの範囲＋ユーザー作成コーパスの論点を参考に独自作成</x:v>
      </x:c>
      <x:c r="AD60" s="53" t="str">
        <x:v>未レビュー</x:v>
      </x:c>
      <x:c r="AE60" s="53" t="str"/>
      <x:c r="AF60" s="53" t="str"/>
      <x:c r="AG60" s="43" t="str"/>
    </x:row>
    <x:row r="61" ht="84" customHeight="1">
      <x:c r="A61" s="41" t="str">
        <x:v>LO3-020</x:v>
      </x:c>
      <x:c r="B61" s="53" t="str">
        <x:v>LO3</x:v>
      </x:c>
      <x:c r="C61" s="42" t="str">
        <x:v>世界の主要な発泡性ワイン</x:v>
      </x:c>
      <x:c r="D61" s="42" t="str">
        <x:v>ニューワールド上質発泡性ワイン</x:v>
      </x:c>
      <x:c r="E61" s="42" t="str">
        <x:v>オーストラリアやニュージーランドの上質な伝統的方式発泡性ワインに、冷涼な地域が選ばれやすい理由はどれか。</x:v>
      </x:c>
      <x:c r="F61" s="42" t="str">
        <x:v>高い酸と低めの糖度を持つ健全なベースワインを得やすいから</x:v>
      </x:c>
      <x:c r="G61" s="42" t="str">
        <x:v>ブドウのタンニンを最大化するため</x:v>
      </x:c>
      <x:c r="H61" s="42" t="str">
        <x:v>湿度を高めて貴腐を発生させ、糖度を濃縮するため</x:v>
      </x:c>
      <x:c r="I61" s="42" t="str">
        <x:v>収穫時の糖度を極端に高くしてベースワインを高アルコールにするため</x:v>
      </x:c>
      <x:c r="J61" s="53" t="str">
        <x:v>A</x:v>
      </x:c>
      <x:c r="K61" s="42" t="str">
        <x:v>高い酸と低めの糖度を持つ健全なベースワインを得やすいから</x:v>
      </x:c>
      <x:c r="L61" s="42" t="str">
        <x:v>冷涼条件では酸が保持され、二次発酵後もバランスを保てる。</x:v>
      </x:c>
      <x:c r="M61" s="42" t="str">
        <x:v>正しい。 冷涼条件では酸が保持され、二次発酵後もバランスを保てる。</x:v>
      </x:c>
      <x:c r="N61" s="42" t="str">
        <x:v>誤り。 白やロゼの発泡性ワインでは高タンニンは一般に望まれない。</x:v>
      </x:c>
      <x:c r="O61" s="42" t="str">
        <x:v>誤り。 発泡性ワイン用ブドウでは健全果が求められ、貴腐は主目的でない。</x:v>
      </x:c>
      <x:c r="P61" s="42" t="str">
        <x:v>誤り。 二次発酵でアルコールが増えるため、ベースワインは高すぎない糖度で収穫される。</x:v>
      </x:c>
      <x:c r="Q61" s="42" t="str">
        <x:v>自然要因・産地</x:v>
      </x:c>
      <x:c r="R61" s="42" t="str">
        <x:v>冷涼地域・ベースワイン</x:v>
      </x:c>
      <x:c r="S61" s="42" t="str">
        <x:v>発泡性ワイン</x:v>
      </x:c>
      <x:c r="T61" s="42" t="str">
        <x:v>オーストラリア／ニュージーランド</x:v>
      </x:c>
      <x:c r="U61" s="42" t="str">
        <x:v>タスマニア、ヤラ・ヴァレー、マールボロ</x:v>
      </x:c>
      <x:c r="V61" s="42" t="str">
        <x:v>シャルドネ、ピノ・ノワール</x:v>
      </x:c>
      <x:c r="W61" s="42" t="str">
        <x:v>因果説明</x:v>
      </x:c>
      <x:c r="X61" s="53" t="str">
        <x:v>D2</x:v>
      </x:c>
      <x:c r="Y61" s="42" t="str">
        <x:v>発泡用=高糖; 発泡用=貴腐</x:v>
      </x:c>
      <x:c r="Z61" s="53" t="str">
        <x:v>N</x:v>
      </x:c>
      <x:c r="AA61" s="42" t="str"/>
      <x:c r="AB61" s="42" t="str">
        <x:v>オリジナル</x:v>
      </x:c>
      <x:c r="AC61" s="42" t="str">
        <x:v>公式Specificationの範囲＋ユーザー作成コーパスの論点を参考に独自作成</x:v>
      </x:c>
      <x:c r="AD61" s="53" t="str">
        <x:v>未レビュー</x:v>
      </x:c>
      <x:c r="AE61" s="53" t="str"/>
      <x:c r="AF61" s="53" t="str"/>
      <x:c r="AG61" s="43" t="str"/>
    </x:row>
    <x:row r="62" ht="84" customHeight="1">
      <x:c r="A62" s="41" t="str">
        <x:v>LO4-001</x:v>
      </x:c>
      <x:c r="B62" s="53" t="str">
        <x:v>LO4</x:v>
      </x:c>
      <x:c r="C62" s="42" t="str">
        <x:v>世界の主要な酒精強化ワイン</x:v>
      </x:c>
      <x:c r="D62" s="42" t="str">
        <x:v>ポートの酒精強化</x:v>
      </x:c>
      <x:c r="E62" s="42" t="str">
        <x:v>甘口のポートで発酵途中に酒精強化を行う主な目的はどれか。</x:v>
      </x:c>
      <x:c r="F62" s="42" t="str">
        <x:v>酵母の活動を止め、未発酵の糖を残しながらアルコール度を高めるため</x:v>
      </x:c>
      <x:c r="G62" s="42" t="str">
        <x:v>酒精強化によって酸を中和し、口当たりを柔らかくするため</x:v>
      </x:c>
      <x:c r="H62" s="42" t="str">
        <x:v>フロールを形成して生物学的熟成を行うため</x:v>
      </x:c>
      <x:c r="I62" s="42" t="str">
        <x:v>瓶内二次発酵を開始して発泡性を得るため</x:v>
      </x:c>
      <x:c r="J62" s="53" t="str">
        <x:v>A</x:v>
      </x:c>
      <x:c r="K62" s="42" t="str">
        <x:v>酵母の活動を止め、未発酵の糖を残しながらアルコール度を高めるため</x:v>
      </x:c>
      <x:c r="L62" s="42" t="str">
        <x:v>高アルコール度により酵母が働けなくなり、残糖を持つ甘口ワインとなる。</x:v>
      </x:c>
      <x:c r="M62" s="42" t="str">
        <x:v>正しい。 高アルコール度により酵母が働けなくなり、残糖を持つ甘口ワインとなる。</x:v>
      </x:c>
      <x:c r="N62" s="42" t="str">
        <x:v>誤り。 酒精強化は酸を中和する工程ではない。</x:v>
      </x:c>
      <x:c r="O62" s="42" t="str">
        <x:v>誤り。 フロールは主にフィノやマンサニーリャに関係する。</x:v>
      </x:c>
      <x:c r="P62" s="42" t="str">
        <x:v>誤り。 ポートは通常発泡性ワインではなく、酒精強化は二次発酵開始のためではない。</x:v>
      </x:c>
      <x:c r="Q62" s="42" t="str">
        <x:v>酒精強化ワイン製法</x:v>
      </x:c>
      <x:c r="R62" s="42" t="str">
        <x:v>発酵中の酒精強化</x:v>
      </x:c>
      <x:c r="S62" s="42" t="str">
        <x:v>酒精強化ワイン</x:v>
      </x:c>
      <x:c r="T62" s="42" t="str">
        <x:v>ポルトガル</x:v>
      </x:c>
      <x:c r="U62" s="42" t="str">
        <x:v>ドウロ／ポート</x:v>
      </x:c>
      <x:c r="V62" s="42" t="str">
        <x:v>ポート主要黒ブドウ</x:v>
      </x:c>
      <x:c r="W62" s="42" t="str">
        <x:v>因果説明</x:v>
      </x:c>
      <x:c r="X62" s="53" t="str">
        <x:v>D1</x:v>
      </x:c>
      <x:c r="Y62" s="42" t="str">
        <x:v>酒精強化=除酸; ポート=瓶内二次発酵</x:v>
      </x:c>
      <x:c r="Z62" s="53" t="str">
        <x:v>N</x:v>
      </x:c>
      <x:c r="AA62" s="42" t="str"/>
      <x:c r="AB62" s="42" t="str">
        <x:v>オリジナル</x:v>
      </x:c>
      <x:c r="AC62" s="42" t="str">
        <x:v>公式Specificationの範囲＋ユーザー作成コーパスの論点を参考に独自作成</x:v>
      </x:c>
      <x:c r="AD62" s="53" t="str">
        <x:v>未レビュー</x:v>
      </x:c>
      <x:c r="AE62" s="53" t="str"/>
      <x:c r="AF62" s="53" t="str"/>
      <x:c r="AG62" s="43" t="str"/>
    </x:row>
    <x:row r="63" ht="84" customHeight="1">
      <x:c r="A63" s="41" t="str">
        <x:v>LO4-002</x:v>
      </x:c>
      <x:c r="B63" s="53" t="str">
        <x:v>LO4</x:v>
      </x:c>
      <x:c r="C63" s="42" t="str">
        <x:v>世界の主要な酒精強化ワイン</x:v>
      </x:c>
      <x:c r="D63" s="42" t="str">
        <x:v>ポートの抽出</x:v>
      </x:c>
      <x:c r="E63" s="42" t="str">
        <x:v>ポート用の赤ワインで短い発酵期間中に強い抽出が必要となる主な理由はどれか。</x:v>
      </x:c>
      <x:c r="F63" s="42" t="str">
        <x:v>酒精強化後に果皮からの抽出が永遠に続くため</x:v>
      </x:c>
      <x:c r="G63" s="42" t="str">
        <x:v>発酵を早期に止める前に、十分な色とタンニンを短時間で得る必要があるため</x:v>
      </x:c>
      <x:c r="H63" s="42" t="str">
        <x:v>白ブドウの果皮から色を得る必要があるため</x:v>
      </x:c>
      <x:c r="I63" s="42" t="str">
        <x:v>抽出によりアルコール度を20％まで上げるため</x:v>
      </x:c>
      <x:c r="J63" s="53" t="str">
        <x:v>B</x:v>
      </x:c>
      <x:c r="K63" s="42" t="str">
        <x:v>発酵を早期に止める前に、十分な色とタンニンを短時間で得る必要があるため</x:v>
      </x:c>
      <x:c r="L63" s="42" t="str">
        <x:v>足踏みや機械的な攪拌により短時間で抽出を進める。</x:v>
      </x:c>
      <x:c r="M63" s="42" t="str">
        <x:v>誤り。 酒精強化後は発酵を止め、果皮との接触も通常終了する。</x:v>
      </x:c>
      <x:c r="N63" s="42" t="str">
        <x:v>正しい。 足踏みや機械的な攪拌により短時間で抽出を進める。</x:v>
      </x:c>
      <x:c r="O63" s="42" t="str">
        <x:v>誤り。 赤ポートは黒ブドウを用い、短時間で色とタンニンを抽出する。</x:v>
      </x:c>
      <x:c r="P63" s="42" t="str">
        <x:v>誤り。 アルコール度は主に酒精強化用スピリッツの添加で上がる。</x:v>
      </x:c>
      <x:c r="Q63" s="42" t="str">
        <x:v>酒精強化ワイン製法</x:v>
      </x:c>
      <x:c r="R63" s="42" t="str">
        <x:v>短期間の抽出</x:v>
      </x:c>
      <x:c r="S63" s="42" t="str">
        <x:v>酒精強化ワイン</x:v>
      </x:c>
      <x:c r="T63" s="42" t="str">
        <x:v>ポルトガル</x:v>
      </x:c>
      <x:c r="U63" s="42" t="str">
        <x:v>ドウロ／ポート</x:v>
      </x:c>
      <x:c r="V63" s="42" t="str">
        <x:v>トゥリガ・ナショナルほか</x:v>
      </x:c>
      <x:c r="W63" s="42" t="str">
        <x:v>因果説明</x:v>
      </x:c>
      <x:c r="X63" s="53" t="str">
        <x:v>D2</x:v>
      </x:c>
      <x:c r="Y63" s="42" t="str">
        <x:v>抽出=アルコール上昇; ポート=白ブドウのみ</x:v>
      </x:c>
      <x:c r="Z63" s="53" t="str">
        <x:v>N</x:v>
      </x:c>
      <x:c r="AA63" s="42" t="str"/>
      <x:c r="AB63" s="42" t="str">
        <x:v>オリジナル</x:v>
      </x:c>
      <x:c r="AC63" s="42" t="str">
        <x:v>公式Specificationの範囲＋ユーザー作成コーパスの論点を参考に独自作成</x:v>
      </x:c>
      <x:c r="AD63" s="53" t="str">
        <x:v>未レビュー</x:v>
      </x:c>
      <x:c r="AE63" s="53" t="str"/>
      <x:c r="AF63" s="53" t="str"/>
      <x:c r="AG63" s="43" t="str"/>
    </x:row>
    <x:row r="64" ht="84" customHeight="1">
      <x:c r="A64" s="41" t="str">
        <x:v>LO4-003</x:v>
      </x:c>
      <x:c r="B64" s="53" t="str">
        <x:v>LO4</x:v>
      </x:c>
      <x:c r="C64" s="42" t="str">
        <x:v>世界の主要な酒精強化ワイン</x:v>
      </x:c>
      <x:c r="D64" s="42" t="str">
        <x:v>ドウロの自然要因</x:v>
      </x:c>
      <x:c r="E64" s="42" t="str">
        <x:v>ドウロ川流域の上質ポート生産で、急斜面と片岩質土壌が重要となる理由として最も適切なものはどれか。</x:v>
      </x:c>
      <x:c r="F64" s="42" t="str">
        <x:v>急斜面が機械化を容易にし、生産コストを下げる</x:v>
      </x:c>
      <x:c r="G64" s="42" t="str">
        <x:v>片岩が豊富な栄養分を供給し、樹勢と収量を高める</x:v>
      </x:c>
      <x:c r="H64" s="42" t="str">
        <x:v>水はけがよく、根が割れ目へ深く伸びて乾燥条件でも水を得やすい</x:v>
      </x:c>
      <x:c r="I64" s="42" t="str">
        <x:v>海洋からの冷たい霧を毎日取り込む</x:v>
      </x:c>
      <x:c r="J64" s="53" t="str">
        <x:v>C</x:v>
      </x:c>
      <x:c r="K64" s="42" t="str">
        <x:v>水はけがよく、根が割れ目へ深く伸びて乾燥条件でも水を得やすい</x:v>
      </x:c>
      <x:c r="L64" s="42" t="str">
        <x:v>乾燥した夏に適応しつつ、急斜面の日照が成熟を助ける。</x:v>
      </x:c>
      <x:c r="M64" s="42" t="str">
        <x:v>誤り。 急斜面は機械化を難しくし、手作業を増やす。</x:v>
      </x:c>
      <x:c r="N64" s="42" t="str">
        <x:v>誤り。 片岩は一般に痩せた土壌で、過剰な樹勢や高収量を促す説明ではない。</x:v>
      </x:c>
      <x:c r="O64" s="42" t="str">
        <x:v>正しい。 乾燥した夏に適応しつつ、急斜面の日照が成熟を助ける。</x:v>
      </x:c>
      <x:c r="P64" s="42" t="str">
        <x:v>誤り。 内陸のドウロは海洋の冷却が山地で遮られ、暑く乾燥しやすい。</x:v>
      </x:c>
      <x:c r="Q64" s="42" t="str">
        <x:v>自然要因・産地</x:v>
      </x:c>
      <x:c r="R64" s="42" t="str">
        <x:v>斜面・片岩</x:v>
      </x:c>
      <x:c r="S64" s="42" t="str">
        <x:v>酒精強化ワイン</x:v>
      </x:c>
      <x:c r="T64" s="42" t="str">
        <x:v>ポルトガル</x:v>
      </x:c>
      <x:c r="U64" s="42" t="str">
        <x:v>ドウロ</x:v>
      </x:c>
      <x:c r="V64" s="42" t="str">
        <x:v>ポート主要黒ブドウ</x:v>
      </x:c>
      <x:c r="W64" s="42" t="str">
        <x:v>因果説明</x:v>
      </x:c>
      <x:c r="X64" s="53" t="str">
        <x:v>D3</x:v>
      </x:c>
      <x:c r="Y64" s="42" t="str">
        <x:v>急斜面=機械化容易; ドウロ=海霧</x:v>
      </x:c>
      <x:c r="Z64" s="53" t="str">
        <x:v>N</x:v>
      </x:c>
      <x:c r="AA64" s="42" t="str"/>
      <x:c r="AB64" s="42" t="str">
        <x:v>オリジナル</x:v>
      </x:c>
      <x:c r="AC64" s="42" t="str">
        <x:v>公式Specificationの範囲＋ユーザー作成コーパスの論点を参考に独自作成</x:v>
      </x:c>
      <x:c r="AD64" s="53" t="str">
        <x:v>未レビュー</x:v>
      </x:c>
      <x:c r="AE64" s="53" t="str"/>
      <x:c r="AF64" s="53" t="str"/>
      <x:c r="AG64" s="43" t="str"/>
    </x:row>
    <x:row r="65" ht="84" customHeight="1">
      <x:c r="A65" s="41" t="str">
        <x:v>LO4-004</x:v>
      </x:c>
      <x:c r="B65" s="53" t="str">
        <x:v>LO4</x:v>
      </x:c>
      <x:c r="C65" s="42" t="str">
        <x:v>世界の主要な酒精強化ワイン</x:v>
      </x:c>
      <x:c r="D65" s="42" t="str">
        <x:v>ルビー・ポート</x:v>
      </x:c>
      <x:c r="E65" s="42" t="str">
        <x:v>ルビー・ポートの若々しい果実味と深い色を保つための熟成方法として最も適切なものはどれか。</x:v>
      </x:c>
      <x:c r="F65" s="42" t="str">
        <x:v>小型の古樽で数十年間酸化熟成する</x:v>
      </x:c>
      <x:c r="G65" s="42" t="str">
        <x:v>フロールの下で生物学的熟成する</x:v>
      </x:c>
      <x:c r="H65" s="42" t="str">
        <x:v>開放容器で激しく酸化させる</x:v>
      </x:c>
      <x:c r="I65" s="42" t="str">
        <x:v>大容量の容器で比較的短期間、酸素接触を抑えて熟成する</x:v>
      </x:c>
      <x:c r="J65" s="53" t="str">
        <x:v>D</x:v>
      </x:c>
      <x:c r="K65" s="42" t="str">
        <x:v>大容量の容器で比較的短期間、酸素接触を抑えて熟成する</x:v>
      </x:c>
      <x:c r="L65" s="42" t="str">
        <x:v>表面積比が小さく酸化が少ないため、濃い色と新鮮な果実風味を保ちやすい。</x:v>
      </x:c>
      <x:c r="M65" s="42" t="str">
        <x:v>誤り。 長い樽熟成は色を淡くし、ナッツやドライフルーツの風味を増やす。</x:v>
      </x:c>
      <x:c r="N65" s="42" t="str">
        <x:v>誤り。 ルビー・ポートはフロール熟成を行わない。</x:v>
      </x:c>
      <x:c r="O65" s="42" t="str">
        <x:v>誤り。 酸化を抑えることで若々しい果実味と色を保持する。</x:v>
      </x:c>
      <x:c r="P65" s="42" t="str">
        <x:v>正しい。 表面積比が小さく酸化が少ないため、濃い色と新鮮な果実風味を保ちやすい。</x:v>
      </x:c>
      <x:c r="Q65" s="42" t="str">
        <x:v>酒精強化ワイン製法</x:v>
      </x:c>
      <x:c r="R65" s="42" t="str">
        <x:v>還元的熟成</x:v>
      </x:c>
      <x:c r="S65" s="42" t="str">
        <x:v>酒精強化ワイン</x:v>
      </x:c>
      <x:c r="T65" s="42" t="str">
        <x:v>ポルトガル</x:v>
      </x:c>
      <x:c r="U65" s="42" t="str">
        <x:v>ポート</x:v>
      </x:c>
      <x:c r="V65" s="42" t="str">
        <x:v>ポート主要黒ブドウ</x:v>
      </x:c>
      <x:c r="W65" s="42" t="str">
        <x:v>因果説明</x:v>
      </x:c>
      <x:c r="X65" s="53" t="str">
        <x:v>D2</x:v>
      </x:c>
      <x:c r="Y65" s="42" t="str">
        <x:v>ルビー=長期酸化; ルビー=フロール</x:v>
      </x:c>
      <x:c r="Z65" s="53" t="str">
        <x:v>N</x:v>
      </x:c>
      <x:c r="AA65" s="42" t="str"/>
      <x:c r="AB65" s="42" t="str">
        <x:v>オリジナル</x:v>
      </x:c>
      <x:c r="AC65" s="42" t="str">
        <x:v>公式Specificationの範囲＋ユーザー作成コーパスの論点を参考に独自作成</x:v>
      </x:c>
      <x:c r="AD65" s="53" t="str">
        <x:v>未レビュー</x:v>
      </x:c>
      <x:c r="AE65" s="53" t="str"/>
      <x:c r="AF65" s="53" t="str"/>
      <x:c r="AG65" s="43" t="str"/>
    </x:row>
    <x:row r="66" ht="84" customHeight="1">
      <x:c r="A66" s="41" t="str">
        <x:v>LO4-005</x:v>
      </x:c>
      <x:c r="B66" s="53" t="str">
        <x:v>LO4</x:v>
      </x:c>
      <x:c r="C66" s="42" t="str">
        <x:v>世界の主要な酒精強化ワイン</x:v>
      </x:c>
      <x:c r="D66" s="42" t="str">
        <x:v>トーニー・ポート</x:v>
      </x:c>
      <x:c r="E66" s="42" t="str">
        <x:v>長期間木樽で熟成したトーニー・ポートに典型的な特徴はどれか。</x:v>
      </x:c>
      <x:c r="F66" s="42" t="str">
        <x:v>色が淡くなり、ナッツ、キャラメル、ドライフルーツの風味が発達する</x:v>
      </x:c>
      <x:c r="G66" s="42" t="str">
        <x:v>色がより濃くなり、第一アロマだけが強くなる</x:v>
      </x:c>
      <x:c r="H66" s="42" t="str">
        <x:v>高い発泡性と低いアルコール度を持つ</x:v>
      </x:c>
      <x:c r="I66" s="42" t="str">
        <x:v>フロール由来のアセトアルデヒド香だけを持つ</x:v>
      </x:c>
      <x:c r="J66" s="53" t="str">
        <x:v>A</x:v>
      </x:c>
      <x:c r="K66" s="42" t="str">
        <x:v>色が淡くなり、ナッツ、キャラメル、ドライフルーツの風味が発達する</x:v>
      </x:c>
      <x:c r="L66" s="42" t="str">
        <x:v>酸素との穏やかな接触により色素が変化し、酸化熟成由来の複雑な風味が生じる。</x:v>
      </x:c>
      <x:c r="M66" s="42" t="str">
        <x:v>正しい。 酸素との穏やかな接触により色素が変化し、酸化熟成由来の複雑な風味が生じる。</x:v>
      </x:c>
      <x:c r="N66" s="42" t="str">
        <x:v>誤り。 長期酸化熟成では色は淡くなり、熟成香が増える。</x:v>
      </x:c>
      <x:c r="O66" s="42" t="str">
        <x:v>誤り。 トーニー・ポートは非発泡性の酒精強化ワインである。</x:v>
      </x:c>
      <x:c r="P66" s="42" t="str">
        <x:v>誤り。 フロール熟成はトーニー・ポートの製法ではない。</x:v>
      </x:c>
      <x:c r="Q66" s="42" t="str">
        <x:v>酒精強化ワイン製法</x:v>
      </x:c>
      <x:c r="R66" s="42" t="str">
        <x:v>酸化熟成</x:v>
      </x:c>
      <x:c r="S66" s="42" t="str">
        <x:v>酒精強化ワイン</x:v>
      </x:c>
      <x:c r="T66" s="42" t="str">
        <x:v>ポルトガル</x:v>
      </x:c>
      <x:c r="U66" s="42" t="str">
        <x:v>ポート</x:v>
      </x:c>
      <x:c r="V66" s="42" t="str">
        <x:v>ポート主要黒ブドウ</x:v>
      </x:c>
      <x:c r="W66" s="42" t="str">
        <x:v>知識確認</x:v>
      </x:c>
      <x:c r="X66" s="53" t="str">
        <x:v>D1</x:v>
      </x:c>
      <x:c r="Y66" s="42" t="str">
        <x:v>トーニー=色濃化; トーニー=発泡</x:v>
      </x:c>
      <x:c r="Z66" s="53" t="str">
        <x:v>N</x:v>
      </x:c>
      <x:c r="AA66" s="42" t="str"/>
      <x:c r="AB66" s="42" t="str">
        <x:v>オリジナル</x:v>
      </x:c>
      <x:c r="AC66" s="42" t="str">
        <x:v>公式Specificationの範囲＋ユーザー作成コーパスの論点を参考に独自作成</x:v>
      </x:c>
      <x:c r="AD66" s="53" t="str">
        <x:v>未レビュー</x:v>
      </x:c>
      <x:c r="AE66" s="53" t="str"/>
      <x:c r="AF66" s="53" t="str"/>
      <x:c r="AG66" s="43" t="str"/>
    </x:row>
    <x:row r="67" ht="84" customHeight="1">
      <x:c r="A67" s="41" t="str">
        <x:v>LO4-006</x:v>
      </x:c>
      <x:c r="B67" s="53" t="str">
        <x:v>LO4</x:v>
      </x:c>
      <x:c r="C67" s="42" t="str">
        <x:v>世界の主要な酒精強化ワイン</x:v>
      </x:c>
      <x:c r="D67" s="42" t="str">
        <x:v>ヴィンテージ・ポート</x:v>
      </x:c>
      <x:c r="E67" s="42" t="str">
        <x:v>ヴィンテージ・ポートが瓶内で長期熟成できる主な理由はどれか。</x:v>
      </x:c>
      <x:c r="F67" s="42" t="str">
        <x:v>長い樽熟成でタンニンを柔らかくしてから瓶詰めされるため</x:v>
      </x:c>
      <x:c r="G67" s="42" t="str">
        <x:v>濃縮した果実味、高いタンニン、高い酸、酒精強化による構造を持つため</x:v>
      </x:c>
      <x:c r="H67" s="42" t="str">
        <x:v>瓶内二次発酵による炭酸ガスが保存するため</x:v>
      </x:c>
      <x:c r="I67" s="42" t="str">
        <x:v>辛口まで発酵し、残糖を持たないため</x:v>
      </x:c>
      <x:c r="J67" s="53" t="str">
        <x:v>B</x:v>
      </x:c>
      <x:c r="K67" s="42" t="str">
        <x:v>濃縮した果実味、高いタンニン、高い酸、酒精強化による構造を持つため</x:v>
      </x:c>
      <x:c r="L67" s="42" t="str">
        <x:v>これらの要素が長期熟成を支え、瓶内で複雑さを発達させる。</x:v>
      </x:c>
      <x:c r="M67" s="42" t="str">
        <x:v>誤り。 ヴィンテージ・ポートは比較的短い樽熟成後に瓶詰めされ、強い構造を保つ。</x:v>
      </x:c>
      <x:c r="N67" s="42" t="str">
        <x:v>正しい。 これらの要素が長期熟成を支え、瓶内で複雑さを発達させる。</x:v>
      </x:c>
      <x:c r="O67" s="42" t="str">
        <x:v>誤り。 ヴィンテージ・ポートは発泡性ワインではない。</x:v>
      </x:c>
      <x:c r="P67" s="42" t="str">
        <x:v>誤り。 ヴィンテージ・ポートは発酵途中で酒精強化される甘口ワインである。</x:v>
      </x:c>
      <x:c r="Q67" s="42" t="str">
        <x:v>スタイル・品質</x:v>
      </x:c>
      <x:c r="R67" s="42" t="str">
        <x:v>熟成能力</x:v>
      </x:c>
      <x:c r="S67" s="42" t="str">
        <x:v>酒精強化ワイン</x:v>
      </x:c>
      <x:c r="T67" s="42" t="str">
        <x:v>ポルトガル</x:v>
      </x:c>
      <x:c r="U67" s="42" t="str">
        <x:v>ポート</x:v>
      </x:c>
      <x:c r="V67" s="42" t="str">
        <x:v>ポート主要黒ブドウ</x:v>
      </x:c>
      <x:c r="W67" s="42" t="str">
        <x:v>因果説明</x:v>
      </x:c>
      <x:c r="X67" s="53" t="str">
        <x:v>D2</x:v>
      </x:c>
      <x:c r="Y67" s="42" t="str">
        <x:v>ヴィンテージポート=長期樽熟成; ヴィンテージポート=辛口</x:v>
      </x:c>
      <x:c r="Z67" s="53" t="str">
        <x:v>N</x:v>
      </x:c>
      <x:c r="AA67" s="42" t="str"/>
      <x:c r="AB67" s="42" t="str">
        <x:v>オリジナル</x:v>
      </x:c>
      <x:c r="AC67" s="42" t="str">
        <x:v>公式Specificationの範囲＋ユーザー作成コーパスの論点を参考に独自作成</x:v>
      </x:c>
      <x:c r="AD67" s="53" t="str">
        <x:v>未レビュー</x:v>
      </x:c>
      <x:c r="AE67" s="53" t="str"/>
      <x:c r="AF67" s="53" t="str"/>
      <x:c r="AG67" s="43" t="str"/>
    </x:row>
    <x:row r="68" ht="84" customHeight="1">
      <x:c r="A68" s="41" t="str">
        <x:v>LO4-007</x:v>
      </x:c>
      <x:c r="B68" s="53" t="str">
        <x:v>LO4</x:v>
      </x:c>
      <x:c r="C68" s="42" t="str">
        <x:v>世界の主要な酒精強化ワイン</x:v>
      </x:c>
      <x:c r="D68" s="42" t="str">
        <x:v>LBVポート</x:v>
      </x:c>
      <x:c r="E68" s="42" t="str">
        <x:v>レイト・ボトルド・ヴィンテージ（LBV）ポートが、一般にヴィンテージ・ポートより早く飲み頃になりやすい理由はどれか。</x:v>
      </x:c>
      <x:c r="F68" s="42" t="str">
        <x:v>酒精強化を行わず、低アルコールだから</x:v>
      </x:c>
      <x:c r="G68" s="42" t="str">
        <x:v>炭酸ガスを加えてタンニンの知覚を弱めるから</x:v>
      </x:c>
      <x:c r="H68" s="42" t="str">
        <x:v>瓶詰め前により長く樽で熟成し、タンニンがある程度柔らかくなるから</x:v>
      </x:c>
      <x:c r="I68" s="42" t="str">
        <x:v>瓶詰め前に甘味成分を除き、辛口に仕上げるから</x:v>
      </x:c>
      <x:c r="J68" s="53" t="str">
        <x:v>C</x:v>
      </x:c>
      <x:c r="K68" s="42" t="str">
        <x:v>瓶詰め前により長く樽で熟成し、タンニンがある程度柔らかくなるから</x:v>
      </x:c>
      <x:c r="L68" s="42" t="str">
        <x:v>樽熟成中の酸素接触と沈殿により、瓶詰め時に比較的飲みやすくなる。</x:v>
      </x:c>
      <x:c r="M68" s="42" t="str">
        <x:v>誤り。 LBVも酒精強化される。</x:v>
      </x:c>
      <x:c r="N68" s="42" t="str">
        <x:v>誤り。 LBVは通常非発泡性で、炭酸ガス注入を行わない。</x:v>
      </x:c>
      <x:c r="O68" s="42" t="str">
        <x:v>正しい。 樽熟成中の酸素接触と沈殿により、瓶詰め時に比較的飲みやすくなる。</x:v>
      </x:c>
      <x:c r="P68" s="42" t="str">
        <x:v>誤り。 LBVは甘口のポートである。</x:v>
      </x:c>
      <x:c r="Q68" s="42" t="str">
        <x:v>法律面・スタイル</x:v>
      </x:c>
      <x:c r="R68" s="42" t="str">
        <x:v>LBV</x:v>
      </x:c>
      <x:c r="S68" s="42" t="str">
        <x:v>酒精強化ワイン</x:v>
      </x:c>
      <x:c r="T68" s="42" t="str">
        <x:v>ポルトガル</x:v>
      </x:c>
      <x:c r="U68" s="42" t="str">
        <x:v>ポート</x:v>
      </x:c>
      <x:c r="V68" s="42" t="str">
        <x:v>ポート主要黒ブドウ</x:v>
      </x:c>
      <x:c r="W68" s="42" t="str">
        <x:v>比較</x:v>
      </x:c>
      <x:c r="X68" s="53" t="str">
        <x:v>D2</x:v>
      </x:c>
      <x:c r="Y68" s="42" t="str">
        <x:v>LBV=非酒精強化; LBV=辛口</x:v>
      </x:c>
      <x:c r="Z68" s="53" t="str">
        <x:v>N</x:v>
      </x:c>
      <x:c r="AA68" s="42" t="str"/>
      <x:c r="AB68" s="42" t="str">
        <x:v>オリジナル</x:v>
      </x:c>
      <x:c r="AC68" s="42" t="str">
        <x:v>公式Specificationの範囲＋ユーザー作成コーパスの論点を参考に独自作成</x:v>
      </x:c>
      <x:c r="AD68" s="53" t="str">
        <x:v>未レビュー</x:v>
      </x:c>
      <x:c r="AE68" s="53" t="str"/>
      <x:c r="AF68" s="53" t="str"/>
      <x:c r="AG68" s="43" t="str"/>
    </x:row>
    <x:row r="69" ht="84" customHeight="1">
      <x:c r="A69" s="41" t="str">
        <x:v>LO4-008</x:v>
      </x:c>
      <x:c r="B69" s="53" t="str">
        <x:v>LO4</x:v>
      </x:c>
      <x:c r="C69" s="42" t="str">
        <x:v>世界の主要な酒精強化ワイン</x:v>
      </x:c>
      <x:c r="D69" s="42" t="str">
        <x:v>年数表記トーニー</x:v>
      </x:c>
      <x:c r="E69" s="42" t="str">
        <x:v>年数表記トーニー・ポートの表示年数が示すものとして最も適切なものはどれか。</x:v>
      </x:c>
      <x:c r="F69" s="42" t="str">
        <x:v>ブレンド中の最も若いワインの正確な年齢</x:v>
      </x:c>
      <x:c r="G69" s="42" t="str">
        <x:v>単一ヴィンテージのワインを、その年数だけ樽熟成したこと</x:v>
      </x:c>
      <x:c r="H69" s="42" t="str">
        <x:v>ボトルに詰めてから熟成させた年数</x:v>
      </x:c>
      <x:c r="I69" s="42" t="str">
        <x:v>ブレンド全体が示す平均的な熟成特性のスタイル</x:v>
      </x:c>
      <x:c r="J69" s="53" t="str">
        <x:v>D</x:v>
      </x:c>
      <x:c r="K69" s="42" t="str">
        <x:v>ブレンド全体が示す平均的な熟成特性のスタイル</x:v>
      </x:c>
      <x:c r="L69" s="42" t="str">
        <x:v>10年、20年などの表示は、官能的に期待される平均的な熟成スタイルを示す。</x:v>
      </x:c>
      <x:c r="M69" s="42" t="str">
        <x:v>誤り。 表示は最若年ワインの年齢を保証するものではない。</x:v>
      </x:c>
      <x:c r="N69" s="42" t="str">
        <x:v>誤り。 通常は複数年のワインをブレンドし、表示年数は単一ヴィンテージや正確な熟成年数を示さない。</x:v>
      </x:c>
      <x:c r="O69" s="42" t="str">
        <x:v>誤り。 主な熟成は木樽で行われ、表示年数は瓶熟成年数ではない。</x:v>
      </x:c>
      <x:c r="P69" s="42" t="str">
        <x:v>正しい。 10年、20年などの表示は、官能的に期待される平均的な熟成スタイルを示す。</x:v>
      </x:c>
      <x:c r="Q69" s="42" t="str">
        <x:v>法律面・表示</x:v>
      </x:c>
      <x:c r="R69" s="42" t="str">
        <x:v>年数表記トーニー</x:v>
      </x:c>
      <x:c r="S69" s="42" t="str">
        <x:v>酒精強化ワイン</x:v>
      </x:c>
      <x:c r="T69" s="42" t="str">
        <x:v>ポルトガル</x:v>
      </x:c>
      <x:c r="U69" s="42" t="str">
        <x:v>ポート</x:v>
      </x:c>
      <x:c r="V69" s="42" t="str"/>
      <x:c r="W69" s="42" t="str">
        <x:v>知識確認</x:v>
      </x:c>
      <x:c r="X69" s="53" t="str">
        <x:v>D3</x:v>
      </x:c>
      <x:c r="Y69" s="42" t="str">
        <x:v>表示年数=最若年; 表示年数=瓶熟成年数</x:v>
      </x:c>
      <x:c r="Z69" s="53" t="str">
        <x:v>Y</x:v>
      </x:c>
      <x:c r="AA69" s="42" t="str">
        <x:v>年数表示の説明表現を日本語教材と照合推奨</x:v>
      </x:c>
      <x:c r="AB69" s="42" t="str">
        <x:v>オリジナル</x:v>
      </x:c>
      <x:c r="AC69" s="42" t="str">
        <x:v>公式Specificationの範囲＋ユーザー作成コーパスの論点を参考に独自作成</x:v>
      </x:c>
      <x:c r="AD69" s="53" t="str">
        <x:v>未レビュー</x:v>
      </x:c>
      <x:c r="AE69" s="53" t="str"/>
      <x:c r="AF69" s="53" t="str"/>
      <x:c r="AG69" s="43" t="str"/>
    </x:row>
    <x:row r="70" ht="84" customHeight="1">
      <x:c r="A70" s="41" t="str">
        <x:v>LO4-009</x:v>
      </x:c>
      <x:c r="B70" s="53" t="str">
        <x:v>LO4</x:v>
      </x:c>
      <x:c r="C70" s="42" t="str">
        <x:v>世界の主要な酒精強化ワイン</x:v>
      </x:c>
      <x:c r="D70" s="42" t="str">
        <x:v>パロミノ</x:v>
      </x:c>
      <x:c r="E70" s="42" t="str">
        <x:v>辛口シェリーの主要品種パロミノがベースワインに適する特徴はどれか。</x:v>
      </x:c>
      <x:c r="F70" s="42" t="str">
        <x:v>比較的中性的な香りと低めの酸を持ち、熟成方法の特徴を表現しやすい</x:v>
      </x:c>
      <x:c r="G70" s="42" t="str">
        <x:v>黒系果実の強い品種香と高いタンニンを持つ</x:v>
      </x:c>
      <x:c r="H70" s="42" t="str">
        <x:v>貴腐化しないと発酵できない</x:v>
      </x:c>
      <x:c r="I70" s="42" t="str">
        <x:v>高い残糖を自然に保持し、酒精強化なしで甘口になる</x:v>
      </x:c>
      <x:c r="J70" s="53" t="str">
        <x:v>A</x:v>
      </x:c>
      <x:c r="K70" s="42" t="str">
        <x:v>比較的中性的な香りと低めの酸を持ち、熟成方法の特徴を表現しやすい</x:v>
      </x:c>
      <x:c r="L70" s="42" t="str">
        <x:v>強い品種香より、フロールや酸化熟成の風味が前面に出やすい。</x:v>
      </x:c>
      <x:c r="M70" s="42" t="str">
        <x:v>正しい。 強い品種香より、フロールや酸化熟成の風味が前面に出やすい。</x:v>
      </x:c>
      <x:c r="N70" s="42" t="str">
        <x:v>誤り。 パロミノは白ブドウで、黒系果実や高タンニンは典型的でない。</x:v>
      </x:c>
      <x:c r="O70" s="42" t="str">
        <x:v>誤り。 通常の辛口シェリー用果実に貴腐は必要ない。</x:v>
      </x:c>
      <x:c r="P70" s="42" t="str">
        <x:v>誤り。 辛口シェリーのベースワインは通常辛口まで発酵する。</x:v>
      </x:c>
      <x:c r="Q70" s="42" t="str">
        <x:v>品種・産地</x:v>
      </x:c>
      <x:c r="R70" s="42" t="str">
        <x:v>パロミノ</x:v>
      </x:c>
      <x:c r="S70" s="42" t="str">
        <x:v>酒精強化ワイン</x:v>
      </x:c>
      <x:c r="T70" s="42" t="str">
        <x:v>スペイン</x:v>
      </x:c>
      <x:c r="U70" s="42" t="str">
        <x:v>ヘレス</x:v>
      </x:c>
      <x:c r="V70" s="42" t="str">
        <x:v>パロミノ</x:v>
      </x:c>
      <x:c r="W70" s="42" t="str">
        <x:v>知識確認</x:v>
      </x:c>
      <x:c r="X70" s="53" t="str">
        <x:v>D1</x:v>
      </x:c>
      <x:c r="Y70" s="42" t="str">
        <x:v>パロミノ=黒ブドウ; 辛口シェリー=貴腐</x:v>
      </x:c>
      <x:c r="Z70" s="53" t="str">
        <x:v>N</x:v>
      </x:c>
      <x:c r="AA70" s="42" t="str"/>
      <x:c r="AB70" s="42" t="str">
        <x:v>オリジナル</x:v>
      </x:c>
      <x:c r="AC70" s="42" t="str">
        <x:v>公式Specificationの範囲＋ユーザー作成コーパスの論点を参考に独自作成</x:v>
      </x:c>
      <x:c r="AD70" s="53" t="str">
        <x:v>未レビュー</x:v>
      </x:c>
      <x:c r="AE70" s="53" t="str"/>
      <x:c r="AF70" s="53" t="str"/>
      <x:c r="AG70" s="43" t="str"/>
    </x:row>
    <x:row r="71" ht="84" customHeight="1">
      <x:c r="A71" s="41" t="str">
        <x:v>LO4-010</x:v>
      </x:c>
      <x:c r="B71" s="53" t="str">
        <x:v>LO4</x:v>
      </x:c>
      <x:c r="C71" s="42" t="str">
        <x:v>世界の主要な酒精強化ワイン</x:v>
      </x:c>
      <x:c r="D71" s="42" t="str">
        <x:v>フィノ</x:v>
      </x:c>
      <x:c r="E71" s="42" t="str">
        <x:v>フィノのベースワインを約15％vol.に酒精強化する主な理由はどれか。</x:v>
      </x:c>
      <x:c r="F71" s="42" t="str">
        <x:v>酵母の活動を抑え、酸素と接触させて酸化熟成を進めるため</x:v>
      </x:c>
      <x:c r="G71" s="42" t="str">
        <x:v>フロールの形成を可能にし、ワインを酸素から保護しながら生物学的熟成させるため</x:v>
      </x:c>
      <x:c r="H71" s="42" t="str">
        <x:v>瓶内二次発酵を開始し、炭酸ガスをワインに保持するため</x:v>
      </x:c>
      <x:c r="I71" s="42" t="str">
        <x:v>発酵途中の糖を残し、甘口のスタイルに仕上げるため</x:v>
      </x:c>
      <x:c r="J71" s="53" t="str">
        <x:v>B</x:v>
      </x:c>
      <x:c r="K71" s="42" t="str">
        <x:v>フロールの形成を可能にし、ワインを酸素から保護しながら生物学的熟成させるため</x:v>
      </x:c>
      <x:c r="L71" s="42" t="str">
        <x:v>フロールは表面を覆い、独特のアセトアルデヒド香と軽快なスタイルを生む。</x:v>
      </x:c>
      <x:c r="M71" s="42" t="str">
        <x:v>誤り。 約15％はフロールが生育できる条件を作り、酸化を抑える。</x:v>
      </x:c>
      <x:c r="N71" s="42" t="str">
        <x:v>正しい。 フロールは表面を覆い、独特のアセトアルデヒド香と軽快なスタイルを生む。</x:v>
      </x:c>
      <x:c r="O71" s="42" t="str">
        <x:v>誤り。 フィノは発泡性ワインではなく、二次発酵を目的としない。</x:v>
      </x:c>
      <x:c r="P71" s="42" t="str">
        <x:v>誤り。 フィノのベースワインは通常辛口まで発酵する。</x:v>
      </x:c>
      <x:c r="Q71" s="42" t="str">
        <x:v>酒精強化ワイン製法</x:v>
      </x:c>
      <x:c r="R71" s="42" t="str">
        <x:v>生物学的熟成</x:v>
      </x:c>
      <x:c r="S71" s="42" t="str">
        <x:v>酒精強化ワイン</x:v>
      </x:c>
      <x:c r="T71" s="42" t="str">
        <x:v>スペイン</x:v>
      </x:c>
      <x:c r="U71" s="42" t="str">
        <x:v>ヘレス</x:v>
      </x:c>
      <x:c r="V71" s="42" t="str">
        <x:v>パロミノ</x:v>
      </x:c>
      <x:c r="W71" s="42" t="str">
        <x:v>因果説明</x:v>
      </x:c>
      <x:c r="X71" s="53" t="str">
        <x:v>D2</x:v>
      </x:c>
      <x:c r="Y71" s="42" t="str">
        <x:v>15%=フロール死滅; フィノ=甘口</x:v>
      </x:c>
      <x:c r="Z71" s="53" t="str">
        <x:v>N</x:v>
      </x:c>
      <x:c r="AA71" s="42" t="str"/>
      <x:c r="AB71" s="42" t="str">
        <x:v>オリジナル</x:v>
      </x:c>
      <x:c r="AC71" s="42" t="str">
        <x:v>公式Specificationの範囲＋ユーザー作成コーパスの論点を参考に独自作成</x:v>
      </x:c>
      <x:c r="AD71" s="53" t="str">
        <x:v>未レビュー</x:v>
      </x:c>
      <x:c r="AE71" s="53" t="str"/>
      <x:c r="AF71" s="53" t="str"/>
      <x:c r="AG71" s="43" t="str"/>
    </x:row>
    <x:row r="72" ht="84" customHeight="1">
      <x:c r="A72" s="41" t="str">
        <x:v>LO4-011</x:v>
      </x:c>
      <x:c r="B72" s="53" t="str">
        <x:v>LO4</x:v>
      </x:c>
      <x:c r="C72" s="42" t="str">
        <x:v>世界の主要な酒精強化ワイン</x:v>
      </x:c>
      <x:c r="D72" s="42" t="str">
        <x:v>オロロソ</x:v>
      </x:c>
      <x:c r="E72" s="42" t="str">
        <x:v>オロロソのベースワインを約17％vol.に酒精強化する主な目的はどれか。</x:v>
      </x:c>
      <x:c r="F72" s="42" t="str">
        <x:v>フロールをより厚く形成するため</x:v>
      </x:c>
      <x:c r="G72" s="42" t="str">
        <x:v>発酵を途中で止めて残糖を残すため</x:v>
      </x:c>
      <x:c r="H72" s="42" t="str">
        <x:v>フロールの形成を防ぎ、酸化熟成を進めるため</x:v>
      </x:c>
      <x:c r="I72" s="42" t="str">
        <x:v>瓶内二次発酵を行うため</x:v>
      </x:c>
      <x:c r="J72" s="53" t="str">
        <x:v>C</x:v>
      </x:c>
      <x:c r="K72" s="42" t="str">
        <x:v>フロールの形成を防ぎ、酸化熟成を進めるため</x:v>
      </x:c>
      <x:c r="L72" s="42" t="str">
        <x:v>酸素との接触により、濃い色、ナッツ、スパイスなどの風味が発達する。</x:v>
      </x:c>
      <x:c r="M72" s="42" t="str">
        <x:v>誤り。 高いアルコール度ではフロールは生育できない。</x:v>
      </x:c>
      <x:c r="N72" s="42" t="str">
        <x:v>誤り。 パロミノのベースワインは通常辛口まで発酵した後に強化される。</x:v>
      </x:c>
      <x:c r="O72" s="42" t="str">
        <x:v>正しい。 酸素との接触により、濃い色、ナッツ、スパイスなどの風味が発達する。</x:v>
      </x:c>
      <x:c r="P72" s="42" t="str">
        <x:v>誤り。 オロロソは非発泡性の酒精強化ワインである。</x:v>
      </x:c>
      <x:c r="Q72" s="42" t="str">
        <x:v>酒精強化ワイン製法</x:v>
      </x:c>
      <x:c r="R72" s="42" t="str">
        <x:v>酸化熟成</x:v>
      </x:c>
      <x:c r="S72" s="42" t="str">
        <x:v>酒精強化ワイン</x:v>
      </x:c>
      <x:c r="T72" s="42" t="str">
        <x:v>スペイン</x:v>
      </x:c>
      <x:c r="U72" s="42" t="str">
        <x:v>ヘレス</x:v>
      </x:c>
      <x:c r="V72" s="42" t="str">
        <x:v>パロミノ</x:v>
      </x:c>
      <x:c r="W72" s="42" t="str">
        <x:v>因果説明</x:v>
      </x:c>
      <x:c r="X72" s="53" t="str">
        <x:v>D2</x:v>
      </x:c>
      <x:c r="Y72" s="42" t="str">
        <x:v>17%=フロール促進; オロロソ=甘口発酵停止</x:v>
      </x:c>
      <x:c r="Z72" s="53" t="str">
        <x:v>N</x:v>
      </x:c>
      <x:c r="AA72" s="42" t="str"/>
      <x:c r="AB72" s="42" t="str">
        <x:v>オリジナル</x:v>
      </x:c>
      <x:c r="AC72" s="42" t="str">
        <x:v>公式Specificationの範囲＋ユーザー作成コーパスの論点を参考に独自作成</x:v>
      </x:c>
      <x:c r="AD72" s="53" t="str">
        <x:v>未レビュー</x:v>
      </x:c>
      <x:c r="AE72" s="53" t="str"/>
      <x:c r="AF72" s="53" t="str"/>
      <x:c r="AG72" s="43" t="str"/>
    </x:row>
    <x:row r="73" ht="84" customHeight="1">
      <x:c r="A73" s="41" t="str">
        <x:v>LO4-012</x:v>
      </x:c>
      <x:c r="B73" s="53" t="str">
        <x:v>LO4</x:v>
      </x:c>
      <x:c r="C73" s="42" t="str">
        <x:v>世界の主要な酒精強化ワイン</x:v>
      </x:c>
      <x:c r="D73" s="42" t="str">
        <x:v>フロール</x:v>
      </x:c>
      <x:c r="E73" s="42" t="str">
        <x:v>フロールがフィノのスタイルに与える影響として最も適切なものはどれか。</x:v>
      </x:c>
      <x:c r="F73" s="42" t="str">
        <x:v>ワインの色を濃くし、強いタンニンを加える</x:v>
      </x:c>
      <x:c r="G73" s="42" t="str">
        <x:v>フロールが糖を生成し、甘口のスタイルに変える</x:v>
      </x:c>
      <x:c r="H73" s="42" t="str">
        <x:v>フロールがアルコールを生成し、度数を20％以上へ高める</x:v>
      </x:c>
      <x:c r="I73" s="42" t="str">
        <x:v>酸化を抑えつつ、アーモンド、パン生地、アセトアルデヒドを思わせる風味を加える</x:v>
      </x:c>
      <x:c r="J73" s="53" t="str">
        <x:v>D</x:v>
      </x:c>
      <x:c r="K73" s="42" t="str">
        <x:v>酸化を抑えつつ、アーモンド、パン生地、アセトアルデヒドを思わせる風味を加える</x:v>
      </x:c>
      <x:c r="L73" s="42" t="str">
        <x:v>フロールが酸素との接触を遮り、酵母代謝由来の特徴を生む。</x:v>
      </x:c>
      <x:c r="M73" s="42" t="str">
        <x:v>誤り。 フロールは色素やタンニンを加えるものではない。</x:v>
      </x:c>
      <x:c r="N73" s="42" t="str">
        <x:v>誤り。 フロールは糖を生成せず、フィノは辛口である。</x:v>
      </x:c>
      <x:c r="O73" s="42" t="str">
        <x:v>誤り。 アルコール度は酒精強化で調整される。</x:v>
      </x:c>
      <x:c r="P73" s="42" t="str">
        <x:v>正しい。 フロールが酸素との接触を遮り、酵母代謝由来の特徴を生む。</x:v>
      </x:c>
      <x:c r="Q73" s="42" t="str">
        <x:v>酒精強化ワイン製法</x:v>
      </x:c>
      <x:c r="R73" s="42" t="str">
        <x:v>フロール</x:v>
      </x:c>
      <x:c r="S73" s="42" t="str">
        <x:v>酒精強化ワイン</x:v>
      </x:c>
      <x:c r="T73" s="42" t="str">
        <x:v>スペイン</x:v>
      </x:c>
      <x:c r="U73" s="42" t="str">
        <x:v>ヘレス</x:v>
      </x:c>
      <x:c r="V73" s="42" t="str">
        <x:v>パロミノ</x:v>
      </x:c>
      <x:c r="W73" s="42" t="str">
        <x:v>因果説明</x:v>
      </x:c>
      <x:c r="X73" s="53" t="str">
        <x:v>D2</x:v>
      </x:c>
      <x:c r="Y73" s="42" t="str">
        <x:v>フロール=甘口化; フロール=タンニン増加</x:v>
      </x:c>
      <x:c r="Z73" s="53" t="str">
        <x:v>N</x:v>
      </x:c>
      <x:c r="AA73" s="42" t="str"/>
      <x:c r="AB73" s="42" t="str">
        <x:v>オリジナル</x:v>
      </x:c>
      <x:c r="AC73" s="42" t="str">
        <x:v>公式Specificationの範囲＋ユーザー作成コーパスの論点を参考に独自作成</x:v>
      </x:c>
      <x:c r="AD73" s="53" t="str">
        <x:v>未レビュー</x:v>
      </x:c>
      <x:c r="AE73" s="53" t="str"/>
      <x:c r="AF73" s="53" t="str"/>
      <x:c r="AG73" s="43" t="str"/>
    </x:row>
    <x:row r="74" ht="84" customHeight="1">
      <x:c r="A74" s="41" t="str">
        <x:v>LO4-013</x:v>
      </x:c>
      <x:c r="B74" s="53" t="str">
        <x:v>LO4</x:v>
      </x:c>
      <x:c r="C74" s="42" t="str">
        <x:v>世界の主要な酒精強化ワイン</x:v>
      </x:c>
      <x:c r="D74" s="42" t="str">
        <x:v>マンサニーリャ</x:v>
      </x:c>
      <x:c r="E74" s="42" t="str">
        <x:v>マンサニーリャがフィノと似た生物学的熟成の特徴を持ちながら、しばしば特に繊細で塩味を思わせると表現される理由はどれか。</x:v>
      </x:c>
      <x:c r="F74" s="42" t="str">
        <x:v>サンルーカル・デ・バラメダの湿潤で温和な海洋環境がフロールを厚く維持しやすいから</x:v>
      </x:c>
      <x:c r="G74" s="42" t="str">
        <x:v>黒ブドウを全房発酵させ、果皮由来のタンニンを加えるから</x:v>
      </x:c>
      <x:c r="H74" s="42" t="str">
        <x:v>ペドロ・ヒメネスを加え、甘味と濃厚さを高めるから</x:v>
      </x:c>
      <x:c r="I74" s="42" t="str">
        <x:v>瓶内二次発酵によって、塩味を生む炭酸ガスを保持するから</x:v>
      </x:c>
      <x:c r="J74" s="53" t="str">
        <x:v>A</x:v>
      </x:c>
      <x:c r="K74" s="42" t="str">
        <x:v>サンルーカル・デ・バラメダの湿潤で温和な海洋環境がフロールを厚く維持しやすいから</x:v>
      </x:c>
      <x:c r="L74" s="42" t="str">
        <x:v>海に近い環境が年間を通じたフロールの活動を支え、軽快で独特の風味を生む。</x:v>
      </x:c>
      <x:c r="M74" s="42" t="str">
        <x:v>正しい。 海に近い環境が年間を通じたフロールの活動を支え、軽快で独特の風味を生む。</x:v>
      </x:c>
      <x:c r="N74" s="42" t="str">
        <x:v>誤り。 マンサニーリャは主に白ブドウのパロミノから造る。</x:v>
      </x:c>
      <x:c r="O74" s="42" t="str">
        <x:v>誤り。 マンサニーリャは辛口で、PX添加が主要なスタイル形成要因ではない。</x:v>
      </x:c>
      <x:c r="P74" s="42" t="str">
        <x:v>誤り。 塩味の印象は製法と環境に関連する官能表現で、瓶内二次発酵によるものではない。</x:v>
      </x:c>
      <x:c r="Q74" s="42" t="str">
        <x:v>自然要因・産地</x:v>
      </x:c>
      <x:c r="R74" s="42" t="str">
        <x:v>サンルーカル・フロール</x:v>
      </x:c>
      <x:c r="S74" s="42" t="str">
        <x:v>酒精強化ワイン</x:v>
      </x:c>
      <x:c r="T74" s="42" t="str">
        <x:v>スペイン</x:v>
      </x:c>
      <x:c r="U74" s="42" t="str">
        <x:v>サンルーカル・デ・バラメダ</x:v>
      </x:c>
      <x:c r="V74" s="42" t="str">
        <x:v>パロミノ</x:v>
      </x:c>
      <x:c r="W74" s="42" t="str">
        <x:v>因果説明</x:v>
      </x:c>
      <x:c r="X74" s="53" t="str">
        <x:v>D3</x:v>
      </x:c>
      <x:c r="Y74" s="42" t="str">
        <x:v>マンサニーリャ=黒ブドウ; 塩味=塩生成</x:v>
      </x:c>
      <x:c r="Z74" s="53" t="str">
        <x:v>Y</x:v>
      </x:c>
      <x:c r="AA74" s="42" t="str">
        <x:v>塩味表現は官能表現として扱い、直接的な塩分説明を避けているか確認推奨</x:v>
      </x:c>
      <x:c r="AB74" s="42" t="str">
        <x:v>オリジナル</x:v>
      </x:c>
      <x:c r="AC74" s="42" t="str">
        <x:v>公式Specificationの範囲＋ユーザー作成コーパスの論点を参考に独自作成</x:v>
      </x:c>
      <x:c r="AD74" s="53" t="str">
        <x:v>未レビュー</x:v>
      </x:c>
      <x:c r="AE74" s="53" t="str"/>
      <x:c r="AF74" s="53" t="str"/>
      <x:c r="AG74" s="43" t="str"/>
    </x:row>
    <x:row r="75" ht="84" customHeight="1">
      <x:c r="A75" s="41" t="str">
        <x:v>LO4-014</x:v>
      </x:c>
      <x:c r="B75" s="53" t="str">
        <x:v>LO4</x:v>
      </x:c>
      <x:c r="C75" s="42" t="str">
        <x:v>世界の主要な酒精強化ワイン</x:v>
      </x:c>
      <x:c r="D75" s="42" t="str">
        <x:v>アモンティリャード</x:v>
      </x:c>
      <x:c r="E75" s="42" t="str">
        <x:v>アモンティリャードの典型的な熟成経路はどれか。</x:v>
      </x:c>
      <x:c r="F75" s="42" t="str">
        <x:v>最初から最後までフロールのみの下で熟成する</x:v>
      </x:c>
      <x:c r="G75" s="42" t="str">
        <x:v>最初にフロール下で生物学的熟成し、その後フロールを失って酸化熟成する</x:v>
      </x:c>
      <x:c r="H75" s="42" t="str">
        <x:v>発酵途中で酒精強化して甘味を残し、酸化させない</x:v>
      </x:c>
      <x:c r="I75" s="42" t="str">
        <x:v>炭酸ガス注入後に瓶内で熟成する</x:v>
      </x:c>
      <x:c r="J75" s="53" t="str">
        <x:v>B</x:v>
      </x:c>
      <x:c r="K75" s="42" t="str">
        <x:v>最初にフロール下で生物学的熟成し、その後フロールを失って酸化熟成する</x:v>
      </x:c>
      <x:c r="L75" s="42" t="str">
        <x:v>両方の熟成に由来するアーモンド、酵母、ナッツなどの複雑な風味を持つ。</x:v>
      </x:c>
      <x:c r="M75" s="42" t="str">
        <x:v>誤り。 これはフィノに近い。</x:v>
      </x:c>
      <x:c r="N75" s="42" t="str">
        <x:v>正しい。 両方の熟成に由来するアーモンド、酵母、ナッツなどの複雑な風味を持つ。</x:v>
      </x:c>
      <x:c r="O75" s="42" t="str">
        <x:v>誤り。 アモンティリャードは通常辛口で、発酵後に強化される。</x:v>
      </x:c>
      <x:c r="P75" s="42" t="str">
        <x:v>誤り。 発泡性ワインの製法ではない。</x:v>
      </x:c>
      <x:c r="Q75" s="42" t="str">
        <x:v>酒精強化ワイン製法</x:v>
      </x:c>
      <x:c r="R75" s="42" t="str">
        <x:v>生物学的＋酸化熟成</x:v>
      </x:c>
      <x:c r="S75" s="42" t="str">
        <x:v>酒精強化ワイン</x:v>
      </x:c>
      <x:c r="T75" s="42" t="str">
        <x:v>スペイン</x:v>
      </x:c>
      <x:c r="U75" s="42" t="str">
        <x:v>ヘレス</x:v>
      </x:c>
      <x:c r="V75" s="42" t="str">
        <x:v>パロミノ</x:v>
      </x:c>
      <x:c r="W75" s="42" t="str">
        <x:v>知識確認</x:v>
      </x:c>
      <x:c r="X75" s="53" t="str">
        <x:v>D2</x:v>
      </x:c>
      <x:c r="Y75" s="42" t="str">
        <x:v>アモンティリャード=生物学的のみ; アモンティリャード=甘口</x:v>
      </x:c>
      <x:c r="Z75" s="53" t="str">
        <x:v>N</x:v>
      </x:c>
      <x:c r="AA75" s="42" t="str"/>
      <x:c r="AB75" s="42" t="str">
        <x:v>オリジナル</x:v>
      </x:c>
      <x:c r="AC75" s="42" t="str">
        <x:v>公式Specificationの範囲＋ユーザー作成コーパスの論点を参考に独自作成</x:v>
      </x:c>
      <x:c r="AD75" s="53" t="str">
        <x:v>未レビュー</x:v>
      </x:c>
      <x:c r="AE75" s="53" t="str"/>
      <x:c r="AF75" s="53" t="str"/>
      <x:c r="AG75" s="43" t="str"/>
    </x:row>
    <x:row r="76" ht="84" customHeight="1">
      <x:c r="A76" s="41" t="str">
        <x:v>LO4-015</x:v>
      </x:c>
      <x:c r="B76" s="53" t="str">
        <x:v>LO4</x:v>
      </x:c>
      <x:c r="C76" s="42" t="str">
        <x:v>世界の主要な酒精強化ワイン</x:v>
      </x:c>
      <x:c r="D76" s="42" t="str">
        <x:v>ソレラ・システム</x:v>
      </x:c>
      <x:c r="E76" s="42" t="str">
        <x:v>ソレラ・システムの主な目的はどれか。</x:v>
      </x:c>
      <x:c r="F76" s="42" t="str">
        <x:v>各樽を単一ヴィンテージとして保持し、年ごとの差を強調すること</x:v>
      </x:c>
      <x:c r="G76" s="42" t="str">
        <x:v>各段階の樽で酵母を加え、二次発酵による炭酸ガスを得ること</x:v>
      </x:c>
      <x:c r="H76" s="42" t="str">
        <x:v>若いワインと古いワインを段階的にブレンドし、品質とスタイルの一貫性を保つこと</x:v>
      </x:c>
      <x:c r="I76" s="42" t="str">
        <x:v>樽間の移し替えでアルコールを蒸発させ、非酒精強化ワインに戻すこと</x:v>
      </x:c>
      <x:c r="J76" s="53" t="str">
        <x:v>C</x:v>
      </x:c>
      <x:c r="K76" s="42" t="str">
        <x:v>若いワインと古いワインを段階的にブレンドし、品質とスタイルの一貫性を保つこと</x:v>
      </x:c>
      <x:c r="L76" s="42" t="str">
        <x:v>各段階から一部を取り出し補充することで、熟成度とハウススタイルを均一化する。</x:v>
      </x:c>
      <x:c r="M76" s="42" t="str">
        <x:v>誤り。 ソレラは異なる年のワインを混合し、年ごとの差をならす。</x:v>
      </x:c>
      <x:c r="N76" s="42" t="str">
        <x:v>誤り。 発泡性ワインの二次発酵とは関係がない。</x:v>
      </x:c>
      <x:c r="O76" s="42" t="str">
        <x:v>正しい。 各段階から一部を取り出し補充することで、熟成度とハウススタイルを均一化する。</x:v>
      </x:c>
      <x:c r="P76" s="42" t="str">
        <x:v>誤り。 アルコールを除去する仕組みではなく、スタイルの一貫性を作る。</x:v>
      </x:c>
      <x:c r="Q76" s="42" t="str">
        <x:v>酒精強化ワイン製法</x:v>
      </x:c>
      <x:c r="R76" s="42" t="str">
        <x:v>ソレラ・システム</x:v>
      </x:c>
      <x:c r="S76" s="42" t="str">
        <x:v>酒精強化ワイン</x:v>
      </x:c>
      <x:c r="T76" s="42" t="str">
        <x:v>スペイン</x:v>
      </x:c>
      <x:c r="U76" s="42" t="str">
        <x:v>ヘレス</x:v>
      </x:c>
      <x:c r="V76" s="42" t="str"/>
      <x:c r="W76" s="42" t="str">
        <x:v>因果説明</x:v>
      </x:c>
      <x:c r="X76" s="53" t="str">
        <x:v>D2</x:v>
      </x:c>
      <x:c r="Y76" s="42" t="str">
        <x:v>ソレラ=単一年; ソレラ=二次発酵</x:v>
      </x:c>
      <x:c r="Z76" s="53" t="str">
        <x:v>N</x:v>
      </x:c>
      <x:c r="AA76" s="42" t="str"/>
      <x:c r="AB76" s="42" t="str">
        <x:v>オリジナル</x:v>
      </x:c>
      <x:c r="AC76" s="42" t="str">
        <x:v>公式Specificationの範囲＋ユーザー作成コーパスの論点を参考に独自作成</x:v>
      </x:c>
      <x:c r="AD76" s="53" t="str">
        <x:v>未レビュー</x:v>
      </x:c>
      <x:c r="AE76" s="53" t="str"/>
      <x:c r="AF76" s="53" t="str"/>
      <x:c r="AG76" s="43" t="str"/>
    </x:row>
    <x:row r="77" ht="84" customHeight="1">
      <x:c r="A77" s="41" t="str">
        <x:v>LO4-016</x:v>
      </x:c>
      <x:c r="B77" s="53" t="str">
        <x:v>LO4</x:v>
      </x:c>
      <x:c r="C77" s="42" t="str">
        <x:v>世界の主要な酒精強化ワイン</x:v>
      </x:c>
      <x:c r="D77" s="42" t="str">
        <x:v>ペドロ・ヒメネス</x:v>
      </x:c>
      <x:c r="E77" s="42" t="str">
        <x:v>ペドロ・ヒメネス（PX）の非常に甘く濃縮したスタイルを生む主要工程はどれか。</x:v>
      </x:c>
      <x:c r="F77" s="42" t="str">
        <x:v>早摘みした果実を辛口まで発酵し、酸の高いスタイルにする</x:v>
      </x:c>
      <x:c r="G77" s="42" t="str">
        <x:v>フロールの下で長期間生物学的熟成する</x:v>
      </x:c>
      <x:c r="H77" s="42" t="str">
        <x:v>炭酸ガス浸漬法で全房発酵する</x:v>
      </x:c>
      <x:c r="I77" s="42" t="str">
        <x:v>収穫後のブドウを天日干しして水分を失わせ、糖分を濃縮する</x:v>
      </x:c>
      <x:c r="J77" s="53" t="str">
        <x:v>D</x:v>
      </x:c>
      <x:c r="K77" s="42" t="str">
        <x:v>収穫後のブドウを天日干しして水分を失わせ、糖分を濃縮する</x:v>
      </x:c>
      <x:c r="L77" s="42" t="str">
        <x:v>干しブドウ状にして非常に糖度の高い果汁を得る。</x:v>
      </x:c>
      <x:c r="M77" s="42" t="str">
        <x:v>誤り。 PXでは十分成熟した果実を天日干しし、糖分を濃縮する。</x:v>
      </x:c>
      <x:c r="N77" s="42" t="str">
        <x:v>誤り。 PXの主要な甘味形成工程ではない。</x:v>
      </x:c>
      <x:c r="O77" s="42" t="str">
        <x:v>誤り。 赤ワインの果実主体スタイルに関係する製法である。</x:v>
      </x:c>
      <x:c r="P77" s="42" t="str">
        <x:v>正しい。 干しブドウ状にして非常に糖度の高い果汁を得る。</x:v>
      </x:c>
      <x:c r="Q77" s="42" t="str">
        <x:v>酒精強化ワイン製法</x:v>
      </x:c>
      <x:c r="R77" s="42" t="str">
        <x:v>天日干し・糖分濃縮</x:v>
      </x:c>
      <x:c r="S77" s="42" t="str">
        <x:v>甘口酒精強化ワイン</x:v>
      </x:c>
      <x:c r="T77" s="42" t="str">
        <x:v>スペイン</x:v>
      </x:c>
      <x:c r="U77" s="42" t="str">
        <x:v>ヘレス</x:v>
      </x:c>
      <x:c r="V77" s="42" t="str">
        <x:v>ペドロ・ヒメネス</x:v>
      </x:c>
      <x:c r="W77" s="42" t="str">
        <x:v>因果説明</x:v>
      </x:c>
      <x:c r="X77" s="53" t="str">
        <x:v>D1</x:v>
      </x:c>
      <x:c r="Y77" s="42" t="str">
        <x:v>PX=早摘み完全発酵; PX=フロール</x:v>
      </x:c>
      <x:c r="Z77" s="53" t="str">
        <x:v>N</x:v>
      </x:c>
      <x:c r="AA77" s="42" t="str"/>
      <x:c r="AB77" s="42" t="str">
        <x:v>オリジナル</x:v>
      </x:c>
      <x:c r="AC77" s="42" t="str">
        <x:v>公式Specificationの範囲＋ユーザー作成コーパスの論点を参考に独自作成</x:v>
      </x:c>
      <x:c r="AD77" s="53" t="str">
        <x:v>未レビュー</x:v>
      </x:c>
      <x:c r="AE77" s="53" t="str"/>
      <x:c r="AF77" s="53" t="str"/>
      <x:c r="AG77" s="43" t="str"/>
    </x:row>
    <x:row r="78" ht="84" customHeight="1">
      <x:c r="A78" s="41" t="str">
        <x:v>LO4-017</x:v>
      </x:c>
      <x:c r="B78" s="53" t="str">
        <x:v>LO4</x:v>
      </x:c>
      <x:c r="C78" s="42" t="str">
        <x:v>世界の主要な酒精強化ワイン</x:v>
      </x:c>
      <x:c r="D78" s="42" t="str">
        <x:v>クリーム・シェリー</x:v>
      </x:c>
      <x:c r="E78" s="42" t="str">
        <x:v>クリーム・シェリーの一般的な造り方として最も適切なものはどれか。</x:v>
      </x:c>
      <x:c r="F78" s="42" t="str">
        <x:v>辛口の酸化熟成シェリーに甘口ワインまたはブドウ由来の甘味成分をブレンドする</x:v>
      </x:c>
      <x:c r="G78" s="42" t="str">
        <x:v>フィノを蒸留し、得られたスピリッツに甘味を加えて瓶詰めする</x:v>
      </x:c>
      <x:c r="H78" s="42" t="str">
        <x:v>辛口ベースワインを瓶内二次発酵させ、残糖を加えて仕上げる</x:v>
      </x:c>
      <x:c r="I78" s="42" t="str">
        <x:v>発酵を途中で冷却停止し、酒精強化せずに甘味を残す</x:v>
      </x:c>
      <x:c r="J78" s="53" t="str">
        <x:v>A</x:v>
      </x:c>
      <x:c r="K78" s="42" t="str">
        <x:v>辛口の酸化熟成シェリーに甘口ワインまたはブドウ由来の甘味成分をブレンドする</x:v>
      </x:c>
      <x:c r="L78" s="42" t="str">
        <x:v>オロロソなどにPX等を加え、甘口でコクのあるスタイルにする。</x:v>
      </x:c>
      <x:c r="M78" s="42" t="str">
        <x:v>正しい。 オロロソなどにPX等を加え、甘口でコクのあるスタイルにする。</x:v>
      </x:c>
      <x:c r="N78" s="42" t="str">
        <x:v>誤り。 クリーム・シェリーは蒸留酒ではなく、甘味を付けた酒精強化ワインである。</x:v>
      </x:c>
      <x:c r="O78" s="42" t="str">
        <x:v>誤り。 発泡性ワインの製法ではなく、辛口シェリーと甘味成分のブレンドが一般的である。</x:v>
      </x:c>
      <x:c r="P78" s="42" t="str">
        <x:v>誤り。 シェリーは酒精強化ワインであり、この説明はアスティ方式に近い。</x:v>
      </x:c>
      <x:c r="Q78" s="42" t="str">
        <x:v>酒精強化ワイン製法</x:v>
      </x:c>
      <x:c r="R78" s="42" t="str">
        <x:v>甘味調整・ブレンド</x:v>
      </x:c>
      <x:c r="S78" s="42" t="str">
        <x:v>甘口酒精強化ワイン</x:v>
      </x:c>
      <x:c r="T78" s="42" t="str">
        <x:v>スペイン</x:v>
      </x:c>
      <x:c r="U78" s="42" t="str">
        <x:v>ヘレス</x:v>
      </x:c>
      <x:c r="V78" s="42" t="str">
        <x:v>パロミノ、ペドロ・ヒメネス</x:v>
      </x:c>
      <x:c r="W78" s="42" t="str">
        <x:v>知識確認</x:v>
      </x:c>
      <x:c r="X78" s="53" t="str">
        <x:v>D2</x:v>
      </x:c>
      <x:c r="Y78" s="42" t="str">
        <x:v>クリームシェリー=蒸留酒; クリームシェリー=非酒精強化</x:v>
      </x:c>
      <x:c r="Z78" s="53" t="str">
        <x:v>N</x:v>
      </x:c>
      <x:c r="AA78" s="42" t="str"/>
      <x:c r="AB78" s="42" t="str">
        <x:v>オリジナル</x:v>
      </x:c>
      <x:c r="AC78" s="42" t="str">
        <x:v>公式Specificationの範囲＋ユーザー作成コーパスの論点を参考に独自作成</x:v>
      </x:c>
      <x:c r="AD78" s="53" t="str">
        <x:v>未レビュー</x:v>
      </x:c>
      <x:c r="AE78" s="53" t="str"/>
      <x:c r="AF78" s="53" t="str"/>
      <x:c r="AG78" s="43" t="str"/>
    </x:row>
    <x:row r="79" ht="84" customHeight="1">
      <x:c r="A79" s="41" t="str">
        <x:v>LO4-018</x:v>
      </x:c>
      <x:c r="B79" s="53" t="str">
        <x:v>LO4</x:v>
      </x:c>
      <x:c r="C79" s="42" t="str">
        <x:v>世界の主要な酒精強化ワイン</x:v>
      </x:c>
      <x:c r="D79" s="42" t="str">
        <x:v>ラザグレン・マスカット</x:v>
      </x:c>
      <x:c r="E79" s="42" t="str">
        <x:v>ラザグレン・マスカットの非常に濃厚な甘味と複雑な熟成香を生む要因として最も適切なものはどれか。</x:v>
      </x:c>
      <x:c r="F79" s="42" t="str">
        <x:v>冷涼な気候で早摘みし、ステンレスで短期熟成すること</x:v>
      </x:c>
      <x:c r="G79" s="42" t="str">
        <x:v>完熟したマスカットを発酵途中で酒精強化し、暖かい環境で酸化熟成すること</x:v>
      </x:c>
      <x:c r="H79" s="42" t="str">
        <x:v>フロールだけで還元的に熟成すること</x:v>
      </x:c>
      <x:c r="I79" s="42" t="str">
        <x:v>炭酸ガスを注入して低アルコールにすること</x:v>
      </x:c>
      <x:c r="J79" s="53" t="str">
        <x:v>B</x:v>
      </x:c>
      <x:c r="K79" s="42" t="str">
        <x:v>完熟したマスカットを発酵途中で酒精強化し、暖かい環境で酸化熟成すること</x:v>
      </x:c>
      <x:c r="L79" s="42" t="str">
        <x:v>高い残糖とアルコールに、レーズン、キャラメル、ナッツなどの風味が加わる。</x:v>
      </x:c>
      <x:c r="M79" s="42" t="str">
        <x:v>誤り。 ラザグレンは温暖で、熟した果実と酸化熟成が特徴である。</x:v>
      </x:c>
      <x:c r="N79" s="42" t="str">
        <x:v>正しい。 高い残糖とアルコールに、レーズン、キャラメル、ナッツなどの風味が加わる。</x:v>
      </x:c>
      <x:c r="O79" s="42" t="str">
        <x:v>誤り。 ラザグレン・マスカットの典型は酸化熟成である。</x:v>
      </x:c>
      <x:c r="P79" s="42" t="str">
        <x:v>誤り。 発泡性ワインではなく、高アルコールの酒精強化ワインである。</x:v>
      </x:c>
      <x:c r="Q79" s="42" t="str">
        <x:v>酒精強化ワイン製法・産地</x:v>
      </x:c>
      <x:c r="R79" s="42" t="str">
        <x:v>マスカット・酸化熟成</x:v>
      </x:c>
      <x:c r="S79" s="42" t="str">
        <x:v>甘口酒精強化ワイン</x:v>
      </x:c>
      <x:c r="T79" s="42" t="str">
        <x:v>オーストラリア</x:v>
      </x:c>
      <x:c r="U79" s="42" t="str">
        <x:v>ラザグレン</x:v>
      </x:c>
      <x:c r="V79" s="42" t="str">
        <x:v>マスカット</x:v>
      </x:c>
      <x:c r="W79" s="42" t="str">
        <x:v>統合判断</x:v>
      </x:c>
      <x:c r="X79" s="53" t="str">
        <x:v>D3</x:v>
      </x:c>
      <x:c r="Y79" s="42" t="str">
        <x:v>ラザグレン=冷涼早摘み; ラザグレン=フロール</x:v>
      </x:c>
      <x:c r="Z79" s="53" t="str">
        <x:v>N</x:v>
      </x:c>
      <x:c r="AA79" s="42" t="str"/>
      <x:c r="AB79" s="42" t="str">
        <x:v>オリジナル</x:v>
      </x:c>
      <x:c r="AC79" s="42" t="str">
        <x:v>公式Specificationの範囲＋ユーザー作成コーパスの論点を参考に独自作成</x:v>
      </x:c>
      <x:c r="AD79" s="53" t="str">
        <x:v>未レビュー</x:v>
      </x:c>
      <x:c r="AE79" s="53" t="str"/>
      <x:c r="AF79" s="53" t="str"/>
      <x:c r="AG79" s="43" t="str"/>
    </x:row>
    <x:row r="80" ht="84" customHeight="1">
      <x:c r="A80" s="41" t="str">
        <x:v>LO4-019</x:v>
      </x:c>
      <x:c r="B80" s="53" t="str">
        <x:v>LO4</x:v>
      </x:c>
      <x:c r="C80" s="42" t="str">
        <x:v>世界の主要な酒精強化ワイン</x:v>
      </x:c>
      <x:c r="D80" s="42" t="str">
        <x:v>ミュスカ・ドゥ・ボーム・ドゥ・ヴニーズ</x:v>
      </x:c>
      <x:c r="E80" s="42" t="str">
        <x:v>ミュスカ・ドゥ・ボーム・ドゥ・ヴニーズの典型的なスタイルはどれか。</x:v>
      </x:c>
      <x:c r="F80" s="42" t="str">
        <x:v>高タンニンで辛口の赤ワインを、長期の果皮浸漬で造る</x:v>
      </x:c>
      <x:c r="G80" s="42" t="str">
        <x:v>長期フロール熟成による辛口で塩味の強いワイン</x:v>
      </x:c>
      <x:c r="H80" s="42" t="str">
        <x:v>香りの強い甘口で、発酵途中の酒精強化によりブドウの糖と芳香を残すワイン</x:v>
      </x:c>
      <x:c r="I80" s="42" t="str">
        <x:v>瓶内二次発酵を行い、甘口の発泡性ワインに仕上げる</x:v>
      </x:c>
      <x:c r="J80" s="53" t="str">
        <x:v>C</x:v>
      </x:c>
      <x:c r="K80" s="42" t="str">
        <x:v>香りの強い甘口で、発酵途中の酒精強化によりブドウの糖と芳香を残すワイン</x:v>
      </x:c>
      <x:c r="L80" s="42" t="str">
        <x:v>マスカットの花やブドウの香りを保ち、甘味と高いアルコールを持つ。</x:v>
      </x:c>
      <x:c r="M80" s="42" t="str">
        <x:v>誤り。 主にマスカットから造る甘口の白系酒精強化ワインである。</x:v>
      </x:c>
      <x:c r="N80" s="42" t="str">
        <x:v>誤り。 フロール熟成のシェリーではない。</x:v>
      </x:c>
      <x:c r="O80" s="42" t="str">
        <x:v>正しい。 マスカットの花やブドウの香りを保ち、甘味と高いアルコールを持つ。</x:v>
      </x:c>
      <x:c r="P80" s="42" t="str">
        <x:v>誤り。 通常は非発泡性の酒精強化ワインである。</x:v>
      </x:c>
      <x:c r="Q80" s="42" t="str">
        <x:v>産地スタイル</x:v>
      </x:c>
      <x:c r="R80" s="42" t="str">
        <x:v>酒精強化マスカット</x:v>
      </x:c>
      <x:c r="S80" s="42" t="str">
        <x:v>甘口酒精強化ワイン</x:v>
      </x:c>
      <x:c r="T80" s="42" t="str">
        <x:v>フランス</x:v>
      </x:c>
      <x:c r="U80" s="42" t="str">
        <x:v>ミュスカ・ドゥ・ボーム・ドゥ・ヴニーズ</x:v>
      </x:c>
      <x:c r="V80" s="42" t="str">
        <x:v>マスカット</x:v>
      </x:c>
      <x:c r="W80" s="42" t="str">
        <x:v>知識確認</x:v>
      </x:c>
      <x:c r="X80" s="53" t="str">
        <x:v>D1</x:v>
      </x:c>
      <x:c r="Y80" s="42" t="str">
        <x:v>酒精強化マスカット=辛口赤; 酒精強化マスカット=発泡</x:v>
      </x:c>
      <x:c r="Z80" s="53" t="str">
        <x:v>N</x:v>
      </x:c>
      <x:c r="AA80" s="42" t="str"/>
      <x:c r="AB80" s="42" t="str">
        <x:v>オリジナル</x:v>
      </x:c>
      <x:c r="AC80" s="42" t="str">
        <x:v>公式Specificationの範囲＋ユーザー作成コーパスの論点を参考に独自作成</x:v>
      </x:c>
      <x:c r="AD80" s="53" t="str">
        <x:v>未レビュー</x:v>
      </x:c>
      <x:c r="AE80" s="53" t="str"/>
      <x:c r="AF80" s="53" t="str"/>
      <x:c r="AG80" s="43" t="str"/>
    </x:row>
    <x:row r="81" ht="84" customHeight="1">
      <x:c r="A81" s="41" t="str">
        <x:v>LO4-020</x:v>
      </x:c>
      <x:c r="B81" s="53" t="str">
        <x:v>LO4</x:v>
      </x:c>
      <x:c r="C81" s="42" t="str">
        <x:v>世界の主要な酒精強化ワイン</x:v>
      </x:c>
      <x:c r="D81" s="42" t="str">
        <x:v>酒精強化時期の比較</x:v>
      </x:c>
      <x:c r="E81" s="42" t="str">
        <x:v>ポートと辛口シェリーの酒精強化時期の違いを最も適切に説明しているものはどれか。</x:v>
      </x:c>
      <x:c r="F81" s="42" t="str">
        <x:v>両方とも発酵前に酒精強化し、酵母を加えない</x:v>
      </x:c>
      <x:c r="G81" s="42" t="str">
        <x:v>ポートは発酵後、辛口シェリーは発酵途中に強化する</x:v>
      </x:c>
      <x:c r="H81" s="42" t="str">
        <x:v>両方とも瓶内二次発酵後に強化する</x:v>
      </x:c>
      <x:c r="I81" s="42" t="str">
        <x:v>ポートは発酵途中に強化して糖を残し、辛口シェリーは発酵完了後に強化する</x:v>
      </x:c>
      <x:c r="J81" s="53" t="str">
        <x:v>D</x:v>
      </x:c>
      <x:c r="K81" s="42" t="str">
        <x:v>ポートは発酵途中に強化して糖を残し、辛口シェリーは発酵完了後に強化する</x:v>
      </x:c>
      <x:c r="L81" s="42" t="str">
        <x:v>この違いがポートの甘味と、フィノやオロロソの辛口ベースを生む。</x:v>
      </x:c>
      <x:c r="M81" s="42" t="str">
        <x:v>誤り。 通常どちらも発酵を行う。</x:v>
      </x:c>
      <x:c r="N81" s="42" t="str">
        <x:v>誤り。 時期が逆である。</x:v>
      </x:c>
      <x:c r="O81" s="42" t="str">
        <x:v>誤り。 瓶内二次発酵は行わない。</x:v>
      </x:c>
      <x:c r="P81" s="42" t="str">
        <x:v>正しい。 この違いがポートの甘味と、フィノやオロロソの辛口ベースを生む。</x:v>
      </x:c>
      <x:c r="Q81" s="42" t="str">
        <x:v>比較・製法</x:v>
      </x:c>
      <x:c r="R81" s="42" t="str">
        <x:v>酒精強化の時期</x:v>
      </x:c>
      <x:c r="S81" s="42" t="str">
        <x:v>酒精強化ワイン</x:v>
      </x:c>
      <x:c r="T81" s="42" t="str">
        <x:v>ポルトガル／スペイン</x:v>
      </x:c>
      <x:c r="U81" s="42" t="str">
        <x:v>ポート／ヘレス</x:v>
      </x:c>
      <x:c r="V81" s="42" t="str"/>
      <x:c r="W81" s="42" t="str">
        <x:v>比較</x:v>
      </x:c>
      <x:c r="X81" s="53" t="str">
        <x:v>D2</x:v>
      </x:c>
      <x:c r="Y81" s="42" t="str">
        <x:v>ポート=発酵後強化; シェリー=発酵途中強化</x:v>
      </x:c>
      <x:c r="Z81" s="53" t="str">
        <x:v>N</x:v>
      </x:c>
      <x:c r="AA81" s="42" t="str"/>
      <x:c r="AB81" s="42" t="str">
        <x:v>オリジナル</x:v>
      </x:c>
      <x:c r="AC81" s="42" t="str">
        <x:v>公式Specificationの範囲＋ユーザー作成コーパスの論点を参考に独自作成</x:v>
      </x:c>
      <x:c r="AD81" s="53" t="str">
        <x:v>未レビュー</x:v>
      </x:c>
      <x:c r="AE81" s="53" t="str"/>
      <x:c r="AF81" s="53" t="str"/>
      <x:c r="AG81" s="43" t="str"/>
    </x:row>
    <x:row r="82" ht="84" customHeight="1">
      <x:c r="A82" s="41" t="str">
        <x:v>LO5-001</x:v>
      </x:c>
      <x:c r="B82" s="53" t="str">
        <x:v>LO5</x:v>
      </x:c>
      <x:c r="C82" s="42" t="str">
        <x:v>情報提供・推奨・保管・サービス</x:v>
      </x:c>
      <x:c r="D82" s="42" t="str">
        <x:v>保管温度</x:v>
      </x:c>
      <x:c r="E82" s="42" t="str">
        <x:v>ワインを長期保管する条件として最も適切なものはどれか。</x:v>
      </x:c>
      <x:c r="F82" s="42" t="str">
        <x:v>涼しく、温度変化が小さく、暗く、振動の少ない場所</x:v>
      </x:c>
      <x:c r="G82" s="42" t="str">
        <x:v>日当たりがよく、昼夜の温度差が大きい場所</x:v>
      </x:c>
      <x:c r="H82" s="42" t="str">
        <x:v>暖房器具の近くで、20℃台後半の温度を保つ場所</x:v>
      </x:c>
      <x:c r="I82" s="42" t="str">
        <x:v>冷凍庫内で凍結させる場所</x:v>
      </x:c>
      <x:c r="J82" s="53" t="str">
        <x:v>A</x:v>
      </x:c>
      <x:c r="K82" s="42" t="str">
        <x:v>涼しく、温度変化が小さく、暗く、振動の少ない場所</x:v>
      </x:c>
      <x:c r="L82" s="42" t="str">
        <x:v>高温や温度変化、光、振動は熟成を速めたり品質を損なったりするため、安定した環境が望ましい。</x:v>
      </x:c>
      <x:c r="M82" s="42" t="str">
        <x:v>正しい。 高温や温度変化、光、振動は熟成を速めたり品質を損なったりするため、安定した環境が望ましい。</x:v>
      </x:c>
      <x:c r="N82" s="42" t="str">
        <x:v>誤り。 光と温度変化はワインを劣化させる。</x:v>
      </x:c>
      <x:c r="O82" s="42" t="str">
        <x:v>誤り。 高温は熟成を過度に速め、酸化や風味劣化のリスクを高める。</x:v>
      </x:c>
      <x:c r="P82" s="42" t="str">
        <x:v>誤り。 凍結すると液体が膨張し、栓や容器を損傷する可能性がある。</x:v>
      </x:c>
      <x:c r="Q82" s="42" t="str">
        <x:v>保管・サービス</x:v>
      </x:c>
      <x:c r="R82" s="42" t="str">
        <x:v>長期保管</x:v>
      </x:c>
      <x:c r="S82" s="42" t="str">
        <x:v>全般</x:v>
      </x:c>
      <x:c r="T82" s="42" t="str"/>
      <x:c r="U82" s="42" t="str"/>
      <x:c r="V82" s="42" t="str"/>
      <x:c r="W82" s="42" t="str">
        <x:v>知識確認</x:v>
      </x:c>
      <x:c r="X82" s="53" t="str">
        <x:v>D1</x:v>
      </x:c>
      <x:c r="Y82" s="42" t="str">
        <x:v>温度変化=熟成促進で有利; 凍結保管</x:v>
      </x:c>
      <x:c r="Z82" s="53" t="str">
        <x:v>N</x:v>
      </x:c>
      <x:c r="AA82" s="42" t="str"/>
      <x:c r="AB82" s="42" t="str">
        <x:v>オリジナル</x:v>
      </x:c>
      <x:c r="AC82" s="42" t="str">
        <x:v>公式Specificationの範囲＋ユーザー作成コーパスの論点を参考に独自作成</x:v>
      </x:c>
      <x:c r="AD82" s="53" t="str">
        <x:v>未レビュー</x:v>
      </x:c>
      <x:c r="AE82" s="53" t="str"/>
      <x:c r="AF82" s="53" t="str"/>
      <x:c r="AG82" s="43" t="str"/>
    </x:row>
    <x:row r="83" ht="84" customHeight="1">
      <x:c r="A83" s="41" t="str">
        <x:v>LO5-002</x:v>
      </x:c>
      <x:c r="B83" s="53" t="str">
        <x:v>LO5</x:v>
      </x:c>
      <x:c r="C83" s="42" t="str">
        <x:v>情報提供・推奨・保管・サービス</x:v>
      </x:c>
      <x:c r="D83" s="42" t="str">
        <x:v>光による劣化</x:v>
      </x:c>
      <x:c r="E83" s="42" t="str">
        <x:v>発泡性ワインや白ワインを強い光から守るべき主な理由はどれか。</x:v>
      </x:c>
      <x:c r="F83" s="42" t="str">
        <x:v>光がアルコール度を急激に上げるため</x:v>
      </x:c>
      <x:c r="G83" s="42" t="str">
        <x:v>光が化学反応を促し、不快な香りを生じさせることがあるため</x:v>
      </x:c>
      <x:c r="H83" s="42" t="str">
        <x:v>光がワイン中の酸を糖へ変え、甘味を強めるため</x:v>
      </x:c>
      <x:c r="I83" s="42" t="str">
        <x:v>光がコルクの密閉性を高め、還元臭を閉じ込めるため</x:v>
      </x:c>
      <x:c r="J83" s="53" t="str">
        <x:v>B</x:v>
      </x:c>
      <x:c r="K83" s="42" t="str">
        <x:v>光が化学反応を促し、不快な香りを生じさせることがあるため</x:v>
      </x:c>
      <x:c r="L83" s="42" t="str">
        <x:v>特に透明・淡色瓶では光による劣化が起こり、風味が損なわれる可能性がある。</x:v>
      </x:c>
      <x:c r="M83" s="42" t="str">
        <x:v>誤り。 光によってアルコールが増えるわけではない。</x:v>
      </x:c>
      <x:c r="N83" s="42" t="str">
        <x:v>正しい。 特に透明・淡色瓶では光による劣化が起こり、風味が損なわれる可能性がある。</x:v>
      </x:c>
      <x:c r="O83" s="42" t="str">
        <x:v>誤り。 光で残糖が増えるわけではない。</x:v>
      </x:c>
      <x:c r="P83" s="42" t="str">
        <x:v>誤り。 光による主要な問題はワインの化学的劣化であり、コルクの密閉性向上ではない。</x:v>
      </x:c>
      <x:c r="Q83" s="42" t="str">
        <x:v>保管・欠陥</x:v>
      </x:c>
      <x:c r="R83" s="42" t="str">
        <x:v>光による劣化</x:v>
      </x:c>
      <x:c r="S83" s="42" t="str">
        <x:v>白・発泡性ワイン</x:v>
      </x:c>
      <x:c r="T83" s="42" t="str"/>
      <x:c r="U83" s="42" t="str"/>
      <x:c r="V83" s="42" t="str"/>
      <x:c r="W83" s="42" t="str">
        <x:v>因果説明</x:v>
      </x:c>
      <x:c r="X83" s="53" t="str">
        <x:v>D2</x:v>
      </x:c>
      <x:c r="Y83" s="42" t="str">
        <x:v>光=アルコール上昇; 光=甘口化</x:v>
      </x:c>
      <x:c r="Z83" s="53" t="str">
        <x:v>N</x:v>
      </x:c>
      <x:c r="AA83" s="42" t="str"/>
      <x:c r="AB83" s="42" t="str">
        <x:v>オリジナル</x:v>
      </x:c>
      <x:c r="AC83" s="42" t="str">
        <x:v>公式Specificationの範囲＋ユーザー作成コーパスの論点を参考に独自作成</x:v>
      </x:c>
      <x:c r="AD83" s="53" t="str">
        <x:v>未レビュー</x:v>
      </x:c>
      <x:c r="AE83" s="53" t="str"/>
      <x:c r="AF83" s="53" t="str"/>
      <x:c r="AG83" s="43" t="str"/>
    </x:row>
    <x:row r="84" ht="84" customHeight="1">
      <x:c r="A84" s="41" t="str">
        <x:v>LO5-003</x:v>
      </x:c>
      <x:c r="B84" s="53" t="str">
        <x:v>LO5</x:v>
      </x:c>
      <x:c r="C84" s="42" t="str">
        <x:v>情報提供・推奨・保管・サービス</x:v>
      </x:c>
      <x:c r="D84" s="42" t="str">
        <x:v>コルク栓の保管</x:v>
      </x:c>
      <x:c r="E84" s="42" t="str">
        <x:v>天然コルク栓のワインを長期保管する際、一般に横置きが推奨される主な理由はどれか。</x:v>
      </x:c>
      <x:c r="F84" s="42" t="str">
        <x:v>ボトル内で二次発酵を起こすため</x:v>
      </x:c>
      <x:c r="G84" s="42" t="str">
        <x:v>酒石酸塩を瓶口へ集めるため</x:v>
      </x:c>
      <x:c r="H84" s="42" t="str">
        <x:v>コルクをワインに触れさせ、乾燥・収縮による空気の侵入を抑えるため</x:v>
      </x:c>
      <x:c r="I84" s="42" t="str">
        <x:v>沈殿をワイン中に再分散させ、熟成を均一にするため</x:v>
      </x:c>
      <x:c r="J84" s="53" t="str">
        <x:v>C</x:v>
      </x:c>
      <x:c r="K84" s="42" t="str">
        <x:v>コルクをワインに触れさせ、乾燥・収縮による空気の侵入を抑えるため</x:v>
      </x:c>
      <x:c r="L84" s="42" t="str">
        <x:v>コルクが乾燥すると密閉性が低下し、酸化や漏れのリスクが高まる。</x:v>
      </x:c>
      <x:c r="M84" s="42" t="str">
        <x:v>誤り。 横置きと二次発酵は関係がない。</x:v>
      </x:c>
      <x:c r="N84" s="42" t="str">
        <x:v>誤り。 酒石酸塩の管理が横置きの主目的ではない。</x:v>
      </x:c>
      <x:c r="O84" s="42" t="str">
        <x:v>正しい。 コルクが乾燥すると密閉性が低下し、酸化や漏れのリスクが高まる。</x:v>
      </x:c>
      <x:c r="P84" s="42" t="str">
        <x:v>誤り。 横置きで沈殿を溶かすことが主目的ではない。</x:v>
      </x:c>
      <x:c r="Q84" s="42" t="str">
        <x:v>保管・サービス</x:v>
      </x:c>
      <x:c r="R84" s="42" t="str">
        <x:v>天然コルク</x:v>
      </x:c>
      <x:c r="S84" s="42" t="str">
        <x:v>全般</x:v>
      </x:c>
      <x:c r="T84" s="42" t="str"/>
      <x:c r="U84" s="42" t="str"/>
      <x:c r="V84" s="42" t="str"/>
      <x:c r="W84" s="42" t="str">
        <x:v>因果説明</x:v>
      </x:c>
      <x:c r="X84" s="53" t="str">
        <x:v>D1</x:v>
      </x:c>
      <x:c r="Y84" s="42" t="str">
        <x:v>横置き=二次発酵; 横置き=沈殿溶解</x:v>
      </x:c>
      <x:c r="Z84" s="53" t="str">
        <x:v>N</x:v>
      </x:c>
      <x:c r="AA84" s="42" t="str"/>
      <x:c r="AB84" s="42" t="str">
        <x:v>オリジナル</x:v>
      </x:c>
      <x:c r="AC84" s="42" t="str">
        <x:v>公式Specificationの範囲＋ユーザー作成コーパスの論点を参考に独自作成</x:v>
      </x:c>
      <x:c r="AD84" s="53" t="str">
        <x:v>未レビュー</x:v>
      </x:c>
      <x:c r="AE84" s="53" t="str"/>
      <x:c r="AF84" s="53" t="str"/>
      <x:c r="AG84" s="43" t="str"/>
    </x:row>
    <x:row r="85" ht="84" customHeight="1">
      <x:c r="A85" s="41" t="str">
        <x:v>LO5-004</x:v>
      </x:c>
      <x:c r="B85" s="53" t="str">
        <x:v>LO5</x:v>
      </x:c>
      <x:c r="C85" s="42" t="str">
        <x:v>情報提供・推奨・保管・サービス</x:v>
      </x:c>
      <x:c r="D85" s="42" t="str">
        <x:v>発泡性ワインのサービス温度</x:v>
      </x:c>
      <x:c r="E85" s="42" t="str">
        <x:v>発泡性ワインをよく冷やしてサービスする利点として最も適切なものはどれか。</x:v>
      </x:c>
      <x:c r="F85" s="42" t="str">
        <x:v>低温で炭酸ガスの溶解度が下がり、泡が早く抜ける</x:v>
      </x:c>
      <x:c r="G85" s="42" t="str">
        <x:v>低温で甘味と酸味の知覚が弱まり、構造を感じなくなる</x:v>
      </x:c>
      <x:c r="H85" s="42" t="str">
        <x:v>低温による揮発でアルコール度を下げ、刺激を減らす</x:v>
      </x:c>
      <x:c r="I85" s="42" t="str">
        <x:v>炭酸ガスを保持しやすく、爽快感を保ちながら開栓時の噴出リスクも抑えられる</x:v>
      </x:c>
      <x:c r="J85" s="53" t="str">
        <x:v>D</x:v>
      </x:c>
      <x:c r="K85" s="42" t="str">
        <x:v>炭酸ガスを保持しやすく、爽快感を保ちながら開栓時の噴出リスクも抑えられる</x:v>
      </x:c>
      <x:c r="L85" s="42" t="str">
        <x:v>冷えたワインは炭酸ガスを保持しやすく、泡立ちが制御しやすい。</x:v>
      </x:c>
      <x:c r="M85" s="42" t="str">
        <x:v>誤り。 低温では炭酸ガスは液体に溶け込みやすく、説明が逆である。</x:v>
      </x:c>
      <x:c r="N85" s="42" t="str">
        <x:v>誤り。 温度は知覚に影響するが、酸味がなくなるわけではなく、冷却は爽快感を保ちやすい。</x:v>
      </x:c>
      <x:c r="O85" s="42" t="str">
        <x:v>誤り。 実際のアルコール度はサービス温度で大きく変化しない。</x:v>
      </x:c>
      <x:c r="P85" s="42" t="str">
        <x:v>正しい。 冷えたワインは炭酸ガスを保持しやすく、泡立ちが制御しやすい。</x:v>
      </x:c>
      <x:c r="Q85" s="42" t="str">
        <x:v>保管・サービス</x:v>
      </x:c>
      <x:c r="R85" s="42" t="str">
        <x:v>サービス温度</x:v>
      </x:c>
      <x:c r="S85" s="42" t="str">
        <x:v>発泡性ワイン</x:v>
      </x:c>
      <x:c r="T85" s="42" t="str"/>
      <x:c r="U85" s="42" t="str"/>
      <x:c r="V85" s="42" t="str"/>
      <x:c r="W85" s="42" t="str">
        <x:v>因果説明</x:v>
      </x:c>
      <x:c r="X85" s="53" t="str">
        <x:v>D2</x:v>
      </x:c>
      <x:c r="Y85" s="42" t="str">
        <x:v>冷却=脱アルコール; 冷却=炭酸消失</x:v>
      </x:c>
      <x:c r="Z85" s="53" t="str">
        <x:v>N</x:v>
      </x:c>
      <x:c r="AA85" s="42" t="str"/>
      <x:c r="AB85" s="42" t="str">
        <x:v>オリジナル</x:v>
      </x:c>
      <x:c r="AC85" s="42" t="str">
        <x:v>公式Specificationの範囲＋ユーザー作成コーパスの論点を参考に独自作成</x:v>
      </x:c>
      <x:c r="AD85" s="53" t="str">
        <x:v>未レビュー</x:v>
      </x:c>
      <x:c r="AE85" s="53" t="str"/>
      <x:c r="AF85" s="53" t="str"/>
      <x:c r="AG85" s="43" t="str"/>
    </x:row>
    <x:row r="86" ht="84" customHeight="1">
      <x:c r="A86" s="41" t="str">
        <x:v>LO5-005</x:v>
      </x:c>
      <x:c r="B86" s="53" t="str">
        <x:v>LO5</x:v>
      </x:c>
      <x:c r="C86" s="42" t="str">
        <x:v>情報提供・推奨・保管・サービス</x:v>
      </x:c>
      <x:c r="D86" s="42" t="str">
        <x:v>赤ワインのサービス温度</x:v>
      </x:c>
      <x:c r="E86" s="42" t="str">
        <x:v>フルボディで高アルコールの赤ワインを過度に高い温度でサービスした場合、最も起こりやすいことはどれか。</x:v>
      </x:c>
      <x:c r="F86" s="42" t="str">
        <x:v>アルコールの刺激が目立ち、ワインが重く締まりなく感じられる</x:v>
      </x:c>
      <x:c r="G86" s="42" t="str">
        <x:v>高温でタンニンが沈殿し、口当たりが軽くなる</x:v>
      </x:c>
      <x:c r="H86" s="42" t="str">
        <x:v>酸の量が増え、実際の総酸度が大きく上昇する</x:v>
      </x:c>
      <x:c r="I86" s="42" t="str">
        <x:v>高温で残糖の発酵が再開し、辛口になる</x:v>
      </x:c>
      <x:c r="J86" s="53" t="str">
        <x:v>A</x:v>
      </x:c>
      <x:c r="K86" s="42" t="str">
        <x:v>アルコールの刺激が目立ち、ワインが重く締まりなく感じられる</x:v>
      </x:c>
      <x:c r="L86" s="42" t="str">
        <x:v>高温ではアルコールの揮発と知覚が強まり、鮮度が弱く感じられる。</x:v>
      </x:c>
      <x:c r="M86" s="42" t="str">
        <x:v>正しい。 高温ではアルコールの揮発と知覚が強まり、鮮度が弱く感じられる。</x:v>
      </x:c>
      <x:c r="N86" s="42" t="str">
        <x:v>誤り。 サービス温度でタンニンが急速に沈殿して消えるわけではない。</x:v>
      </x:c>
      <x:c r="O86" s="42" t="str">
        <x:v>誤り。 温度は知覚を変えるが、酸の量を増加させない。</x:v>
      </x:c>
      <x:c r="P86" s="42" t="str">
        <x:v>誤り。 サービス中に発酵が直ちに再開するわけではなく、主要な影響は知覚上のアルコール感である。</x:v>
      </x:c>
      <x:c r="Q86" s="42" t="str">
        <x:v>保管・サービス</x:v>
      </x:c>
      <x:c r="R86" s="42" t="str">
        <x:v>サービス温度</x:v>
      </x:c>
      <x:c r="S86" s="42" t="str">
        <x:v>赤非発泡性ワイン</x:v>
      </x:c>
      <x:c r="T86" s="42" t="str"/>
      <x:c r="U86" s="42" t="str"/>
      <x:c r="V86" s="42" t="str"/>
      <x:c r="W86" s="42" t="str">
        <x:v>適用</x:v>
      </x:c>
      <x:c r="X86" s="53" t="str">
        <x:v>D2</x:v>
      </x:c>
      <x:c r="Y86" s="42" t="str">
        <x:v>高温=タンニン消失; 高温=酸度増加</x:v>
      </x:c>
      <x:c r="Z86" s="53" t="str">
        <x:v>N</x:v>
      </x:c>
      <x:c r="AA86" s="42" t="str"/>
      <x:c r="AB86" s="42" t="str">
        <x:v>オリジナル</x:v>
      </x:c>
      <x:c r="AC86" s="42" t="str">
        <x:v>公式Specificationの範囲＋ユーザー作成コーパスの論点を参考に独自作成</x:v>
      </x:c>
      <x:c r="AD86" s="53" t="str">
        <x:v>未レビュー</x:v>
      </x:c>
      <x:c r="AE86" s="53" t="str"/>
      <x:c r="AF86" s="53" t="str"/>
      <x:c r="AG86" s="43" t="str"/>
    </x:row>
    <x:row r="87" ht="84" customHeight="1">
      <x:c r="A87" s="41" t="str">
        <x:v>LO5-006</x:v>
      </x:c>
      <x:c r="B87" s="53" t="str">
        <x:v>LO5</x:v>
      </x:c>
      <x:c r="C87" s="42" t="str">
        <x:v>情報提供・推奨・保管・サービス</x:v>
      </x:c>
      <x:c r="D87" s="42" t="str">
        <x:v>若い赤ワインのデカンティング</x:v>
      </x:c>
      <x:c r="E87" s="42" t="str">
        <x:v>若く、タンニンが高く、香りが閉じている赤ワインをデカンティングする主な目的はどれか。</x:v>
      </x:c>
      <x:c r="F87" s="42" t="str">
        <x:v>熟成中に生じる沈殿を増やし、ボトル底へ集めるため</x:v>
      </x:c>
      <x:c r="G87" s="42" t="str">
        <x:v>空気との接触を増やし、香りを開かせ、口当たりをやや柔らかく感じさせるため</x:v>
      </x:c>
      <x:c r="H87" s="42" t="str">
        <x:v>揮発によってアルコール度を大きく下げるため</x:v>
      </x:c>
      <x:c r="I87" s="42" t="str">
        <x:v>炭酸ガスを取り込ませ、発泡性の口当たりに変えるため</x:v>
      </x:c>
      <x:c r="J87" s="53" t="str">
        <x:v>B</x:v>
      </x:c>
      <x:c r="K87" s="42" t="str">
        <x:v>空気との接触を増やし、香りを開かせ、口当たりをやや柔らかく感じさせるため</x:v>
      </x:c>
      <x:c r="L87" s="42" t="str">
        <x:v>酸素接触により香りが表れやすくなり、若い構造が調和して感じられることがある。</x:v>
      </x:c>
      <x:c r="M87" s="42" t="str">
        <x:v>誤り。 若いワインでは沈殿除去より、空気接触による香りの開放が主目的となることが多い。</x:v>
      </x:c>
      <x:c r="N87" s="42" t="str">
        <x:v>正しい。 酸素接触により香りが表れやすくなり、若い構造が調和して感じられることがある。</x:v>
      </x:c>
      <x:c r="O87" s="42" t="str">
        <x:v>誤り。 通常のデカンティングでアルコール度は大きく下がらない。</x:v>
      </x:c>
      <x:c r="P87" s="42" t="str">
        <x:v>誤り。 空気との接触で持続的な発泡性は得られない。</x:v>
      </x:c>
      <x:c r="Q87" s="42" t="str">
        <x:v>保管・サービス</x:v>
      </x:c>
      <x:c r="R87" s="42" t="str">
        <x:v>デカンティング</x:v>
      </x:c>
      <x:c r="S87" s="42" t="str">
        <x:v>赤非発泡性ワイン</x:v>
      </x:c>
      <x:c r="T87" s="42" t="str"/>
      <x:c r="U87" s="42" t="str"/>
      <x:c r="V87" s="42" t="str"/>
      <x:c r="W87" s="42" t="str">
        <x:v>因果説明</x:v>
      </x:c>
      <x:c r="X87" s="53" t="str">
        <x:v>D1</x:v>
      </x:c>
      <x:c r="Y87" s="42" t="str">
        <x:v>若いワインのデカント=沈殿増加; デカント=脱アルコール</x:v>
      </x:c>
      <x:c r="Z87" s="53" t="str">
        <x:v>N</x:v>
      </x:c>
      <x:c r="AA87" s="42" t="str"/>
      <x:c r="AB87" s="42" t="str">
        <x:v>オリジナル</x:v>
      </x:c>
      <x:c r="AC87" s="42" t="str">
        <x:v>公式Specificationの範囲＋ユーザー作成コーパスの論点を参考に独自作成</x:v>
      </x:c>
      <x:c r="AD87" s="53" t="str">
        <x:v>未レビュー</x:v>
      </x:c>
      <x:c r="AE87" s="53" t="str"/>
      <x:c r="AF87" s="53" t="str"/>
      <x:c r="AG87" s="43" t="str"/>
    </x:row>
    <x:row r="88" ht="84" customHeight="1">
      <x:c r="A88" s="41" t="str">
        <x:v>LO5-007</x:v>
      </x:c>
      <x:c r="B88" s="53" t="str">
        <x:v>LO5</x:v>
      </x:c>
      <x:c r="C88" s="42" t="str">
        <x:v>情報提供・推奨・保管・サービス</x:v>
      </x:c>
      <x:c r="D88" s="42" t="str">
        <x:v>熟成ワインのデカンティング</x:v>
      </x:c>
      <x:c r="E88" s="42" t="str">
        <x:v>熟成した赤ワインをデカンティングする際に特に注意すべきことはどれか。</x:v>
      </x:c>
      <x:c r="F88" s="42" t="str">
        <x:v>できるだけ激しく振って空気を多く混ぜる</x:v>
      </x:c>
      <x:c r="G88" s="42" t="str">
        <x:v>ボトルを冷凍し、沈殿を氷とともに瓶口から取り除く</x:v>
      </x:c>
      <x:c r="H88" s="42" t="str">
        <x:v>沈殿をボトルに残しつつ、過度な酸素接触を避けて静かに移す</x:v>
      </x:c>
      <x:c r="I88" s="42" t="str">
        <x:v>発泡性ワイン用の栓を取り付け、沈殿を瓶内圧で押し出す</x:v>
      </x:c>
      <x:c r="J88" s="53" t="str">
        <x:v>C</x:v>
      </x:c>
      <x:c r="K88" s="42" t="str">
        <x:v>沈殿をボトルに残しつつ、過度な酸素接触を避けて静かに移す</x:v>
      </x:c>
      <x:c r="L88" s="42" t="str">
        <x:v>主目的は沈殿分離であり、ワインの繊細さを保つ必要がある。</x:v>
      </x:c>
      <x:c r="M88" s="42" t="str">
        <x:v>誤り。 熟成ワインは酸素に弱く、過度な攪拌で急速に衰える可能性がある。</x:v>
      </x:c>
      <x:c r="N88" s="42" t="str">
        <x:v>誤り。 これは発泡性ワインのデゴルジュマンに近く、熟成赤ワインの沈殿除去には適さない。</x:v>
      </x:c>
      <x:c r="O88" s="42" t="str">
        <x:v>正しい。 主目的は沈殿分離であり、ワインの繊細さを保つ必要がある。</x:v>
      </x:c>
      <x:c r="P88" s="42" t="str">
        <x:v>誤り。 熟成赤ワインのデカンティングとは関係がない。</x:v>
      </x:c>
      <x:c r="Q88" s="42" t="str">
        <x:v>保管・サービス</x:v>
      </x:c>
      <x:c r="R88" s="42" t="str">
        <x:v>熟成ワイン・沈殿</x:v>
      </x:c>
      <x:c r="S88" s="42" t="str">
        <x:v>赤非発泡性ワイン</x:v>
      </x:c>
      <x:c r="T88" s="42" t="str"/>
      <x:c r="U88" s="42" t="str"/>
      <x:c r="V88" s="42" t="str"/>
      <x:c r="W88" s="42" t="str">
        <x:v>適用</x:v>
      </x:c>
      <x:c r="X88" s="53" t="str">
        <x:v>D2</x:v>
      </x:c>
      <x:c r="Y88" s="42" t="str">
        <x:v>熟成ワイン=激しく空気接触; 沈殿=凍結除去</x:v>
      </x:c>
      <x:c r="Z88" s="53" t="str">
        <x:v>N</x:v>
      </x:c>
      <x:c r="AA88" s="42" t="str"/>
      <x:c r="AB88" s="42" t="str">
        <x:v>オリジナル</x:v>
      </x:c>
      <x:c r="AC88" s="42" t="str">
        <x:v>公式Specificationの範囲＋ユーザー作成コーパスの論点を参考に独自作成</x:v>
      </x:c>
      <x:c r="AD88" s="53" t="str">
        <x:v>未レビュー</x:v>
      </x:c>
      <x:c r="AE88" s="53" t="str"/>
      <x:c r="AF88" s="53" t="str"/>
      <x:c r="AG88" s="43" t="str"/>
    </x:row>
    <x:row r="89" ht="84" customHeight="1">
      <x:c r="A89" s="41" t="str">
        <x:v>LO5-008</x:v>
      </x:c>
      <x:c r="B89" s="53" t="str">
        <x:v>LO5</x:v>
      </x:c>
      <x:c r="C89" s="42" t="str">
        <x:v>情報提供・推奨・保管・サービス</x:v>
      </x:c>
      <x:c r="D89" s="42" t="str">
        <x:v>サービス順序</x:v>
      </x:c>
      <x:c r="E89" s="42" t="str">
        <x:v>複数のワインを同じ食事でサービスする一般的な順序として最も適切なものはどれか。</x:v>
      </x:c>
      <x:c r="F89" s="42" t="str">
        <x:v>甘口から辛口、フルボディからライトボディ</x:v>
      </x:c>
      <x:c r="G89" s="42" t="str">
        <x:v>赤ワインを白ワインより先に出し、色の濃い順に進める</x:v>
      </x:c>
      <x:c r="H89" s="42" t="str">
        <x:v>最も高価なワインから安価なワイン</x:v>
      </x:c>
      <x:c r="I89" s="42" t="str">
        <x:v>辛口から甘口、ライトボディからフルボディ、繊細なものから風味の強いもの</x:v>
      </x:c>
      <x:c r="J89" s="53" t="str">
        <x:v>D</x:v>
      </x:c>
      <x:c r="K89" s="42" t="str">
        <x:v>辛口から甘口、ライトボディからフルボディ、繊細なものから風味の強いもの</x:v>
      </x:c>
      <x:c r="L89" s="42" t="str">
        <x:v>後のワインが前のワインを圧倒しにくい順序である。</x:v>
      </x:c>
      <x:c r="M89" s="42" t="str">
        <x:v>誤り。 先に強い甘味やボディを味わうと、その後の繊細なワインが弱く感じられる。</x:v>
      </x:c>
      <x:c r="N89" s="42" t="str">
        <x:v>誤り。 色だけで固定するのではなく、甘味、ボディ、風味の強さも考慮する。</x:v>
      </x:c>
      <x:c r="O89" s="42" t="str">
        <x:v>誤り。 価格は感覚疲労を防ぐ順序の主要基準ではない。</x:v>
      </x:c>
      <x:c r="P89" s="42" t="str">
        <x:v>正しい。 後のワインが前のワインを圧倒しにくい順序である。</x:v>
      </x:c>
      <x:c r="Q89" s="42" t="str">
        <x:v>保管・サービス</x:v>
      </x:c>
      <x:c r="R89" s="42" t="str">
        <x:v>サービス順序</x:v>
      </x:c>
      <x:c r="S89" s="42" t="str">
        <x:v>全般</x:v>
      </x:c>
      <x:c r="T89" s="42" t="str"/>
      <x:c r="U89" s="42" t="str"/>
      <x:c r="V89" s="42" t="str"/>
      <x:c r="W89" s="42" t="str">
        <x:v>判断</x:v>
      </x:c>
      <x:c r="X89" s="53" t="str">
        <x:v>D2</x:v>
      </x:c>
      <x:c r="Y89" s="42" t="str">
        <x:v>色だけで順序固定; 価格順</x:v>
      </x:c>
      <x:c r="Z89" s="53" t="str">
        <x:v>N</x:v>
      </x:c>
      <x:c r="AA89" s="42" t="str"/>
      <x:c r="AB89" s="42" t="str">
        <x:v>オリジナル</x:v>
      </x:c>
      <x:c r="AC89" s="42" t="str">
        <x:v>公式Specificationの範囲＋ユーザー作成コーパスの論点を参考に独自作成</x:v>
      </x:c>
      <x:c r="AD89" s="53" t="str">
        <x:v>未レビュー</x:v>
      </x:c>
      <x:c r="AE89" s="53" t="str"/>
      <x:c r="AF89" s="53" t="str"/>
      <x:c r="AG89" s="43" t="str"/>
    </x:row>
    <x:row r="90" ht="84" customHeight="1">
      <x:c r="A90" s="41" t="str">
        <x:v>LO5-009</x:v>
      </x:c>
      <x:c r="B90" s="53" t="str">
        <x:v>LO5</x:v>
      </x:c>
      <x:c r="C90" s="42" t="str">
        <x:v>情報提供・推奨・保管・サービス</x:v>
      </x:c>
      <x:c r="D90" s="42" t="str">
        <x:v>ワインの推奨</x:v>
      </x:c>
      <x:c r="E90" s="42" t="str">
        <x:v>顧客にワインを推奨する際、最初に確認すべき情報の組み合わせとして最も適切なものはどれか。</x:v>
      </x:c>
      <x:c r="F90" s="42" t="str">
        <x:v>生産者のSNSフォロワー数とボトル重量だけ</x:v>
      </x:c>
      <x:c r="G90" s="42" t="str">
        <x:v>予算、好みのスタイル、料理、オケージョン</x:v>
      </x:c>
      <x:c r="H90" s="42" t="str">
        <x:v>ラベルの色とボトルの形だけ</x:v>
      </x:c>
      <x:c r="I90" s="42" t="str">
        <x:v>アルコール度が最も高いワインかどうかだけ</x:v>
      </x:c>
      <x:c r="J90" s="53" t="str">
        <x:v>B</x:v>
      </x:c>
      <x:c r="K90" s="42" t="str">
        <x:v>予算、好みのスタイル、料理、オケージョン</x:v>
      </x:c>
      <x:c r="L90" s="42" t="str">
        <x:v>価格、味覚、料理との相性、利用目的を確認することで適切な選択肢を絞れる。</x:v>
      </x:c>
      <x:c r="M90" s="42" t="str">
        <x:v>誤り。 顧客の目的や嗜好を把握できない。</x:v>
      </x:c>
      <x:c r="N90" s="42" t="str">
        <x:v>正しい。 価格、味覚、料理との相性、利用目的を確認することで適切な選択肢を絞れる。</x:v>
      </x:c>
      <x:c r="O90" s="42" t="str">
        <x:v>誤り。 外観は中身のスタイルや適合性を十分に示さない。</x:v>
      </x:c>
      <x:c r="P90" s="42" t="str">
        <x:v>誤り。 一つの要素だけでは顧客の要望に合う推奨にならない。</x:v>
      </x:c>
      <x:c r="Q90" s="42" t="str">
        <x:v>情報提供・推奨</x:v>
      </x:c>
      <x:c r="R90" s="42" t="str">
        <x:v>顧客ニーズ</x:v>
      </x:c>
      <x:c r="S90" s="42" t="str">
        <x:v>全般</x:v>
      </x:c>
      <x:c r="T90" s="42" t="str"/>
      <x:c r="U90" s="42" t="str"/>
      <x:c r="V90" s="42" t="str"/>
      <x:c r="W90" s="42" t="str">
        <x:v>判断</x:v>
      </x:c>
      <x:c r="X90" s="53" t="str">
        <x:v>D1</x:v>
      </x:c>
      <x:c r="Y90" s="42" t="str">
        <x:v>推奨=見た目; 推奨=高アルコール優先</x:v>
      </x:c>
      <x:c r="Z90" s="53" t="str">
        <x:v>N</x:v>
      </x:c>
      <x:c r="AA90" s="42" t="str"/>
      <x:c r="AB90" s="42" t="str">
        <x:v>オリジナル</x:v>
      </x:c>
      <x:c r="AC90" s="42" t="str">
        <x:v>公式Specificationの範囲＋ユーザー作成コーパスの論点を参考に独自作成</x:v>
      </x:c>
      <x:c r="AD90" s="53" t="str">
        <x:v>未レビュー</x:v>
      </x:c>
      <x:c r="AE90" s="53" t="str"/>
      <x:c r="AF90" s="53" t="str"/>
      <x:c r="AG90" s="43" t="str"/>
    </x:row>
    <x:row r="91" ht="84" customHeight="1">
      <x:c r="A91" s="41" t="str">
        <x:v>LO5-010</x:v>
      </x:c>
      <x:c r="B91" s="53" t="str">
        <x:v>LO5</x:v>
      </x:c>
      <x:c r="C91" s="42" t="str">
        <x:v>情報提供・推奨・保管・サービス</x:v>
      </x:c>
      <x:c r="D91" s="42" t="str">
        <x:v>コルク汚染</x:v>
      </x:c>
      <x:c r="E91" s="42" t="str">
        <x:v>コルク汚染を受けたワインに最も典型的な特徴はどれか。</x:v>
      </x:c>
      <x:c r="F91" s="42" t="str">
        <x:v>強い酢や除光液のような香り</x:v>
      </x:c>
      <x:c r="G91" s="42" t="str">
        <x:v>ゆで卵や排水口のような香り</x:v>
      </x:c>
      <x:c r="H91" s="42" t="str">
        <x:v>湿った段ボール、かびた布のような香りと、果実香の減少</x:v>
      </x:c>
      <x:c r="I91" s="42" t="str">
        <x:v>シェリーのようなナッツ香と褐色化だけ</x:v>
      </x:c>
      <x:c r="J91" s="53" t="str">
        <x:v>C</x:v>
      </x:c>
      <x:c r="K91" s="42" t="str">
        <x:v>湿った段ボール、かびた布のような香りと、果実香の減少</x:v>
      </x:c>
      <x:c r="L91" s="42" t="str">
        <x:v>TCAなどにより香りが抑えられ、かび臭い特徴が生じる。</x:v>
      </x:c>
      <x:c r="M91" s="42" t="str">
        <x:v>誤り。 これは高い揮発性の酸や酢酸エチルに関連しやすい。</x:v>
      </x:c>
      <x:c r="N91" s="42" t="str">
        <x:v>誤り。 これは還元に関連しやすい。</x:v>
      </x:c>
      <x:c r="O91" s="42" t="str">
        <x:v>正しい。 TCAなどにより香りが抑えられ、かび臭い特徴が生じる。</x:v>
      </x:c>
      <x:c r="P91" s="42" t="str">
        <x:v>誤り。 これは酸化の特徴に近い。</x:v>
      </x:c>
      <x:c r="Q91" s="42" t="str">
        <x:v>欠陥</x:v>
      </x:c>
      <x:c r="R91" s="42" t="str">
        <x:v>コルク汚染</x:v>
      </x:c>
      <x:c r="S91" s="42" t="str">
        <x:v>全般</x:v>
      </x:c>
      <x:c r="T91" s="42" t="str"/>
      <x:c r="U91" s="42" t="str"/>
      <x:c r="V91" s="42" t="str"/>
      <x:c r="W91" s="42" t="str">
        <x:v>知識確認</x:v>
      </x:c>
      <x:c r="X91" s="53" t="str">
        <x:v>D1</x:v>
      </x:c>
      <x:c r="Y91" s="42" t="str">
        <x:v>TCA=揮発酸; TCA=還元</x:v>
      </x:c>
      <x:c r="Z91" s="53" t="str">
        <x:v>N</x:v>
      </x:c>
      <x:c r="AA91" s="42" t="str"/>
      <x:c r="AB91" s="42" t="str">
        <x:v>オリジナル</x:v>
      </x:c>
      <x:c r="AC91" s="42" t="str">
        <x:v>公式Specificationの範囲＋ユーザー作成コーパスの論点を参考に独自作成</x:v>
      </x:c>
      <x:c r="AD91" s="53" t="str">
        <x:v>未レビュー</x:v>
      </x:c>
      <x:c r="AE91" s="53" t="str"/>
      <x:c r="AF91" s="53" t="str"/>
      <x:c r="AG91" s="43" t="str"/>
    </x:row>
    <x:row r="92" ht="84" customHeight="1">
      <x:c r="A92" s="41" t="str">
        <x:v>LO5-011</x:v>
      </x:c>
      <x:c r="B92" s="53" t="str">
        <x:v>LO5</x:v>
      </x:c>
      <x:c r="C92" s="42" t="str">
        <x:v>情報提供・推奨・保管・サービス</x:v>
      </x:c>
      <x:c r="D92" s="42" t="str">
        <x:v>酸化</x:v>
      </x:c>
      <x:c r="E92" s="42" t="str">
        <x:v>本来若々しくフレッシュであるべき白ワインが酸化した場合に最も起こりやすい変化はどれか。</x:v>
      </x:c>
      <x:c r="F92" s="42" t="str">
        <x:v>色が淡くなり、若い柑橘や青リンゴの香りが強まる</x:v>
      </x:c>
      <x:c r="G92" s="42" t="str">
        <x:v>残糖が再発酵し、炭酸ガスによる泡が生じる</x:v>
      </x:c>
      <x:c r="H92" s="42" t="str">
        <x:v>果皮由来のタンニンが増え、渋味が強くなる</x:v>
      </x:c>
      <x:c r="I92" s="42" t="str">
        <x:v>色が褐色方向へ濃くなり、リンゴの傷んだ部分やナッツを思わせる香りが出る</x:v>
      </x:c>
      <x:c r="J92" s="53" t="str">
        <x:v>D</x:v>
      </x:c>
      <x:c r="K92" s="42" t="str">
        <x:v>色が褐色方向へ濃くなり、リンゴの傷んだ部分やナッツを思わせる香りが出る</x:v>
      </x:c>
      <x:c r="L92" s="42" t="str">
        <x:v>酸素により色と香りが変化し、鮮度が失われる。</x:v>
      </x:c>
      <x:c r="M92" s="42" t="str">
        <x:v>誤り。 酸化では一般に色が濃くなり、フレッシュな果実香が失われる。</x:v>
      </x:c>
      <x:c r="N92" s="42" t="str">
        <x:v>誤り。 酸化で二次発酵が起こるわけではない。</x:v>
      </x:c>
      <x:c r="O92" s="42" t="str">
        <x:v>誤り。 白ワインのタンニンが酸化で大量に増えるわけではない。</x:v>
      </x:c>
      <x:c r="P92" s="42" t="str">
        <x:v>正しい。 酸素により色と香りが変化し、鮮度が失われる。</x:v>
      </x:c>
      <x:c r="Q92" s="42" t="str">
        <x:v>欠陥</x:v>
      </x:c>
      <x:c r="R92" s="42" t="str">
        <x:v>酸化</x:v>
      </x:c>
      <x:c r="S92" s="42" t="str">
        <x:v>白非発泡性ワイン</x:v>
      </x:c>
      <x:c r="T92" s="42" t="str"/>
      <x:c r="U92" s="42" t="str"/>
      <x:c r="V92" s="42" t="str"/>
      <x:c r="W92" s="42" t="str">
        <x:v>知識確認</x:v>
      </x:c>
      <x:c r="X92" s="53" t="str">
        <x:v>D1</x:v>
      </x:c>
      <x:c r="Y92" s="42" t="str">
        <x:v>酸化=色淡化; 酸化=発泡</x:v>
      </x:c>
      <x:c r="Z92" s="53" t="str">
        <x:v>N</x:v>
      </x:c>
      <x:c r="AA92" s="42" t="str"/>
      <x:c r="AB92" s="42" t="str">
        <x:v>オリジナル</x:v>
      </x:c>
      <x:c r="AC92" s="42" t="str">
        <x:v>公式Specificationの範囲＋ユーザー作成コーパスの論点を参考に独自作成</x:v>
      </x:c>
      <x:c r="AD92" s="53" t="str">
        <x:v>未レビュー</x:v>
      </x:c>
      <x:c r="AE92" s="53" t="str"/>
      <x:c r="AF92" s="53" t="str"/>
      <x:c r="AG92" s="43" t="str"/>
    </x:row>
    <x:row r="93" ht="84" customHeight="1">
      <x:c r="A93" s="41" t="str">
        <x:v>LO5-012</x:v>
      </x:c>
      <x:c r="B93" s="53" t="str">
        <x:v>LO5</x:v>
      </x:c>
      <x:c r="C93" s="42" t="str">
        <x:v>情報提供・推奨・保管・サービス</x:v>
      </x:c>
      <x:c r="D93" s="42" t="str">
        <x:v>還元</x:v>
      </x:c>
      <x:c r="E93" s="42" t="str">
        <x:v>還元状態のワインに見られることがある香りはどれか。</x:v>
      </x:c>
      <x:c r="F93" s="42" t="str">
        <x:v>硫化水素を思わせるゆで卵や下水のような香り</x:v>
      </x:c>
      <x:c r="G93" s="42" t="str">
        <x:v>新鮮なバラとライチだけ</x:v>
      </x:c>
      <x:c r="H93" s="42" t="str">
        <x:v>バニラとココナッツだけ</x:v>
      </x:c>
      <x:c r="I93" s="42" t="str">
        <x:v>湿った段ボールだけ</x:v>
      </x:c>
      <x:c r="J93" s="53" t="str">
        <x:v>A</x:v>
      </x:c>
      <x:c r="K93" s="42" t="str">
        <x:v>硫化水素を思わせるゆで卵や下水のような香り</x:v>
      </x:c>
      <x:c r="L93" s="42" t="str">
        <x:v>酸素が非常に少ない条件で硫黄化合物が蓄積すると生じることがある。</x:v>
      </x:c>
      <x:c r="M93" s="42" t="str">
        <x:v>正しい。 酸素が非常に少ない条件で硫黄化合物が蓄積すると生じることがある。</x:v>
      </x:c>
      <x:c r="N93" s="42" t="str">
        <x:v>誤り。 これは芳香性品種の品種香として現れることがある。</x:v>
      </x:c>
      <x:c r="O93" s="42" t="str">
        <x:v>誤り。 主にオーク由来の風味である。</x:v>
      </x:c>
      <x:c r="P93" s="42" t="str">
        <x:v>誤り。 主にコルク汚染に関連する。</x:v>
      </x:c>
      <x:c r="Q93" s="42" t="str">
        <x:v>欠陥</x:v>
      </x:c>
      <x:c r="R93" s="42" t="str">
        <x:v>還元</x:v>
      </x:c>
      <x:c r="S93" s="42" t="str">
        <x:v>全般</x:v>
      </x:c>
      <x:c r="T93" s="42" t="str"/>
      <x:c r="U93" s="42" t="str"/>
      <x:c r="V93" s="42" t="str"/>
      <x:c r="W93" s="42" t="str">
        <x:v>知識確認</x:v>
      </x:c>
      <x:c r="X93" s="53" t="str">
        <x:v>D1</x:v>
      </x:c>
      <x:c r="Y93" s="42" t="str">
        <x:v>還元=TCA; 還元=オーク香</x:v>
      </x:c>
      <x:c r="Z93" s="53" t="str">
        <x:v>N</x:v>
      </x:c>
      <x:c r="AA93" s="42" t="str"/>
      <x:c r="AB93" s="42" t="str">
        <x:v>オリジナル</x:v>
      </x:c>
      <x:c r="AC93" s="42" t="str">
        <x:v>公式Specificationの範囲＋ユーザー作成コーパスの論点を参考に独自作成</x:v>
      </x:c>
      <x:c r="AD93" s="53" t="str">
        <x:v>未レビュー</x:v>
      </x:c>
      <x:c r="AE93" s="53" t="str"/>
      <x:c r="AF93" s="53" t="str"/>
      <x:c r="AG93" s="43" t="str"/>
    </x:row>
    <x:row r="94" ht="84" customHeight="1">
      <x:c r="A94" s="41" t="str">
        <x:v>LO5-013</x:v>
      </x:c>
      <x:c r="B94" s="53" t="str">
        <x:v>LO5</x:v>
      </x:c>
      <x:c r="C94" s="42" t="str">
        <x:v>情報提供・推奨・保管・サービス</x:v>
      </x:c>
      <x:c r="D94" s="42" t="str">
        <x:v>揮発性の酸</x:v>
      </x:c>
      <x:c r="E94" s="42" t="str">
        <x:v>高濃度の揮発性の酸が欠陥として認識される場合、最も典型的な香りはどれか。</x:v>
      </x:c>
      <x:c r="F94" s="42" t="str">
        <x:v>バターやクリーム</x:v>
      </x:c>
      <x:c r="G94" s="42" t="str">
        <x:v>酢や除光液を思わせる刺激的な香り</x:v>
      </x:c>
      <x:c r="H94" s="42" t="str">
        <x:v>濡れた羊毛や灯油</x:v>
      </x:c>
      <x:c r="I94" s="42" t="str">
        <x:v>トーストやブリオッシュ</x:v>
      </x:c>
      <x:c r="J94" s="53" t="str">
        <x:v>B</x:v>
      </x:c>
      <x:c r="K94" s="42" t="str">
        <x:v>酢や除光液を思わせる刺激的な香り</x:v>
      </x:c>
      <x:c r="L94" s="42" t="str">
        <x:v>酢酸や酢酸エチルが高濃度になると、ワインの果実味を圧倒する。</x:v>
      </x:c>
      <x:c r="M94" s="42" t="str">
        <x:v>誤り。 ジアセチルやMLFに関連しやすい。</x:v>
      </x:c>
      <x:c r="N94" s="42" t="str">
        <x:v>正しい。 酢酸や酢酸エチルが高濃度になると、ワインの果実味を圧倒する。</x:v>
      </x:c>
      <x:c r="O94" s="42" t="str">
        <x:v>誤り。 品種や熟成に由来する場合があり、揮発性の酸の典型ではない。</x:v>
      </x:c>
      <x:c r="P94" s="42" t="str">
        <x:v>誤り。 澱の自己分解やオークに関連しやすい。</x:v>
      </x:c>
      <x:c r="Q94" s="42" t="str">
        <x:v>欠陥</x:v>
      </x:c>
      <x:c r="R94" s="42" t="str">
        <x:v>揮発性の酸</x:v>
      </x:c>
      <x:c r="S94" s="42" t="str">
        <x:v>全般</x:v>
      </x:c>
      <x:c r="T94" s="42" t="str"/>
      <x:c r="U94" s="42" t="str"/>
      <x:c r="V94" s="42" t="str"/>
      <x:c r="W94" s="42" t="str">
        <x:v>知識確認</x:v>
      </x:c>
      <x:c r="X94" s="53" t="str">
        <x:v>D1</x:v>
      </x:c>
      <x:c r="Y94" s="42" t="str">
        <x:v>揮発酸=MLF香; 揮発酸=自己分解香</x:v>
      </x:c>
      <x:c r="Z94" s="53" t="str">
        <x:v>N</x:v>
      </x:c>
      <x:c r="AA94" s="42" t="str"/>
      <x:c r="AB94" s="42" t="str">
        <x:v>オリジナル</x:v>
      </x:c>
      <x:c r="AC94" s="42" t="str">
        <x:v>公式Specificationの範囲＋ユーザー作成コーパスの論点を参考に独自作成</x:v>
      </x:c>
      <x:c r="AD94" s="53" t="str">
        <x:v>未レビュー</x:v>
      </x:c>
      <x:c r="AE94" s="53" t="str"/>
      <x:c r="AF94" s="53" t="str"/>
      <x:c r="AG94" s="43" t="str"/>
    </x:row>
    <x:row r="95" ht="84" customHeight="1">
      <x:c r="A95" s="41" t="str">
        <x:v>LO5-014</x:v>
      </x:c>
      <x:c r="B95" s="53" t="str">
        <x:v>LO5</x:v>
      </x:c>
      <x:c r="C95" s="42" t="str">
        <x:v>情報提供・推奨・保管・サービス</x:v>
      </x:c>
      <x:c r="D95" s="42" t="str">
        <x:v>ブレタノマイセス</x:v>
      </x:c>
      <x:c r="E95" s="42" t="str">
        <x:v>ブレタノマイセスが高濃度で欠陥とみなされる場合に現れやすい特徴はどれか。</x:v>
      </x:c>
      <x:c r="F95" s="42" t="str">
        <x:v>新鮮な柑橘と花の香り</x:v>
      </x:c>
      <x:c r="G95" s="42" t="str">
        <x:v>高い発泡性と低アルコール</x:v>
      </x:c>
      <x:c r="H95" s="42" t="str">
        <x:v>馬小屋、革、薬品を思わせる香りと果実味の減少</x:v>
      </x:c>
      <x:c r="I95" s="42" t="str">
        <x:v>糖を生成して甘味を増やし、酸味を弱める</x:v>
      </x:c>
      <x:c r="J95" s="53" t="str">
        <x:v>C</x:v>
      </x:c>
      <x:c r="K95" s="42" t="str">
        <x:v>馬小屋、革、薬品を思わせる香りと果実味の減少</x:v>
      </x:c>
      <x:c r="L95" s="42" t="str">
        <x:v>一部では複雑さと感じられても、高濃度では果実味を覆い欠陥となる。</x:v>
      </x:c>
      <x:c r="M95" s="42" t="str">
        <x:v>誤り。 ブレタノマイセスの典型ではない。</x:v>
      </x:c>
      <x:c r="N95" s="42" t="str">
        <x:v>誤り。 発泡性やアルコール度を直接説明しない。</x:v>
      </x:c>
      <x:c r="O95" s="42" t="str">
        <x:v>正しい。 一部では複雑さと感じられても、高濃度では果実味を覆い欠陥となる。</x:v>
      </x:c>
      <x:c r="P95" s="42" t="str">
        <x:v>誤り。 ブレタノマイセスが残糖を増やすわけではなく、高濃度では果実味を覆う香りが問題となる。</x:v>
      </x:c>
      <x:c r="Q95" s="42" t="str">
        <x:v>欠陥</x:v>
      </x:c>
      <x:c r="R95" s="42" t="str">
        <x:v>ブレタノマイセス</x:v>
      </x:c>
      <x:c r="S95" s="42" t="str">
        <x:v>赤非発泡性ワイン</x:v>
      </x:c>
      <x:c r="T95" s="42" t="str"/>
      <x:c r="U95" s="42" t="str"/>
      <x:c r="V95" s="42" t="str"/>
      <x:c r="W95" s="42" t="str">
        <x:v>知識確認</x:v>
      </x:c>
      <x:c r="X95" s="53" t="str">
        <x:v>D2</x:v>
      </x:c>
      <x:c r="Y95" s="42" t="str">
        <x:v>Brett=発泡; Brett=甘味増加</x:v>
      </x:c>
      <x:c r="Z95" s="53" t="str">
        <x:v>N</x:v>
      </x:c>
      <x:c r="AA95" s="42" t="str"/>
      <x:c r="AB95" s="42" t="str">
        <x:v>オリジナル</x:v>
      </x:c>
      <x:c r="AC95" s="42" t="str">
        <x:v>公式Specificationの範囲＋ユーザー作成コーパスの論点を参考に独自作成</x:v>
      </x:c>
      <x:c r="AD95" s="53" t="str">
        <x:v>未レビュー</x:v>
      </x:c>
      <x:c r="AE95" s="53" t="str"/>
      <x:c r="AF95" s="53" t="str"/>
      <x:c r="AG95" s="43" t="str"/>
    </x:row>
    <x:row r="96" ht="84" customHeight="1">
      <x:c r="A96" s="41" t="str">
        <x:v>LO5-015</x:v>
      </x:c>
      <x:c r="B96" s="53" t="str">
        <x:v>LO5</x:v>
      </x:c>
      <x:c r="C96" s="42" t="str">
        <x:v>情報提供・推奨・保管・サービス</x:v>
      </x:c>
      <x:c r="D96" s="42" t="str">
        <x:v>高濃度の亜硫酸</x:v>
      </x:c>
      <x:c r="E96" s="42" t="str">
        <x:v>ワイン中の亜硫酸が過度に高い場合に感じられることがある特徴はどれか。</x:v>
      </x:c>
      <x:c r="F96" s="42" t="str">
        <x:v>黒コショウと燻製肉を思わせるスパイス香</x:v>
      </x:c>
      <x:c r="G96" s="42" t="str">
        <x:v>湿った段ボールやかびた布を思わせる香り</x:v>
      </x:c>
      <x:c r="H96" s="42" t="str">
        <x:v>バニラ、クローブ、トーストを思わせる樽香</x:v>
      </x:c>
      <x:c r="I96" s="42" t="str">
        <x:v>刺激的で鼻を刺すような硫黄系の香り</x:v>
      </x:c>
      <x:c r="J96" s="53" t="str">
        <x:v>D</x:v>
      </x:c>
      <x:c r="K96" s="42" t="str">
        <x:v>刺激的で鼻を刺すような硫黄系の香り</x:v>
      </x:c>
      <x:c r="L96" s="42" t="str">
        <x:v>過剰な遊離亜硫酸は刺激的に感じられ、香りの評価を妨げることがある。</x:v>
      </x:c>
      <x:c r="M96" s="42" t="str">
        <x:v>誤り。 シラーなどの品種・醸造由来の特徴に近い。</x:v>
      </x:c>
      <x:c r="N96" s="42" t="str">
        <x:v>誤り。 コルク汚染に関連する。</x:v>
      </x:c>
      <x:c r="O96" s="42" t="str">
        <x:v>誤り。 オーク由来の特徴に近い。</x:v>
      </x:c>
      <x:c r="P96" s="42" t="str">
        <x:v>正しい。 過剰な遊離亜硫酸は刺激的に感じられ、香りの評価を妨げることがある。</x:v>
      </x:c>
      <x:c r="Q96" s="42" t="str">
        <x:v>欠陥</x:v>
      </x:c>
      <x:c r="R96" s="42" t="str">
        <x:v>高濃度の亜硫酸</x:v>
      </x:c>
      <x:c r="S96" s="42" t="str">
        <x:v>全般</x:v>
      </x:c>
      <x:c r="T96" s="42" t="str"/>
      <x:c r="U96" s="42" t="str"/>
      <x:c r="V96" s="42" t="str"/>
      <x:c r="W96" s="42" t="str">
        <x:v>知識確認</x:v>
      </x:c>
      <x:c r="X96" s="53" t="str">
        <x:v>D2</x:v>
      </x:c>
      <x:c r="Y96" s="42" t="str">
        <x:v>過剰SO2=TCA; 過剰SO2=オーク香</x:v>
      </x:c>
      <x:c r="Z96" s="53" t="str">
        <x:v>N</x:v>
      </x:c>
      <x:c r="AA96" s="42" t="str"/>
      <x:c r="AB96" s="42" t="str">
        <x:v>オリジナル</x:v>
      </x:c>
      <x:c r="AC96" s="42" t="str">
        <x:v>公式Specificationの範囲＋ユーザー作成コーパスの論点を参考に独自作成</x:v>
      </x:c>
      <x:c r="AD96" s="53" t="str">
        <x:v>未レビュー</x:v>
      </x:c>
      <x:c r="AE96" s="53" t="str"/>
      <x:c r="AF96" s="53" t="str"/>
      <x:c r="AG96" s="43" t="str"/>
    </x:row>
    <x:row r="97" ht="84" customHeight="1">
      <x:c r="A97" s="41" t="str">
        <x:v>LO5-016</x:v>
      </x:c>
      <x:c r="B97" s="53" t="str">
        <x:v>LO5</x:v>
      </x:c>
      <x:c r="C97" s="42" t="str">
        <x:v>情報提供・推奨・保管・サービス</x:v>
      </x:c>
      <x:c r="D97" s="42" t="str">
        <x:v>甘い料理との組み合わせ</x:v>
      </x:c>
      <x:c r="E97" s="42" t="str">
        <x:v>甘いデザートに合わせるワインを選ぶ際の基本原則として最も適切なものはどれか。</x:v>
      </x:c>
      <x:c r="F97" s="42" t="str">
        <x:v>ワインは料理と同程度か、それ以上に甘いものを選ぶ</x:v>
      </x:c>
      <x:c r="G97" s="42" t="str">
        <x:v>辛口で高タンニンの赤ワインを選び、料理の甘味を相殺する</x:v>
      </x:c>
      <x:c r="H97" s="42" t="str">
        <x:v>料理より甘味の低いワインを選び、後味を軽くする</x:v>
      </x:c>
      <x:c r="I97" s="42" t="str">
        <x:v>甘味を避けるため、ワインではなく水だけにする</x:v>
      </x:c>
      <x:c r="J97" s="53" t="str">
        <x:v>A</x:v>
      </x:c>
      <x:c r="K97" s="42" t="str">
        <x:v>ワインは料理と同程度か、それ以上に甘いものを選ぶ</x:v>
      </x:c>
      <x:c r="L97" s="42" t="str">
        <x:v>料理の方が甘いとワインが薄く、酸っぱく感じられやすい。</x:v>
      </x:c>
      <x:c r="M97" s="42" t="str">
        <x:v>正しい。 料理の方が甘いとワインが薄く、酸っぱく感じられやすい。</x:v>
      </x:c>
      <x:c r="N97" s="42" t="str">
        <x:v>誤り。 甘い料理はワインのタンニンや酸、アルコールを強く感じさせることがある。</x:v>
      </x:c>
      <x:c r="O97" s="42" t="str">
        <x:v>誤り。 料理の方が甘いとワインが薄く、酸っぱく感じられやすい。</x:v>
      </x:c>
      <x:c r="P97" s="42" t="str">
        <x:v>誤り。 水を選ぶことは可能だが、ワインの組み合わせ原則への回答ではない。</x:v>
      </x:c>
      <x:c r="Q97" s="42" t="str">
        <x:v>料理との組み合わせ</x:v>
      </x:c>
      <x:c r="R97" s="42" t="str">
        <x:v>甘味</x:v>
      </x:c>
      <x:c r="S97" s="42" t="str">
        <x:v>甘口ワイン</x:v>
      </x:c>
      <x:c r="T97" s="42" t="str"/>
      <x:c r="U97" s="42" t="str"/>
      <x:c r="V97" s="42" t="str"/>
      <x:c r="W97" s="42" t="str">
        <x:v>適用</x:v>
      </x:c>
      <x:c r="X97" s="53" t="str">
        <x:v>D1</x:v>
      </x:c>
      <x:c r="Y97" s="42" t="str">
        <x:v>甘い料理=辛口高タンニン; ワインは料理より甘くしない</x:v>
      </x:c>
      <x:c r="Z97" s="53" t="str">
        <x:v>N</x:v>
      </x:c>
      <x:c r="AA97" s="42" t="str"/>
      <x:c r="AB97" s="42" t="str">
        <x:v>オリジナル</x:v>
      </x:c>
      <x:c r="AC97" s="42" t="str">
        <x:v>公式Specificationの範囲＋ユーザー作成コーパスの論点を参考に独自作成</x:v>
      </x:c>
      <x:c r="AD97" s="53" t="str">
        <x:v>未レビュー</x:v>
      </x:c>
      <x:c r="AE97" s="53" t="str"/>
      <x:c r="AF97" s="53" t="str"/>
      <x:c r="AG97" s="43" t="str"/>
    </x:row>
    <x:row r="98" ht="84" customHeight="1">
      <x:c r="A98" s="41" t="str">
        <x:v>LO5-017</x:v>
      </x:c>
      <x:c r="B98" s="53" t="str">
        <x:v>LO5</x:v>
      </x:c>
      <x:c r="C98" s="42" t="str">
        <x:v>情報提供・推奨・保管・サービス</x:v>
      </x:c>
      <x:c r="D98" s="42" t="str">
        <x:v>酸味のある料理</x:v>
      </x:c>
      <x:c r="E98" s="42" t="str">
        <x:v>酸味の強い料理にワインを合わせる場合、高い酸を持つワインが適しやすい理由はどれか。</x:v>
      </x:c>
      <x:c r="F98" s="42" t="str">
        <x:v>料理の酸がワインのアルコールを化学的に除去するため</x:v>
      </x:c>
      <x:c r="G98" s="42" t="str">
        <x:v>料理の酸に負けず、ワインが平坦でぼやけて感じられるのを防ぎやすいため</x:v>
      </x:c>
      <x:c r="H98" s="42" t="str">
        <x:v>高い酸を持つワインは残糖も高く、料理の酸味を甘味で和らげるため</x:v>
      </x:c>
      <x:c r="I98" s="42" t="str">
        <x:v>ワインの酸がタンニンと反応し、苦味を除去するため</x:v>
      </x:c>
      <x:c r="J98" s="53" t="str">
        <x:v>B</x:v>
      </x:c>
      <x:c r="K98" s="42" t="str">
        <x:v>料理の酸に負けず、ワインが平坦でぼやけて感じられるのを防ぎやすいため</x:v>
      </x:c>
      <x:c r="L98" s="42" t="str">
        <x:v>料理の酸はワインの酸を相対的に弱く感じさせるため、十分な酸のあるワインがバランスを保ちやすい。</x:v>
      </x:c>
      <x:c r="M98" s="42" t="str">
        <x:v>誤り。 料理と合わせてもアルコールが化学的に除去されるわけではない。</x:v>
      </x:c>
      <x:c r="N98" s="42" t="str">
        <x:v>正しい。 料理の酸はワインの酸を相対的に弱く感じさせるため、十分な酸のあるワインがバランスを保ちやすい。</x:v>
      </x:c>
      <x:c r="O98" s="42" t="str">
        <x:v>誤り。 高酸でも辛口ワインは多く、相性の主因はワインの酸が料理に負けにくいことである。</x:v>
      </x:c>
      <x:c r="P98" s="42" t="str">
        <x:v>誤り。 酸とタンニンは別の構造要素で、酸味のある料理との相性を説明しない。</x:v>
      </x:c>
      <x:c r="Q98" s="42" t="str">
        <x:v>料理との組み合わせ</x:v>
      </x:c>
      <x:c r="R98" s="42" t="str">
        <x:v>酸味</x:v>
      </x:c>
      <x:c r="S98" s="42" t="str">
        <x:v>全般</x:v>
      </x:c>
      <x:c r="T98" s="42" t="str"/>
      <x:c r="U98" s="42" t="str"/>
      <x:c r="V98" s="42" t="str"/>
      <x:c r="W98" s="42" t="str">
        <x:v>因果説明</x:v>
      </x:c>
      <x:c r="X98" s="53" t="str">
        <x:v>D2</x:v>
      </x:c>
      <x:c r="Y98" s="42" t="str">
        <x:v>料理の酸=脱アルコール; 高酸=甘口</x:v>
      </x:c>
      <x:c r="Z98" s="53" t="str">
        <x:v>N</x:v>
      </x:c>
      <x:c r="AA98" s="42" t="str"/>
      <x:c r="AB98" s="42" t="str">
        <x:v>オリジナル</x:v>
      </x:c>
      <x:c r="AC98" s="42" t="str">
        <x:v>公式Specificationの範囲＋ユーザー作成コーパスの論点を参考に独自作成</x:v>
      </x:c>
      <x:c r="AD98" s="53" t="str">
        <x:v>未レビュー</x:v>
      </x:c>
      <x:c r="AE98" s="53" t="str"/>
      <x:c r="AF98" s="53" t="str"/>
      <x:c r="AG98" s="43" t="str"/>
    </x:row>
    <x:row r="99" ht="84" customHeight="1">
      <x:c r="A99" s="41" t="str">
        <x:v>LO5-018</x:v>
      </x:c>
      <x:c r="B99" s="53" t="str">
        <x:v>LO5</x:v>
      </x:c>
      <x:c r="C99" s="42" t="str">
        <x:v>情報提供・推奨・保管・サービス</x:v>
      </x:c>
      <x:c r="D99" s="42" t="str">
        <x:v>トウガラシの辛味</x:v>
      </x:c>
      <x:c r="E99" s="42" t="str">
        <x:v>トウガラシの辛味が強い料理に、高アルコールで高タンニンの赤ワインを合わせた場合に起こりやすいことはどれか。</x:v>
      </x:c>
      <x:c r="F99" s="42" t="str">
        <x:v>アルコールがカプサイシンを包み込み、辛味を弱める</x:v>
      </x:c>
      <x:c r="G99" s="42" t="str">
        <x:v>料理の刺激によってワイン中で二次発酵が起こり、泡が生じる</x:v>
      </x:c>
      <x:c r="H99" s="42" t="str">
        <x:v>アルコールの熱感とタンニンの苦渋味が強調され、辛味も増して感じられる</x:v>
      </x:c>
      <x:c r="I99" s="42" t="str">
        <x:v>料理の辛味がワインの酸を中和し、酸味を感じなくさせる</x:v>
      </x:c>
      <x:c r="J99" s="53" t="str">
        <x:v>C</x:v>
      </x:c>
      <x:c r="K99" s="42" t="str">
        <x:v>アルコールの熱感とタンニンの苦渋味が強調され、辛味も増して感じられる</x:v>
      </x:c>
      <x:c r="L99" s="42" t="str">
        <x:v>辛味はアルコールの刺激を強め、タンニンもより厳しく感じられやすい。</x:v>
      </x:c>
      <x:c r="M99" s="42" t="str">
        <x:v>誤り。 高アルコールは熱感を強め、辛味を増して感じさせることがある。</x:v>
      </x:c>
      <x:c r="N99" s="42" t="str">
        <x:v>誤り。 料理との組み合わせで発泡性は生じない。</x:v>
      </x:c>
      <x:c r="O99" s="42" t="str">
        <x:v>正しい。 辛味はアルコールの刺激を強め、タンニンもより厳しく感じられやすい。</x:v>
      </x:c>
      <x:c r="P99" s="42" t="str">
        <x:v>誤り。 ワインの酸が化学的に消失するわけではない。</x:v>
      </x:c>
      <x:c r="Q99" s="42" t="str">
        <x:v>料理との組み合わせ</x:v>
      </x:c>
      <x:c r="R99" s="42" t="str">
        <x:v>トウガラシの辛味</x:v>
      </x:c>
      <x:c r="S99" s="42" t="str">
        <x:v>赤非発泡性ワイン</x:v>
      </x:c>
      <x:c r="T99" s="42" t="str"/>
      <x:c r="U99" s="42" t="str"/>
      <x:c r="V99" s="42" t="str"/>
      <x:c r="W99" s="42" t="str">
        <x:v>適用</x:v>
      </x:c>
      <x:c r="X99" s="53" t="str">
        <x:v>D2</x:v>
      </x:c>
      <x:c r="Y99" s="42" t="str">
        <x:v>高アルコール=辛味軽減; 組み合わせ=発泡</x:v>
      </x:c>
      <x:c r="Z99" s="53" t="str">
        <x:v>N</x:v>
      </x:c>
      <x:c r="AA99" s="42" t="str"/>
      <x:c r="AB99" s="42" t="str">
        <x:v>オリジナル</x:v>
      </x:c>
      <x:c r="AC99" s="42" t="str">
        <x:v>公式Specificationの範囲＋ユーザー作成コーパスの論点を参考に独自作成</x:v>
      </x:c>
      <x:c r="AD99" s="53" t="str">
        <x:v>未レビュー</x:v>
      </x:c>
      <x:c r="AE99" s="53" t="str"/>
      <x:c r="AF99" s="53" t="str"/>
      <x:c r="AG99" s="43" t="str"/>
    </x:row>
    <x:row r="100" ht="84" customHeight="1">
      <x:c r="A100" s="41" t="str">
        <x:v>LO5-019</x:v>
      </x:c>
      <x:c r="B100" s="53" t="str">
        <x:v>LO5</x:v>
      </x:c>
      <x:c r="C100" s="42" t="str">
        <x:v>情報提供・推奨・保管・サービス</x:v>
      </x:c>
      <x:c r="D100" s="42" t="str">
        <x:v>うま味</x:v>
      </x:c>
      <x:c r="E100" s="42" t="str">
        <x:v>うま味の強い料理がワインに与えやすい知覚上の影響はどれか。</x:v>
      </x:c>
      <x:c r="F100" s="42" t="str">
        <x:v>ワインをより甘く、果実味豊かに感じさせる</x:v>
      </x:c>
      <x:c r="G100" s="42" t="str">
        <x:v>ワインのアルコール度を実際に下げる</x:v>
      </x:c>
      <x:c r="H100" s="42" t="str">
        <x:v>料理のうま味が酸化やコルク汚染の香りを弱める</x:v>
      </x:c>
      <x:c r="I100" s="42" t="str">
        <x:v>ワインの苦味、酸味、アルコールの刺激を強め、果実味を弱く感じさせることがある</x:v>
      </x:c>
      <x:c r="J100" s="53" t="str">
        <x:v>D</x:v>
      </x:c>
      <x:c r="K100" s="42" t="str">
        <x:v>ワインの苦味、酸味、アルコールの刺激を強め、果実味を弱く感じさせることがある</x:v>
      </x:c>
      <x:c r="L100" s="42" t="str">
        <x:v>うま味の強い料理では、低タンニンで果実味のあるワインなどが合わせやすい場合がある。</x:v>
      </x:c>
      <x:c r="M100" s="42" t="str">
        <x:v>誤り。 うま味は一般にワインの甘味や果実味を弱く感じさせる。</x:v>
      </x:c>
      <x:c r="N100" s="42" t="str">
        <x:v>誤り。 知覚は変化しても実際のアルコール度は変わらない。</x:v>
      </x:c>
      <x:c r="O100" s="42" t="str">
        <x:v>誤り。 料理との組み合わせでワインの欠陥は除去されない。</x:v>
      </x:c>
      <x:c r="P100" s="42" t="str">
        <x:v>正しい。 うま味の強い料理では、低タンニンで果実味のあるワインなどが合わせやすい場合がある。</x:v>
      </x:c>
      <x:c r="Q100" s="42" t="str">
        <x:v>料理との組み合わせ</x:v>
      </x:c>
      <x:c r="R100" s="42" t="str">
        <x:v>うま味</x:v>
      </x:c>
      <x:c r="S100" s="42" t="str">
        <x:v>全般</x:v>
      </x:c>
      <x:c r="T100" s="42" t="str"/>
      <x:c r="U100" s="42" t="str"/>
      <x:c r="V100" s="42" t="str"/>
      <x:c r="W100" s="42" t="str">
        <x:v>因果説明</x:v>
      </x:c>
      <x:c r="X100" s="53" t="str">
        <x:v>D3</x:v>
      </x:c>
      <x:c r="Y100" s="42" t="str">
        <x:v>うま味=果実味増加; うま味=欠陥除去</x:v>
      </x:c>
      <x:c r="Z100" s="53" t="str">
        <x:v>N</x:v>
      </x:c>
      <x:c r="AA100" s="42" t="str"/>
      <x:c r="AB100" s="42" t="str">
        <x:v>オリジナル</x:v>
      </x:c>
      <x:c r="AC100" s="42" t="str">
        <x:v>公式Specificationの範囲＋ユーザー作成コーパスの論点を参考に独自作成</x:v>
      </x:c>
      <x:c r="AD100" s="53" t="str">
        <x:v>未レビュー</x:v>
      </x:c>
      <x:c r="AE100" s="53" t="str"/>
      <x:c r="AF100" s="53" t="str"/>
      <x:c r="AG100" s="43" t="str"/>
    </x:row>
    <x:row r="101" ht="84" customHeight="1">
      <x:c r="A101" s="44" t="str">
        <x:v>LO5-020</x:v>
      </x:c>
      <x:c r="B101" s="54" t="str">
        <x:v>LO5</x:v>
      </x:c>
      <x:c r="C101" s="45" t="str">
        <x:v>情報提供・推奨・保管・サービス</x:v>
      </x:c>
      <x:c r="D101" s="45" t="str">
        <x:v>責任ある飲酒</x:v>
      </x:c>
      <x:c r="E101" s="45" t="str">
        <x:v>ワインの過剰摂取に関する情報提供として最も適切なものはどれか。</x:v>
      </x:c>
      <x:c r="F101" s="45" t="str">
        <x:v>短期的な判断力・協調運動の低下や事故リスク、長期的な健康問題につながり得る</x:v>
      </x:c>
      <x:c r="G101" s="45" t="str">
        <x:v>ワインは食品なので、量に関係なく健康上のリスクはない</x:v>
      </x:c>
      <x:c r="H101" s="45" t="str">
        <x:v>高品質ワインであれば酩酊しない</x:v>
      </x:c>
      <x:c r="I101" s="45" t="str">
        <x:v>水を一緒に飲めば、どれだけ飲んでも安全である</x:v>
      </x:c>
      <x:c r="J101" s="54" t="str">
        <x:v>A</x:v>
      </x:c>
      <x:c r="K101" s="45" t="str">
        <x:v>短期的な判断力・協調運動の低下や事故リスク、長期的な健康問題につながり得る</x:v>
      </x:c>
      <x:c r="L101" s="45" t="str">
        <x:v>過剰摂取には個人の健康だけでなく、事故や社会的影響も伴い得る。</x:v>
      </x:c>
      <x:c r="M101" s="45" t="str">
        <x:v>正しい。 過剰摂取には個人の健康だけでなく、事故や社会的影響も伴い得る。</x:v>
      </x:c>
      <x:c r="N101" s="45" t="str">
        <x:v>誤り。 アルコールの過剰摂取には明確なリスクがある。</x:v>
      </x:c>
      <x:c r="O101" s="45" t="str">
        <x:v>誤り。 品質にかかわらずアルコールを含み、摂取量に応じて影響する。</x:v>
      </x:c>
      <x:c r="P101" s="45" t="str">
        <x:v>誤り。 水分補給は有用でも、摂取アルコール量のリスクをなくさない。</x:v>
      </x:c>
      <x:c r="Q101" s="45" t="str">
        <x:v>社会的・健康上の問題</x:v>
      </x:c>
      <x:c r="R101" s="45" t="str">
        <x:v>過剰摂取</x:v>
      </x:c>
      <x:c r="S101" s="45" t="str">
        <x:v>全般</x:v>
      </x:c>
      <x:c r="T101" s="45" t="str"/>
      <x:c r="U101" s="45" t="str"/>
      <x:c r="V101" s="45" t="str"/>
      <x:c r="W101" s="45" t="str">
        <x:v>知識確認</x:v>
      </x:c>
      <x:c r="X101" s="54" t="str">
        <x:v>D1</x:v>
      </x:c>
      <x:c r="Y101" s="45" t="str">
        <x:v>高品質ワイン=酩酊なし; 水でリスク消失</x:v>
      </x:c>
      <x:c r="Z101" s="54" t="str">
        <x:v>N</x:v>
      </x:c>
      <x:c r="AA101" s="45" t="str"/>
      <x:c r="AB101" s="45" t="str">
        <x:v>オリジナル</x:v>
      </x:c>
      <x:c r="AC101" s="45" t="str">
        <x:v>公式Specificationの範囲＋ユーザー作成コーパスの論点を参考に独自作成</x:v>
      </x:c>
      <x:c r="AD101" s="54" t="str">
        <x:v>未レビュー</x:v>
      </x:c>
      <x:c r="AE101" s="54" t="str"/>
      <x:c r="AF101" s="54" t="str"/>
      <x:c r="AG101" s="46" t="str"/>
    </x:row>
    <x:row r="102" ht="84" customHeight="1">
      <x:c r="A102" s="161" t="str">
        <x:v>LO1-021</x:v>
      </x:c>
      <x:c r="B102" s="170" t="str">
        <x:v>LO1</x:v>
      </x:c>
      <x:c r="C102" s="162" t="str">
        <x:v>ブドウ畑・ワイナリーの自然要因と人的要因</x:v>
      </x:c>
      <x:c r="D102" s="162" t="str">
        <x:v>クローン選択</x:v>
      </x:c>
      <x:c r="E102" s="162" t="str">
        <x:v>特定のブドウ品種から一つのクローンを選んで植える主な利点はどれか。</x:v>
      </x:c>
      <x:c r="F102" s="162" t="str">
        <x:v>成熟時期や収量など、望ましい性質を比較的均一に得やすい</x:v>
      </x:c>
      <x:c r="G102" s="162" t="str">
        <x:v>畑のすべての病害を農薬なしで防げる</x:v>
      </x:c>
      <x:c r="H102" s="162" t="str">
        <x:v>毎年の天候差を受けず、同じ品質のワインになる</x:v>
      </x:c>
      <x:c r="I102" s="162" t="str">
        <x:v>異なる品種を交配せずに、新しい品種を作れる</x:v>
      </x:c>
      <x:c r="J102" s="170" t="str">
        <x:v>A</x:v>
      </x:c>
      <x:c r="K102" s="162" t="str">
        <x:v>成熟時期や収量など、望ましい性質を比較的均一に得やすい</x:v>
      </x:c>
      <x:c r="L102" s="162" t="str">
        <x:v>クローンは一つの母株から栄養繁殖されるため、選択された性質が比較的そろいやすく、栽培管理や収穫判断を行いやすい。</x:v>
      </x:c>
      <x:c r="M102" s="162" t="str">
        <x:v>正しい。 クローンは一つの母株から栄養繁殖されるため、選択された性質が比較的そろいやすく、栽培管理や収穫判断を行いやすい。</x:v>
      </x:c>
      <x:c r="N102" s="162" t="str">
        <x:v>誤り。 クローン選択だけで病害を完全に防ぐことはできず、健全な植栽材料と適切な病害管理が必要である。</x:v>
      </x:c>
      <x:c r="O102" s="162" t="str">
        <x:v>誤り。 クローンが同じでも天候、土壌、収量、栽培・醸造判断により品質とスタイルは変化する。</x:v>
      </x:c>
      <x:c r="P102" s="162" t="str">
        <x:v>誤り。 クローンは同一品種内の栄養繁殖系統であり、新しい品種を生み出す交配とは異なる。</x:v>
      </x:c>
      <x:c r="Q102" s="162" t="str">
        <x:v>自然要因</x:v>
      </x:c>
      <x:c r="R102" s="162" t="str">
        <x:v>ブドウ樹・クローン</x:v>
      </x:c>
      <x:c r="S102" s="162" t="str">
        <x:v>非発泡性ワイン</x:v>
      </x:c>
      <x:c r="T102" s="162"/>
      <x:c r="U102" s="162"/>
      <x:c r="V102" s="162"/>
      <x:c r="W102" s="162" t="str">
        <x:v>知識確認</x:v>
      </x:c>
      <x:c r="X102" s="170" t="str">
        <x:v>D1</x:v>
      </x:c>
      <x:c r="Y102" s="162" t="str">
        <x:v>クローンは新品種; クローンで病害とヴィンテージ差を完全に排除</x:v>
      </x:c>
      <x:c r="Z102" s="170" t="str">
        <x:v>N</x:v>
      </x:c>
      <x:c r="AA102" s="162"/>
      <x:c r="AB102" s="162" t="str">
        <x:v>オリジナル</x:v>
      </x:c>
      <x:c r="AC102" s="162" t="str">
        <x:v>公式Specificationの範囲＋ユーザー作成コーパスの論点と問題設計例を参考に独自作成</x:v>
      </x:c>
      <x:c r="AD102" s="170" t="str">
        <x:v>未レビュー</x:v>
      </x:c>
      <x:c r="AE102" s="170"/>
      <x:c r="AF102" s="170"/>
      <x:c r="AG102" s="163"/>
    </x:row>
    <x:row r="103" ht="84" customHeight="1">
      <x:c r="A103" s="164" t="str">
        <x:v>LO1-022</x:v>
      </x:c>
      <x:c r="B103" s="171" t="str">
        <x:v>LO1</x:v>
      </x:c>
      <x:c r="C103" s="165" t="str">
        <x:v>ブドウ畑・ワイナリーの自然要因と人的要因</x:v>
      </x:c>
      <x:c r="D103" s="165" t="str">
        <x:v>交配品種と交雑種</x:v>
      </x:c>
      <x:c r="E103" s="165" t="str">
        <x:v>交配品種と交雑種の違いを最も適切に説明しているものはどれか。</x:v>
      </x:c>
      <x:c r="F103" s="165" t="str">
        <x:v>交配品種は接ぎ木で作り、交雑種は剪定で作る</x:v>
      </x:c>
      <x:c r="G103" s="165" t="str">
        <x:v>交配品種は同じ種の品種同士、交雑種は異なるブドウ種を含む親同士から生まれる</x:v>
      </x:c>
      <x:c r="H103" s="165" t="str">
        <x:v>交配品種は白ブドウだけ、交雑種は黒ブドウだけである</x:v>
      </x:c>
      <x:c r="I103" s="165" t="str">
        <x:v>交配品種は無性繁殖、交雑種は必ず種子から毎年育てる</x:v>
      </x:c>
      <x:c r="J103" s="171" t="str">
        <x:v>B</x:v>
      </x:c>
      <x:c r="K103" s="165" t="str">
        <x:v>交配品種は同じ種の品種同士、交雑種は異なるブドウ種を含む親同士から生まれる</x:v>
      </x:c>
      <x:c r="L103" s="165" t="str">
        <x:v>一般に交配品種はVitis vinifera同士の交配、交雑種はVitis viniferaと他のブドウ種など、異なる種を含む交配から生まれる。</x:v>
      </x:c>
      <x:c r="M103" s="165" t="str">
        <x:v>誤り。 接ぎ木と剪定は栽培技術であり、品種の遺伝的な成立方法を区別する定義ではない。</x:v>
      </x:c>
      <x:c r="N103" s="165" t="str">
        <x:v>正しい。 一般に交配品種はVitis vinifera同士の交配、交雑種はVitis viniferaと他のブドウ種など、異なる種を含む交配から生まれる。</x:v>
      </x:c>
      <x:c r="O103" s="165" t="str">
        <x:v>誤り。 果皮色は交配品種と交雑種を分ける基準ではなく、どちらにもさまざまな果皮色がある。</x:v>
      </x:c>
      <x:c r="P103" s="165" t="str">
        <x:v>誤り。 成立時には交配を行うが、選抜された品種は通常ほかのブドウ品種と同様に栄養繁殖される。</x:v>
      </x:c>
      <x:c r="Q103" s="165" t="str">
        <x:v>自然要因</x:v>
      </x:c>
      <x:c r="R103" s="165" t="str">
        <x:v>ブドウ樹・品種</x:v>
      </x:c>
      <x:c r="S103" s="165" t="str">
        <x:v>非発泡性ワイン</x:v>
      </x:c>
      <x:c r="T103" s="165"/>
      <x:c r="U103" s="165"/>
      <x:c r="V103" s="165"/>
      <x:c r="W103" s="165" t="str">
        <x:v>知識確認</x:v>
      </x:c>
      <x:c r="X103" s="171" t="str">
        <x:v>D2</x:v>
      </x:c>
      <x:c r="Y103" s="165" t="str">
        <x:v>交配と接ぎ木の混同; 果皮色で分類</x:v>
      </x:c>
      <x:c r="Z103" s="171" t="str">
        <x:v>N</x:v>
      </x:c>
      <x:c r="AA103" s="165"/>
      <x:c r="AB103" s="165" t="str">
        <x:v>オリジナル</x:v>
      </x:c>
      <x:c r="AC103" s="165" t="str">
        <x:v>公式Specificationの範囲＋ユーザー作成コーパスの論点と問題設計例を参考に独自作成</x:v>
      </x:c>
      <x:c r="AD103" s="171" t="str">
        <x:v>未レビュー</x:v>
      </x:c>
      <x:c r="AE103" s="171"/>
      <x:c r="AF103" s="171"/>
      <x:c r="AG103" s="166"/>
    </x:row>
    <x:row r="104" ht="84" customHeight="1">
      <x:c r="A104" s="164" t="str">
        <x:v>LO1-023</x:v>
      </x:c>
      <x:c r="B104" s="171" t="str">
        <x:v>LO1</x:v>
      </x:c>
      <x:c r="C104" s="165" t="str">
        <x:v>ブドウ畑・ワイナリーの自然要因と人的要因</x:v>
      </x:c>
      <x:c r="D104" s="165" t="str">
        <x:v>開花と結実</x:v>
      </x:c>
      <x:c r="E104" s="165" t="str">
        <x:v>開花期に低温と強い雨が続いた場合、収量が低下しやすい主な理由はどれか。</x:v>
      </x:c>
      <x:c r="F104" s="165" t="str">
        <x:v>ブドウの酸がすべて分解され、果粒が落ちるため</x:v>
      </x:c>
      <x:c r="G104" s="165" t="str">
        <x:v>果皮の色素が過剰に生成され、果房が重くなるため</x:v>
      </x:c>
      <x:c r="H104" s="165" t="str">
        <x:v>受粉と結実が妨げられ、果房につく果粒数が減るため</x:v>
      </x:c>
      <x:c r="I104" s="165" t="str">
        <x:v>根が休眠に戻り、翌年まで水を吸収しなくなるため</x:v>
      </x:c>
      <x:c r="J104" s="171" t="str">
        <x:v>C</x:v>
      </x:c>
      <x:c r="K104" s="165" t="str">
        <x:v>受粉と結実が妨げられ、果房につく果粒数が減るため</x:v>
      </x:c>
      <x:c r="L104" s="165" t="str">
        <x:v>開花期の低温、雨、強風は受粉と結実を妨げ、花振るいや不均一な結実を招き、最終的な収量を減らすことがある。</x:v>
      </x:c>
      <x:c r="M104" s="165" t="str">
        <x:v>誤り。 開花期の主な問題は受粉・結実であり、酸の分解が果粒脱落の直接原因ではない。</x:v>
      </x:c>
      <x:c r="N104" s="165" t="str">
        <x:v>誤り。 果皮色素の発達は主に成熟期に進み、開花期の収量低下を説明しない。</x:v>
      </x:c>
      <x:c r="O104" s="165" t="str">
        <x:v>正しい。 開花期の低温、雨、強風は受粉と結実を妨げ、花振るいや不均一な結実を招き、最終的な収量を減らすことがある。</x:v>
      </x:c>
      <x:c r="P104" s="165" t="str">
        <x:v>誤り。 開花期の悪天候で根が完全な休眠状態へ戻るわけではない。</x:v>
      </x:c>
      <x:c r="Q104" s="165" t="str">
        <x:v>自然要因</x:v>
      </x:c>
      <x:c r="R104" s="165" t="str">
        <x:v>生育サイクル・開花結実</x:v>
      </x:c>
      <x:c r="S104" s="165" t="str">
        <x:v>非発泡性ワイン</x:v>
      </x:c>
      <x:c r="T104" s="165"/>
      <x:c r="U104" s="165"/>
      <x:c r="V104" s="165"/>
      <x:c r="W104" s="165" t="str">
        <x:v>因果説明</x:v>
      </x:c>
      <x:c r="X104" s="171" t="str">
        <x:v>D2</x:v>
      </x:c>
      <x:c r="Y104" s="165" t="str">
        <x:v>開花期と成熟期の混同; 酸の減少が結実を決める</x:v>
      </x:c>
      <x:c r="Z104" s="171" t="str">
        <x:v>N</x:v>
      </x:c>
      <x:c r="AA104" s="165"/>
      <x:c r="AB104" s="165" t="str">
        <x:v>オリジナル</x:v>
      </x:c>
      <x:c r="AC104" s="165" t="str">
        <x:v>公式Specificationの範囲＋ユーザー作成コーパスの論点と問題設計例を参考に独自作成</x:v>
      </x:c>
      <x:c r="AD104" s="171" t="str">
        <x:v>未レビュー</x:v>
      </x:c>
      <x:c r="AE104" s="171"/>
      <x:c r="AF104" s="171"/>
      <x:c r="AG104" s="166"/>
    </x:row>
    <x:row r="105" ht="84" customHeight="1">
      <x:c r="A105" s="164" t="str">
        <x:v>LO1-024</x:v>
      </x:c>
      <x:c r="B105" s="171" t="str">
        <x:v>LO1</x:v>
      </x:c>
      <x:c r="C105" s="165" t="str">
        <x:v>ブドウ畑・ワイナリーの自然要因と人的要因</x:v>
      </x:c>
      <x:c r="D105" s="165" t="str">
        <x:v>ヴェレゾン</x:v>
      </x:c>
      <x:c r="E105" s="165" t="str">
        <x:v>ヴェレゾン（着色期）の開始を示す変化として最も適切なものはどれか。</x:v>
      </x:c>
      <x:c r="F105" s="165" t="str">
        <x:v>芽が開き、新梢と最初の葉が伸び始める</x:v>
      </x:c>
      <x:c r="G105" s="165" t="str">
        <x:v>花が咲き、受粉後に小さな果粒が形成される</x:v>
      </x:c>
      <x:c r="H105" s="165" t="str">
        <x:v>葉が落ち、ブドウ樹が冬の休眠へ入る</x:v>
      </x:c>
      <x:c r="I105" s="165" t="str">
        <x:v>果粒が柔らかくなり、糖が増え始め、黒ブドウでは果皮が着色する</x:v>
      </x:c>
      <x:c r="J105" s="171" t="str">
        <x:v>D</x:v>
      </x:c>
      <x:c r="K105" s="165" t="str">
        <x:v>果粒が柔らかくなり、糖が増え始め、黒ブドウでは果皮が着色する</x:v>
      </x:c>
      <x:c r="L105" s="165" t="str">
        <x:v>ヴェレゾンは成熟の開始を示し、果粒の軟化、糖の蓄積、酸の減少、黒ブドウの着色などが進み始める。</x:v>
      </x:c>
      <x:c r="M105" s="165" t="str">
        <x:v>誤り。 これは萌芽の説明であり、ヴェレゾンよりかなり前の生育段階である。</x:v>
      </x:c>
      <x:c r="N105" s="165" t="str">
        <x:v>誤り。 これは開花と結実の段階であり、ヴェレゾンの説明ではない。</x:v>
      </x:c>
      <x:c r="O105" s="165" t="str">
        <x:v>誤り。 これは収穫後から冬に向かう段階であり、成熟開始を示すヴェレゾンとは異なる。</x:v>
      </x:c>
      <x:c r="P105" s="165" t="str">
        <x:v>正しい。 ヴェレゾンは成熟の開始を示し、果粒の軟化、糖の蓄積、酸の減少、黒ブドウの着色などが進み始める。</x:v>
      </x:c>
      <x:c r="Q105" s="165" t="str">
        <x:v>自然要因</x:v>
      </x:c>
      <x:c r="R105" s="165" t="str">
        <x:v>生育サイクル・ヴェレゾン</x:v>
      </x:c>
      <x:c r="S105" s="165" t="str">
        <x:v>非発泡性ワイン</x:v>
      </x:c>
      <x:c r="T105" s="165"/>
      <x:c r="U105" s="165"/>
      <x:c r="V105" s="165"/>
      <x:c r="W105" s="165" t="str">
        <x:v>知識確認</x:v>
      </x:c>
      <x:c r="X105" s="171" t="str">
        <x:v>D1</x:v>
      </x:c>
      <x:c r="Y105" s="165" t="str">
        <x:v>ヴェレゾンと萌芽・開花・休眠の混同</x:v>
      </x:c>
      <x:c r="Z105" s="171" t="str">
        <x:v>N</x:v>
      </x:c>
      <x:c r="AA105" s="165"/>
      <x:c r="AB105" s="165" t="str">
        <x:v>オリジナル</x:v>
      </x:c>
      <x:c r="AC105" s="165" t="str">
        <x:v>公式Specificationの範囲＋ユーザー作成コーパスの論点と問題設計例を参考に独自作成</x:v>
      </x:c>
      <x:c r="AD105" s="171" t="str">
        <x:v>未レビュー</x:v>
      </x:c>
      <x:c r="AE105" s="171"/>
      <x:c r="AF105" s="171"/>
      <x:c r="AG105" s="166"/>
    </x:row>
    <x:row r="106" ht="84" customHeight="1">
      <x:c r="A106" s="164" t="str">
        <x:v>LO1-025</x:v>
      </x:c>
      <x:c r="B106" s="171" t="str">
        <x:v>LO1</x:v>
      </x:c>
      <x:c r="C106" s="165" t="str">
        <x:v>ブドウ畑・ワイナリーの自然要因と人的要因</x:v>
      </x:c>
      <x:c r="D106" s="165" t="str">
        <x:v>大きな水域の影響</x:v>
      </x:c>
      <x:c r="E106" s="165" t="str">
        <x:v>大きな湖が近隣のブドウ畑の気候を穏やかにする仕組みとして最も適切なものはどれか。</x:v>
      </x:c>
      <x:c r="F106" s="165" t="str">
        <x:v>水がゆっくり温まり、ゆっくり冷えるため、周辺の極端な気温変化を和らげる</x:v>
      </x:c>
      <x:c r="G106" s="165" t="str">
        <x:v>湖面が常に太陽光を遮るため、畑の日照がなくなる</x:v>
      </x:c>
      <x:c r="H106" s="165" t="str">
        <x:v>湖水が土壌へ直接糖を供給し、成熟を進める</x:v>
      </x:c>
      <x:c r="I106" s="165" t="str">
        <x:v>湖の存在により、年間降水量と湿度が必ず低下する</x:v>
      </x:c>
      <x:c r="J106" s="171" t="str">
        <x:v>A</x:v>
      </x:c>
      <x:c r="K106" s="165" t="str">
        <x:v>水がゆっくり温まり、ゆっくり冷えるため、周辺の極端な気温変化を和らげる</x:v>
      </x:c>
      <x:c r="L106" s="165" t="str">
        <x:v>大きな水域は熱容量が大きく、季節や昼夜の温度変化を緩和し、春霜や冬の厳寒、夏の過度な高温のリスクを軽減することがある。</x:v>
      </x:c>
      <x:c r="M106" s="165" t="str">
        <x:v>正しい。 大きな水域は熱容量が大きく、季節や昼夜の温度変化を緩和し、春霜や冬の厳寒、夏の過度な高温のリスクを軽減することがある。</x:v>
      </x:c>
      <x:c r="N106" s="165" t="str">
        <x:v>誤り。 湖は日照を常に遮るものではなく、反射光が局地的に日射を補う場合もある。</x:v>
      </x:c>
      <x:c r="O106" s="165" t="str">
        <x:v>誤り。 糖はブドウ樹の光合成で作られ、湖水から土壌を通じて供給されるものではない。</x:v>
      </x:c>
      <x:c r="P106" s="165" t="str">
        <x:v>誤り。 水域は湿度や降雪を増やす場合もあり、降水量が必ず低下するとはいえない。</x:v>
      </x:c>
      <x:c r="Q106" s="165" t="str">
        <x:v>自然要因</x:v>
      </x:c>
      <x:c r="R106" s="165" t="str">
        <x:v>地域気候・水域</x:v>
      </x:c>
      <x:c r="S106" s="165" t="str">
        <x:v>非発泡性ワイン</x:v>
      </x:c>
      <x:c r="T106" s="165"/>
      <x:c r="U106" s="165"/>
      <x:c r="V106" s="165"/>
      <x:c r="W106" s="165" t="str">
        <x:v>因果説明</x:v>
      </x:c>
      <x:c r="X106" s="171" t="str">
        <x:v>D2</x:v>
      </x:c>
      <x:c r="Y106" s="165" t="str">
        <x:v>水域が糖を供給; 水域は常に乾燥化</x:v>
      </x:c>
      <x:c r="Z106" s="171" t="str">
        <x:v>N</x:v>
      </x:c>
      <x:c r="AA106" s="165"/>
      <x:c r="AB106" s="165" t="str">
        <x:v>オリジナル</x:v>
      </x:c>
      <x:c r="AC106" s="165" t="str">
        <x:v>公式Specificationの範囲＋ユーザー作成コーパスの論点と問題設計例を参考に独自作成</x:v>
      </x:c>
      <x:c r="AD106" s="171" t="str">
        <x:v>未レビュー</x:v>
      </x:c>
      <x:c r="AE106" s="171"/>
      <x:c r="AF106" s="171"/>
      <x:c r="AG106" s="166"/>
    </x:row>
    <x:row r="107" ht="84" customHeight="1">
      <x:c r="A107" s="164" t="str">
        <x:v>LO1-026</x:v>
      </x:c>
      <x:c r="B107" s="171" t="str">
        <x:v>LO1</x:v>
      </x:c>
      <x:c r="C107" s="165" t="str">
        <x:v>ブドウ畑・ワイナリーの自然要因と人的要因</x:v>
      </x:c>
      <x:c r="D107" s="165" t="str">
        <x:v>大陸性とヴィンテージ差</x:v>
      </x:c>
      <x:c r="E107" s="165" t="str">
        <x:v>大陸性気候の産地でヴィンテージ差が大きくなりやすい理由として最も適切なものはどれか。</x:v>
      </x:c>
      <x:c r="F107" s="165" t="str">
        <x:v>年間を通じて気温と降水量がほぼ一定だから</x:v>
      </x:c>
      <x:c r="G107" s="165" t="str">
        <x:v>季節間の気温差が大きく、霜、雹、降雨など年ごとの天候変動の影響を受けやすい</x:v>
      </x:c>
      <x:c r="H107" s="165" t="str">
        <x:v>すべての畑が海風を強く受け、成熟が毎年遅れるから</x:v>
      </x:c>
      <x:c r="I107" s="165" t="str">
        <x:v>土壌の種類が毎年変化するから</x:v>
      </x:c>
      <x:c r="J107" s="171" t="str">
        <x:v>B</x:v>
      </x:c>
      <x:c r="K107" s="165" t="str">
        <x:v>季節間の気温差が大きく、霜、雹、降雨など年ごとの天候変動の影響を受けやすい</x:v>
      </x:c>
      <x:c r="L107" s="165" t="str">
        <x:v>海洋による緩和が弱い大陸性地域では、冬と夏の寒暖差が大きく、極端な気象や生育期の天候が年ごとに変化しやすい。</x:v>
      </x:c>
      <x:c r="M107" s="165" t="str">
        <x:v>誤り。 年間変動が小さいという説明は、大陸性気候でヴィンテージ差が大きい理由と逆である。</x:v>
      </x:c>
      <x:c r="N107" s="165" t="str">
        <x:v>正しい。 海洋による緩和が弱い大陸性地域では、冬と夏の寒暖差が大きく、極端な気象や生育期の天候が年ごとに変化しやすい。</x:v>
      </x:c>
      <x:c r="O107" s="165" t="str">
        <x:v>誤り。 大陸性地域は一般に海洋の影響が弱く、すべての畑が強い海風を受けるわけではない。</x:v>
      </x:c>
      <x:c r="P107" s="165" t="str">
        <x:v>誤り。 土壌は通常年ごとに大きく変化せず、ヴィンテージ差の主因は天候である。</x:v>
      </x:c>
      <x:c r="Q107" s="165" t="str">
        <x:v>自然要因</x:v>
      </x:c>
      <x:c r="R107" s="165" t="str">
        <x:v>地域気候・大陸性</x:v>
      </x:c>
      <x:c r="S107" s="165" t="str">
        <x:v>非発泡性ワイン</x:v>
      </x:c>
      <x:c r="T107" s="165"/>
      <x:c r="U107" s="165"/>
      <x:c r="V107" s="165"/>
      <x:c r="W107" s="165" t="str">
        <x:v>因果説明</x:v>
      </x:c>
      <x:c r="X107" s="171" t="str">
        <x:v>D2</x:v>
      </x:c>
      <x:c r="Y107" s="165" t="str">
        <x:v>大陸性は年中一定; 土壌がヴィンテージ差を生む</x:v>
      </x:c>
      <x:c r="Z107" s="171" t="str">
        <x:v>N</x:v>
      </x:c>
      <x:c r="AA107" s="165"/>
      <x:c r="AB107" s="165" t="str">
        <x:v>オリジナル</x:v>
      </x:c>
      <x:c r="AC107" s="165" t="str">
        <x:v>公式Specificationの範囲＋ユーザー作成コーパスの論点と問題設計例を参考に独自作成</x:v>
      </x:c>
      <x:c r="AD107" s="171" t="str">
        <x:v>未レビュー</x:v>
      </x:c>
      <x:c r="AE107" s="171"/>
      <x:c r="AF107" s="171"/>
      <x:c r="AG107" s="166"/>
    </x:row>
    <x:row r="108" ht="84" customHeight="1">
      <x:c r="A108" s="164" t="str">
        <x:v>LO1-027</x:v>
      </x:c>
      <x:c r="B108" s="171" t="str">
        <x:v>LO1</x:v>
      </x:c>
      <x:c r="C108" s="165" t="str">
        <x:v>ブドウ畑・ワイナリーの自然要因と人的要因</x:v>
      </x:c>
      <x:c r="D108" s="165" t="str">
        <x:v>霧の影響</x:v>
      </x:c>
      <x:c r="E108" s="165" t="str">
        <x:v>温暖な地域の沿岸部で朝霧がブドウの成熟を遅らせる主な仕組みはどれか。</x:v>
      </x:c>
      <x:c r="F108" s="165" t="str">
        <x:v>果粒へ糖を付着させ、発酵を早める</x:v>
      </x:c>
      <x:c r="G108" s="165" t="str">
        <x:v>土壌中のすべての水を蒸発させ、樹を休眠させる</x:v>
      </x:c>
      <x:c r="H108" s="165" t="str">
        <x:v>朝の日射と気温上昇を抑え、畑が暖まる時間を短くする</x:v>
      </x:c>
      <x:c r="I108" s="165" t="str">
        <x:v>夜間の呼吸を完全に止め、酸を増加させる</x:v>
      </x:c>
      <x:c r="J108" s="171" t="str">
        <x:v>C</x:v>
      </x:c>
      <x:c r="K108" s="165" t="str">
        <x:v>朝の日射と気温上昇を抑え、畑が暖まる時間を短くする</x:v>
      </x:c>
      <x:c r="L108" s="165" t="str">
        <x:v>霧は日射を遮り、午前中の気温上昇を遅らせるため、日中の有効な成熟時間を短くし、酸の保持に寄与することがある。</x:v>
      </x:c>
      <x:c r="M108" s="165" t="str">
        <x:v>誤り。 霧が果粒へ発酵可能な糖を供給することはない。</x:v>
      </x:c>
      <x:c r="N108" s="165" t="str">
        <x:v>誤り。 霧はむしろ湿度を高めることがあり、土壌水分をすべて蒸発させるものではない。</x:v>
      </x:c>
      <x:c r="O108" s="165" t="str">
        <x:v>正しい。 霧は日射を遮り、午前中の気温上昇を遅らせるため、日中の有効な成熟時間を短くし、酸の保持に寄与することがある。</x:v>
      </x:c>
      <x:c r="P108" s="165" t="str">
        <x:v>誤り。 低温は呼吸を遅らせるが、完全に止めたり酸を新たに増やしたりするわけではない。</x:v>
      </x:c>
      <x:c r="Q108" s="165" t="str">
        <x:v>自然要因</x:v>
      </x:c>
      <x:c r="R108" s="165" t="str">
        <x:v>サイト気候・霧</x:v>
      </x:c>
      <x:c r="S108" s="165" t="str">
        <x:v>非発泡性ワイン</x:v>
      </x:c>
      <x:c r="T108" s="165"/>
      <x:c r="U108" s="165"/>
      <x:c r="V108" s="165"/>
      <x:c r="W108" s="165" t="str">
        <x:v>因果説明</x:v>
      </x:c>
      <x:c r="X108" s="171" t="str">
        <x:v>D2</x:v>
      </x:c>
      <x:c r="Y108" s="165" t="str">
        <x:v>霧が糖を供給; 霧で酸が増える</x:v>
      </x:c>
      <x:c r="Z108" s="171" t="str">
        <x:v>N</x:v>
      </x:c>
      <x:c r="AA108" s="165"/>
      <x:c r="AB108" s="165" t="str">
        <x:v>オリジナル</x:v>
      </x:c>
      <x:c r="AC108" s="165" t="str">
        <x:v>公式Specificationの範囲＋ユーザー作成コーパスの論点と問題設計例を参考に独自作成</x:v>
      </x:c>
      <x:c r="AD108" s="171" t="str">
        <x:v>未レビュー</x:v>
      </x:c>
      <x:c r="AE108" s="171"/>
      <x:c r="AF108" s="171"/>
      <x:c r="AG108" s="166"/>
    </x:row>
    <x:row r="109" ht="84" customHeight="1">
      <x:c r="A109" s="164" t="str">
        <x:v>LO1-028</x:v>
      </x:c>
      <x:c r="B109" s="171" t="str">
        <x:v>LO1</x:v>
      </x:c>
      <x:c r="C109" s="165" t="str">
        <x:v>ブドウ畑・ワイナリーの自然要因と人的要因</x:v>
      </x:c>
      <x:c r="D109" s="165" t="str">
        <x:v>土壌の排水性</x:v>
      </x:c>
      <x:c r="E109" s="165" t="str">
        <x:v>ブドウ畑で水はけの悪い土壌が問題となる主な理由はどれか。</x:v>
      </x:c>
      <x:c r="F109" s="165" t="str">
        <x:v>果粒が必ず小さくなり、糖度が極端に上がる</x:v>
      </x:c>
      <x:c r="G109" s="165" t="str">
        <x:v>土壌温度が必ず高くなり、萌芽が早まる</x:v>
      </x:c>
      <x:c r="H109" s="165" t="str">
        <x:v>フィロキセラが生存できなくなるため、台木が不要になる</x:v>
      </x:c>
      <x:c r="I109" s="165" t="str">
        <x:v>根の周囲の酸素が不足し、根の機能低下や過度な樹勢につながることがある</x:v>
      </x:c>
      <x:c r="J109" s="171" t="str">
        <x:v>D</x:v>
      </x:c>
      <x:c r="K109" s="165" t="str">
        <x:v>根の周囲の酸素が不足し、根の機能低下や過度な樹勢につながることがある</x:v>
      </x:c>
      <x:c r="L109" s="165" t="str">
        <x:v>過剰な水分は根域の空気を減らし、根の活動を妨げるほか、状況によっては過度な栄養成長や病害リスクを高める。</x:v>
      </x:c>
      <x:c r="M109" s="165" t="str">
        <x:v>誤り。 小粒化と高糖度は水不足で起こることがあり、水はけの悪さの典型的な結果ではない。</x:v>
      </x:c>
      <x:c r="N109" s="165" t="str">
        <x:v>誤り。 湿った土壌は暖まりにくい場合があり、排水不良が必ず土壌温度を上げるとはいえない。</x:v>
      </x:c>
      <x:c r="O109" s="165" t="str">
        <x:v>誤り。 排水不良はフィロキセラ対策にならず、多くの地域では抵抗性台木が引き続き必要である。</x:v>
      </x:c>
      <x:c r="P109" s="165" t="str">
        <x:v>正しい。 過剰な水分は根域の空気を減らし、根の活動を妨げるほか、状況によっては過度な栄養成長や病害リスクを高める。</x:v>
      </x:c>
      <x:c r="Q109" s="165" t="str">
        <x:v>自然要因</x:v>
      </x:c>
      <x:c r="R109" s="165" t="str">
        <x:v>土壌・排水</x:v>
      </x:c>
      <x:c r="S109" s="165" t="str">
        <x:v>非発泡性ワイン</x:v>
      </x:c>
      <x:c r="T109" s="165"/>
      <x:c r="U109" s="165"/>
      <x:c r="V109" s="165"/>
      <x:c r="W109" s="165" t="str">
        <x:v>因果説明</x:v>
      </x:c>
      <x:c r="X109" s="171" t="str">
        <x:v>D2</x:v>
      </x:c>
      <x:c r="Y109" s="165" t="str">
        <x:v>排水不良で高糖度; 排水不良がフィロキセラを防ぐ</x:v>
      </x:c>
      <x:c r="Z109" s="171" t="str">
        <x:v>N</x:v>
      </x:c>
      <x:c r="AA109" s="165"/>
      <x:c r="AB109" s="165" t="str">
        <x:v>オリジナル</x:v>
      </x:c>
      <x:c r="AC109" s="165" t="str">
        <x:v>公式Specificationの範囲＋ユーザー作成コーパスの論点と問題設計例を参考に独自作成</x:v>
      </x:c>
      <x:c r="AD109" s="171" t="str">
        <x:v>未レビュー</x:v>
      </x:c>
      <x:c r="AE109" s="171"/>
      <x:c r="AF109" s="171"/>
      <x:c r="AG109" s="166"/>
    </x:row>
    <x:row r="110" ht="84" customHeight="1">
      <x:c r="A110" s="164" t="str">
        <x:v>LO1-029</x:v>
      </x:c>
      <x:c r="B110" s="171" t="str">
        <x:v>LO1</x:v>
      </x:c>
      <x:c r="C110" s="165" t="str">
        <x:v>ブドウ畑・ワイナリーの自然要因と人的要因</x:v>
      </x:c>
      <x:c r="D110" s="165" t="str">
        <x:v>石の多い土壌</x:v>
      </x:c>
      <x:c r="E110" s="165" t="str">
        <x:v>冷涼な畑で表面の石が成熟を助ける場合、その主な効果はどれか。</x:v>
      </x:c>
      <x:c r="F110" s="165" t="str">
        <x:v>日中に熱を吸収し、夜間に放出して果房周辺を暖める</x:v>
      </x:c>
      <x:c r="G110" s="165" t="str">
        <x:v>石が光合成を行い、ブドウ樹へ糖を渡す</x:v>
      </x:c>
      <x:c r="H110" s="165" t="str">
        <x:v>石が土壌中の水分をすべて保持し、排水を止める</x:v>
      </x:c>
      <x:c r="I110" s="165" t="str">
        <x:v>石が酸を化学的に果汁へ加え、酸度を高める</x:v>
      </x:c>
      <x:c r="J110" s="171" t="str">
        <x:v>A</x:v>
      </x:c>
      <x:c r="K110" s="165" t="str">
        <x:v>日中に熱を吸収し、夜間に放出して果房周辺を暖める</x:v>
      </x:c>
      <x:c r="L110" s="165" t="str">
        <x:v>石は熱を蓄えてゆっくり放出できるため、局地的な温度を高め、冷涼な条件で成熟を補助することがある。</x:v>
      </x:c>
      <x:c r="M110" s="165" t="str">
        <x:v>正しい。 石は熱を蓄えてゆっくり放出できるため、局地的な温度を高め、冷涼な条件で成熟を補助することがある。</x:v>
      </x:c>
      <x:c r="N110" s="165" t="str">
        <x:v>誤り。 石は光合成を行わず、糖は葉で作られる。</x:v>
      </x:c>
      <x:c r="O110" s="165" t="str">
        <x:v>誤り。 石の多い土壌はしばしば排水性が高く、水分をすべて保持するという説明は適切でない。</x:v>
      </x:c>
      <x:c r="P110" s="165" t="str">
        <x:v>誤り。 果汁の酸度は主に品種、成熟度、気温などに左右され、石が直接酸を加えるわけではない。</x:v>
      </x:c>
      <x:c r="Q110" s="165" t="str">
        <x:v>自然要因</x:v>
      </x:c>
      <x:c r="R110" s="165" t="str">
        <x:v>土壌・保温</x:v>
      </x:c>
      <x:c r="S110" s="165" t="str">
        <x:v>非発泡性ワイン</x:v>
      </x:c>
      <x:c r="T110" s="165"/>
      <x:c r="U110" s="165"/>
      <x:c r="V110" s="165"/>
      <x:c r="W110" s="165" t="str">
        <x:v>因果説明</x:v>
      </x:c>
      <x:c r="X110" s="171" t="str">
        <x:v>D1</x:v>
      </x:c>
      <x:c r="Y110" s="165" t="str">
        <x:v>石が糖・酸を直接供給; 石で排水停止</x:v>
      </x:c>
      <x:c r="Z110" s="171" t="str">
        <x:v>N</x:v>
      </x:c>
      <x:c r="AA110" s="165"/>
      <x:c r="AB110" s="165" t="str">
        <x:v>オリジナル</x:v>
      </x:c>
      <x:c r="AC110" s="165" t="str">
        <x:v>公式Specificationの範囲＋ユーザー作成コーパスの論点と問題設計例を参考に独自作成</x:v>
      </x:c>
      <x:c r="AD110" s="171" t="str">
        <x:v>未レビュー</x:v>
      </x:c>
      <x:c r="AE110" s="171"/>
      <x:c r="AF110" s="171"/>
      <x:c r="AG110" s="166"/>
    </x:row>
    <x:row r="111" ht="84" customHeight="1">
      <x:c r="A111" s="164" t="str">
        <x:v>LO1-030</x:v>
      </x:c>
      <x:c r="B111" s="171" t="str">
        <x:v>LO1</x:v>
      </x:c>
      <x:c r="C111" s="165" t="str">
        <x:v>ブドウ畑・ワイナリーの自然要因と人的要因</x:v>
      </x:c>
      <x:c r="D111" s="165" t="str">
        <x:v>土壌養分と樹勢</x:v>
      </x:c>
      <x:c r="E111" s="165" t="str">
        <x:v>窒素などの養分が過剰な土壌で生じやすい問題はどれか。</x:v>
      </x:c>
      <x:c r="F111" s="165" t="str">
        <x:v>ブドウ樹が直ちに休眠し、翌年まで芽を出さない</x:v>
      </x:c>
      <x:c r="G111" s="165" t="str">
        <x:v>新梢と葉の成長が過度になり、果房の日照と通風が不足しやすい</x:v>
      </x:c>
      <x:c r="H111" s="165" t="str">
        <x:v>果粒の水分が失われ、自然に干しブドウになる</x:v>
      </x:c>
      <x:c r="I111" s="165" t="str">
        <x:v>土壌の排水性が自動的に改善し、水不足になる</x:v>
      </x:c>
      <x:c r="J111" s="171" t="str">
        <x:v>B</x:v>
      </x:c>
      <x:c r="K111" s="165" t="str">
        <x:v>新梢と葉の成長が過度になり、果房の日照と通風が不足しやすい</x:v>
      </x:c>
      <x:c r="L111" s="165" t="str">
        <x:v>過剰な養分は強い樹勢と密なキャノピーを招き、成熟の遅れ、病害リスク、果実風味の希釈につながることがある。</x:v>
      </x:c>
      <x:c r="M111" s="165" t="str">
        <x:v>誤り。 養分過剰は一般に強い栄養成長を促し、直ちに休眠させるものではない。</x:v>
      </x:c>
      <x:c r="N111" s="165" t="str">
        <x:v>正しい。 過剰な養分は強い樹勢と密なキャノピーを招き、成熟の遅れ、病害リスク、果実風味の希釈につながることがある。</x:v>
      </x:c>
      <x:c r="O111" s="165" t="str">
        <x:v>誤り。 果粒の乾燥は高温、乾燥、病害、意図的な乾燥工程などによるもので、養分過剰の典型ではない。</x:v>
      </x:c>
      <x:c r="P111" s="165" t="str">
        <x:v>誤り。 養分量と物理的な排水性は別の要因であり、養分過剰が排水を自動的に改善するわけではない。</x:v>
      </x:c>
      <x:c r="Q111" s="165" t="str">
        <x:v>自然要因</x:v>
      </x:c>
      <x:c r="R111" s="165" t="str">
        <x:v>土壌・養分</x:v>
      </x:c>
      <x:c r="S111" s="165" t="str">
        <x:v>非発泡性ワイン</x:v>
      </x:c>
      <x:c r="T111" s="165"/>
      <x:c r="U111" s="165"/>
      <x:c r="V111" s="165"/>
      <x:c r="W111" s="165" t="str">
        <x:v>因果説明</x:v>
      </x:c>
      <x:c r="X111" s="171" t="str">
        <x:v>D2</x:v>
      </x:c>
      <x:c r="Y111" s="165" t="str">
        <x:v>養分過剰で休眠・乾燥; 養分と排水の混同</x:v>
      </x:c>
      <x:c r="Z111" s="171" t="str">
        <x:v>N</x:v>
      </x:c>
      <x:c r="AA111" s="165"/>
      <x:c r="AB111" s="165" t="str">
        <x:v>オリジナル</x:v>
      </x:c>
      <x:c r="AC111" s="165" t="str">
        <x:v>公式Specificationの範囲＋ユーザー作成コーパスの論点と問題設計例を参考に独自作成</x:v>
      </x:c>
      <x:c r="AD111" s="171" t="str">
        <x:v>未レビュー</x:v>
      </x:c>
      <x:c r="AE111" s="171"/>
      <x:c r="AF111" s="171"/>
      <x:c r="AG111" s="166"/>
    </x:row>
    <x:row r="112" ht="84" customHeight="1">
      <x:c r="A112" s="164" t="str">
        <x:v>LO1-031</x:v>
      </x:c>
      <x:c r="B112" s="171" t="str">
        <x:v>LO1</x:v>
      </x:c>
      <x:c r="C112" s="165" t="str">
        <x:v>ブドウ畑・ワイナリーの自然要因と人的要因</x:v>
      </x:c>
      <x:c r="D112" s="165" t="str">
        <x:v>植栽密度</x:v>
      </x:c>
      <x:c r="E112" s="165" t="str">
        <x:v>水分と養分が限られる畑で植栽密度を過度に高くした場合に起こり得ることはどれか。</x:v>
      </x:c>
      <x:c r="F112" s="165" t="str">
        <x:v>一株当たりの根域が広がり、競争がなくなる</x:v>
      </x:c>
      <x:c r="G112" s="165" t="str">
        <x:v>すべての果房が日陰にならず、病害が消失する</x:v>
      </x:c>
      <x:c r="H112" s="165" t="str">
        <x:v>ブドウ樹同士の競争が強まり、一株当たりの生育と収量が低下する</x:v>
      </x:c>
      <x:c r="I112" s="165" t="str">
        <x:v>機械作業のための列間が必ず広くなる</x:v>
      </x:c>
      <x:c r="J112" s="171" t="str">
        <x:v>C</x:v>
      </x:c>
      <x:c r="K112" s="165" t="str">
        <x:v>ブドウ樹同士の競争が強まり、一株当たりの生育と収量が低下する</x:v>
      </x:c>
      <x:c r="L112" s="165" t="str">
        <x:v>限られた資源を多くの樹が取り合うため、一株当たりの樹勢と収量が抑えられる一方、過度なら成熟不良や樹の弱体化につながる。</x:v>
      </x:c>
      <x:c r="M112" s="165" t="str">
        <x:v>誤り。 密植では一般に一株が利用できる土壌空間が狭まり、競争は弱まるのではなく強まりやすい。</x:v>
      </x:c>
      <x:c r="N112" s="165" t="str">
        <x:v>誤り。 密植は管理方法によってはキャノピーを密にし、病害リスクを高めることもある。</x:v>
      </x:c>
      <x:c r="O112" s="165" t="str">
        <x:v>正しい。 限られた資源を多くの樹が取り合うため、一株当たりの樹勢と収量が抑えられる一方、過度なら成熟不良や樹の弱体化につながる。</x:v>
      </x:c>
      <x:c r="P112" s="165" t="str">
        <x:v>誤り。 密植では列間が狭くなることが多く、機械化が難しくなる場合がある。</x:v>
      </x:c>
      <x:c r="Q112" s="165" t="str">
        <x:v>人的要因（畑）</x:v>
      </x:c>
      <x:c r="R112" s="165" t="str">
        <x:v>植栽密度</x:v>
      </x:c>
      <x:c r="S112" s="165" t="str">
        <x:v>非発泡性ワイン</x:v>
      </x:c>
      <x:c r="T112" s="165"/>
      <x:c r="U112" s="165"/>
      <x:c r="V112" s="165"/>
      <x:c r="W112" s="165" t="str">
        <x:v>適用</x:v>
      </x:c>
      <x:c r="X112" s="171" t="str">
        <x:v>D3</x:v>
      </x:c>
      <x:c r="Y112" s="165" t="str">
        <x:v>密植で競争消失; 密植で機械化容易</x:v>
      </x:c>
      <x:c r="Z112" s="171" t="str">
        <x:v>N</x:v>
      </x:c>
      <x:c r="AA112" s="165"/>
      <x:c r="AB112" s="165" t="str">
        <x:v>オリジナル</x:v>
      </x:c>
      <x:c r="AC112" s="165" t="str">
        <x:v>公式Specificationの範囲＋ユーザー作成コーパスの論点と問題設計例を参考に独自作成</x:v>
      </x:c>
      <x:c r="AD112" s="171" t="str">
        <x:v>未レビュー</x:v>
      </x:c>
      <x:c r="AE112" s="171"/>
      <x:c r="AF112" s="171"/>
      <x:c r="AG112" s="166"/>
    </x:row>
    <x:row r="113" ht="84" customHeight="1">
      <x:c r="A113" s="164" t="str">
        <x:v>LO1-032</x:v>
      </x:c>
      <x:c r="B113" s="171" t="str">
        <x:v>LO1</x:v>
      </x:c>
      <x:c r="C113" s="165" t="str">
        <x:v>ブドウ畑・ワイナリーの自然要因と人的要因</x:v>
      </x:c>
      <x:c r="D113" s="165" t="str">
        <x:v>仕立て方</x:v>
      </x:c>
      <x:c r="E113" s="165" t="str">
        <x:v>コルドン仕立ての特徴として最も適切なものはどれか。</x:v>
      </x:c>
      <x:c r="F113" s="165" t="str">
        <x:v>毎年すべての幹と根を更新する</x:v>
      </x:c>
      <x:c r="G113" s="165" t="str">
        <x:v>果房を地中で成熟させるため、枝を土に埋める</x:v>
      </x:c>
      <x:c r="H113" s="165" t="str">
        <x:v>必ず支柱を使わず、低い株仕立てにする</x:v>
      </x:c>
      <x:c r="I113" s="165" t="str">
        <x:v>幹から伸びる恒久的な腕を残し、そこに短梢を配置できる</x:v>
      </x:c>
      <x:c r="J113" s="171" t="str">
        <x:v>D</x:v>
      </x:c>
      <x:c r="K113" s="165" t="str">
        <x:v>幹から伸びる恒久的な腕を残し、そこに短梢を配置できる</x:v>
      </x:c>
      <x:c r="L113" s="165" t="str">
        <x:v>コルドン仕立てでは恒久的な水平の腕を形成し、そこから短梢を剪定することが多く、均一な配置と機械化に適する場合がある。</x:v>
      </x:c>
      <x:c r="M113" s="165" t="str">
        <x:v>誤り。 幹や根は恒久器官であり、毎年すべて更新するものではない。</x:v>
      </x:c>
      <x:c r="N113" s="165" t="str">
        <x:v>誤り。 通常のコルドン仕立ては枝を地中で成熟させる方法ではない。</x:v>
      </x:c>
      <x:c r="O113" s="165" t="str">
        <x:v>誤り。 コルドンは棚に誘引する場合が多く、必ず無支柱の低い株仕立てになるわけではない。</x:v>
      </x:c>
      <x:c r="P113" s="165" t="str">
        <x:v>正しい。 コルドン仕立てでは恒久的な水平の腕を形成し、そこから短梢を剪定することが多く、均一な配置と機械化に適する場合がある。</x:v>
      </x:c>
      <x:c r="Q113" s="165" t="str">
        <x:v>人的要因（畑）</x:v>
      </x:c>
      <x:c r="R113" s="165" t="str">
        <x:v>仕立て・コルドン</x:v>
      </x:c>
      <x:c r="S113" s="165" t="str">
        <x:v>非発泡性ワイン</x:v>
      </x:c>
      <x:c r="T113" s="165"/>
      <x:c r="U113" s="165"/>
      <x:c r="V113" s="165"/>
      <x:c r="W113" s="165" t="str">
        <x:v>知識確認</x:v>
      </x:c>
      <x:c r="X113" s="171" t="str">
        <x:v>D1</x:v>
      </x:c>
      <x:c r="Y113" s="165" t="str">
        <x:v>コルドンは毎年更新; コルドンは必ず無支柱</x:v>
      </x:c>
      <x:c r="Z113" s="171" t="str">
        <x:v>N</x:v>
      </x:c>
      <x:c r="AA113" s="165"/>
      <x:c r="AB113" s="165" t="str">
        <x:v>オリジナル</x:v>
      </x:c>
      <x:c r="AC113" s="165" t="str">
        <x:v>公式Specificationの範囲＋ユーザー作成コーパスの論点と問題設計例を参考に独自作成</x:v>
      </x:c>
      <x:c r="AD113" s="171" t="str">
        <x:v>未レビュー</x:v>
      </x:c>
      <x:c r="AE113" s="171"/>
      <x:c r="AF113" s="171"/>
      <x:c r="AG113" s="166"/>
    </x:row>
    <x:row r="114" ht="84" customHeight="1">
      <x:c r="A114" s="164" t="str">
        <x:v>LO1-033</x:v>
      </x:c>
      <x:c r="B114" s="171" t="str">
        <x:v>LO1</x:v>
      </x:c>
      <x:c r="C114" s="165" t="str">
        <x:v>ブドウ畑・ワイナリーの自然要因と人的要因</x:v>
      </x:c>
      <x:c r="D114" s="165" t="str">
        <x:v>剪定方法</x:v>
      </x:c>
      <x:c r="E114" s="165" t="str">
        <x:v>基部の芽の結実性が低い品種で、更新剪定が選ばれやすい理由はどれか。</x:v>
      </x:c>
      <x:c r="F114" s="165" t="str">
        <x:v>基部から離れた結実性の高い芽を含む一年枝を残せるため</x:v>
      </x:c>
      <x:c r="G114" s="165" t="str">
        <x:v>前年のすべての果房を枝に残して再利用できるため</x:v>
      </x:c>
      <x:c r="H114" s="165" t="str">
        <x:v>根を切除して品種を変更できるため</x:v>
      </x:c>
      <x:c r="I114" s="165" t="str">
        <x:v>短梢剪定より必ず機械化しやすいため</x:v>
      </x:c>
      <x:c r="J114" s="171" t="str">
        <x:v>A</x:v>
      </x:c>
      <x:c r="K114" s="165" t="str">
        <x:v>基部から離れた結実性の高い芽を含む一年枝を残せるため</x:v>
      </x:c>
      <x:c r="L114" s="165" t="str">
        <x:v>更新剪定では比較的長い一年枝を残すため、基部の芽が不結実でも、その先にある結実性の高い芽を利用できる。</x:v>
      </x:c>
      <x:c r="M114" s="165" t="str">
        <x:v>正しい。 更新剪定では比較的長い一年枝を残すため、基部の芽が不結実でも、その先にある結実性の高い芽を利用できる。</x:v>
      </x:c>
      <x:c r="N114" s="165" t="str">
        <x:v>誤り。 果房は収穫後に再利用されず、剪定では翌年に必要な芽を持つ枝を選ぶ。</x:v>
      </x:c>
      <x:c r="O114" s="165" t="str">
        <x:v>誤り。 更新剪定は地上部の一年枝を管理する方法であり、根の切除や品種変更ではない。</x:v>
      </x:c>
      <x:c r="P114" s="165" t="str">
        <x:v>誤り。 長い枝の選択と誘引が必要で、短梢剪定より手作業が多くなることがある。</x:v>
      </x:c>
      <x:c r="Q114" s="165" t="str">
        <x:v>人的要因（畑）</x:v>
      </x:c>
      <x:c r="R114" s="165" t="str">
        <x:v>剪定・更新剪定</x:v>
      </x:c>
      <x:c r="S114" s="165" t="str">
        <x:v>非発泡性ワイン</x:v>
      </x:c>
      <x:c r="T114" s="165"/>
      <x:c r="U114" s="165"/>
      <x:c r="V114" s="165"/>
      <x:c r="W114" s="165" t="str">
        <x:v>因果説明</x:v>
      </x:c>
      <x:c r="X114" s="171" t="str">
        <x:v>D2</x:v>
      </x:c>
      <x:c r="Y114" s="165" t="str">
        <x:v>更新剪定で果房再利用; 更新剪定は必ず機械化容易</x:v>
      </x:c>
      <x:c r="Z114" s="171" t="str">
        <x:v>N</x:v>
      </x:c>
      <x:c r="AA114" s="165"/>
      <x:c r="AB114" s="165" t="str">
        <x:v>オリジナル</x:v>
      </x:c>
      <x:c r="AC114" s="165" t="str">
        <x:v>公式Specificationの範囲＋ユーザー作成コーパスの論点と問題設計例を参考に独自作成</x:v>
      </x:c>
      <x:c r="AD114" s="171" t="str">
        <x:v>未レビュー</x:v>
      </x:c>
      <x:c r="AE114" s="171"/>
      <x:c r="AF114" s="171"/>
      <x:c r="AG114" s="166"/>
    </x:row>
    <x:row r="115" ht="84" customHeight="1">
      <x:c r="A115" s="164" t="str">
        <x:v>LO1-034</x:v>
      </x:c>
      <x:c r="B115" s="171" t="str">
        <x:v>LO1</x:v>
      </x:c>
      <x:c r="C115" s="165" t="str">
        <x:v>ブドウ畑・ワイナリーの自然要因と人的要因</x:v>
      </x:c>
      <x:c r="D115" s="165" t="str">
        <x:v>VSP</x:v>
      </x:c>
      <x:c r="E115" s="165" t="str">
        <x:v>垂直シュート・ポジショニング（VSP）が機械作業に適しやすい主な理由はどれか。</x:v>
      </x:c>
      <x:c r="F115" s="165" t="str">
        <x:v>新梢を地面に這わせ、機械から完全に隠す</x:v>
      </x:c>
      <x:c r="G115" s="165" t="str">
        <x:v>新梢と果房が規則的な帯状に配置され、機械が対象部分へアクセスしやすい</x:v>
      </x:c>
      <x:c r="H115" s="165" t="str">
        <x:v>果房が毎年異なる高さに自然移動する</x:v>
      </x:c>
      <x:c r="I115" s="165" t="str">
        <x:v>支柱とワイヤーを使わないため、設置費が不要になる</x:v>
      </x:c>
      <x:c r="J115" s="171" t="str">
        <x:v>B</x:v>
      </x:c>
      <x:c r="K115" s="165" t="str">
        <x:v>新梢と果房が規則的な帯状に配置され、機械が対象部分へアクセスしやすい</x:v>
      </x:c>
      <x:c r="L115" s="165" t="str">
        <x:v>VSPは新梢を垂直に整列させ、果房帯を一定の高さに保ちやすいため、機械収穫や葉除去などを行いやすい。</x:v>
      </x:c>
      <x:c r="M115" s="165" t="str">
        <x:v>誤り。 VSPは新梢を垂直方向へ誘引する方式であり、地面に這わせるものではない。</x:v>
      </x:c>
      <x:c r="N115" s="165" t="str">
        <x:v>正しい。 VSPは新梢を垂直に整列させ、果房帯を一定の高さに保ちやすいため、機械収穫や葉除去などを行いやすい。</x:v>
      </x:c>
      <x:c r="O115" s="165" t="str">
        <x:v>誤り。 VSPの利点は果房帯を比較的一定に管理できることであり、無秩序な移動ではない。</x:v>
      </x:c>
      <x:c r="P115" s="165" t="str">
        <x:v>誤り。 VSPには通常支柱とワイヤーが必要で、初期費用がかかる。</x:v>
      </x:c>
      <x:c r="Q115" s="165" t="str">
        <x:v>人的要因（畑）</x:v>
      </x:c>
      <x:c r="R115" s="165" t="str">
        <x:v>キャノピー・VSP</x:v>
      </x:c>
      <x:c r="S115" s="165" t="str">
        <x:v>非発泡性ワイン</x:v>
      </x:c>
      <x:c r="T115" s="165"/>
      <x:c r="U115" s="165"/>
      <x:c r="V115" s="165"/>
      <x:c r="W115" s="165" t="str">
        <x:v>因果説明</x:v>
      </x:c>
      <x:c r="X115" s="171" t="str">
        <x:v>D2</x:v>
      </x:c>
      <x:c r="Y115" s="165" t="str">
        <x:v>VSPは無支柱; VSPで果房位置が不規則</x:v>
      </x:c>
      <x:c r="Z115" s="171" t="str">
        <x:v>N</x:v>
      </x:c>
      <x:c r="AA115" s="165"/>
      <x:c r="AB115" s="165" t="str">
        <x:v>オリジナル</x:v>
      </x:c>
      <x:c r="AC115" s="165" t="str">
        <x:v>公式Specificationの範囲＋ユーザー作成コーパスの論点と問題設計例を参考に独自作成</x:v>
      </x:c>
      <x:c r="AD115" s="171" t="str">
        <x:v>未レビュー</x:v>
      </x:c>
      <x:c r="AE115" s="171"/>
      <x:c r="AF115" s="171"/>
      <x:c r="AG115" s="166"/>
    </x:row>
    <x:row r="116" ht="84" customHeight="1">
      <x:c r="A116" s="164" t="str">
        <x:v>LO1-035</x:v>
      </x:c>
      <x:c r="B116" s="171" t="str">
        <x:v>LO1</x:v>
      </x:c>
      <x:c r="C116" s="165" t="str">
        <x:v>ブドウ畑・ワイナリーの自然要因と人的要因</x:v>
      </x:c>
      <x:c r="D116" s="165" t="str">
        <x:v>雹対策</x:v>
      </x:c>
      <x:c r="E116" s="165" t="str">
        <x:v>雹害の多い地域で防雹ネットを設置する際の主なトレードオフはどれか。</x:v>
      </x:c>
      <x:c r="F116" s="165" t="str">
        <x:v>雹を完全に止め、地域全体の降水量を減らす</x:v>
      </x:c>
      <x:c r="G116" s="165" t="str">
        <x:v>果粒の糖を増やすため、収穫量と品質が必ず上がる</x:v>
      </x:c>
      <x:c r="H116" s="165" t="str">
        <x:v>果房と新梢を物理的に守れる一方、設置費用がかかり、日照や作業性に影響し得る</x:v>
      </x:c>
      <x:c r="I116" s="165" t="str">
        <x:v>菌類病を治療するため、殺菌剤が不要になる</x:v>
      </x:c>
      <x:c r="J116" s="171" t="str">
        <x:v>C</x:v>
      </x:c>
      <x:c r="K116" s="165" t="str">
        <x:v>果房と新梢を物理的に守れる一方、設置費用がかかり、日照や作業性に影響し得る</x:v>
      </x:c>
      <x:c r="L116" s="165" t="str">
        <x:v>防雹ネットは直接的な被害を減らせるが、資材・設置・保守費用が必要で、設計によっては日射や機械作業を妨げる。</x:v>
      </x:c>
      <x:c r="M116" s="165" t="str">
        <x:v>誤り。 ネットは畑を物理的に保護するだけで、雹の発生や地域の降水量を変えない。</x:v>
      </x:c>
      <x:c r="N116" s="165" t="str">
        <x:v>誤り。 ネットの主目的は被害軽減であり、糖度や品質の上昇を保証しない。</x:v>
      </x:c>
      <x:c r="O116" s="165" t="str">
        <x:v>正しい。 防雹ネットは直接的な被害を減らせるが、資材・設置・保守費用が必要で、設計によっては日射や機械作業を妨げる。</x:v>
      </x:c>
      <x:c r="P116" s="165" t="str">
        <x:v>誤り。 ネットは菌類病の治療手段ではなく、湿度や通風によっては病害管理が引き続き必要である。</x:v>
      </x:c>
      <x:c r="Q116" s="165" t="str">
        <x:v>人的要因（畑）</x:v>
      </x:c>
      <x:c r="R116" s="165" t="str">
        <x:v>気象災害・雹</x:v>
      </x:c>
      <x:c r="S116" s="165" t="str">
        <x:v>非発泡性ワイン</x:v>
      </x:c>
      <x:c r="T116" s="165"/>
      <x:c r="U116" s="165"/>
      <x:c r="V116" s="165"/>
      <x:c r="W116" s="165" t="str">
        <x:v>統合判断</x:v>
      </x:c>
      <x:c r="X116" s="171" t="str">
        <x:v>D3</x:v>
      </x:c>
      <x:c r="Y116" s="165" t="str">
        <x:v>防雹ネットが天候を変える; 防雹ネットで病害治療</x:v>
      </x:c>
      <x:c r="Z116" s="171" t="str">
        <x:v>N</x:v>
      </x:c>
      <x:c r="AA116" s="165"/>
      <x:c r="AB116" s="165" t="str">
        <x:v>オリジナル</x:v>
      </x:c>
      <x:c r="AC116" s="165" t="str">
        <x:v>公式Specificationの範囲＋ユーザー作成コーパスの論点と問題設計例を参考に独自作成</x:v>
      </x:c>
      <x:c r="AD116" s="171" t="str">
        <x:v>未レビュー</x:v>
      </x:c>
      <x:c r="AE116" s="171"/>
      <x:c r="AF116" s="171"/>
      <x:c r="AG116" s="166"/>
    </x:row>
    <x:row r="117" ht="84" customHeight="1">
      <x:c r="A117" s="164" t="str">
        <x:v>LO1-036</x:v>
      </x:c>
      <x:c r="B117" s="171" t="str">
        <x:v>LO1</x:v>
      </x:c>
      <x:c r="C117" s="165" t="str">
        <x:v>ブドウ畑・ワイナリーの自然要因と人的要因</x:v>
      </x:c>
      <x:c r="D117" s="165" t="str">
        <x:v>ウィンドマシーン</x:v>
      </x:c>
      <x:c r="E117" s="165" t="str">
        <x:v>ウィンドマシーンが放射霜への対策として有効になり得る理由はどれか。</x:v>
      </x:c>
      <x:c r="F117" s="165" t="str">
        <x:v>ブドウ樹へ温水を直接散布し、氷を作るため</x:v>
      </x:c>
      <x:c r="G117" s="165" t="str">
        <x:v>土壌を掘り返して根の凍結を防ぐため</x:v>
      </x:c>
      <x:c r="H117" s="165" t="str">
        <x:v>強い寒気が流入する移流霜でも、必ず十分な暖気を作り出すため</x:v>
      </x:c>
      <x:c r="I117" s="165" t="str">
        <x:v>地表近くの冷気と上空の比較的暖かい空気を混ぜるため</x:v>
      </x:c>
      <x:c r="J117" s="171" t="str">
        <x:v>D</x:v>
      </x:c>
      <x:c r="K117" s="165" t="str">
        <x:v>地表近くの冷気と上空の比較的暖かい空気を混ぜるため</x:v>
      </x:c>
      <x:c r="L117" s="165" t="str">
        <x:v>放射霜では温度逆転が生じることがあり、ウィンドマシーンは上空の暖気を地表へ混合して芽の周囲の温度を上げる。</x:v>
      </x:c>
      <x:c r="M117" s="165" t="str">
        <x:v>誤り。 温水散布はウィンドマシーンの作用ではなく、スプリンクラーによる霜対策と混同している。</x:v>
      </x:c>
      <x:c r="N117" s="165" t="str">
        <x:v>誤り。 ウィンドマシーンは空気を動かす装置であり、土壌を耕すものではない。</x:v>
      </x:c>
      <x:c r="O117" s="165" t="str">
        <x:v>誤り。 移流霜では混合できる暖気層がないことが多く、効果は限定的である。</x:v>
      </x:c>
      <x:c r="P117" s="165" t="str">
        <x:v>正しい。 放射霜では温度逆転が生じることがあり、ウィンドマシーンは上空の暖気を地表へ混合して芽の周囲の温度を上げる。</x:v>
      </x:c>
      <x:c r="Q117" s="165" t="str">
        <x:v>人的要因（畑）</x:v>
      </x:c>
      <x:c r="R117" s="165" t="str">
        <x:v>霜害・ウィンドマシーン</x:v>
      </x:c>
      <x:c r="S117" s="165" t="str">
        <x:v>非発泡性ワイン</x:v>
      </x:c>
      <x:c r="T117" s="165"/>
      <x:c r="U117" s="165"/>
      <x:c r="V117" s="165"/>
      <x:c r="W117" s="165" t="str">
        <x:v>因果説明</x:v>
      </x:c>
      <x:c r="X117" s="171" t="str">
        <x:v>D2</x:v>
      </x:c>
      <x:c r="Y117" s="165" t="str">
        <x:v>ウィンドマシーンは散水; 移流霜にも万能</x:v>
      </x:c>
      <x:c r="Z117" s="171" t="str">
        <x:v>N</x:v>
      </x:c>
      <x:c r="AA117" s="165"/>
      <x:c r="AB117" s="165" t="str">
        <x:v>オリジナル</x:v>
      </x:c>
      <x:c r="AC117" s="165" t="str">
        <x:v>公式Specificationの範囲＋ユーザー作成コーパスの論点と問題設計例を参考に独自作成</x:v>
      </x:c>
      <x:c r="AD117" s="171" t="str">
        <x:v>未レビュー</x:v>
      </x:c>
      <x:c r="AE117" s="171"/>
      <x:c r="AF117" s="171"/>
      <x:c r="AG117" s="166"/>
    </x:row>
    <x:row r="118" ht="84" customHeight="1">
      <x:c r="A118" s="164" t="str">
        <x:v>LO1-037</x:v>
      </x:c>
      <x:c r="B118" s="171" t="str">
        <x:v>LO1</x:v>
      </x:c>
      <x:c r="C118" s="165" t="str">
        <x:v>ブドウ畑・ワイナリーの自然要因と人的要因</x:v>
      </x:c>
      <x:c r="D118" s="165" t="str">
        <x:v>冬季凍害対策</x:v>
      </x:c>
      <x:c r="E118" s="165" t="str">
        <x:v>冬に厳しい凍結が起こる地域で、接ぎ木部分の周囲へ土を盛る主な目的はどれか。</x:v>
      </x:c>
      <x:c r="F118" s="165" t="str">
        <x:v>接ぎ木部分を断熱し、凍結による損傷から守る</x:v>
      </x:c>
      <x:c r="G118" s="165" t="str">
        <x:v>果房を日光から遮り、収穫を遅らせる</x:v>
      </x:c>
      <x:c r="H118" s="165" t="str">
        <x:v>土壌中のフィロキセラをすべて窒息させる</x:v>
      </x:c>
      <x:c r="I118" s="165" t="str">
        <x:v>根に酸素を与えないことで、糖度を上げる</x:v>
      </x:c>
      <x:c r="J118" s="171" t="str">
        <x:v>A</x:v>
      </x:c>
      <x:c r="K118" s="165" t="str">
        <x:v>接ぎ木部分を断熱し、凍結による損傷から守る</x:v>
      </x:c>
      <x:c r="L118" s="165" t="str">
        <x:v>土寄せは接ぎ木部分と幹の下部を低温から保護し、地上部が損傷した場合にも穂木側から再生できる可能性を高める。</x:v>
      </x:c>
      <x:c r="M118" s="165" t="str">
        <x:v>正しい。 土寄せは接ぎ木部分と幹の下部を低温から保護し、地上部が損傷した場合にも穂木側から再生できる可能性を高める。</x:v>
      </x:c>
      <x:c r="N118" s="165" t="str">
        <x:v>誤り。 土寄せは冬季の接ぎ木部分を守る対策で、成熟期の果房を遮光する方法ではない。</x:v>
      </x:c>
      <x:c r="O118" s="165" t="str">
        <x:v>誤り。 土寄せでフィロキセラを根絶できず、抵抗性台木が主要対策である。</x:v>
      </x:c>
      <x:c r="P118" s="165" t="str">
        <x:v>誤り。 根の酸素不足は健全な生育を損ない、糖度を高める栽培技術ではない。</x:v>
      </x:c>
      <x:c r="Q118" s="165" t="str">
        <x:v>人的要因（畑）</x:v>
      </x:c>
      <x:c r="R118" s="165" t="str">
        <x:v>冬季凍害・土寄せ</x:v>
      </x:c>
      <x:c r="S118" s="165" t="str">
        <x:v>非発泡性ワイン</x:v>
      </x:c>
      <x:c r="T118" s="165"/>
      <x:c r="U118" s="165"/>
      <x:c r="V118" s="165"/>
      <x:c r="W118" s="165" t="str">
        <x:v>知識確認</x:v>
      </x:c>
      <x:c r="X118" s="171" t="str">
        <x:v>D1</x:v>
      </x:c>
      <x:c r="Y118" s="165" t="str">
        <x:v>土寄せは遮光; 土寄せでフィロキセラ根絶</x:v>
      </x:c>
      <x:c r="Z118" s="171" t="str">
        <x:v>N</x:v>
      </x:c>
      <x:c r="AA118" s="165"/>
      <x:c r="AB118" s="165" t="str">
        <x:v>オリジナル</x:v>
      </x:c>
      <x:c r="AC118" s="165" t="str">
        <x:v>公式Specificationの範囲＋ユーザー作成コーパスの論点と問題設計例を参考に独自作成</x:v>
      </x:c>
      <x:c r="AD118" s="171" t="str">
        <x:v>未レビュー</x:v>
      </x:c>
      <x:c r="AE118" s="171"/>
      <x:c r="AF118" s="171"/>
      <x:c r="AG118" s="166"/>
    </x:row>
    <x:row r="119" ht="84" customHeight="1">
      <x:c r="A119" s="164" t="str">
        <x:v>LO1-038</x:v>
      </x:c>
      <x:c r="B119" s="171" t="str">
        <x:v>LO1</x:v>
      </x:c>
      <x:c r="C119" s="165" t="str">
        <x:v>ブドウ畑・ワイナリーの自然要因と人的要因</x:v>
      </x:c>
      <x:c r="D119" s="165" t="str">
        <x:v>点滴灌漑</x:v>
      </x:c>
      <x:c r="E119" s="165" t="str">
        <x:v>点滴灌漑が乾燥地域で水資源の効率的な利用に適する主な理由はどれか。</x:v>
      </x:c>
      <x:c r="F119" s="165" t="str">
        <x:v>畑全体を深く冠水させ、地下水位を常に上げる</x:v>
      </x:c>
      <x:c r="G119" s="165" t="str">
        <x:v>必要な量の水を根域へゆっくり直接供給し、蒸発と流出を抑えられる</x:v>
      </x:c>
      <x:c r="H119" s="165" t="str">
        <x:v>葉へ大量の水を散布し、蒸発冷却だけを目的とする</x:v>
      </x:c>
      <x:c r="I119" s="165" t="str">
        <x:v>降雨量を増やし、灌漑設備を翌年から不要にする</x:v>
      </x:c>
      <x:c r="J119" s="171" t="str">
        <x:v>B</x:v>
      </x:c>
      <x:c r="K119" s="165" t="str">
        <x:v>必要な量の水を根域へゆっくり直接供給し、蒸発と流出を抑えられる</x:v>
      </x:c>
      <x:c r="L119" s="165" t="str">
        <x:v>点滴灌漑は水量とタイミングを細かく管理でき、葉や列間を広く濡らさず根域へ供給するため、水利用効率が高い。</x:v>
      </x:c>
      <x:c r="M119" s="165" t="str">
        <x:v>誤り。 これは洪水灌漑に近い説明であり、点滴灌漑の方法ではない。</x:v>
      </x:c>
      <x:c r="N119" s="165" t="str">
        <x:v>正しい。 点滴灌漑は水量とタイミングを細かく管理でき、葉や列間を広く濡らさず根域へ供給するため、水利用効率が高い。</x:v>
      </x:c>
      <x:c r="O119" s="165" t="str">
        <x:v>誤り。 これはスプリンクラーの説明で、点滴灌漑は主に根域へ水を供給する。</x:v>
      </x:c>
      <x:c r="P119" s="165" t="str">
        <x:v>誤り。 灌漑は降雨そのものを増やさず、設備の必要性は気候と水管理によって続く。</x:v>
      </x:c>
      <x:c r="Q119" s="165" t="str">
        <x:v>人的要因（畑）</x:v>
      </x:c>
      <x:c r="R119" s="165" t="str">
        <x:v>灌漑・点滴</x:v>
      </x:c>
      <x:c r="S119" s="165" t="str">
        <x:v>非発泡性ワイン</x:v>
      </x:c>
      <x:c r="T119" s="165"/>
      <x:c r="U119" s="165"/>
      <x:c r="V119" s="165"/>
      <x:c r="W119" s="165" t="str">
        <x:v>因果説明</x:v>
      </x:c>
      <x:c r="X119" s="171" t="str">
        <x:v>D1</x:v>
      </x:c>
      <x:c r="Y119" s="165" t="str">
        <x:v>点滴と洪水・散水の混同; 灌漑が降雨を増やす</x:v>
      </x:c>
      <x:c r="Z119" s="171" t="str">
        <x:v>N</x:v>
      </x:c>
      <x:c r="AA119" s="165"/>
      <x:c r="AB119" s="165" t="str">
        <x:v>オリジナル</x:v>
      </x:c>
      <x:c r="AC119" s="165" t="str">
        <x:v>公式Specificationの範囲＋ユーザー作成コーパスの論点と問題設計例を参考に独自作成</x:v>
      </x:c>
      <x:c r="AD119" s="171" t="str">
        <x:v>未レビュー</x:v>
      </x:c>
      <x:c r="AE119" s="171"/>
      <x:c r="AF119" s="171"/>
      <x:c r="AG119" s="166"/>
    </x:row>
    <x:row r="120" ht="84" customHeight="1">
      <x:c r="A120" s="164" t="str">
        <x:v>LO1-039</x:v>
      </x:c>
      <x:c r="B120" s="171" t="str">
        <x:v>LO1</x:v>
      </x:c>
      <x:c r="C120" s="165" t="str">
        <x:v>ブドウ畑・ワイナリーの自然要因と人的要因</x:v>
      </x:c>
      <x:c r="D120" s="165" t="str">
        <x:v>フィロキセラ</x:v>
      </x:c>
      <x:c r="E120" s="165" t="str">
        <x:v>フィロキセラが存在する地域で、Vitis viniferaを抵抗性台木へ接ぎ木する理由はどれか。</x:v>
      </x:c>
      <x:c r="F120" s="165" t="str">
        <x:v>台木が果実を作り、穂木は根だけを供給するため</x:v>
      </x:c>
      <x:c r="G120" s="165" t="str">
        <x:v>接ぎ木によって畑の気温を下げ、害虫を凍らせるため</x:v>
      </x:c>
      <x:c r="H120" s="165" t="str">
        <x:v>台木の根が害虫の被害に耐え、穂木から望む品種の果実を得られるため</x:v>
      </x:c>
      <x:c r="I120" s="165" t="str">
        <x:v>Vitis viniferaの果皮を厚くして、鳥害だけを防ぐため</x:v>
      </x:c>
      <x:c r="J120" s="171" t="str">
        <x:v>C</x:v>
      </x:c>
      <x:c r="K120" s="165" t="str">
        <x:v>台木の根が害虫の被害に耐え、穂木から望む品種の果実を得られるため</x:v>
      </x:c>
      <x:c r="L120" s="165" t="str">
        <x:v>抵抗性を持つアメリカ系ブドウ種由来の台木が根を守り、その上に接いだVitis vinifera品種が目的のワイン用ブドウを生産する。</x:v>
      </x:c>
      <x:c r="M120" s="165" t="str">
        <x:v>誤り。 役割が逆であり、通常は台木が根を、穂木が地上部と果実を担う。</x:v>
      </x:c>
      <x:c r="N120" s="165" t="str">
        <x:v>誤り。 接ぎ木は気温を変える方法ではなく、根の抵抗性を利用する。</x:v>
      </x:c>
      <x:c r="O120" s="165" t="str">
        <x:v>正しい。 抵抗性を持つアメリカ系ブドウ種由来の台木が根を守り、その上に接いだVitis vinifera品種が目的のワイン用ブドウを生産する。</x:v>
      </x:c>
      <x:c r="P120" s="165" t="str">
        <x:v>誤り。 フィロキセラは主に根へ被害を与え、接ぎ木の目的は鳥害対策ではない。</x:v>
      </x:c>
      <x:c r="Q120" s="165" t="str">
        <x:v>人的要因（畑）</x:v>
      </x:c>
      <x:c r="R120" s="165" t="str">
        <x:v>害虫・フィロキセラ</x:v>
      </x:c>
      <x:c r="S120" s="165" t="str">
        <x:v>非発泡性ワイン</x:v>
      </x:c>
      <x:c r="T120" s="165"/>
      <x:c r="U120" s="165"/>
      <x:c r="V120" s="165"/>
      <x:c r="W120" s="165" t="str">
        <x:v>知識確認</x:v>
      </x:c>
      <x:c r="X120" s="171" t="str">
        <x:v>D1</x:v>
      </x:c>
      <x:c r="Y120" s="165" t="str">
        <x:v>台木と穂木の役割逆転; 接ぎ木は鳥害対策</x:v>
      </x:c>
      <x:c r="Z120" s="171" t="str">
        <x:v>N</x:v>
      </x:c>
      <x:c r="AA120" s="165"/>
      <x:c r="AB120" s="165" t="str">
        <x:v>オリジナル</x:v>
      </x:c>
      <x:c r="AC120" s="165" t="str">
        <x:v>公式Specificationの範囲＋ユーザー作成コーパスの論点と問題設計例を参考に独自作成</x:v>
      </x:c>
      <x:c r="AD120" s="171" t="str">
        <x:v>未レビュー</x:v>
      </x:c>
      <x:c r="AE120" s="171"/>
      <x:c r="AF120" s="171"/>
      <x:c r="AG120" s="166"/>
    </x:row>
    <x:row r="121" ht="84" customHeight="1">
      <x:c r="A121" s="164" t="str">
        <x:v>LO1-040</x:v>
      </x:c>
      <x:c r="B121" s="171" t="str">
        <x:v>LO1</x:v>
      </x:c>
      <x:c r="C121" s="165" t="str">
        <x:v>ブドウ畑・ワイナリーの自然要因と人的要因</x:v>
      </x:c>
      <x:c r="D121" s="165" t="str">
        <x:v>菌類病管理</x:v>
      </x:c>
      <x:c r="E121" s="165" t="str">
        <x:v>雨の多い生育期に菌類病を管理する方法の組み合わせとして最も適切なものはどれか。</x:v>
      </x:c>
      <x:c r="F121" s="165" t="str">
        <x:v>灌漑量を増やし、葉を一日中濡らしておく</x:v>
      </x:c>
      <x:c r="G121" s="165" t="str">
        <x:v>樹冠を密にして、日光と風を完全に遮る</x:v>
      </x:c>
      <x:c r="H121" s="165" t="str">
        <x:v>感染した果房を健全な果房へ混ぜ、抵抗性を移す</x:v>
      </x:c>
      <x:c r="I121" s="165" t="str">
        <x:v>キャノピーの通風を改善し、必要に応じて適切な殺菌剤を用いる</x:v>
      </x:c>
      <x:c r="J121" s="171" t="str">
        <x:v>D</x:v>
      </x:c>
      <x:c r="K121" s="165" t="str">
        <x:v>キャノピーの通風を改善し、必要に応じて適切な殺菌剤を用いる</x:v>
      </x:c>
      <x:c r="L121" s="165" t="str">
        <x:v>葉と果房が速く乾くようにキャノピーを管理し、感染リスクに応じた防除を行うことで、べと病やうどんこ病などの被害を抑える。</x:v>
      </x:c>
      <x:c r="M121" s="165" t="str">
        <x:v>誤り。 長時間の湿潤は多くの菌類病の感染を助けるため、一般に逆効果となる。</x:v>
      </x:c>
      <x:c r="N121" s="165" t="str">
        <x:v>誤り。 密な樹冠は湿度を高め、葉や果房が乾きにくくなる。</x:v>
      </x:c>
      <x:c r="O121" s="165" t="str">
        <x:v>誤り。 病害抵抗性は果房を混ぜることで移らず、感染源の除去が必要な場合もある。</x:v>
      </x:c>
      <x:c r="P121" s="165" t="str">
        <x:v>正しい。 葉と果房が速く乾くようにキャノピーを管理し、感染リスクに応じた防除を行うことで、べと病やうどんこ病などの被害を抑える。</x:v>
      </x:c>
      <x:c r="Q121" s="165" t="str">
        <x:v>人的要因（畑）</x:v>
      </x:c>
      <x:c r="R121" s="165" t="str">
        <x:v>病害・菌類病</x:v>
      </x:c>
      <x:c r="S121" s="165" t="str">
        <x:v>非発泡性ワイン</x:v>
      </x:c>
      <x:c r="T121" s="165"/>
      <x:c r="U121" s="165"/>
      <x:c r="V121" s="165"/>
      <x:c r="W121" s="165" t="str">
        <x:v>適用</x:v>
      </x:c>
      <x:c r="X121" s="171" t="str">
        <x:v>D2</x:v>
      </x:c>
      <x:c r="Y121" s="165" t="str">
        <x:v>葉を濡らして菌類病防止; 密な樹冠が病害を抑える</x:v>
      </x:c>
      <x:c r="Z121" s="171" t="str">
        <x:v>N</x:v>
      </x:c>
      <x:c r="AA121" s="165"/>
      <x:c r="AB121" s="165" t="str">
        <x:v>オリジナル</x:v>
      </x:c>
      <x:c r="AC121" s="165" t="str">
        <x:v>公式Specificationの範囲＋ユーザー作成コーパスの論点と問題設計例を参考に独自作成</x:v>
      </x:c>
      <x:c r="AD121" s="171" t="str">
        <x:v>未レビュー</x:v>
      </x:c>
      <x:c r="AE121" s="171"/>
      <x:c r="AF121" s="171"/>
      <x:c r="AG121" s="166"/>
    </x:row>
    <x:row r="122" ht="84" customHeight="1">
      <x:c r="A122" s="164" t="str">
        <x:v>LO1-041</x:v>
      </x:c>
      <x:c r="B122" s="171" t="str">
        <x:v>LO1</x:v>
      </x:c>
      <x:c r="C122" s="165" t="str">
        <x:v>ブドウ畑・ワイナリーの自然要因と人的要因</x:v>
      </x:c>
      <x:c r="D122" s="165" t="str">
        <x:v>ウイルス・細菌病</x:v>
      </x:c>
      <x:c r="E122" s="165" t="str">
        <x:v>ブドウ樹のウイルス病や一部の細菌病が畑で確認された場合の基本的な対応はどれか。</x:v>
      </x:c>
      <x:c r="F122" s="165" t="str">
        <x:v>感染株を除去し、健全な植栽材料と衛生管理で再感染を防ぐ</x:v>
      </x:c>
      <x:c r="G122" s="165" t="str">
        <x:v>収穫後にワインへ糖を加え、樹を治療する</x:v>
      </x:c>
      <x:c r="H122" s="165" t="str">
        <x:v>感染株を剪定せず放置し、自然に免疫がつくのを待つ</x:v>
      </x:c>
      <x:c r="I122" s="165" t="str">
        <x:v>葉を水で洗えば、根や木部の病原体も完全に除去できる</x:v>
      </x:c>
      <x:c r="J122" s="171" t="str">
        <x:v>A</x:v>
      </x:c>
      <x:c r="K122" s="165" t="str">
        <x:v>感染株を除去し、健全な植栽材料と衛生管理で再感染を防ぐ</x:v>
      </x:c>
      <x:c r="L122" s="165" t="str">
        <x:v>ウイルスや一部の細菌病には感染後の有効な治療がないため、感染株の除去、認証苗の利用、媒介者や器具の衛生管理が重要である。</x:v>
      </x:c>
      <x:c r="M122" s="165" t="str">
        <x:v>正しい。 ウイルスや一部の細菌病には感染後の有効な治療がないため、感染株の除去、認証苗の利用、媒介者や器具の衛生管理が重要である。</x:v>
      </x:c>
      <x:c r="N122" s="165" t="str">
        <x:v>誤り。 ワインへの調整は畑の感染株を治療せず、病原体の管理と無関係である。</x:v>
      </x:c>
      <x:c r="O122" s="165" t="str">
        <x:v>誤り。 感染株が感染源となる可能性があり、自然治癒を期待する方法は適切でない。</x:v>
      </x:c>
      <x:c r="P122" s="165" t="str">
        <x:v>誤り。 表面洗浄だけでは植物体内のウイルスや細菌を除去できない。</x:v>
      </x:c>
      <x:c r="Q122" s="165" t="str">
        <x:v>人的要因（畑）</x:v>
      </x:c>
      <x:c r="R122" s="165" t="str">
        <x:v>病害・ウイルス細菌</x:v>
      </x:c>
      <x:c r="S122" s="165" t="str">
        <x:v>非発泡性ワイン</x:v>
      </x:c>
      <x:c r="T122" s="165"/>
      <x:c r="U122" s="165"/>
      <x:c r="V122" s="165"/>
      <x:c r="W122" s="165" t="str">
        <x:v>適用</x:v>
      </x:c>
      <x:c r="X122" s="171" t="str">
        <x:v>D2</x:v>
      </x:c>
      <x:c r="Y122" s="165" t="str">
        <x:v>ウイルス病は糖添加で治療; 洗浄で完全除去</x:v>
      </x:c>
      <x:c r="Z122" s="171" t="str">
        <x:v>N</x:v>
      </x:c>
      <x:c r="AA122" s="165"/>
      <x:c r="AB122" s="165" t="str">
        <x:v>オリジナル</x:v>
      </x:c>
      <x:c r="AC122" s="165" t="str">
        <x:v>公式Specificationの範囲＋ユーザー作成コーパスの論点と問題設計例を参考に独自作成</x:v>
      </x:c>
      <x:c r="AD122" s="171" t="str">
        <x:v>未レビュー</x:v>
      </x:c>
      <x:c r="AE122" s="171"/>
      <x:c r="AF122" s="171"/>
      <x:c r="AG122" s="166"/>
    </x:row>
    <x:row r="123" ht="84" customHeight="1">
      <x:c r="A123" s="164" t="str">
        <x:v>LO1-042</x:v>
      </x:c>
      <x:c r="B123" s="171" t="str">
        <x:v>LO1</x:v>
      </x:c>
      <x:c r="C123" s="165" t="str">
        <x:v>ブドウ畑・ワイナリーの自然要因と人的要因</x:v>
      </x:c>
      <x:c r="D123" s="165" t="str">
        <x:v>有機栽培とビオディナミ</x:v>
      </x:c>
      <x:c r="E123" s="165" t="str">
        <x:v>ビオディナミ農法を有機栽培と比較した説明として最も適切なものはどれか。</x:v>
      </x:c>
      <x:c r="F123" s="165" t="str">
        <x:v>合成除草剤と殺虫剤を必ず多量に使用する方式である</x:v>
      </x:c>
      <x:c r="G123" s="165" t="str">
        <x:v>有機栽培の考え方に加え、農場を一つの生態系として扱い、調合剤や暦を用いることがある</x:v>
      </x:c>
      <x:c r="H123" s="165" t="str">
        <x:v>畑での作業をやめ、自然任せにする方式である</x:v>
      </x:c>
      <x:c r="I123" s="165" t="str">
        <x:v>ワイナリーでの発酵方法だけを定め、畑の管理には関係しない</x:v>
      </x:c>
      <x:c r="J123" s="171" t="str">
        <x:v>B</x:v>
      </x:c>
      <x:c r="K123" s="165" t="str">
        <x:v>有機栽培の考え方に加え、農場を一つの生態系として扱い、調合剤や暦を用いることがある</x:v>
      </x:c>
      <x:c r="L123" s="165" t="str">
        <x:v>ビオディナミは一般に有機栽培の制限を基礎としつつ、農場全体の循環、特定の調合剤、天体暦など独自の実践を加える。</x:v>
      </x:c>
      <x:c r="M123" s="165" t="str">
        <x:v>誤り。 これは有機・ビオディナミの基本的な方向性と逆である。</x:v>
      </x:c>
      <x:c r="N123" s="165" t="str">
        <x:v>正しい。 ビオディナミは一般に有機栽培の制限を基礎としつつ、農場全体の循環、特定の調合剤、天体暦など独自の実践を加える。</x:v>
      </x:c>
      <x:c r="O123" s="165" t="str">
        <x:v>誤り。 ビオディナミでも剪定、病害管理、土壌管理など積極的な作業を行う。</x:v>
      </x:c>
      <x:c r="P123" s="165" t="str">
        <x:v>誤り。 ビオディナミは主に農場・畑の管理体系を含み、醸造だけの分類ではない。</x:v>
      </x:c>
      <x:c r="Q123" s="165" t="str">
        <x:v>人的要因（畑）</x:v>
      </x:c>
      <x:c r="R123" s="165" t="str">
        <x:v>栽培アプローチ・ビオディナミ</x:v>
      </x:c>
      <x:c r="S123" s="165" t="str">
        <x:v>非発泡性ワイン</x:v>
      </x:c>
      <x:c r="T123" s="165"/>
      <x:c r="U123" s="165"/>
      <x:c r="V123" s="165"/>
      <x:c r="W123" s="165" t="str">
        <x:v>比較</x:v>
      </x:c>
      <x:c r="X123" s="171" t="str">
        <x:v>D2</x:v>
      </x:c>
      <x:c r="Y123" s="165" t="str">
        <x:v>ビオディナミは農薬多用; 畑作業をしない</x:v>
      </x:c>
      <x:c r="Z123" s="171" t="str">
        <x:v>Y</x:v>
      </x:c>
      <x:c r="AA123" s="165" t="str">
        <x:v>有機・ビオディナミの認証制度や用語表現は地域差があるため、教材表現との最終照合を推奨</x:v>
      </x:c>
      <x:c r="AB123" s="165" t="str">
        <x:v>オリジナル</x:v>
      </x:c>
      <x:c r="AC123" s="165" t="str">
        <x:v>公式Specificationの範囲＋ユーザー作成コーパスの論点と問題設計例を参考に独自作成</x:v>
      </x:c>
      <x:c r="AD123" s="171" t="str">
        <x:v>未レビュー</x:v>
      </x:c>
      <x:c r="AE123" s="171"/>
      <x:c r="AF123" s="171"/>
      <x:c r="AG123" s="166"/>
    </x:row>
    <x:row r="124" ht="84" customHeight="1">
      <x:c r="A124" s="164" t="str">
        <x:v>LO1-043</x:v>
      </x:c>
      <x:c r="B124" s="171" t="str">
        <x:v>LO1</x:v>
      </x:c>
      <x:c r="C124" s="165" t="str">
        <x:v>ブドウ畑・ワイナリーの自然要因と人的要因</x:v>
      </x:c>
      <x:c r="D124" s="165" t="str">
        <x:v>持続可能な栽培</x:v>
      </x:c>
      <x:c r="E124" s="165" t="str">
        <x:v>持続可能なブドウ栽培の考え方として最も適切なものはどれか。</x:v>
      </x:c>
      <x:c r="F124" s="165" t="str">
        <x:v>収量を最大化することだけを唯一の目標とする</x:v>
      </x:c>
      <x:c r="G124" s="165" t="str">
        <x:v>すべての農薬と機械の使用を世界共通で禁止する</x:v>
      </x:c>
      <x:c r="H124" s="165" t="str">
        <x:v>環境への影響だけでなく、経済的継続性と働く人・地域社会も考慮する</x:v>
      </x:c>
      <x:c r="I124" s="165" t="str">
        <x:v>短期的な利益が出れば、土壌の劣化を考慮しない</x:v>
      </x:c>
      <x:c r="J124" s="171" t="str">
        <x:v>C</x:v>
      </x:c>
      <x:c r="K124" s="165" t="str">
        <x:v>環境への影響だけでなく、経済的継続性と働く人・地域社会も考慮する</x:v>
      </x:c>
      <x:c r="L124" s="165" t="str">
        <x:v>持続可能性は環境、経済、社会のバランスを取り、長期的にブドウ栽培を継続できる仕組みを目指す。</x:v>
      </x:c>
      <x:c r="M124" s="165" t="str">
        <x:v>誤り。 収量だけでなく資源利用、土壌、生物多様性、労働、経済性などを総合的に考える。</x:v>
      </x:c>
      <x:c r="N124" s="165" t="str">
        <x:v>誤り。 持続可能な制度は地域により異なり、一定の資材や機械を条件付きで認める場合がある。</x:v>
      </x:c>
      <x:c r="O124" s="165" t="str">
        <x:v>正しい。 持続可能性は環境、経済、社会のバランスを取り、長期的にブドウ栽培を継続できる仕組みを目指す。</x:v>
      </x:c>
      <x:c r="P124" s="165" t="str">
        <x:v>誤り。 長期的な生産基盤を守ることが持続可能性の中心であり、土壌劣化を無視しない。</x:v>
      </x:c>
      <x:c r="Q124" s="165" t="str">
        <x:v>人的要因（畑）</x:v>
      </x:c>
      <x:c r="R124" s="165" t="str">
        <x:v>栽培アプローチ・持続可能性</x:v>
      </x:c>
      <x:c r="S124" s="165" t="str">
        <x:v>非発泡性ワイン</x:v>
      </x:c>
      <x:c r="T124" s="165"/>
      <x:c r="U124" s="165"/>
      <x:c r="V124" s="165"/>
      <x:c r="W124" s="165" t="str">
        <x:v>統合判断</x:v>
      </x:c>
      <x:c r="X124" s="171" t="str">
        <x:v>D2</x:v>
      </x:c>
      <x:c r="Y124" s="165" t="str">
        <x:v>持続可能性は収量のみ; すべての資材を一律禁止</x:v>
      </x:c>
      <x:c r="Z124" s="171" t="str">
        <x:v>N</x:v>
      </x:c>
      <x:c r="AA124" s="165"/>
      <x:c r="AB124" s="165" t="str">
        <x:v>オリジナル</x:v>
      </x:c>
      <x:c r="AC124" s="165" t="str">
        <x:v>公式Specificationの範囲＋ユーザー作成コーパスの論点と問題設計例を参考に独自作成</x:v>
      </x:c>
      <x:c r="AD124" s="171" t="str">
        <x:v>未レビュー</x:v>
      </x:c>
      <x:c r="AE124" s="171"/>
      <x:c r="AF124" s="171"/>
      <x:c r="AG124" s="166"/>
    </x:row>
    <x:row r="125" ht="84" customHeight="1">
      <x:c r="A125" s="164" t="str">
        <x:v>LO1-044</x:v>
      </x:c>
      <x:c r="B125" s="171" t="str">
        <x:v>LO1</x:v>
      </x:c>
      <x:c r="C125" s="165" t="str">
        <x:v>ブドウ畑・ワイナリーの自然要因と人的要因</x:v>
      </x:c>
      <x:c r="D125" s="165" t="str">
        <x:v>収穫後のブドウ乾燥</x:v>
      </x:c>
      <x:c r="E125" s="165" t="str">
        <x:v>収穫後にブドウを乾燥させてワインを造る場合、品質と価格に生じやすい影響はどれか。</x:v>
      </x:c>
      <x:c r="F125" s="165" t="str">
        <x:v>水分が増え、軽いボディと低いアルコールだけが生まれる</x:v>
      </x:c>
      <x:c r="G125" s="165" t="str">
        <x:v>乾燥によって果汁量が増え、生産コストが必ず下がる</x:v>
      </x:c>
      <x:c r="H125" s="165" t="str">
        <x:v>酸と風味がすべて消え、糖だけが残る</x:v>
      </x:c>
      <x:c r="I125" s="165" t="str">
        <x:v>糖、酸、風味が濃縮し得る一方、得られる果汁量が減り、手間とコストが増える</x:v>
      </x:c>
      <x:c r="J125" s="171" t="str">
        <x:v>D</x:v>
      </x:c>
      <x:c r="K125" s="165" t="str">
        <x:v>糖、酸、風味が濃縮し得る一方、得られる果汁量が減り、手間とコストが増える</x:v>
      </x:c>
      <x:c r="L125" s="165" t="str">
        <x:v>水分が失われることで成分が濃縮するが、腐敗を避けた乾燥管理が必要で、同じ重量のブドウから得られるワイン量も少なくなる。</x:v>
      </x:c>
      <x:c r="M125" s="165" t="str">
        <x:v>誤り。 乾燥では水分が減るため、一般に濃縮した果汁となり、説明が逆である。</x:v>
      </x:c>
      <x:c r="N125" s="165" t="str">
        <x:v>誤り。 果汁量は減り、設備、空間、選別、時間のコストが加わる。</x:v>
      </x:c>
      <x:c r="O125" s="165" t="str">
        <x:v>誤り。 酸や風味成分も濃縮され得るが、乾燥条件によって変化する。</x:v>
      </x:c>
      <x:c r="P125" s="165" t="str">
        <x:v>正しい。 水分が失われることで成分が濃縮するが、腐敗を避けた乾燥管理が必要で、同じ重量のブドウから得られるワイン量も少なくなる。</x:v>
      </x:c>
      <x:c r="Q125" s="165" t="str">
        <x:v>人的要因（畑）</x:v>
      </x:c>
      <x:c r="R125" s="165" t="str">
        <x:v>糖分濃縮・収穫後乾燥</x:v>
      </x:c>
      <x:c r="S125" s="165" t="str">
        <x:v>非発泡性ワイン</x:v>
      </x:c>
      <x:c r="T125" s="165"/>
      <x:c r="U125" s="165"/>
      <x:c r="V125" s="165"/>
      <x:c r="W125" s="165" t="str">
        <x:v>統合判断</x:v>
      </x:c>
      <x:c r="X125" s="171" t="str">
        <x:v>D3</x:v>
      </x:c>
      <x:c r="Y125" s="165" t="str">
        <x:v>乾燥で果汁増加; 乾燥で酸と風味消失</x:v>
      </x:c>
      <x:c r="Z125" s="171" t="str">
        <x:v>N</x:v>
      </x:c>
      <x:c r="AA125" s="165"/>
      <x:c r="AB125" s="165" t="str">
        <x:v>オリジナル</x:v>
      </x:c>
      <x:c r="AC125" s="165" t="str">
        <x:v>公式Specificationの範囲＋ユーザー作成コーパスの論点と問題設計例を参考に独自作成</x:v>
      </x:c>
      <x:c r="AD125" s="171" t="str">
        <x:v>未レビュー</x:v>
      </x:c>
      <x:c r="AE125" s="171"/>
      <x:c r="AF125" s="171"/>
      <x:c r="AG125" s="166"/>
    </x:row>
    <x:row r="126" ht="84" customHeight="1">
      <x:c r="A126" s="164" t="str">
        <x:v>LO1-045</x:v>
      </x:c>
      <x:c r="B126" s="171" t="str">
        <x:v>LO1</x:v>
      </x:c>
      <x:c r="C126" s="165" t="str">
        <x:v>ブドウ畑・ワイナリーの自然要因と人的要因</x:v>
      </x:c>
      <x:c r="D126" s="165" t="str">
        <x:v>凍結ブドウ</x:v>
      </x:c>
      <x:c r="E126" s="165" t="str">
        <x:v>樹上で凍結したブドウを凍ったまま圧搾すると、甘い果汁が得られる主な理由はどれか。</x:v>
      </x:c>
      <x:c r="F126" s="165" t="str">
        <x:v>水の多くが氷として圧搾機に残り、糖と酸を含む濃縮果汁が流れ出る</x:v>
      </x:c>
      <x:c r="G126" s="165" t="str">
        <x:v>氷が糖へ変化し、果汁の量が増える</x:v>
      </x:c>
      <x:c r="H126" s="165" t="str">
        <x:v>凍結により酵母が発酵し、圧搾前にアルコールが増える</x:v>
      </x:c>
      <x:c r="I126" s="165" t="str">
        <x:v>果皮だけが凍り、果汁中の水分はすべて液体のまま残る</x:v>
      </x:c>
      <x:c r="J126" s="171" t="str">
        <x:v>A</x:v>
      </x:c>
      <x:c r="K126" s="165" t="str">
        <x:v>水の多くが氷として圧搾機に残り、糖と酸を含む濃縮果汁が流れ出る</x:v>
      </x:c>
      <x:c r="L126" s="165" t="str">
        <x:v>凍結した水分が氷として分離されるため、少量の高糖度・高酸度の果汁が得られるが、収量は非常に低くなる。</x:v>
      </x:c>
      <x:c r="M126" s="165" t="str">
        <x:v>正しい。 凍結した水分が氷として分離されるため、少量の高糖度・高酸度の果汁が得られるが、収量は非常に低くなる。</x:v>
      </x:c>
      <x:c r="N126" s="165" t="str">
        <x:v>誤り。 凍結で水が糖へ変化することはなく、果汁量はむしろ減る。</x:v>
      </x:c>
      <x:c r="O126" s="165" t="str">
        <x:v>誤り。 低温下の樹上で通常のアルコール発酵が進むわけではない。</x:v>
      </x:c>
      <x:c r="P126" s="165" t="str">
        <x:v>誤り。 果粒内部の水分も凍結し、その氷を圧搾時に分離することが濃縮の鍵である。</x:v>
      </x:c>
      <x:c r="Q126" s="165" t="str">
        <x:v>人的要因（畑）</x:v>
      </x:c>
      <x:c r="R126" s="165" t="str">
        <x:v>糖分濃縮・凍結</x:v>
      </x:c>
      <x:c r="S126" s="165" t="str">
        <x:v>非発泡性ワイン</x:v>
      </x:c>
      <x:c r="T126" s="165"/>
      <x:c r="U126" s="165"/>
      <x:c r="V126" s="165"/>
      <x:c r="W126" s="165" t="str">
        <x:v>因果説明</x:v>
      </x:c>
      <x:c r="X126" s="171" t="str">
        <x:v>D2</x:v>
      </x:c>
      <x:c r="Y126" s="165" t="str">
        <x:v>氷が糖になる; 凍結中に発酵</x:v>
      </x:c>
      <x:c r="Z126" s="171" t="str">
        <x:v>N</x:v>
      </x:c>
      <x:c r="AA126" s="165"/>
      <x:c r="AB126" s="165" t="str">
        <x:v>オリジナル</x:v>
      </x:c>
      <x:c r="AC126" s="165" t="str">
        <x:v>公式Specificationの範囲＋ユーザー作成コーパスの論点と問題設計例を参考に独自作成</x:v>
      </x:c>
      <x:c r="AD126" s="171" t="str">
        <x:v>未レビュー</x:v>
      </x:c>
      <x:c r="AE126" s="171"/>
      <x:c r="AF126" s="171"/>
      <x:c r="AG126" s="166"/>
    </x:row>
    <x:row r="127" ht="84" customHeight="1">
      <x:c r="A127" s="164" t="str">
        <x:v>LO1-046</x:v>
      </x:c>
      <x:c r="B127" s="171" t="str">
        <x:v>LO1</x:v>
      </x:c>
      <x:c r="C127" s="165" t="str">
        <x:v>ブドウ畑・ワイナリーの自然要因と人的要因</x:v>
      </x:c>
      <x:c r="D127" s="165" t="str">
        <x:v>マストの補糖</x:v>
      </x:c>
      <x:c r="E127" s="165" t="str">
        <x:v>補糖（マストの糖分補強）を行う主な目的はどれか。</x:v>
      </x:c>
      <x:c r="F127" s="165" t="str">
        <x:v>完成した辛口ワインを必ず甘口にする</x:v>
      </x:c>
      <x:c r="G127" s="165" t="str">
        <x:v>発酵で生成される最終アルコール度を高める</x:v>
      </x:c>
      <x:c r="H127" s="165" t="str">
        <x:v>酸を増やし、pHを下げる</x:v>
      </x:c>
      <x:c r="I127" s="165" t="str">
        <x:v>タンニンを除去し、色を薄くする</x:v>
      </x:c>
      <x:c r="J127" s="171" t="str">
        <x:v>B</x:v>
      </x:c>
      <x:c r="K127" s="165" t="str">
        <x:v>発酵で生成される最終アルコール度を高める</x:v>
      </x:c>
      <x:c r="L127" s="165" t="str">
        <x:v>成熟不足の果汁へ発酵可能な糖を加え、酵母にアルコールへ変換させる。通常、目的は甘味を残すことではない。</x:v>
      </x:c>
      <x:c r="M127" s="165" t="str">
        <x:v>誤り。 加えた糖が完全に発酵すれば甘味は残らず、目的は主にアルコール度の調整である。</x:v>
      </x:c>
      <x:c r="N127" s="165" t="str">
        <x:v>正しい。 成熟不足の果汁へ発酵可能な糖を加え、酵母にアルコールへ変換させる。通常、目的は甘味を残すことではない。</x:v>
      </x:c>
      <x:c r="O127" s="165" t="str">
        <x:v>誤り。 酸度調整は酸の添加など別の処理であり、糖の添加は酸を直接増やさない。</x:v>
      </x:c>
      <x:c r="P127" s="165" t="str">
        <x:v>誤り。 糖の添加はタンニンや色素を除去する工程ではない。</x:v>
      </x:c>
      <x:c r="Q127" s="165" t="str">
        <x:v>人的要因（ワイナリー）</x:v>
      </x:c>
      <x:c r="R127" s="165" t="str">
        <x:v>マスト調整・補糖</x:v>
      </x:c>
      <x:c r="S127" s="165" t="str">
        <x:v>非発泡性ワイン</x:v>
      </x:c>
      <x:c r="T127" s="165"/>
      <x:c r="U127" s="165"/>
      <x:c r="V127" s="165"/>
      <x:c r="W127" s="165" t="str">
        <x:v>知識確認</x:v>
      </x:c>
      <x:c r="X127" s="171" t="str">
        <x:v>D1</x:v>
      </x:c>
      <x:c r="Y127" s="165" t="str">
        <x:v>補糖は甘口化; 補糖で酸増加</x:v>
      </x:c>
      <x:c r="Z127" s="171" t="str">
        <x:v>N</x:v>
      </x:c>
      <x:c r="AA127" s="165"/>
      <x:c r="AB127" s="165" t="str">
        <x:v>オリジナル</x:v>
      </x:c>
      <x:c r="AC127" s="165" t="str">
        <x:v>公式Specificationの範囲＋ユーザー作成コーパスの論点と問題設計例を参考に独自作成</x:v>
      </x:c>
      <x:c r="AD127" s="171" t="str">
        <x:v>未レビュー</x:v>
      </x:c>
      <x:c r="AE127" s="171"/>
      <x:c r="AF127" s="171"/>
      <x:c r="AG127" s="166"/>
    </x:row>
    <x:row r="128" ht="84" customHeight="1">
      <x:c r="A128" s="164" t="str">
        <x:v>LO1-047</x:v>
      </x:c>
      <x:c r="B128" s="171" t="str">
        <x:v>LO1</x:v>
      </x:c>
      <x:c r="C128" s="165" t="str">
        <x:v>ブドウ畑・ワイナリーの自然要因と人的要因</x:v>
      </x:c>
      <x:c r="D128" s="165" t="str">
        <x:v>酸の添加</x:v>
      </x:c>
      <x:c r="E128" s="165" t="str">
        <x:v>温暖な地域で収穫した成熟度の高いブドウ果汁に酸を加える主な目的はどれか。</x:v>
      </x:c>
      <x:c r="F128" s="165" t="str">
        <x:v>残糖を増やし、甘口にする</x:v>
      </x:c>
      <x:c r="G128" s="165" t="str">
        <x:v>果皮の色素をすべて取り除く</x:v>
      </x:c>
      <x:c r="H128" s="165" t="str">
        <x:v>低下した酸度を補い、ワインのバランスと微生物安定性を改善する</x:v>
      </x:c>
      <x:c r="I128" s="165" t="str">
        <x:v>アルコール発酵を行わずにアルコール度を上げる</x:v>
      </x:c>
      <x:c r="J128" s="171" t="str">
        <x:v>C</x:v>
      </x:c>
      <x:c r="K128" s="165" t="str">
        <x:v>低下した酸度を補い、ワインのバランスと微生物安定性を改善する</x:v>
      </x:c>
      <x:c r="L128" s="165" t="str">
        <x:v>高温下ではブドウの酸が減少しやすく、酸の添加によりフレッシュさを整え、pHを下げて安定性を高められる。</x:v>
      </x:c>
      <x:c r="M128" s="165" t="str">
        <x:v>誤り。 酸の添加は糖分を増やさず、甘味を作る処理ではない。</x:v>
      </x:c>
      <x:c r="N128" s="165" t="str">
        <x:v>誤り。 酸度調整の目的は色素除去ではなく、酸とpHの調整である。</x:v>
      </x:c>
      <x:c r="O128" s="165" t="str">
        <x:v>正しい。 高温下ではブドウの酸が減少しやすく、酸の添加によりフレッシュさを整え、pHを下げて安定性を高められる。</x:v>
      </x:c>
      <x:c r="P128" s="165" t="str">
        <x:v>誤り。 酸を加えてもアルコールは増えず、アルコールは発酵または酒精強化で増える。</x:v>
      </x:c>
      <x:c r="Q128" s="165" t="str">
        <x:v>人的要因（ワイナリー）</x:v>
      </x:c>
      <x:c r="R128" s="165" t="str">
        <x:v>マスト調整・酸添加</x:v>
      </x:c>
      <x:c r="S128" s="165" t="str">
        <x:v>非発泡性ワイン</x:v>
      </x:c>
      <x:c r="T128" s="165"/>
      <x:c r="U128" s="165"/>
      <x:c r="V128" s="165"/>
      <x:c r="W128" s="165" t="str">
        <x:v>適用</x:v>
      </x:c>
      <x:c r="X128" s="171" t="str">
        <x:v>D2</x:v>
      </x:c>
      <x:c r="Y128" s="165" t="str">
        <x:v>酸添加で甘味・アルコール増加; 酸添加で脱色</x:v>
      </x:c>
      <x:c r="Z128" s="171" t="str">
        <x:v>N</x:v>
      </x:c>
      <x:c r="AA128" s="165"/>
      <x:c r="AB128" s="165" t="str">
        <x:v>オリジナル</x:v>
      </x:c>
      <x:c r="AC128" s="165" t="str">
        <x:v>公式Specificationの範囲＋ユーザー作成コーパスの論点と問題設計例を参考に独自作成</x:v>
      </x:c>
      <x:c r="AD128" s="171" t="str">
        <x:v>未レビュー</x:v>
      </x:c>
      <x:c r="AE128" s="171"/>
      <x:c r="AF128" s="171"/>
      <x:c r="AG128" s="166"/>
    </x:row>
    <x:row r="129" ht="84" customHeight="1">
      <x:c r="A129" s="164" t="str">
        <x:v>LO1-048</x:v>
      </x:c>
      <x:c r="B129" s="171" t="str">
        <x:v>LO1</x:v>
      </x:c>
      <x:c r="C129" s="165" t="str">
        <x:v>ブドウ畑・ワイナリーの自然要因と人的要因</x:v>
      </x:c>
      <x:c r="D129" s="165" t="str">
        <x:v>除酸</x:v>
      </x:c>
      <x:c r="E129" s="165" t="str">
        <x:v>非常に冷涼な地域の果汁で除酸を検討する主な理由はどれか。</x:v>
      </x:c>
      <x:c r="F129" s="165" t="str">
        <x:v>除酸によって必ず香りが強まり、品質が最高になるため</x:v>
      </x:c>
      <x:c r="G129" s="165" t="str">
        <x:v>除酸により糖分が増え、発酵前の果汁量が倍になるため</x:v>
      </x:c>
      <x:c r="H129" s="165" t="str">
        <x:v>除酸するとタンニンがすべて除去され、赤ワインが白くなるため</x:v>
      </x:c>
      <x:c r="I129" s="165" t="str">
        <x:v>酸が高すぎるとワインが鋭く不均衡になり、発酵や熟成後も飲みにくい可能性があるため</x:v>
      </x:c>
      <x:c r="J129" s="171" t="str">
        <x:v>D</x:v>
      </x:c>
      <x:c r="K129" s="165" t="str">
        <x:v>酸が高すぎるとワインが鋭く不均衡になり、発酵や熟成後も飲みにくい可能性があるため</x:v>
      </x:c>
      <x:c r="L129" s="165" t="str">
        <x:v>成熟が不十分な年には酸が非常に高くなることがあり、除酸によって酸味を和らげ、スタイルのバランスを整える。</x:v>
      </x:c>
      <x:c r="M129" s="165" t="str">
        <x:v>誤り。 除酸はバランス調整の手段で、香りや最高品質を保証しない。</x:v>
      </x:c>
      <x:c r="N129" s="165" t="str">
        <x:v>誤り。 酸を減らしても糖分や果汁量が自動的に増えるわけではない。</x:v>
      </x:c>
      <x:c r="O129" s="165" t="str">
        <x:v>誤り。 除酸はタンニンや色をすべて取り除く処理ではない。</x:v>
      </x:c>
      <x:c r="P129" s="165" t="str">
        <x:v>正しい。 成熟が不十分な年には酸が非常に高くなることがあり、除酸によって酸味を和らげ、スタイルのバランスを整える。</x:v>
      </x:c>
      <x:c r="Q129" s="165" t="str">
        <x:v>人的要因（ワイナリー）</x:v>
      </x:c>
      <x:c r="R129" s="165" t="str">
        <x:v>マスト調整・除酸</x:v>
      </x:c>
      <x:c r="S129" s="165" t="str">
        <x:v>非発泡性ワイン</x:v>
      </x:c>
      <x:c r="T129" s="165"/>
      <x:c r="U129" s="165"/>
      <x:c r="V129" s="165"/>
      <x:c r="W129" s="165" t="str">
        <x:v>適用</x:v>
      </x:c>
      <x:c r="X129" s="171" t="str">
        <x:v>D2</x:v>
      </x:c>
      <x:c r="Y129" s="165" t="str">
        <x:v>除酸で糖・果汁増加; 除酸で脱色脱タンニン</x:v>
      </x:c>
      <x:c r="Z129" s="171" t="str">
        <x:v>N</x:v>
      </x:c>
      <x:c r="AA129" s="165"/>
      <x:c r="AB129" s="165" t="str">
        <x:v>オリジナル</x:v>
      </x:c>
      <x:c r="AC129" s="165" t="str">
        <x:v>公式Specificationの範囲＋ユーザー作成コーパスの論点と問題設計例を参考に独自作成</x:v>
      </x:c>
      <x:c r="AD129" s="171" t="str">
        <x:v>未レビュー</x:v>
      </x:c>
      <x:c r="AE129" s="171"/>
      <x:c r="AF129" s="171"/>
      <x:c r="AG129" s="166"/>
    </x:row>
    <x:row r="130" ht="84" customHeight="1">
      <x:c r="A130" s="164" t="str">
        <x:v>LO1-049</x:v>
      </x:c>
      <x:c r="B130" s="171" t="str">
        <x:v>LO1</x:v>
      </x:c>
      <x:c r="C130" s="165" t="str">
        <x:v>ブドウ畑・ワイナリーの自然要因と人的要因</x:v>
      </x:c>
      <x:c r="D130" s="165" t="str">
        <x:v>酵母選択</x:v>
      </x:c>
      <x:c r="E130" s="165" t="str">
        <x:v>培養酵母を使用する利点として最も適切なものはどれか。</x:v>
      </x:c>
      <x:c r="F130" s="165" t="str">
        <x:v>発酵の開始と完了を予測しやすく、望む条件に合う酵母株を選べる</x:v>
      </x:c>
      <x:c r="G130" s="165" t="str">
        <x:v>発酵中の温度管理が一切不要になる</x:v>
      </x:c>
      <x:c r="H130" s="165" t="str">
        <x:v>すべてのワインを同じ香りと品質にする</x:v>
      </x:c>
      <x:c r="I130" s="165" t="str">
        <x:v>発酵せずに糖をアルコールへ瞬時に変える</x:v>
      </x:c>
      <x:c r="J130" s="171" t="str">
        <x:v>A</x:v>
      </x:c>
      <x:c r="K130" s="165" t="str">
        <x:v>発酵の開始と完了を予測しやすく、望む条件に合う酵母株を選べる</x:v>
      </x:c>
      <x:c r="L130" s="165" t="str">
        <x:v>培養酵母はアルコール耐性、温度適性、香りへの影響などが把握され、停滞発酵のリスクを管理しやすい。</x:v>
      </x:c>
      <x:c r="M130" s="165" t="str">
        <x:v>正しい。 培養酵母はアルコール耐性、温度適性、香りへの影響などが把握され、停滞発酵のリスクを管理しやすい。</x:v>
      </x:c>
      <x:c r="N130" s="165" t="str">
        <x:v>誤り。 培養酵母を使っても温度、栄養、酸素、衛生などの管理は必要である。</x:v>
      </x:c>
      <x:c r="O130" s="165" t="str">
        <x:v>誤り。 酵母は一要因にすぎず、品種、果実、醸造、熟成によりスタイルは異なる。</x:v>
      </x:c>
      <x:c r="P130" s="165" t="str">
        <x:v>誤り。 アルコール生成には酵母による発酵過程が必要で、瞬時に変換するものではない。</x:v>
      </x:c>
      <x:c r="Q130" s="165" t="str">
        <x:v>人的要因（ワイナリー）</x:v>
      </x:c>
      <x:c r="R130" s="165" t="str">
        <x:v>アルコール発酵・酵母</x:v>
      </x:c>
      <x:c r="S130" s="165" t="str">
        <x:v>非発泡性ワイン</x:v>
      </x:c>
      <x:c r="T130" s="165"/>
      <x:c r="U130" s="165"/>
      <x:c r="V130" s="165"/>
      <x:c r="W130" s="165" t="str">
        <x:v>因果説明</x:v>
      </x:c>
      <x:c r="X130" s="171" t="str">
        <x:v>D2</x:v>
      </x:c>
      <x:c r="Y130" s="165" t="str">
        <x:v>培養酵母で管理不要; 培養酵母は発酵不要</x:v>
      </x:c>
      <x:c r="Z130" s="171" t="str">
        <x:v>N</x:v>
      </x:c>
      <x:c r="AA130" s="165"/>
      <x:c r="AB130" s="165" t="str">
        <x:v>オリジナル</x:v>
      </x:c>
      <x:c r="AC130" s="165" t="str">
        <x:v>公式Specificationの範囲＋ユーザー作成コーパスの論点と問題設計例を参考に独自作成</x:v>
      </x:c>
      <x:c r="AD130" s="171" t="str">
        <x:v>未レビュー</x:v>
      </x:c>
      <x:c r="AE130" s="171"/>
      <x:c r="AF130" s="171"/>
      <x:c r="AG130" s="166"/>
    </x:row>
    <x:row r="131" ht="84" customHeight="1">
      <x:c r="A131" s="164" t="str">
        <x:v>LO1-050</x:v>
      </x:c>
      <x:c r="B131" s="171" t="str">
        <x:v>LO1</x:v>
      </x:c>
      <x:c r="C131" s="165" t="str">
        <x:v>ブドウ畑・ワイナリーの自然要因と人的要因</x:v>
      </x:c>
      <x:c r="D131" s="165" t="str">
        <x:v>白ワインの発酵温度</x:v>
      </x:c>
      <x:c r="E131" s="165" t="str">
        <x:v>アロマティックな白ワインを比較的低温で発酵する主な目的はどれか。</x:v>
      </x:c>
      <x:c r="F131" s="165" t="str">
        <x:v>果皮から最大量のタンニンと濃い色を抽出する</x:v>
      </x:c>
      <x:c r="G131" s="165" t="str">
        <x:v>揮発性の果実香を保持し、フレッシュなスタイルを得る</x:v>
      </x:c>
      <x:c r="H131" s="165" t="str">
        <x:v>ワインを必ず無酸にし、pHを上げる</x:v>
      </x:c>
      <x:c r="I131" s="165" t="str">
        <x:v>発酵を一瞬で完了させ、冷却費をなくす</x:v>
      </x:c>
      <x:c r="J131" s="171" t="str">
        <x:v>B</x:v>
      </x:c>
      <x:c r="K131" s="165" t="str">
        <x:v>揮発性の果実香を保持し、フレッシュなスタイルを得る</x:v>
      </x:c>
      <x:c r="L131" s="165" t="str">
        <x:v>低温発酵は香気成分の揮散を抑え、酵母由来のフルーティーな香りも保ちやすいが、発酵は遅くなり得る。</x:v>
      </x:c>
      <x:c r="M131" s="165" t="str">
        <x:v>誤り。 白ワインの低温発酵の主目的ではなく、抽出は主に果皮接触や温度などで管理する。</x:v>
      </x:c>
      <x:c r="N131" s="165" t="str">
        <x:v>正しい。 低温発酵は香気成分の揮散を抑え、酵母由来のフルーティーな香りも保ちやすいが、発酵は遅くなり得る。</x:v>
      </x:c>
      <x:c r="O131" s="165" t="str">
        <x:v>誤り。 発酵温度が酸を必ず消すわけではなく、酸度は品種、成熟、MLF、調整などにも左右される。</x:v>
      </x:c>
      <x:c r="P131" s="165" t="str">
        <x:v>誤り。 低温では発酵が遅くなることがあり、温度管理の冷却費も必要となる。</x:v>
      </x:c>
      <x:c r="Q131" s="165" t="str">
        <x:v>人的要因（ワイナリー）</x:v>
      </x:c>
      <x:c r="R131" s="165" t="str">
        <x:v>アルコール発酵・温度</x:v>
      </x:c>
      <x:c r="S131" s="165" t="str">
        <x:v>非発泡性ワイン</x:v>
      </x:c>
      <x:c r="T131" s="165"/>
      <x:c r="U131" s="165"/>
      <x:c r="V131" s="165"/>
      <x:c r="W131" s="165" t="str">
        <x:v>因果説明</x:v>
      </x:c>
      <x:c r="X131" s="171" t="str">
        <x:v>D1</x:v>
      </x:c>
      <x:c r="Y131" s="165" t="str">
        <x:v>低温で抽出最大; 低温発酵は瞬時に完了</x:v>
      </x:c>
      <x:c r="Z131" s="171" t="str">
        <x:v>N</x:v>
      </x:c>
      <x:c r="AA131" s="165"/>
      <x:c r="AB131" s="165" t="str">
        <x:v>オリジナル</x:v>
      </x:c>
      <x:c r="AC131" s="165" t="str">
        <x:v>公式Specificationの範囲＋ユーザー作成コーパスの論点と問題設計例を参考に独自作成</x:v>
      </x:c>
      <x:c r="AD131" s="171" t="str">
        <x:v>未レビュー</x:v>
      </x:c>
      <x:c r="AE131" s="171"/>
      <x:c r="AF131" s="171"/>
      <x:c r="AG131" s="166"/>
    </x:row>
    <x:row r="132" ht="84" customHeight="1">
      <x:c r="A132" s="164" t="str">
        <x:v>LO1-051</x:v>
      </x:c>
      <x:c r="B132" s="171" t="str">
        <x:v>LO1</x:v>
      </x:c>
      <x:c r="C132" s="165" t="str">
        <x:v>ブドウ畑・ワイナリーの自然要因と人的要因</x:v>
      </x:c>
      <x:c r="D132" s="165" t="str">
        <x:v>赤ワインの発酵温度</x:v>
      </x:c>
      <x:c r="E132" s="165" t="str">
        <x:v>赤ワインを白ワインより高めの温度で発酵することが多い主な理由はどれか。</x:v>
      </x:c>
      <x:c r="F132" s="165" t="str">
        <x:v>糖を発酵させず、そのまま残すため</x:v>
      </x:c>
      <x:c r="G132" s="165" t="str">
        <x:v>酸素を完全に固体化し、酸化を不可能にするため</x:v>
      </x:c>
      <x:c r="H132" s="165" t="str">
        <x:v>果皮から色素とタンニンを抽出しやすくする</x:v>
      </x:c>
      <x:c r="I132" s="165" t="str">
        <x:v>果皮を使わずに濃い色を得るため</x:v>
      </x:c>
      <x:c r="J132" s="171" t="str">
        <x:v>C</x:v>
      </x:c>
      <x:c r="K132" s="165" t="str">
        <x:v>果皮から色素とタンニンを抽出しやすくする</x:v>
      </x:c>
      <x:c r="L132" s="165" t="str">
        <x:v>高めの温度は果皮成分の抽出を促し、色と構造を得やすい。一方、過度な高温は酵母や香りに悪影響を与える。</x:v>
      </x:c>
      <x:c r="M132" s="165" t="str">
        <x:v>誤り。 高温は発酵を止めるためではなく、酵母が働ける範囲では発酵と抽出を進める。</x:v>
      </x:c>
      <x:c r="N132" s="165" t="str">
        <x:v>誤り。 温度によって酸素が固体化することはなく、酸素管理は別途必要である。</x:v>
      </x:c>
      <x:c r="O132" s="165" t="str">
        <x:v>正しい。 高めの温度は果皮成分の抽出を促し、色と構造を得やすい。一方、過度な高温は酵母や香りに悪影響を与える。</x:v>
      </x:c>
      <x:c r="P132" s="165" t="str">
        <x:v>誤り。 赤ワインの色は主に黒ブドウの果皮から抽出される。</x:v>
      </x:c>
      <x:c r="Q132" s="165" t="str">
        <x:v>人的要因（ワイナリー）</x:v>
      </x:c>
      <x:c r="R132" s="165" t="str">
        <x:v>赤ワイン発酵・温度</x:v>
      </x:c>
      <x:c r="S132" s="165" t="str">
        <x:v>非発泡性ワイン</x:v>
      </x:c>
      <x:c r="T132" s="165"/>
      <x:c r="U132" s="165"/>
      <x:c r="V132" s="165"/>
      <x:c r="W132" s="165" t="str">
        <x:v>因果説明</x:v>
      </x:c>
      <x:c r="X132" s="171" t="str">
        <x:v>D1</x:v>
      </x:c>
      <x:c r="Y132" s="165" t="str">
        <x:v>高温で発酵停止; 果皮なしで赤色</x:v>
      </x:c>
      <x:c r="Z132" s="171" t="str">
        <x:v>N</x:v>
      </x:c>
      <x:c r="AA132" s="165"/>
      <x:c r="AB132" s="165" t="str">
        <x:v>オリジナル</x:v>
      </x:c>
      <x:c r="AC132" s="165" t="str">
        <x:v>公式Specificationの範囲＋ユーザー作成コーパスの論点と問題設計例を参考に独自作成</x:v>
      </x:c>
      <x:c r="AD132" s="171" t="str">
        <x:v>未レビュー</x:v>
      </x:c>
      <x:c r="AE132" s="171"/>
      <x:c r="AF132" s="171"/>
      <x:c r="AG132" s="166"/>
    </x:row>
    <x:row r="133" ht="84" customHeight="1">
      <x:c r="A133" s="164" t="str">
        <x:v>LO1-052</x:v>
      </x:c>
      <x:c r="B133" s="171" t="str">
        <x:v>LO1</x:v>
      </x:c>
      <x:c r="C133" s="165" t="str">
        <x:v>ブドウ畑・ワイナリーの自然要因と人的要因</x:v>
      </x:c>
      <x:c r="D133" s="165" t="str">
        <x:v>キャップ・マネジメント</x:v>
      </x:c>
      <x:c r="E133" s="165" t="str">
        <x:v>赤ワイン発酵中にポンピング・オーバーやパンチング・ダウンを行う主な目的はどれか。</x:v>
      </x:c>
      <x:c r="F133" s="165" t="str">
        <x:v>果汁を凍らせ、糖を氷として除去する</x:v>
      </x:c>
      <x:c r="G133" s="165" t="str">
        <x:v>ワインからすべての色素とタンニンを除去する</x:v>
      </x:c>
      <x:c r="H133" s="165" t="str">
        <x:v>瓶内の澱を口元へ集める</x:v>
      </x:c>
      <x:c r="I133" s="165" t="str">
        <x:v>果皮を果汁と接触させ、色、タンニン、風味の抽出を調整する</x:v>
      </x:c>
      <x:c r="J133" s="171" t="str">
        <x:v>D</x:v>
      </x:c>
      <x:c r="K133" s="165" t="str">
        <x:v>果皮を果汁と接触させ、色、タンニン、風味の抽出を調整する</x:v>
      </x:c>
      <x:c r="L133" s="165" t="str">
        <x:v>発酵で浮き上がる果皮の層を果汁へ戻し、抽出、温度、酸素供給を管理する。頻度と強さでスタイルを調整できる。</x:v>
      </x:c>
      <x:c r="M133" s="165" t="str">
        <x:v>誤り。 キャップ・マネジメントは発酵槽内の果皮を管理する操作で、凍結濃縮ではない。</x:v>
      </x:c>
      <x:c r="N133" s="165" t="str">
        <x:v>誤り。 一般には色素とタンニンの抽出を促す操作であり、除去するものではない。</x:v>
      </x:c>
      <x:c r="O133" s="165" t="str">
        <x:v>誤り。 これは発泡性ワインのルミュアージュに関する説明である。</x:v>
      </x:c>
      <x:c r="P133" s="165" t="str">
        <x:v>正しい。 発酵で浮き上がる果皮の層を果汁へ戻し、抽出、温度、酸素供給を管理する。頻度と強さでスタイルを調整できる。</x:v>
      </x:c>
      <x:c r="Q133" s="165" t="str">
        <x:v>人的要因（ワイナリー）</x:v>
      </x:c>
      <x:c r="R133" s="165" t="str">
        <x:v>赤ワイン発酵・抽出</x:v>
      </x:c>
      <x:c r="S133" s="165" t="str">
        <x:v>非発泡性ワイン</x:v>
      </x:c>
      <x:c r="T133" s="165"/>
      <x:c r="U133" s="165"/>
      <x:c r="V133" s="165"/>
      <x:c r="W133" s="165" t="str">
        <x:v>因果説明</x:v>
      </x:c>
      <x:c r="X133" s="171" t="str">
        <x:v>D2</x:v>
      </x:c>
      <x:c r="Y133" s="165" t="str">
        <x:v>キャップ管理は凍結・除去; ルミュアージュとの混同</x:v>
      </x:c>
      <x:c r="Z133" s="171" t="str">
        <x:v>N</x:v>
      </x:c>
      <x:c r="AA133" s="165"/>
      <x:c r="AB133" s="165" t="str">
        <x:v>オリジナル</x:v>
      </x:c>
      <x:c r="AC133" s="165" t="str">
        <x:v>公式Specificationの範囲＋ユーザー作成コーパスの論点と問題設計例を参考に独自作成</x:v>
      </x:c>
      <x:c r="AD133" s="171" t="str">
        <x:v>未レビュー</x:v>
      </x:c>
      <x:c r="AE133" s="171"/>
      <x:c r="AF133" s="171"/>
      <x:c r="AG133" s="166"/>
    </x:row>
    <x:row r="134" ht="84" customHeight="1">
      <x:c r="A134" s="164" t="str">
        <x:v>LO1-053</x:v>
      </x:c>
      <x:c r="B134" s="171" t="str">
        <x:v>LO1</x:v>
      </x:c>
      <x:c r="C134" s="165" t="str">
        <x:v>ブドウ畑・ワイナリーの自然要因と人的要因</x:v>
      </x:c>
      <x:c r="D134" s="165" t="str">
        <x:v>全房発酵</x:v>
      </x:c>
      <x:c r="E134" s="165" t="str">
        <x:v>熟した梗を含む全房を赤ワイン発酵に用いた場合に起こり得る影響はどれか。</x:v>
      </x:c>
      <x:c r="F134" s="165" t="str">
        <x:v>香りの複雑性とタンニンが増す一方、未熟な梗なら青い風味が出る可能性がある</x:v>
      </x:c>
      <x:c r="G134" s="165" t="str">
        <x:v>果皮と梗が発酵槽に入らないため、色が必ず無色になる</x:v>
      </x:c>
      <x:c r="H134" s="165" t="str">
        <x:v>糖がなくなるため、アルコール発酵が起こらない</x:v>
      </x:c>
      <x:c r="I134" s="165" t="str">
        <x:v>梗がワインの酸をすべて増やし、pHを必ず下げる</x:v>
      </x:c>
      <x:c r="J134" s="171" t="str">
        <x:v>A</x:v>
      </x:c>
      <x:c r="K134" s="165" t="str">
        <x:v>香りの複雑性とタンニンが増す一方、未熟な梗なら青い風味が出る可能性がある</x:v>
      </x:c>
      <x:c r="L134" s="165" t="str">
        <x:v>全房はスパイスや花の香り、構造、果粒内発酵の特徴を加え得るが、梗の成熟度が低いと青臭さや粗いタンニンが出る。</x:v>
      </x:c>
      <x:c r="M134" s="165" t="str">
        <x:v>正しい。 全房はスパイスや花の香り、構造、果粒内発酵の特徴を加え得るが、梗の成熟度が低いと青臭さや粗いタンニンが出る。</x:v>
      </x:c>
      <x:c r="N134" s="165" t="str">
        <x:v>誤り。 全房は果皮と梗を含めて発酵槽へ入れる方法であり、説明が逆である。</x:v>
      </x:c>
      <x:c r="O134" s="165" t="str">
        <x:v>誤り。 果粒には糖があり、破砕果汁や果粒内で発酵が進む。</x:v>
      </x:c>
      <x:c r="P134" s="165" t="str">
        <x:v>誤り。 梗はカリウムを含み、条件によってはpHを上げることもあり、酸を必ず増やすわけではない。</x:v>
      </x:c>
      <x:c r="Q134" s="165" t="str">
        <x:v>人的要因（ワイナリー）</x:v>
      </x:c>
      <x:c r="R134" s="165" t="str">
        <x:v>赤ワイン・全房発酵</x:v>
      </x:c>
      <x:c r="S134" s="165" t="str">
        <x:v>非発泡性ワイン</x:v>
      </x:c>
      <x:c r="T134" s="165"/>
      <x:c r="U134" s="165"/>
      <x:c r="V134" s="165"/>
      <x:c r="W134" s="165" t="str">
        <x:v>統合判断</x:v>
      </x:c>
      <x:c r="X134" s="171" t="str">
        <x:v>D3</x:v>
      </x:c>
      <x:c r="Y134" s="165" t="str">
        <x:v>全房発酵は果皮なし; 梗で酸が必ず増える</x:v>
      </x:c>
      <x:c r="Z134" s="171" t="str">
        <x:v>N</x:v>
      </x:c>
      <x:c r="AA134" s="165"/>
      <x:c r="AB134" s="165" t="str">
        <x:v>オリジナル</x:v>
      </x:c>
      <x:c r="AC134" s="165" t="str">
        <x:v>公式Specificationの範囲＋ユーザー作成コーパスの論点と問題設計例を参考に独自作成</x:v>
      </x:c>
      <x:c r="AD134" s="171" t="str">
        <x:v>未レビュー</x:v>
      </x:c>
      <x:c r="AE134" s="171"/>
      <x:c r="AF134" s="171"/>
      <x:c r="AG134" s="166"/>
    </x:row>
    <x:row r="135" ht="84" customHeight="1">
      <x:c r="A135" s="164" t="str">
        <x:v>LO1-054</x:v>
      </x:c>
      <x:c r="B135" s="171" t="str">
        <x:v>LO1</x:v>
      </x:c>
      <x:c r="C135" s="165" t="str">
        <x:v>ブドウ畑・ワイナリーの自然要因と人的要因</x:v>
      </x:c>
      <x:c r="D135" s="165" t="str">
        <x:v>除梗</x:v>
      </x:c>
      <x:c r="E135" s="165" t="str">
        <x:v>赤ワイン醸造で除梗を行う主な理由として最も適切なものはどれか。</x:v>
      </x:c>
      <x:c r="F135" s="165" t="str">
        <x:v>果汁中の糖をすべて除去し、低アルコールにする</x:v>
      </x:c>
      <x:c r="G135" s="165" t="str">
        <x:v>未熟な梗由来の青い風味や粗いタンニンを避け、抽出を果皮中心に管理する</x:v>
      </x:c>
      <x:c r="H135" s="165" t="str">
        <x:v>発酵後の澱を瓶口へ集める</x:v>
      </x:c>
      <x:c r="I135" s="165" t="str">
        <x:v>ブドウ品種を別の品種へ変える</x:v>
      </x:c>
      <x:c r="J135" s="171" t="str">
        <x:v>B</x:v>
      </x:c>
      <x:c r="K135" s="165" t="str">
        <x:v>未熟な梗由来の青い風味や粗いタンニンを避け、抽出を果皮中心に管理する</x:v>
      </x:c>
      <x:c r="L135" s="165" t="str">
        <x:v>梗を取り除くことで、梗由来の草本的風味やタンニンの影響を減らし、果皮と種子からの抽出を調整しやすくする。</x:v>
      </x:c>
      <x:c r="M135" s="165" t="str">
        <x:v>誤り。 除梗は梗を取り除く工程であり、果汁の糖を除去しない。</x:v>
      </x:c>
      <x:c r="N135" s="165" t="str">
        <x:v>正しい。 梗を取り除くことで、梗由来の草本的風味やタンニンの影響を減らし、果皮と種子からの抽出を調整しやすくする。</x:v>
      </x:c>
      <x:c r="O135" s="165" t="str">
        <x:v>誤り。 これは発泡性ワインの動瓶工程であり、除梗とは異なる。</x:v>
      </x:c>
      <x:c r="P135" s="165" t="str">
        <x:v>誤り。 除梗でブドウの遺伝的な品種が変わることはない。</x:v>
      </x:c>
      <x:c r="Q135" s="165" t="str">
        <x:v>人的要因（ワイナリー）</x:v>
      </x:c>
      <x:c r="R135" s="165" t="str">
        <x:v>ブドウ受入・除梗</x:v>
      </x:c>
      <x:c r="S135" s="165" t="str">
        <x:v>非発泡性ワイン</x:v>
      </x:c>
      <x:c r="T135" s="165"/>
      <x:c r="U135" s="165"/>
      <x:c r="V135" s="165"/>
      <x:c r="W135" s="165" t="str">
        <x:v>因果説明</x:v>
      </x:c>
      <x:c r="X135" s="171" t="str">
        <x:v>D1</x:v>
      </x:c>
      <x:c r="Y135" s="165" t="str">
        <x:v>除梗で糖除去; 除梗と動瓶の混同</x:v>
      </x:c>
      <x:c r="Z135" s="171" t="str">
        <x:v>N</x:v>
      </x:c>
      <x:c r="AA135" s="165"/>
      <x:c r="AB135" s="165" t="str">
        <x:v>オリジナル</x:v>
      </x:c>
      <x:c r="AC135" s="165" t="str">
        <x:v>公式Specificationの範囲＋ユーザー作成コーパスの論点と問題設計例を参考に独自作成</x:v>
      </x:c>
      <x:c r="AD135" s="171" t="str">
        <x:v>未レビュー</x:v>
      </x:c>
      <x:c r="AE135" s="171"/>
      <x:c r="AF135" s="171"/>
      <x:c r="AG135" s="166"/>
    </x:row>
    <x:row r="136" ht="84" customHeight="1">
      <x:c r="A136" s="164" t="str">
        <x:v>LO1-055</x:v>
      </x:c>
      <x:c r="B136" s="171" t="str">
        <x:v>LO1</x:v>
      </x:c>
      <x:c r="C136" s="165" t="str">
        <x:v>ブドウ畑・ワイナリーの自然要因と人的要因</x:v>
      </x:c>
      <x:c r="D136" s="165" t="str">
        <x:v>白ワインの果皮接触</x:v>
      </x:c>
      <x:c r="E136" s="165" t="str">
        <x:v>芳香性白ブドウで発酵前に短時間の果皮接触を行う際の主な利点とリスクはどれか。</x:v>
      </x:c>
      <x:c r="F136" s="165" t="str">
        <x:v>香りをすべて除去できる一方、糖度が必ず上がる</x:v>
      </x:c>
      <x:c r="G136" s="165" t="str">
        <x:v>色とタンニンが完全になくなる一方、果汁量が倍になる</x:v>
      </x:c>
      <x:c r="H136" s="165" t="str">
        <x:v>香り成分を抽出できる一方、過度なら苦味、フェノール、酸化のリスクが増す</x:v>
      </x:c>
      <x:c r="I136" s="165" t="str">
        <x:v>発酵が不要になる一方、アルコール度が自然に上がる</x:v>
      </x:c>
      <x:c r="J136" s="171" t="str">
        <x:v>C</x:v>
      </x:c>
      <x:c r="K136" s="165" t="str">
        <x:v>香り成分を抽出できる一方、過度なら苦味、フェノール、酸化のリスクが増す</x:v>
      </x:c>
      <x:c r="L136" s="165" t="str">
        <x:v>多くの香気前駆体は果皮周辺にあるため抽出が増えるが、長すぎる接触は望ましくないフェノールや酸化も招き得る。</x:v>
      </x:c>
      <x:c r="M136" s="165" t="str">
        <x:v>誤り。 果皮接触は香り抽出を目的とすることがあり、香りをすべて除去したり糖度を必ず上げたりしない。</x:v>
      </x:c>
      <x:c r="N136" s="165" t="str">
        <x:v>誤り。 果皮接触はフェノールを増やす可能性があり、果汁量を倍にするものではない。</x:v>
      </x:c>
      <x:c r="O136" s="165" t="str">
        <x:v>正しい。 多くの香気前駆体は果皮周辺にあるため抽出が増えるが、長すぎる接触は望ましくないフェノールや酸化も招き得る。</x:v>
      </x:c>
      <x:c r="P136" s="165" t="str">
        <x:v>誤り。 アルコール生成には発酵が必要で、果皮接触だけではアルコールは生じない。</x:v>
      </x:c>
      <x:c r="Q136" s="165" t="str">
        <x:v>人的要因（ワイナリー）</x:v>
      </x:c>
      <x:c r="R136" s="165" t="str">
        <x:v>白ワイン・果皮接触</x:v>
      </x:c>
      <x:c r="S136" s="165" t="str">
        <x:v>非発泡性ワイン</x:v>
      </x:c>
      <x:c r="T136" s="165"/>
      <x:c r="U136" s="165"/>
      <x:c r="V136" s="165"/>
      <x:c r="W136" s="165" t="str">
        <x:v>統合判断</x:v>
      </x:c>
      <x:c r="X136" s="171" t="str">
        <x:v>D3</x:v>
      </x:c>
      <x:c r="Y136" s="165" t="str">
        <x:v>果皮接触で香り除去・糖増加; 発酵不要</x:v>
      </x:c>
      <x:c r="Z136" s="171" t="str">
        <x:v>N</x:v>
      </x:c>
      <x:c r="AA136" s="165"/>
      <x:c r="AB136" s="165" t="str">
        <x:v>オリジナル</x:v>
      </x:c>
      <x:c r="AC136" s="165" t="str">
        <x:v>公式Specificationの範囲＋ユーザー作成コーパスの論点と問題設計例を参考に独自作成</x:v>
      </x:c>
      <x:c r="AD136" s="171" t="str">
        <x:v>未レビュー</x:v>
      </x:c>
      <x:c r="AE136" s="171"/>
      <x:c r="AF136" s="171"/>
      <x:c r="AG136" s="166"/>
    </x:row>
    <x:row r="137" ht="84" customHeight="1">
      <x:c r="A137" s="164" t="str">
        <x:v>LO1-056</x:v>
      </x:c>
      <x:c r="B137" s="171" t="str">
        <x:v>LO1</x:v>
      </x:c>
      <x:c r="C137" s="165" t="str">
        <x:v>ブドウ畑・ワイナリーの自然要因と人的要因</x:v>
      </x:c>
      <x:c r="D137" s="165" t="str">
        <x:v>セニエ法</x:v>
      </x:c>
      <x:c r="E137" s="165" t="str">
        <x:v>セニエ法でロゼワインを造る方法として最も適切なものはどれか。</x:v>
      </x:c>
      <x:c r="F137" s="165" t="str">
        <x:v>完成した赤ワインへ水を加え、色を薄める</x:v>
      </x:c>
      <x:c r="G137" s="165" t="str">
        <x:v>白ブドウを長期間果皮と発酵させ、黒くする</x:v>
      </x:c>
      <x:c r="H137" s="165" t="str">
        <x:v>瓶内二次発酵後に澱を抜き、色を付ける</x:v>
      </x:c>
      <x:c r="I137" s="165" t="str">
        <x:v>黒ブドウを短時間醸した後、着色した果汁の一部を抜き取り、別に発酵させる</x:v>
      </x:c>
      <x:c r="J137" s="171" t="str">
        <x:v>D</x:v>
      </x:c>
      <x:c r="K137" s="165" t="str">
        <x:v>黒ブドウを短時間醸した後、着色した果汁の一部を抜き取り、別に発酵させる</x:v>
      </x:c>
      <x:c r="L137" s="165" t="str">
        <x:v>セニエでは赤ワイン用の果皮と果汁を接触させたタンクから淡く着色した果汁を抜き、ロゼとして発酵する。残る赤ワインの果皮比率も高まる。</x:v>
      </x:c>
      <x:c r="M137" s="165" t="str">
        <x:v>誤り。 水で希釈する方法ではなく、発酵前または初期の果汁を抜き取る。</x:v>
      </x:c>
      <x:c r="N137" s="165" t="str">
        <x:v>誤り。 セニエは通常黒ブドウを用いるロゼ製法であり、白ブドウを黒くする方法ではない。</x:v>
      </x:c>
      <x:c r="O137" s="165" t="str">
        <x:v>誤り。 澱抜きは発泡性ワインの工程で、セニエの着色方法ではない。</x:v>
      </x:c>
      <x:c r="P137" s="165" t="str">
        <x:v>正しい。 セニエでは赤ワイン用の果皮と果汁を接触させたタンクから淡く着色した果汁を抜き、ロゼとして発酵する。残る赤ワインの果皮比率も高まる。</x:v>
      </x:c>
      <x:c r="Q137" s="165" t="str">
        <x:v>人的要因（ワイナリー）</x:v>
      </x:c>
      <x:c r="R137" s="165" t="str">
        <x:v>ロゼ・セニエ</x:v>
      </x:c>
      <x:c r="S137" s="165" t="str">
        <x:v>非発泡性ロゼ</x:v>
      </x:c>
      <x:c r="T137" s="165"/>
      <x:c r="U137" s="165"/>
      <x:c r="V137" s="165"/>
      <x:c r="W137" s="165" t="str">
        <x:v>知識確認</x:v>
      </x:c>
      <x:c r="X137" s="171" t="str">
        <x:v>D1</x:v>
      </x:c>
      <x:c r="Y137" s="165" t="str">
        <x:v>セニエは希釈; セニエと澱抜きの混同</x:v>
      </x:c>
      <x:c r="Z137" s="171" t="str">
        <x:v>N</x:v>
      </x:c>
      <x:c r="AA137" s="165"/>
      <x:c r="AB137" s="165" t="str">
        <x:v>オリジナル</x:v>
      </x:c>
      <x:c r="AC137" s="165" t="str">
        <x:v>公式Specificationの範囲＋ユーザー作成コーパスの論点と問題設計例を参考に独自作成</x:v>
      </x:c>
      <x:c r="AD137" s="171" t="str">
        <x:v>未レビュー</x:v>
      </x:c>
      <x:c r="AE137" s="171"/>
      <x:c r="AF137" s="171"/>
      <x:c r="AG137" s="166"/>
    </x:row>
    <x:row r="138" ht="84" customHeight="1">
      <x:c r="A138" s="164" t="str">
        <x:v>LO1-057</x:v>
      </x:c>
      <x:c r="B138" s="171" t="str">
        <x:v>LO1</x:v>
      </x:c>
      <x:c r="C138" s="165" t="str">
        <x:v>ブドウ畑・ワイナリーの自然要因と人的要因</x:v>
      </x:c>
      <x:c r="D138" s="165" t="str">
        <x:v>直接圧搾ロゼ</x:v>
      </x:c>
      <x:c r="E138" s="165" t="str">
        <x:v>黒ブドウを直接圧搾して造るロゼが淡い色になりやすい主な理由はどれか。</x:v>
      </x:c>
      <x:c r="F138" s="165" t="str">
        <x:v>果汁と果皮の接触時間が短く、色素の抽出が少ないため</x:v>
      </x:c>
      <x:c r="G138" s="165" t="str">
        <x:v>黒ブドウの果肉に色素がなく、果皮も一切圧搾機に入らないため</x:v>
      </x:c>
      <x:c r="H138" s="165" t="str">
        <x:v>発酵後にすべての色素を濾過で取り除くため</x:v>
      </x:c>
      <x:c r="I138" s="165" t="str">
        <x:v>白ワインと必ず半量ずつブレンドするため</x:v>
      </x:c>
      <x:c r="J138" s="171" t="str">
        <x:v>A</x:v>
      </x:c>
      <x:c r="K138" s="165" t="str">
        <x:v>果汁と果皮の接触時間が短く、色素の抽出が少ないため</x:v>
      </x:c>
      <x:c r="L138" s="165" t="str">
        <x:v>黒ブドウの果肉は通常無色で、色素は果皮にある。早く圧搾して接触を最小限にすると淡いロゼになる。</x:v>
      </x:c>
      <x:c r="M138" s="165" t="str">
        <x:v>正しい。 黒ブドウの果肉は通常無色で、色素は果皮にある。早く圧搾して接触を最小限にすると淡いロゼになる。</x:v>
      </x:c>
      <x:c r="N138" s="165" t="str">
        <x:v>誤り。 果皮は圧搾機に入るが、接触時間と抽出が少ないことがポイントである。</x:v>
      </x:c>
      <x:c r="O138" s="165" t="str">
        <x:v>誤り。 通常は発酵前の短い接触で淡色を得るのであり、色素をすべて濾過する方法ではない。</x:v>
      </x:c>
      <x:c r="P138" s="165" t="str">
        <x:v>誤り。 非発泡性ロゼは通常、白と赤を必ず半量ずつ混ぜるわけではない。</x:v>
      </x:c>
      <x:c r="Q138" s="165" t="str">
        <x:v>人的要因（ワイナリー）</x:v>
      </x:c>
      <x:c r="R138" s="165" t="str">
        <x:v>ロゼ・直接圧搾</x:v>
      </x:c>
      <x:c r="S138" s="165" t="str">
        <x:v>非発泡性ロゼ</x:v>
      </x:c>
      <x:c r="T138" s="165"/>
      <x:c r="U138" s="165"/>
      <x:c r="V138" s="165"/>
      <x:c r="W138" s="165" t="str">
        <x:v>因果説明</x:v>
      </x:c>
      <x:c r="X138" s="171" t="str">
        <x:v>D2</x:v>
      </x:c>
      <x:c r="Y138" s="165" t="str">
        <x:v>直接圧搾で果皮不使用; ロゼは必ず白赤ブレンド</x:v>
      </x:c>
      <x:c r="Z138" s="171" t="str">
        <x:v>N</x:v>
      </x:c>
      <x:c r="AA138" s="165"/>
      <x:c r="AB138" s="165" t="str">
        <x:v>オリジナル</x:v>
      </x:c>
      <x:c r="AC138" s="165" t="str">
        <x:v>公式Specificationの範囲＋ユーザー作成コーパスの論点と問題設計例を参考に独自作成</x:v>
      </x:c>
      <x:c r="AD138" s="171" t="str">
        <x:v>未レビュー</x:v>
      </x:c>
      <x:c r="AE138" s="171"/>
      <x:c r="AF138" s="171"/>
      <x:c r="AG138" s="166"/>
    </x:row>
    <x:row r="139" ht="84" customHeight="1">
      <x:c r="A139" s="164" t="str">
        <x:v>LO1-058</x:v>
      </x:c>
      <x:c r="B139" s="171" t="str">
        <x:v>LO1</x:v>
      </x:c>
      <x:c r="C139" s="165" t="str">
        <x:v>ブドウ畑・ワイナリーの自然要因と人的要因</x:v>
      </x:c>
      <x:c r="D139" s="165" t="str">
        <x:v>不活性ガス</x:v>
      </x:c>
      <x:c r="E139" s="165" t="str">
        <x:v>ワイナリーで窒素や二酸化炭素などの不活性ガスを使用する主な目的はどれか。</x:v>
      </x:c>
      <x:c r="F139" s="165" t="str">
        <x:v>果汁へ糖と酸を同時に加える</x:v>
      </x:c>
      <x:c r="G139" s="165" t="str">
        <x:v>タンクや配管内の酸素を置き換え、酸化を抑える</x:v>
      </x:c>
      <x:c r="H139" s="165" t="str">
        <x:v>タンニンを固めて濾過せずに除去する</x:v>
      </x:c>
      <x:c r="I139" s="165" t="str">
        <x:v>アルコール発酵を行わずにワインを造る</x:v>
      </x:c>
      <x:c r="J139" s="171" t="str">
        <x:v>B</x:v>
      </x:c>
      <x:c r="K139" s="165" t="str">
        <x:v>タンクや配管内の酸素を置き換え、酸化を抑える</x:v>
      </x:c>
      <x:c r="L139" s="165" t="str">
        <x:v>不活性ガスでワインや果汁の表面を覆うと、酸素との接触を減らし、褐変や果実香の損失を抑えられる。</x:v>
      </x:c>
      <x:c r="M139" s="165" t="str">
        <x:v>誤り。 不活性ガスは糖分や酸度を直接増やす添加物ではない。</x:v>
      </x:c>
      <x:c r="N139" s="165" t="str">
        <x:v>正しい。 不活性ガスでワインや果汁の表面を覆うと、酸素との接触を減らし、褐変や果実香の損失を抑えられる。</x:v>
      </x:c>
      <x:c r="O139" s="165" t="str">
        <x:v>誤り。 不活性ガスはタンニン除去の清澄剤ではない。</x:v>
      </x:c>
      <x:c r="P139" s="165" t="str">
        <x:v>誤り。 酸化防止に使われるが、アルコール生成には発酵が必要である。</x:v>
      </x:c>
      <x:c r="Q139" s="165" t="str">
        <x:v>人的要因（ワイナリー）</x:v>
      </x:c>
      <x:c r="R139" s="165" t="str">
        <x:v>酸素管理・不活性ガス</x:v>
      </x:c>
      <x:c r="S139" s="165" t="str">
        <x:v>非発泡性ワイン</x:v>
      </x:c>
      <x:c r="T139" s="165"/>
      <x:c r="U139" s="165"/>
      <x:c r="V139" s="165"/>
      <x:c r="W139" s="165" t="str">
        <x:v>知識確認</x:v>
      </x:c>
      <x:c r="X139" s="171" t="str">
        <x:v>D1</x:v>
      </x:c>
      <x:c r="Y139" s="165" t="str">
        <x:v>不活性ガスで糖酸追加; 発酵不要</x:v>
      </x:c>
      <x:c r="Z139" s="171" t="str">
        <x:v>N</x:v>
      </x:c>
      <x:c r="AA139" s="165"/>
      <x:c r="AB139" s="165" t="str">
        <x:v>オリジナル</x:v>
      </x:c>
      <x:c r="AC139" s="165" t="str">
        <x:v>公式Specificationの範囲＋ユーザー作成コーパスの論点と問題設計例を参考に独自作成</x:v>
      </x:c>
      <x:c r="AD139" s="171" t="str">
        <x:v>未レビュー</x:v>
      </x:c>
      <x:c r="AE139" s="171"/>
      <x:c r="AF139" s="171"/>
      <x:c r="AG139" s="166"/>
    </x:row>
    <x:row r="140" ht="84" customHeight="1">
      <x:c r="A140" s="164" t="str">
        <x:v>LO1-059</x:v>
      </x:c>
      <x:c r="B140" s="171" t="str">
        <x:v>LO1</x:v>
      </x:c>
      <x:c r="C140" s="165" t="str">
        <x:v>ブドウ畑・ワイナリーの自然要因と人的要因</x:v>
      </x:c>
      <x:c r="D140" s="165" t="str">
        <x:v>アメリカンオーク</x:v>
      </x:c>
      <x:c r="E140" s="165" t="str">
        <x:v>新しいアメリカンオーク樽がワインへ与えやすい特徴はどれか。</x:v>
      </x:c>
      <x:c r="F140" s="165" t="str">
        <x:v>塩味と海藻の香りだけを与え、タンニンは加えない</x:v>
      </x:c>
      <x:c r="G140" s="165" t="str">
        <x:v>ワインのアルコールをすべて除去する</x:v>
      </x:c>
      <x:c r="H140" s="165" t="str">
        <x:v>比較的強いバニラやココナッツ、甘いスパイスを思わせる風味</x:v>
      </x:c>
      <x:c r="I140" s="165" t="str">
        <x:v>果実香を必ず完全に消し、無香にする</x:v>
      </x:c>
      <x:c r="J140" s="171" t="str">
        <x:v>C</x:v>
      </x:c>
      <x:c r="K140" s="165" t="str">
        <x:v>比較的強いバニラやココナッツ、甘いスパイスを思わせる風味</x:v>
      </x:c>
      <x:c r="L140" s="165" t="str">
        <x:v>アメリカンオークは一般に香りの影響が明確で、バニラ、ココナッツ、ディル、甘いスパイスなどを与えやすい。</x:v>
      </x:c>
      <x:c r="M140" s="165" t="str">
        <x:v>誤り。 オークは塩分を加えるものではなく、香りやタンニン、酸素透過の影響を与える。</x:v>
      </x:c>
      <x:c r="N140" s="165" t="str">
        <x:v>誤り。 樽熟成でアルコールがすべて除去されることはない。</x:v>
      </x:c>
      <x:c r="O140" s="165" t="str">
        <x:v>正しい。 アメリカンオークは一般に香りの影響が明確で、バニラ、ココナッツ、ディル、甘いスパイスなどを与えやすい。</x:v>
      </x:c>
      <x:c r="P140" s="165" t="str">
        <x:v>誤り。 樽香が果実を覆うことはあるが、果実香を必ず完全に消すわけではない。</x:v>
      </x:c>
      <x:c r="Q140" s="165" t="str">
        <x:v>人的要因（ワイナリー）</x:v>
      </x:c>
      <x:c r="R140" s="165" t="str">
        <x:v>熟成・オーク種</x:v>
      </x:c>
      <x:c r="S140" s="165" t="str">
        <x:v>非発泡性ワイン</x:v>
      </x:c>
      <x:c r="T140" s="165"/>
      <x:c r="U140" s="165"/>
      <x:c r="V140" s="165"/>
      <x:c r="W140" s="165" t="str">
        <x:v>知識確認</x:v>
      </x:c>
      <x:c r="X140" s="171" t="str">
        <x:v>D1</x:v>
      </x:c>
      <x:c r="Y140" s="165" t="str">
        <x:v>オークが塩分・脱アルコール; 樽で果実香完全消失</x:v>
      </x:c>
      <x:c r="Z140" s="171" t="str">
        <x:v>N</x:v>
      </x:c>
      <x:c r="AA140" s="165"/>
      <x:c r="AB140" s="165" t="str">
        <x:v>オリジナル</x:v>
      </x:c>
      <x:c r="AC140" s="165" t="str">
        <x:v>公式Specificationの範囲＋ユーザー作成コーパスの論点と問題設計例を参考に独自作成</x:v>
      </x:c>
      <x:c r="AD140" s="171" t="str">
        <x:v>未レビュー</x:v>
      </x:c>
      <x:c r="AE140" s="171"/>
      <x:c r="AF140" s="171"/>
      <x:c r="AG140" s="166"/>
    </x:row>
    <x:row r="141" ht="84" customHeight="1">
      <x:c r="A141" s="164" t="str">
        <x:v>LO1-060</x:v>
      </x:c>
      <x:c r="B141" s="171" t="str">
        <x:v>LO1</x:v>
      </x:c>
      <x:c r="C141" s="165" t="str">
        <x:v>ブドウ畑・ワイナリーの自然要因と人的要因</x:v>
      </x:c>
      <x:c r="D141" s="165" t="str">
        <x:v>スクリューキャップ</x:v>
      </x:c>
      <x:c r="E141" s="165" t="str">
        <x:v>スクリューキャップを天然コルクと比較した利点として最も適切なものはどれか。</x:v>
      </x:c>
      <x:c r="F141" s="165" t="str">
        <x:v>すべてのワインを開栓後も永久に酸化させない</x:v>
      </x:c>
      <x:c r="G141" s="165" t="str">
        <x:v>瓶内熟成を完全に止め、香りを一切変化させない</x:v>
      </x:c>
      <x:c r="H141" s="165" t="str">
        <x:v>天然コルクより必ず多量の酸素を通す</x:v>
      </x:c>
      <x:c r="I141" s="165" t="str">
        <x:v>コルク汚染のリスクがなく、比較的一貫した酸素透過を得やすい</x:v>
      </x:c>
      <x:c r="J141" s="171" t="str">
        <x:v>D</x:v>
      </x:c>
      <x:c r="K141" s="165" t="str">
        <x:v>コルク汚染のリスクがなく、比較的一貫した酸素透過を得やすい</x:v>
      </x:c>
      <x:c r="L141" s="165" t="str">
        <x:v>スクリューキャップはTCA由来のコルク汚染を避けられ、製品仕様に応じて密閉性が比較的均一で、フレッシュなスタイルに適する。</x:v>
      </x:c>
      <x:c r="M141" s="165" t="str">
        <x:v>誤り。 開栓後は酸素に触れ、スクリューキャップでも永久保存できない。</x:v>
      </x:c>
      <x:c r="N141" s="165" t="str">
        <x:v>誤り。 酸素が少なくても化学反応は進み、熟成が完全に止まるわけではない。</x:v>
      </x:c>
      <x:c r="O141" s="165" t="str">
        <x:v>誤り。 酸素透過は製品設計で異なり、必ず天然コルクより多いとはいえない。</x:v>
      </x:c>
      <x:c r="P141" s="165" t="str">
        <x:v>正しい。 スクリューキャップはTCA由来のコルク汚染を避けられ、製品仕様に応じて密閉性が比較的均一で、フレッシュなスタイルに適する。</x:v>
      </x:c>
      <x:c r="Q141" s="165" t="str">
        <x:v>人的要因（ワイナリー）</x:v>
      </x:c>
      <x:c r="R141" s="165" t="str">
        <x:v>栓・スクリューキャップ</x:v>
      </x:c>
      <x:c r="S141" s="165" t="str">
        <x:v>非発泡性ワイン</x:v>
      </x:c>
      <x:c r="T141" s="165"/>
      <x:c r="U141" s="165"/>
      <x:c r="V141" s="165"/>
      <x:c r="W141" s="165" t="str">
        <x:v>比較</x:v>
      </x:c>
      <x:c r="X141" s="171" t="str">
        <x:v>D2</x:v>
      </x:c>
      <x:c r="Y141" s="165" t="str">
        <x:v>スクリューキャップで永久保存; 熟成完全停止; 酸素透過は必ず多い</x:v>
      </x:c>
      <x:c r="Z141" s="171" t="str">
        <x:v>N</x:v>
      </x:c>
      <x:c r="AA141" s="165"/>
      <x:c r="AB141" s="165" t="str">
        <x:v>オリジナル</x:v>
      </x:c>
      <x:c r="AC141" s="165" t="str">
        <x:v>公式Specificationの範囲＋ユーザー作成コーパスの論点と問題設計例を参考に独自作成</x:v>
      </x:c>
      <x:c r="AD141" s="171" t="str">
        <x:v>未レビュー</x:v>
      </x:c>
      <x:c r="AE141" s="171"/>
      <x:c r="AF141" s="171"/>
      <x:c r="AG141" s="166"/>
    </x:row>
    <x:row r="142" ht="84" customHeight="1">
      <x:c r="A142" s="164" t="str">
        <x:v>LO2-021</x:v>
      </x:c>
      <x:c r="B142" s="171" t="str">
        <x:v>LO2</x:v>
      </x:c>
      <x:c r="C142" s="165" t="str">
        <x:v>世界の主要な非発泡性ワイン</x:v>
      </x:c>
      <x:c r="D142" s="165" t="str">
        <x:v>ペサック・レオニャン</x:v>
      </x:c>
      <x:c r="E142" s="165" t="str">
        <x:v>ペサック・レオニャンの上質な辛口白ワインに、複雑さと熟成能力を与える組み合わせとして最も適切なものはどれか。</x:v>
      </x:c>
      <x:c r="F142" s="165" t="str">
        <x:v>ソーヴィニヨン・ブランとセミヨンを用い、樽発酵または樽熟成を取り入れる</x:v>
      </x:c>
      <x:c r="G142" s="165" t="str">
        <x:v>ガメイを炭酸ガス浸漬法で発酵し、早期瓶詰めする</x:v>
      </x:c>
      <x:c r="H142" s="165" t="str">
        <x:v>マスカットを発酵途中で酒精強化し、甘味を残す</x:v>
      </x:c>
      <x:c r="I142" s="165" t="str">
        <x:v>ネッビオーロを長期の果皮浸漬後、大樽で熟成する</x:v>
      </x:c>
      <x:c r="J142" s="171" t="str">
        <x:v>A</x:v>
      </x:c>
      <x:c r="K142" s="165" t="str">
        <x:v>ソーヴィニヨン・ブランとセミヨンを用い、樽発酵または樽熟成を取り入れる</x:v>
      </x:c>
      <x:c r="L142" s="165" t="str">
        <x:v>ソーヴィニヨン・ブランの酸と香りに、セミヨンのボディと熟成能力を組み合わせ、オークや澱との接触で複雑性を高めることがある。</x:v>
      </x:c>
      <x:c r="M142" s="165" t="str">
        <x:v>正しい。 ソーヴィニヨン・ブランの酸と香りに、セミヨンのボディと熟成能力を組み合わせ、オークや澱との接触で複雑性を高めることがある。</x:v>
      </x:c>
      <x:c r="N142" s="165" t="str">
        <x:v>誤り。 これはボージョレの若飲み赤ワインに近い組み合わせで、ペサック・レオニャンの辛口白とは異なる。</x:v>
      </x:c>
      <x:c r="O142" s="165" t="str">
        <x:v>誤り。 これは酒精強化マスカットの製法であり、辛口白ワインの説明ではない。</x:v>
      </x:c>
      <x:c r="P142" s="165" t="str">
        <x:v>誤り。 これはピエモンテの赤ワインに関連する方法で、ボルドー白の品種と製法ではない。</x:v>
      </x:c>
      <x:c r="Q142" s="165" t="str">
        <x:v>醸造・産地</x:v>
      </x:c>
      <x:c r="R142" s="165" t="str">
        <x:v>白ワイン・樽発酵熟成</x:v>
      </x:c>
      <x:c r="S142" s="165" t="str">
        <x:v>非発泡性白ワイン</x:v>
      </x:c>
      <x:c r="T142" s="165" t="str">
        <x:v>フランス</x:v>
      </x:c>
      <x:c r="U142" s="165" t="str">
        <x:v>ボルドー／ペサック・レオニャン</x:v>
      </x:c>
      <x:c r="V142" s="165" t="str">
        <x:v>ソーヴィニヨン・ブラン、セミヨン</x:v>
      </x:c>
      <x:c r="W142" s="165" t="str">
        <x:v>統合判断</x:v>
      </x:c>
      <x:c r="X142" s="171" t="str">
        <x:v>D3</x:v>
      </x:c>
      <x:c r="Y142" s="165" t="str">
        <x:v>ペサック白をガメイ・酒精強化・ネッビオーロと混同</x:v>
      </x:c>
      <x:c r="Z142" s="171" t="str">
        <x:v>N</x:v>
      </x:c>
      <x:c r="AA142" s="165"/>
      <x:c r="AB142" s="165" t="str">
        <x:v>オリジナル</x:v>
      </x:c>
      <x:c r="AC142" s="165" t="str">
        <x:v>公式Specificationの範囲＋ユーザー作成コーパスの論点と問題設計例を参考に独自作成</x:v>
      </x:c>
      <x:c r="AD142" s="171" t="str">
        <x:v>未レビュー</x:v>
      </x:c>
      <x:c r="AE142" s="171"/>
      <x:c r="AF142" s="171"/>
      <x:c r="AG142" s="166"/>
    </x:row>
    <x:row r="143" ht="84" customHeight="1">
      <x:c r="A143" s="164" t="str">
        <x:v>LO2-022</x:v>
      </x:c>
      <x:c r="B143" s="171" t="str">
        <x:v>LO2</x:v>
      </x:c>
      <x:c r="C143" s="165" t="str">
        <x:v>世界の主要な非発泡性ワイン</x:v>
      </x:c>
      <x:c r="D143" s="165" t="str">
        <x:v>サンテミリオン</x:v>
      </x:c>
      <x:c r="E143" s="165" t="str">
        <x:v>サンテミリオンでメルロとカベルネ・フランが重要となる理由として最も適切なものはどれか。</x:v>
      </x:c>
      <x:c r="F143" s="165" t="str">
        <x:v>両品種は非常に晩熟で、最も暑い砂漠だけに適する</x:v>
      </x:c>
      <x:c r="G143" s="165" t="str">
        <x:v>粘土や石灰岩を含む比較的冷涼な右岸の条件で、カベルネ・ソーヴィニヨンより成熟しやすい</x:v>
      </x:c>
      <x:c r="H143" s="165" t="str">
        <x:v>両品種は白ブドウで、高い酸の辛口白を造る</x:v>
      </x:c>
      <x:c r="I143" s="165" t="str">
        <x:v>海霧が一年中畑を覆い、光合成を完全に止める</x:v>
      </x:c>
      <x:c r="J143" s="171" t="str">
        <x:v>B</x:v>
      </x:c>
      <x:c r="K143" s="165" t="str">
        <x:v>粘土や石灰岩を含む比較的冷涼な右岸の条件で、カベルネ・ソーヴィニヨンより成熟しやすい</x:v>
      </x:c>
      <x:c r="L143" s="165" t="str">
        <x:v>メルロは早熟で粘土質土壌に適し、カベルネ・フランも比較的早く成熟するため、右岸の気候と土壌で安定した成熟を得やすい。</x:v>
      </x:c>
      <x:c r="M143" s="165" t="str">
        <x:v>誤り。 メルロはカベルネ・ソーヴィニヨンより早熟で、砂漠だけに適する品種ではない。</x:v>
      </x:c>
      <x:c r="N143" s="165" t="str">
        <x:v>正しい。 メルロは早熟で粘土質土壌に適し、カベルネ・フランも比較的早く成熟するため、右岸の気候と土壌で安定した成熟を得やすい。</x:v>
      </x:c>
      <x:c r="O143" s="165" t="str">
        <x:v>誤り。 メルロとカベルネ・フランは黒ブドウで、サンテミリオンでは主に赤ワインを造る。</x:v>
      </x:c>
      <x:c r="P143" s="165" t="str">
        <x:v>誤り。 海洋性の影響はあるが、光合成を一年中止めるような恒常的な海霧が理由ではない。</x:v>
      </x:c>
      <x:c r="Q143" s="165" t="str">
        <x:v>自然要因・産地</x:v>
      </x:c>
      <x:c r="R143" s="165" t="str">
        <x:v>土壌・品種適性</x:v>
      </x:c>
      <x:c r="S143" s="165" t="str">
        <x:v>非発泡性赤ワイン</x:v>
      </x:c>
      <x:c r="T143" s="165" t="str">
        <x:v>フランス</x:v>
      </x:c>
      <x:c r="U143" s="165" t="str">
        <x:v>ボルドー／サンテミリオン</x:v>
      </x:c>
      <x:c r="V143" s="165" t="str">
        <x:v>メルロ、カベルネ・フラン</x:v>
      </x:c>
      <x:c r="W143" s="165" t="str">
        <x:v>因果説明</x:v>
      </x:c>
      <x:c r="X143" s="171" t="str">
        <x:v>D2</x:v>
      </x:c>
      <x:c r="Y143" s="165" t="str">
        <x:v>右岸品種は晩熟; メルロとカベルネ・フランは白品種</x:v>
      </x:c>
      <x:c r="Z143" s="171" t="str">
        <x:v>N</x:v>
      </x:c>
      <x:c r="AA143" s="165"/>
      <x:c r="AB143" s="165" t="str">
        <x:v>オリジナル</x:v>
      </x:c>
      <x:c r="AC143" s="165" t="str">
        <x:v>公式Specificationの範囲＋ユーザー作成コーパスの論点と問題設計例を参考に独自作成</x:v>
      </x:c>
      <x:c r="AD143" s="171" t="str">
        <x:v>未レビュー</x:v>
      </x:c>
      <x:c r="AE143" s="171"/>
      <x:c r="AF143" s="171"/>
      <x:c r="AG143" s="166"/>
    </x:row>
    <x:row r="144" ht="84" customHeight="1">
      <x:c r="A144" s="164" t="str">
        <x:v>LO2-023</x:v>
      </x:c>
      <x:c r="B144" s="171" t="str">
        <x:v>LO2</x:v>
      </x:c>
      <x:c r="C144" s="165" t="str">
        <x:v>世界の主要な非発泡性ワイン</x:v>
      </x:c>
      <x:c r="D144" s="165" t="str">
        <x:v>クリュ・ボージョレ</x:v>
      </x:c>
      <x:c r="E144" s="165" t="str">
        <x:v>クリュ・ボージョレが一般的なボージョレより高い品質と熟成能力を持ちやすい理由はどれか。</x:v>
      </x:c>
      <x:c r="F144" s="165" t="str">
        <x:v>白ブドウだけを使い、瓶内二次発酵を義務付けられている</x:v>
      </x:c>
      <x:c r="G144" s="165" t="str">
        <x:v>収穫後に必ずブドウを凍結し、甘口にする</x:v>
      </x:c>
      <x:c r="H144" s="165" t="str">
        <x:v>北部の花崗岩質丘陵など、ガメイに適した特定区画から低めの収量で造られることが多い</x:v>
      </x:c>
      <x:c r="I144" s="165" t="str">
        <x:v>平坦な高収量畑だけから造られ、早飲みを唯一の目的とする</x:v>
      </x:c>
      <x:c r="J144" s="171" t="str">
        <x:v>C</x:v>
      </x:c>
      <x:c r="K144" s="165" t="str">
        <x:v>北部の花崗岩質丘陵など、ガメイに適した特定区画から低めの収量で造られることが多い</x:v>
      </x:c>
      <x:c r="L144" s="165" t="str">
        <x:v>クリュの多くは北部の丘陵に位置し、排水性と日照に恵まれ、より凝縮したガメイを得やすく、生産者が構造を意識した醸造を行うこともある。</x:v>
      </x:c>
      <x:c r="M144" s="165" t="str">
        <x:v>誤り。 クリュ・ボージョレは主にガメイの赤ワインで、発泡性ワインの区分ではない。</x:v>
      </x:c>
      <x:c r="N144" s="165" t="str">
        <x:v>誤り。 凍結濃縮はクリュ・ボージョレの標準的な製法ではない。</x:v>
      </x:c>
      <x:c r="O144" s="165" t="str">
        <x:v>正しい。 クリュの多くは北部の丘陵に位置し、排水性と日照に恵まれ、より凝縮したガメイを得やすく、生産者が構造を意識した醸造を行うこともある。</x:v>
      </x:c>
      <x:c r="P144" s="165" t="str">
        <x:v>誤り。 クリュは丘陵の特定産地で、一般的なボージョレより凝縮度と熟成能力を持つものが多い。</x:v>
      </x:c>
      <x:c r="Q144" s="165" t="str">
        <x:v>自然・人的要因</x:v>
      </x:c>
      <x:c r="R144" s="165" t="str">
        <x:v>クリュ・品質</x:v>
      </x:c>
      <x:c r="S144" s="165" t="str">
        <x:v>非発泡性赤ワイン</x:v>
      </x:c>
      <x:c r="T144" s="165" t="str">
        <x:v>フランス</x:v>
      </x:c>
      <x:c r="U144" s="165" t="str">
        <x:v>ボージョレ</x:v>
      </x:c>
      <x:c r="V144" s="165" t="str">
        <x:v>ガメイ</x:v>
      </x:c>
      <x:c r="W144" s="165" t="str">
        <x:v>統合判断</x:v>
      </x:c>
      <x:c r="X144" s="171" t="str">
        <x:v>D3</x:v>
      </x:c>
      <x:c r="Y144" s="165" t="str">
        <x:v>クリュは白発泡; クリュは凍結甘口; クリュは平地高収量のみ</x:v>
      </x:c>
      <x:c r="Z144" s="171" t="str">
        <x:v>N</x:v>
      </x:c>
      <x:c r="AA144" s="165"/>
      <x:c r="AB144" s="165" t="str">
        <x:v>オリジナル</x:v>
      </x:c>
      <x:c r="AC144" s="165" t="str">
        <x:v>公式Specificationの範囲＋ユーザー作成コーパスの論点と問題設計例を参考に独自作成</x:v>
      </x:c>
      <x:c r="AD144" s="171" t="str">
        <x:v>未レビュー</x:v>
      </x:c>
      <x:c r="AE144" s="171"/>
      <x:c r="AF144" s="171"/>
      <x:c r="AG144" s="166"/>
    </x:row>
    <x:row r="145" ht="84" customHeight="1">
      <x:c r="A145" s="164" t="str">
        <x:v>LO2-024</x:v>
      </x:c>
      <x:c r="B145" s="171" t="str">
        <x:v>LO2</x:v>
      </x:c>
      <x:c r="C145" s="165" t="str">
        <x:v>世界の主要な非発泡性ワイン</x:v>
      </x:c>
      <x:c r="D145" s="165" t="str">
        <x:v>シャブリの霜害</x:v>
      </x:c>
      <x:c r="E145" s="165" t="str">
        <x:v>シャブリで春霜が収量に大きな影響を与え得る主な理由はどれか。</x:v>
      </x:c>
      <x:c r="F145" s="165" t="str">
        <x:v>成熟期の高温で果粒がすべて乾燥し、貴腐になる</x:v>
      </x:c>
      <x:c r="G145" s="165" t="str">
        <x:v>海洋性気候のため冬と春の気温が常に一定である</x:v>
      </x:c>
      <x:c r="H145" s="165" t="str">
        <x:v>シャルドネは萌芽せず、前年の果房を再利用する</x:v>
      </x:c>
      <x:c r="I145" s="165" t="str">
        <x:v>冷涼な大陸性気候で、萌芽後の若い芽が氷点下の気温にさらされることがある</x:v>
      </x:c>
      <x:c r="J145" s="171" t="str">
        <x:v>D</x:v>
      </x:c>
      <x:c r="K145" s="165" t="str">
        <x:v>冷涼な大陸性気候で、萌芽後の若い芽が氷点下の気温にさらされることがある</x:v>
      </x:c>
      <x:c r="L145" s="165" t="str">
        <x:v>シャブリでは春に気温が急低下することがあり、萌芽した若い組織が損傷すると、その年の花と果房が失われて収量が下がる。</x:v>
      </x:c>
      <x:c r="M145" s="165" t="str">
        <x:v>誤り。 春霜は萌芽期の低温被害であり、成熟期の乾燥や貴腐とは異なる。</x:v>
      </x:c>
      <x:c r="N145" s="165" t="str">
        <x:v>誤り。 シャブリは大陸性の影響を受け、春の気温変動と霜のリスクがある。</x:v>
      </x:c>
      <x:c r="O145" s="165" t="str">
        <x:v>誤り。 ブドウ樹は毎年新しい芽から花と果房を形成する。</x:v>
      </x:c>
      <x:c r="P145" s="165" t="str">
        <x:v>正しい。 シャブリでは春に気温が急低下することがあり、萌芽した若い組織が損傷すると、その年の花と果房が失われて収量が下がる。</x:v>
      </x:c>
      <x:c r="Q145" s="165" t="str">
        <x:v>自然要因・産地</x:v>
      </x:c>
      <x:c r="R145" s="165" t="str">
        <x:v>春霜・収量</x:v>
      </x:c>
      <x:c r="S145" s="165" t="str">
        <x:v>非発泡性白ワイン</x:v>
      </x:c>
      <x:c r="T145" s="165" t="str">
        <x:v>フランス</x:v>
      </x:c>
      <x:c r="U145" s="165" t="str">
        <x:v>ブルゴーニュ／シャブリ</x:v>
      </x:c>
      <x:c r="V145" s="165" t="str">
        <x:v>シャルドネ</x:v>
      </x:c>
      <x:c r="W145" s="165" t="str">
        <x:v>因果説明</x:v>
      </x:c>
      <x:c r="X145" s="171" t="str">
        <x:v>D2</x:v>
      </x:c>
      <x:c r="Y145" s="165" t="str">
        <x:v>春霜と貴腐の混同; シャブリは温度一定</x:v>
      </x:c>
      <x:c r="Z145" s="171" t="str">
        <x:v>N</x:v>
      </x:c>
      <x:c r="AA145" s="165"/>
      <x:c r="AB145" s="165" t="str">
        <x:v>オリジナル</x:v>
      </x:c>
      <x:c r="AC145" s="165" t="str">
        <x:v>公式Specificationの範囲＋ユーザー作成コーパスの論点と問題設計例を参考に独自作成</x:v>
      </x:c>
      <x:c r="AD145" s="171" t="str">
        <x:v>未レビュー</x:v>
      </x:c>
      <x:c r="AE145" s="171"/>
      <x:c r="AF145" s="171"/>
      <x:c r="AG145" s="166"/>
    </x:row>
    <x:row r="146" ht="84" customHeight="1">
      <x:c r="A146" s="164" t="str">
        <x:v>LO2-025</x:v>
      </x:c>
      <x:c r="B146" s="171" t="str">
        <x:v>LO2</x:v>
      </x:c>
      <x:c r="C146" s="165" t="str">
        <x:v>世界の主要な非発泡性ワイン</x:v>
      </x:c>
      <x:c r="D146" s="165" t="str">
        <x:v>マコネ</x:v>
      </x:c>
      <x:c r="E146" s="165" t="str">
        <x:v>マコネのシャルドネがシャブリより熟した果実味と豊かなボディを持ちやすい主な理由はどれか。</x:v>
      </x:c>
      <x:c r="F146" s="165" t="str">
        <x:v>より南に位置し、一般に温暖で成熟が進みやすい</x:v>
      </x:c>
      <x:c r="G146" s="165" t="str">
        <x:v>標高が常に海面下で、昼夜とも極端に低温だから</x:v>
      </x:c>
      <x:c r="H146" s="165" t="str">
        <x:v>すべてのワインが発酵途中で酒精強化されるから</x:v>
      </x:c>
      <x:c r="I146" s="165" t="str">
        <x:v>シャルドネを乾燥させ、必ず甘口にするから</x:v>
      </x:c>
      <x:c r="J146" s="171" t="str">
        <x:v>A</x:v>
      </x:c>
      <x:c r="K146" s="165" t="str">
        <x:v>より南に位置し、一般に温暖で成熟が進みやすい</x:v>
      </x:c>
      <x:c r="L146" s="165" t="str">
        <x:v>マコネはブルゴーニュ南部に位置し、シャブリより温暖なため、シャルドネが高い糖度と熟した果実風味を得やすい。</x:v>
      </x:c>
      <x:c r="M146" s="165" t="str">
        <x:v>正しい。 マコネはブルゴーニュ南部に位置し、シャブリより温暖なため、シャルドネが高い糖度と熟した果実風味を得やすい。</x:v>
      </x:c>
      <x:c r="N146" s="165" t="str">
        <x:v>誤り。 マコネが熟したスタイルになる理由は低温ではなく、比較的温暖な立地である。</x:v>
      </x:c>
      <x:c r="O146" s="165" t="str">
        <x:v>誤り。 マコネのシャルドネは通常の非発泡性白ワインで、酒精強化が標準ではない。</x:v>
      </x:c>
      <x:c r="P146" s="165" t="str">
        <x:v>誤り。 収穫後乾燥はマコネの典型的な製法ではなく、多くは辛口である。</x:v>
      </x:c>
      <x:c r="Q146" s="165" t="str">
        <x:v>自然要因・産地</x:v>
      </x:c>
      <x:c r="R146" s="165" t="str">
        <x:v>緯度・成熟</x:v>
      </x:c>
      <x:c r="S146" s="165" t="str">
        <x:v>非発泡性白ワイン</x:v>
      </x:c>
      <x:c r="T146" s="165" t="str">
        <x:v>フランス</x:v>
      </x:c>
      <x:c r="U146" s="165" t="str">
        <x:v>ブルゴーニュ／マコネ</x:v>
      </x:c>
      <x:c r="V146" s="165" t="str">
        <x:v>シャルドネ</x:v>
      </x:c>
      <x:c r="W146" s="165" t="str">
        <x:v>因果説明</x:v>
      </x:c>
      <x:c r="X146" s="171" t="str">
        <x:v>D1</x:v>
      </x:c>
      <x:c r="Y146" s="165" t="str">
        <x:v>マコネは低温; 酒精強化・乾燥甘口</x:v>
      </x:c>
      <x:c r="Z146" s="171" t="str">
        <x:v>N</x:v>
      </x:c>
      <x:c r="AA146" s="165"/>
      <x:c r="AB146" s="165" t="str">
        <x:v>オリジナル</x:v>
      </x:c>
      <x:c r="AC146" s="165" t="str">
        <x:v>公式Specificationの範囲＋ユーザー作成コーパスの論点と問題設計例を参考に独自作成</x:v>
      </x:c>
      <x:c r="AD146" s="171" t="str">
        <x:v>未レビュー</x:v>
      </x:c>
      <x:c r="AE146" s="171"/>
      <x:c r="AF146" s="171"/>
      <x:c r="AG146" s="166"/>
    </x:row>
    <x:row r="147" ht="84" customHeight="1">
      <x:c r="A147" s="164" t="str">
        <x:v>LO2-026</x:v>
      </x:c>
      <x:c r="B147" s="171" t="str">
        <x:v>LO2</x:v>
      </x:c>
      <x:c r="C147" s="165" t="str">
        <x:v>世界の主要な非発泡性ワイン</x:v>
      </x:c>
      <x:c r="D147" s="165" t="str">
        <x:v>サンセールとプイィ・フュメ</x:v>
      </x:c>
      <x:c r="E147" s="165" t="str">
        <x:v>サンセールとプイィ・フュメの典型的な辛口白ワインに共通する特徴はどれか。</x:v>
      </x:c>
      <x:c r="F147" s="165" t="str">
        <x:v>ネッビオーロ由来の高いタンニンとバラの香り</x:v>
      </x:c>
      <x:c r="G147" s="165" t="str">
        <x:v>ソーヴィニヨン・ブラン由来の高い酸と、柑橘・青い果実・草本系の香り</x:v>
      </x:c>
      <x:c r="H147" s="165" t="str">
        <x:v>グルナッシュ由来の高アルコールとジャム状の赤果実</x:v>
      </x:c>
      <x:c r="I147" s="165" t="str">
        <x:v>パロミノ由来のフロール熟成香と高い酒精</x:v>
      </x:c>
      <x:c r="J147" s="171" t="str">
        <x:v>B</x:v>
      </x:c>
      <x:c r="K147" s="165" t="str">
        <x:v>ソーヴィニヨン・ブラン由来の高い酸と、柑橘・青い果実・草本系の香り</x:v>
      </x:c>
      <x:c r="L147" s="165" t="str">
        <x:v>ロワール上流の比較的冷涼な大陸性条件でソーヴィニヨン・ブランが酸を保持し、柑橘、青リンゴ、草本、時に火打石を思わせる香りを示す。</x:v>
      </x:c>
      <x:c r="M147" s="165" t="str">
        <x:v>誤り。 ネッビオーロはイタリアの黒ブドウで、これらのロワール白ワインには用いない。</x:v>
      </x:c>
      <x:c r="N147" s="165" t="str">
        <x:v>正しい。 ロワール上流の比較的冷涼な大陸性条件でソーヴィニヨン・ブランが酸を保持し、柑橘、青リンゴ、草本、時に火打石を思わせる香りを示す。</x:v>
      </x:c>
      <x:c r="O147" s="165" t="str">
        <x:v>誤り。 グルナッシュは主に温暖地域の赤・ロゼに用いられ、サンセール白の典型ではない。</x:v>
      </x:c>
      <x:c r="P147" s="165" t="str">
        <x:v>誤り。 これはフィノなどのシェリーに関連する特徴である。</x:v>
      </x:c>
      <x:c r="Q147" s="165" t="str">
        <x:v>品種・産地</x:v>
      </x:c>
      <x:c r="R147" s="165" t="str">
        <x:v>ソーヴィニヨン・ブラン</x:v>
      </x:c>
      <x:c r="S147" s="165" t="str">
        <x:v>非発泡性白ワイン</x:v>
      </x:c>
      <x:c r="T147" s="165" t="str">
        <x:v>フランス</x:v>
      </x:c>
      <x:c r="U147" s="165" t="str">
        <x:v>ロワール／サンセール・プイィ・フュメ</x:v>
      </x:c>
      <x:c r="V147" s="165" t="str">
        <x:v>ソーヴィニヨン・ブラン</x:v>
      </x:c>
      <x:c r="W147" s="165" t="str">
        <x:v>知識確認</x:v>
      </x:c>
      <x:c r="X147" s="171" t="str">
        <x:v>D1</x:v>
      </x:c>
      <x:c r="Y147" s="165" t="str">
        <x:v>ロワール白とネッビオーロ・グルナッシュ・シェリーの混同</x:v>
      </x:c>
      <x:c r="Z147" s="171" t="str">
        <x:v>N</x:v>
      </x:c>
      <x:c r="AA147" s="165"/>
      <x:c r="AB147" s="165" t="str">
        <x:v>オリジナル</x:v>
      </x:c>
      <x:c r="AC147" s="165" t="str">
        <x:v>公式Specificationの範囲＋ユーザー作成コーパスの論点と問題設計例を参考に独自作成</x:v>
      </x:c>
      <x:c r="AD147" s="171" t="str">
        <x:v>未レビュー</x:v>
      </x:c>
      <x:c r="AE147" s="171"/>
      <x:c r="AF147" s="171"/>
      <x:c r="AG147" s="166"/>
    </x:row>
    <x:row r="148" ht="84" customHeight="1">
      <x:c r="A148" s="164" t="str">
        <x:v>LO2-027</x:v>
      </x:c>
      <x:c r="B148" s="171" t="str">
        <x:v>LO2</x:v>
      </x:c>
      <x:c r="C148" s="165" t="str">
        <x:v>世界の主要な非発泡性ワイン</x:v>
      </x:c>
      <x:c r="D148" s="165" t="str">
        <x:v>ヴーヴレ</x:v>
      </x:c>
      <x:c r="E148" s="165" t="str">
        <x:v>ヴーヴレで辛口から甘口、さらに発泡性まで多様なスタイルを造れる主な理由はどれか。</x:v>
      </x:c>
      <x:c r="F148" s="165" t="str">
        <x:v>主要品種が低酸のグルナッシュだけで、すべて高アルコールになる</x:v>
      </x:c>
      <x:c r="G148" s="165" t="str">
        <x:v>すべてのワインを酒精強化し、糖度を同じにする</x:v>
      </x:c>
      <x:c r="H148" s="165" t="str">
        <x:v>シュナン・ブランが高い酸を保ち、成熟度や貴腐、発酵停止などに応じて多様なスタイルに対応できる</x:v>
      </x:c>
      <x:c r="I148" s="165" t="str">
        <x:v>海面下の砂漠で年間の天候差がない</x:v>
      </x:c>
      <x:c r="J148" s="171" t="str">
        <x:v>C</x:v>
      </x:c>
      <x:c r="K148" s="165" t="str">
        <x:v>シュナン・ブランが高い酸を保ち、成熟度や貴腐、発酵停止などに応じて多様なスタイルに対応できる</x:v>
      </x:c>
      <x:c r="L148" s="165" t="str">
        <x:v>シュナン・ブランは高い酸と幅広い成熟度を持ち、辛口、残糖を残した甘口、貴腐ワイン、発泡性ワインに適応できる。</x:v>
      </x:c>
      <x:c r="M148" s="165" t="str">
        <x:v>誤り。 ヴーヴレの主要品種はシュナン・ブランで、高い酸が重要である。</x:v>
      </x:c>
      <x:c r="N148" s="165" t="str">
        <x:v>誤り。 ヴーヴレの多様性は酒精強化によるものではない。</x:v>
      </x:c>
      <x:c r="O148" s="165" t="str">
        <x:v>正しい。 シュナン・ブランは高い酸と幅広い成熟度を持ち、辛口、残糖を残した甘口、貴腐ワイン、発泡性ワインに適応できる。</x:v>
      </x:c>
      <x:c r="P148" s="165" t="str">
        <x:v>誤り。 ヴーヴレはロワールに位置し、砂漠でも海面下でもなく、ヴィンテージの影響を受ける。</x:v>
      </x:c>
      <x:c r="Q148" s="165" t="str">
        <x:v>自然・人的要因</x:v>
      </x:c>
      <x:c r="R148" s="165" t="str">
        <x:v>品種特性・多様なスタイル</x:v>
      </x:c>
      <x:c r="S148" s="165" t="str">
        <x:v>非発泡性白ワイン</x:v>
      </x:c>
      <x:c r="T148" s="165" t="str">
        <x:v>フランス</x:v>
      </x:c>
      <x:c r="U148" s="165" t="str">
        <x:v>ロワール／ヴーヴレ</x:v>
      </x:c>
      <x:c r="V148" s="165" t="str">
        <x:v>シュナン・ブラン</x:v>
      </x:c>
      <x:c r="W148" s="165" t="str">
        <x:v>統合判断</x:v>
      </x:c>
      <x:c r="X148" s="171" t="str">
        <x:v>D3</x:v>
      </x:c>
      <x:c r="Y148" s="165" t="str">
        <x:v>ヴーヴレはグルナッシュ; すべて酒精強化</x:v>
      </x:c>
      <x:c r="Z148" s="171" t="str">
        <x:v>N</x:v>
      </x:c>
      <x:c r="AA148" s="165"/>
      <x:c r="AB148" s="165" t="str">
        <x:v>オリジナル</x:v>
      </x:c>
      <x:c r="AC148" s="165" t="str">
        <x:v>公式Specificationの範囲＋ユーザー作成コーパスの論点と問題設計例を参考に独自作成</x:v>
      </x:c>
      <x:c r="AD148" s="171" t="str">
        <x:v>未レビュー</x:v>
      </x:c>
      <x:c r="AE148" s="171"/>
      <x:c r="AF148" s="171"/>
      <x:c r="AG148" s="166"/>
    </x:row>
    <x:row r="149" ht="84" customHeight="1">
      <x:c r="A149" s="164" t="str">
        <x:v>LO2-028</x:v>
      </x:c>
      <x:c r="B149" s="171" t="str">
        <x:v>LO2</x:v>
      </x:c>
      <x:c r="C149" s="165" t="str">
        <x:v>世界の主要な非発泡性ワイン</x:v>
      </x:c>
      <x:c r="D149" s="165" t="str">
        <x:v>コンドリュー</x:v>
      </x:c>
      <x:c r="E149" s="165" t="str">
        <x:v>コンドリューのヴィオニエが高価格になりやすい要因として最も適切なものはどれか。</x:v>
      </x:c>
      <x:c r="F149" s="165" t="str">
        <x:v>広大な平地で機械化しやすく、極めて高収量だから</x:v>
      </x:c>
      <x:c r="G149" s="165" t="str">
        <x:v>瓶内二次発酵を長期間行うことが法律で義務付けられるから</x:v>
      </x:c>
      <x:c r="H149" s="165" t="str">
        <x:v>ブドウを凍結して少量の甘い果汁だけを得るから</x:v>
      </x:c>
      <x:c r="I149" s="165" t="str">
        <x:v>急斜面で機械化が難しく、収量が低い上、十分な成熟を得る必要がある</x:v>
      </x:c>
      <x:c r="J149" s="171" t="str">
        <x:v>D</x:v>
      </x:c>
      <x:c r="K149" s="165" t="str">
        <x:v>急斜面で機械化が難しく、収量が低い上、十分な成熟を得る必要がある</x:v>
      </x:c>
      <x:c r="L149" s="165" t="str">
        <x:v>北部ローヌの急斜面では手作業が多く、ヴィオニエは低収量になりやすい。適切な成熟で香りとボディを得るため、ブドウと生産のコストが高い。</x:v>
      </x:c>
      <x:c r="M149" s="165" t="str">
        <x:v>誤り。 コンドリューは急斜面の小さな産地で、平地の大量生産とは逆である。</x:v>
      </x:c>
      <x:c r="N149" s="165" t="str">
        <x:v>誤り。 コンドリューは主に非発泡性白ワインで、瓶内二次発酵は標準ではない。</x:v>
      </x:c>
      <x:c r="O149" s="165" t="str">
        <x:v>誤り。 コンドリューの典型は辛口ヴィオニエで、凍結ブドウによる甘口ではない。</x:v>
      </x:c>
      <x:c r="P149" s="165" t="str">
        <x:v>正しい。 北部ローヌの急斜面では手作業が多く、ヴィオニエは低収量になりやすい。適切な成熟で香りとボディを得るため、ブドウと生産のコストが高い。</x:v>
      </x:c>
      <x:c r="Q149" s="165" t="str">
        <x:v>商業面・産地</x:v>
      </x:c>
      <x:c r="R149" s="165" t="str">
        <x:v>急斜面・低収量・価格</x:v>
      </x:c>
      <x:c r="S149" s="165" t="str">
        <x:v>非発泡性白ワイン</x:v>
      </x:c>
      <x:c r="T149" s="165" t="str">
        <x:v>フランス</x:v>
      </x:c>
      <x:c r="U149" s="165" t="str">
        <x:v>北部ローヌ／コンドリュー</x:v>
      </x:c>
      <x:c r="V149" s="165" t="str">
        <x:v>ヴィオニエ</x:v>
      </x:c>
      <x:c r="W149" s="165" t="str">
        <x:v>統合判断</x:v>
      </x:c>
      <x:c r="X149" s="171" t="str">
        <x:v>D3</x:v>
      </x:c>
      <x:c r="Y149" s="165" t="str">
        <x:v>コンドリューは平地高収量; 発泡・凍結甘口</x:v>
      </x:c>
      <x:c r="Z149" s="171" t="str">
        <x:v>N</x:v>
      </x:c>
      <x:c r="AA149" s="165"/>
      <x:c r="AB149" s="165" t="str">
        <x:v>オリジナル</x:v>
      </x:c>
      <x:c r="AC149" s="165" t="str">
        <x:v>公式Specificationの範囲＋ユーザー作成コーパスの論点と問題設計例を参考に独自作成</x:v>
      </x:c>
      <x:c r="AD149" s="171" t="str">
        <x:v>未レビュー</x:v>
      </x:c>
      <x:c r="AE149" s="171"/>
      <x:c r="AF149" s="171"/>
      <x:c r="AG149" s="166"/>
    </x:row>
    <x:row r="150" ht="84" customHeight="1">
      <x:c r="A150" s="164" t="str">
        <x:v>LO2-029</x:v>
      </x:c>
      <x:c r="B150" s="171" t="str">
        <x:v>LO2</x:v>
      </x:c>
      <x:c r="C150" s="165" t="str">
        <x:v>世界の主要な非発泡性ワイン</x:v>
      </x:c>
      <x:c r="D150" s="165" t="str">
        <x:v>バンドール</x:v>
      </x:c>
      <x:c r="E150" s="165" t="str">
        <x:v>バンドールの赤ワインでムールヴェードルが重要となる主な理由はどれか。</x:v>
      </x:c>
      <x:c r="F150" s="165" t="str">
        <x:v>温暖で日照の多い地中海性気候が、晩熟な品種を十分に成熟させる</x:v>
      </x:c>
      <x:c r="G150" s="165" t="str">
        <x:v>ムールヴェードルは早熟で、極寒の短い夏だけに適する</x:v>
      </x:c>
      <x:c r="H150" s="165" t="str">
        <x:v>バンドールは冷涼な大陸性気候で、毎年アイスワインを造る</x:v>
      </x:c>
      <x:c r="I150" s="165" t="str">
        <x:v>ムールヴェードルは白ブドウで、軽い低タンニン白を造る</x:v>
      </x:c>
      <x:c r="J150" s="171" t="str">
        <x:v>A</x:v>
      </x:c>
      <x:c r="K150" s="165" t="str">
        <x:v>温暖で日照の多い地中海性気候が、晩熟な品種を十分に成熟させる</x:v>
      </x:c>
      <x:c r="L150" s="165" t="str">
        <x:v>ムールヴェードルは晩熟で高い熱量を必要とし、バンドールの暖かく乾燥した条件で、濃い果実味、高いタンニン、熟成能力を得やすい。</x:v>
      </x:c>
      <x:c r="M150" s="165" t="str">
        <x:v>正しい。 ムールヴェードルは晩熟で高い熱量を必要とし、バンドールの暖かく乾燥した条件で、濃い果実味、高いタンニン、熟成能力を得やすい。</x:v>
      </x:c>
      <x:c r="N150" s="165" t="str">
        <x:v>誤り。 ムールヴェードルは晩熟で、十分な暖かさを必要とする。</x:v>
      </x:c>
      <x:c r="O150" s="165" t="str">
        <x:v>誤り。 バンドールは地中海沿岸の温暖な地域で、アイスワイン産地ではない。</x:v>
      </x:c>
      <x:c r="P150" s="165" t="str">
        <x:v>誤り。 ムールヴェードルは黒ブドウで、構造のある赤ワインを生む。</x:v>
      </x:c>
      <x:c r="Q150" s="165" t="str">
        <x:v>自然要因・産地</x:v>
      </x:c>
      <x:c r="R150" s="165" t="str">
        <x:v>晩熟品種・地中海性気候</x:v>
      </x:c>
      <x:c r="S150" s="165" t="str">
        <x:v>非発泡性赤ワイン</x:v>
      </x:c>
      <x:c r="T150" s="165" t="str">
        <x:v>フランス</x:v>
      </x:c>
      <x:c r="U150" s="165" t="str">
        <x:v>プロヴァンス／バンドール</x:v>
      </x:c>
      <x:c r="V150" s="165" t="str">
        <x:v>ムールヴェードル</x:v>
      </x:c>
      <x:c r="W150" s="165" t="str">
        <x:v>因果説明</x:v>
      </x:c>
      <x:c r="X150" s="171" t="str">
        <x:v>D2</x:v>
      </x:c>
      <x:c r="Y150" s="165" t="str">
        <x:v>ムールヴェードルは早熟白品種; バンドールは寒冷</x:v>
      </x:c>
      <x:c r="Z150" s="171" t="str">
        <x:v>N</x:v>
      </x:c>
      <x:c r="AA150" s="165"/>
      <x:c r="AB150" s="165" t="str">
        <x:v>オリジナル</x:v>
      </x:c>
      <x:c r="AC150" s="165" t="str">
        <x:v>公式Specificationの範囲＋ユーザー作成コーパスの論点と問題設計例を参考に独自作成</x:v>
      </x:c>
      <x:c r="AD150" s="171" t="str">
        <x:v>未レビュー</x:v>
      </x:c>
      <x:c r="AE150" s="171"/>
      <x:c r="AF150" s="171"/>
      <x:c r="AG150" s="166"/>
    </x:row>
    <x:row r="151" ht="84" customHeight="1">
      <x:c r="A151" s="164" t="str">
        <x:v>LO2-030</x:v>
      </x:c>
      <x:c r="B151" s="171" t="str">
        <x:v>LO2</x:v>
      </x:c>
      <x:c r="C151" s="165" t="str">
        <x:v>世界の主要な非発泡性ワイン</x:v>
      </x:c>
      <x:c r="D151" s="165" t="str">
        <x:v>ラインガウ</x:v>
      </x:c>
      <x:c r="E151" s="165" t="str">
        <x:v>ラインガウのリースリング畑で南向き斜面とライン川が成熟を助ける仕組みはどれか。</x:v>
      </x:c>
      <x:c r="F151" s="165" t="str">
        <x:v>川が果汁へ糖を直接加え、発酵を不要にする</x:v>
      </x:c>
      <x:c r="G151" s="165" t="str">
        <x:v>南向き斜面が日射を受け、川が気温を緩和し、光を反射する</x:v>
      </x:c>
      <x:c r="H151" s="165" t="str">
        <x:v>北向き斜面が日射を遮り、成熟を完全に止める</x:v>
      </x:c>
      <x:c r="I151" s="165" t="str">
        <x:v>川の塩分が土壌へ入り、ワインを酒精強化する</x:v>
      </x:c>
      <x:c r="J151" s="171" t="str">
        <x:v>B</x:v>
      </x:c>
      <x:c r="K151" s="165" t="str">
        <x:v>南向き斜面が日射を受け、川が気温を緩和し、光を反射する</x:v>
      </x:c>
      <x:c r="L151" s="165" t="str">
        <x:v>高緯度の冷涼な地域で、南向き斜面と大きな川の緩和・反射効果が、リースリングの長い成熟を支える。</x:v>
      </x:c>
      <x:c r="M151" s="165" t="str">
        <x:v>誤り。 糖は光合成で蓄積し、川が果汁へ直接加えるものではない。</x:v>
      </x:c>
      <x:c r="N151" s="165" t="str">
        <x:v>正しい。 高緯度の冷涼な地域で、南向き斜面と大きな川の緩和・反射効果が、リースリングの長い成熟を支える。</x:v>
      </x:c>
      <x:c r="O151" s="165" t="str">
        <x:v>誤り。 上質畑では日射を得やすい向きが重視され、成熟を止めることが目的ではない。</x:v>
      </x:c>
      <x:c r="P151" s="165" t="str">
        <x:v>誤り。 ライン川の水が酒精強化を行うことはなく、酒精強化は蒸留酒の添加で行う。</x:v>
      </x:c>
      <x:c r="Q151" s="165" t="str">
        <x:v>自然要因・産地</x:v>
      </x:c>
      <x:c r="R151" s="165" t="str">
        <x:v>方角・水域</x:v>
      </x:c>
      <x:c r="S151" s="165" t="str">
        <x:v>非発泡性白ワイン</x:v>
      </x:c>
      <x:c r="T151" s="165" t="str">
        <x:v>ドイツ</x:v>
      </x:c>
      <x:c r="U151" s="165" t="str">
        <x:v>ラインガウ</x:v>
      </x:c>
      <x:c r="V151" s="165" t="str">
        <x:v>リースリング</x:v>
      </x:c>
      <x:c r="W151" s="165" t="str">
        <x:v>因果説明</x:v>
      </x:c>
      <x:c r="X151" s="171" t="str">
        <x:v>D2</x:v>
      </x:c>
      <x:c r="Y151" s="165" t="str">
        <x:v>川が糖・酒精を供給; 北向きで成熟停止</x:v>
      </x:c>
      <x:c r="Z151" s="171" t="str">
        <x:v>N</x:v>
      </x:c>
      <x:c r="AA151" s="165"/>
      <x:c r="AB151" s="165" t="str">
        <x:v>オリジナル</x:v>
      </x:c>
      <x:c r="AC151" s="165" t="str">
        <x:v>公式Specificationの範囲＋ユーザー作成コーパスの論点と問題設計例を参考に独自作成</x:v>
      </x:c>
      <x:c r="AD151" s="171" t="str">
        <x:v>未レビュー</x:v>
      </x:c>
      <x:c r="AE151" s="171"/>
      <x:c r="AF151" s="171"/>
      <x:c r="AG151" s="166"/>
    </x:row>
    <x:row r="152" ht="84" customHeight="1">
      <x:c r="A152" s="164" t="str">
        <x:v>LO2-031</x:v>
      </x:c>
      <x:c r="B152" s="171" t="str">
        <x:v>LO2</x:v>
      </x:c>
      <x:c r="C152" s="165" t="str">
        <x:v>世界の主要な非発泡性ワイン</x:v>
      </x:c>
      <x:c r="D152" s="165" t="str">
        <x:v>ファルツ</x:v>
      </x:c>
      <x:c r="E152" s="165" t="str">
        <x:v>ファルツがモーゼルより豊かで辛口のリースリングを造りやすい主な理由はどれか。</x:v>
      </x:c>
      <x:c r="F152" s="165" t="str">
        <x:v>モーゼルより北に位置し、日照がほとんどないから</x:v>
      </x:c>
      <x:c r="G152" s="165" t="str">
        <x:v>すべてのリースリングを発酵前に酒精強化するから</x:v>
      </x:c>
      <x:c r="H152" s="165" t="str">
        <x:v>ハールト山地の雨陰で比較的温暖かつ乾燥し、ブドウが高い成熟度に達しやすい</x:v>
      </x:c>
      <x:c r="I152" s="165" t="str">
        <x:v>海洋からの年間降雨が極端に多く、果汁が希釈されるから</x:v>
      </x:c>
      <x:c r="J152" s="171" t="str">
        <x:v>C</x:v>
      </x:c>
      <x:c r="K152" s="165" t="str">
        <x:v>ハールト山地の雨陰で比較的温暖かつ乾燥し、ブドウが高い成熟度に達しやすい</x:v>
      </x:c>
      <x:c r="L152" s="165" t="str">
        <x:v>ファルツはドイツの中でも日照と暖かさに恵まれ、雨が少ないため、よりボディと熟した果実味のある辛口リースリングを造りやすい。</x:v>
      </x:c>
      <x:c r="M152" s="165" t="str">
        <x:v>誤り。 ファルツの豊かなスタイルは、より暖かく日照に恵まれることと関係する。</x:v>
      </x:c>
      <x:c r="N152" s="165" t="str">
        <x:v>誤り。 ドイツの辛口リースリングは通常酒精強化しない。</x:v>
      </x:c>
      <x:c r="O152" s="165" t="str">
        <x:v>正しい。 ファルツはドイツの中でも日照と暖かさに恵まれ、雨が少ないため、よりボディと熟した果実味のある辛口リースリングを造りやすい。</x:v>
      </x:c>
      <x:c r="P152" s="165" t="str">
        <x:v>誤り。 ファルツは山地の雨陰で比較的乾燥しており、説明が逆である。</x:v>
      </x:c>
      <x:c r="Q152" s="165" t="str">
        <x:v>自然要因・産地</x:v>
      </x:c>
      <x:c r="R152" s="165" t="str">
        <x:v>雨陰・成熟</x:v>
      </x:c>
      <x:c r="S152" s="165" t="str">
        <x:v>非発泡性白ワイン</x:v>
      </x:c>
      <x:c r="T152" s="165" t="str">
        <x:v>ドイツ</x:v>
      </x:c>
      <x:c r="U152" s="165" t="str">
        <x:v>ファルツ</x:v>
      </x:c>
      <x:c r="V152" s="165" t="str">
        <x:v>リースリング</x:v>
      </x:c>
      <x:c r="W152" s="165" t="str">
        <x:v>因果説明</x:v>
      </x:c>
      <x:c r="X152" s="171" t="str">
        <x:v>D2</x:v>
      </x:c>
      <x:c r="Y152" s="165" t="str">
        <x:v>ファルツは寒冷多雨; ドイツリースリングは酒精強化</x:v>
      </x:c>
      <x:c r="Z152" s="171" t="str">
        <x:v>N</x:v>
      </x:c>
      <x:c r="AA152" s="165"/>
      <x:c r="AB152" s="165" t="str">
        <x:v>オリジナル</x:v>
      </x:c>
      <x:c r="AC152" s="165" t="str">
        <x:v>公式Specificationの範囲＋ユーザー作成コーパスの論点と問題設計例を参考に独自作成</x:v>
      </x:c>
      <x:c r="AD152" s="171" t="str">
        <x:v>未レビュー</x:v>
      </x:c>
      <x:c r="AE152" s="171"/>
      <x:c r="AF152" s="171"/>
      <x:c r="AG152" s="166"/>
    </x:row>
    <x:row r="153" ht="84" customHeight="1">
      <x:c r="A153" s="164" t="str">
        <x:v>LO2-032</x:v>
      </x:c>
      <x:c r="B153" s="171" t="str">
        <x:v>LO2</x:v>
      </x:c>
      <x:c r="C153" s="165" t="str">
        <x:v>世界の主要な非発泡性ワイン</x:v>
      </x:c>
      <x:c r="D153" s="165" t="str">
        <x:v>ブルゲンラント</x:v>
      </x:c>
      <x:c r="E153" s="165" t="str">
        <x:v>ブルゲンラントで貴腐の影響を受けた甘口ワインを造りやすい主な自然要因はどれか。</x:v>
      </x:c>
      <x:c r="F153" s="165" t="str">
        <x:v>一年を通じた完全な乾燥で、菌類が全く存在しないこと</x:v>
      </x:c>
      <x:c r="G153" s="165" t="str">
        <x:v>海抜の低さにより、果粒が自然に凍結すること</x:v>
      </x:c>
      <x:c r="H153" s="165" t="str">
        <x:v>強い塩水を果房へ散布し、糖を加えること</x:v>
      </x:c>
      <x:c r="I153" s="165" t="str">
        <x:v>ノイジードラー湖周辺の朝霧と、その後の暖かく乾いた条件</x:v>
      </x:c>
      <x:c r="J153" s="171" t="str">
        <x:v>D</x:v>
      </x:c>
      <x:c r="K153" s="165" t="str">
        <x:v>ノイジードラー湖周辺の朝霧と、その後の暖かく乾いた条件</x:v>
      </x:c>
      <x:c r="L153" s="165" t="str">
        <x:v>湖からの湿気が朝に貴腐菌の発生を促し、午後の乾燥が果粒の水分蒸発と健全な濃縮を助ける。</x:v>
      </x:c>
      <x:c r="M153" s="165" t="str">
        <x:v>誤り。 貴腐には一定の湿気が必要で、完全な乾燥では発生しにくい。</x:v>
      </x:c>
      <x:c r="N153" s="165" t="str">
        <x:v>誤り。 ブルゲンラントの貴腐は湖の湿気と乾燥の組み合わせが中心で、凍結濃縮とは異なる。</x:v>
      </x:c>
      <x:c r="O153" s="165" t="str">
        <x:v>誤り。 塩水散布は貴腐や糖分濃縮の方法ではない。</x:v>
      </x:c>
      <x:c r="P153" s="165" t="str">
        <x:v>正しい。 湖からの湿気が朝に貴腐菌の発生を促し、午後の乾燥が果粒の水分蒸発と健全な濃縮を助ける。</x:v>
      </x:c>
      <x:c r="Q153" s="165" t="str">
        <x:v>自然要因・産地</x:v>
      </x:c>
      <x:c r="R153" s="165" t="str">
        <x:v>貴腐・湖</x:v>
      </x:c>
      <x:c r="S153" s="165" t="str">
        <x:v>非発泡性甘口白ワイン</x:v>
      </x:c>
      <x:c r="T153" s="165" t="str">
        <x:v>オーストリア</x:v>
      </x:c>
      <x:c r="U153" s="165" t="str">
        <x:v>ブルゲンラント</x:v>
      </x:c>
      <x:c r="V153" s="165" t="str">
        <x:v>ヴェルシュリースリング等</x:v>
      </x:c>
      <x:c r="W153" s="165" t="str">
        <x:v>因果説明</x:v>
      </x:c>
      <x:c r="X153" s="171" t="str">
        <x:v>D2</x:v>
      </x:c>
      <x:c r="Y153" s="165" t="str">
        <x:v>貴腐は完全乾燥; 貴腐と凍結濃縮の混同</x:v>
      </x:c>
      <x:c r="Z153" s="171" t="str">
        <x:v>N</x:v>
      </x:c>
      <x:c r="AA153" s="165"/>
      <x:c r="AB153" s="165" t="str">
        <x:v>オリジナル</x:v>
      </x:c>
      <x:c r="AC153" s="165" t="str">
        <x:v>公式Specificationの範囲＋ユーザー作成コーパスの論点と問題設計例を参考に独自作成</x:v>
      </x:c>
      <x:c r="AD153" s="171" t="str">
        <x:v>未レビュー</x:v>
      </x:c>
      <x:c r="AE153" s="171"/>
      <x:c r="AF153" s="171"/>
      <x:c r="AG153" s="166"/>
    </x:row>
    <x:row r="154" ht="84" customHeight="1">
      <x:c r="A154" s="164" t="str">
        <x:v>LO2-033</x:v>
      </x:c>
      <x:c r="B154" s="171" t="str">
        <x:v>LO2</x:v>
      </x:c>
      <x:c r="C154" s="165" t="str">
        <x:v>世界の主要な非発泡性ワイン</x:v>
      </x:c>
      <x:c r="D154" s="165" t="str">
        <x:v>サントリーニ</x:v>
      </x:c>
      <x:c r="E154" s="165" t="str">
        <x:v>サントリーニでブドウ樹を低い籠状に仕立てる主な目的はどれか。</x:v>
      </x:c>
      <x:c r="F154" s="165" t="str">
        <x:v>強風と乾燥から新梢や果房を守り、地面近くの湿気を利用する</x:v>
      </x:c>
      <x:c r="G154" s="165" t="str">
        <x:v>積雪の上へ果房を持ち上げ、凍結を促す</x:v>
      </x:c>
      <x:c r="H154" s="165" t="str">
        <x:v>機械収穫の速度を最大化する</x:v>
      </x:c>
      <x:c r="I154" s="165" t="str">
        <x:v>果房を水中へ沈め、塩味を加える</x:v>
      </x:c>
      <x:c r="J154" s="171" t="str">
        <x:v>A</x:v>
      </x:c>
      <x:c r="K154" s="165" t="str">
        <x:v>強風と乾燥から新梢や果房を守り、地面近くの湿気を利用する</x:v>
      </x:c>
      <x:c r="L154" s="165" t="str">
        <x:v>籠状の仕立ては果房を風と砂から守り、島の極端な乾燥条件で樹の周囲に湿気を保ちやすくする。</x:v>
      </x:c>
      <x:c r="M154" s="165" t="str">
        <x:v>正しい。 籠状の仕立ては果房を風と砂から守り、島の極端な乾燥条件で樹の周囲に湿気を保ちやすくする。</x:v>
      </x:c>
      <x:c r="N154" s="165" t="str">
        <x:v>誤り。 サントリーニは温暖で乾燥した島で、積雪と凍結を利用する仕立てではない。</x:v>
      </x:c>
      <x:c r="O154" s="165" t="str">
        <x:v>誤り。 低い籠状仕立ては手作業が多く、機械収穫の効率化が主目的ではない。</x:v>
      </x:c>
      <x:c r="P154" s="165" t="str">
        <x:v>誤り。 果房を海水へ沈める方法ではなく、風と乾燥への適応である。</x:v>
      </x:c>
      <x:c r="Q154" s="165" t="str">
        <x:v>人的要因（畑）</x:v>
      </x:c>
      <x:c r="R154" s="165" t="str">
        <x:v>仕立て・風害乾燥</x:v>
      </x:c>
      <x:c r="S154" s="165" t="str">
        <x:v>非発泡性白ワイン</x:v>
      </x:c>
      <x:c r="T154" s="165" t="str">
        <x:v>ギリシャ</x:v>
      </x:c>
      <x:c r="U154" s="165" t="str">
        <x:v>サントリーニ</x:v>
      </x:c>
      <x:c r="V154" s="165" t="str">
        <x:v>アシルティコ</x:v>
      </x:c>
      <x:c r="W154" s="165" t="str">
        <x:v>因果説明</x:v>
      </x:c>
      <x:c r="X154" s="171" t="str">
        <x:v>D2</x:v>
      </x:c>
      <x:c r="Y154" s="165" t="str">
        <x:v>籠仕立ては凍結・機械化・海水利用</x:v>
      </x:c>
      <x:c r="Z154" s="171" t="str">
        <x:v>N</x:v>
      </x:c>
      <x:c r="AA154" s="165"/>
      <x:c r="AB154" s="165" t="str">
        <x:v>オリジナル</x:v>
      </x:c>
      <x:c r="AC154" s="165" t="str">
        <x:v>公式Specificationの範囲＋ユーザー作成コーパスの論点と問題設計例を参考に独自作成</x:v>
      </x:c>
      <x:c r="AD154" s="171" t="str">
        <x:v>未レビュー</x:v>
      </x:c>
      <x:c r="AE154" s="171"/>
      <x:c r="AF154" s="171"/>
      <x:c r="AG154" s="166"/>
    </x:row>
    <x:row r="155" ht="84" customHeight="1">
      <x:c r="A155" s="164" t="str">
        <x:v>LO2-034</x:v>
      </x:c>
      <x:c r="B155" s="171" t="str">
        <x:v>LO2</x:v>
      </x:c>
      <x:c r="C155" s="165" t="str">
        <x:v>世界の主要な非発泡性ワイン</x:v>
      </x:c>
      <x:c r="D155" s="165" t="str">
        <x:v>ナウサ</x:v>
      </x:c>
      <x:c r="E155" s="165" t="str">
        <x:v>ナウサのクシノマヴロから造られる赤ワインの典型的な構造はどれか。</x:v>
      </x:c>
      <x:c r="F155" s="165" t="str">
        <x:v>低い酸と低いタンニンで、バナナ香だけを持つ</x:v>
      </x:c>
      <x:c r="G155" s="165" t="str">
        <x:v>高い酸と高いタンニンを持ち、赤い果実やトマト、オリーブを思わせる風味を示す</x:v>
      </x:c>
      <x:c r="H155" s="165" t="str">
        <x:v>無色で甘い発泡性ワインだけになる</x:v>
      </x:c>
      <x:c r="I155" s="165" t="str">
        <x:v>高い残糖とフロール由来のアーモンド香を持つ</x:v>
      </x:c>
      <x:c r="J155" s="171" t="str">
        <x:v>B</x:v>
      </x:c>
      <x:c r="K155" s="165" t="str">
        <x:v>高い酸と高いタンニンを持ち、赤い果実やトマト、オリーブを思わせる風味を示す</x:v>
      </x:c>
      <x:c r="L155" s="165" t="str">
        <x:v>クシノマヴロは高い酸とタンニンを持つ晩熟品種で、ナウサでは構造があり、瓶熟成に向く赤ワインとなる。</x:v>
      </x:c>
      <x:c r="M155" s="165" t="str">
        <x:v>誤り。 これはナウサの典型的な構造ではなく、クシノマヴロは酸とタンニンが高い。</x:v>
      </x:c>
      <x:c r="N155" s="165" t="str">
        <x:v>正しい。 クシノマヴロは高い酸とタンニンを持つ晩熟品種で、ナウサでは構造があり、瓶熟成に向く赤ワインとなる。</x:v>
      </x:c>
      <x:c r="O155" s="165" t="str">
        <x:v>誤り。 クシノマヴロは黒ブドウで、ナウサは主に非発泡性赤ワインで知られる。</x:v>
      </x:c>
      <x:c r="P155" s="165" t="str">
        <x:v>誤り。 フロール熟成は主にフィノなどのシェリーに関連し、ナウサの典型ではない。</x:v>
      </x:c>
      <x:c r="Q155" s="165" t="str">
        <x:v>産地スタイル</x:v>
      </x:c>
      <x:c r="R155" s="165" t="str">
        <x:v>品種構造・熟成能力</x:v>
      </x:c>
      <x:c r="S155" s="165" t="str">
        <x:v>非発泡性赤ワイン</x:v>
      </x:c>
      <x:c r="T155" s="165" t="str">
        <x:v>ギリシャ</x:v>
      </x:c>
      <x:c r="U155" s="165" t="str">
        <x:v>ナウサ</x:v>
      </x:c>
      <x:c r="V155" s="165" t="str">
        <x:v>クシノマヴロ</x:v>
      </x:c>
      <x:c r="W155" s="165" t="str">
        <x:v>知識確認</x:v>
      </x:c>
      <x:c r="X155" s="171" t="str">
        <x:v>D1</x:v>
      </x:c>
      <x:c r="Y155" s="165" t="str">
        <x:v>クシノマヴロは低酸低タンニン; 発泡・フロール</x:v>
      </x:c>
      <x:c r="Z155" s="171" t="str">
        <x:v>N</x:v>
      </x:c>
      <x:c r="AA155" s="165"/>
      <x:c r="AB155" s="165" t="str">
        <x:v>オリジナル</x:v>
      </x:c>
      <x:c r="AC155" s="165" t="str">
        <x:v>公式Specificationの範囲＋ユーザー作成コーパスの論点と問題設計例を参考に独自作成</x:v>
      </x:c>
      <x:c r="AD155" s="171" t="str">
        <x:v>未レビュー</x:v>
      </x:c>
      <x:c r="AE155" s="171"/>
      <x:c r="AF155" s="171"/>
      <x:c r="AG155" s="166"/>
    </x:row>
    <x:row r="156" ht="84" customHeight="1">
      <x:c r="A156" s="164" t="str">
        <x:v>LO2-035</x:v>
      </x:c>
      <x:c r="B156" s="171" t="str">
        <x:v>LO2</x:v>
      </x:c>
      <x:c r="C156" s="165" t="str">
        <x:v>世界の主要な非発泡性ワイン</x:v>
      </x:c>
      <x:c r="D156" s="165" t="str">
        <x:v>ソアーヴェ・クラッシコ</x:v>
      </x:c>
      <x:c r="E156" s="165" t="str">
        <x:v>ソアーヴェ・クラッシコが一般的な平地産ソアーヴェより高い品質を持ちやすい理由はどれか。</x:v>
      </x:c>
      <x:c r="F156" s="165" t="str">
        <x:v>黒ブドウだけを使い、長期果皮浸漬で高タンニン赤を造る</x:v>
      </x:c>
      <x:c r="G156" s="165" t="str">
        <x:v>すべてのブドウを凍結し、甘口にする</x:v>
      </x:c>
      <x:c r="H156" s="165" t="str">
        <x:v>歴史的な丘陵地帯で、排水と日照に恵まれ、収量を抑えたガルガーネガを得やすい</x:v>
      </x:c>
      <x:c r="I156" s="165" t="str">
        <x:v>平地の肥沃な畑で最大収量を得ることが、クラッシコ表示の条件である</x:v>
      </x:c>
      <x:c r="J156" s="171" t="str">
        <x:v>C</x:v>
      </x:c>
      <x:c r="K156" s="165" t="str">
        <x:v>歴史的な丘陵地帯で、排水と日照に恵まれ、収量を抑えたガルガーネガを得やすい</x:v>
      </x:c>
      <x:c r="L156" s="165" t="str">
        <x:v>クラッシコ地区の丘陵畑は平地より排水性と日照に恵まれ、凝縮したガルガーネガから、より風味と酸のあるワインを造りやすい。</x:v>
      </x:c>
      <x:c r="M156" s="165" t="str">
        <x:v>誤り。 ソアーヴェは主にガルガーネガから造る白ワインである。</x:v>
      </x:c>
      <x:c r="N156" s="165" t="str">
        <x:v>誤り。 凍結濃縮はソアーヴェ・クラッシコの標準的な製法ではない。</x:v>
      </x:c>
      <x:c r="O156" s="165" t="str">
        <x:v>正しい。 クラッシコ地区の丘陵畑は平地より排水性と日照に恵まれ、凝縮したガルガーネガから、より風味と酸のあるワインを造りやすい。</x:v>
      </x:c>
      <x:c r="P156" s="165" t="str">
        <x:v>誤り。 クラッシコは歴史的な中核地区を示し、丘陵地が中心である。</x:v>
      </x:c>
      <x:c r="Q156" s="165" t="str">
        <x:v>法律面・自然要因</x:v>
      </x:c>
      <x:c r="R156" s="165" t="str">
        <x:v>クラッシコ・丘陵</x:v>
      </x:c>
      <x:c r="S156" s="165" t="str">
        <x:v>非発泡性白ワイン</x:v>
      </x:c>
      <x:c r="T156" s="165" t="str">
        <x:v>イタリア</x:v>
      </x:c>
      <x:c r="U156" s="165" t="str">
        <x:v>ヴェネト／ソアーヴェ・クラッシコ</x:v>
      </x:c>
      <x:c r="V156" s="165" t="str">
        <x:v>ガルガーネガ</x:v>
      </x:c>
      <x:c r="W156" s="165" t="str">
        <x:v>統合判断</x:v>
      </x:c>
      <x:c r="X156" s="171" t="str">
        <x:v>D3</x:v>
      </x:c>
      <x:c r="Y156" s="165" t="str">
        <x:v>ソアーヴェは赤・凍結甘口; Classicoは平地高収量</x:v>
      </x:c>
      <x:c r="Z156" s="171" t="str">
        <x:v>Y</x:v>
      </x:c>
      <x:c r="AA156" s="165" t="str">
        <x:v>Classico表示の説明は現行の産地規定と日本語教材表現の最終照合を推奨</x:v>
      </x:c>
      <x:c r="AB156" s="165" t="str">
        <x:v>オリジナル</x:v>
      </x:c>
      <x:c r="AC156" s="165" t="str">
        <x:v>公式Specificationの範囲＋ユーザー作成コーパスの論点と問題設計例を参考に独自作成</x:v>
      </x:c>
      <x:c r="AD156" s="171" t="str">
        <x:v>未レビュー</x:v>
      </x:c>
      <x:c r="AE156" s="171"/>
      <x:c r="AF156" s="171"/>
      <x:c r="AG156" s="166"/>
    </x:row>
    <x:row r="157" ht="84" customHeight="1">
      <x:c r="A157" s="164" t="str">
        <x:v>LO2-036</x:v>
      </x:c>
      <x:c r="B157" s="171" t="str">
        <x:v>LO2</x:v>
      </x:c>
      <x:c r="C157" s="165" t="str">
        <x:v>世界の主要な非発泡性ワイン</x:v>
      </x:c>
      <x:c r="D157" s="165" t="str">
        <x:v>アマローネ</x:v>
      </x:c>
      <x:c r="E157" s="165" t="str">
        <x:v>アマローネ・デッラ・ヴァルポリチェッラが高アルコールで濃厚な辛口になりやすい主な理由はどれか。</x:v>
      </x:c>
      <x:c r="F157" s="165" t="str">
        <x:v>発酵を早期に止めて、低アルコールの甘口にする</x:v>
      </x:c>
      <x:c r="G157" s="165" t="str">
        <x:v>収穫前にブドウを水へ浸し、果汁を希釈する</x:v>
      </x:c>
      <x:c r="H157" s="165" t="str">
        <x:v>白ブドウを炭酸ガス注入して発泡性にする</x:v>
      </x:c>
      <x:c r="I157" s="165" t="str">
        <x:v>収穫後にブドウを乾燥させて糖と風味を濃縮し、その糖の多くを発酵させる</x:v>
      </x:c>
      <x:c r="J157" s="171" t="str">
        <x:v>D</x:v>
      </x:c>
      <x:c r="K157" s="165" t="str">
        <x:v>収穫後にブドウを乾燥させて糖と風味を濃縮し、その糖の多くを発酵させる</x:v>
      </x:c>
      <x:c r="L157" s="165" t="str">
        <x:v>アパッシメントで水分を減らした高糖度果汁を発酵するため、高いアルコール、豊かなボディ、乾燥果実風味を持つ辛口になりやすい。</x:v>
      </x:c>
      <x:c r="M157" s="165" t="str">
        <x:v>誤り。 これはレチョートなど甘口スタイルに近く、アマローネの典型ではない。</x:v>
      </x:c>
      <x:c r="N157" s="165" t="str">
        <x:v>誤り。 アパッシメントは水分を減らす工程で、希釈とは逆である。</x:v>
      </x:c>
      <x:c r="O157" s="165" t="str">
        <x:v>誤り。 アマローネは黒ブドウの非発泡性赤ワインである。</x:v>
      </x:c>
      <x:c r="P157" s="165" t="str">
        <x:v>正しい。 アパッシメントで水分を減らした高糖度果汁を発酵するため、高いアルコール、豊かなボディ、乾燥果実風味を持つ辛口になりやすい。</x:v>
      </x:c>
      <x:c r="Q157" s="165" t="str">
        <x:v>醸造・産地</x:v>
      </x:c>
      <x:c r="R157" s="165" t="str">
        <x:v>アパッシメント・辛口発酵</x:v>
      </x:c>
      <x:c r="S157" s="165" t="str">
        <x:v>非発泡性赤ワイン</x:v>
      </x:c>
      <x:c r="T157" s="165" t="str">
        <x:v>イタリア</x:v>
      </x:c>
      <x:c r="U157" s="165" t="str">
        <x:v>ヴェネト／ヴァルポリチェッラ</x:v>
      </x:c>
      <x:c r="V157" s="165" t="str">
        <x:v>コルヴィーナ等</x:v>
      </x:c>
      <x:c r="W157" s="165" t="str">
        <x:v>因果説明</x:v>
      </x:c>
      <x:c r="X157" s="171" t="str">
        <x:v>D2</x:v>
      </x:c>
      <x:c r="Y157" s="165" t="str">
        <x:v>アマローネは低アルコール甘口; 乾燥と希釈の逆転</x:v>
      </x:c>
      <x:c r="Z157" s="171" t="str">
        <x:v>N</x:v>
      </x:c>
      <x:c r="AA157" s="165"/>
      <x:c r="AB157" s="165" t="str">
        <x:v>オリジナル</x:v>
      </x:c>
      <x:c r="AC157" s="165" t="str">
        <x:v>公式Specificationの範囲＋ユーザー作成コーパスの論点と問題設計例を参考に独自作成</x:v>
      </x:c>
      <x:c r="AD157" s="171" t="str">
        <x:v>未レビュー</x:v>
      </x:c>
      <x:c r="AE157" s="171"/>
      <x:c r="AF157" s="171"/>
      <x:c r="AG157" s="166"/>
    </x:row>
    <x:row r="158" ht="84" customHeight="1">
      <x:c r="A158" s="164" t="str">
        <x:v>LO2-037</x:v>
      </x:c>
      <x:c r="B158" s="171" t="str">
        <x:v>LO2</x:v>
      </x:c>
      <x:c r="C158" s="165" t="str">
        <x:v>世界の主要な非発泡性ワイン</x:v>
      </x:c>
      <x:c r="D158" s="165" t="str">
        <x:v>キアンティ・クラッシコ</x:v>
      </x:c>
      <x:c r="E158" s="165" t="str">
        <x:v>キアンティ・クラッシコのサンジョヴェーゼに典型的な特徴はどれか。</x:v>
      </x:c>
      <x:c r="F158" s="165" t="str">
        <x:v>高い酸、目立つタンニン、サワーチェリーと乾燥ハーブを思わせる風味</x:v>
      </x:c>
      <x:c r="G158" s="165" t="str">
        <x:v>低い酸と低いタンニン、強いバナナ香</x:v>
      </x:c>
      <x:c r="H158" s="165" t="str">
        <x:v>極めて淡い甘口白で、マスカット香を持つ</x:v>
      </x:c>
      <x:c r="I158" s="165" t="str">
        <x:v>フロール熟成によるアセトアルデヒド香と塩味</x:v>
      </x:c>
      <x:c r="J158" s="171" t="str">
        <x:v>A</x:v>
      </x:c>
      <x:c r="K158" s="165" t="str">
        <x:v>高い酸、目立つタンニン、サワーチェリーと乾燥ハーブを思わせる風味</x:v>
      </x:c>
      <x:c r="L158" s="165" t="str">
        <x:v>サンジョヴェーゼは高い酸と中程度以上のタンニンを持ち、クラッシコの丘陵条件で赤い果実、ハーブ、土を思わせる複雑な赤ワインとなる。</x:v>
      </x:c>
      <x:c r="M158" s="165" t="str">
        <x:v>正しい。 サンジョヴェーゼは高い酸と中程度以上のタンニンを持ち、クラッシコの丘陵条件で赤い果実、ハーブ、土を思わせる複雑な赤ワインとなる。</x:v>
      </x:c>
      <x:c r="N158" s="165" t="str">
        <x:v>誤り。 サンジョヴェーゼは一般に高い酸を持ち、バナナ香が主要な品種特徴ではない。</x:v>
      </x:c>
      <x:c r="O158" s="165" t="str">
        <x:v>誤り。 キアンティ・クラッシコは主にサンジョヴェーゼの赤ワインである。</x:v>
      </x:c>
      <x:c r="P158" s="165" t="str">
        <x:v>誤り。 これはフィノやマンサニーリャに関連し、キアンティ・クラッシコの典型ではない。</x:v>
      </x:c>
      <x:c r="Q158" s="165" t="str">
        <x:v>品種・産地</x:v>
      </x:c>
      <x:c r="R158" s="165" t="str">
        <x:v>サンジョヴェーゼ・スタイル</x:v>
      </x:c>
      <x:c r="S158" s="165" t="str">
        <x:v>非発泡性赤ワイン</x:v>
      </x:c>
      <x:c r="T158" s="165" t="str">
        <x:v>イタリア</x:v>
      </x:c>
      <x:c r="U158" s="165" t="str">
        <x:v>トスカーナ／キアンティ・クラッシコ</x:v>
      </x:c>
      <x:c r="V158" s="165" t="str">
        <x:v>サンジョヴェーゼ</x:v>
      </x:c>
      <x:c r="W158" s="165" t="str">
        <x:v>知識確認</x:v>
      </x:c>
      <x:c r="X158" s="171" t="str">
        <x:v>D1</x:v>
      </x:c>
      <x:c r="Y158" s="165" t="str">
        <x:v>サンジョヴェーゼは低酸; キアンティは白・フロール</x:v>
      </x:c>
      <x:c r="Z158" s="171" t="str">
        <x:v>N</x:v>
      </x:c>
      <x:c r="AA158" s="165"/>
      <x:c r="AB158" s="165" t="str">
        <x:v>オリジナル</x:v>
      </x:c>
      <x:c r="AC158" s="165" t="str">
        <x:v>公式Specificationの範囲＋ユーザー作成コーパスの論点と問題設計例を参考に独自作成</x:v>
      </x:c>
      <x:c r="AD158" s="171" t="str">
        <x:v>未レビュー</x:v>
      </x:c>
      <x:c r="AE158" s="171"/>
      <x:c r="AF158" s="171"/>
      <x:c r="AG158" s="166"/>
    </x:row>
    <x:row r="159" ht="84" customHeight="1">
      <x:c r="A159" s="164" t="str">
        <x:v>LO2-038</x:v>
      </x:c>
      <x:c r="B159" s="171" t="str">
        <x:v>LO2</x:v>
      </x:c>
      <x:c r="C159" s="165" t="str">
        <x:v>世界の主要な非発泡性ワイン</x:v>
      </x:c>
      <x:c r="D159" s="165" t="str">
        <x:v>リベラ・デル・ドゥエロ</x:v>
      </x:c>
      <x:c r="E159" s="165" t="str">
        <x:v>リベラ・デル・ドゥエロでテンプラニーリョが高い酸を保ちながら十分に成熟できる主な理由はどれか。</x:v>
      </x:c>
      <x:c r="F159" s="165" t="str">
        <x:v>海面近くの熱帯雨林で、昼夜とも高温多湿だから</x:v>
      </x:c>
      <x:c r="G159" s="165" t="str">
        <x:v>高標高の大陸性気候で、強い日照と暖かい昼、涼しい夜が組み合わさる</x:v>
      </x:c>
      <x:c r="H159" s="165" t="str">
        <x:v>テンプラニーリョを凍結し、糖を除去するから</x:v>
      </x:c>
      <x:c r="I159" s="165" t="str">
        <x:v>フロールの下で生物学的熟成を行うから</x:v>
      </x:c>
      <x:c r="J159" s="171" t="str">
        <x:v>B</x:v>
      </x:c>
      <x:c r="K159" s="165" t="str">
        <x:v>高標高の大陸性気候で、強い日照と暖かい昼、涼しい夜が組み合わさる</x:v>
      </x:c>
      <x:c r="L159" s="165" t="str">
        <x:v>高標高では日射が強く成熟を促す一方、夜間の低温が呼吸による酸の減少を抑え、凝縮した構造のある赤ワインを生む。</x:v>
      </x:c>
      <x:c r="M159" s="165" t="str">
        <x:v>誤り。 リベラ・デル・ドゥエロは内陸の高標高地域で、熱帯雨林ではない。</x:v>
      </x:c>
      <x:c r="N159" s="165" t="str">
        <x:v>正しい。 高標高では日射が強く成熟を促す一方、夜間の低温が呼吸による酸の減少を抑え、凝縮した構造のある赤ワインを生む。</x:v>
      </x:c>
      <x:c r="O159" s="165" t="str">
        <x:v>誤り。 凍結による糖除去は行わず、成熟した黒ブドウを発酵する。</x:v>
      </x:c>
      <x:c r="P159" s="165" t="str">
        <x:v>誤り。 フロール熟成はシェリーの製法であり、リベラの赤ワインの酸保持理由ではない。</x:v>
      </x:c>
      <x:c r="Q159" s="165" t="str">
        <x:v>自然要因・産地</x:v>
      </x:c>
      <x:c r="R159" s="165" t="str">
        <x:v>高標高・日較差</x:v>
      </x:c>
      <x:c r="S159" s="165" t="str">
        <x:v>非発泡性赤ワイン</x:v>
      </x:c>
      <x:c r="T159" s="165" t="str">
        <x:v>スペイン</x:v>
      </x:c>
      <x:c r="U159" s="165" t="str">
        <x:v>リベラ・デル・ドゥエロ</x:v>
      </x:c>
      <x:c r="V159" s="165" t="str">
        <x:v>テンプラニーリョ</x:v>
      </x:c>
      <x:c r="W159" s="165" t="str">
        <x:v>因果説明</x:v>
      </x:c>
      <x:c r="X159" s="171" t="str">
        <x:v>D2</x:v>
      </x:c>
      <x:c r="Y159" s="165" t="str">
        <x:v>リベラは熱帯; 凍結・フロール</x:v>
      </x:c>
      <x:c r="Z159" s="171" t="str">
        <x:v>N</x:v>
      </x:c>
      <x:c r="AA159" s="165"/>
      <x:c r="AB159" s="165" t="str">
        <x:v>オリジナル</x:v>
      </x:c>
      <x:c r="AC159" s="165" t="str">
        <x:v>公式Specificationの範囲＋ユーザー作成コーパスの論点と問題設計例を参考に独自作成</x:v>
      </x:c>
      <x:c r="AD159" s="171" t="str">
        <x:v>未レビュー</x:v>
      </x:c>
      <x:c r="AE159" s="171"/>
      <x:c r="AF159" s="171"/>
      <x:c r="AG159" s="166"/>
    </x:row>
    <x:row r="160" ht="84" customHeight="1">
      <x:c r="A160" s="164" t="str">
        <x:v>LO2-039</x:v>
      </x:c>
      <x:c r="B160" s="171" t="str">
        <x:v>LO2</x:v>
      </x:c>
      <x:c r="C160" s="165" t="str">
        <x:v>世界の主要な非発泡性ワイン</x:v>
      </x:c>
      <x:c r="D160" s="165" t="str">
        <x:v>プリオラート</x:v>
      </x:c>
      <x:c r="E160" s="165" t="str">
        <x:v>プリオラートの上質赤ワインが高価格になりやすい要因の組み合わせはどれか。</x:v>
      </x:c>
      <x:c r="F160" s="165" t="str">
        <x:v>平坦で肥沃な灌漑畑、極めて高収量、完全機械化</x:v>
      </x:c>
      <x:c r="G160" s="165" t="str">
        <x:v>冷凍果汁を輸入し、炭酸ガスを注入する</x:v>
      </x:c>
      <x:c r="H160" s="165" t="str">
        <x:v>急斜面のリコレリャ土壌、古木、低収量、手作業による生産</x:v>
      </x:c>
      <x:c r="I160" s="165" t="str">
        <x:v>長期間のフロール熟成を行い、淡い辛口にする</x:v>
      </x:c>
      <x:c r="J160" s="171" t="str">
        <x:v>C</x:v>
      </x:c>
      <x:c r="K160" s="165" t="str">
        <x:v>急斜面のリコレリャ土壌、古木、低収量、手作業による生産</x:v>
      </x:c>
      <x:c r="L160" s="165" t="str">
        <x:v>痩せた粘板岩質土壌と急斜面は低収量で凝縮したガルナッチャやカリニェナを生むが、機械化が難しく、ブドウ量も少ないためコストが高い。</x:v>
      </x:c>
      <x:c r="M160" s="165" t="str">
        <x:v>誤り。 これは大量生産向きの条件で、プリオラートの高価格要因と逆である。</x:v>
      </x:c>
      <x:c r="N160" s="165" t="str">
        <x:v>誤り。 プリオラートは地元の黒ブドウから造る非発泡性赤ワインである。</x:v>
      </x:c>
      <x:c r="O160" s="165" t="str">
        <x:v>正しい。 痩せた粘板岩質土壌と急斜面は低収量で凝縮したガルナッチャやカリニェナを生むが、機械化が難しく、ブドウ量も少ないためコストが高い。</x:v>
      </x:c>
      <x:c r="P160" s="165" t="str">
        <x:v>誤り。 フロール熟成はシェリーの工程で、プリオラートの典型ではない。</x:v>
      </x:c>
      <x:c r="Q160" s="165" t="str">
        <x:v>自然・人的・商業要因</x:v>
      </x:c>
      <x:c r="R160" s="165" t="str">
        <x:v>急斜面・低収量・価格</x:v>
      </x:c>
      <x:c r="S160" s="165" t="str">
        <x:v>非発泡性赤ワイン</x:v>
      </x:c>
      <x:c r="T160" s="165" t="str">
        <x:v>スペイン</x:v>
      </x:c>
      <x:c r="U160" s="165" t="str">
        <x:v>カタルーニャ／プリオラート</x:v>
      </x:c>
      <x:c r="V160" s="165" t="str">
        <x:v>ガルナッチャ、カリニェナ</x:v>
      </x:c>
      <x:c r="W160" s="165" t="str">
        <x:v>統合判断</x:v>
      </x:c>
      <x:c r="X160" s="171" t="str">
        <x:v>D3</x:v>
      </x:c>
      <x:c r="Y160" s="165" t="str">
        <x:v>プリオラートは平地高収量; 発泡・フロール</x:v>
      </x:c>
      <x:c r="Z160" s="171" t="str">
        <x:v>N</x:v>
      </x:c>
      <x:c r="AA160" s="165"/>
      <x:c r="AB160" s="165" t="str">
        <x:v>オリジナル</x:v>
      </x:c>
      <x:c r="AC160" s="165" t="str">
        <x:v>公式Specificationの範囲＋ユーザー作成コーパスの論点と問題設計例を参考に独自作成</x:v>
      </x:c>
      <x:c r="AD160" s="171" t="str">
        <x:v>未レビュー</x:v>
      </x:c>
      <x:c r="AE160" s="171"/>
      <x:c r="AF160" s="171"/>
      <x:c r="AG160" s="166"/>
    </x:row>
    <x:row r="161" ht="84" customHeight="1">
      <x:c r="A161" s="164" t="str">
        <x:v>LO2-040</x:v>
      </x:c>
      <x:c r="B161" s="171" t="str">
        <x:v>LO2</x:v>
      </x:c>
      <x:c r="C161" s="165" t="str">
        <x:v>世界の主要な非発泡性ワイン</x:v>
      </x:c>
      <x:c r="D161" s="165" t="str">
        <x:v>ヴィーニョ・ヴェルデ</x:v>
      </x:c>
      <x:c r="E161" s="165" t="str">
        <x:v>ヴィーニョ・ヴェルデの白ワインが軽快で高い酸を持ちやすい主な理由はどれか。</x:v>
      </x:c>
      <x:c r="F161" s="165" t="str">
        <x:v>非常に高温乾燥した砂漠で、ブドウを長期間乾燥させるから</x:v>
      </x:c>
      <x:c r="G161" s="165" t="str">
        <x:v>すべてのワインを発酵途中で酒精強化するから</x:v>
      </x:c>
      <x:c r="H161" s="165" t="str">
        <x:v>黒ブドウの果皮を長期浸漬し、高タンニンにするから</x:v>
      </x:c>
      <x:c r="I161" s="165" t="str">
        <x:v>大西洋の影響を受ける比較的冷涼で雨の多い気候で、早めに収穫されることが多い</x:v>
      </x:c>
      <x:c r="J161" s="171" t="str">
        <x:v>D</x:v>
      </x:c>
      <x:c r="K161" s="165" t="str">
        <x:v>大西洋の影響を受ける比較的冷涼で雨の多い気候で、早めに収穫されることが多い</x:v>
      </x:c>
      <x:c r="L161" s="165" t="str">
        <x:v>ポルトガル北西部の海洋性気候ではブドウの酸が保持され、軽いアルコールと柑橘・青リンゴの風味を持つスタイルになりやすい。</x:v>
      </x:c>
      <x:c r="M161" s="165" t="str">
        <x:v>誤り。 ヴィーニョ・ヴェルデは湿潤な大西洋性地域で、乾燥ブドウの濃厚ワインが典型ではない。</x:v>
      </x:c>
      <x:c r="N161" s="165" t="str">
        <x:v>誤り。 ヴィーニョ・ヴェルデは通常酒精強化しない。</x:v>
      </x:c>
      <x:c r="O161" s="165" t="str">
        <x:v>誤り。 代表的なスタイルは白で、長期果皮浸漬による高タンニンは典型ではない。</x:v>
      </x:c>
      <x:c r="P161" s="165" t="str">
        <x:v>正しい。 ポルトガル北西部の海洋性気候ではブドウの酸が保持され、軽いアルコールと柑橘・青リンゴの風味を持つスタイルになりやすい。</x:v>
      </x:c>
      <x:c r="Q161" s="165" t="str">
        <x:v>自然要因・産地</x:v>
      </x:c>
      <x:c r="R161" s="165" t="str">
        <x:v>海洋性気候・酸</x:v>
      </x:c>
      <x:c r="S161" s="165" t="str">
        <x:v>非発泡性白ワイン</x:v>
      </x:c>
      <x:c r="T161" s="165" t="str">
        <x:v>ポルトガル</x:v>
      </x:c>
      <x:c r="U161" s="165" t="str">
        <x:v>ヴィーニョ・ヴェルデ</x:v>
      </x:c>
      <x:c r="V161" s="165" t="str">
        <x:v>アルヴァリーニョ、ロウレイロ等</x:v>
      </x:c>
      <x:c r="W161" s="165" t="str">
        <x:v>因果説明</x:v>
      </x:c>
      <x:c r="X161" s="171" t="str">
        <x:v>D2</x:v>
      </x:c>
      <x:c r="Y161" s="165" t="str">
        <x:v>ヴィーニョ・ヴェルデは砂漠乾燥; 酒精強化・高タンニン</x:v>
      </x:c>
      <x:c r="Z161" s="171" t="str">
        <x:v>N</x:v>
      </x:c>
      <x:c r="AA161" s="165"/>
      <x:c r="AB161" s="165" t="str">
        <x:v>オリジナル</x:v>
      </x:c>
      <x:c r="AC161" s="165" t="str">
        <x:v>公式Specificationの範囲＋ユーザー作成コーパスの論点と問題設計例を参考に独自作成</x:v>
      </x:c>
      <x:c r="AD161" s="171" t="str">
        <x:v>未レビュー</x:v>
      </x:c>
      <x:c r="AE161" s="171"/>
      <x:c r="AF161" s="171"/>
      <x:c r="AG161" s="166"/>
    </x:row>
    <x:row r="162" ht="84" customHeight="1">
      <x:c r="A162" s="164" t="str">
        <x:v>LO2-041</x:v>
      </x:c>
      <x:c r="B162" s="171" t="str">
        <x:v>LO2</x:v>
      </x:c>
      <x:c r="C162" s="165" t="str">
        <x:v>世界の主要な非発泡性ワイン</x:v>
      </x:c>
      <x:c r="D162" s="165" t="str">
        <x:v>ロシアン・リヴァー・ヴァレー</x:v>
      </x:c>
      <x:c r="E162" s="165" t="str">
        <x:v>ロシアン・リヴァー・ヴァレーがピノ・ノワールとシャルドネに適する主な理由はどれか。</x:v>
      </x:c>
      <x:c r="F162" s="165" t="str">
        <x:v>太平洋から入る霧と冷たい空気が日中の気温を下げ、成熟期間を延ばす</x:v>
      </x:c>
      <x:c r="G162" s="165" t="str">
        <x:v>砂漠の熱風が昼夜を通じて畑を高温に保つ</x:v>
      </x:c>
      <x:c r="H162" s="165" t="str">
        <x:v>果房を海水へ浸し、塩味を付ける</x:v>
      </x:c>
      <x:c r="I162" s="165" t="str">
        <x:v>すべてのブドウを発酵前に凍結して甘口にする</x:v>
      </x:c>
      <x:c r="J162" s="171" t="str">
        <x:v>A</x:v>
      </x:c>
      <x:c r="K162" s="165" t="str">
        <x:v>太平洋から入る霧と冷たい空気が日中の気温を下げ、成熟期間を延ばす</x:v>
      </x:c>
      <x:c r="L162" s="165" t="str">
        <x:v>沿岸からの霧と風がソノマ内陸へ入り、暖かい日中を冷却するため、酸を保ちながら風味をゆっくり成熟させられる。</x:v>
      </x:c>
      <x:c r="M162" s="165" t="str">
        <x:v>正しい。 沿岸からの霧と風がソノマ内陸へ入り、暖かい日中を冷却するため、酸を保ちながら風味をゆっくり成熟させられる。</x:v>
      </x:c>
      <x:c r="N162" s="165" t="str">
        <x:v>誤り。 ロシアン・リヴァーの重要な特徴は海洋冷却であり、持続的な砂漠熱風ではない。</x:v>
      </x:c>
      <x:c r="O162" s="165" t="str">
        <x:v>誤り。 海洋の影響は気温への作用で、果房を海水に浸すことではない。</x:v>
      </x:c>
      <x:c r="P162" s="165" t="str">
        <x:v>誤り。 代表的なスタイルは辛口の非発泡性ワインで、凍結濃縮が標準ではない。</x:v>
      </x:c>
      <x:c r="Q162" s="165" t="str">
        <x:v>自然要因・産地</x:v>
      </x:c>
      <x:c r="R162" s="165" t="str">
        <x:v>霧・海洋冷却</x:v>
      </x:c>
      <x:c r="S162" s="165" t="str">
        <x:v>非発泡性ワイン</x:v>
      </x:c>
      <x:c r="T162" s="165" t="str">
        <x:v>米国</x:v>
      </x:c>
      <x:c r="U162" s="165" t="str">
        <x:v>ソノマ／ロシアン・リヴァー・ヴァレー</x:v>
      </x:c>
      <x:c r="V162" s="165" t="str">
        <x:v>ピノ・ノワール、シャルドネ</x:v>
      </x:c>
      <x:c r="W162" s="165" t="str">
        <x:v>因果説明</x:v>
      </x:c>
      <x:c r="X162" s="171" t="str">
        <x:v>D2</x:v>
      </x:c>
      <x:c r="Y162" s="165" t="str">
        <x:v>ロシアン・リヴァーは砂漠; 海水処理・凍結甘口</x:v>
      </x:c>
      <x:c r="Z162" s="171" t="str">
        <x:v>N</x:v>
      </x:c>
      <x:c r="AA162" s="165"/>
      <x:c r="AB162" s="165" t="str">
        <x:v>オリジナル</x:v>
      </x:c>
      <x:c r="AC162" s="165" t="str">
        <x:v>公式Specificationの範囲＋ユーザー作成コーパスの論点と問題設計例を参考に独自作成</x:v>
      </x:c>
      <x:c r="AD162" s="171" t="str">
        <x:v>未レビュー</x:v>
      </x:c>
      <x:c r="AE162" s="171"/>
      <x:c r="AF162" s="171"/>
      <x:c r="AG162" s="166"/>
    </x:row>
    <x:row r="163" ht="84" customHeight="1">
      <x:c r="A163" s="164" t="str">
        <x:v>LO2-042</x:v>
      </x:c>
      <x:c r="B163" s="171" t="str">
        <x:v>LO2</x:v>
      </x:c>
      <x:c r="C163" s="165" t="str">
        <x:v>世界の主要な非発泡性ワイン</x:v>
      </x:c>
      <x:c r="D163" s="165" t="str">
        <x:v>ドライ・クリーク・ヴァレー</x:v>
      </x:c>
      <x:c r="E163" s="165" t="str">
        <x:v>ドライ・クリーク・ヴァレーのジンファンデルに典型的な特徴はどれか。</x:v>
      </x:c>
      <x:c r="F163" s="165" t="str">
        <x:v>低アルコールで高い酸の淡い白、青リンゴだけの香り</x:v>
      </x:c>
      <x:c r="G163" s="165" t="str">
        <x:v>熟したブラックベリーやプラム、高めのアルコール、豊かなボディ</x:v>
      </x:c>
      <x:c r="H163" s="165" t="str">
        <x:v>フロール熟成によるアーモンド香の酒精強化ワイン</x:v>
      </x:c>
      <x:c r="I163" s="165" t="str">
        <x:v>極めて甘い貴腐白ワイン</x:v>
      </x:c>
      <x:c r="J163" s="171" t="str">
        <x:v>B</x:v>
      </x:c>
      <x:c r="K163" s="165" t="str">
        <x:v>熟したブラックベリーやプラム、高めのアルコール、豊かなボディ</x:v>
      </x:c>
      <x:c r="L163" s="165" t="str">
        <x:v>温暖で日照の多い条件によりジンファンデルが高い糖度に達し、凝縮した黒系果実とスパイスを持つ力強い赤ワインになりやすい。</x:v>
      </x:c>
      <x:c r="M163" s="165" t="str">
        <x:v>誤り。 ジンファンデルは黒ブドウで、ドライ・クリークでは一般に熟した力強い赤となる。</x:v>
      </x:c>
      <x:c r="N163" s="165" t="str">
        <x:v>正しい。 温暖で日照の多い条件によりジンファンデルが高い糖度に達し、凝縮した黒系果実とスパイスを持つ力強い赤ワインになりやすい。</x:v>
      </x:c>
      <x:c r="O163" s="165" t="str">
        <x:v>誤り。 これはフィノなどのシェリーの特徴である。</x:v>
      </x:c>
      <x:c r="P163" s="165" t="str">
        <x:v>誤り。 ジンファンデルの典型的なドライ・クリーク赤とは異なる。</x:v>
      </x:c>
      <x:c r="Q163" s="165" t="str">
        <x:v>産地スタイル</x:v>
      </x:c>
      <x:c r="R163" s="165" t="str">
        <x:v>温暖気候・ジンファンデル</x:v>
      </x:c>
      <x:c r="S163" s="165" t="str">
        <x:v>非発泡性赤ワイン</x:v>
      </x:c>
      <x:c r="T163" s="165" t="str">
        <x:v>米国</x:v>
      </x:c>
      <x:c r="U163" s="165" t="str">
        <x:v>ソノマ／ドライ・クリーク・ヴァレー</x:v>
      </x:c>
      <x:c r="V163" s="165" t="str">
        <x:v>ジンファンデル</x:v>
      </x:c>
      <x:c r="W163" s="165" t="str">
        <x:v>知識確認</x:v>
      </x:c>
      <x:c r="X163" s="171" t="str">
        <x:v>D1</x:v>
      </x:c>
      <x:c r="Y163" s="165" t="str">
        <x:v>ジンファンデルは白・シェリー・貴腐</x:v>
      </x:c>
      <x:c r="Z163" s="171" t="str">
        <x:v>N</x:v>
      </x:c>
      <x:c r="AA163" s="165"/>
      <x:c r="AB163" s="165" t="str">
        <x:v>オリジナル</x:v>
      </x:c>
      <x:c r="AC163" s="165" t="str">
        <x:v>公式Specificationの範囲＋ユーザー作成コーパスの論点と問題設計例を参考に独自作成</x:v>
      </x:c>
      <x:c r="AD163" s="171" t="str">
        <x:v>未レビュー</x:v>
      </x:c>
      <x:c r="AE163" s="171"/>
      <x:c r="AF163" s="171"/>
      <x:c r="AG163" s="166"/>
    </x:row>
    <x:row r="164" ht="84" customHeight="1">
      <x:c r="A164" s="164" t="str">
        <x:v>LO2-043</x:v>
      </x:c>
      <x:c r="B164" s="171" t="str">
        <x:v>LO2</x:v>
      </x:c>
      <x:c r="C164" s="165" t="str">
        <x:v>世界の主要な非発泡性ワイン</x:v>
      </x:c>
      <x:c r="D164" s="165" t="str">
        <x:v>コロンビア・ヴァレー</x:v>
      </x:c>
      <x:c r="E164" s="165" t="str">
        <x:v>ワシントン州コロンビア・ヴァレーで灌漑が重要となる主な理由はどれか。</x:v>
      </x:c>
      <x:c r="F164" s="165" t="str">
        <x:v>熱帯モンスーンで毎日豪雨があり、余分な水を加える必要がある</x:v>
      </x:c>
      <x:c r="G164" s="165" t="str">
        <x:v>海面下にあり、塩水だけが根へ供給される</x:v>
      </x:c>
      <x:c r="H164" s="165" t="str">
        <x:v>カスケード山脈の雨陰で生育期が乾燥し、自然降水だけでは不足しやすい</x:v>
      </x:c>
      <x:c r="I164" s="165" t="str">
        <x:v>灌漑によって日照時間を増やし、山脈を低くする</x:v>
      </x:c>
      <x:c r="J164" s="171" t="str">
        <x:v>C</x:v>
      </x:c>
      <x:c r="K164" s="165" t="str">
        <x:v>カスケード山脈の雨陰で生育期が乾燥し、自然降水だけでは不足しやすい</x:v>
      </x:c>
      <x:c r="L164" s="165" t="str">
        <x:v>西からの湿った空気が山脈で雨を落とすため、東側のコロンビア・ヴァレーは乾燥し、河川水を利用した灌漑で樹勢と成熟を管理する。</x:v>
      </x:c>
      <x:c r="M164" s="165" t="str">
        <x:v>誤り。 コロンビア・ヴァレーは雨陰で乾燥しており、説明が逆である。</x:v>
      </x:c>
      <x:c r="N164" s="165" t="str">
        <x:v>誤り。 海面下の塩水灌漑地域ではなく、淡水を管理して利用する。</x:v>
      </x:c>
      <x:c r="O164" s="165" t="str">
        <x:v>正しい。 西からの湿った空気が山脈で雨を落とすため、東側のコロンビア・ヴァレーは乾燥し、河川水を利用した灌漑で樹勢と成熟を管理する。</x:v>
      </x:c>
      <x:c r="P164" s="165" t="str">
        <x:v>誤り。 灌漑は水分を供給する手段で、日照時間や地形を変えない。</x:v>
      </x:c>
      <x:c r="Q164" s="165" t="str">
        <x:v>自然・人的要因</x:v>
      </x:c>
      <x:c r="R164" s="165" t="str">
        <x:v>雨陰・灌漑</x:v>
      </x:c>
      <x:c r="S164" s="165" t="str">
        <x:v>非発泡性ワイン</x:v>
      </x:c>
      <x:c r="T164" s="165" t="str">
        <x:v>米国</x:v>
      </x:c>
      <x:c r="U164" s="165" t="str">
        <x:v>ワシントン／コロンビア・ヴァレー</x:v>
      </x:c>
      <x:c r="V164" s="165" t="str">
        <x:v>カベルネ・ソーヴィニヨン、メルロ、リースリング等</x:v>
      </x:c>
      <x:c r="W164" s="165" t="str">
        <x:v>因果説明</x:v>
      </x:c>
      <x:c r="X164" s="171" t="str">
        <x:v>D2</x:v>
      </x:c>
      <x:c r="Y164" s="165" t="str">
        <x:v>コロンビアは多雨; 灌漑で日照・地形変更</x:v>
      </x:c>
      <x:c r="Z164" s="171" t="str">
        <x:v>N</x:v>
      </x:c>
      <x:c r="AA164" s="165"/>
      <x:c r="AB164" s="165" t="str">
        <x:v>オリジナル</x:v>
      </x:c>
      <x:c r="AC164" s="165" t="str">
        <x:v>公式Specificationの範囲＋ユーザー作成コーパスの論点と問題設計例を参考に独自作成</x:v>
      </x:c>
      <x:c r="AD164" s="171" t="str">
        <x:v>未レビュー</x:v>
      </x:c>
      <x:c r="AE164" s="171"/>
      <x:c r="AF164" s="171"/>
      <x:c r="AG164" s="166"/>
    </x:row>
    <x:row r="165" ht="84" customHeight="1">
      <x:c r="A165" s="164" t="str">
        <x:v>LO2-044</x:v>
      </x:c>
      <x:c r="B165" s="171" t="str">
        <x:v>LO2</x:v>
      </x:c>
      <x:c r="C165" s="165" t="str">
        <x:v>世界の主要な非発泡性ワイン</x:v>
      </x:c>
      <x:c r="D165" s="165" t="str">
        <x:v>フィンガー・レイクス</x:v>
      </x:c>
      <x:c r="E165" s="165" t="str">
        <x:v>フィンガー・レイクスでリースリングの栽培が可能となる重要な要因はどれか。</x:v>
      </x:c>
      <x:c r="F165" s="165" t="str">
        <x:v>湖が果汁へ糖を直接供給し、光合成を不要にする</x:v>
      </x:c>
      <x:c r="G165" s="165" t="str">
        <x:v>一年中熱帯の高温を保ち、酸を完全に失わせる</x:v>
      </x:c>
      <x:c r="H165" s="165" t="str">
        <x:v>湖水の塩分でブドウを酒精強化する</x:v>
      </x:c>
      <x:c r="I165" s="165" t="str">
        <x:v>深い湖が冬の厳寒と春秋の気温変化を緩和する</x:v>
      </x:c>
      <x:c r="J165" s="171" t="str">
        <x:v>D</x:v>
      </x:c>
      <x:c r="K165" s="165" t="str">
        <x:v>深い湖が冬の厳寒と春秋の気温変化を緩和する</x:v>
      </x:c>
      <x:c r="L165" s="165" t="str">
        <x:v>湖は熱を蓄えて放出し、周辺斜面の冬の低温や春霜を和らげ、生育期を延ばすため、冷涼気候品種の成熟を支える。</x:v>
      </x:c>
      <x:c r="M165" s="165" t="str">
        <x:v>誤り。 湖は気候を緩和するが、糖を果汁へ直接供給しない。</x:v>
      </x:c>
      <x:c r="N165" s="165" t="str">
        <x:v>誤り。 フィンガー・レイクスは冷涼な地域で、高い酸を持つリースリングが特徴である。</x:v>
      </x:c>
      <x:c r="O165" s="165" t="str">
        <x:v>誤り。 酒精強化は蒸留酒の添加であり、湖の塩分とは関係しない。</x:v>
      </x:c>
      <x:c r="P165" s="165" t="str">
        <x:v>正しい。 湖は熱を蓄えて放出し、周辺斜面の冬の低温や春霜を和らげ、生育期を延ばすため、冷涼気候品種の成熟を支える。</x:v>
      </x:c>
      <x:c r="Q165" s="165" t="str">
        <x:v>自然要因・産地</x:v>
      </x:c>
      <x:c r="R165" s="165" t="str">
        <x:v>湖・気候緩和</x:v>
      </x:c>
      <x:c r="S165" s="165" t="str">
        <x:v>非発泡性白ワイン</x:v>
      </x:c>
      <x:c r="T165" s="165" t="str">
        <x:v>米国</x:v>
      </x:c>
      <x:c r="U165" s="165" t="str">
        <x:v>ニューヨーク／フィンガー・レイクス</x:v>
      </x:c>
      <x:c r="V165" s="165" t="str">
        <x:v>リースリング</x:v>
      </x:c>
      <x:c r="W165" s="165" t="str">
        <x:v>因果説明</x:v>
      </x:c>
      <x:c r="X165" s="171" t="str">
        <x:v>D2</x:v>
      </x:c>
      <x:c r="Y165" s="165" t="str">
        <x:v>湖が糖・酒精を供給; 熱帯高温</x:v>
      </x:c>
      <x:c r="Z165" s="171" t="str">
        <x:v>N</x:v>
      </x:c>
      <x:c r="AA165" s="165"/>
      <x:c r="AB165" s="165" t="str">
        <x:v>オリジナル</x:v>
      </x:c>
      <x:c r="AC165" s="165" t="str">
        <x:v>公式Specificationの範囲＋ユーザー作成コーパスの論点と問題設計例を参考に独自作成</x:v>
      </x:c>
      <x:c r="AD165" s="171" t="str">
        <x:v>未レビュー</x:v>
      </x:c>
      <x:c r="AE165" s="171"/>
      <x:c r="AF165" s="171"/>
      <x:c r="AG165" s="166"/>
    </x:row>
    <x:row r="166" ht="84" customHeight="1">
      <x:c r="A166" s="164" t="str">
        <x:v>LO2-045</x:v>
      </x:c>
      <x:c r="B166" s="171" t="str">
        <x:v>LO2</x:v>
      </x:c>
      <x:c r="C166" s="165" t="str">
        <x:v>世界の主要な非発泡性ワイン</x:v>
      </x:c>
      <x:c r="D166" s="165" t="str">
        <x:v>ナイアガラのアイスワイン</x:v>
      </x:c>
      <x:c r="E166" s="165" t="str">
        <x:v>ナイアガラ半島のアイスワインが非常に甘い一方で酸を保ちやすい理由はどれか。</x:v>
      </x:c>
      <x:c r="F166" s="165" t="str">
        <x:v>冷涼気候で酸を保持したブドウを樹上で凍結させ、水分を氷として分離する</x:v>
      </x:c>
      <x:c r="G166" s="165" t="str">
        <x:v>温暖な砂漠でブドウを水へ浸し、果汁を薄める</x:v>
      </x:c>
      <x:c r="H166" s="165" t="str">
        <x:v>発酵後に大量の水と糖を加え、酸を除去する</x:v>
      </x:c>
      <x:c r="I166" s="165" t="str">
        <x:v>フロールの下で完全に辛口になるまで熟成する</x:v>
      </x:c>
      <x:c r="J166" s="171" t="str">
        <x:v>A</x:v>
      </x:c>
      <x:c r="K166" s="165" t="str">
        <x:v>冷涼気候で酸を保持したブドウを樹上で凍結させ、水分を氷として分離する</x:v>
      </x:c>
      <x:c r="L166" s="165" t="str">
        <x:v>リースリングやヴィダルが高い酸を保ち、凍結したまま圧搾することで糖と酸の両方が濃縮した少量の果汁を得る。</x:v>
      </x:c>
      <x:c r="M166" s="165" t="str">
        <x:v>正しい。 リースリングやヴィダルが高い酸を保ち、凍結したまま圧搾することで糖と酸の両方が濃縮した少量の果汁を得る。</x:v>
      </x:c>
      <x:c r="N166" s="165" t="str">
        <x:v>誤り。 アイスワインは冷涼な凍結条件を利用し、希釈ではなく濃縮する。</x:v>
      </x:c>
      <x:c r="O166" s="165" t="str">
        <x:v>誤り。 凍結ブドウ由来の濃縮果汁が基礎で、発酵後の希釈が特徴ではない。</x:v>
      </x:c>
      <x:c r="P166" s="165" t="str">
        <x:v>誤り。 フロール熟成はシェリーの製法で、アイスワインは残糖の高い甘口である。</x:v>
      </x:c>
      <x:c r="Q166" s="165" t="str">
        <x:v>自然・人的要因</x:v>
      </x:c>
      <x:c r="R166" s="165" t="str">
        <x:v>凍結濃縮・酸</x:v>
      </x:c>
      <x:c r="S166" s="165" t="str">
        <x:v>非発泡性甘口白ワイン</x:v>
      </x:c>
      <x:c r="T166" s="165" t="str">
        <x:v>カナダ</x:v>
      </x:c>
      <x:c r="U166" s="165" t="str">
        <x:v>オンタリオ／ナイアガラ半島</x:v>
      </x:c>
      <x:c r="V166" s="165" t="str">
        <x:v>ヴィダル、リースリング</x:v>
      </x:c>
      <x:c r="W166" s="165" t="str">
        <x:v>統合判断</x:v>
      </x:c>
      <x:c r="X166" s="171" t="str">
        <x:v>D3</x:v>
      </x:c>
      <x:c r="Y166" s="165" t="str">
        <x:v>アイスワインは希釈・フロール辛口</x:v>
      </x:c>
      <x:c r="Z166" s="171" t="str">
        <x:v>N</x:v>
      </x:c>
      <x:c r="AA166" s="165"/>
      <x:c r="AB166" s="165" t="str">
        <x:v>オリジナル</x:v>
      </x:c>
      <x:c r="AC166" s="165" t="str">
        <x:v>公式Specificationの範囲＋ユーザー作成コーパスの論点と問題設計例を参考に独自作成</x:v>
      </x:c>
      <x:c r="AD166" s="171" t="str">
        <x:v>未レビュー</x:v>
      </x:c>
      <x:c r="AE166" s="171"/>
      <x:c r="AF166" s="171"/>
      <x:c r="AG166" s="166"/>
    </x:row>
    <x:row r="167" ht="84" customHeight="1">
      <x:c r="A167" s="164" t="str">
        <x:v>LO2-046</x:v>
      </x:c>
      <x:c r="B167" s="171" t="str">
        <x:v>LO2</x:v>
      </x:c>
      <x:c r="C167" s="165" t="str">
        <x:v>世界の主要な非発泡性ワイン</x:v>
      </x:c>
      <x:c r="D167" s="165" t="str">
        <x:v>オカナガン・ヴァレー</x:v>
      </x:c>
      <x:c r="E167" s="165" t="str">
        <x:v>オカナガン・ヴァレーで熟した果実味と高い酸を両立しやすい条件はどれか。</x:v>
      </x:c>
      <x:c r="F167" s="165" t="str">
        <x:v>一年中高温多湿で、昼夜の気温差がほとんどない</x:v>
      </x:c>
      <x:c r="G167" s="165" t="str">
        <x:v>北緯が高い一方で日照時間が長く、乾燥した夏と大きな日較差がある</x:v>
      </x:c>
      <x:c r="H167" s="165" t="str">
        <x:v>海洋性の霧が一日中日照を完全に遮る</x:v>
      </x:c>
      <x:c r="I167" s="165" t="str">
        <x:v>ブドウを必ず乾燥させ、酒精強化する</x:v>
      </x:c>
      <x:c r="J167" s="171" t="str">
        <x:v>B</x:v>
      </x:c>
      <x:c r="K167" s="165" t="str">
        <x:v>北緯が高い一方で日照時間が長く、乾燥した夏と大きな日較差がある</x:v>
      </x:c>
      <x:c r="L167" s="165" t="str">
        <x:v>長い夏の日照が成熟を促し、夜間の低温が酸を保持する。乾燥条件では灌漑により水分を管理できる。</x:v>
      </x:c>
      <x:c r="M167" s="165" t="str">
        <x:v>誤り。 オカナガンは比較的乾燥し、日較差が重要である。</x:v>
      </x:c>
      <x:c r="N167" s="165" t="str">
        <x:v>正しい。 長い夏の日照が成熟を促し、夜間の低温が酸を保持する。乾燥条件では灌漑により水分を管理できる。</x:v>
      </x:c>
      <x:c r="O167" s="165" t="str">
        <x:v>誤り。 内陸に位置し、持続的な沿岸霧が主な条件ではない。</x:v>
      </x:c>
      <x:c r="P167" s="165" t="str">
        <x:v>誤り。 多様な非発泡性ワインを造り、乾燥・酒精強化が必須ではない。</x:v>
      </x:c>
      <x:c r="Q167" s="165" t="str">
        <x:v>自然要因・産地</x:v>
      </x:c>
      <x:c r="R167" s="165" t="str">
        <x:v>高緯度・日較差</x:v>
      </x:c>
      <x:c r="S167" s="165" t="str">
        <x:v>非発泡性ワイン</x:v>
      </x:c>
      <x:c r="T167" s="165" t="str">
        <x:v>カナダ</x:v>
      </x:c>
      <x:c r="U167" s="165" t="str">
        <x:v>ブリティッシュ・コロンビア／オカナガン・ヴァレー</x:v>
      </x:c>
      <x:c r="V167" s="165" t="str">
        <x:v>リースリング、ピノ・ノワール等</x:v>
      </x:c>
      <x:c r="W167" s="165" t="str">
        <x:v>因果説明</x:v>
      </x:c>
      <x:c r="X167" s="171" t="str">
        <x:v>D2</x:v>
      </x:c>
      <x:c r="Y167" s="165" t="str">
        <x:v>オカナガンは高温多湿; 沿岸霧; 乾燥酒精強化必須</x:v>
      </x:c>
      <x:c r="Z167" s="171" t="str">
        <x:v>N</x:v>
      </x:c>
      <x:c r="AA167" s="165"/>
      <x:c r="AB167" s="165" t="str">
        <x:v>オリジナル</x:v>
      </x:c>
      <x:c r="AC167" s="165" t="str">
        <x:v>公式Specificationの範囲＋ユーザー作成コーパスの論点と問題設計例を参考に独自作成</x:v>
      </x:c>
      <x:c r="AD167" s="171" t="str">
        <x:v>未レビュー</x:v>
      </x:c>
      <x:c r="AE167" s="171"/>
      <x:c r="AF167" s="171"/>
      <x:c r="AG167" s="166"/>
    </x:row>
    <x:row r="168" ht="84" customHeight="1">
      <x:c r="A168" s="164" t="str">
        <x:v>LO2-047</x:v>
      </x:c>
      <x:c r="B168" s="171" t="str">
        <x:v>LO2</x:v>
      </x:c>
      <x:c r="C168" s="165" t="str">
        <x:v>世界の主要な非発泡性ワイン</x:v>
      </x:c>
      <x:c r="D168" s="165" t="str">
        <x:v>マイポ・ヴァレー</x:v>
      </x:c>
      <x:c r="E168" s="165" t="str">
        <x:v>マイポ・ヴァレーの上質カベルネ・ソーヴィニヨンに典型的な特徴はどれか。</x:v>
      </x:c>
      <x:c r="F168" s="165" t="str">
        <x:v>低いタンニンの甘い白ワインで、マスカット香だけを持つ</x:v>
      </x:c>
      <x:c r="G168" s="165" t="str">
        <x:v>フロール熟成した淡い酒精強化ワイン</x:v>
      </x:c>
      <x:c r="H168" s="165" t="str">
        <x:v>熟した黒系果実、しっかりしたタンニン、ミントやハーブを思わせる香り</x:v>
      </x:c>
      <x:c r="I168" s="165" t="str">
        <x:v>極めて低い酸と無色の発泡性ワイン</x:v>
      </x:c>
      <x:c r="J168" s="171" t="str">
        <x:v>C</x:v>
      </x:c>
      <x:c r="K168" s="165" t="str">
        <x:v>熟した黒系果実、しっかりしたタンニン、ミントやハーブを思わせる香り</x:v>
      </x:c>
      <x:c r="L168" s="165" t="str">
        <x:v>温暖で乾燥した条件とアンデス由来の冷気・沖積土壌により、成熟した果実と構造、フレッシュさを併せ持つカベルネを造りやすい。</x:v>
      </x:c>
      <x:c r="M168" s="165" t="str">
        <x:v>誤り。 カベルネ・ソーヴィニヨンは黒ブドウで、マイポでは構造のある赤が典型である。</x:v>
      </x:c>
      <x:c r="N168" s="165" t="str">
        <x:v>誤り。 これはフィノなどのシェリーの特徴である。</x:v>
      </x:c>
      <x:c r="O168" s="165" t="str">
        <x:v>正しい。 温暖で乾燥した条件とアンデス由来の冷気・沖積土壌により、成熟した果実と構造、フレッシュさを併せ持つカベルネを造りやすい。</x:v>
      </x:c>
      <x:c r="P168" s="165" t="str">
        <x:v>誤り。 マイポのカベルネは非発泡性赤ワインで、色とタンニンを持つ。</x:v>
      </x:c>
      <x:c r="Q168" s="165" t="str">
        <x:v>産地スタイル</x:v>
      </x:c>
      <x:c r="R168" s="165" t="str">
        <x:v>カベルネ・ソーヴィニヨン</x:v>
      </x:c>
      <x:c r="S168" s="165" t="str">
        <x:v>非発泡性赤ワイン</x:v>
      </x:c>
      <x:c r="T168" s="165" t="str">
        <x:v>チリ</x:v>
      </x:c>
      <x:c r="U168" s="165" t="str">
        <x:v>マイポ・ヴァレー</x:v>
      </x:c>
      <x:c r="V168" s="165" t="str">
        <x:v>カベルネ・ソーヴィニヨン</x:v>
      </x:c>
      <x:c r="W168" s="165" t="str">
        <x:v>知識確認</x:v>
      </x:c>
      <x:c r="X168" s="171" t="str">
        <x:v>D1</x:v>
      </x:c>
      <x:c r="Y168" s="165" t="str">
        <x:v>マイポ・カベルネは白・シェリー・無色発泡</x:v>
      </x:c>
      <x:c r="Z168" s="171" t="str">
        <x:v>N</x:v>
      </x:c>
      <x:c r="AA168" s="165"/>
      <x:c r="AB168" s="165" t="str">
        <x:v>オリジナル</x:v>
      </x:c>
      <x:c r="AC168" s="165" t="str">
        <x:v>公式Specificationの範囲＋ユーザー作成コーパスの論点と問題設計例を参考に独自作成</x:v>
      </x:c>
      <x:c r="AD168" s="171" t="str">
        <x:v>未レビュー</x:v>
      </x:c>
      <x:c r="AE168" s="171"/>
      <x:c r="AF168" s="171"/>
      <x:c r="AG168" s="166"/>
    </x:row>
    <x:row r="169" ht="84" customHeight="1">
      <x:c r="A169" s="164" t="str">
        <x:v>LO2-048</x:v>
      </x:c>
      <x:c r="B169" s="171" t="str">
        <x:v>LO2</x:v>
      </x:c>
      <x:c r="C169" s="165" t="str">
        <x:v>世界の主要な非発泡性ワイン</x:v>
      </x:c>
      <x:c r="D169" s="165" t="str">
        <x:v>コルチャグア・ヴァレー</x:v>
      </x:c>
      <x:c r="E169" s="165" t="str">
        <x:v>コルチャグア・ヴァレーがカルメネールの完熟に適する主な理由はどれか。</x:v>
      </x:c>
      <x:c r="F169" s="165" t="str">
        <x:v>冷涼な短い夏で、未熟な青い風味を最大化する</x:v>
      </x:c>
      <x:c r="G169" s="165" t="str">
        <x:v>ブドウを凍結し、糖を氷として捨てる</x:v>
      </x:c>
      <x:c r="H169" s="165" t="str">
        <x:v>海水を灌漑に使い、塩味を付ける</x:v>
      </x:c>
      <x:c r="I169" s="165" t="str">
        <x:v>温暖で日照が多く、生育期間が長いため、晩熟な品種の青い風味を減らしやすい</x:v>
      </x:c>
      <x:c r="J169" s="171" t="str">
        <x:v>D</x:v>
      </x:c>
      <x:c r="K169" s="165" t="str">
        <x:v>温暖で日照が多く、生育期間が長いため、晩熟な品種の青い風味を減らしやすい</x:v>
      </x:c>
      <x:c r="L169" s="165" t="str">
        <x:v>カルメネールは晩熟で、十分な熱と長い秋がないと青いピラジン香が残りやすい。コルチャグアの暖かさが果実とタンニンの成熟を支える。</x:v>
      </x:c>
      <x:c r="M169" s="165" t="str">
        <x:v>誤り。 高品質では未熟な青い風味を避けるため、十分な成熟が必要である。</x:v>
      </x:c>
      <x:c r="N169" s="165" t="str">
        <x:v>誤り。 カルメネールの成熟に凍結処理は用いず、糖を捨てる工程でもない。</x:v>
      </x:c>
      <x:c r="O169" s="165" t="str">
        <x:v>誤り。 塩水灌漑は品種成熟の理由ではなく、塩害を引き起こし得る。</x:v>
      </x:c>
      <x:c r="P169" s="165" t="str">
        <x:v>正しい。 カルメネールは晩熟で、十分な熱と長い秋がないと青いピラジン香が残りやすい。コルチャグアの暖かさが果実とタンニンの成熟を支える。</x:v>
      </x:c>
      <x:c r="Q169" s="165" t="str">
        <x:v>自然要因・産地</x:v>
      </x:c>
      <x:c r="R169" s="165" t="str">
        <x:v>晩熟品種・温暖気候</x:v>
      </x:c>
      <x:c r="S169" s="165" t="str">
        <x:v>非発泡性赤ワイン</x:v>
      </x:c>
      <x:c r="T169" s="165" t="str">
        <x:v>チリ</x:v>
      </x:c>
      <x:c r="U169" s="165" t="str">
        <x:v>コルチャグア・ヴァレー</x:v>
      </x:c>
      <x:c r="V169" s="165" t="str">
        <x:v>カルメネール</x:v>
      </x:c>
      <x:c r="W169" s="165" t="str">
        <x:v>因果説明</x:v>
      </x:c>
      <x:c r="X169" s="171" t="str">
        <x:v>D2</x:v>
      </x:c>
      <x:c r="Y169" s="165" t="str">
        <x:v>未熟風味が高品質; 凍結・塩水灌漑</x:v>
      </x:c>
      <x:c r="Z169" s="171" t="str">
        <x:v>N</x:v>
      </x:c>
      <x:c r="AA169" s="165"/>
      <x:c r="AB169" s="165" t="str">
        <x:v>オリジナル</x:v>
      </x:c>
      <x:c r="AC169" s="165" t="str">
        <x:v>公式Specificationの範囲＋ユーザー作成コーパスの論点と問題設計例を参考に独自作成</x:v>
      </x:c>
      <x:c r="AD169" s="171" t="str">
        <x:v>未レビュー</x:v>
      </x:c>
      <x:c r="AE169" s="171"/>
      <x:c r="AF169" s="171"/>
      <x:c r="AG169" s="166"/>
    </x:row>
    <x:row r="170" ht="84" customHeight="1">
      <x:c r="A170" s="164" t="str">
        <x:v>LO2-049</x:v>
      </x:c>
      <x:c r="B170" s="171" t="str">
        <x:v>LO2</x:v>
      </x:c>
      <x:c r="C170" s="165" t="str">
        <x:v>世界の主要な非発泡性ワイン</x:v>
      </x:c>
      <x:c r="D170" s="165" t="str">
        <x:v>サン・アントニオ・ヴァレー</x:v>
      </x:c>
      <x:c r="E170" s="165" t="str">
        <x:v>サン・アントニオ・ヴァレーのソーヴィニヨン・ブランやシャルドネが高い酸を持ちやすい主な理由はどれか。</x:v>
      </x:c>
      <x:c r="F170" s="165" t="str">
        <x:v>冷たい太平洋と沿岸風・霧の影響を強く受ける</x:v>
      </x:c>
      <x:c r="G170" s="165" t="str">
        <x:v>アンデス東側の砂漠熱風だけを受ける</x:v>
      </x:c>
      <x:c r="H170" s="165" t="str">
        <x:v>ブドウを収穫後に長期間乾燥させる</x:v>
      </x:c>
      <x:c r="I170" s="165" t="str">
        <x:v>発酵後に酸をすべて除去する</x:v>
      </x:c>
      <x:c r="J170" s="171" t="str">
        <x:v>A</x:v>
      </x:c>
      <x:c r="K170" s="165" t="str">
        <x:v>冷たい太平洋と沿岸風・霧の影響を強く受ける</x:v>
      </x:c>
      <x:c r="L170" s="165" t="str">
        <x:v>海に近く、フンボルト海流に冷却された空気と霧が気温を下げるため、成熟が緩やかで酸を保持しやすい。</x:v>
      </x:c>
      <x:c r="M170" s="165" t="str">
        <x:v>正しい。 海に近く、フンボルト海流に冷却された空気と霧が気温を下げるため、成熟が緩やかで酸を保持しやすい。</x:v>
      </x:c>
      <x:c r="N170" s="165" t="str">
        <x:v>誤り。 サン・アントニオは太平洋沿岸の冷却が重要で、東側の砂漠熱風が主因ではない。</x:v>
      </x:c>
      <x:c r="O170" s="165" t="str">
        <x:v>誤り。 代表的な辛口白の酸は冷涼な生育条件によるもので、乾燥濃縮が標準ではない。</x:v>
      </x:c>
      <x:c r="P170" s="165" t="str">
        <x:v>誤り。 高い酸を持つスタイルと、酸をすべて除去する説明は矛盾する。</x:v>
      </x:c>
      <x:c r="Q170" s="165" t="str">
        <x:v>自然要因・産地</x:v>
      </x:c>
      <x:c r="R170" s="165" t="str">
        <x:v>海洋冷却・霧</x:v>
      </x:c>
      <x:c r="S170" s="165" t="str">
        <x:v>非発泡性白ワイン</x:v>
      </x:c>
      <x:c r="T170" s="165" t="str">
        <x:v>チリ</x:v>
      </x:c>
      <x:c r="U170" s="165" t="str">
        <x:v>サン・アントニオ・ヴァレー</x:v>
      </x:c>
      <x:c r="V170" s="165" t="str">
        <x:v>ソーヴィニヨン・ブラン、シャルドネ</x:v>
      </x:c>
      <x:c r="W170" s="165" t="str">
        <x:v>因果説明</x:v>
      </x:c>
      <x:c r="X170" s="171" t="str">
        <x:v>D2</x:v>
      </x:c>
      <x:c r="Y170" s="165" t="str">
        <x:v>サンアントニオは砂漠熱風; 乾燥濃縮; 酸除去</x:v>
      </x:c>
      <x:c r="Z170" s="171" t="str">
        <x:v>N</x:v>
      </x:c>
      <x:c r="AA170" s="165"/>
      <x:c r="AB170" s="165" t="str">
        <x:v>オリジナル</x:v>
      </x:c>
      <x:c r="AC170" s="165" t="str">
        <x:v>公式Specificationの範囲＋ユーザー作成コーパスの論点と問題設計例を参考に独自作成</x:v>
      </x:c>
      <x:c r="AD170" s="171" t="str">
        <x:v>未レビュー</x:v>
      </x:c>
      <x:c r="AE170" s="171"/>
      <x:c r="AF170" s="171"/>
      <x:c r="AG170" s="166"/>
    </x:row>
    <x:row r="171" ht="84" customHeight="1">
      <x:c r="A171" s="164" t="str">
        <x:v>LO2-050</x:v>
      </x:c>
      <x:c r="B171" s="171" t="str">
        <x:v>LO2</x:v>
      </x:c>
      <x:c r="C171" s="165" t="str">
        <x:v>世界の主要な非発泡性ワイン</x:v>
      </x:c>
      <x:c r="D171" s="165" t="str">
        <x:v>カファジャテ</x:v>
      </x:c>
      <x:c r="E171" s="165" t="str">
        <x:v>カファジャテのトロンテスが強い芳香と酸を持ちやすい条件はどれか。</x:v>
      </x:c>
      <x:c r="F171" s="165" t="str">
        <x:v>海面近くの高温多湿な熱帯気候</x:v>
      </x:c>
      <x:c r="G171" s="165" t="str">
        <x:v>非常に高い標高で、強い日射と涼しい夜が組み合わさる</x:v>
      </x:c>
      <x:c r="H171" s="165" t="str">
        <x:v>一年中日照がなく、成熟が起こらない条件</x:v>
      </x:c>
      <x:c r="I171" s="165" t="str">
        <x:v>フロール熟成で香りを作る</x:v>
      </x:c>
      <x:c r="J171" s="171" t="str">
        <x:v>B</x:v>
      </x:c>
      <x:c r="K171" s="165" t="str">
        <x:v>非常に高い標高で、強い日射と涼しい夜が組み合わさる</x:v>
      </x:c>
      <x:c r="L171" s="165" t="str">
        <x:v>強い日射が香りと糖の成熟を促し、夜間の低温が酸と香りを保持するため、花やブドウ、柑橘を思わせる芳香性白になる。</x:v>
      </x:c>
      <x:c r="M171" s="165" t="str">
        <x:v>誤り。 カファジャテは内陸の高標高で乾燥した地域である。</x:v>
      </x:c>
      <x:c r="N171" s="165" t="str">
        <x:v>正しい。 強い日射が香りと糖の成熟を促し、夜間の低温が酸と香りを保持するため、花やブドウ、柑橘を思わせる芳香性白になる。</x:v>
      </x:c>
      <x:c r="O171" s="165" t="str">
        <x:v>誤り。 強い日射が品種の芳香と成熟に重要である。</x:v>
      </x:c>
      <x:c r="P171" s="165" t="str">
        <x:v>誤り。 トロンテスの主要な香りは品種由来で、フロール熟成ではない。</x:v>
      </x:c>
      <x:c r="Q171" s="165" t="str">
        <x:v>自然要因・産地</x:v>
      </x:c>
      <x:c r="R171" s="165" t="str">
        <x:v>高標高・芳香性品種</x:v>
      </x:c>
      <x:c r="S171" s="165" t="str">
        <x:v>非発泡性白ワイン</x:v>
      </x:c>
      <x:c r="T171" s="165" t="str">
        <x:v>アルゼンチン</x:v>
      </x:c>
      <x:c r="U171" s="165" t="str">
        <x:v>サルタ／カファジャテ</x:v>
      </x:c>
      <x:c r="V171" s="165" t="str">
        <x:v>トロンテス</x:v>
      </x:c>
      <x:c r="W171" s="165" t="str">
        <x:v>因果説明</x:v>
      </x:c>
      <x:c r="X171" s="171" t="str">
        <x:v>D2</x:v>
      </x:c>
      <x:c r="Y171" s="165" t="str">
        <x:v>カファジャテは熱帯低地; トロンテス香はフロール</x:v>
      </x:c>
      <x:c r="Z171" s="171" t="str">
        <x:v>N</x:v>
      </x:c>
      <x:c r="AA171" s="165"/>
      <x:c r="AB171" s="165" t="str">
        <x:v>オリジナル</x:v>
      </x:c>
      <x:c r="AC171" s="165" t="str">
        <x:v>公式Specificationの範囲＋ユーザー作成コーパスの論点と問題設計例を参考に独自作成</x:v>
      </x:c>
      <x:c r="AD171" s="171" t="str">
        <x:v>未レビュー</x:v>
      </x:c>
      <x:c r="AE171" s="171"/>
      <x:c r="AF171" s="171"/>
      <x:c r="AG171" s="166"/>
    </x:row>
    <x:row r="172" ht="84" customHeight="1">
      <x:c r="A172" s="164" t="str">
        <x:v>LO2-051</x:v>
      </x:c>
      <x:c r="B172" s="171" t="str">
        <x:v>LO2</x:v>
      </x:c>
      <x:c r="C172" s="165" t="str">
        <x:v>世界の主要な非発泡性ワイン</x:v>
      </x:c>
      <x:c r="D172" s="165" t="str">
        <x:v>ルハン・デ・クージョ</x:v>
      </x:c>
      <x:c r="E172" s="165" t="str">
        <x:v>ルハン・デ・クージョの上質マルベックに、凝縮した果実味と柔らかく熟したタンニンをもたらす要因はどれか。</x:v>
      </x:c>
      <x:c r="F172" s="165" t="str">
        <x:v>冷涼多雨で日照が少なく、果皮が成熟しない</x:v>
      </x:c>
      <x:c r="G172" s="165" t="str">
        <x:v>海水による洪水灌漑で塩分を加える</x:v>
      </x:c>
      <x:c r="H172" s="165" t="str">
        <x:v>標高のある乾燥した畑で、強い日射と灌漑を管理し、十分に成熟させる</x:v>
      </x:c>
      <x:c r="I172" s="165" t="str">
        <x:v>発酵を行わず、ブドウジュースのまま瓶詰めする</x:v>
      </x:c>
      <x:c r="J172" s="171" t="str">
        <x:v>C</x:v>
      </x:c>
      <x:c r="K172" s="165" t="str">
        <x:v>標高のある乾燥した畑で、強い日射と灌漑を管理し、十分に成熟させる</x:v>
      </x:c>
      <x:c r="L172" s="165" t="str">
        <x:v>標高による涼しい夜で酸を保ちつつ、強い日射と乾燥条件で色と果実を成熟させ、灌漑により適度な水分ストレスを管理できる。</x:v>
      </x:c>
      <x:c r="M172" s="165" t="str">
        <x:v>誤り。 上質マルベックには十分な日射と成熟が必要で、説明が逆である。</x:v>
      </x:c>
      <x:c r="N172" s="165" t="str">
        <x:v>誤り。 使用するのは山岳由来の淡水で、海水による塩分付与ではない。</x:v>
      </x:c>
      <x:c r="O172" s="165" t="str">
        <x:v>正しい。 標高による涼しい夜で酸を保ちつつ、強い日射と乾燥条件で色と果実を成熟させ、灌漑により適度な水分ストレスを管理できる。</x:v>
      </x:c>
      <x:c r="P172" s="165" t="str">
        <x:v>誤り。 ワインにはアルコール発酵が必要である。</x:v>
      </x:c>
      <x:c r="Q172" s="165" t="str">
        <x:v>自然・人的要因</x:v>
      </x:c>
      <x:c r="R172" s="165" t="str">
        <x:v>標高・灌漑・成熟</x:v>
      </x:c>
      <x:c r="S172" s="165" t="str">
        <x:v>非発泡性赤ワイン</x:v>
      </x:c>
      <x:c r="T172" s="165" t="str">
        <x:v>アルゼンチン</x:v>
      </x:c>
      <x:c r="U172" s="165" t="str">
        <x:v>メンドーサ／ルハン・デ・クージョ</x:v>
      </x:c>
      <x:c r="V172" s="165" t="str">
        <x:v>マルベック</x:v>
      </x:c>
      <x:c r="W172" s="165" t="str">
        <x:v>統合判断</x:v>
      </x:c>
      <x:c r="X172" s="171" t="str">
        <x:v>D3</x:v>
      </x:c>
      <x:c r="Y172" s="165" t="str">
        <x:v>ルハンは冷涼多雨; 海水灌漑; 無発酵</x:v>
      </x:c>
      <x:c r="Z172" s="171" t="str">
        <x:v>N</x:v>
      </x:c>
      <x:c r="AA172" s="165"/>
      <x:c r="AB172" s="165" t="str">
        <x:v>オリジナル</x:v>
      </x:c>
      <x:c r="AC172" s="165" t="str">
        <x:v>公式Specificationの範囲＋ユーザー作成コーパスの論点と問題設計例を参考に独自作成</x:v>
      </x:c>
      <x:c r="AD172" s="171" t="str">
        <x:v>未レビュー</x:v>
      </x:c>
      <x:c r="AE172" s="171"/>
      <x:c r="AF172" s="171"/>
      <x:c r="AG172" s="166"/>
    </x:row>
    <x:row r="173" ht="84" customHeight="1">
      <x:c r="A173" s="164" t="str">
        <x:v>LO2-052</x:v>
      </x:c>
      <x:c r="B173" s="171" t="str">
        <x:v>LO2</x:v>
      </x:c>
      <x:c r="C173" s="165" t="str">
        <x:v>世界の主要な非発泡性ワイン</x:v>
      </x:c>
      <x:c r="D173" s="165" t="str">
        <x:v>パタゴニア</x:v>
      </x:c>
      <x:c r="E173" s="165" t="str">
        <x:v>パタゴニアがピノ・ノワールなどの冷涼気候品種に適する主な理由はどれか。</x:v>
      </x:c>
      <x:c r="F173" s="165" t="str">
        <x:v>赤道直下の熱帯雨林で、昼夜とも高温だから</x:v>
      </x:c>
      <x:c r="G173" s="165" t="str">
        <x:v>ブドウを必ず貴腐させ、甘口だけを造るから</x:v>
      </x:c>
      <x:c r="H173" s="165" t="str">
        <x:v>フロールが一年中厚く育つ海岸の酒精強化産地だから</x:v>
      </x:c>
      <x:c r="I173" s="165" t="str">
        <x:v>南緯が高く、乾燥した気候と強い風、涼しい夜が成熟を緩やかにする</x:v>
      </x:c>
      <x:c r="J173" s="171" t="str">
        <x:v>D</x:v>
      </x:c>
      <x:c r="K173" s="165" t="str">
        <x:v>南緯が高く、乾燥した気候と強い風、涼しい夜が成熟を緩やかにする</x:v>
      </x:c>
      <x:c r="L173" s="165" t="str">
        <x:v>メンドーサより南に位置し、冷涼で日較差が大きい。乾燥により病害圧力が比較的低く、灌漑で水分を管理できる。</x:v>
      </x:c>
      <x:c r="M173" s="165" t="str">
        <x:v>誤り。 パタゴニアは南部の冷涼な地域で、熱帯雨林ではない。</x:v>
      </x:c>
      <x:c r="N173" s="165" t="str">
        <x:v>誤り。 ピノ・ノワールなどの辛口ワインが重要で、貴腐甘口だけではない。</x:v>
      </x:c>
      <x:c r="O173" s="165" t="str">
        <x:v>誤り。 パタゴニアの非発泡性ワインにフロール熟成は用いない。</x:v>
      </x:c>
      <x:c r="P173" s="165" t="str">
        <x:v>正しい。 メンドーサより南に位置し、冷涼で日較差が大きい。乾燥により病害圧力が比較的低く、灌漑で水分を管理できる。</x:v>
      </x:c>
      <x:c r="Q173" s="165" t="str">
        <x:v>自然要因・産地</x:v>
      </x:c>
      <x:c r="R173" s="165" t="str">
        <x:v>高緯度・風・日較差</x:v>
      </x:c>
      <x:c r="S173" s="165" t="str">
        <x:v>非発泡性ワイン</x:v>
      </x:c>
      <x:c r="T173" s="165" t="str">
        <x:v>アルゼンチン</x:v>
      </x:c>
      <x:c r="U173" s="165" t="str">
        <x:v>パタゴニア</x:v>
      </x:c>
      <x:c r="V173" s="165" t="str">
        <x:v>ピノ・ノワール、シャルドネ等</x:v>
      </x:c>
      <x:c r="W173" s="165" t="str">
        <x:v>因果説明</x:v>
      </x:c>
      <x:c r="X173" s="171" t="str">
        <x:v>D2</x:v>
      </x:c>
      <x:c r="Y173" s="165" t="str">
        <x:v>パタゴニアは熱帯; 貴腐のみ; フロール酒精強化</x:v>
      </x:c>
      <x:c r="Z173" s="171" t="str">
        <x:v>N</x:v>
      </x:c>
      <x:c r="AA173" s="165"/>
      <x:c r="AB173" s="165" t="str">
        <x:v>オリジナル</x:v>
      </x:c>
      <x:c r="AC173" s="165" t="str">
        <x:v>公式Specificationの範囲＋ユーザー作成コーパスの論点と問題設計例を参考に独自作成</x:v>
      </x:c>
      <x:c r="AD173" s="171" t="str">
        <x:v>未レビュー</x:v>
      </x:c>
      <x:c r="AE173" s="171"/>
      <x:c r="AF173" s="171"/>
      <x:c r="AG173" s="166"/>
    </x:row>
    <x:row r="174" ht="84" customHeight="1">
      <x:c r="A174" s="164" t="str">
        <x:v>LO2-053</x:v>
      </x:c>
      <x:c r="B174" s="171" t="str">
        <x:v>LO2</x:v>
      </x:c>
      <x:c r="C174" s="165" t="str">
        <x:v>世界の主要な非発泡性ワイン</x:v>
      </x:c>
      <x:c r="D174" s="165" t="str">
        <x:v>ステレンボッシュ</x:v>
      </x:c>
      <x:c r="E174" s="165" t="str">
        <x:v>ステレンボッシュの上質カベルネ・ソーヴィニヨンに、成熟とフレッシュさを両立させる要因はどれか。</x:v>
      </x:c>
      <x:c r="F174" s="165" t="str">
        <x:v>暖かい日照に加え、フォールス湾からの冷却風と山地の標高差がある</x:v>
      </x:c>
      <x:c r="G174" s="165" t="str">
        <x:v>一年中極寒で、ブドウがヴェレゾンに達しない</x:v>
      </x:c>
      <x:c r="H174" s="165" t="str">
        <x:v>海水を果汁へ加え、酸を作る</x:v>
      </x:c>
      <x:c r="I174" s="165" t="str">
        <x:v>すべてのワインを炭酸ガス注入方式で発泡性にする</x:v>
      </x:c>
      <x:c r="J174" s="171" t="str">
        <x:v>A</x:v>
      </x:c>
      <x:c r="K174" s="165" t="str">
        <x:v>暖かい日照に加え、フォールス湾からの冷却風と山地の標高差がある</x:v>
      </x:c>
      <x:c r="L174" s="165" t="str">
        <x:v>日中の暖かさで黒系果実とタンニンが成熟し、海風と高い場所の低温が酸を保ち、生育期間を緩やかにする。</x:v>
      </x:c>
      <x:c r="M174" s="165" t="str">
        <x:v>正しい。 日中の暖かさで黒系果実とタンニンが成熟し、海風と高い場所の低温が酸を保ち、生育期間を緩やかにする。</x:v>
      </x:c>
      <x:c r="N174" s="165" t="str">
        <x:v>誤り。 ステレンボッシュは温暖で、カベルネが成熟できる。</x:v>
      </x:c>
      <x:c r="O174" s="165" t="str">
        <x:v>誤り。 海洋の影響は冷却風であり、海水を果汁へ加えない。</x:v>
      </x:c>
      <x:c r="P174" s="165" t="str">
        <x:v>誤り。 ステレンボッシュのカベルネは主に非発泡性赤ワインである。</x:v>
      </x:c>
      <x:c r="Q174" s="165" t="str">
        <x:v>自然要因・産地</x:v>
      </x:c>
      <x:c r="R174" s="165" t="str">
        <x:v>海風・標高</x:v>
      </x:c>
      <x:c r="S174" s="165" t="str">
        <x:v>非発泡性赤ワイン</x:v>
      </x:c>
      <x:c r="T174" s="165" t="str">
        <x:v>南アフリカ</x:v>
      </x:c>
      <x:c r="U174" s="165" t="str">
        <x:v>ステレンボッシュ</x:v>
      </x:c>
      <x:c r="V174" s="165" t="str">
        <x:v>カベルネ・ソーヴィニヨン</x:v>
      </x:c>
      <x:c r="W174" s="165" t="str">
        <x:v>因果説明</x:v>
      </x:c>
      <x:c r="X174" s="171" t="str">
        <x:v>D2</x:v>
      </x:c>
      <x:c r="Y174" s="165" t="str">
        <x:v>ステレンボッシュは極寒; 海水添加; 発泡性のみ</x:v>
      </x:c>
      <x:c r="Z174" s="171" t="str">
        <x:v>N</x:v>
      </x:c>
      <x:c r="AA174" s="165"/>
      <x:c r="AB174" s="165" t="str">
        <x:v>オリジナル</x:v>
      </x:c>
      <x:c r="AC174" s="165" t="str">
        <x:v>公式Specificationの範囲＋ユーザー作成コーパスの論点と問題設計例を参考に独自作成</x:v>
      </x:c>
      <x:c r="AD174" s="171" t="str">
        <x:v>未レビュー</x:v>
      </x:c>
      <x:c r="AE174" s="171"/>
      <x:c r="AF174" s="171"/>
      <x:c r="AG174" s="166"/>
    </x:row>
    <x:row r="175" ht="84" customHeight="1">
      <x:c r="A175" s="164" t="str">
        <x:v>LO2-054</x:v>
      </x:c>
      <x:c r="B175" s="171" t="str">
        <x:v>LO2</x:v>
      </x:c>
      <x:c r="C175" s="165" t="str">
        <x:v>世界の主要な非発泡性ワイン</x:v>
      </x:c>
      <x:c r="D175" s="165" t="str">
        <x:v>スワートランド</x:v>
      </x:c>
      <x:c r="E175" s="165" t="str">
        <x:v>スワートランドの古木シュナン・ブランが凝縮したワインを生みやすい理由はどれか。</x:v>
      </x:c>
      <x:c r="F175" s="165" t="str">
        <x:v>高収量の若木だけを灌水し、果汁を希釈する</x:v>
      </x:c>
      <x:c r="G175" s="165" t="str">
        <x:v>乾燥した条件と低収量の古木が、小粒で風味の強いブドウを生みやすい</x:v>
      </x:c>
      <x:c r="H175" s="165" t="str">
        <x:v>ブドウを凍結してアイスワインだけを造る</x:v>
      </x:c>
      <x:c r="I175" s="165" t="str">
        <x:v>フロール熟成によりアーモンド香を作る</x:v>
      </x:c>
      <x:c r="J175" s="171" t="str">
        <x:v>B</x:v>
      </x:c>
      <x:c r="K175" s="165" t="str">
        <x:v>乾燥した条件と低収量の古木が、小粒で風味の強いブドウを生みやすい</x:v>
      </x:c>
      <x:c r="L175" s="165" t="str">
        <x:v>乾燥した地中海性気候と深く根を張る古木により収量が抑えられ、熟した果実、酸、質感を持つ凝縮したシュナンを得やすい。</x:v>
      </x:c>
      <x:c r="M175" s="165" t="str">
        <x:v>誤り。 古木と低収量が凝縮度に寄与するので、説明が逆である。</x:v>
      </x:c>
      <x:c r="N175" s="165" t="str">
        <x:v>正しい。 乾燥した地中海性気候と深く根を張る古木により収量が抑えられ、熟した果実、酸、質感を持つ凝縮したシュナンを得やすい。</x:v>
      </x:c>
      <x:c r="O175" s="165" t="str">
        <x:v>誤り。 スワートランドは温暖で乾燥し、アイスワインが典型ではない。</x:v>
      </x:c>
      <x:c r="P175" s="165" t="str">
        <x:v>誤り。 主に非発泡性白ワインで、フロール熟成は標準ではない。</x:v>
      </x:c>
      <x:c r="Q175" s="165" t="str">
        <x:v>自然・人的要因</x:v>
      </x:c>
      <x:c r="R175" s="165" t="str">
        <x:v>古木・低収量</x:v>
      </x:c>
      <x:c r="S175" s="165" t="str">
        <x:v>非発泡性白ワイン</x:v>
      </x:c>
      <x:c r="T175" s="165" t="str">
        <x:v>南アフリカ</x:v>
      </x:c>
      <x:c r="U175" s="165" t="str">
        <x:v>スワートランド</x:v>
      </x:c>
      <x:c r="V175" s="165" t="str">
        <x:v>シュナン・ブラン</x:v>
      </x:c>
      <x:c r="W175" s="165" t="str">
        <x:v>因果説明</x:v>
      </x:c>
      <x:c r="X175" s="171" t="str">
        <x:v>D2</x:v>
      </x:c>
      <x:c r="Y175" s="165" t="str">
        <x:v>古木は高収量希釈; アイスワイン・フロール</x:v>
      </x:c>
      <x:c r="Z175" s="171" t="str">
        <x:v>N</x:v>
      </x:c>
      <x:c r="AA175" s="165"/>
      <x:c r="AB175" s="165" t="str">
        <x:v>オリジナル</x:v>
      </x:c>
      <x:c r="AC175" s="165" t="str">
        <x:v>公式Specificationの範囲＋ユーザー作成コーパスの論点と問題設計例を参考に独自作成</x:v>
      </x:c>
      <x:c r="AD175" s="171" t="str">
        <x:v>未レビュー</x:v>
      </x:c>
      <x:c r="AE175" s="171"/>
      <x:c r="AF175" s="171"/>
      <x:c r="AG175" s="166"/>
    </x:row>
    <x:row r="176" ht="84" customHeight="1">
      <x:c r="A176" s="164" t="str">
        <x:v>LO2-055</x:v>
      </x:c>
      <x:c r="B176" s="171" t="str">
        <x:v>LO2</x:v>
      </x:c>
      <x:c r="C176" s="165" t="str">
        <x:v>世界の主要な非発泡性ワイン</x:v>
      </x:c>
      <x:c r="D176" s="165" t="str">
        <x:v>ウォーカー・ベイ</x:v>
      </x:c>
      <x:c r="E176" s="165" t="str">
        <x:v>ウォーカー・ベイとヘメル・アン・アードがピノ・ノワールとシャルドネに適する主な理由はどれか。</x:v>
      </x:c>
      <x:c r="F176" s="165" t="str">
        <x:v>内陸砂漠の熱風だけを受け、夜も高温だから</x:v>
      </x:c>
      <x:c r="G176" s="165" t="str">
        <x:v>ブドウを収穫後に長期間乾燥させるから</x:v>
      </x:c>
      <x:c r="H176" s="165" t="str">
        <x:v>南大西洋からの冷たい海風が気温を下げ、成熟を長くする</x:v>
      </x:c>
      <x:c r="I176" s="165" t="str">
        <x:v>酒精強化して発酵を止めるから</x:v>
      </x:c>
      <x:c r="J176" s="171" t="str">
        <x:v>C</x:v>
      </x:c>
      <x:c r="K176" s="165" t="str">
        <x:v>南大西洋からの冷たい海風が気温を下げ、成熟を長くする</x:v>
      </x:c>
      <x:c r="L176" s="165" t="str">
        <x:v>海に近く冷却効果が強いため、南アフリカの中では冷涼で、酸を保持しながら繊細な果実風味を成熟させやすい。</x:v>
      </x:c>
      <x:c r="M176" s="165" t="str">
        <x:v>誤り。 ウォーカー・ベイは海洋の冷却が重要で、内陸砂漠の高温が主因ではない。</x:v>
      </x:c>
      <x:c r="N176" s="165" t="str">
        <x:v>誤り。 代表的なスタイルは冷涼気候の辛口で、乾燥濃縮が標準ではない。</x:v>
      </x:c>
      <x:c r="O176" s="165" t="str">
        <x:v>正しい。 海に近く冷却効果が強いため、南アフリカの中では冷涼で、酸を保持しながら繊細な果実風味を成熟させやすい。</x:v>
      </x:c>
      <x:c r="P176" s="165" t="str">
        <x:v>誤り。 ピノ・ノワールとシャルドネの非発泡性ワインは通常酒精強化しない。</x:v>
      </x:c>
      <x:c r="Q176" s="165" t="str">
        <x:v>自然要因・産地</x:v>
      </x:c>
      <x:c r="R176" s="165" t="str">
        <x:v>海洋冷却</x:v>
      </x:c>
      <x:c r="S176" s="165" t="str">
        <x:v>非発泡性ワイン</x:v>
      </x:c>
      <x:c r="T176" s="165" t="str">
        <x:v>南アフリカ</x:v>
      </x:c>
      <x:c r="U176" s="165" t="str">
        <x:v>ウォーカー・ベイ／ヘメル・アン・アード</x:v>
      </x:c>
      <x:c r="V176" s="165" t="str">
        <x:v>ピノ・ノワール、シャルドネ</x:v>
      </x:c>
      <x:c r="W176" s="165" t="str">
        <x:v>因果説明</x:v>
      </x:c>
      <x:c r="X176" s="171" t="str">
        <x:v>D2</x:v>
      </x:c>
      <x:c r="Y176" s="165" t="str">
        <x:v>ウォーカー・ベイは砂漠; 乾燥・酒精強化</x:v>
      </x:c>
      <x:c r="Z176" s="171" t="str">
        <x:v>N</x:v>
      </x:c>
      <x:c r="AA176" s="165"/>
      <x:c r="AB176" s="165" t="str">
        <x:v>オリジナル</x:v>
      </x:c>
      <x:c r="AC176" s="165" t="str">
        <x:v>公式Specificationの範囲＋ユーザー作成コーパスの論点と問題設計例を参考に独自作成</x:v>
      </x:c>
      <x:c r="AD176" s="171" t="str">
        <x:v>未レビュー</x:v>
      </x:c>
      <x:c r="AE176" s="171"/>
      <x:c r="AF176" s="171"/>
      <x:c r="AG176" s="166"/>
    </x:row>
    <x:row r="177" ht="84" customHeight="1">
      <x:c r="A177" s="164" t="str">
        <x:v>LO2-056</x:v>
      </x:c>
      <x:c r="B177" s="171" t="str">
        <x:v>LO2</x:v>
      </x:c>
      <x:c r="C177" s="165" t="str">
        <x:v>世界の主要な非発泡性ワイン</x:v>
      </x:c>
      <x:c r="D177" s="165" t="str">
        <x:v>バロッサ・ヴァレー</x:v>
      </x:c>
      <x:c r="E177" s="165" t="str">
        <x:v>バロッサ・ヴァレーのシラーズに典型的な特徴はどれか。</x:v>
      </x:c>
      <x:c r="F177" s="165" t="str">
        <x:v>ライトボディ、低アルコール、未熟な青いリンゴだけの風味</x:v>
      </x:c>
      <x:c r="G177" s="165" t="str">
        <x:v>無色の甘口白ワインで、マスカット香を持つ</x:v>
      </x:c>
      <x:c r="H177" s="165" t="str">
        <x:v>フロール熟成した辛口酒精強化ワイン</x:v>
      </x:c>
      <x:c r="I177" s="165" t="str">
        <x:v>フルボディ、高いアルコール、熟した黒系果実、甘いスパイス</x:v>
      </x:c>
      <x:c r="J177" s="171" t="str">
        <x:v>D</x:v>
      </x:c>
      <x:c r="K177" s="165" t="str">
        <x:v>フルボディ、高いアルコール、熟した黒系果実、甘いスパイス</x:v>
      </x:c>
      <x:c r="L177" s="165" t="str">
        <x:v>温暖で日照の多い条件によりシラーズが高い糖度とフェノール成熟に達し、濃厚で力強いスタイルになりやすい。</x:v>
      </x:c>
      <x:c r="M177" s="165" t="str">
        <x:v>誤り。 温暖なバロッサのシラーズは一般に熟した黒系果実と豊かなボディを持つ。</x:v>
      </x:c>
      <x:c r="N177" s="165" t="str">
        <x:v>誤り。 シラーズは黒ブドウで、バロッサでは主に赤ワインを造る。</x:v>
      </x:c>
      <x:c r="O177" s="165" t="str">
        <x:v>誤り。 これはシェリーの特徴で、バロッサ・シラーズとは異なる。</x:v>
      </x:c>
      <x:c r="P177" s="165" t="str">
        <x:v>正しい。 温暖で日照の多い条件によりシラーズが高い糖度とフェノール成熟に達し、濃厚で力強いスタイルになりやすい。</x:v>
      </x:c>
      <x:c r="Q177" s="165" t="str">
        <x:v>産地スタイル</x:v>
      </x:c>
      <x:c r="R177" s="165" t="str">
        <x:v>温暖気候・シラーズ</x:v>
      </x:c>
      <x:c r="S177" s="165" t="str">
        <x:v>非発泡性赤ワイン</x:v>
      </x:c>
      <x:c r="T177" s="165" t="str">
        <x:v>オーストラリア</x:v>
      </x:c>
      <x:c r="U177" s="165" t="str">
        <x:v>バロッサ・ヴァレー</x:v>
      </x:c>
      <x:c r="V177" s="165" t="str">
        <x:v>シラーズ</x:v>
      </x:c>
      <x:c r="W177" s="165" t="str">
        <x:v>知識確認</x:v>
      </x:c>
      <x:c r="X177" s="171" t="str">
        <x:v>D1</x:v>
      </x:c>
      <x:c r="Y177" s="165" t="str">
        <x:v>バロッサは低アルコール白; フロール酒精強化</x:v>
      </x:c>
      <x:c r="Z177" s="171" t="str">
        <x:v>N</x:v>
      </x:c>
      <x:c r="AA177" s="165"/>
      <x:c r="AB177" s="165" t="str">
        <x:v>オリジナル</x:v>
      </x:c>
      <x:c r="AC177" s="165" t="str">
        <x:v>公式Specificationの範囲＋ユーザー作成コーパスの論点と問題設計例を参考に独自作成</x:v>
      </x:c>
      <x:c r="AD177" s="171" t="str">
        <x:v>未レビュー</x:v>
      </x:c>
      <x:c r="AE177" s="171"/>
      <x:c r="AF177" s="171"/>
      <x:c r="AG177" s="166"/>
    </x:row>
    <x:row r="178" ht="84" customHeight="1">
      <x:c r="A178" s="164" t="str">
        <x:v>LO2-057</x:v>
      </x:c>
      <x:c r="B178" s="171" t="str">
        <x:v>LO2</x:v>
      </x:c>
      <x:c r="C178" s="165" t="str">
        <x:v>世界の主要な非発泡性ワイン</x:v>
      </x:c>
      <x:c r="D178" s="165" t="str">
        <x:v>クナワラ</x:v>
      </x:c>
      <x:c r="E178" s="165" t="str">
        <x:v>クナワラのカベルネ・ソーヴィニヨンが酸と構造を保ちやすい主な理由はどれか。</x:v>
      </x:c>
      <x:c r="F178" s="165" t="str">
        <x:v>南極海の影響を受ける比較的冷涼な海洋性気候で、成熟が緩やかに進む</x:v>
      </x:c>
      <x:c r="G178" s="165" t="str">
        <x:v>赤道に近い熱帯気候で、一年中夜も高温だから</x:v>
      </x:c>
      <x:c r="H178" s="165" t="str">
        <x:v>果汁へ石灰を大量に加え、酸を完全に除去するから</x:v>
      </x:c>
      <x:c r="I178" s="165" t="str">
        <x:v>カベルネを凍結して糖を捨てるから</x:v>
      </x:c>
      <x:c r="J178" s="171" t="str">
        <x:v>A</x:v>
      </x:c>
      <x:c r="K178" s="165" t="str">
        <x:v>南極海の影響を受ける比較的冷涼な海洋性気候で、成熟が緩やかに進む</x:v>
      </x:c>
      <x:c r="L178" s="165" t="str">
        <x:v>南オーストラリアの中では海洋の冷却が強く、長い成熟期により黒系果実とタンニンを成熟させながら酸を保持しやすい。</x:v>
      </x:c>
      <x:c r="M178" s="165" t="str">
        <x:v>正しい。 南オーストラリアの中では海洋の冷却が強く、長い成熟期により黒系果実とタンニンを成熟させながら酸を保持しやすい。</x:v>
      </x:c>
      <x:c r="N178" s="165" t="str">
        <x:v>誤り。 クナワラは南部の比較的冷涼な地域で、熱帯ではない。</x:v>
      </x:c>
      <x:c r="O178" s="165" t="str">
        <x:v>誤り。 酸の保持は気候と成熟によるもので、酸を完全に除去する説明は逆である。</x:v>
      </x:c>
      <x:c r="P178" s="165" t="str">
        <x:v>誤り。 凍結処理はクナワラの典型的な赤ワイン製法ではない。</x:v>
      </x:c>
      <x:c r="Q178" s="165" t="str">
        <x:v>自然要因・産地</x:v>
      </x:c>
      <x:c r="R178" s="165" t="str">
        <x:v>海洋性気候・成熟</x:v>
      </x:c>
      <x:c r="S178" s="165" t="str">
        <x:v>非発泡性赤ワイン</x:v>
      </x:c>
      <x:c r="T178" s="165" t="str">
        <x:v>オーストラリア</x:v>
      </x:c>
      <x:c r="U178" s="165" t="str">
        <x:v>クナワラ</x:v>
      </x:c>
      <x:c r="V178" s="165" t="str">
        <x:v>カベルネ・ソーヴィニヨン</x:v>
      </x:c>
      <x:c r="W178" s="165" t="str">
        <x:v>因果説明</x:v>
      </x:c>
      <x:c r="X178" s="171" t="str">
        <x:v>D2</x:v>
      </x:c>
      <x:c r="Y178" s="165" t="str">
        <x:v>クナワラは熱帯; 酸除去・凍結</x:v>
      </x:c>
      <x:c r="Z178" s="171" t="str">
        <x:v>N</x:v>
      </x:c>
      <x:c r="AA178" s="165"/>
      <x:c r="AB178" s="165" t="str">
        <x:v>オリジナル</x:v>
      </x:c>
      <x:c r="AC178" s="165" t="str">
        <x:v>公式Specificationの範囲＋ユーザー作成コーパスの論点と問題設計例を参考に独自作成</x:v>
      </x:c>
      <x:c r="AD178" s="171" t="str">
        <x:v>未レビュー</x:v>
      </x:c>
      <x:c r="AE178" s="171"/>
      <x:c r="AF178" s="171"/>
      <x:c r="AG178" s="166"/>
    </x:row>
    <x:row r="179" ht="84" customHeight="1">
      <x:c r="A179" s="164" t="str">
        <x:v>LO2-058</x:v>
      </x:c>
      <x:c r="B179" s="171" t="str">
        <x:v>LO2</x:v>
      </x:c>
      <x:c r="C179" s="165" t="str">
        <x:v>世界の主要な非発泡性ワイン</x:v>
      </x:c>
      <x:c r="D179" s="165" t="str">
        <x:v>ハンター・ヴァレー・セミヨン</x:v>
      </x:c>
      <x:c r="E179" s="165" t="str">
        <x:v>若いハンター・ヴァレー・セミヨンの典型的なスタイルはどれか。</x:v>
      </x:c>
      <x:c r="F179" s="165" t="str">
        <x:v>若いうちから高アルコールで強い新樽香を持ち、熟成しない</x:v>
      </x:c>
      <x:c r="G179" s="165" t="str">
        <x:v>低めのアルコール、高い酸、軽いボディで、瓶熟成によりトーストや蜂蜜の香りが発達する</x:v>
      </x:c>
      <x:c r="H179" s="165" t="str">
        <x:v>甘口の酒精強化赤ワイン</x:v>
      </x:c>
      <x:c r="I179" s="165" t="str">
        <x:v>フロールの下で生物学的熟成したシェリー</x:v>
      </x:c>
      <x:c r="J179" s="171" t="str">
        <x:v>B</x:v>
      </x:c>
      <x:c r="K179" s="165" t="str">
        <x:v>低めのアルコール、高い酸、軽いボディで、瓶熟成によりトーストや蜂蜜の香りが発達する</x:v>
      </x:c>
      <x:c r="L179" s="165" t="str">
        <x:v>暑い地域だが早めに収穫し、通常オークやMLFを避けて軽快に造る。高い酸を保つため、瓶熟成で複雑な香りを発達させられる。</x:v>
      </x:c>
      <x:c r="M179" s="165" t="str">
        <x:v>誤り。 典型的なハンター・セミヨンは低アルコールでオーク香が目立たず、熟成能力がある。</x:v>
      </x:c>
      <x:c r="N179" s="165" t="str">
        <x:v>正しい。 暑い地域だが早めに収穫し、通常オークやMLFを避けて軽快に造る。高い酸を保つため、瓶熟成で複雑な香りを発達させられる。</x:v>
      </x:c>
      <x:c r="O179" s="165" t="str">
        <x:v>誤り。 セミヨンは白ブドウで、典型は辛口の非発泡性白である。</x:v>
      </x:c>
      <x:c r="P179" s="165" t="str">
        <x:v>誤り。 ハンター・セミヨンにフロール熟成は用いない。</x:v>
      </x:c>
      <x:c r="Q179" s="165" t="str">
        <x:v>醸造・産地</x:v>
      </x:c>
      <x:c r="R179" s="165" t="str">
        <x:v>早期収穫・瓶熟成</x:v>
      </x:c>
      <x:c r="S179" s="165" t="str">
        <x:v>非発泡性白ワイン</x:v>
      </x:c>
      <x:c r="T179" s="165" t="str">
        <x:v>オーストラリア</x:v>
      </x:c>
      <x:c r="U179" s="165" t="str">
        <x:v>ハンター・ヴァレー</x:v>
      </x:c>
      <x:c r="V179" s="165" t="str">
        <x:v>セミヨン</x:v>
      </x:c>
      <x:c r="W179" s="165" t="str">
        <x:v>統合判断</x:v>
      </x:c>
      <x:c r="X179" s="171" t="str">
        <x:v>D3</x:v>
      </x:c>
      <x:c r="Y179" s="165" t="str">
        <x:v>ハンター・セミヨンは高アルコール新樽; 酒精強化・フロール</x:v>
      </x:c>
      <x:c r="Z179" s="171" t="str">
        <x:v>N</x:v>
      </x:c>
      <x:c r="AA179" s="165"/>
      <x:c r="AB179" s="165" t="str">
        <x:v>オリジナル</x:v>
      </x:c>
      <x:c r="AC179" s="165" t="str">
        <x:v>公式Specificationの範囲＋ユーザー作成コーパスの論点と問題設計例を参考に独自作成</x:v>
      </x:c>
      <x:c r="AD179" s="171" t="str">
        <x:v>未レビュー</x:v>
      </x:c>
      <x:c r="AE179" s="171"/>
      <x:c r="AF179" s="171"/>
      <x:c r="AG179" s="166"/>
    </x:row>
    <x:row r="180" ht="84" customHeight="1">
      <x:c r="A180" s="164" t="str">
        <x:v>LO2-059</x:v>
      </x:c>
      <x:c r="B180" s="171" t="str">
        <x:v>LO2</x:v>
      </x:c>
      <x:c r="C180" s="165" t="str">
        <x:v>世界の主要な非発泡性ワイン</x:v>
      </x:c>
      <x:c r="D180" s="165" t="str">
        <x:v>クレア／イーデン・ヴァレー</x:v>
      </x:c>
      <x:c r="E180" s="165" t="str">
        <x:v>クレア・ヴァレーやイーデン・ヴァレーのリースリングに典型的な特徴はどれか。</x:v>
      </x:c>
      <x:c r="F180" s="165" t="str">
        <x:v>低い酸の甘口赤で、黒コショウだけの香り</x:v>
      </x:c>
      <x:c r="G180" s="165" t="str">
        <x:v>フロール熟成によるアーモンド香の酒精強化ワイン</x:v>
      </x:c>
      <x:c r="H180" s="165" t="str">
        <x:v>辛口、高い酸、ライムや柑橘の風味を持ち、瓶熟成でトースト香が発達する</x:v>
      </x:c>
      <x:c r="I180" s="165" t="str">
        <x:v>高温の平地で酸を完全に失い、熟成できない</x:v>
      </x:c>
      <x:c r="J180" s="171" t="str">
        <x:v>C</x:v>
      </x:c>
      <x:c r="K180" s="165" t="str">
        <x:v>辛口、高い酸、ライムや柑橘の風味を持ち、瓶熟成でトースト香が発達する</x:v>
      </x:c>
      <x:c r="L180" s="165" t="str">
        <x:v>標高と冷涼な夜により酸を保持し、オーストラリアの強い日射で柑橘風味が成熟する。高品質例は長期熟成できる。</x:v>
      </x:c>
      <x:c r="M180" s="165" t="str">
        <x:v>誤り。 リースリングは白ブドウで、これらの地域では高い酸の辛口白が代表的である。</x:v>
      </x:c>
      <x:c r="N180" s="165" t="str">
        <x:v>誤り。 フロール熟成はシェリーに関連し、リースリングの典型ではない。</x:v>
      </x:c>
      <x:c r="O180" s="165" t="str">
        <x:v>正しい。 標高と冷涼な夜により酸を保持し、オーストラリアの強い日射で柑橘風味が成熟する。高品質例は長期熟成できる。</x:v>
      </x:c>
      <x:c r="P180" s="165" t="str">
        <x:v>誤り。 標高や夜間冷却が酸を支え、熟成能力を持つ。</x:v>
      </x:c>
      <x:c r="Q180" s="165" t="str">
        <x:v>産地スタイル</x:v>
      </x:c>
      <x:c r="R180" s="165" t="str">
        <x:v>標高・リースリング</x:v>
      </x:c>
      <x:c r="S180" s="165" t="str">
        <x:v>非発泡性白ワイン</x:v>
      </x:c>
      <x:c r="T180" s="165" t="str">
        <x:v>オーストラリア</x:v>
      </x:c>
      <x:c r="U180" s="165" t="str">
        <x:v>クレア・ヴァレー／イーデン・ヴァレー</x:v>
      </x:c>
      <x:c r="V180" s="165" t="str">
        <x:v>リースリング</x:v>
      </x:c>
      <x:c r="W180" s="165" t="str">
        <x:v>知識確認</x:v>
      </x:c>
      <x:c r="X180" s="171" t="str">
        <x:v>D2</x:v>
      </x:c>
      <x:c r="Y180" s="165" t="str">
        <x:v>リースリングは赤・酒精強化; 酸なし熟成不能</x:v>
      </x:c>
      <x:c r="Z180" s="171" t="str">
        <x:v>N</x:v>
      </x:c>
      <x:c r="AA180" s="165"/>
      <x:c r="AB180" s="165" t="str">
        <x:v>オリジナル</x:v>
      </x:c>
      <x:c r="AC180" s="165" t="str">
        <x:v>公式Specificationの範囲＋ユーザー作成コーパスの論点と問題設計例を参考に独自作成</x:v>
      </x:c>
      <x:c r="AD180" s="171" t="str">
        <x:v>未レビュー</x:v>
      </x:c>
      <x:c r="AE180" s="171"/>
      <x:c r="AF180" s="171"/>
      <x:c r="AG180" s="166"/>
    </x:row>
    <x:row r="181" ht="84" customHeight="1">
      <x:c r="A181" s="164" t="str">
        <x:v>LO2-060</x:v>
      </x:c>
      <x:c r="B181" s="171" t="str">
        <x:v>LO2</x:v>
      </x:c>
      <x:c r="C181" s="165" t="str">
        <x:v>世界の主要な非発泡性ワイン</x:v>
      </x:c>
      <x:c r="D181" s="165" t="str">
        <x:v>セントラル・オタゴ</x:v>
      </x:c>
      <x:c r="E181" s="165" t="str">
        <x:v>セントラル・オタゴのピノ・ノワールが熟した果実味と高い酸を両立しやすい理由はどれか。</x:v>
      </x:c>
      <x:c r="F181" s="165" t="str">
        <x:v>一年中高温多湿で、昼夜の気温が同じだから</x:v>
      </x:c>
      <x:c r="G181" s="165" t="str">
        <x:v>海水を果汁へ加え、酸と色を作るから</x:v>
      </x:c>
      <x:c r="H181" s="165" t="str">
        <x:v>ピノ・ノワールを酒精強化し、発酵を止めるから</x:v>
      </x:c>
      <x:c r="I181" s="165" t="str">
        <x:v>内陸性の強い日照と大きな日較差があり、昼に成熟し夜に酸を保持する</x:v>
      </x:c>
      <x:c r="J181" s="171" t="str">
        <x:v>D</x:v>
      </x:c>
      <x:c r="K181" s="165" t="str">
        <x:v>内陸性の強い日照と大きな日較差があり、昼に成熟し夜に酸を保持する</x:v>
      </x:c>
      <x:c r="L181" s="165" t="str">
        <x:v>ニュージーランドの多くの産地より大陸性が強く、乾燥した晴天と涼しい夜により、濃い赤果実・黒果実とフレッシュな酸を得やすい。</x:v>
      </x:c>
      <x:c r="M181" s="165" t="str">
        <x:v>誤り。 セントラル・オタゴは内陸で日較差が大きく、説明が逆である。</x:v>
      </x:c>
      <x:c r="N181" s="165" t="str">
        <x:v>誤り。 酸と色は品種と成熟・醸造に由来し、海水を加えない。</x:v>
      </x:c>
      <x:c r="O181" s="165" t="str">
        <x:v>誤り。 代表的なスタイルは辛口の非発泡性赤で、酒精強化しない。</x:v>
      </x:c>
      <x:c r="P181" s="165" t="str">
        <x:v>正しい。 ニュージーランドの多くの産地より大陸性が強く、乾燥した晴天と涼しい夜により、濃い赤果実・黒果実とフレッシュな酸を得やすい。</x:v>
      </x:c>
      <x:c r="Q181" s="165" t="str">
        <x:v>自然要因・産地</x:v>
      </x:c>
      <x:c r="R181" s="165" t="str">
        <x:v>大陸性・日較差</x:v>
      </x:c>
      <x:c r="S181" s="165" t="str">
        <x:v>非発泡性赤ワイン</x:v>
      </x:c>
      <x:c r="T181" s="165" t="str">
        <x:v>ニュージーランド</x:v>
      </x:c>
      <x:c r="U181" s="165" t="str">
        <x:v>セントラル・オタゴ</x:v>
      </x:c>
      <x:c r="V181" s="165" t="str">
        <x:v>ピノ・ノワール</x:v>
      </x:c>
      <x:c r="W181" s="165" t="str">
        <x:v>因果説明</x:v>
      </x:c>
      <x:c r="X181" s="171" t="str">
        <x:v>D2</x:v>
      </x:c>
      <x:c r="Y181" s="165" t="str">
        <x:v>セントラルオタゴは高温多湿; 海水添加; 酒精強化</x:v>
      </x:c>
      <x:c r="Z181" s="171" t="str">
        <x:v>N</x:v>
      </x:c>
      <x:c r="AA181" s="165"/>
      <x:c r="AB181" s="165" t="str">
        <x:v>オリジナル</x:v>
      </x:c>
      <x:c r="AC181" s="165" t="str">
        <x:v>公式Specificationの範囲＋ユーザー作成コーパスの論点と問題設計例を参考に独自作成</x:v>
      </x:c>
      <x:c r="AD181" s="171" t="str">
        <x:v>未レビュー</x:v>
      </x:c>
      <x:c r="AE181" s="171"/>
      <x:c r="AF181" s="171"/>
      <x:c r="AG181" s="166"/>
    </x:row>
    <x:row r="182" ht="84" customHeight="1">
      <x:c r="A182" s="164" t="str">
        <x:v>LO3-021</x:v>
      </x:c>
      <x:c r="B182" s="171" t="str">
        <x:v>LO3</x:v>
      </x:c>
      <x:c r="C182" s="165" t="str">
        <x:v>世界の主要な発泡性ワイン</x:v>
      </x:c>
      <x:c r="D182" s="165" t="str">
        <x:v>全房圧搾</x:v>
      </x:c>
      <x:c r="E182" s="165" t="str">
        <x:v>上質な伝統的方式発泡性ワインのベースワインで、全房を穏やかに圧搾する主な目的はどれか。</x:v>
      </x:c>
      <x:c r="F182" s="165" t="str">
        <x:v>果皮や種子からの色とフェノールの抽出を抑え、繊細な果汁を得る</x:v>
      </x:c>
      <x:c r="G182" s="165" t="str">
        <x:v>果皮から最大限のタンニンを抽出し、濃い赤色にする</x:v>
      </x:c>
      <x:c r="H182" s="165" t="str">
        <x:v>圧搾前に糖をすべて発酵させる</x:v>
      </x:c>
      <x:c r="I182" s="165" t="str">
        <x:v>ブドウを乾燥させ、甘口酒精強化ワインにする</x:v>
      </x:c>
      <x:c r="J182" s="171" t="str">
        <x:v>A</x:v>
      </x:c>
      <x:c r="K182" s="165" t="str">
        <x:v>果皮や種子からの色とフェノールの抽出を抑え、繊細な果汁を得る</x:v>
      </x:c>
      <x:c r="L182" s="165" t="str">
        <x:v>黒ブドウを含む場合でも、穏やかな全房圧搾により色素と粗いフェノールの抽出を抑え、高い酸を持つ清潔な果汁を得やすい。</x:v>
      </x:c>
      <x:c r="M182" s="165" t="str">
        <x:v>正しい。 黒ブドウを含む場合でも、穏やかな全房圧搾により色素と粗いフェノールの抽出を抑え、高い酸を持つ清潔な果汁を得やすい。</x:v>
      </x:c>
      <x:c r="N182" s="165" t="str">
        <x:v>誤り。 発泡性ベースワインでは一般に過度な色とタンニンを避ける。</x:v>
      </x:c>
      <x:c r="O182" s="165" t="str">
        <x:v>誤り。 圧搾は最初のアルコール発酵より前に行われる。</x:v>
      </x:c>
      <x:c r="P182" s="165" t="str">
        <x:v>誤り。 全房圧搾の目的は繊細なベースワイン用果汁で、乾燥や酒精強化ではない。</x:v>
      </x:c>
      <x:c r="Q182" s="165" t="str">
        <x:v>発泡性ワイン製法</x:v>
      </x:c>
      <x:c r="R182" s="165" t="str">
        <x:v>圧搾・フェノール管理</x:v>
      </x:c>
      <x:c r="S182" s="165" t="str">
        <x:v>発泡性ワイン</x:v>
      </x:c>
      <x:c r="T182" s="165"/>
      <x:c r="U182" s="165"/>
      <x:c r="V182" s="165"/>
      <x:c r="W182" s="165" t="str">
        <x:v>因果説明</x:v>
      </x:c>
      <x:c r="X182" s="171" t="str">
        <x:v>D2</x:v>
      </x:c>
      <x:c r="Y182" s="165" t="str">
        <x:v>発泡ベースで強抽出; 圧搾前発酵; 乾燥酒精強化</x:v>
      </x:c>
      <x:c r="Z182" s="171" t="str">
        <x:v>N</x:v>
      </x:c>
      <x:c r="AA182" s="165"/>
      <x:c r="AB182" s="165" t="str">
        <x:v>オリジナル</x:v>
      </x:c>
      <x:c r="AC182" s="165" t="str">
        <x:v>公式Specificationの範囲＋ユーザー作成コーパスの論点と問題設計例を参考に独自作成</x:v>
      </x:c>
      <x:c r="AD182" s="171" t="str">
        <x:v>未レビュー</x:v>
      </x:c>
      <x:c r="AE182" s="171"/>
      <x:c r="AF182" s="171"/>
      <x:c r="AG182" s="166"/>
    </x:row>
    <x:row r="183" ht="84" customHeight="1">
      <x:c r="A183" s="164" t="str">
        <x:v>LO3-022</x:v>
      </x:c>
      <x:c r="B183" s="171" t="str">
        <x:v>LO3</x:v>
      </x:c>
      <x:c r="C183" s="165" t="str">
        <x:v>世界の主要な発泡性ワイン</x:v>
      </x:c>
      <x:c r="D183" s="165" t="str">
        <x:v>早期収穫</x:v>
      </x:c>
      <x:c r="E183" s="165" t="str">
        <x:v>発泡性ワイン用ブドウを非発泡性ワイン用より早めに収穫することが多い主な理由はどれか。</x:v>
      </x:c>
      <x:c r="F183" s="165" t="str">
        <x:v>果皮のタンニンを最大化し、重い赤ワインにする</x:v>
      </x:c>
      <x:c r="G183" s="165" t="str">
        <x:v>高い酸と低めの糖度を保ち、二次発酵後もバランスを得る</x:v>
      </x:c>
      <x:c r="H183" s="165" t="str">
        <x:v>貴腐を必ず発生させ、糖を濃縮する</x:v>
      </x:c>
      <x:c r="I183" s="165" t="str">
        <x:v>二次発酵を不要にするほど高いアルコールを得る</x:v>
      </x:c>
      <x:c r="J183" s="171" t="str">
        <x:v>B</x:v>
      </x:c>
      <x:c r="K183" s="165" t="str">
        <x:v>高い酸と低めの糖度を保ち、二次発酵後もバランスを得る</x:v>
      </x:c>
      <x:c r="L183" s="165" t="str">
        <x:v>早期収穫は酸を保持し、ベースワインのアルコールを低く抑える。二次発酵でアルコールが増え、酸は最終ワインのフレッシュさを支える。</x:v>
      </x:c>
      <x:c r="M183" s="165" t="str">
        <x:v>誤り。 多くの発泡性ワインでは強いタンニンを避ける。</x:v>
      </x:c>
      <x:c r="N183" s="165" t="str">
        <x:v>正しい。 早期収穫は酸を保持し、ベースワインのアルコールを低く抑える。二次発酵でアルコールが増え、酸は最終ワインのフレッシュさを支える。</x:v>
      </x:c>
      <x:c r="O183" s="165" t="str">
        <x:v>誤り。 健全で高酸のブドウが一般に求められ、貴腐は標準的な目的ではない。</x:v>
      </x:c>
      <x:c r="P183" s="165" t="str">
        <x:v>誤り。 早期収穫では糖が低く、ベースワインのアルコールも低めになる。</x:v>
      </x:c>
      <x:c r="Q183" s="165" t="str">
        <x:v>自然・人的要因</x:v>
      </x:c>
      <x:c r="R183" s="165" t="str">
        <x:v>収穫時期・酸</x:v>
      </x:c>
      <x:c r="S183" s="165" t="str">
        <x:v>発泡性ワイン</x:v>
      </x:c>
      <x:c r="T183" s="165"/>
      <x:c r="U183" s="165"/>
      <x:c r="V183" s="165"/>
      <x:c r="W183" s="165" t="str">
        <x:v>因果説明</x:v>
      </x:c>
      <x:c r="X183" s="171" t="str">
        <x:v>D1</x:v>
      </x:c>
      <x:c r="Y183" s="165" t="str">
        <x:v>発泡用は高糖・貴腐; 早期収穫で高アルコール</x:v>
      </x:c>
      <x:c r="Z183" s="171" t="str">
        <x:v>N</x:v>
      </x:c>
      <x:c r="AA183" s="165"/>
      <x:c r="AB183" s="165" t="str">
        <x:v>オリジナル</x:v>
      </x:c>
      <x:c r="AC183" s="165" t="str">
        <x:v>公式Specificationの範囲＋ユーザー作成コーパスの論点と問題設計例を参考に独自作成</x:v>
      </x:c>
      <x:c r="AD183" s="171" t="str">
        <x:v>未レビュー</x:v>
      </x:c>
      <x:c r="AE183" s="171"/>
      <x:c r="AF183" s="171"/>
      <x:c r="AG183" s="166"/>
    </x:row>
    <x:row r="184" ht="84" customHeight="1">
      <x:c r="A184" s="164" t="str">
        <x:v>LO3-023</x:v>
      </x:c>
      <x:c r="B184" s="171" t="str">
        <x:v>LO3</x:v>
      </x:c>
      <x:c r="C184" s="165" t="str">
        <x:v>世界の主要な発泡性ワイン</x:v>
      </x:c>
      <x:c r="D184" s="165" t="str">
        <x:v>ベースワインの清澄</x:v>
      </x:c>
      <x:c r="E184" s="165" t="str">
        <x:v>発泡性ワインのベースワインを二次発酵前に清澄する主な利点はどれか。</x:v>
      </x:c>
      <x:c r="F184" s="165" t="str">
        <x:v>糖をすべて除去し、二次発酵を不可能にする</x:v>
      </x:c>
      <x:c r="G184" s="165" t="str">
        <x:v>ワインを濃い赤色にし、タンニンを増やす</x:v>
      </x:c>
      <x:c r="H184" s="165" t="str">
        <x:v>粗い固形物や望ましくない微生物を減らし、発酵と最終的な清澄を管理しやすくする</x:v>
      </x:c>
      <x:c r="I184" s="165" t="str">
        <x:v>瓶内の圧力を物理的にゼロにする</x:v>
      </x:c>
      <x:c r="J184" s="171" t="str">
        <x:v>C</x:v>
      </x:c>
      <x:c r="K184" s="165" t="str">
        <x:v>粗い固形物や望ましくない微生物を減らし、発酵と最終的な清澄を管理しやすくする</x:v>
      </x:c>
      <x:c r="L184" s="165" t="str">
        <x:v>清潔で安定したベースワインは、酵母添加後の二次発酵を予測しやすくし、不要な香味や濁りのリスクを抑える。</x:v>
      </x:c>
      <x:c r="M184" s="165" t="str">
        <x:v>誤り。 二次発酵に必要な糖はリクール・ドゥ・ティラージュで加えられる。</x:v>
      </x:c>
      <x:c r="N184" s="165" t="str">
        <x:v>誤り。 清澄は色とタンニンを増やす工程ではない。</x:v>
      </x:c>
      <x:c r="O184" s="165" t="str">
        <x:v>正しい。 清潔で安定したベースワインは、酵母添加後の二次発酵を予測しやすくし、不要な香味や濁りのリスクを抑える。</x:v>
      </x:c>
      <x:c r="P184" s="165" t="str">
        <x:v>誤り。 圧力は二次発酵で生じ、清澄自体が圧力をゼロにするわけではない。</x:v>
      </x:c>
      <x:c r="Q184" s="165" t="str">
        <x:v>発泡性ワイン製法</x:v>
      </x:c>
      <x:c r="R184" s="165" t="str">
        <x:v>ベースワイン・清澄</x:v>
      </x:c>
      <x:c r="S184" s="165" t="str">
        <x:v>発泡性ワイン</x:v>
      </x:c>
      <x:c r="T184" s="165"/>
      <x:c r="U184" s="165"/>
      <x:c r="V184" s="165"/>
      <x:c r="W184" s="165" t="str">
        <x:v>因果説明</x:v>
      </x:c>
      <x:c r="X184" s="171" t="str">
        <x:v>D2</x:v>
      </x:c>
      <x:c r="Y184" s="165" t="str">
        <x:v>清澄で糖除去・二次発酵不能; 清澄で色タンニン増加</x:v>
      </x:c>
      <x:c r="Z184" s="171" t="str">
        <x:v>N</x:v>
      </x:c>
      <x:c r="AA184" s="165"/>
      <x:c r="AB184" s="165" t="str">
        <x:v>オリジナル</x:v>
      </x:c>
      <x:c r="AC184" s="165" t="str">
        <x:v>公式Specificationの範囲＋ユーザー作成コーパスの論点と問題設計例を参考に独自作成</x:v>
      </x:c>
      <x:c r="AD184" s="171" t="str">
        <x:v>未レビュー</x:v>
      </x:c>
      <x:c r="AE184" s="171"/>
      <x:c r="AF184" s="171"/>
      <x:c r="AG184" s="166"/>
    </x:row>
    <x:row r="185" ht="84" customHeight="1">
      <x:c r="A185" s="164" t="str">
        <x:v>LO3-024</x:v>
      </x:c>
      <x:c r="B185" s="171" t="str">
        <x:v>LO3</x:v>
      </x:c>
      <x:c r="C185" s="165" t="str">
        <x:v>世界の主要な発泡性ワイン</x:v>
      </x:c>
      <x:c r="D185" s="165" t="str">
        <x:v>ベースワインのブレンド</x:v>
      </x:c>
      <x:c r="E185" s="165" t="str">
        <x:v>発泡性ワインの生産者が異なる品種、畑、ロットのベースワインをブレンドする主な目的はどれか。</x:v>
      </x:c>
      <x:c r="F185" s="165" t="str">
        <x:v>すべてのロットを同じ品種へ遺伝的に変える</x:v>
      </x:c>
      <x:c r="G185" s="165" t="str">
        <x:v>二次発酵で生じた炭酸ガスを完全に除去する</x:v>
      </x:c>
      <x:c r="H185" s="165" t="str">
        <x:v>ワインを必ず甘口にし、酸をなくす</x:v>
      </x:c>
      <x:c r="I185" s="165" t="str">
        <x:v>酸、果実味、ボディ、熟成香のバランスを整え、狙うスタイルを作る</x:v>
      </x:c>
      <x:c r="J185" s="171" t="str">
        <x:v>D</x:v>
      </x:c>
      <x:c r="K185" s="165" t="str">
        <x:v>酸、果実味、ボディ、熟成香のバランスを整え、狙うスタイルを作る</x:v>
      </x:c>
      <x:c r="L185" s="165" t="str">
        <x:v>各ロットの特性を組み合わせることで、複雑性とバランスを高め、ノン・ヴィンテージでは年ごとの一貫性も得られる。</x:v>
      </x:c>
      <x:c r="M185" s="165" t="str">
        <x:v>誤り。 ブレンドで品種の遺伝的性質が変わることはない。</x:v>
      </x:c>
      <x:c r="N185" s="165" t="str">
        <x:v>誤り。 ブレンドは通常二次発酵前に行い、炭酸ガスを除去する目的ではない。</x:v>
      </x:c>
      <x:c r="O185" s="165" t="str">
        <x:v>誤り。 ブレンドは甘味だけでなく、酸、果実、構造、複雑性を調整する。</x:v>
      </x:c>
      <x:c r="P185" s="165" t="str">
        <x:v>正しい。 各ロットの特性を組み合わせることで、複雑性とバランスを高め、ノン・ヴィンテージでは年ごとの一貫性も得られる。</x:v>
      </x:c>
      <x:c r="Q185" s="165" t="str">
        <x:v>発泡性ワイン製法</x:v>
      </x:c>
      <x:c r="R185" s="165" t="str">
        <x:v>ブレンド・スタイル</x:v>
      </x:c>
      <x:c r="S185" s="165" t="str">
        <x:v>発泡性ワイン</x:v>
      </x:c>
      <x:c r="T185" s="165"/>
      <x:c r="U185" s="165"/>
      <x:c r="V185" s="165"/>
      <x:c r="W185" s="165" t="str">
        <x:v>統合判断</x:v>
      </x:c>
      <x:c r="X185" s="171" t="str">
        <x:v>D2</x:v>
      </x:c>
      <x:c r="Y185" s="165" t="str">
        <x:v>ブレンドで品種変更; 炭酸除去; 必ず甘口</x:v>
      </x:c>
      <x:c r="Z185" s="171" t="str">
        <x:v>N</x:v>
      </x:c>
      <x:c r="AA185" s="165"/>
      <x:c r="AB185" s="165" t="str">
        <x:v>オリジナル</x:v>
      </x:c>
      <x:c r="AC185" s="165" t="str">
        <x:v>公式Specificationの範囲＋ユーザー作成コーパスの論点と問題設計例を参考に独自作成</x:v>
      </x:c>
      <x:c r="AD185" s="171" t="str">
        <x:v>未レビュー</x:v>
      </x:c>
      <x:c r="AE185" s="171"/>
      <x:c r="AF185" s="171"/>
      <x:c r="AG185" s="166"/>
    </x:row>
    <x:row r="186" ht="84" customHeight="1">
      <x:c r="A186" s="164" t="str">
        <x:v>LO3-025</x:v>
      </x:c>
      <x:c r="B186" s="171" t="str">
        <x:v>LO3</x:v>
      </x:c>
      <x:c r="C186" s="165" t="str">
        <x:v>世界の主要な発泡性ワイン</x:v>
      </x:c>
      <x:c r="D186" s="165" t="str">
        <x:v>瓶内二次発酵と炭酸ガス</x:v>
      </x:c>
      <x:c r="E186" s="165" t="str">
        <x:v>伝統的方式の瓶内二次発酵で泡が生まれる仕組みはどれか。</x:v>
      </x:c>
      <x:c r="F186" s="165" t="str">
        <x:v>密閉した瓶内で酵母が糖をアルコールと二酸化炭素へ変え、二酸化炭素がワインに溶け込む</x:v>
      </x:c>
      <x:c r="G186" s="165" t="str">
        <x:v>瓶を振ることで空気がワインへ入り、自然に炭酸へ変わる</x:v>
      </x:c>
      <x:c r="H186" s="165" t="str">
        <x:v>澱が溶けて酸素になり、圧力を作る</x:v>
      </x:c>
      <x:c r="I186" s="165" t="str">
        <x:v>ドザージュの糖が発酵せず、その体積だけで圧力を作る</x:v>
      </x:c>
      <x:c r="J186" s="171" t="str">
        <x:v>A</x:v>
      </x:c>
      <x:c r="K186" s="165" t="str">
        <x:v>密閉した瓶内で酵母が糖をアルコールと二酸化炭素へ変え、二酸化炭素がワインに溶け込む</x:v>
      </x:c>
      <x:c r="L186" s="165" t="str">
        <x:v>瓶が密閉されているため、発酵で生じた二酸化炭素が逃げずにワインへ溶解し、開栓時に泡となる。</x:v>
      </x:c>
      <x:c r="M186" s="165" t="str">
        <x:v>正しい。 瓶が密閉されているため、発酵で生じた二酸化炭素が逃げずにワインへ溶解し、開栓時に泡となる。</x:v>
      </x:c>
      <x:c r="N186" s="165" t="str">
        <x:v>誤り。 泡は空気の混入ではなく、二次発酵で生じた二酸化炭素による。</x:v>
      </x:c>
      <x:c r="O186" s="165" t="str">
        <x:v>誤り。 澱は酵母由来で、酸素へ変わって圧力を作るわけではない。</x:v>
      </x:c>
      <x:c r="P186" s="165" t="str">
        <x:v>誤り。 圧力の主因はティラージュ後の二次発酵であり、通常のドザージュは澱抜き後に加える。</x:v>
      </x:c>
      <x:c r="Q186" s="165" t="str">
        <x:v>発泡性ワイン製法</x:v>
      </x:c>
      <x:c r="R186" s="165" t="str">
        <x:v>二次発酵・炭酸ガス</x:v>
      </x:c>
      <x:c r="S186" s="165" t="str">
        <x:v>発泡性ワイン</x:v>
      </x:c>
      <x:c r="T186" s="165"/>
      <x:c r="U186" s="165"/>
      <x:c r="V186" s="165"/>
      <x:c r="W186" s="165" t="str">
        <x:v>因果説明</x:v>
      </x:c>
      <x:c r="X186" s="171" t="str">
        <x:v>D1</x:v>
      </x:c>
      <x:c r="Y186" s="165" t="str">
        <x:v>振動で炭酸生成; 澱が酸素化; ドザージュが主圧力源</x:v>
      </x:c>
      <x:c r="Z186" s="171" t="str">
        <x:v>N</x:v>
      </x:c>
      <x:c r="AA186" s="165"/>
      <x:c r="AB186" s="165" t="str">
        <x:v>オリジナル</x:v>
      </x:c>
      <x:c r="AC186" s="165" t="str">
        <x:v>公式Specificationの範囲＋ユーザー作成コーパスの論点と問題設計例を参考に独自作成</x:v>
      </x:c>
      <x:c r="AD186" s="171" t="str">
        <x:v>未レビュー</x:v>
      </x:c>
      <x:c r="AE186" s="171"/>
      <x:c r="AF186" s="171"/>
      <x:c r="AG186" s="166"/>
    </x:row>
    <x:row r="187" ht="84" customHeight="1">
      <x:c r="A187" s="164" t="str">
        <x:v>LO3-026</x:v>
      </x:c>
      <x:c r="B187" s="171" t="str">
        <x:v>LO3</x:v>
      </x:c>
      <x:c r="C187" s="165" t="str">
        <x:v>世界の主要な発泡性ワイン</x:v>
      </x:c>
      <x:c r="D187" s="165" t="str">
        <x:v>瓶内圧力</x:v>
      </x:c>
      <x:c r="E187" s="165" t="str">
        <x:v>伝統的方式で最終的な瓶内圧力を主に決める要因はどれか。</x:v>
      </x:c>
      <x:c r="F187" s="165" t="str">
        <x:v>ベースワインの色の濃さ</x:v>
      </x:c>
      <x:c r="G187" s="165" t="str">
        <x:v>リクール・ドゥ・ティラージュに含まれる発酵可能な糖の量</x:v>
      </x:c>
      <x:c r="H187" s="165" t="str">
        <x:v>ルミュアージュの回転回数だけ</x:v>
      </x:c>
      <x:c r="I187" s="165" t="str">
        <x:v>ラベルに使われる紙の厚さ</x:v>
      </x:c>
      <x:c r="J187" s="171" t="str">
        <x:v>B</x:v>
      </x:c>
      <x:c r="K187" s="165" t="str">
        <x:v>リクール・ドゥ・ティラージュに含まれる発酵可能な糖の量</x:v>
      </x:c>
      <x:c r="L187" s="165" t="str">
        <x:v>酵母が糖を発酵して二酸化炭素を生むため、密閉された容器内で発酵させる糖量が圧力を大きく左右する。</x:v>
      </x:c>
      <x:c r="M187" s="165" t="str">
        <x:v>誤り。 色素量は二酸化炭素生成量を決めない。</x:v>
      </x:c>
      <x:c r="N187" s="165" t="str">
        <x:v>正しい。 酵母が糖を発酵して二酸化炭素を生むため、密閉された容器内で発酵させる糖量が圧力を大きく左右する。</x:v>
      </x:c>
      <x:c r="O187" s="165" t="str">
        <x:v>誤り。 動瓶は澱を集める工程で、発生する二酸化炭素量の主因ではない。</x:v>
      </x:c>
      <x:c r="P187" s="165" t="str">
        <x:v>誤り。 ラベルの材質は瓶内圧力に影響しない。</x:v>
      </x:c>
      <x:c r="Q187" s="165" t="str">
        <x:v>発泡性ワイン製法</x:v>
      </x:c>
      <x:c r="R187" s="165" t="str">
        <x:v>ティラージュ・圧力</x:v>
      </x:c>
      <x:c r="S187" s="165" t="str">
        <x:v>発泡性ワイン</x:v>
      </x:c>
      <x:c r="T187" s="165"/>
      <x:c r="U187" s="165"/>
      <x:c r="V187" s="165"/>
      <x:c r="W187" s="165" t="str">
        <x:v>知識確認</x:v>
      </x:c>
      <x:c r="X187" s="171" t="str">
        <x:v>D1</x:v>
      </x:c>
      <x:c r="Y187" s="165" t="str">
        <x:v>圧力は色・動瓶・ラベルで決まる</x:v>
      </x:c>
      <x:c r="Z187" s="171" t="str">
        <x:v>N</x:v>
      </x:c>
      <x:c r="AA187" s="165"/>
      <x:c r="AB187" s="165" t="str">
        <x:v>オリジナル</x:v>
      </x:c>
      <x:c r="AC187" s="165" t="str">
        <x:v>公式Specificationの範囲＋ユーザー作成コーパスの論点と問題設計例を参考に独自作成</x:v>
      </x:c>
      <x:c r="AD187" s="171" t="str">
        <x:v>未レビュー</x:v>
      </x:c>
      <x:c r="AE187" s="171"/>
      <x:c r="AF187" s="171"/>
      <x:c r="AG187" s="166"/>
    </x:row>
    <x:row r="188" ht="84" customHeight="1">
      <x:c r="A188" s="164" t="str">
        <x:v>LO3-027</x:v>
      </x:c>
      <x:c r="B188" s="171" t="str">
        <x:v>LO3</x:v>
      </x:c>
      <x:c r="C188" s="165" t="str">
        <x:v>世界の主要な発泡性ワイン</x:v>
      </x:c>
      <x:c r="D188" s="165" t="str">
        <x:v>酵母の自己分解</x:v>
      </x:c>
      <x:c r="E188" s="165" t="str">
        <x:v>発泡性ワインの澱熟成中に酵母の自己分解が進むと、どのような香りが発達しやすいか。</x:v>
      </x:c>
      <x:c r="F188" s="165" t="str">
        <x:v>強い青ピーマンと未熟な草だけの香り</x:v>
      </x:c>
      <x:c r="G188" s="165" t="str">
        <x:v>海水を加えたような塩味だけ</x:v>
      </x:c>
      <x:c r="H188" s="165" t="str">
        <x:v>パン生地、ビスケット、トーストを思わせる香り</x:v>
      </x:c>
      <x:c r="I188" s="165" t="str">
        <x:v>コルク汚染による湿った段ボールの香り</x:v>
      </x:c>
      <x:c r="J188" s="171" t="str">
        <x:v>C</x:v>
      </x:c>
      <x:c r="K188" s="165" t="str">
        <x:v>パン生地、ビスケット、トーストを思わせる香り</x:v>
      </x:c>
      <x:c r="L188" s="165" t="str">
        <x:v>死滅した酵母細胞が分解されることで、パン、ブリオッシュ、ビスケット、トーストなどの自己分解由来の香りが発達する。</x:v>
      </x:c>
      <x:c r="M188" s="165" t="str">
        <x:v>誤り。 これは品種や未熟さに関連し、酵母自己分解の典型ではない。</x:v>
      </x:c>
      <x:c r="N188" s="165" t="str">
        <x:v>誤り。 自己分解が塩分を加えるわけではない。</x:v>
      </x:c>
      <x:c r="O188" s="165" t="str">
        <x:v>正しい。 死滅した酵母細胞が分解されることで、パン、ブリオッシュ、ビスケット、トーストなどの自己分解由来の香りが発達する。</x:v>
      </x:c>
      <x:c r="P188" s="165" t="str">
        <x:v>誤り。 湿った段ボールはコルク汚染の兆候で、望ましい自己分解香ではない。</x:v>
      </x:c>
      <x:c r="Q188" s="165" t="str">
        <x:v>発泡性ワイン製法</x:v>
      </x:c>
      <x:c r="R188" s="165" t="str">
        <x:v>澱熟成・自己分解香</x:v>
      </x:c>
      <x:c r="S188" s="165" t="str">
        <x:v>発泡性ワイン</x:v>
      </x:c>
      <x:c r="T188" s="165"/>
      <x:c r="U188" s="165"/>
      <x:c r="V188" s="165"/>
      <x:c r="W188" s="165" t="str">
        <x:v>知識確認</x:v>
      </x:c>
      <x:c r="X188" s="171" t="str">
        <x:v>D1</x:v>
      </x:c>
      <x:c r="Y188" s="165" t="str">
        <x:v>自己分解は青臭さ・塩分・コルク汚染</x:v>
      </x:c>
      <x:c r="Z188" s="171" t="str">
        <x:v>N</x:v>
      </x:c>
      <x:c r="AA188" s="165"/>
      <x:c r="AB188" s="165" t="str">
        <x:v>オリジナル</x:v>
      </x:c>
      <x:c r="AC188" s="165" t="str">
        <x:v>公式Specificationの範囲＋ユーザー作成コーパスの論点と問題設計例を参考に独自作成</x:v>
      </x:c>
      <x:c r="AD188" s="171" t="str">
        <x:v>未レビュー</x:v>
      </x:c>
      <x:c r="AE188" s="171"/>
      <x:c r="AF188" s="171"/>
      <x:c r="AG188" s="166"/>
    </x:row>
    <x:row r="189" ht="84" customHeight="1">
      <x:c r="A189" s="164" t="str">
        <x:v>LO3-028</x:v>
      </x:c>
      <x:c r="B189" s="171" t="str">
        <x:v>LO3</x:v>
      </x:c>
      <x:c r="C189" s="165" t="str">
        <x:v>世界の主要な発泡性ワイン</x:v>
      </x:c>
      <x:c r="D189" s="165" t="str">
        <x:v>澱熟成と泡の質</x:v>
      </x:c>
      <x:c r="E189" s="165" t="str">
        <x:v>長い澱熟成が上質発泡性ワインの口当たりに与えやすい影響はどれか。</x:v>
      </x:c>
      <x:c r="F189" s="165" t="str">
        <x:v>炭酸ガスがすべて消え、完全な非発泡性になる</x:v>
      </x:c>
      <x:c r="G189" s="165" t="str">
        <x:v>タンニンが必ず極端に増え、口が乾く</x:v>
      </x:c>
      <x:c r="H189" s="165" t="str">
        <x:v>甘味が自動的に増え、必ずデミ・セックになる</x:v>
      </x:c>
      <x:c r="I189" s="165" t="str">
        <x:v>泡がよりきめ細かくクリーミーに感じられ、質感が豊かになる</x:v>
      </x:c>
      <x:c r="J189" s="171" t="str">
        <x:v>D</x:v>
      </x:c>
      <x:c r="K189" s="165" t="str">
        <x:v>泡がよりきめ細かくクリーミーに感じられ、質感が豊かになる</x:v>
      </x:c>
      <x:c r="L189" s="165" t="str">
        <x:v>酵母由来の成分がワインへ溶け込み、泡の安定性と口当たりを改善し、複雑な質感を与えることがある。</x:v>
      </x:c>
      <x:c r="M189" s="165" t="str">
        <x:v>誤り。 密閉中の二酸化炭素は保持され、長い澱熟成だけで完全に消えるわけではない。</x:v>
      </x:c>
      <x:c r="N189" s="165" t="str">
        <x:v>誤り。 澱熟成の主な効果は自己分解香と質感で、タンニンの極端な増加ではない。</x:v>
      </x:c>
      <x:c r="O189" s="165" t="str">
        <x:v>誤り。 最終甘味は主にドザージュで調整し、澱熟成だけで甘くならない。</x:v>
      </x:c>
      <x:c r="P189" s="165" t="str">
        <x:v>正しい。 酵母由来の成分がワインへ溶け込み、泡の安定性と口当たりを改善し、複雑な質感を与えることがある。</x:v>
      </x:c>
      <x:c r="Q189" s="165" t="str">
        <x:v>発泡性ワイン製法</x:v>
      </x:c>
      <x:c r="R189" s="165" t="str">
        <x:v>澱熟成・質感</x:v>
      </x:c>
      <x:c r="S189" s="165" t="str">
        <x:v>発泡性ワイン</x:v>
      </x:c>
      <x:c r="T189" s="165"/>
      <x:c r="U189" s="165"/>
      <x:c r="V189" s="165"/>
      <x:c r="W189" s="165" t="str">
        <x:v>因果説明</x:v>
      </x:c>
      <x:c r="X189" s="171" t="str">
        <x:v>D2</x:v>
      </x:c>
      <x:c r="Y189" s="165" t="str">
        <x:v>澱熟成で炭酸消失・タンニン増加・甘口化</x:v>
      </x:c>
      <x:c r="Z189" s="171" t="str">
        <x:v>N</x:v>
      </x:c>
      <x:c r="AA189" s="165"/>
      <x:c r="AB189" s="165" t="str">
        <x:v>オリジナル</x:v>
      </x:c>
      <x:c r="AC189" s="165" t="str">
        <x:v>公式Specificationの範囲＋ユーザー作成コーパスの論点と問題設計例を参考に独自作成</x:v>
      </x:c>
      <x:c r="AD189" s="171" t="str">
        <x:v>未レビュー</x:v>
      </x:c>
      <x:c r="AE189" s="171"/>
      <x:c r="AF189" s="171"/>
      <x:c r="AG189" s="166"/>
    </x:row>
    <x:row r="190" ht="84" customHeight="1">
      <x:c r="A190" s="164" t="str">
        <x:v>LO3-029</x:v>
      </x:c>
      <x:c r="B190" s="171" t="str">
        <x:v>LO3</x:v>
      </x:c>
      <x:c r="C190" s="165" t="str">
        <x:v>世界の主要な発泡性ワイン</x:v>
      </x:c>
      <x:c r="D190" s="165" t="str">
        <x:v>ジャイロパレット</x:v>
      </x:c>
      <x:c r="E190" s="165" t="str">
        <x:v>ジャイロパレットを用いる主な利点はどれか。</x:v>
      </x:c>
      <x:c r="F190" s="165" t="str">
        <x:v>多数の瓶を機械で同時に動瓶し、時間と人件費を減らせる</x:v>
      </x:c>
      <x:c r="G190" s="165" t="str">
        <x:v>瓶内二次発酵を行わず、炭酸ガスを直接注入する</x:v>
      </x:c>
      <x:c r="H190" s="165" t="str">
        <x:v>ブドウを機械収穫し、圧搾する</x:v>
      </x:c>
      <x:c r="I190" s="165" t="str">
        <x:v>ドザージュの糖度を測定し、甘味を自動的に決める</x:v>
      </x:c>
      <x:c r="J190" s="171" t="str">
        <x:v>A</x:v>
      </x:c>
      <x:c r="K190" s="165" t="str">
        <x:v>多数の瓶を機械で同時に動瓶し、時間と人件費を減らせる</x:v>
      </x:c>
      <x:c r="L190" s="165" t="str">
        <x:v>ジャイロパレットはケージ内の瓶を自動で回転・傾斜させ、澱を瓶口へ集めるため、手動ルミュアージュより効率的である。</x:v>
      </x:c>
      <x:c r="M190" s="165" t="str">
        <x:v>正しい。 ジャイロパレットはケージ内の瓶を自動で回転・傾斜させ、澱を瓶口へ集めるため、手動ルミュアージュより効率的である。</x:v>
      </x:c>
      <x:c r="N190" s="165" t="str">
        <x:v>誤り。 ジャイロパレットは動瓶装置で、炭酸ガス注入方式へ変えるものではない。</x:v>
      </x:c>
      <x:c r="O190" s="165" t="str">
        <x:v>誤り。 使用するのは醸造後の瓶で、畑の収穫機ではない。</x:v>
      </x:c>
      <x:c r="P190" s="165" t="str">
        <x:v>誤り。 動瓶は澱の移動が目的で、ドザージュ量を決める装置ではない。</x:v>
      </x:c>
      <x:c r="Q190" s="165" t="str">
        <x:v>発泡性ワイン製法</x:v>
      </x:c>
      <x:c r="R190" s="165" t="str">
        <x:v>ルミュアージュ・機械化</x:v>
      </x:c>
      <x:c r="S190" s="165" t="str">
        <x:v>発泡性ワイン</x:v>
      </x:c>
      <x:c r="T190" s="165"/>
      <x:c r="U190" s="165"/>
      <x:c r="V190" s="165"/>
      <x:c r="W190" s="165" t="str">
        <x:v>因果説明</x:v>
      </x:c>
      <x:c r="X190" s="171" t="str">
        <x:v>D1</x:v>
      </x:c>
      <x:c r="Y190" s="165" t="str">
        <x:v>ジャイロパレットは炭酸注入・収穫・甘味決定</x:v>
      </x:c>
      <x:c r="Z190" s="171" t="str">
        <x:v>N</x:v>
      </x:c>
      <x:c r="AA190" s="165"/>
      <x:c r="AB190" s="165" t="str">
        <x:v>オリジナル</x:v>
      </x:c>
      <x:c r="AC190" s="165" t="str">
        <x:v>公式Specificationの範囲＋ユーザー作成コーパスの論点と問題設計例を参考に独自作成</x:v>
      </x:c>
      <x:c r="AD190" s="171" t="str">
        <x:v>未レビュー</x:v>
      </x:c>
      <x:c r="AE190" s="171"/>
      <x:c r="AF190" s="171"/>
      <x:c r="AG190" s="166"/>
    </x:row>
    <x:row r="191" ht="84" customHeight="1">
      <x:c r="A191" s="164" t="str">
        <x:v>LO3-030</x:v>
      </x:c>
      <x:c r="B191" s="171" t="str">
        <x:v>LO3</x:v>
      </x:c>
      <x:c r="C191" s="165" t="str">
        <x:v>世界の主要な発泡性ワイン</x:v>
      </x:c>
      <x:c r="D191" s="165" t="str">
        <x:v>デゴルジュマン</x:v>
      </x:c>
      <x:c r="E191" s="165" t="str">
        <x:v>デゴルジュマン（澱抜き）直後にリクール・デクスペディシオンを加える理由はどれか。</x:v>
      </x:c>
      <x:c r="F191" s="165" t="str">
        <x:v>二次発酵を瓶内で最初から開始する</x:v>
      </x:c>
      <x:c r="G191" s="165" t="str">
        <x:v>失われたワインを補い、必要に応じて最終的な甘味とスタイルを調整する</x:v>
      </x:c>
      <x:c r="H191" s="165" t="str">
        <x:v>果皮から色素とタンニンを抽出する</x:v>
      </x:c>
      <x:c r="I191" s="165" t="str">
        <x:v>フロールを成長させ、生物学的熟成を始める</x:v>
      </x:c>
      <x:c r="J191" s="171" t="str">
        <x:v>B</x:v>
      </x:c>
      <x:c r="K191" s="165" t="str">
        <x:v>失われたワインを補い、必要に応じて最終的な甘味とスタイルを調整する</x:v>
      </x:c>
      <x:c r="L191" s="165" t="str">
        <x:v>澱抜きで少量のワインが失われるため補充し、ワインと糖の混合液で最終甘味の区分とバランスを整える。</x:v>
      </x:c>
      <x:c r="M191" s="165" t="str">
        <x:v>誤り。 二次発酵はティラージュ添加後、澱抜きより前に行われる。</x:v>
      </x:c>
      <x:c r="N191" s="165" t="str">
        <x:v>正しい。 澱抜きで少量のワインが失われるため補充し、ワインと糖の混合液で最終甘味の区分とバランスを整える。</x:v>
      </x:c>
      <x:c r="O191" s="165" t="str">
        <x:v>誤り。 瓶詰め後の工程であり、果皮抽出とは関係しない。</x:v>
      </x:c>
      <x:c r="P191" s="165" t="str">
        <x:v>誤り。 フロール熟成はシェリーの工程で、発泡性ワインの澱抜き後には行わない。</x:v>
      </x:c>
      <x:c r="Q191" s="165" t="str">
        <x:v>発泡性ワイン製法</x:v>
      </x:c>
      <x:c r="R191" s="165" t="str">
        <x:v>澱抜き・ドザージュ</x:v>
      </x:c>
      <x:c r="S191" s="165" t="str">
        <x:v>発泡性ワイン</x:v>
      </x:c>
      <x:c r="T191" s="165"/>
      <x:c r="U191" s="165"/>
      <x:c r="V191" s="165"/>
      <x:c r="W191" s="165" t="str">
        <x:v>因果説明</x:v>
      </x:c>
      <x:c r="X191" s="171" t="str">
        <x:v>D2</x:v>
      </x:c>
      <x:c r="Y191" s="165" t="str">
        <x:v>ドザージュで二次発酵開始; 果皮抽出; フロール</x:v>
      </x:c>
      <x:c r="Z191" s="171" t="str">
        <x:v>N</x:v>
      </x:c>
      <x:c r="AA191" s="165"/>
      <x:c r="AB191" s="165" t="str">
        <x:v>オリジナル</x:v>
      </x:c>
      <x:c r="AC191" s="165" t="str">
        <x:v>公式Specificationの範囲＋ユーザー作成コーパスの論点と問題設計例を参考に独自作成</x:v>
      </x:c>
      <x:c r="AD191" s="171" t="str">
        <x:v>未レビュー</x:v>
      </x:c>
      <x:c r="AE191" s="171"/>
      <x:c r="AF191" s="171"/>
      <x:c r="AG191" s="166"/>
    </x:row>
    <x:row r="192" ht="84" customHeight="1">
      <x:c r="A192" s="164" t="str">
        <x:v>LO3-031</x:v>
      </x:c>
      <x:c r="B192" s="171" t="str">
        <x:v>LO3</x:v>
      </x:c>
      <x:c r="C192" s="165" t="str">
        <x:v>世界の主要な発泡性ワイン</x:v>
      </x:c>
      <x:c r="D192" s="165" t="str">
        <x:v>甘味表示</x:v>
      </x:c>
      <x:c r="E192" s="165" t="str">
        <x:v>EUの発泡性ワインの甘味表示で、一般に最も辛口の区分はどれか。</x:v>
      </x:c>
      <x:c r="F192" s="165" t="str">
        <x:v>デミ・セック</x:v>
      </x:c>
      <x:c r="G192" s="165" t="str">
        <x:v>ドゥー</x:v>
      </x:c>
      <x:c r="H192" s="165" t="str">
        <x:v>ブリュット・ナチュール</x:v>
      </x:c>
      <x:c r="I192" s="165" t="str">
        <x:v>クリーム</x:v>
      </x:c>
      <x:c r="J192" s="171" t="str">
        <x:v>C</x:v>
      </x:c>
      <x:c r="K192" s="165" t="str">
        <x:v>ブリュット・ナチュール</x:v>
      </x:c>
      <x:c r="L192" s="165" t="str">
        <x:v>ブリュット・ナチュールはドザージュが非常に少ない、または行われない最辛口区分で、ブリュットやデミ・セックより残糖が低い。</x:v>
      </x:c>
      <x:c r="M192" s="165" t="str">
        <x:v>誤り。 デミ・セックはブリュットより甘い区分である。</x:v>
      </x:c>
      <x:c r="N192" s="165" t="str">
        <x:v>誤り。 ドゥーは甘口の発泡性ワイン区分で、最辛口ではない。</x:v>
      </x:c>
      <x:c r="O192" s="165" t="str">
        <x:v>正しい。 ブリュット・ナチュールはドザージュが非常に少ない、または行われない最辛口区分で、ブリュットやデミ・セックより残糖が低い。</x:v>
      </x:c>
      <x:c r="P192" s="165" t="str">
        <x:v>誤り。 クリームは主に甘口シェリーの表示で、発泡性ワインの辛口区分ではない。</x:v>
      </x:c>
      <x:c r="Q192" s="165" t="str">
        <x:v>法律面・発泡性ワイン</x:v>
      </x:c>
      <x:c r="R192" s="165" t="str">
        <x:v>甘味表示</x:v>
      </x:c>
      <x:c r="S192" s="165" t="str">
        <x:v>発泡性ワイン</x:v>
      </x:c>
      <x:c r="T192" s="165"/>
      <x:c r="U192" s="165"/>
      <x:c r="V192" s="165"/>
      <x:c r="W192" s="165" t="str">
        <x:v>知識確認</x:v>
      </x:c>
      <x:c r="X192" s="171" t="str">
        <x:v>D1</x:v>
      </x:c>
      <x:c r="Y192" s="165" t="str">
        <x:v>デミセック・ドゥーを辛口; シェリー表示と混同</x:v>
      </x:c>
      <x:c r="Z192" s="171" t="str">
        <x:v>Y</x:v>
      </x:c>
      <x:c r="AA192" s="165" t="str">
        <x:v>甘味区分の残糖範囲は最新EU規定および日本語教材との最終照合を推奨</x:v>
      </x:c>
      <x:c r="AB192" s="165" t="str">
        <x:v>オリジナル</x:v>
      </x:c>
      <x:c r="AC192" s="165" t="str">
        <x:v>公式Specificationの範囲＋ユーザー作成コーパスの論点と問題設計例を参考に独自作成</x:v>
      </x:c>
      <x:c r="AD192" s="171" t="str">
        <x:v>未レビュー</x:v>
      </x:c>
      <x:c r="AE192" s="171"/>
      <x:c r="AF192" s="171"/>
      <x:c r="AG192" s="166"/>
    </x:row>
    <x:row r="193" ht="84" customHeight="1">
      <x:c r="A193" s="164" t="str">
        <x:v>LO3-032</x:v>
      </x:c>
      <x:c r="B193" s="171" t="str">
        <x:v>LO3</x:v>
      </x:c>
      <x:c r="C193" s="165" t="str">
        <x:v>世界の主要な発泡性ワイン</x:v>
      </x:c>
      <x:c r="D193" s="165" t="str">
        <x:v>アンセストラル方式</x:v>
      </x:c>
      <x:c r="E193" s="165" t="str">
        <x:v>アンセストラル方式を伝統的方式と区別する特徴はどれか。</x:v>
      </x:c>
      <x:c r="F193" s="165" t="str">
        <x:v>完成した非発泡性ワインへ二酸化炭素を注入する</x:v>
      </x:c>
      <x:c r="G193" s="165" t="str">
        <x:v>発酵済みベースワインへティラージュを加え、必ず二回目の発酵を行う</x:v>
      </x:c>
      <x:c r="H193" s="165" t="str">
        <x:v>フロールの下で酸化を防ぎ、酒精強化する</x:v>
      </x:c>
      <x:c r="I193" s="165" t="str">
        <x:v>最初のアルコール発酵を途中で瓶内へ移し、その発酵を瓶内で完了させる</x:v>
      </x:c>
      <x:c r="J193" s="171" t="str">
        <x:v>D</x:v>
      </x:c>
      <x:c r="K193" s="165" t="str">
        <x:v>最初のアルコール発酵を途中で瓶内へ移し、その発酵を瓶内で完了させる</x:v>
      </x:c>
      <x:c r="L193" s="165" t="str">
        <x:v>アンセストラル方式では一回の発酵の途中で瓶詰めし、残った糖の発酵で二酸化炭素を得る。澱抜きを行うかどうかは生産者により異なる。</x:v>
      </x:c>
      <x:c r="M193" s="165" t="str">
        <x:v>誤り。 これは炭酸ガス注入方式であり、アンセストラル方式では発酵由来の二酸化炭素を利用する。</x:v>
      </x:c>
      <x:c r="N193" s="165" t="str">
        <x:v>誤り。 これは伝統的方式またはタンク方式の二次発酵に近い。</x:v>
      </x:c>
      <x:c r="O193" s="165" t="str">
        <x:v>誤り。 これはシェリーの生物学的熟成である。</x:v>
      </x:c>
      <x:c r="P193" s="165" t="str">
        <x:v>正しい。 アンセストラル方式では一回の発酵の途中で瓶詰めし、残った糖の発酵で二酸化炭素を得る。澱抜きを行うかどうかは生産者により異なる。</x:v>
      </x:c>
      <x:c r="Q193" s="165" t="str">
        <x:v>発泡性ワイン製法</x:v>
      </x:c>
      <x:c r="R193" s="165" t="str">
        <x:v>アンセストラル方式</x:v>
      </x:c>
      <x:c r="S193" s="165" t="str">
        <x:v>発泡性ワイン</x:v>
      </x:c>
      <x:c r="T193" s="165"/>
      <x:c r="U193" s="165"/>
      <x:c r="V193" s="165"/>
      <x:c r="W193" s="165" t="str">
        <x:v>比較</x:v>
      </x:c>
      <x:c r="X193" s="171" t="str">
        <x:v>D2</x:v>
      </x:c>
      <x:c r="Y193" s="165" t="str">
        <x:v>アンセストラルは炭酸注入・二次発酵・フロール</x:v>
      </x:c>
      <x:c r="Z193" s="171" t="str">
        <x:v>N</x:v>
      </x:c>
      <x:c r="AA193" s="165"/>
      <x:c r="AB193" s="165" t="str">
        <x:v>オリジナル</x:v>
      </x:c>
      <x:c r="AC193" s="165" t="str">
        <x:v>公式Specificationの範囲＋ユーザー作成コーパスの論点と問題設計例を参考に独自作成</x:v>
      </x:c>
      <x:c r="AD193" s="171" t="str">
        <x:v>未レビュー</x:v>
      </x:c>
      <x:c r="AE193" s="171"/>
      <x:c r="AF193" s="171"/>
      <x:c r="AG193" s="166"/>
    </x:row>
    <x:row r="194" ht="84" customHeight="1">
      <x:c r="A194" s="164" t="str">
        <x:v>LO3-033</x:v>
      </x:c>
      <x:c r="B194" s="171" t="str">
        <x:v>LO3</x:v>
      </x:c>
      <x:c r="C194" s="165" t="str">
        <x:v>世界の主要な発泡性ワイン</x:v>
      </x:c>
      <x:c r="D194" s="165" t="str">
        <x:v>トランスファー方式の均一性</x:v>
      </x:c>
      <x:c r="E194" s="165" t="str">
        <x:v>トランスファー方式が、複雑な形状や小容量の瓶を用いる商品に適する理由はどれか。</x:v>
      </x:c>
      <x:c r="F194" s="165" t="str">
        <x:v>二次発酵後にワインをタンクへ集めて濾過し、別の瓶へ均一に再充填できる</x:v>
      </x:c>
      <x:c r="G194" s="165" t="str">
        <x:v>ブドウを畑で凍らせ、圧搾せず瓶へ入れる</x:v>
      </x:c>
      <x:c r="H194" s="165" t="str">
        <x:v>二次発酵を行わず、瓶を振って泡を作る</x:v>
      </x:c>
      <x:c r="I194" s="165" t="str">
        <x:v>ドザージュを禁止し、必ず甘口にする</x:v>
      </x:c>
      <x:c r="J194" s="171" t="str">
        <x:v>A</x:v>
      </x:c>
      <x:c r="K194" s="165" t="str">
        <x:v>二次発酵後にワインをタンクへ集めて濾過し、別の瓶へ均一に再充填できる</x:v>
      </x:c>
      <x:c r="L194" s="165" t="str">
        <x:v>各販売瓶で動瓶と澱抜きを行う必要がなく、タンクで澱を除去してから希望する形状の瓶へ圧力下で詰められる。</x:v>
      </x:c>
      <x:c r="M194" s="165" t="str">
        <x:v>正しい。 各販売瓶で動瓶と澱抜きを行う必要がなく、タンクで澱を除去してから希望する形状の瓶へ圧力下で詰められる。</x:v>
      </x:c>
      <x:c r="N194" s="165" t="str">
        <x:v>誤り。 トランスファー方式は醸造後の澱除去と再瓶詰めの方法で、凍結ブドウではない。</x:v>
      </x:c>
      <x:c r="O194" s="165" t="str">
        <x:v>誤り。 瓶内で二次発酵を行った後にタンクへ移す方式である。</x:v>
      </x:c>
      <x:c r="P194" s="165" t="str">
        <x:v>誤り。 ドザージュは可能で、甘味を必ず固定する方式ではない。</x:v>
      </x:c>
      <x:c r="Q194" s="165" t="str">
        <x:v>発泡性ワイン製法</x:v>
      </x:c>
      <x:c r="R194" s="165" t="str">
        <x:v>トランスファー方式・再瓶詰め</x:v>
      </x:c>
      <x:c r="S194" s="165" t="str">
        <x:v>発泡性ワイン</x:v>
      </x:c>
      <x:c r="T194" s="165"/>
      <x:c r="U194" s="165"/>
      <x:c r="V194" s="165"/>
      <x:c r="W194" s="165" t="str">
        <x:v>因果説明</x:v>
      </x:c>
      <x:c r="X194" s="171" t="str">
        <x:v>D2</x:v>
      </x:c>
      <x:c r="Y194" s="165" t="str">
        <x:v>トランスファーは凍結・振動で発泡; ドザージュ禁止</x:v>
      </x:c>
      <x:c r="Z194" s="171" t="str">
        <x:v>N</x:v>
      </x:c>
      <x:c r="AA194" s="165"/>
      <x:c r="AB194" s="165" t="str">
        <x:v>オリジナル</x:v>
      </x:c>
      <x:c r="AC194" s="165" t="str">
        <x:v>公式Specificationの範囲＋ユーザー作成コーパスの論点と問題設計例を参考に独自作成</x:v>
      </x:c>
      <x:c r="AD194" s="171" t="str">
        <x:v>未レビュー</x:v>
      </x:c>
      <x:c r="AE194" s="171"/>
      <x:c r="AF194" s="171"/>
      <x:c r="AG194" s="166"/>
    </x:row>
    <x:row r="195" ht="84" customHeight="1">
      <x:c r="A195" s="164" t="str">
        <x:v>LO3-034</x:v>
      </x:c>
      <x:c r="B195" s="171" t="str">
        <x:v>LO3</x:v>
      </x:c>
      <x:c r="C195" s="165" t="str">
        <x:v>世界の主要な発泡性ワイン</x:v>
      </x:c>
      <x:c r="D195" s="165" t="str">
        <x:v>伝統的方式の販売瓶</x:v>
      </x:c>
      <x:c r="E195" s="165" t="str">
        <x:v>伝統的方式で「二次発酵を販売する瓶の中で行う」ことの意義はどれか。</x:v>
      </x:c>
      <x:c r="F195" s="165" t="str">
        <x:v>瓶内発酵後に必ず全量を開放タンクへ移す</x:v>
      </x:c>
      <x:c r="G195" s="165" t="str">
        <x:v>澱との接触から澱抜きまでを同じ瓶で行い、再瓶詰めを避けられる</x:v>
      </x:c>
      <x:c r="H195" s="165" t="str">
        <x:v>瓶の外側で発酵し、炭酸ガスだけを注入する</x:v>
      </x:c>
      <x:c r="I195" s="165" t="str">
        <x:v>販売瓶へブドウ果皮を残し、色を抽出し続ける</x:v>
      </x:c>
      <x:c r="J195" s="171" t="str">
        <x:v>B</x:v>
      </x:c>
      <x:c r="K195" s="165" t="str">
        <x:v>澱との接触から澱抜きまでを同じ瓶で行い、再瓶詰めを避けられる</x:v>
      </x:c>
      <x:c r="L195" s="165" t="str">
        <x:v>販売瓶内で二次発酵と澱熟成を行い、動瓶・澱抜き・ドザージュ後に栓をするため、ワインをタンクへ移す必要がない。</x:v>
      </x:c>
      <x:c r="M195" s="165" t="str">
        <x:v>誤り。 全量をタンクへ移すのはトランスファー方式の特徴である。</x:v>
      </x:c>
      <x:c r="N195" s="165" t="str">
        <x:v>正しい。 販売瓶内で二次発酵と澱熟成を行い、動瓶・澱抜き・ドザージュ後に栓をするため、ワインをタンクへ移す必要がない。</x:v>
      </x:c>
      <x:c r="O195" s="165" t="str">
        <x:v>誤り。 二次発酵は密閉した瓶の内部で行う。</x:v>
      </x:c>
      <x:c r="P195" s="165" t="str">
        <x:v>誤り。 発泡性ワインの販売瓶に果皮を残して抽出する方法ではない。</x:v>
      </x:c>
      <x:c r="Q195" s="165" t="str">
        <x:v>発泡性ワイン製法</x:v>
      </x:c>
      <x:c r="R195" s="165" t="str">
        <x:v>伝統的方式・販売瓶</x:v>
      </x:c>
      <x:c r="S195" s="165" t="str">
        <x:v>発泡性ワイン</x:v>
      </x:c>
      <x:c r="T195" s="165"/>
      <x:c r="U195" s="165"/>
      <x:c r="V195" s="165"/>
      <x:c r="W195" s="165" t="str">
        <x:v>比較</x:v>
      </x:c>
      <x:c r="X195" s="171" t="str">
        <x:v>D2</x:v>
      </x:c>
      <x:c r="Y195" s="165" t="str">
        <x:v>伝統方式とトランスファー混同; 瓶外発酵; 果皮残置</x:v>
      </x:c>
      <x:c r="Z195" s="171" t="str">
        <x:v>N</x:v>
      </x:c>
      <x:c r="AA195" s="165"/>
      <x:c r="AB195" s="165" t="str">
        <x:v>オリジナル</x:v>
      </x:c>
      <x:c r="AC195" s="165" t="str">
        <x:v>公式Specificationの範囲＋ユーザー作成コーパスの論点と問題設計例を参考に独自作成</x:v>
      </x:c>
      <x:c r="AD195" s="171" t="str">
        <x:v>未レビュー</x:v>
      </x:c>
      <x:c r="AE195" s="171"/>
      <x:c r="AF195" s="171"/>
      <x:c r="AG195" s="166"/>
    </x:row>
    <x:row r="196" ht="84" customHeight="1">
      <x:c r="A196" s="164" t="str">
        <x:v>LO3-035</x:v>
      </x:c>
      <x:c r="B196" s="171" t="str">
        <x:v>LO3</x:v>
      </x:c>
      <x:c r="C196" s="165" t="str">
        <x:v>世界の主要な発泡性ワイン</x:v>
      </x:c>
      <x:c r="D196" s="165" t="str">
        <x:v>タンク方式と果実香</x:v>
      </x:c>
      <x:c r="E196" s="165" t="str">
        <x:v>タンク方式の発泡性ワインが一次的な果実香を保ちやすい理由はどれか。</x:v>
      </x:c>
      <x:c r="F196" s="165" t="str">
        <x:v>果皮を数年間浸漬し、タンニンを最大化する</x:v>
      </x:c>
      <x:c r="G196" s="165" t="str">
        <x:v>酸化的な小樽熟成を必ず長期間行う</x:v>
      </x:c>
      <x:c r="H196" s="165" t="str">
        <x:v>一般に澱との接触が短く、密閉タンクで比較的迅速に造られる</x:v>
      </x:c>
      <x:c r="I196" s="165" t="str">
        <x:v>フロールを育て、アセトアルデヒド香を作る</x:v>
      </x:c>
      <x:c r="J196" s="171" t="str">
        <x:v>C</x:v>
      </x:c>
      <x:c r="K196" s="165" t="str">
        <x:v>一般に澱との接触が短く、密閉タンクで比較的迅速に造られる</x:v>
      </x:c>
      <x:c r="L196" s="165" t="str">
        <x:v>長い瓶内澱熟成による自己分解香を抑え、品種由来の花や果実の香りを前面に保ちやすい。</x:v>
      </x:c>
      <x:c r="M196" s="165" t="str">
        <x:v>誤り。 タンク方式の目的は一般にフレッシュな果実香で、長期果皮浸漬ではない。</x:v>
      </x:c>
      <x:c r="N196" s="165" t="str">
        <x:v>誤り。 密閉タンクでの二次発酵と短い熟成が中心で、長期小樽熟成は典型ではない。</x:v>
      </x:c>
      <x:c r="O196" s="165" t="str">
        <x:v>正しい。 長い瓶内澱熟成による自己分解香を抑え、品種由来の花や果実の香りを前面に保ちやすい。</x:v>
      </x:c>
      <x:c r="P196" s="165" t="str">
        <x:v>誤り。 フロール熟成はシェリーに関連し、タンク方式発泡性ワインの一般的製法ではない。</x:v>
      </x:c>
      <x:c r="Q196" s="165" t="str">
        <x:v>発泡性ワイン製法</x:v>
      </x:c>
      <x:c r="R196" s="165" t="str">
        <x:v>タンク方式・香り保持</x:v>
      </x:c>
      <x:c r="S196" s="165" t="str">
        <x:v>発泡性ワイン</x:v>
      </x:c>
      <x:c r="T196" s="165"/>
      <x:c r="U196" s="165"/>
      <x:c r="V196" s="165"/>
      <x:c r="W196" s="165" t="str">
        <x:v>因果説明</x:v>
      </x:c>
      <x:c r="X196" s="171" t="str">
        <x:v>D2</x:v>
      </x:c>
      <x:c r="Y196" s="165" t="str">
        <x:v>タンク方式は長期果皮・樽・フロール</x:v>
      </x:c>
      <x:c r="Z196" s="171" t="str">
        <x:v>N</x:v>
      </x:c>
      <x:c r="AA196" s="165"/>
      <x:c r="AB196" s="165" t="str">
        <x:v>オリジナル</x:v>
      </x:c>
      <x:c r="AC196" s="165" t="str">
        <x:v>公式Specificationの範囲＋ユーザー作成コーパスの論点と問題設計例を参考に独自作成</x:v>
      </x:c>
      <x:c r="AD196" s="171" t="str">
        <x:v>未レビュー</x:v>
      </x:c>
      <x:c r="AE196" s="171"/>
      <x:c r="AF196" s="171"/>
      <x:c r="AG196" s="166"/>
    </x:row>
    <x:row r="197" ht="84" customHeight="1">
      <x:c r="A197" s="164" t="str">
        <x:v>LO3-036</x:v>
      </x:c>
      <x:c r="B197" s="171" t="str">
        <x:v>LO3</x:v>
      </x:c>
      <x:c r="C197" s="165" t="str">
        <x:v>世界の主要な発泡性ワイン</x:v>
      </x:c>
      <x:c r="D197" s="165" t="str">
        <x:v>炭酸ガス注入方式の泡</x:v>
      </x:c>
      <x:c r="E197" s="165" t="str">
        <x:v>炭酸ガス注入方式の発泡性ワインが、発酵由来の発泡性ワインより泡が粗く感じられることがある理由はどれか。</x:v>
      </x:c>
      <x:c r="F197" s="165" t="str">
        <x:v>二酸化炭素を全く含まないため</x:v>
      </x:c>
      <x:c r="G197" s="165" t="str">
        <x:v>必ず瓶内で10年以上澱熟成するため</x:v>
      </x:c>
      <x:c r="H197" s="165" t="str">
        <x:v>黒ブドウのタンニンが二酸化炭素へ変わるため</x:v>
      </x:c>
      <x:c r="I197" s="165" t="str">
        <x:v>二酸化炭素を短時間で外部から溶かし込み、長い発酵・澱熟成を行わないため</x:v>
      </x:c>
      <x:c r="J197" s="171" t="str">
        <x:v>D</x:v>
      </x:c>
      <x:c r="K197" s="165" t="str">
        <x:v>二酸化炭素を短時間で外部から溶かし込み、長い発酵・澱熟成を行わないため</x:v>
      </x:c>
      <x:c r="L197" s="165" t="str">
        <x:v>注入方式は低コストで迅速だが、発酵中にゆっくり溶け込む二酸化炭素や澱熟成による質感の発達が少ない。</x:v>
      </x:c>
      <x:c r="M197" s="165" t="str">
        <x:v>誤り。 注入方式でも二酸化炭素を含み、泡が生じる。</x:v>
      </x:c>
      <x:c r="N197" s="165" t="str">
        <x:v>誤り。 長い瓶内澱熟成を行わないことが一般的である。</x:v>
      </x:c>
      <x:c r="O197" s="165" t="str">
        <x:v>誤り。 タンニンが二酸化炭素へ変化することはない。</x:v>
      </x:c>
      <x:c r="P197" s="165" t="str">
        <x:v>正しい。 注入方式は低コストで迅速だが、発酵中にゆっくり溶け込む二酸化炭素や澱熟成による質感の発達が少ない。</x:v>
      </x:c>
      <x:c r="Q197" s="165" t="str">
        <x:v>発泡性ワイン製法</x:v>
      </x:c>
      <x:c r="R197" s="165" t="str">
        <x:v>炭酸ガス注入・質感</x:v>
      </x:c>
      <x:c r="S197" s="165" t="str">
        <x:v>発泡性ワイン</x:v>
      </x:c>
      <x:c r="T197" s="165"/>
      <x:c r="U197" s="165"/>
      <x:c r="V197" s="165"/>
      <x:c r="W197" s="165" t="str">
        <x:v>因果説明</x:v>
      </x:c>
      <x:c r="X197" s="171" t="str">
        <x:v>D2</x:v>
      </x:c>
      <x:c r="Y197" s="165" t="str">
        <x:v>注入ワインはCO2なし; 長期澱熟成; タンニンがCO2化</x:v>
      </x:c>
      <x:c r="Z197" s="171" t="str">
        <x:v>N</x:v>
      </x:c>
      <x:c r="AA197" s="165"/>
      <x:c r="AB197" s="165" t="str">
        <x:v>オリジナル</x:v>
      </x:c>
      <x:c r="AC197" s="165" t="str">
        <x:v>公式Specificationの範囲＋ユーザー作成コーパスの論点と問題設計例を参考に独自作成</x:v>
      </x:c>
      <x:c r="AD197" s="171" t="str">
        <x:v>未レビュー</x:v>
      </x:c>
      <x:c r="AE197" s="171"/>
      <x:c r="AF197" s="171"/>
      <x:c r="AG197" s="166"/>
    </x:row>
    <x:row r="198" ht="84" customHeight="1">
      <x:c r="A198" s="164" t="str">
        <x:v>LO3-037</x:v>
      </x:c>
      <x:c r="B198" s="171" t="str">
        <x:v>LO3</x:v>
      </x:c>
      <x:c r="C198" s="165" t="str">
        <x:v>世界の主要な発泡性ワイン</x:v>
      </x:c>
      <x:c r="D198" s="165" t="str">
        <x:v>ロゼ・シャンパーニュ</x:v>
      </x:c>
      <x:c r="E198" s="165" t="str">
        <x:v>ロゼ・シャンパーニュの色を得る方法として認められる代表的な方法はどれか。</x:v>
      </x:c>
      <x:c r="F198" s="165" t="str">
        <x:v>白ワインに少量の赤ワインをブレンドする、または黒ブドウを短時間醸す</x:v>
      </x:c>
      <x:c r="G198" s="165" t="str">
        <x:v>完成した白シャンパーニュへ人工着色料を加える</x:v>
      </x:c>
      <x:c r="H198" s="165" t="str">
        <x:v>白ブドウを海水へ浸し、サーモン色にする</x:v>
      </x:c>
      <x:c r="I198" s="165" t="str">
        <x:v>瓶内の澱を長く残すだけで、必ずピンク色になる</x:v>
      </x:c>
      <x:c r="J198" s="171" t="str">
        <x:v>A</x:v>
      </x:c>
      <x:c r="K198" s="165" t="str">
        <x:v>白ワインに少量の赤ワインをブレンドする、または黒ブドウを短時間醸す</x:v>
      </x:c>
      <x:c r="L198" s="165" t="str">
        <x:v>シャンパーニュでは赤の非発泡性ワインを白ベースへブレンドする方法と、セニエなど短い果皮接触で色を得る方法が用いられる。</x:v>
      </x:c>
      <x:c r="M198" s="165" t="str">
        <x:v>正しい。 シャンパーニュでは赤の非発泡性ワインを白ベースへブレンドする方法と、セニエなど短い果皮接触で色を得る方法が用いられる。</x:v>
      </x:c>
      <x:c r="N198" s="165" t="str">
        <x:v>誤り。 色はブドウ由来の赤ワインまたは果皮接触で得る。</x:v>
      </x:c>
      <x:c r="O198" s="165" t="str">
        <x:v>誤り。 海水で着色する方法ではない。</x:v>
      </x:c>
      <x:c r="P198" s="165" t="str">
        <x:v>誤り。 澱熟成は自己分解香と質感を与えるが、ピンク色の主因ではない。</x:v>
      </x:c>
      <x:c r="Q198" s="165" t="str">
        <x:v>発泡性ワイン製法・法律</x:v>
      </x:c>
      <x:c r="R198" s="165" t="str">
        <x:v>ロゼ・ブレンド／セニエ</x:v>
      </x:c>
      <x:c r="S198" s="165" t="str">
        <x:v>ロゼ発泡性ワイン</x:v>
      </x:c>
      <x:c r="T198" s="165" t="str">
        <x:v>フランス</x:v>
      </x:c>
      <x:c r="U198" s="165" t="str">
        <x:v>シャンパーニュ</x:v>
      </x:c>
      <x:c r="V198" s="165" t="str">
        <x:v>シャルドネ、ピノ・ノワール、ムーニエ</x:v>
      </x:c>
      <x:c r="W198" s="165" t="str">
        <x:v>知識確認</x:v>
      </x:c>
      <x:c r="X198" s="171" t="str">
        <x:v>D2</x:v>
      </x:c>
      <x:c r="Y198" s="165" t="str">
        <x:v>人工着色・海水・澱で着色</x:v>
      </x:c>
      <x:c r="Z198" s="171" t="str">
        <x:v>Y</x:v>
      </x:c>
      <x:c r="AA198" s="165" t="str">
        <x:v>ロゼ・シャンパーニュの許容製法に関する表現を最新規定と教材で最終照合推奨</x:v>
      </x:c>
      <x:c r="AB198" s="165" t="str">
        <x:v>オリジナル</x:v>
      </x:c>
      <x:c r="AC198" s="165" t="str">
        <x:v>公式Specificationの範囲＋ユーザー作成コーパスの論点と問題設計例を参考に独自作成</x:v>
      </x:c>
      <x:c r="AD198" s="171" t="str">
        <x:v>未レビュー</x:v>
      </x:c>
      <x:c r="AE198" s="171"/>
      <x:c r="AF198" s="171"/>
      <x:c r="AG198" s="166"/>
    </x:row>
    <x:row r="199" ht="84" customHeight="1">
      <x:c r="A199" s="164" t="str">
        <x:v>LO3-038</x:v>
      </x:c>
      <x:c r="B199" s="171" t="str">
        <x:v>LO3</x:v>
      </x:c>
      <x:c r="C199" s="165" t="str">
        <x:v>世界の主要な発泡性ワイン</x:v>
      </x:c>
      <x:c r="D199" s="165" t="str">
        <x:v>ブラン・ドゥ・ノワール</x:v>
      </x:c>
      <x:c r="E199" s="165" t="str">
        <x:v>ブラン・ドゥ・ノワールが黒ブドウから白く造れる主な理由はどれか。</x:v>
      </x:c>
      <x:c r="F199" s="165" t="str">
        <x:v>黒ブドウの色素を発酵で糖へ変えるため</x:v>
      </x:c>
      <x:c r="G199" s="165" t="str">
        <x:v>果肉と果汁は通常ほぼ無色で、穏やかに圧搾して果皮との接触を抑えるため</x:v>
      </x:c>
      <x:c r="H199" s="165" t="str">
        <x:v>完成した赤ワインを水で薄めるため</x:v>
      </x:c>
      <x:c r="I199" s="165" t="str">
        <x:v>長い果皮浸漬で色をすべて沈殿させるため</x:v>
      </x:c>
      <x:c r="J199" s="171" t="str">
        <x:v>B</x:v>
      </x:c>
      <x:c r="K199" s="165" t="str">
        <x:v>果肉と果汁は通常ほぼ無色で、穏やかに圧搾して果皮との接触を抑えるため</x:v>
      </x:c>
      <x:c r="L199" s="165" t="str">
        <x:v>ピノ・ノワールやムーニエの色素は果皮にあるため、果皮からの抽出を避ければ淡色の果汁を得られる。</x:v>
      </x:c>
      <x:c r="M199" s="165" t="str">
        <x:v>誤り。 色素は発酵で糖へ変わらない。</x:v>
      </x:c>
      <x:c r="N199" s="165" t="str">
        <x:v>正しい。 ピノ・ノワールやムーニエの色素は果皮にあるため、果皮からの抽出を避ければ淡色の果汁を得られる。</x:v>
      </x:c>
      <x:c r="O199" s="165" t="str">
        <x:v>誤り。 希釈ではなく、圧搾時の抽出管理で白い果汁を得る。</x:v>
      </x:c>
      <x:c r="P199" s="165" t="str">
        <x:v>誤り。 長い果皮接触は色を増やす方向に働く。</x:v>
      </x:c>
      <x:c r="Q199" s="165" t="str">
        <x:v>発泡性ワイン製法</x:v>
      </x:c>
      <x:c r="R199" s="165" t="str">
        <x:v>黒ブドウ・圧搾</x:v>
      </x:c>
      <x:c r="S199" s="165" t="str">
        <x:v>白発泡性ワイン</x:v>
      </x:c>
      <x:c r="T199" s="165" t="str">
        <x:v>フランス</x:v>
      </x:c>
      <x:c r="U199" s="165" t="str">
        <x:v>シャンパーニュ</x:v>
      </x:c>
      <x:c r="V199" s="165" t="str">
        <x:v>ピノ・ノワール、ムーニエ</x:v>
      </x:c>
      <x:c r="W199" s="165" t="str">
        <x:v>因果説明</x:v>
      </x:c>
      <x:c r="X199" s="171" t="str">
        <x:v>D1</x:v>
      </x:c>
      <x:c r="Y199" s="165" t="str">
        <x:v>色素が糖化; 希釈; 長期浸漬で脱色</x:v>
      </x:c>
      <x:c r="Z199" s="171" t="str">
        <x:v>N</x:v>
      </x:c>
      <x:c r="AA199" s="165"/>
      <x:c r="AB199" s="165" t="str">
        <x:v>オリジナル</x:v>
      </x:c>
      <x:c r="AC199" s="165" t="str">
        <x:v>公式Specificationの範囲＋ユーザー作成コーパスの論点と問題設計例を参考に独自作成</x:v>
      </x:c>
      <x:c r="AD199" s="171" t="str">
        <x:v>未レビュー</x:v>
      </x:c>
      <x:c r="AE199" s="171"/>
      <x:c r="AF199" s="171"/>
      <x:c r="AG199" s="166"/>
    </x:row>
    <x:row r="200" ht="84" customHeight="1">
      <x:c r="A200" s="164" t="str">
        <x:v>LO3-039</x:v>
      </x:c>
      <x:c r="B200" s="171" t="str">
        <x:v>LO3</x:v>
      </x:c>
      <x:c r="C200" s="165" t="str">
        <x:v>世界の主要な発泡性ワイン</x:v>
      </x:c>
      <x:c r="D200" s="165" t="str">
        <x:v>モンターニュ・ド・ランス</x:v>
      </x:c>
      <x:c r="E200" s="165" t="str">
        <x:v>モンターニュ・ド・ランスでピノ・ノワールが重要となる主な理由はどれか。</x:v>
      </x:c>
      <x:c r="F200" s="165" t="str">
        <x:v>熱帯の平地で、ピノ・ノワールを過熟させる</x:v>
      </x:c>
      <x:c r="G200" s="165" t="str">
        <x:v>ピノ・ノワールを酒精強化し、甘味を残す</x:v>
      </x:c>
      <x:c r="H200" s="165" t="str">
        <x:v>日照を受ける斜面と白亜質土壌が、黒ブドウの成熟と酸の保持を支える</x:v>
      </x:c>
      <x:c r="I200" s="165" t="str">
        <x:v>フロールの下で酸化を防ぐ</x:v>
      </x:c>
      <x:c r="J200" s="171" t="str">
        <x:v>C</x:v>
      </x:c>
      <x:c r="K200" s="165" t="str">
        <x:v>日照を受ける斜面と白亜質土壌が、黒ブドウの成熟と酸の保持を支える</x:v>
      </x:c>
      <x:c r="L200" s="165" t="str">
        <x:v>斜面の向きと排水性のある白亜質土壌により、冷涼なシャンパーニュでもピノ・ノワールが成熟し、ブレンドへボディと構造を与える。</x:v>
      </x:c>
      <x:c r="M200" s="165" t="str">
        <x:v>誤り。 シャンパーニュは冷涼で、熱帯平地ではない。</x:v>
      </x:c>
      <x:c r="N200" s="165" t="str">
        <x:v>誤り。 シャンパーニュでは通常酒精強化しない。</x:v>
      </x:c>
      <x:c r="O200" s="165" t="str">
        <x:v>正しい。 斜面の向きと排水性のある白亜質土壌により、冷涼なシャンパーニュでもピノ・ノワールが成熟し、ブレンドへボディと構造を与える。</x:v>
      </x:c>
      <x:c r="P200" s="165" t="str">
        <x:v>誤り。 フロール熟成はシェリーの工程である。</x:v>
      </x:c>
      <x:c r="Q200" s="165" t="str">
        <x:v>自然要因・産地</x:v>
      </x:c>
      <x:c r="R200" s="165" t="str">
        <x:v>斜面・品種適性</x:v>
      </x:c>
      <x:c r="S200" s="165" t="str">
        <x:v>発泡性ワイン</x:v>
      </x:c>
      <x:c r="T200" s="165" t="str">
        <x:v>フランス</x:v>
      </x:c>
      <x:c r="U200" s="165" t="str">
        <x:v>シャンパーニュ／モンターニュ・ド・ランス</x:v>
      </x:c>
      <x:c r="V200" s="165" t="str">
        <x:v>ピノ・ノワール</x:v>
      </x:c>
      <x:c r="W200" s="165" t="str">
        <x:v>因果説明</x:v>
      </x:c>
      <x:c r="X200" s="171" t="str">
        <x:v>D2</x:v>
      </x:c>
      <x:c r="Y200" s="165" t="str">
        <x:v>モンターニュは熱帯; 酒精強化; フロール</x:v>
      </x:c>
      <x:c r="Z200" s="171" t="str">
        <x:v>N</x:v>
      </x:c>
      <x:c r="AA200" s="165"/>
      <x:c r="AB200" s="165" t="str">
        <x:v>オリジナル</x:v>
      </x:c>
      <x:c r="AC200" s="165" t="str">
        <x:v>公式Specificationの範囲＋ユーザー作成コーパスの論点と問題設計例を参考に独自作成</x:v>
      </x:c>
      <x:c r="AD200" s="171" t="str">
        <x:v>未レビュー</x:v>
      </x:c>
      <x:c r="AE200" s="171"/>
      <x:c r="AF200" s="171"/>
      <x:c r="AG200" s="166"/>
    </x:row>
    <x:row r="201" ht="84" customHeight="1">
      <x:c r="A201" s="164" t="str">
        <x:v>LO3-040</x:v>
      </x:c>
      <x:c r="B201" s="171" t="str">
        <x:v>LO3</x:v>
      </x:c>
      <x:c r="C201" s="165" t="str">
        <x:v>世界の主要な発泡性ワイン</x:v>
      </x:c>
      <x:c r="D201" s="165" t="str">
        <x:v>コート・デ・バール</x:v>
      </x:c>
      <x:c r="E201" s="165" t="str">
        <x:v>コート・デ・バールのシャンパーニュでピノ・ノワールが重要な理由として最も適切なものはどれか。</x:v>
      </x:c>
      <x:c r="F201" s="165" t="str">
        <x:v>最北端の極寒地域で、白ブドウだけが育つ</x:v>
      </x:c>
      <x:c r="G201" s="165" t="str">
        <x:v>アスティ方式でマスカットだけを発酵する</x:v>
      </x:c>
      <x:c r="H201" s="165" t="str">
        <x:v>炭酸ガス注入方式しか認められない</x:v>
      </x:c>
      <x:c r="I201" s="165" t="str">
        <x:v>シャンパーニュ南部の比較的温暖な条件で、ピノ・ノワールが十分に成熟しやすい</x:v>
      </x:c>
      <x:c r="J201" s="171" t="str">
        <x:v>D</x:v>
      </x:c>
      <x:c r="K201" s="165" t="str">
        <x:v>シャンパーニュ南部の比較的温暖な条件で、ピノ・ノワールが十分に成熟しやすい</x:v>
      </x:c>
      <x:c r="L201" s="165" t="str">
        <x:v>コート・デ・バールは南に位置し、キンメリジャン系土壌も見られ、ピノ・ノワールから熟した果実味と構造を得やすい。</x:v>
      </x:c>
      <x:c r="M201" s="165" t="str">
        <x:v>誤り。 コート・デ・バールは南部に位置し、ピノ・ノワールが主要である。</x:v>
      </x:c>
      <x:c r="N201" s="165" t="str">
        <x:v>誤り。 これはアスティの品種と方式で、シャンパーニュとは異なる。</x:v>
      </x:c>
      <x:c r="O201" s="165" t="str">
        <x:v>誤り。 シャンパーニュは瓶内二次発酵の伝統的方式で造られる。</x:v>
      </x:c>
      <x:c r="P201" s="165" t="str">
        <x:v>正しい。 コート・デ・バールは南に位置し、キンメリジャン系土壌も見られ、ピノ・ノワールから熟した果実味と構造を得やすい。</x:v>
      </x:c>
      <x:c r="Q201" s="165" t="str">
        <x:v>自然要因・産地</x:v>
      </x:c>
      <x:c r="R201" s="165" t="str">
        <x:v>南部・ピノ・ノワール</x:v>
      </x:c>
      <x:c r="S201" s="165" t="str">
        <x:v>発泡性ワイン</x:v>
      </x:c>
      <x:c r="T201" s="165" t="str">
        <x:v>フランス</x:v>
      </x:c>
      <x:c r="U201" s="165" t="str">
        <x:v>シャンパーニュ／コート・デ・バール</x:v>
      </x:c>
      <x:c r="V201" s="165" t="str">
        <x:v>ピノ・ノワール</x:v>
      </x:c>
      <x:c r="W201" s="165" t="str">
        <x:v>因果説明</x:v>
      </x:c>
      <x:c r="X201" s="171" t="str">
        <x:v>D2</x:v>
      </x:c>
      <x:c r="Y201" s="165" t="str">
        <x:v>コートデバールは最北端; アスティ方式; 炭酸注入のみ</x:v>
      </x:c>
      <x:c r="Z201" s="171" t="str">
        <x:v>N</x:v>
      </x:c>
      <x:c r="AA201" s="165"/>
      <x:c r="AB201" s="165" t="str">
        <x:v>オリジナル</x:v>
      </x:c>
      <x:c r="AC201" s="165" t="str">
        <x:v>公式Specificationの範囲＋ユーザー作成コーパスの論点と問題設計例を参考に独自作成</x:v>
      </x:c>
      <x:c r="AD201" s="171" t="str">
        <x:v>未レビュー</x:v>
      </x:c>
      <x:c r="AE201" s="171"/>
      <x:c r="AF201" s="171"/>
      <x:c r="AG201" s="166"/>
    </x:row>
    <x:row r="202" ht="84" customHeight="1">
      <x:c r="A202" s="164" t="str">
        <x:v>LO3-041</x:v>
      </x:c>
      <x:c r="B202" s="171" t="str">
        <x:v>LO3</x:v>
      </x:c>
      <x:c r="C202" s="165" t="str">
        <x:v>世界の主要な発泡性ワイン</x:v>
      </x:c>
      <x:c r="D202" s="165" t="str">
        <x:v>シャンパーニュの冷涼気候</x:v>
      </x:c>
      <x:c r="E202" s="165" t="str">
        <x:v>シャンパーニュの冷涼な気候が発泡性ワインのベースに有利な点はどれか。</x:v>
      </x:c>
      <x:c r="F202" s="165" t="str">
        <x:v>ブドウが高い酸と低めの糖度を保ち、繊細な香りのベースワインになる</x:v>
      </x:c>
      <x:c r="G202" s="165" t="str">
        <x:v>糖度が極端に高くなり、二次発酵前から高アルコールになる</x:v>
      </x:c>
      <x:c r="H202" s="165" t="str">
        <x:v>酸が完全に失われ、ドザージュが不要になる</x:v>
      </x:c>
      <x:c r="I202" s="165" t="str">
        <x:v>ブドウが自然に酒精強化される</x:v>
      </x:c>
      <x:c r="J202" s="171" t="str">
        <x:v>A</x:v>
      </x:c>
      <x:c r="K202" s="165" t="str">
        <x:v>ブドウが高い酸と低めの糖度を保ち、繊細な香りのベースワインになる</x:v>
      </x:c>
      <x:c r="L202" s="165" t="str">
        <x:v>冷涼条件では成熟がゆっくりで、酸が高くアルコールが低いベースワインを得やすく、二次発酵と熟成後もフレッシュさを保てる。</x:v>
      </x:c>
      <x:c r="M202" s="165" t="str">
        <x:v>正しい。 冷涼条件では成熟がゆっくりで、酸が高くアルコールが低いベースワインを得やすく、二次発酵と熟成後もフレッシュさを保てる。</x:v>
      </x:c>
      <x:c r="N202" s="165" t="str">
        <x:v>誤り。 冷涼気候では糖の蓄積が緩やかで、ベースワインは低アルコールになりやすい。</x:v>
      </x:c>
      <x:c r="O202" s="165" t="str">
        <x:v>誤り。 シャンパーニュの重要な特徴は高い酸である。</x:v>
      </x:c>
      <x:c r="P202" s="165" t="str">
        <x:v>誤り。 酒精強化は蒸留酒の添加で、気候により自然に起こらない。</x:v>
      </x:c>
      <x:c r="Q202" s="165" t="str">
        <x:v>自然要因・産地</x:v>
      </x:c>
      <x:c r="R202" s="165" t="str">
        <x:v>冷涼気候・ベースワイン</x:v>
      </x:c>
      <x:c r="S202" s="165" t="str">
        <x:v>発泡性ワイン</x:v>
      </x:c>
      <x:c r="T202" s="165" t="str">
        <x:v>フランス</x:v>
      </x:c>
      <x:c r="U202" s="165" t="str">
        <x:v>シャンパーニュ</x:v>
      </x:c>
      <x:c r="V202" s="165" t="str">
        <x:v>シャルドネ、ピノ・ノワール、ムーニエ</x:v>
      </x:c>
      <x:c r="W202" s="165" t="str">
        <x:v>因果説明</x:v>
      </x:c>
      <x:c r="X202" s="171" t="str">
        <x:v>D1</x:v>
      </x:c>
      <x:c r="Y202" s="165" t="str">
        <x:v>冷涼気候で高糖低酸; 自然酒精強化</x:v>
      </x:c>
      <x:c r="Z202" s="171" t="str">
        <x:v>N</x:v>
      </x:c>
      <x:c r="AA202" s="165"/>
      <x:c r="AB202" s="165" t="str">
        <x:v>オリジナル</x:v>
      </x:c>
      <x:c r="AC202" s="165" t="str">
        <x:v>公式Specificationの範囲＋ユーザー作成コーパスの論点と問題設計例を参考に独自作成</x:v>
      </x:c>
      <x:c r="AD202" s="171" t="str">
        <x:v>未レビュー</x:v>
      </x:c>
      <x:c r="AE202" s="171"/>
      <x:c r="AF202" s="171"/>
      <x:c r="AG202" s="166"/>
    </x:row>
    <x:row r="203" ht="84" customHeight="1">
      <x:c r="A203" s="164" t="str">
        <x:v>LO3-042</x:v>
      </x:c>
      <x:c r="B203" s="171" t="str">
        <x:v>LO3</x:v>
      </x:c>
      <x:c r="C203" s="165" t="str">
        <x:v>世界の主要な発泡性ワイン</x:v>
      </x:c>
      <x:c r="D203" s="165" t="str">
        <x:v>リザーヴワインとヴィンテージ差</x:v>
      </x:c>
      <x:c r="E203" s="165" t="str">
        <x:v>ノン・ヴィンテージ・シャンパーニュで複数年のリザーヴワインを用いることが、ヴィンテージ差への対策となる理由はどれか。</x:v>
      </x:c>
      <x:c r="F203" s="165" t="str">
        <x:v>すべての年の天候を物理的に同じにする</x:v>
      </x:c>
      <x:c r="G203" s="165" t="str">
        <x:v>不足する酸、果実味、熟成香を他年のワインで補い、ハウス・スタイルを維持できる</x:v>
      </x:c>
      <x:c r="H203" s="165" t="str">
        <x:v>二次発酵を行わずに泡を作る</x:v>
      </x:c>
      <x:c r="I203" s="165" t="str">
        <x:v>ブドウ品種を一つへ遺伝的に統一する</x:v>
      </x:c>
      <x:c r="J203" s="171" t="str">
        <x:v>B</x:v>
      </x:c>
      <x:c r="K203" s="165" t="str">
        <x:v>不足する酸、果実味、熟成香を他年のワインで補い、ハウス・スタイルを維持できる</x:v>
      </x:c>
      <x:c r="L203" s="165" t="str">
        <x:v>冷涼地域では年ごとの成熟度が変わるため、複数年をブレンドすることで品質と味わいの変動を平準化できる。</x:v>
      </x:c>
      <x:c r="M203" s="165" t="str">
        <x:v>誤り。 ブレンドはワインの構成を調整するが、過去の天候を変えない。</x:v>
      </x:c>
      <x:c r="N203" s="165" t="str">
        <x:v>正しい。 冷涼地域では年ごとの成熟度が変わるため、複数年をブレンドすることで品質と味わいの変動を平準化できる。</x:v>
      </x:c>
      <x:c r="O203" s="165" t="str">
        <x:v>誤り。 ノン・ヴィンテージでも伝統的方式の二次発酵を行う。</x:v>
      </x:c>
      <x:c r="P203" s="165" t="str">
        <x:v>誤り。 ブレンドしても品種の遺伝的性質は変わらない。</x:v>
      </x:c>
      <x:c r="Q203" s="165" t="str">
        <x:v>ブレンド・商業</x:v>
      </x:c>
      <x:c r="R203" s="165" t="str">
        <x:v>ヴィンテージ差・一貫性</x:v>
      </x:c>
      <x:c r="S203" s="165" t="str">
        <x:v>発泡性ワイン</x:v>
      </x:c>
      <x:c r="T203" s="165" t="str">
        <x:v>フランス</x:v>
      </x:c>
      <x:c r="U203" s="165" t="str">
        <x:v>シャンパーニュ</x:v>
      </x:c>
      <x:c r="V203" s="165"/>
      <x:c r="W203" s="165" t="str">
        <x:v>統合判断</x:v>
      </x:c>
      <x:c r="X203" s="171" t="str">
        <x:v>D3</x:v>
      </x:c>
      <x:c r="Y203" s="165" t="str">
        <x:v>ブレンドが天候を変更; 二次発酵不要; 品種遺伝統一</x:v>
      </x:c>
      <x:c r="Z203" s="171" t="str">
        <x:v>N</x:v>
      </x:c>
      <x:c r="AA203" s="165"/>
      <x:c r="AB203" s="165" t="str">
        <x:v>オリジナル</x:v>
      </x:c>
      <x:c r="AC203" s="165" t="str">
        <x:v>公式Specificationの範囲＋ユーザー作成コーパスの論点と問題設計例を参考に独自作成</x:v>
      </x:c>
      <x:c r="AD203" s="171" t="str">
        <x:v>未レビュー</x:v>
      </x:c>
      <x:c r="AE203" s="171"/>
      <x:c r="AF203" s="171"/>
      <x:c r="AG203" s="166"/>
    </x:row>
    <x:row r="204" ht="84" customHeight="1">
      <x:c r="A204" s="164" t="str">
        <x:v>LO3-043</x:v>
      </x:c>
      <x:c r="B204" s="171" t="str">
        <x:v>LO3</x:v>
      </x:c>
      <x:c r="C204" s="165" t="str">
        <x:v>世界の主要な発泡性ワイン</x:v>
      </x:c>
      <x:c r="D204" s="165" t="str">
        <x:v>カバの高標高畑</x:v>
      </x:c>
      <x:c r="E204" s="165" t="str">
        <x:v>温暖なスペインで、カバ用ブドウを高標高の畑から得る利点はどれか。</x:v>
      </x:c>
      <x:c r="F204" s="165" t="str">
        <x:v>標高が高いほど夜も必ず高温になり、酸が減る</x:v>
      </x:c>
      <x:c r="G204" s="165" t="str">
        <x:v>海水が畑へ入り、二酸化炭素を供給する</x:v>
      </x:c>
      <x:c r="H204" s="165" t="str">
        <x:v>低い気温と涼しい夜により、ベースワインに必要な酸を保持しやすい</x:v>
      </x:c>
      <x:c r="I204" s="165" t="str">
        <x:v>ブドウが自然に乾燥し、甘口酒精強化ワインになる</x:v>
      </x:c>
      <x:c r="J204" s="171" t="str">
        <x:v>C</x:v>
      </x:c>
      <x:c r="K204" s="165" t="str">
        <x:v>低い気温と涼しい夜により、ベースワインに必要な酸を保持しやすい</x:v>
      </x:c>
      <x:c r="L204" s="165" t="str">
        <x:v>標高が上がると気温が低下し、成熟が緩やかになるため、温暖地域でも高い酸と適度な糖度のブドウを収穫できる。</x:v>
      </x:c>
      <x:c r="M204" s="165" t="str">
        <x:v>誤り。 一般に標高が高いほど夜間は冷涼で、酸を保持しやすい。</x:v>
      </x:c>
      <x:c r="N204" s="165" t="str">
        <x:v>誤り。 高標高の利点は気温で、海水や炭酸ガス供給ではない。</x:v>
      </x:c>
      <x:c r="O204" s="165" t="str">
        <x:v>正しい。 標高が上がると気温が低下し、成熟が緩やかになるため、温暖地域でも高い酸と適度な糖度のブドウを収穫できる。</x:v>
      </x:c>
      <x:c r="P204" s="165" t="str">
        <x:v>誤り。 カバは発泡性ワインで、乾燥・酒精強化が標準ではない。</x:v>
      </x:c>
      <x:c r="Q204" s="165" t="str">
        <x:v>自然要因・産地</x:v>
      </x:c>
      <x:c r="R204" s="165" t="str">
        <x:v>標高・酸</x:v>
      </x:c>
      <x:c r="S204" s="165" t="str">
        <x:v>発泡性ワイン</x:v>
      </x:c>
      <x:c r="T204" s="165" t="str">
        <x:v>スペイン</x:v>
      </x:c>
      <x:c r="U204" s="165" t="str">
        <x:v>カバ</x:v>
      </x:c>
      <x:c r="V204" s="165" t="str">
        <x:v>マカベオ、チャレッロ、パレリャーダ</x:v>
      </x:c>
      <x:c r="W204" s="165" t="str">
        <x:v>因果説明</x:v>
      </x:c>
      <x:c r="X204" s="171" t="str">
        <x:v>D2</x:v>
      </x:c>
      <x:c r="Y204" s="165" t="str">
        <x:v>高標高で夜高温; 海水CO2; 乾燥酒精強化</x:v>
      </x:c>
      <x:c r="Z204" s="171" t="str">
        <x:v>N</x:v>
      </x:c>
      <x:c r="AA204" s="165"/>
      <x:c r="AB204" s="165" t="str">
        <x:v>オリジナル</x:v>
      </x:c>
      <x:c r="AC204" s="165" t="str">
        <x:v>公式Specificationの範囲＋ユーザー作成コーパスの論点と問題設計例を参考に独自作成</x:v>
      </x:c>
      <x:c r="AD204" s="171" t="str">
        <x:v>未レビュー</x:v>
      </x:c>
      <x:c r="AE204" s="171"/>
      <x:c r="AF204" s="171"/>
      <x:c r="AG204" s="166"/>
    </x:row>
    <x:row r="205" ht="84" customHeight="1">
      <x:c r="A205" s="164" t="str">
        <x:v>LO3-044</x:v>
      </x:c>
      <x:c r="B205" s="171" t="str">
        <x:v>LO3</x:v>
      </x:c>
      <x:c r="C205" s="165" t="str">
        <x:v>世界の主要な発泡性ワイン</x:v>
      </x:c>
      <x:c r="D205" s="165" t="str">
        <x:v>チャレッロ</x:v>
      </x:c>
      <x:c r="E205" s="165" t="str">
        <x:v>カバのブレンドでチャレッロが貢献しやすい特徴はどれか。</x:v>
      </x:c>
      <x:c r="F205" s="165" t="str">
        <x:v>非常に低い酸と強いマスカット香だけを与える</x:v>
      </x:c>
      <x:c r="G205" s="165" t="str">
        <x:v>黒い色と高いタンニンを与える黒ブドウである</x:v>
      </x:c>
      <x:c r="H205" s="165" t="str">
        <x:v>フロールを形成し、酒精強化ワインにする</x:v>
      </x:c>
      <x:c r="I205" s="165" t="str">
        <x:v>酸、ボディ、構造を与え、熟成に耐える骨格を作る</x:v>
      </x:c>
      <x:c r="J205" s="171" t="str">
        <x:v>D</x:v>
      </x:c>
      <x:c r="K205" s="165" t="str">
        <x:v>酸、ボディ、構造を与え、熟成に耐える骨格を作る</x:v>
      </x:c>
      <x:c r="L205" s="165" t="str">
        <x:v>チャレッロは酸と比較的しっかりした構造を持ち、マカベオの果実味やパレリャーダの繊細さを補う。</x:v>
      </x:c>
      <x:c r="M205" s="165" t="str">
        <x:v>誤り。 強いマスカット香はマスカット系品種に関連し、チャレッロの主要な役割ではない。</x:v>
      </x:c>
      <x:c r="N205" s="165" t="str">
        <x:v>誤り。 チャレッロは白ブドウである。</x:v>
      </x:c>
      <x:c r="O205" s="165" t="str">
        <x:v>誤り。 カバのブレンド品種で、フロール熟成や酒精強化を目的としない。</x:v>
      </x:c>
      <x:c r="P205" s="165" t="str">
        <x:v>正しい。 チャレッロは酸と比較的しっかりした構造を持ち、マカベオの果実味やパレリャーダの繊細さを補う。</x:v>
      </x:c>
      <x:c r="Q205" s="165" t="str">
        <x:v>品種・産地</x:v>
      </x:c>
      <x:c r="R205" s="165" t="str">
        <x:v>カバ・品種役割</x:v>
      </x:c>
      <x:c r="S205" s="165" t="str">
        <x:v>発泡性ワイン</x:v>
      </x:c>
      <x:c r="T205" s="165" t="str">
        <x:v>スペイン</x:v>
      </x:c>
      <x:c r="U205" s="165" t="str">
        <x:v>カバ</x:v>
      </x:c>
      <x:c r="V205" s="165" t="str">
        <x:v>チャレッロ</x:v>
      </x:c>
      <x:c r="W205" s="165" t="str">
        <x:v>知識確認</x:v>
      </x:c>
      <x:c r="X205" s="171" t="str">
        <x:v>D2</x:v>
      </x:c>
      <x:c r="Y205" s="165" t="str">
        <x:v>チャレッロはマスカット・黒品種・フロール</x:v>
      </x:c>
      <x:c r="Z205" s="171" t="str">
        <x:v>N</x:v>
      </x:c>
      <x:c r="AA205" s="165"/>
      <x:c r="AB205" s="165" t="str">
        <x:v>オリジナル</x:v>
      </x:c>
      <x:c r="AC205" s="165" t="str">
        <x:v>公式Specificationの範囲＋ユーザー作成コーパスの論点と問題設計例を参考に独自作成</x:v>
      </x:c>
      <x:c r="AD205" s="171" t="str">
        <x:v>未レビュー</x:v>
      </x:c>
      <x:c r="AE205" s="171"/>
      <x:c r="AF205" s="171"/>
      <x:c r="AG205" s="166"/>
    </x:row>
    <x:row r="206" ht="84" customHeight="1">
      <x:c r="A206" s="164" t="str">
        <x:v>LO3-045</x:v>
      </x:c>
      <x:c r="B206" s="171" t="str">
        <x:v>LO3</x:v>
      </x:c>
      <x:c r="C206" s="165" t="str">
        <x:v>世界の主要な発泡性ワイン</x:v>
      </x:c>
      <x:c r="D206" s="165" t="str">
        <x:v>グレーラ</x:v>
      </x:c>
      <x:c r="E206" s="165" t="str">
        <x:v>プロセッコの主要品種グレーラに典型的な香りはどれか。</x:v>
      </x:c>
      <x:c r="F206" s="165" t="str">
        <x:v>洋梨、青リンゴ、白い花を思わせる繊細な香り</x:v>
      </x:c>
      <x:c r="G206" s="165" t="str">
        <x:v>黒コショウ、燻製肉、濃い黒果実だけ</x:v>
      </x:c>
      <x:c r="H206" s="165" t="str">
        <x:v>クルミ、ランシオ、強い酸化香だけ</x:v>
      </x:c>
      <x:c r="I206" s="165" t="str">
        <x:v>湿った段ボールとカビの香り</x:v>
      </x:c>
      <x:c r="J206" s="171" t="str">
        <x:v>A</x:v>
      </x:c>
      <x:c r="K206" s="165" t="str">
        <x:v>洋梨、青リンゴ、白い花を思わせる繊細な香り</x:v>
      </x:c>
      <x:c r="L206" s="165" t="str">
        <x:v>グレーラは比較的軽いボディと高めの酸を持ち、洋梨、リンゴ、メロン、花などのフレッシュな香りを示す。</x:v>
      </x:c>
      <x:c r="M206" s="165" t="str">
        <x:v>正しい。 グレーラは比較的軽いボディと高めの酸を持ち、洋梨、リンゴ、メロン、花などのフレッシュな香りを示す。</x:v>
      </x:c>
      <x:c r="N206" s="165" t="str">
        <x:v>誤り。 これはシラーなど黒ブドウの赤ワインに関連する。</x:v>
      </x:c>
      <x:c r="O206" s="165" t="str">
        <x:v>誤り。 長期酸化熟成の酒精強化ワインに近い特徴で、若いプロセッコの典型ではない。</x:v>
      </x:c>
      <x:c r="P206" s="165" t="str">
        <x:v>誤り。 これはコルク汚染を示す可能性があり、望ましい品種香ではない。</x:v>
      </x:c>
      <x:c r="Q206" s="165" t="str">
        <x:v>品種・産地</x:v>
      </x:c>
      <x:c r="R206" s="165" t="str">
        <x:v>グレーラ・香り</x:v>
      </x:c>
      <x:c r="S206" s="165" t="str">
        <x:v>発泡性ワイン</x:v>
      </x:c>
      <x:c r="T206" s="165" t="str">
        <x:v>イタリア</x:v>
      </x:c>
      <x:c r="U206" s="165" t="str">
        <x:v>プロセッコ</x:v>
      </x:c>
      <x:c r="V206" s="165" t="str">
        <x:v>グレーラ</x:v>
      </x:c>
      <x:c r="W206" s="165" t="str">
        <x:v>知識確認</x:v>
      </x:c>
      <x:c r="X206" s="171" t="str">
        <x:v>D1</x:v>
      </x:c>
      <x:c r="Y206" s="165" t="str">
        <x:v>グレーラはシラー・酸化酒・コルク汚染</x:v>
      </x:c>
      <x:c r="Z206" s="171" t="str">
        <x:v>N</x:v>
      </x:c>
      <x:c r="AA206" s="165"/>
      <x:c r="AB206" s="165" t="str">
        <x:v>オリジナル</x:v>
      </x:c>
      <x:c r="AC206" s="165" t="str">
        <x:v>公式Specificationの範囲＋ユーザー作成コーパスの論点と問題設計例を参考に独自作成</x:v>
      </x:c>
      <x:c r="AD206" s="171" t="str">
        <x:v>未レビュー</x:v>
      </x:c>
      <x:c r="AE206" s="171"/>
      <x:c r="AF206" s="171"/>
      <x:c r="AG206" s="166"/>
    </x:row>
    <x:row r="207" ht="84" customHeight="1">
      <x:c r="A207" s="164" t="str">
        <x:v>LO3-046</x:v>
      </x:c>
      <x:c r="B207" s="171" t="str">
        <x:v>LO3</x:v>
      </x:c>
      <x:c r="C207" s="165" t="str">
        <x:v>世界の主要な発泡性ワイン</x:v>
      </x:c>
      <x:c r="D207" s="165" t="str">
        <x:v>プロセッコの迅速な瓶詰め</x:v>
      </x:c>
      <x:c r="E207" s="165" t="str">
        <x:v>プロセッコを二次発酵後に比較的早く濾過・瓶詰めする主な理由はどれか。</x:v>
      </x:c>
      <x:c r="F207" s="165" t="str">
        <x:v>長期間の自己分解香を最大化する</x:v>
      </x:c>
      <x:c r="G207" s="165" t="str">
        <x:v>グレーラのフレッシュな果実香と花の香りを保持する</x:v>
      </x:c>
      <x:c r="H207" s="165" t="str">
        <x:v>タンニンを強く抽出し、長期熟成赤ワインにする</x:v>
      </x:c>
      <x:c r="I207" s="165" t="str">
        <x:v>フロールを成長させ、酸化を防ぐ</x:v>
      </x:c>
      <x:c r="J207" s="171" t="str">
        <x:v>B</x:v>
      </x:c>
      <x:c r="K207" s="165" t="str">
        <x:v>グレーラのフレッシュな果実香と花の香りを保持する</x:v>
      </x:c>
      <x:c r="L207" s="165" t="str">
        <x:v>長い澱熟成や酸化を避け、タンク方式で得た若々しい芳香性を市場へ届けることがプロセッコのスタイルに合う。</x:v>
      </x:c>
      <x:c r="M207" s="165" t="str">
        <x:v>誤り。 長い自己分解香より、一次的な果実香を重視する。</x:v>
      </x:c>
      <x:c r="N207" s="165" t="str">
        <x:v>正しい。 長い澱熟成や酸化を避け、タンク方式で得た若々しい芳香性を市場へ届けることがプロセッコのスタイルに合う。</x:v>
      </x:c>
      <x:c r="O207" s="165" t="str">
        <x:v>誤り。 グレーラの白発泡性ワインで、タンニン抽出が目的ではない。</x:v>
      </x:c>
      <x:c r="P207" s="165" t="str">
        <x:v>誤り。 プロセッコの標準的な製法にフロールは用いない。</x:v>
      </x:c>
      <x:c r="Q207" s="165" t="str">
        <x:v>発泡性ワイン製法・産地</x:v>
      </x:c>
      <x:c r="R207" s="165" t="str">
        <x:v>タンク方式・早期瓶詰め</x:v>
      </x:c>
      <x:c r="S207" s="165" t="str">
        <x:v>発泡性ワイン</x:v>
      </x:c>
      <x:c r="T207" s="165" t="str">
        <x:v>イタリア</x:v>
      </x:c>
      <x:c r="U207" s="165" t="str">
        <x:v>プロセッコ</x:v>
      </x:c>
      <x:c r="V207" s="165" t="str">
        <x:v>グレーラ</x:v>
      </x:c>
      <x:c r="W207" s="165" t="str">
        <x:v>因果説明</x:v>
      </x:c>
      <x:c r="X207" s="171" t="str">
        <x:v>D2</x:v>
      </x:c>
      <x:c r="Y207" s="165" t="str">
        <x:v>プロセッコは長期自己分解・高タンニン・フロール</x:v>
      </x:c>
      <x:c r="Z207" s="171" t="str">
        <x:v>N</x:v>
      </x:c>
      <x:c r="AA207" s="165"/>
      <x:c r="AB207" s="165" t="str">
        <x:v>オリジナル</x:v>
      </x:c>
      <x:c r="AC207" s="165" t="str">
        <x:v>公式Specificationの範囲＋ユーザー作成コーパスの論点と問題設計例を参考に独自作成</x:v>
      </x:c>
      <x:c r="AD207" s="171" t="str">
        <x:v>未レビュー</x:v>
      </x:c>
      <x:c r="AE207" s="171"/>
      <x:c r="AF207" s="171"/>
      <x:c r="AG207" s="166"/>
    </x:row>
    <x:row r="208" ht="84" customHeight="1">
      <x:c r="A208" s="164" t="str">
        <x:v>LO3-047</x:v>
      </x:c>
      <x:c r="B208" s="171" t="str">
        <x:v>LO3</x:v>
      </x:c>
      <x:c r="C208" s="165" t="str">
        <x:v>世界の主要な発泡性ワイン</x:v>
      </x:c>
      <x:c r="D208" s="165" t="str">
        <x:v>アスティの果汁保存</x:v>
      </x:c>
      <x:c r="E208" s="165" t="str">
        <x:v>アスティの生産で、未発酵のマスカット果汁を冷却保存する利点はどれか。</x:v>
      </x:c>
      <x:c r="F208" s="165" t="str">
        <x:v>果汁を酸化させ、クルミ香を最大化する</x:v>
      </x:c>
      <x:c r="G208" s="165" t="str">
        <x:v>果汁を凍結乾燥し、タンニンを増やす</x:v>
      </x:c>
      <x:c r="H208" s="165" t="str">
        <x:v>需要に応じて年間を通じて発酵し、フレッシュなブドウと花の香りを保てる</x:v>
      </x:c>
      <x:c r="I208" s="165" t="str">
        <x:v>フロールを一年中育てる</x:v>
      </x:c>
      <x:c r="J208" s="171" t="str">
        <x:v>C</x:v>
      </x:c>
      <x:c r="K208" s="165" t="str">
        <x:v>需要に応じて年間を通じて発酵し、フレッシュなブドウと花の香りを保てる</x:v>
      </x:c>
      <x:c r="L208" s="165" t="str">
        <x:v>果汁を低温で保存して発酵を抑え、必要な時に密閉タンクで発酵を開始することで、若々しい芳香性を保った商品を供給できる。</x:v>
      </x:c>
      <x:c r="M208" s="165" t="str">
        <x:v>誤り。 アスティはフレッシュなマスカット香を重視し、酸化香が目的ではない。</x:v>
      </x:c>
      <x:c r="N208" s="165" t="str">
        <x:v>誤り。 マスカット果汁の冷却保存は凍結乾燥やタンニン抽出ではない。</x:v>
      </x:c>
      <x:c r="O208" s="165" t="str">
        <x:v>正しい。 果汁を低温で保存して発酵を抑え、必要な時に密閉タンクで発酵を開始することで、若々しい芳香性を保った商品を供給できる。</x:v>
      </x:c>
      <x:c r="P208" s="165" t="str">
        <x:v>誤り。 アスティ方式にフロール熟成は用いない。</x:v>
      </x:c>
      <x:c r="Q208" s="165" t="str">
        <x:v>発泡性ワイン製法・産地</x:v>
      </x:c>
      <x:c r="R208" s="165" t="str">
        <x:v>アスティ方式・果汁保存</x:v>
      </x:c>
      <x:c r="S208" s="165" t="str">
        <x:v>甘口発泡性ワイン</x:v>
      </x:c>
      <x:c r="T208" s="165" t="str">
        <x:v>イタリア</x:v>
      </x:c>
      <x:c r="U208" s="165" t="str">
        <x:v>アスティ</x:v>
      </x:c>
      <x:c r="V208" s="165" t="str">
        <x:v>モスカート・ビアンコ</x:v>
      </x:c>
      <x:c r="W208" s="165" t="str">
        <x:v>因果説明</x:v>
      </x:c>
      <x:c r="X208" s="171" t="str">
        <x:v>D2</x:v>
      </x:c>
      <x:c r="Y208" s="165" t="str">
        <x:v>アスティは酸化・乾燥・フロール</x:v>
      </x:c>
      <x:c r="Z208" s="171" t="str">
        <x:v>N</x:v>
      </x:c>
      <x:c r="AA208" s="165"/>
      <x:c r="AB208" s="165" t="str">
        <x:v>オリジナル</x:v>
      </x:c>
      <x:c r="AC208" s="165" t="str">
        <x:v>公式Specificationの範囲＋ユーザー作成コーパスの論点と問題設計例を参考に独自作成</x:v>
      </x:c>
      <x:c r="AD208" s="171" t="str">
        <x:v>未レビュー</x:v>
      </x:c>
      <x:c r="AE208" s="171"/>
      <x:c r="AF208" s="171"/>
      <x:c r="AG208" s="166"/>
    </x:row>
    <x:row r="209" ht="84" customHeight="1">
      <x:c r="A209" s="164" t="str">
        <x:v>LO3-048</x:v>
      </x:c>
      <x:c r="B209" s="171" t="str">
        <x:v>LO3</x:v>
      </x:c>
      <x:c r="C209" s="165" t="str">
        <x:v>世界の主要な発泡性ワイン</x:v>
      </x:c>
      <x:c r="D209" s="165" t="str">
        <x:v>ロワールの発泡性シュナン</x:v>
      </x:c>
      <x:c r="E209" s="165" t="str">
        <x:v>ヴーヴレやソーミュールでシュナン・ブランが発泡性ワインに適する主な理由はどれか。</x:v>
      </x:c>
      <x:c r="F209" s="165" t="str">
        <x:v>酸が非常に低く、必ず高アルコールになる</x:v>
      </x:c>
      <x:c r="G209" s="165" t="str">
        <x:v>黒ブドウで、深い色と高タンニンだけを与える</x:v>
      </x:c>
      <x:c r="H209" s="165" t="str">
        <x:v>フロール熟成と酒精強化が必須である</x:v>
      </x:c>
      <x:c r="I209" s="165" t="str">
        <x:v>高い酸を保ち、リンゴや柑橘の風味と熟成能力を持つ</x:v>
      </x:c>
      <x:c r="J209" s="171" t="str">
        <x:v>D</x:v>
      </x:c>
      <x:c r="K209" s="165" t="str">
        <x:v>高い酸を保ち、リンゴや柑橘の風味と熟成能力を持つ</x:v>
      </x:c>
      <x:c r="L209" s="165" t="str">
        <x:v>シュナン・ブランの高い酸は発泡性ワインのフレッシュさを支え、伝統的方式の澱熟成にも耐え、蜂蜜やトーストの複雑さを発達させ得る。</x:v>
      </x:c>
      <x:c r="M209" s="165" t="str">
        <x:v>誤り。 シュナン・ブランは高い酸が重要な品種である。</x:v>
      </x:c>
      <x:c r="N209" s="165" t="str">
        <x:v>誤り。 シュナン・ブランは白ブドウである。</x:v>
      </x:c>
      <x:c r="O209" s="165" t="str">
        <x:v>誤り。 ロワールの発泡性ワインにフロールと酒精強化は必須ではない。</x:v>
      </x:c>
      <x:c r="P209" s="165" t="str">
        <x:v>正しい。 シュナン・ブランの高い酸は発泡性ワインのフレッシュさを支え、伝統的方式の澱熟成にも耐え、蜂蜜やトーストの複雑さを発達させ得る。</x:v>
      </x:c>
      <x:c r="Q209" s="165" t="str">
        <x:v>品種・産地</x:v>
      </x:c>
      <x:c r="R209" s="165" t="str">
        <x:v>シュナン・ブラン・酸</x:v>
      </x:c>
      <x:c r="S209" s="165" t="str">
        <x:v>発泡性ワイン</x:v>
      </x:c>
      <x:c r="T209" s="165" t="str">
        <x:v>フランス</x:v>
      </x:c>
      <x:c r="U209" s="165" t="str">
        <x:v>ロワール／ヴーヴレ・ソーミュール</x:v>
      </x:c>
      <x:c r="V209" s="165" t="str">
        <x:v>シュナン・ブラン</x:v>
      </x:c>
      <x:c r="W209" s="165" t="str">
        <x:v>因果説明</x:v>
      </x:c>
      <x:c r="X209" s="171" t="str">
        <x:v>D2</x:v>
      </x:c>
      <x:c r="Y209" s="165" t="str">
        <x:v>シュナンは低酸黒品種; フロール酒精強化必須</x:v>
      </x:c>
      <x:c r="Z209" s="171" t="str">
        <x:v>N</x:v>
      </x:c>
      <x:c r="AA209" s="165"/>
      <x:c r="AB209" s="165" t="str">
        <x:v>オリジナル</x:v>
      </x:c>
      <x:c r="AC209" s="165" t="str">
        <x:v>公式Specificationの範囲＋ユーザー作成コーパスの論点と問題設計例を参考に独自作成</x:v>
      </x:c>
      <x:c r="AD209" s="171" t="str">
        <x:v>未レビュー</x:v>
      </x:c>
      <x:c r="AE209" s="171"/>
      <x:c r="AF209" s="171"/>
      <x:c r="AG209" s="166"/>
    </x:row>
    <x:row r="210" ht="84" customHeight="1">
      <x:c r="A210" s="164" t="str">
        <x:v>LO3-049</x:v>
      </x:c>
      <x:c r="B210" s="171" t="str">
        <x:v>LO3</x:v>
      </x:c>
      <x:c r="C210" s="165" t="str">
        <x:v>世界の主要な発泡性ワイン</x:v>
      </x:c>
      <x:c r="D210" s="165" t="str">
        <x:v>ドイチャー・ゼクト</x:v>
      </x:c>
      <x:c r="E210" s="165" t="str">
        <x:v>ドイチャー・ゼクト（Deutscher Sekt）の表示が示すものとして最も適切なものはどれか。</x:v>
      </x:c>
      <x:c r="F210" s="165" t="str">
        <x:v>ベースとなるブドウがドイツ産である発泡性ワイン</x:v>
      </x:c>
      <x:c r="G210" s="165" t="str">
        <x:v>シャンパーニュ地方で造られたドイツ向けワイン</x:v>
      </x:c>
      <x:c r="H210" s="165" t="str">
        <x:v>必ず伝統的方式で10年以上熟成した最高格付け</x:v>
      </x:c>
      <x:c r="I210" s="165" t="str">
        <x:v>発酵途中で酒精強化した甘口ワイン</x:v>
      </x:c>
      <x:c r="J210" s="171" t="str">
        <x:v>A</x:v>
      </x:c>
      <x:c r="K210" s="165" t="str">
        <x:v>ベースとなるブドウがドイツ産である発泡性ワイン</x:v>
      </x:c>
      <x:c r="L210" s="165" t="str">
        <x:v>Deutscher Sektはドイツ産ブドウを用いることを示し、単にドイツで発泡化した輸入ベースワインのSektと区別される。</x:v>
      </x:c>
      <x:c r="M210" s="165" t="str">
        <x:v>正しい。 Deutscher Sektはドイツ産ブドウを用いることを示し、単にドイツで発泡化した輸入ベースワインのSektと区別される。</x:v>
      </x:c>
      <x:c r="N210" s="165" t="str">
        <x:v>誤り。 シャンパーニュはフランスの原産地名称であり、ドイチャー・ゼクトではない。</x:v>
      </x:c>
      <x:c r="O210" s="165" t="str">
        <x:v>誤り。 表示はブドウの原産国に関するもので、方式や品質最高位を自動的に保証しない。</x:v>
      </x:c>
      <x:c r="P210" s="165" t="str">
        <x:v>誤り。 ゼクトは発泡性ワインで、酒精強化ワインの区分ではない。</x:v>
      </x:c>
      <x:c r="Q210" s="165" t="str">
        <x:v>法律面・産地</x:v>
      </x:c>
      <x:c r="R210" s="165" t="str">
        <x:v>ゼクト・原産地表示</x:v>
      </x:c>
      <x:c r="S210" s="165" t="str">
        <x:v>発泡性ワイン</x:v>
      </x:c>
      <x:c r="T210" s="165" t="str">
        <x:v>ドイツ</x:v>
      </x:c>
      <x:c r="U210" s="165" t="str">
        <x:v>ドイツ</x:v>
      </x:c>
      <x:c r="V210" s="165"/>
      <x:c r="W210" s="165" t="str">
        <x:v>知識確認</x:v>
      </x:c>
      <x:c r="X210" s="171" t="str">
        <x:v>D2</x:v>
      </x:c>
      <x:c r="Y210" s="165" t="str">
        <x:v>Deutscher SektはChampagne・最高格付け・酒精強化</x:v>
      </x:c>
      <x:c r="Z210" s="171" t="str">
        <x:v>Y</x:v>
      </x:c>
      <x:c r="AA210" s="165" t="str">
        <x:v>SektおよびDeutscher Sektの現行表示規定を最新教材と照合推奨</x:v>
      </x:c>
      <x:c r="AB210" s="165" t="str">
        <x:v>オリジナル</x:v>
      </x:c>
      <x:c r="AC210" s="165" t="str">
        <x:v>公式Specificationの範囲＋ユーザー作成コーパスの論点と問題設計例を参考に独自作成</x:v>
      </x:c>
      <x:c r="AD210" s="171" t="str">
        <x:v>未レビュー</x:v>
      </x:c>
      <x:c r="AE210" s="171"/>
      <x:c r="AF210" s="171"/>
      <x:c r="AG210" s="166"/>
    </x:row>
    <x:row r="211" ht="84" customHeight="1">
      <x:c r="A211" s="164" t="str">
        <x:v>LO3-050</x:v>
      </x:c>
      <x:c r="B211" s="171" t="str">
        <x:v>LO3</x:v>
      </x:c>
      <x:c r="C211" s="165" t="str">
        <x:v>世界の主要な発泡性ワイン</x:v>
      </x:c>
      <x:c r="D211" s="165" t="str">
        <x:v>キャップ・クラシックの品種</x:v>
      </x:c>
      <x:c r="E211" s="165" t="str">
        <x:v>上質なキャップ・クラシックでシャルドネとピノ・ノワールがよく用いられる理由はどれか。</x:v>
      </x:c>
      <x:c r="F211" s="165" t="str">
        <x:v>両品種が非常に甘く、酒精強化せずに高アルコールになる</x:v>
      </x:c>
      <x:c r="G211" s="165" t="str">
        <x:v>冷涼な地区で高い酸を保ち、伝統的方式の澱熟成に適した構造と繊細さを与える</x:v>
      </x:c>
      <x:c r="H211" s="165" t="str">
        <x:v>両品種がフロールを形成し、シェリー香を作る</x:v>
      </x:c>
      <x:c r="I211" s="165" t="str">
        <x:v>両品種が黒い色を最大限抽出するため</x:v>
      </x:c>
      <x:c r="J211" s="171" t="str">
        <x:v>B</x:v>
      </x:c>
      <x:c r="K211" s="165" t="str">
        <x:v>冷涼な地区で高い酸を保ち、伝統的方式の澱熟成に適した構造と繊細さを与える</x:v>
      </x:c>
      <x:c r="L211" s="165" t="str">
        <x:v>両品種は高品質な伝統的方式発泡性ワインに適し、シャルドネが酸と繊細さ、ピノ・ノワールがボディと果実味を与える。</x:v>
      </x:c>
      <x:c r="M211" s="165" t="str">
        <x:v>誤り。 発泡性用では早めに収穫し、高い酸と低めの糖度を得る。</x:v>
      </x:c>
      <x:c r="N211" s="165" t="str">
        <x:v>正しい。 両品種は高品質な伝統的方式発泡性ワインに適し、シャルドネが酸と繊細さ、ピノ・ノワールがボディと果実味を与える。</x:v>
      </x:c>
      <x:c r="O211" s="165" t="str">
        <x:v>誤り。 フロールは品種ではなく酵母膜で、キャップ・クラシックの製法ではない。</x:v>
      </x:c>
      <x:c r="P211" s="165" t="str">
        <x:v>誤り。 シャルドネは白品種で、発泡性ワインでは色素抽出を抑える。</x:v>
      </x:c>
      <x:c r="Q211" s="165" t="str">
        <x:v>品種・産地</x:v>
      </x:c>
      <x:c r="R211" s="165" t="str">
        <x:v>キャップ・クラシック・品種</x:v>
      </x:c>
      <x:c r="S211" s="165" t="str">
        <x:v>発泡性ワイン</x:v>
      </x:c>
      <x:c r="T211" s="165" t="str">
        <x:v>南アフリカ</x:v>
      </x:c>
      <x:c r="U211" s="165" t="str">
        <x:v>キャップ・クラシック</x:v>
      </x:c>
      <x:c r="V211" s="165" t="str">
        <x:v>シャルドネ、ピノ・ノワール</x:v>
      </x:c>
      <x:c r="W211" s="165" t="str">
        <x:v>統合判断</x:v>
      </x:c>
      <x:c r="X211" s="171" t="str">
        <x:v>D2</x:v>
      </x:c>
      <x:c r="Y211" s="165" t="str">
        <x:v>発泡用は高糖; フロール; 色抽出最大</x:v>
      </x:c>
      <x:c r="Z211" s="171" t="str">
        <x:v>N</x:v>
      </x:c>
      <x:c r="AA211" s="165"/>
      <x:c r="AB211" s="165" t="str">
        <x:v>オリジナル</x:v>
      </x:c>
      <x:c r="AC211" s="165" t="str">
        <x:v>公式Specificationの範囲＋ユーザー作成コーパスの論点と問題設計例を参考に独自作成</x:v>
      </x:c>
      <x:c r="AD211" s="171" t="str">
        <x:v>未レビュー</x:v>
      </x:c>
      <x:c r="AE211" s="171"/>
      <x:c r="AF211" s="171"/>
      <x:c r="AG211" s="166"/>
    </x:row>
    <x:row r="212" ht="84" customHeight="1">
      <x:c r="A212" s="164" t="str">
        <x:v>LO3-051</x:v>
      </x:c>
      <x:c r="B212" s="171" t="str">
        <x:v>LO3</x:v>
      </x:c>
      <x:c r="C212" s="165" t="str">
        <x:v>世界の主要な発泡性ワイン</x:v>
      </x:c>
      <x:c r="D212" s="165" t="str">
        <x:v>タスマニアの発泡性ワイン</x:v>
      </x:c>
      <x:c r="E212" s="165" t="str">
        <x:v>タスマニアがオーストラリアの上質発泡性ワイン産地として評価される主な理由はどれか。</x:v>
      </x:c>
      <x:c r="F212" s="165" t="str">
        <x:v>オーストラリアで最も暑い内陸砂漠だから</x:v>
      </x:c>
      <x:c r="G212" s="165" t="str">
        <x:v>ブドウを自然凍結させ、甘いアイスワインだけを造る</x:v>
      </x:c>
      <x:c r="H212" s="165" t="str">
        <x:v>南方の冷涼な海洋性気候により、シャルドネとピノ・ノワールが酸を保って成熟する</x:v>
      </x:c>
      <x:c r="I212" s="165" t="str">
        <x:v>フロールの下で酒精強化する</x:v>
      </x:c>
      <x:c r="J212" s="171" t="str">
        <x:v>C</x:v>
      </x:c>
      <x:c r="K212" s="165" t="str">
        <x:v>南方の冷涼な海洋性気候により、シャルドネとピノ・ノワールが酸を保って成熟する</x:v>
      </x:c>
      <x:c r="L212" s="165" t="str">
        <x:v>低い気温と長い生育期間が、発泡性ワインに必要な高い酸と繊細な風味をもたらし、伝統的方式の熟成に適する。</x:v>
      </x:c>
      <x:c r="M212" s="165" t="str">
        <x:v>誤り。 タスマニアは南方の島で、冷涼な海洋性気候である。</x:v>
      </x:c>
      <x:c r="N212" s="165" t="str">
        <x:v>誤り。 上質発泡性ワインの産地で、自然凍結が主因ではない。</x:v>
      </x:c>
      <x:c r="O212" s="165" t="str">
        <x:v>正しい。 低い気温と長い生育期間が、発泡性ワインに必要な高い酸と繊細な風味をもたらし、伝統的方式の熟成に適する。</x:v>
      </x:c>
      <x:c r="P212" s="165" t="str">
        <x:v>誤り。 発泡性ワインにフロール熟成や酒精強化は用いない。</x:v>
      </x:c>
      <x:c r="Q212" s="165" t="str">
        <x:v>自然要因・産地</x:v>
      </x:c>
      <x:c r="R212" s="165" t="str">
        <x:v>冷涼海洋性・品種</x:v>
      </x:c>
      <x:c r="S212" s="165" t="str">
        <x:v>発泡性ワイン</x:v>
      </x:c>
      <x:c r="T212" s="165" t="str">
        <x:v>オーストラリア</x:v>
      </x:c>
      <x:c r="U212" s="165" t="str">
        <x:v>タスマニア</x:v>
      </x:c>
      <x:c r="V212" s="165" t="str">
        <x:v>シャルドネ、ピノ・ノワール</x:v>
      </x:c>
      <x:c r="W212" s="165" t="str">
        <x:v>因果説明</x:v>
      </x:c>
      <x:c r="X212" s="171" t="str">
        <x:v>D2</x:v>
      </x:c>
      <x:c r="Y212" s="165" t="str">
        <x:v>タスマニアは砂漠; アイスワインのみ; フロール酒精強化</x:v>
      </x:c>
      <x:c r="Z212" s="171" t="str">
        <x:v>N</x:v>
      </x:c>
      <x:c r="AA212" s="165"/>
      <x:c r="AB212" s="165" t="str">
        <x:v>オリジナル</x:v>
      </x:c>
      <x:c r="AC212" s="165" t="str">
        <x:v>公式Specificationの範囲＋ユーザー作成コーパスの論点と問題設計例を参考に独自作成</x:v>
      </x:c>
      <x:c r="AD212" s="171" t="str">
        <x:v>未レビュー</x:v>
      </x:c>
      <x:c r="AE212" s="171"/>
      <x:c r="AF212" s="171"/>
      <x:c r="AG212" s="166"/>
    </x:row>
    <x:row r="213" ht="84" customHeight="1">
      <x:c r="A213" s="164" t="str">
        <x:v>LO3-052</x:v>
      </x:c>
      <x:c r="B213" s="171" t="str">
        <x:v>LO3</x:v>
      </x:c>
      <x:c r="C213" s="165" t="str">
        <x:v>世界の主要な発泡性ワイン</x:v>
      </x:c>
      <x:c r="D213" s="165" t="str">
        <x:v>アデレード・ヒルズ</x:v>
      </x:c>
      <x:c r="E213" s="165" t="str">
        <x:v>アデレード・ヒルズで発泡性ワイン用ブドウが栽培される主な理由はどれか。</x:v>
      </x:c>
      <x:c r="F213" s="165" t="str">
        <x:v>標高が高いほど夜が高温になり、酸が減る</x:v>
      </x:c>
      <x:c r="G213" s="165" t="str">
        <x:v>海水による洪水灌漑で塩味を付ける</x:v>
      </x:c>
      <x:c r="H213" s="165" t="str">
        <x:v>ブドウを乾燥させ、発泡前に酒精強化する</x:v>
      </x:c>
      <x:c r="I213" s="165" t="str">
        <x:v>標高による低い気温が、温暖な南オーストラリア内で酸の保持を助ける</x:v>
      </x:c>
      <x:c r="J213" s="171" t="str">
        <x:v>D</x:v>
      </x:c>
      <x:c r="K213" s="165" t="str">
        <x:v>標高による低い気温が、温暖な南オーストラリア内で酸の保持を助ける</x:v>
      </x:c>
      <x:c r="L213" s="165" t="str">
        <x:v>周辺の低地より冷涼で、生育期間が長く、シャルドネとピノ・ノワールを発泡性用の適度な糖度と高い酸で収穫しやすい。</x:v>
      </x:c>
      <x:c r="M213" s="165" t="str">
        <x:v>誤り。 一般に標高が上がると気温は下がり、夜間の冷却も強まる。</x:v>
      </x:c>
      <x:c r="N213" s="165" t="str">
        <x:v>誤り。 標高と気温が重要で、海水を利用するものではない。</x:v>
      </x:c>
      <x:c r="O213" s="165" t="str">
        <x:v>誤り。 上質発泡性用には健全で高酸のブドウを用い、乾燥・酒精強化は標準ではない。</x:v>
      </x:c>
      <x:c r="P213" s="165" t="str">
        <x:v>正しい。 周辺の低地より冷涼で、生育期間が長く、シャルドネとピノ・ノワールを発泡性用の適度な糖度と高い酸で収穫しやすい。</x:v>
      </x:c>
      <x:c r="Q213" s="165" t="str">
        <x:v>自然要因・産地</x:v>
      </x:c>
      <x:c r="R213" s="165" t="str">
        <x:v>標高・酸</x:v>
      </x:c>
      <x:c r="S213" s="165" t="str">
        <x:v>発泡性ワイン</x:v>
      </x:c>
      <x:c r="T213" s="165" t="str">
        <x:v>オーストラリア</x:v>
      </x:c>
      <x:c r="U213" s="165" t="str">
        <x:v>アデレード・ヒルズ</x:v>
      </x:c>
      <x:c r="V213" s="165" t="str">
        <x:v>シャルドネ、ピノ・ノワール</x:v>
      </x:c>
      <x:c r="W213" s="165" t="str">
        <x:v>因果説明</x:v>
      </x:c>
      <x:c r="X213" s="171" t="str">
        <x:v>D2</x:v>
      </x:c>
      <x:c r="Y213" s="165" t="str">
        <x:v>標高で夜高温; 海水; 乾燥酒精強化</x:v>
      </x:c>
      <x:c r="Z213" s="171" t="str">
        <x:v>N</x:v>
      </x:c>
      <x:c r="AA213" s="165"/>
      <x:c r="AB213" s="165" t="str">
        <x:v>オリジナル</x:v>
      </x:c>
      <x:c r="AC213" s="165" t="str">
        <x:v>公式Specificationの範囲＋ユーザー作成コーパスの論点と問題設計例を参考に独自作成</x:v>
      </x:c>
      <x:c r="AD213" s="171" t="str">
        <x:v>未レビュー</x:v>
      </x:c>
      <x:c r="AE213" s="171"/>
      <x:c r="AF213" s="171"/>
      <x:c r="AG213" s="166"/>
    </x:row>
    <x:row r="214" ht="84" customHeight="1">
      <x:c r="A214" s="164" t="str">
        <x:v>LO3-053</x:v>
      </x:c>
      <x:c r="B214" s="171" t="str">
        <x:v>LO3</x:v>
      </x:c>
      <x:c r="C214" s="165" t="str">
        <x:v>世界の主要な発泡性ワイン</x:v>
      </x:c>
      <x:c r="D214" s="165" t="str">
        <x:v>マールボロの発泡性ワイン</x:v>
      </x:c>
      <x:c r="E214" s="165" t="str">
        <x:v>マールボロの伝統的方式発泡性ワインに適する自然条件はどれか。</x:v>
      </x:c>
      <x:c r="F214" s="165" t="str">
        <x:v>強い日照と涼しい夜、海洋の影響が、果実の成熟と酸の保持を両立させる</x:v>
      </x:c>
      <x:c r="G214" s="165" t="str">
        <x:v>一年中高温で夜間の冷却がない</x:v>
      </x:c>
      <x:c r="H214" s="165" t="str">
        <x:v>ブドウを収穫前に貴腐させることが必須</x:v>
      </x:c>
      <x:c r="I214" s="165" t="str">
        <x:v>フロールを育てる湿潤な酒精強化産地である</x:v>
      </x:c>
      <x:c r="J214" s="171" t="str">
        <x:v>A</x:v>
      </x:c>
      <x:c r="K214" s="165" t="str">
        <x:v>強い日照と涼しい夜、海洋の影響が、果実の成熟と酸の保持を両立させる</x:v>
      </x:c>
      <x:c r="L214" s="165" t="str">
        <x:v>日中の日射で風味が成熟し、夜間と海洋冷却で酸を保つため、シャルドネとピノ・ノワールのベースワインに適する。</x:v>
      </x:c>
      <x:c r="M214" s="165" t="str">
        <x:v>正しい。 日中の日射で風味が成熟し、夜間と海洋冷却で酸を保つため、シャルドネとピノ・ノワールのベースワインに適する。</x:v>
      </x:c>
      <x:c r="N214" s="165" t="str">
        <x:v>誤り。 マールボロは大きな日較差と冷涼な夜が重要である。</x:v>
      </x:c>
      <x:c r="O214" s="165" t="str">
        <x:v>誤り。 発泡性用には健全で高酸のブドウが一般に求められる。</x:v>
      </x:c>
      <x:c r="P214" s="165" t="str">
        <x:v>誤り。 マールボロの発泡性ワインにフロールや酒精強化は用いない。</x:v>
      </x:c>
      <x:c r="Q214" s="165" t="str">
        <x:v>自然要因・産地</x:v>
      </x:c>
      <x:c r="R214" s="165" t="str">
        <x:v>日照・夜間冷却</x:v>
      </x:c>
      <x:c r="S214" s="165" t="str">
        <x:v>発泡性ワイン</x:v>
      </x:c>
      <x:c r="T214" s="165" t="str">
        <x:v>ニュージーランド</x:v>
      </x:c>
      <x:c r="U214" s="165" t="str">
        <x:v>マールボロ</x:v>
      </x:c>
      <x:c r="V214" s="165" t="str">
        <x:v>シャルドネ、ピノ・ノワール</x:v>
      </x:c>
      <x:c r="W214" s="165" t="str">
        <x:v>因果説明</x:v>
      </x:c>
      <x:c r="X214" s="171" t="str">
        <x:v>D2</x:v>
      </x:c>
      <x:c r="Y214" s="165" t="str">
        <x:v>マールボロは夜も高温; 貴腐必須; フロール酒精強化</x:v>
      </x:c>
      <x:c r="Z214" s="171" t="str">
        <x:v>N</x:v>
      </x:c>
      <x:c r="AA214" s="165"/>
      <x:c r="AB214" s="165" t="str">
        <x:v>オリジナル</x:v>
      </x:c>
      <x:c r="AC214" s="165" t="str">
        <x:v>公式Specificationの範囲＋ユーザー作成コーパスの論点と問題設計例を参考に独自作成</x:v>
      </x:c>
      <x:c r="AD214" s="171" t="str">
        <x:v>未レビュー</x:v>
      </x:c>
      <x:c r="AE214" s="171"/>
      <x:c r="AF214" s="171"/>
      <x:c r="AG214" s="166"/>
    </x:row>
    <x:row r="215" ht="84" customHeight="1">
      <x:c r="A215" s="164" t="str">
        <x:v>LO3-054</x:v>
      </x:c>
      <x:c r="B215" s="171" t="str">
        <x:v>LO3</x:v>
      </x:c>
      <x:c r="C215" s="165" t="str">
        <x:v>世界の主要な発泡性ワイン</x:v>
      </x:c>
      <x:c r="D215" s="165" t="str">
        <x:v>アンダーソン・ヴァレー</x:v>
      </x:c>
      <x:c r="E215" s="165" t="str">
        <x:v>アンダーソン・ヴァレーがカリフォルニアの発泡性ワイン用ブドウに適する主な理由はどれか。</x:v>
      </x:c>
      <x:c r="F215" s="165" t="str">
        <x:v>内陸砂漠の熱風が一日中吹き、酸を減らす</x:v>
      </x:c>
      <x:c r="G215" s="165" t="str">
        <x:v>太平洋からの冷たい霧と風が谷へ入り、成熟を遅らせる</x:v>
      </x:c>
      <x:c r="H215" s="165" t="str">
        <x:v>果汁へ炭酸ガスを注入しなくても、霧が泡を作る</x:v>
      </x:c>
      <x:c r="I215" s="165" t="str">
        <x:v>ブドウを酒精強化してから圧搾する</x:v>
      </x:c>
      <x:c r="J215" s="171" t="str">
        <x:v>B</x:v>
      </x:c>
      <x:c r="K215" s="165" t="str">
        <x:v>太平洋からの冷たい霧と風が谷へ入り、成熟を遅らせる</x:v>
      </x:c>
      <x:c r="L215" s="165" t="str">
        <x:v>沿岸の冷却により温暖なカリフォルニアでもシャルドネとピノ・ノワールの酸を保持し、繊細なベースワインを得やすい。</x:v>
      </x:c>
      <x:c r="M215" s="165" t="str">
        <x:v>誤り。 発泡性ワインへの適性は太平洋の冷却による。</x:v>
      </x:c>
      <x:c r="N215" s="165" t="str">
        <x:v>正しい。 沿岸の冷却により温暖なカリフォルニアでもシャルドネとピノ・ノワールの酸を保持し、繊細なベースワインを得やすい。</x:v>
      </x:c>
      <x:c r="O215" s="165" t="str">
        <x:v>誤り。 霧は気温に影響するが、泡は発酵または炭酸ガス注入で生じる。</x:v>
      </x:c>
      <x:c r="P215" s="165" t="str">
        <x:v>誤り。 発泡性ベースワインで酒精強化は行わない。</x:v>
      </x:c>
      <x:c r="Q215" s="165" t="str">
        <x:v>自然要因・産地</x:v>
      </x:c>
      <x:c r="R215" s="165" t="str">
        <x:v>霧・海洋冷却</x:v>
      </x:c>
      <x:c r="S215" s="165" t="str">
        <x:v>発泡性ワイン</x:v>
      </x:c>
      <x:c r="T215" s="165" t="str">
        <x:v>米国</x:v>
      </x:c>
      <x:c r="U215" s="165" t="str">
        <x:v>カリフォルニア／アンダーソン・ヴァレー</x:v>
      </x:c>
      <x:c r="V215" s="165" t="str">
        <x:v>シャルドネ、ピノ・ノワール</x:v>
      </x:c>
      <x:c r="W215" s="165" t="str">
        <x:v>因果説明</x:v>
      </x:c>
      <x:c r="X215" s="171" t="str">
        <x:v>D2</x:v>
      </x:c>
      <x:c r="Y215" s="165" t="str">
        <x:v>アンダーソンは砂漠; 霧が泡を作る; 酒精強化</x:v>
      </x:c>
      <x:c r="Z215" s="171" t="str">
        <x:v>N</x:v>
      </x:c>
      <x:c r="AA215" s="165"/>
      <x:c r="AB215" s="165" t="str">
        <x:v>オリジナル</x:v>
      </x:c>
      <x:c r="AC215" s="165" t="str">
        <x:v>公式Specificationの範囲＋ユーザー作成コーパスの論点と問題設計例を参考に独自作成</x:v>
      </x:c>
      <x:c r="AD215" s="171" t="str">
        <x:v>未レビュー</x:v>
      </x:c>
      <x:c r="AE215" s="171"/>
      <x:c r="AF215" s="171"/>
      <x:c r="AG215" s="166"/>
    </x:row>
    <x:row r="216" ht="84" customHeight="1">
      <x:c r="A216" s="164" t="str">
        <x:v>LO3-055</x:v>
      </x:c>
      <x:c r="B216" s="171" t="str">
        <x:v>LO3</x:v>
      </x:c>
      <x:c r="C216" s="165" t="str">
        <x:v>世界の主要な発泡性ワイン</x:v>
      </x:c>
      <x:c r="D216" s="165" t="str">
        <x:v>ロス・カーネロス</x:v>
      </x:c>
      <x:c r="E216" s="165" t="str">
        <x:v>ロス・カーネロスがナパとソノマの他の多くの地区より冷涼な主な理由はどれか。</x:v>
      </x:c>
      <x:c r="F216" s="165" t="str">
        <x:v>最も内陸にあり、海洋の影響を完全に受けない</x:v>
      </x:c>
      <x:c r="G216" s="165" t="str">
        <x:v>標高が世界で最も高く、ブドウが凍結する</x:v>
      </x:c>
      <x:c r="H216" s="165" t="str">
        <x:v>サン・パブロ湾からの冷たい風と霧を受ける</x:v>
      </x:c>
      <x:c r="I216" s="165" t="str">
        <x:v>果房を海水へ浸し、温度を下げる</x:v>
      </x:c>
      <x:c r="J216" s="171" t="str">
        <x:v>C</x:v>
      </x:c>
      <x:c r="K216" s="165" t="str">
        <x:v>サン・パブロ湾からの冷たい風と霧を受ける</x:v>
      </x:c>
      <x:c r="L216" s="165" t="str">
        <x:v>湾に近いため海洋の冷却が強く、シャルドネとピノ・ノワールを高い酸で収穫でき、発泡性ワインに適する。</x:v>
      </x:c>
      <x:c r="M216" s="165" t="str">
        <x:v>誤り。 ロス・カーネロスは湾に近く、海洋冷却が重要である。</x:v>
      </x:c>
      <x:c r="N216" s="165" t="str">
        <x:v>誤り。 冷却の主因は湾からの風と霧で、極端な高標高ではない。</x:v>
      </x:c>
      <x:c r="O216" s="165" t="str">
        <x:v>正しい。 湾に近いため海洋の冷却が強く、シャルドネとピノ・ノワールを高い酸で収穫でき、発泡性ワインに適する。</x:v>
      </x:c>
      <x:c r="P216" s="165" t="str">
        <x:v>誤り。 海洋の影響は空気の冷却で、果房を海水へ浸さない。</x:v>
      </x:c>
      <x:c r="Q216" s="165" t="str">
        <x:v>自然要因・産地</x:v>
      </x:c>
      <x:c r="R216" s="165" t="str">
        <x:v>湾・霧・風</x:v>
      </x:c>
      <x:c r="S216" s="165" t="str">
        <x:v>発泡性ワイン</x:v>
      </x:c>
      <x:c r="T216" s="165" t="str">
        <x:v>米国</x:v>
      </x:c>
      <x:c r="U216" s="165" t="str">
        <x:v>カリフォルニア／ロス・カーネロス</x:v>
      </x:c>
      <x:c r="V216" s="165" t="str">
        <x:v>シャルドネ、ピノ・ノワール</x:v>
      </x:c>
      <x:c r="W216" s="165" t="str">
        <x:v>因果説明</x:v>
      </x:c>
      <x:c r="X216" s="171" t="str">
        <x:v>D1</x:v>
      </x:c>
      <x:c r="Y216" s="165" t="str">
        <x:v>カーネロスは内陸・極端高標高・海水浸漬</x:v>
      </x:c>
      <x:c r="Z216" s="171" t="str">
        <x:v>N</x:v>
      </x:c>
      <x:c r="AA216" s="165"/>
      <x:c r="AB216" s="165" t="str">
        <x:v>オリジナル</x:v>
      </x:c>
      <x:c r="AC216" s="165" t="str">
        <x:v>公式Specificationの範囲＋ユーザー作成コーパスの論点と問題設計例を参考に独自作成</x:v>
      </x:c>
      <x:c r="AD216" s="171" t="str">
        <x:v>未レビュー</x:v>
      </x:c>
      <x:c r="AE216" s="171"/>
      <x:c r="AF216" s="171"/>
      <x:c r="AG216" s="166"/>
    </x:row>
    <x:row r="217" ht="84" customHeight="1">
      <x:c r="A217" s="164" t="str">
        <x:v>LO3-056</x:v>
      </x:c>
      <x:c r="B217" s="171" t="str">
        <x:v>LO3</x:v>
      </x:c>
      <x:c r="C217" s="165" t="str">
        <x:v>世界の主要な発泡性ワイン</x:v>
      </x:c>
      <x:c r="D217" s="165" t="str">
        <x:v>手摘みと生産コスト</x:v>
      </x:c>
      <x:c r="E217" s="165" t="str">
        <x:v>上質な伝統的方式発泡性ワインで手摘みが生産コストを高める一方、品質に寄与する理由はどれか。</x:v>
      </x:c>
      <x:c r="F217" s="165" t="str">
        <x:v>機械収穫より必ず速く、労働者が不要になる</x:v>
      </x:c>
      <x:c r="G217" s="165" t="str">
        <x:v>果房を強く破砕し、タンニンを最大化する</x:v>
      </x:c>
      <x:c r="H217" s="165" t="str">
        <x:v>収穫時点で二次発酵と澱抜きを完了できる</x:v>
      </x:c>
      <x:c r="I217" s="165" t="str">
        <x:v>健全な房を選び、果皮を傷めず全房のまま穏やかに圧搾しやすい</x:v>
      </x:c>
      <x:c r="J217" s="171" t="str">
        <x:v>D</x:v>
      </x:c>
      <x:c r="K217" s="165" t="str">
        <x:v>健全な房を選び、果皮を傷めず全房のまま穏やかに圧搾しやすい</x:v>
      </x:c>
      <x:c r="L217" s="165" t="str">
        <x:v>手摘みは労働費が高いが、腐敗果を除き、酸化や色素抽出を抑えた繊細な果汁を得るのに適する。</x:v>
      </x:c>
      <x:c r="M217" s="165" t="str">
        <x:v>誤り。 手摘みは人手と時間を要し、一般にコストが高い。</x:v>
      </x:c>
      <x:c r="N217" s="165" t="str">
        <x:v>誤り。 発泡性用では果皮損傷と過度な抽出を避けることが多い。</x:v>
      </x:c>
      <x:c r="O217" s="165" t="str">
        <x:v>誤り。 二次発酵と澱抜きはワイナリーで後に行う。</x:v>
      </x:c>
      <x:c r="P217" s="165" t="str">
        <x:v>正しい。 手摘みは労働費が高いが、腐敗果を除き、酸化や色素抽出を抑えた繊細な果汁を得るのに適する。</x:v>
      </x:c>
      <x:c r="Q217" s="165" t="str">
        <x:v>人的要因・商業</x:v>
      </x:c>
      <x:c r="R217" s="165" t="str">
        <x:v>手摘み・品質・価格</x:v>
      </x:c>
      <x:c r="S217" s="165" t="str">
        <x:v>発泡性ワイン</x:v>
      </x:c>
      <x:c r="T217" s="165"/>
      <x:c r="U217" s="165"/>
      <x:c r="V217" s="165"/>
      <x:c r="W217" s="165" t="str">
        <x:v>統合判断</x:v>
      </x:c>
      <x:c r="X217" s="171" t="str">
        <x:v>D3</x:v>
      </x:c>
      <x:c r="Y217" s="165" t="str">
        <x:v>手摘みは人手不要; 強破砕; 収穫時に二次発酵</x:v>
      </x:c>
      <x:c r="Z217" s="171" t="str">
        <x:v>N</x:v>
      </x:c>
      <x:c r="AA217" s="165"/>
      <x:c r="AB217" s="165" t="str">
        <x:v>オリジナル</x:v>
      </x:c>
      <x:c r="AC217" s="165" t="str">
        <x:v>公式Specificationの範囲＋ユーザー作成コーパスの論点と問題設計例を参考に独自作成</x:v>
      </x:c>
      <x:c r="AD217" s="171" t="str">
        <x:v>未レビュー</x:v>
      </x:c>
      <x:c r="AE217" s="171"/>
      <x:c r="AF217" s="171"/>
      <x:c r="AG217" s="166"/>
    </x:row>
    <x:row r="218" ht="84" customHeight="1">
      <x:c r="A218" s="164" t="str">
        <x:v>LO3-057</x:v>
      </x:c>
      <x:c r="B218" s="171" t="str">
        <x:v>LO3</x:v>
      </x:c>
      <x:c r="C218" s="165" t="str">
        <x:v>世界の主要な発泡性ワイン</x:v>
      </x:c>
      <x:c r="D218" s="165" t="str">
        <x:v>長期澱熟成と価格</x:v>
      </x:c>
      <x:c r="E218" s="165" t="str">
        <x:v>長期間の瓶内澱熟成が発泡性ワインの価格を上げる主な理由はどれか。</x:v>
      </x:c>
      <x:c r="F218" s="165" t="str">
        <x:v>在庫を長く保管する資金、貯蔵空間、瓶の取り扱いが必要になる</x:v>
      </x:c>
      <x:c r="G218" s="165" t="str">
        <x:v>熟成中にワイン量が必ず倍になり、税金が倍になる</x:v>
      </x:c>
      <x:c r="H218" s="165" t="str">
        <x:v>澱が金へ変化し、原材料費が上がる</x:v>
      </x:c>
      <x:c r="I218" s="165" t="str">
        <x:v>瓶内圧力がゼロになり、再び炭酸ガスを注入する必要がある</x:v>
      </x:c>
      <x:c r="J218" s="171" t="str">
        <x:v>A</x:v>
      </x:c>
      <x:c r="K218" s="165" t="str">
        <x:v>在庫を長く保管する資金、貯蔵空間、瓶の取り扱いが必要になる</x:v>
      </x:c>
      <x:c r="L218" s="165" t="str">
        <x:v>販売まで資金が回収できず、温度管理された貯蔵スペースと作業が必要な一方、自己分解香と質感が発達する。</x:v>
      </x:c>
      <x:c r="M218" s="165" t="str">
        <x:v>正しい。 販売まで資金が回収できず、温度管理された貯蔵スペースと作業が必要な一方、自己分解香と質感が発達する。</x:v>
      </x:c>
      <x:c r="N218" s="165" t="str">
        <x:v>誤り。 熟成でワイン量が倍になることはない。</x:v>
      </x:c>
      <x:c r="O218" s="165" t="str">
        <x:v>誤り。 澱は酵母由来で、金へ変わらない。</x:v>
      </x:c>
      <x:c r="P218" s="165" t="str">
        <x:v>誤り。 適切な密閉下では二酸化炭素を保持し、長期澱熟成だけで圧力がゼロにならない。</x:v>
      </x:c>
      <x:c r="Q218" s="165" t="str">
        <x:v>商業面・製法</x:v>
      </x:c>
      <x:c r="R218" s="165" t="str">
        <x:v>在庫・熟成コスト</x:v>
      </x:c>
      <x:c r="S218" s="165" t="str">
        <x:v>発泡性ワイン</x:v>
      </x:c>
      <x:c r="T218" s="165"/>
      <x:c r="U218" s="165"/>
      <x:c r="V218" s="165"/>
      <x:c r="W218" s="165" t="str">
        <x:v>統合判断</x:v>
      </x:c>
      <x:c r="X218" s="171" t="str">
        <x:v>D3</x:v>
      </x:c>
      <x:c r="Y218" s="165" t="str">
        <x:v>熟成で量倍増; 澱が金; 圧力ゼロ</x:v>
      </x:c>
      <x:c r="Z218" s="171" t="str">
        <x:v>N</x:v>
      </x:c>
      <x:c r="AA218" s="165"/>
      <x:c r="AB218" s="165" t="str">
        <x:v>オリジナル</x:v>
      </x:c>
      <x:c r="AC218" s="165" t="str">
        <x:v>公式Specificationの範囲＋ユーザー作成コーパスの論点と問題設計例を参考に独自作成</x:v>
      </x:c>
      <x:c r="AD218" s="171" t="str">
        <x:v>未レビュー</x:v>
      </x:c>
      <x:c r="AE218" s="171"/>
      <x:c r="AF218" s="171"/>
      <x:c r="AG218" s="166"/>
    </x:row>
    <x:row r="219" ht="84" customHeight="1">
      <x:c r="A219" s="164" t="str">
        <x:v>LO3-058</x:v>
      </x:c>
      <x:c r="B219" s="171" t="str">
        <x:v>LO3</x:v>
      </x:c>
      <x:c r="C219" s="165" t="str">
        <x:v>世界の主要な発泡性ワイン</x:v>
      </x:c>
      <x:c r="D219" s="165" t="str">
        <x:v>ドザージュと酸のバランス</x:v>
      </x:c>
      <x:c r="E219" s="165" t="str">
        <x:v>高い酸を持つ発泡性ワインに少量のドザージュを行う効果として最も適切なものはどれか。</x:v>
      </x:c>
      <x:c r="F219" s="165" t="str">
        <x:v>酸を化学的にすべて除去し、pHを中性にする</x:v>
      </x:c>
      <x:c r="G219" s="165" t="str">
        <x:v>酸味を和らげ、果実味と全体のバランスを整える</x:v>
      </x:c>
      <x:c r="H219" s="165" t="str">
        <x:v>タンニンと色を最大限抽出する</x:v>
      </x:c>
      <x:c r="I219" s="165" t="str">
        <x:v>二次発酵前のブドウを成熟させる</x:v>
      </x:c>
      <x:c r="J219" s="171" t="str">
        <x:v>B</x:v>
      </x:c>
      <x:c r="K219" s="165" t="str">
        <x:v>酸味を和らげ、果実味と全体のバランスを整える</x:v>
      </x:c>
      <x:c r="L219" s="165" t="str">
        <x:v>残糖が少量でも高い酸の鋭さを和らげ、ワインを調和させることがある。目的は単に甘口にすることだけではない。</x:v>
      </x:c>
      <x:c r="M219" s="165" t="str">
        <x:v>誤り。 ドザージュは知覚上のバランスを変えるが、酸をすべて除去しない。</x:v>
      </x:c>
      <x:c r="N219" s="165" t="str">
        <x:v>正しい。 残糖が少量でも高い酸の鋭さを和らげ、ワインを調和させることがある。目的は単に甘口にすることだけではない。</x:v>
      </x:c>
      <x:c r="O219" s="165" t="str">
        <x:v>誤り。 瓶詰め後の甘味調整で、果皮抽出とは関係しない。</x:v>
      </x:c>
      <x:c r="P219" s="165" t="str">
        <x:v>誤り。 ドザージュは澱抜き後に行われ、畑の成熟には影響しない。</x:v>
      </x:c>
      <x:c r="Q219" s="165" t="str">
        <x:v>発泡性ワイン製法</x:v>
      </x:c>
      <x:c r="R219" s="165" t="str">
        <x:v>ドザージュ・バランス</x:v>
      </x:c>
      <x:c r="S219" s="165" t="str">
        <x:v>発泡性ワイン</x:v>
      </x:c>
      <x:c r="T219" s="165"/>
      <x:c r="U219" s="165"/>
      <x:c r="V219" s="165"/>
      <x:c r="W219" s="165" t="str">
        <x:v>因果説明</x:v>
      </x:c>
      <x:c r="X219" s="171" t="str">
        <x:v>D2</x:v>
      </x:c>
      <x:c r="Y219" s="165" t="str">
        <x:v>ドザージュで酸全除去; 色タンニン抽出; 畑の成熟</x:v>
      </x:c>
      <x:c r="Z219" s="171" t="str">
        <x:v>N</x:v>
      </x:c>
      <x:c r="AA219" s="165"/>
      <x:c r="AB219" s="165" t="str">
        <x:v>オリジナル</x:v>
      </x:c>
      <x:c r="AC219" s="165" t="str">
        <x:v>公式Specificationの範囲＋ユーザー作成コーパスの論点と問題設計例を参考に独自作成</x:v>
      </x:c>
      <x:c r="AD219" s="171" t="str">
        <x:v>未レビュー</x:v>
      </x:c>
      <x:c r="AE219" s="171"/>
      <x:c r="AF219" s="171"/>
      <x:c r="AG219" s="166"/>
    </x:row>
    <x:row r="220" ht="84" customHeight="1">
      <x:c r="A220" s="164" t="str">
        <x:v>LO3-059</x:v>
      </x:c>
      <x:c r="B220" s="171" t="str">
        <x:v>LO3</x:v>
      </x:c>
      <x:c r="C220" s="165" t="str">
        <x:v>世界の主要な発泡性ワイン</x:v>
      </x:c>
      <x:c r="D220" s="165" t="str">
        <x:v>発泡性ワインの栓とミュズレ</x:v>
      </x:c>
      <x:c r="E220" s="165" t="str">
        <x:v>発泡性ワインのコルク栓をミュズレ（ワイヤー留め）で固定する主な理由はどれか。</x:v>
      </x:c>
      <x:c r="F220" s="165" t="str">
        <x:v>ワイヤーが二次発酵の糖を供給する</x:v>
      </x:c>
      <x:c r="G220" s="165" t="str">
        <x:v>ワイヤーからオーク香を抽出する</x:v>
      </x:c>
      <x:c r="H220" s="165" t="str">
        <x:v>高い瓶内圧力で栓が飛び出すのを防ぐ</x:v>
      </x:c>
      <x:c r="I220" s="165" t="str">
        <x:v>栓を外した後に圧力を増やす</x:v>
      </x:c>
      <x:c r="J220" s="171" t="str">
        <x:v>C</x:v>
      </x:c>
      <x:c r="K220" s="165" t="str">
        <x:v>高い瓶内圧力で栓が飛び出すのを防ぐ</x:v>
      </x:c>
      <x:c r="L220" s="165" t="str">
        <x:v>発泡性ワインは数気圧の圧力を持つため、圧縮した栓をワイヤーで固定して輸送・保管中の安全と密閉性を保つ。</x:v>
      </x:c>
      <x:c r="M220" s="165" t="str">
        <x:v>誤り。 糖はティラージュで加え、ワイヤーは栓の固定具である。</x:v>
      </x:c>
      <x:c r="N220" s="165" t="str">
        <x:v>誤り。 ミュズレは香味付与のためではない。</x:v>
      </x:c>
      <x:c r="O220" s="165" t="str">
        <x:v>正しい。 発泡性ワインは数気圧の圧力を持つため、圧縮した栓をワイヤーで固定して輸送・保管中の安全と密閉性を保つ。</x:v>
      </x:c>
      <x:c r="P220" s="165" t="str">
        <x:v>誤り。 目的は開栓前に栓を保持することで、開栓後に圧力を増やさない。</x:v>
      </x:c>
      <x:c r="Q220" s="165" t="str">
        <x:v>包装・サービス</x:v>
      </x:c>
      <x:c r="R220" s="165" t="str">
        <x:v>栓・圧力</x:v>
      </x:c>
      <x:c r="S220" s="165" t="str">
        <x:v>発泡性ワイン</x:v>
      </x:c>
      <x:c r="T220" s="165"/>
      <x:c r="U220" s="165"/>
      <x:c r="V220" s="165"/>
      <x:c r="W220" s="165" t="str">
        <x:v>知識確認</x:v>
      </x:c>
      <x:c r="X220" s="171" t="str">
        <x:v>D1</x:v>
      </x:c>
      <x:c r="Y220" s="165" t="str">
        <x:v>ミュズレが糖・オーク香・開栓後圧力を供給</x:v>
      </x:c>
      <x:c r="Z220" s="171" t="str">
        <x:v>N</x:v>
      </x:c>
      <x:c r="AA220" s="165"/>
      <x:c r="AB220" s="165" t="str">
        <x:v>オリジナル</x:v>
      </x:c>
      <x:c r="AC220" s="165" t="str">
        <x:v>公式Specificationの範囲＋ユーザー作成コーパスの論点と問題設計例を参考に独自作成</x:v>
      </x:c>
      <x:c r="AD220" s="171" t="str">
        <x:v>未レビュー</x:v>
      </x:c>
      <x:c r="AE220" s="171"/>
      <x:c r="AF220" s="171"/>
      <x:c r="AG220" s="166"/>
    </x:row>
    <x:row r="221" ht="84" customHeight="1">
      <x:c r="A221" s="164" t="str">
        <x:v>LO3-060</x:v>
      </x:c>
      <x:c r="B221" s="171" t="str">
        <x:v>LO3</x:v>
      </x:c>
      <x:c r="C221" s="165" t="str">
        <x:v>世界の主要な発泡性ワイン</x:v>
      </x:c>
      <x:c r="D221" s="165" t="str">
        <x:v>シャンパーニュの品種ブレンド</x:v>
      </x:c>
      <x:c r="E221" s="165" t="str">
        <x:v>シャンパーニュのブレンドにおける三品種の役割を最も適切に説明しているものはどれか。</x:v>
      </x:c>
      <x:c r="F221" s="165" t="str">
        <x:v>三品種はすべて同一の香りと構造を持ち、ブレンドの意味はない</x:v>
      </x:c>
      <x:c r="G221" s="165" t="str">
        <x:v>シャルドネは黒い色、ピノ・ノワールはマスカット香、ムーニエはフロールを与える</x:v>
      </x:c>
      <x:c r="H221" s="165" t="str">
        <x:v>三品種は発酵途中で酒精強化しなければ泡を作れない</x:v>
      </x:c>
      <x:c r="I221" s="165" t="str">
        <x:v>シャルドネは酸と繊細さ、ピノ・ノワールはボディと構造、ムーニエは果実味と早い親しみやすさを与えやすい</x:v>
      </x:c>
      <x:c r="J221" s="171" t="str">
        <x:v>D</x:v>
      </x:c>
      <x:c r="K221" s="165" t="str">
        <x:v>シャルドネは酸と繊細さ、ピノ・ノワールはボディと構造、ムーニエは果実味と早い親しみやすさを与えやすい</x:v>
      </x:c>
      <x:c r="L221" s="165" t="str">
        <x:v>三品種の異なる性質を組み合わせることで、フレッシュさ、構造、果実味、熟成能力のバランスを調整できる。</x:v>
      </x:c>
      <x:c r="M221" s="165" t="str">
        <x:v>誤り。 品種ごとに成熟特性とワインへの寄与が異なるため、ブレンドには明確な意味がある。</x:v>
      </x:c>
      <x:c r="N221" s="165" t="str">
        <x:v>誤り。 シャルドネは白品種で、マスカット香やフロールはこれらの役割ではない。</x:v>
      </x:c>
      <x:c r="O221" s="165" t="str">
        <x:v>誤り。 シャンパーニュは酒精強化せず、瓶内二次発酵で泡を得る。</x:v>
      </x:c>
      <x:c r="P221" s="165" t="str">
        <x:v>正しい。 三品種の異なる性質を組み合わせることで、フレッシュさ、構造、果実味、熟成能力のバランスを調整できる。</x:v>
      </x:c>
      <x:c r="Q221" s="165" t="str">
        <x:v>品種・ブレンド</x:v>
      </x:c>
      <x:c r="R221" s="165" t="str">
        <x:v>シャンパーニュ・品種役割</x:v>
      </x:c>
      <x:c r="S221" s="165" t="str">
        <x:v>発泡性ワイン</x:v>
      </x:c>
      <x:c r="T221" s="165" t="str">
        <x:v>フランス</x:v>
      </x:c>
      <x:c r="U221" s="165" t="str">
        <x:v>シャンパーニュ</x:v>
      </x:c>
      <x:c r="V221" s="165" t="str">
        <x:v>シャルドネ、ピノ・ノワール、ムーニエ</x:v>
      </x:c>
      <x:c r="W221" s="165" t="str">
        <x:v>統合判断</x:v>
      </x:c>
      <x:c r="X221" s="171" t="str">
        <x:v>D3</x:v>
      </x:c>
      <x:c r="Y221" s="165" t="str">
        <x:v>三品種は同一; 色・マスカット・フロールの役割混同; 酒精強化必須</x:v>
      </x:c>
      <x:c r="Z221" s="171" t="str">
        <x:v>N</x:v>
      </x:c>
      <x:c r="AA221" s="165"/>
      <x:c r="AB221" s="165" t="str">
        <x:v>オリジナル</x:v>
      </x:c>
      <x:c r="AC221" s="165" t="str">
        <x:v>公式Specificationの範囲＋ユーザー作成コーパスの論点と問題設計例を参考に独自作成</x:v>
      </x:c>
      <x:c r="AD221" s="171" t="str">
        <x:v>未レビュー</x:v>
      </x:c>
      <x:c r="AE221" s="171"/>
      <x:c r="AF221" s="171"/>
      <x:c r="AG221" s="166"/>
    </x:row>
    <x:row r="222" ht="84" customHeight="1">
      <x:c r="A222" s="164" t="str">
        <x:v>LO4-021</x:v>
      </x:c>
      <x:c r="B222" s="171" t="str">
        <x:v>LO4</x:v>
      </x:c>
      <x:c r="C222" s="165" t="str">
        <x:v>世界の主要な酒精強化ワイン</x:v>
      </x:c>
      <x:c r="D222" s="165" t="str">
        <x:v>トウリガ・ナシオナル</x:v>
      </x:c>
      <x:c r="E222" s="165" t="str">
        <x:v>ポートのブレンドでトウリガ・ナシオナルが貢献しやすい特徴はどれか。</x:v>
      </x:c>
      <x:c r="F222" s="165" t="str">
        <x:v>深い色、高いタンニン、凝縮した黒系果実と花の香り</x:v>
      </x:c>
      <x:c r="G222" s="165" t="str">
        <x:v>非常に淡い色、低いタンニン、青リンゴの香り</x:v>
      </x:c>
      <x:c r="H222" s="165" t="str">
        <x:v>フロールを形成し、アーモンド香だけを与える</x:v>
      </x:c>
      <x:c r="I222" s="165" t="str">
        <x:v>白ブドウとして高い酸の辛口白だけを造る</x:v>
      </x:c>
      <x:c r="J222" s="171" t="str">
        <x:v>A</x:v>
      </x:c>
      <x:c r="K222" s="165" t="str">
        <x:v>深い色、高いタンニン、凝縮した黒系果実と花の香り</x:v>
      </x:c>
      <x:c r="L222" s="165" t="str">
        <x:v>トウリガ・ナシオナルは低収量になりやすい一方、色、構造、香り、熟成能力を与える高品質な黒ブドウである。</x:v>
      </x:c>
      <x:c r="M222" s="165" t="str">
        <x:v>正しい。 トウリガ・ナシオナルは低収量になりやすい一方、色、構造、香り、熟成能力を与える高品質な黒ブドウである。</x:v>
      </x:c>
      <x:c r="N222" s="165" t="str">
        <x:v>誤り。 これは黒ブドウのトウリガ・ナシオナルの典型ではない。</x:v>
      </x:c>
      <x:c r="O222" s="165" t="str">
        <x:v>誤り。 フロールは酵母膜であり、品種が直接形成するものではない。</x:v>
      </x:c>
      <x:c r="P222" s="165" t="str">
        <x:v>誤り。 トウリガ・ナシオナルは黒ブドウで、ポートの赤いブレンドに用いられる。</x:v>
      </x:c>
      <x:c r="Q222" s="165" t="str">
        <x:v>品種・産地</x:v>
      </x:c>
      <x:c r="R222" s="165" t="str">
        <x:v>ポート主要品種</x:v>
      </x:c>
      <x:c r="S222" s="165" t="str">
        <x:v>酒精強化ワイン</x:v>
      </x:c>
      <x:c r="T222" s="165" t="str">
        <x:v>ポルトガル</x:v>
      </x:c>
      <x:c r="U222" s="165" t="str">
        <x:v>ドウロ</x:v>
      </x:c>
      <x:c r="V222" s="165" t="str">
        <x:v>トウリガ・ナシオナル</x:v>
      </x:c>
      <x:c r="W222" s="165" t="str">
        <x:v>知識確認</x:v>
      </x:c>
      <x:c r="X222" s="171" t="str">
        <x:v>D1</x:v>
      </x:c>
      <x:c r="Y222" s="165" t="str">
        <x:v>トウリガは淡色白品種; 品種がフロール形成</x:v>
      </x:c>
      <x:c r="Z222" s="171" t="str">
        <x:v>N</x:v>
      </x:c>
      <x:c r="AA222" s="165"/>
      <x:c r="AB222" s="165" t="str">
        <x:v>オリジナル</x:v>
      </x:c>
      <x:c r="AC222" s="165" t="str">
        <x:v>公式Specificationの範囲＋ユーザー作成コーパスの論点と問題設計例を参考に独自作成</x:v>
      </x:c>
      <x:c r="AD222" s="171" t="str">
        <x:v>未レビュー</x:v>
      </x:c>
      <x:c r="AE222" s="171"/>
      <x:c r="AF222" s="171"/>
      <x:c r="AG222" s="166"/>
    </x:row>
    <x:row r="223" ht="84" customHeight="1">
      <x:c r="A223" s="164" t="str">
        <x:v>LO4-022</x:v>
      </x:c>
      <x:c r="B223" s="171" t="str">
        <x:v>LO4</x:v>
      </x:c>
      <x:c r="C223" s="165" t="str">
        <x:v>世界の主要な酒精強化ワイン</x:v>
      </x:c>
      <x:c r="D223" s="165" t="str">
        <x:v>トウリガ・フランカ</x:v>
      </x:c>
      <x:c r="E223" s="165" t="str">
        <x:v>ポートのブレンドでトウリガ・フランカが重要となる理由として最も適切なものはどれか。</x:v>
      </x:c>
      <x:c r="F223" s="165" t="str">
        <x:v>冷涼多雨でしか成熟せず、酸のない白ワインだけを造る</x:v>
      </x:c>
      <x:c r="G223" s="165" t="str">
        <x:v>暑く乾燥した条件で比較的安定して成熟し、色と芳香をブレンドへ与える</x:v>
      </x:c>
      <x:c r="H223" s="165" t="str">
        <x:v>果皮がなく、色とタンニンを全く与えない</x:v>
      </x:c>
      <x:c r="I223" s="165" t="str">
        <x:v>瓶内二次発酵により泡を作るためだけに用いる</x:v>
      </x:c>
      <x:c r="J223" s="171" t="str">
        <x:v>B</x:v>
      </x:c>
      <x:c r="K223" s="165" t="str">
        <x:v>暑く乾燥した条件で比較的安定して成熟し、色と芳香をブレンドへ与える</x:v>
      </x:c>
      <x:c r="L223" s="165" t="str">
        <x:v>トウリガ・フランカはドウロの条件に適応し、花や黒系果実の香り、色、タンニンを与えるため、広く植えられている。</x:v>
      </x:c>
      <x:c r="M223" s="165" t="str">
        <x:v>誤り。 ドウロの温暖で乾燥した条件に適し、黒ブドウとして赤ポートに用いられる。</x:v>
      </x:c>
      <x:c r="N223" s="165" t="str">
        <x:v>正しい。 トウリガ・フランカはドウロの条件に適応し、花や黒系果実の香り、色、タンニンを与えるため、広く植えられている。</x:v>
      </x:c>
      <x:c r="O223" s="165" t="str">
        <x:v>誤り。 黒ブドウの果皮から色とフェノールを与える。</x:v>
      </x:c>
      <x:c r="P223" s="165" t="str">
        <x:v>誤り。 ポートは酒精強化ワインで、発泡性ワイン用の品種ではない。</x:v>
      </x:c>
      <x:c r="Q223" s="165" t="str">
        <x:v>品種・産地</x:v>
      </x:c>
      <x:c r="R223" s="165" t="str">
        <x:v>ポート主要品種</x:v>
      </x:c>
      <x:c r="S223" s="165" t="str">
        <x:v>酒精強化ワイン</x:v>
      </x:c>
      <x:c r="T223" s="165" t="str">
        <x:v>ポルトガル</x:v>
      </x:c>
      <x:c r="U223" s="165" t="str">
        <x:v>ドウロ</x:v>
      </x:c>
      <x:c r="V223" s="165" t="str">
        <x:v>トウリガ・フランカ</x:v>
      </x:c>
      <x:c r="W223" s="165" t="str">
        <x:v>因果説明</x:v>
      </x:c>
      <x:c r="X223" s="171" t="str">
        <x:v>D2</x:v>
      </x:c>
      <x:c r="Y223" s="165" t="str">
        <x:v>トウリガフランカは白・無色; 発泡専用品種</x:v>
      </x:c>
      <x:c r="Z223" s="171" t="str">
        <x:v>N</x:v>
      </x:c>
      <x:c r="AA223" s="165"/>
      <x:c r="AB223" s="165" t="str">
        <x:v>オリジナル</x:v>
      </x:c>
      <x:c r="AC223" s="165" t="str">
        <x:v>公式Specificationの範囲＋ユーザー作成コーパスの論点と問題設計例を参考に独自作成</x:v>
      </x:c>
      <x:c r="AD223" s="171" t="str">
        <x:v>未レビュー</x:v>
      </x:c>
      <x:c r="AE223" s="171"/>
      <x:c r="AF223" s="171"/>
      <x:c r="AG223" s="166"/>
    </x:row>
    <x:row r="224" ht="84" customHeight="1">
      <x:c r="A224" s="164" t="str">
        <x:v>LO4-023</x:v>
      </x:c>
      <x:c r="B224" s="171" t="str">
        <x:v>LO4</x:v>
      </x:c>
      <x:c r="C224" s="165" t="str">
        <x:v>世界の主要な酒精強化ワイン</x:v>
      </x:c>
      <x:c r="D224" s="165" t="str">
        <x:v>ティンタ・ロリス</x:v>
      </x:c>
      <x:c r="E224" s="165" t="str">
        <x:v>ティンタ・ロリスがポートのブレンドに与えやすい特徴はどれか。</x:v>
      </x:c>
      <x:c r="F224" s="165" t="str">
        <x:v>強いマスカット香と低いアルコールの白い泡</x:v>
      </x:c>
      <x:c r="G224" s="165" t="str">
        <x:v>フロール由来のアセトアルデヒド香だけ</x:v>
      </x:c>
      <x:c r="H224" s="165" t="str">
        <x:v>熟した赤・黒系果実、ボディ、タンニンによる構造</x:v>
      </x:c>
      <x:c r="I224" s="165" t="str">
        <x:v>酸をすべて除去し、無色にする</x:v>
      </x:c>
      <x:c r="J224" s="171" t="str">
        <x:v>C</x:v>
      </x:c>
      <x:c r="K224" s="165" t="str">
        <x:v>熟した赤・黒系果実、ボディ、タンニンによる構造</x:v>
      </x:c>
      <x:c r="L224" s="165" t="str">
        <x:v>ティンタ・ロリスはテンプラニーリョと同じ品種で、ドウロでは果実味と構造をブレンドへ与える。</x:v>
      </x:c>
      <x:c r="M224" s="165" t="str">
        <x:v>誤り。 ティンタ・ロリスは黒ブドウで、マスカット系白品種ではない。</x:v>
      </x:c>
      <x:c r="N224" s="165" t="str">
        <x:v>誤り。 フロールはシェリーの熟成に関連し、品種の主要な役割ではない。</x:v>
      </x:c>
      <x:c r="O224" s="165" t="str">
        <x:v>正しい。 ティンタ・ロリスはテンプラニーリョと同じ品種で、ドウロでは果実味と構造をブレンドへ与える。</x:v>
      </x:c>
      <x:c r="P224" s="165" t="str">
        <x:v>誤り。 品種が酸をすべて除去したり、ワインを無色にしたりするものではない。</x:v>
      </x:c>
      <x:c r="Q224" s="165" t="str">
        <x:v>品種・産地</x:v>
      </x:c>
      <x:c r="R224" s="165" t="str">
        <x:v>ポート主要品種</x:v>
      </x:c>
      <x:c r="S224" s="165" t="str">
        <x:v>酒精強化ワイン</x:v>
      </x:c>
      <x:c r="T224" s="165" t="str">
        <x:v>ポルトガル</x:v>
      </x:c>
      <x:c r="U224" s="165" t="str">
        <x:v>ドウロ</x:v>
      </x:c>
      <x:c r="V224" s="165" t="str">
        <x:v>ティンタ・ロリス</x:v>
      </x:c>
      <x:c r="W224" s="165" t="str">
        <x:v>知識確認</x:v>
      </x:c>
      <x:c r="X224" s="171" t="str">
        <x:v>D1</x:v>
      </x:c>
      <x:c r="Y224" s="165" t="str">
        <x:v>ティンタロリスは白泡・フロール・脱色</x:v>
      </x:c>
      <x:c r="Z224" s="171" t="str">
        <x:v>N</x:v>
      </x:c>
      <x:c r="AA224" s="165"/>
      <x:c r="AB224" s="165" t="str">
        <x:v>オリジナル</x:v>
      </x:c>
      <x:c r="AC224" s="165" t="str">
        <x:v>公式Specificationの範囲＋ユーザー作成コーパスの論点と問題設計例を参考に独自作成</x:v>
      </x:c>
      <x:c r="AD224" s="171" t="str">
        <x:v>未レビュー</x:v>
      </x:c>
      <x:c r="AE224" s="171"/>
      <x:c r="AF224" s="171"/>
      <x:c r="AG224" s="166"/>
    </x:row>
    <x:row r="225" ht="84" customHeight="1">
      <x:c r="A225" s="164" t="str">
        <x:v>LO4-024</x:v>
      </x:c>
      <x:c r="B225" s="171" t="str">
        <x:v>LO4</x:v>
      </x:c>
      <x:c r="C225" s="165" t="str">
        <x:v>世界の主要な酒精強化ワイン</x:v>
      </x:c>
      <x:c r="D225" s="165" t="str">
        <x:v>ポートの品種ブレンド</x:v>
      </x:c>
      <x:c r="E225" s="165" t="str">
        <x:v>複数のポート用黒ブドウ品種をブレンドする主な利点はどれか。</x:v>
      </x:c>
      <x:c r="F225" s="165" t="str">
        <x:v>ブレンドすると全品種が同じ遺伝子へ変わる</x:v>
      </x:c>
      <x:c r="G225" s="165" t="str">
        <x:v>酒精強化を行わなくても、自然にアルコール20％になる</x:v>
      </x:c>
      <x:c r="H225" s="165" t="str">
        <x:v>色とタンニンをすべて取り除き、白くする</x:v>
      </x:c>
      <x:c r="I225" s="165" t="str">
        <x:v>色、香り、酸、タンニン、成熟時期の違いを組み合わせ、バランスとヴィンテージへの対応力を高める</x:v>
      </x:c>
      <x:c r="J225" s="171" t="str">
        <x:v>D</x:v>
      </x:c>
      <x:c r="K225" s="165" t="str">
        <x:v>色、香り、酸、タンニン、成熟時期の違いを組み合わせ、バランスとヴィンテージへの対応力を高める</x:v>
      </x:c>
      <x:c r="L225" s="165" t="str">
        <x:v>品種ごとに強みと成熟特性が異なるため、複数品種を使うことで複雑性、構造、安定した品質を得やすい。</x:v>
      </x:c>
      <x:c r="M225" s="165" t="str">
        <x:v>誤り。 ブレンドはワインを混ぜる工程で、品種の遺伝子を変えない。</x:v>
      </x:c>
      <x:c r="N225" s="165" t="str">
        <x:v>誤り。 高いアルコールは蒸留酒の添加による酒精強化で得る。</x:v>
      </x:c>
      <x:c r="O225" s="165" t="str">
        <x:v>誤り。 多くのポートでは色と構造を得るために黒ブドウを用いる。</x:v>
      </x:c>
      <x:c r="P225" s="165" t="str">
        <x:v>正しい。 品種ごとに強みと成熟特性が異なるため、複数品種を使うことで複雑性、構造、安定した品質を得やすい。</x:v>
      </x:c>
      <x:c r="Q225" s="165" t="str">
        <x:v>品種・ブレンド</x:v>
      </x:c>
      <x:c r="R225" s="165" t="str">
        <x:v>複数品種・バランス</x:v>
      </x:c>
      <x:c r="S225" s="165" t="str">
        <x:v>酒精強化ワイン</x:v>
      </x:c>
      <x:c r="T225" s="165" t="str">
        <x:v>ポルトガル</x:v>
      </x:c>
      <x:c r="U225" s="165" t="str">
        <x:v>ドウロ</x:v>
      </x:c>
      <x:c r="V225" s="165"/>
      <x:c r="W225" s="165" t="str">
        <x:v>統合判断</x:v>
      </x:c>
      <x:c r="X225" s="171" t="str">
        <x:v>D2</x:v>
      </x:c>
      <x:c r="Y225" s="165" t="str">
        <x:v>ブレンドで遺伝子変更; 自然に高アルコール; 脱色</x:v>
      </x:c>
      <x:c r="Z225" s="171" t="str">
        <x:v>N</x:v>
      </x:c>
      <x:c r="AA225" s="165"/>
      <x:c r="AB225" s="165" t="str">
        <x:v>オリジナル</x:v>
      </x:c>
      <x:c r="AC225" s="165" t="str">
        <x:v>公式Specificationの範囲＋ユーザー作成コーパスの論点と問題設計例を参考に独自作成</x:v>
      </x:c>
      <x:c r="AD225" s="171" t="str">
        <x:v>未レビュー</x:v>
      </x:c>
      <x:c r="AE225" s="171"/>
      <x:c r="AF225" s="171"/>
      <x:c r="AG225" s="166"/>
    </x:row>
    <x:row r="226" ht="84" customHeight="1">
      <x:c r="A226" s="164" t="str">
        <x:v>LO4-025</x:v>
      </x:c>
      <x:c r="B226" s="171" t="str">
        <x:v>LO4</x:v>
      </x:c>
      <x:c r="C226" s="165" t="str">
        <x:v>世界の主要な酒精強化ワイン</x:v>
      </x:c>
      <x:c r="D226" s="165" t="str">
        <x:v>バイショ・コルゴ</x:v>
      </x:c>
      <x:c r="E226" s="165" t="str">
        <x:v>バイショ・コルゴの気候をドウロ・スペリオールと比較した説明として最も適切なものはどれか。</x:v>
      </x:c>
      <x:c r="F226" s="165" t="str">
        <x:v>大西洋に近く、比較的冷涼で雨が多いため、一般に収量が高く軽めのワインになりやすい</x:v>
      </x:c>
      <x:c r="G226" s="165" t="str">
        <x:v>最も東に位置し、最も暑く乾燥している</x:v>
      </x:c>
      <x:c r="H226" s="165" t="str">
        <x:v>一年中凍結し、アイスワインだけを造る</x:v>
      </x:c>
      <x:c r="I226" s="165" t="str">
        <x:v>海面下の熱帯雨林で、日照がない</x:v>
      </x:c>
      <x:c r="J226" s="171" t="str">
        <x:v>A</x:v>
      </x:c>
      <x:c r="K226" s="165" t="str">
        <x:v>大西洋に近く、比較的冷涼で雨が多いため、一般に収量が高く軽めのワインになりやすい</x:v>
      </x:c>
      <x:c r="L226" s="165" t="str">
        <x:v>バイショ・コルゴはドウロ西部で海洋の影響が強く、東部より湿潤で、ブドウの成熟度と凝縮度は低くなりやすい。</x:v>
      </x:c>
      <x:c r="M226" s="165" t="str">
        <x:v>正しい。 バイショ・コルゴはドウロ西部で海洋の影響が強く、東部より湿潤で、ブドウの成熟度と凝縮度は低くなりやすい。</x:v>
      </x:c>
      <x:c r="N226" s="165" t="str">
        <x:v>誤り。 これはドウロ・スペリオールに近い説明である。</x:v>
      </x:c>
      <x:c r="O226" s="165" t="str">
        <x:v>誤り。 ドウロは温暖な地域で、アイスワイン産地ではない。</x:v>
      </x:c>
      <x:c r="P226" s="165" t="str">
        <x:v>誤り。 バイショ・コルゴは熱帯雨林でも海面下でもない。</x:v>
      </x:c>
      <x:c r="Q226" s="165" t="str">
        <x:v>自然要因・産地</x:v>
      </x:c>
      <x:c r="R226" s="165" t="str">
        <x:v>ドウロ小地域・気候</x:v>
      </x:c>
      <x:c r="S226" s="165" t="str">
        <x:v>酒精強化ワイン</x:v>
      </x:c>
      <x:c r="T226" s="165" t="str">
        <x:v>ポルトガル</x:v>
      </x:c>
      <x:c r="U226" s="165" t="str">
        <x:v>ドウロ／バイショ・コルゴ</x:v>
      </x:c>
      <x:c r="V226" s="165"/>
      <x:c r="W226" s="165" t="str">
        <x:v>比較</x:v>
      </x:c>
      <x:c r="X226" s="171" t="str">
        <x:v>D2</x:v>
      </x:c>
      <x:c r="Y226" s="165" t="str">
        <x:v>バイショは東部最乾燥; 凍結・熱帯</x:v>
      </x:c>
      <x:c r="Z226" s="171" t="str">
        <x:v>N</x:v>
      </x:c>
      <x:c r="AA226" s="165"/>
      <x:c r="AB226" s="165" t="str">
        <x:v>オリジナル</x:v>
      </x:c>
      <x:c r="AC226" s="165" t="str">
        <x:v>公式Specificationの範囲＋ユーザー作成コーパスの論点と問題設計例を参考に独自作成</x:v>
      </x:c>
      <x:c r="AD226" s="171" t="str">
        <x:v>未レビュー</x:v>
      </x:c>
      <x:c r="AE226" s="171"/>
      <x:c r="AF226" s="171"/>
      <x:c r="AG226" s="166"/>
    </x:row>
    <x:row r="227" ht="84" customHeight="1">
      <x:c r="A227" s="164" t="str">
        <x:v>LO4-026</x:v>
      </x:c>
      <x:c r="B227" s="171" t="str">
        <x:v>LO4</x:v>
      </x:c>
      <x:c r="C227" s="165" t="str">
        <x:v>世界の主要な酒精強化ワイン</x:v>
      </x:c>
      <x:c r="D227" s="165" t="str">
        <x:v>シマ・コルゴ</x:v>
      </x:c>
      <x:c r="E227" s="165" t="str">
        <x:v>シマ・コルゴが上質なヴィンテージ・ポートの重要な供給地となる理由はどれか。</x:v>
      </x:c>
      <x:c r="F227" s="165" t="str">
        <x:v>最も湿潤な平地で、極端な高収量だけを目的とする</x:v>
      </x:c>
      <x:c r="G227" s="165" t="str">
        <x:v>十分に温暖で乾燥しながら、極端な暑さがやや緩和され、凝縮した成熟ブドウを得やすい</x:v>
      </x:c>
      <x:c r="H227" s="165" t="str">
        <x:v>果房を海水へ浸して糖を加える</x:v>
      </x:c>
      <x:c r="I227" s="165" t="str">
        <x:v>発泡性ワイン用の低糖度ブドウだけを収穫する</x:v>
      </x:c>
      <x:c r="J227" s="171" t="str">
        <x:v>B</x:v>
      </x:c>
      <x:c r="K227" s="165" t="str">
        <x:v>十分に温暖で乾燥しながら、極端な暑さがやや緩和され、凝縮した成熟ブドウを得やすい</x:v>
      </x:c>
      <x:c r="L227" s="165" t="str">
        <x:v>シマ・コルゴはドウロ中央部に位置し、成熟と酸のバランスを得やすい急斜面の畑が多く、上質ポートの中心地となる。</x:v>
      </x:c>
      <x:c r="M227" s="165" t="str">
        <x:v>誤り。 急斜面と比較的乾燥した条件で、凝縮度が重要である。</x:v>
      </x:c>
      <x:c r="N227" s="165" t="str">
        <x:v>正しい。 シマ・コルゴはドウロ中央部に位置し、成熟と酸のバランスを得やすい急斜面の畑が多く、上質ポートの中心地となる。</x:v>
      </x:c>
      <x:c r="O227" s="165" t="str">
        <x:v>誤り。 糖はブドウの成熟で蓄積し、海水へ浸さない。</x:v>
      </x:c>
      <x:c r="P227" s="165" t="str">
        <x:v>誤り。 ポートには高い成熟度と濃い果実が求められる。</x:v>
      </x:c>
      <x:c r="Q227" s="165" t="str">
        <x:v>自然要因・産地</x:v>
      </x:c>
      <x:c r="R227" s="165" t="str">
        <x:v>ドウロ小地域・品質</x:v>
      </x:c>
      <x:c r="S227" s="165" t="str">
        <x:v>酒精強化ワイン</x:v>
      </x:c>
      <x:c r="T227" s="165" t="str">
        <x:v>ポルトガル</x:v>
      </x:c>
      <x:c r="U227" s="165" t="str">
        <x:v>ドウロ／シマ・コルゴ</x:v>
      </x:c>
      <x:c r="V227" s="165"/>
      <x:c r="W227" s="165" t="str">
        <x:v>統合判断</x:v>
      </x:c>
      <x:c r="X227" s="171" t="str">
        <x:v>D3</x:v>
      </x:c>
      <x:c r="Y227" s="165" t="str">
        <x:v>シマコルゴは湿潤平地高収量; 海水糖添加; 発泡用低糖</x:v>
      </x:c>
      <x:c r="Z227" s="171" t="str">
        <x:v>N</x:v>
      </x:c>
      <x:c r="AA227" s="165"/>
      <x:c r="AB227" s="165" t="str">
        <x:v>オリジナル</x:v>
      </x:c>
      <x:c r="AC227" s="165" t="str">
        <x:v>公式Specificationの範囲＋ユーザー作成コーパスの論点と問題設計例を参考に独自作成</x:v>
      </x:c>
      <x:c r="AD227" s="171" t="str">
        <x:v>未レビュー</x:v>
      </x:c>
      <x:c r="AE227" s="171"/>
      <x:c r="AF227" s="171"/>
      <x:c r="AG227" s="166"/>
    </x:row>
    <x:row r="228" ht="84" customHeight="1">
      <x:c r="A228" s="164" t="str">
        <x:v>LO4-027</x:v>
      </x:c>
      <x:c r="B228" s="171" t="str">
        <x:v>LO4</x:v>
      </x:c>
      <x:c r="C228" s="165" t="str">
        <x:v>世界の主要な酒精強化ワイン</x:v>
      </x:c>
      <x:c r="D228" s="165" t="str">
        <x:v>ドウロ・スペリオール</x:v>
      </x:c>
      <x:c r="E228" s="165" t="str">
        <x:v>ドウロ・スペリオールでブドウ栽培の水分管理が難しくなりやすい主な理由はどれか。</x:v>
      </x:c>
      <x:c r="F228" s="165" t="str">
        <x:v>一年中豪雨で土壌が常に冠水する</x:v>
      </x:c>
      <x:c r="G228" s="165" t="str">
        <x:v>氷河に覆われ、根が水を吸えない</x:v>
      </x:c>
      <x:c r="H228" s="165" t="str">
        <x:v>最も東に位置して暑く乾燥し、降雨が少なく蒸発量が大きい</x:v>
      </x:c>
      <x:c r="I228" s="165" t="str">
        <x:v>大西洋の冷たい霧が一日中畑を覆う</x:v>
      </x:c>
      <x:c r="J228" s="171" t="str">
        <x:v>C</x:v>
      </x:c>
      <x:c r="K228" s="165" t="str">
        <x:v>最も東に位置して暑く乾燥し、降雨が少なく蒸発量が大きい</x:v>
      </x:c>
      <x:c r="L228" s="165" t="str">
        <x:v>スペイン国境に近い東部は海洋の影響が弱く、極端な高温と乾燥が水不足を招きやすいため、若木などでは灌漑が重要になることがある。</x:v>
      </x:c>
      <x:c r="M228" s="165" t="str">
        <x:v>誤り。 ドウロ・スペリオールは最も乾燥した小地域である。</x:v>
      </x:c>
      <x:c r="N228" s="165" t="str">
        <x:v>誤り。 温暖で乾燥した地域で、氷河に覆われていない。</x:v>
      </x:c>
      <x:c r="O228" s="165" t="str">
        <x:v>正しい。 スペイン国境に近い東部は海洋の影響が弱く、極端な高温と乾燥が水不足を招きやすいため、若木などでは灌漑が重要になることがある。</x:v>
      </x:c>
      <x:c r="P228" s="165" t="str">
        <x:v>誤り。 東部は大西洋の影響が弱く、霧が主な問題ではない。</x:v>
      </x:c>
      <x:c r="Q228" s="165" t="str">
        <x:v>自然・人的要因</x:v>
      </x:c>
      <x:c r="R228" s="165" t="str">
        <x:v>乾燥・灌漑</x:v>
      </x:c>
      <x:c r="S228" s="165" t="str">
        <x:v>酒精強化ワイン</x:v>
      </x:c>
      <x:c r="T228" s="165" t="str">
        <x:v>ポルトガル</x:v>
      </x:c>
      <x:c r="U228" s="165" t="str">
        <x:v>ドウロ／ドウロ・スペリオール</x:v>
      </x:c>
      <x:c r="V228" s="165"/>
      <x:c r="W228" s="165" t="str">
        <x:v>因果説明</x:v>
      </x:c>
      <x:c r="X228" s="171" t="str">
        <x:v>D2</x:v>
      </x:c>
      <x:c r="Y228" s="165" t="str">
        <x:v>ドウロスペリオールは豪雨・氷河・沿岸霧</x:v>
      </x:c>
      <x:c r="Z228" s="171" t="str">
        <x:v>N</x:v>
      </x:c>
      <x:c r="AA228" s="165"/>
      <x:c r="AB228" s="165" t="str">
        <x:v>オリジナル</x:v>
      </x:c>
      <x:c r="AC228" s="165" t="str">
        <x:v>公式Specificationの範囲＋ユーザー作成コーパスの論点と問題設計例を参考に独自作成</x:v>
      </x:c>
      <x:c r="AD228" s="171" t="str">
        <x:v>未レビュー</x:v>
      </x:c>
      <x:c r="AE228" s="171"/>
      <x:c r="AF228" s="171"/>
      <x:c r="AG228" s="166"/>
    </x:row>
    <x:row r="229" ht="84" customHeight="1">
      <x:c r="A229" s="164" t="str">
        <x:v>LO4-028</x:v>
      </x:c>
      <x:c r="B229" s="171" t="str">
        <x:v>LO4</x:v>
      </x:c>
      <x:c r="C229" s="165" t="str">
        <x:v>世界の主要な酒精強化ワイン</x:v>
      </x:c>
      <x:c r="D229" s="165" t="str">
        <x:v>段々畑</x:v>
      </x:c>
      <x:c r="E229" s="165" t="str">
        <x:v>ドウロの急斜面を段々畑にする主な利点と欠点はどれか。</x:v>
      </x:c>
      <x:c r="F229" s="165" t="str">
        <x:v>斜面を完全に平地へ変え、すべての費用をなくす</x:v>
      </x:c>
      <x:c r="G229" s="165" t="str">
        <x:v>降雨を増やし、水不足を永久に解消する</x:v>
      </x:c>
      <x:c r="H229" s="165" t="str">
        <x:v>ブドウを酒精強化し、発酵を止める</x:v>
      </x:c>
      <x:c r="I229" s="165" t="str">
        <x:v>植栽と作業を可能にする一方、造成・維持費が高く、機械化が制限される</x:v>
      </x:c>
      <x:c r="J229" s="171" t="str">
        <x:v>D</x:v>
      </x:c>
      <x:c r="K229" s="165" t="str">
        <x:v>植栽と作業を可能にする一方、造成・維持費が高く、機械化が制限される</x:v>
      </x:c>
      <x:c r="L229" s="165" t="str">
        <x:v>斜面を整えることで土壌を保持しアクセスを改善するが、石壁やテラスの建設・補修、手作業が生産コストを押し上げる。</x:v>
      </x:c>
      <x:c r="M229" s="165" t="str">
        <x:v>誤り。 段々畑でも斜面は残り、造成と維持に大きな費用がかかる。</x:v>
      </x:c>
      <x:c r="N229" s="165" t="str">
        <x:v>誤り。 テラスは降雨量を変えず、水分管理が引き続き必要である。</x:v>
      </x:c>
      <x:c r="O229" s="165" t="str">
        <x:v>誤り。 酒精強化はワイナリーの工程で、段々畑の機能ではない。</x:v>
      </x:c>
      <x:c r="P229" s="165" t="str">
        <x:v>正しい。 斜面を整えることで土壌を保持しアクセスを改善するが、石壁やテラスの建設・補修、手作業が生産コストを押し上げる。</x:v>
      </x:c>
      <x:c r="Q229" s="165" t="str">
        <x:v>人的要因（畑）・商業</x:v>
      </x:c>
      <x:c r="R229" s="165" t="str">
        <x:v>段々畑・生産コスト</x:v>
      </x:c>
      <x:c r="S229" s="165" t="str">
        <x:v>酒精強化ワイン</x:v>
      </x:c>
      <x:c r="T229" s="165" t="str">
        <x:v>ポルトガル</x:v>
      </x:c>
      <x:c r="U229" s="165" t="str">
        <x:v>ドウロ</x:v>
      </x:c>
      <x:c r="V229" s="165"/>
      <x:c r="W229" s="165" t="str">
        <x:v>統合判断</x:v>
      </x:c>
      <x:c r="X229" s="171" t="str">
        <x:v>D3</x:v>
      </x:c>
      <x:c r="Y229" s="165" t="str">
        <x:v>テラスで費用ゼロ・降雨増加・酒精強化</x:v>
      </x:c>
      <x:c r="Z229" s="171" t="str">
        <x:v>N</x:v>
      </x:c>
      <x:c r="AA229" s="165"/>
      <x:c r="AB229" s="165" t="str">
        <x:v>オリジナル</x:v>
      </x:c>
      <x:c r="AC229" s="165" t="str">
        <x:v>公式Specificationの範囲＋ユーザー作成コーパスの論点と問題設計例を参考に独自作成</x:v>
      </x:c>
      <x:c r="AD229" s="171" t="str">
        <x:v>未レビュー</x:v>
      </x:c>
      <x:c r="AE229" s="171"/>
      <x:c r="AF229" s="171"/>
      <x:c r="AG229" s="166"/>
    </x:row>
    <x:row r="230" ht="84" customHeight="1">
      <x:c r="A230" s="164" t="str">
        <x:v>LO4-029</x:v>
      </x:c>
      <x:c r="B230" s="171" t="str">
        <x:v>LO4</x:v>
      </x:c>
      <x:c r="C230" s="165" t="str">
        <x:v>世界の主要な酒精強化ワイン</x:v>
      </x:c>
      <x:c r="D230" s="165" t="str">
        <x:v>ラガール</x:v>
      </x:c>
      <x:c r="E230" s="165" t="str">
        <x:v>伝統的なラガールで足踏みを行う利点として最も適切なものはどれか。</x:v>
      </x:c>
      <x:c r="F230" s="165" t="str">
        <x:v>短い発酵時間で、種を過度に砕かずに果皮から色とタンニンを効率よく抽出できる</x:v>
      </x:c>
      <x:c r="G230" s="165" t="str">
        <x:v>果汁を凍結し、水分を氷として除く</x:v>
      </x:c>
      <x:c r="H230" s="165" t="str">
        <x:v>フロールを育て、生物学的熟成を始める</x:v>
      </x:c>
      <x:c r="I230" s="165" t="str">
        <x:v>色とタンニンをすべて除去する</x:v>
      </x:c>
      <x:c r="J230" s="171" t="str">
        <x:v>A</x:v>
      </x:c>
      <x:c r="K230" s="165" t="str">
        <x:v>短い発酵時間で、種を過度に砕かずに果皮から色とタンニンを効率よく抽出できる</x:v>
      </x:c>
      <x:c r="L230" s="165" t="str">
        <x:v>人の足は果皮を押しつぶしながら種子を比較的壊しにくく、酒精強化までの短期間に均一な抽出を得やすい。</x:v>
      </x:c>
      <x:c r="M230" s="165" t="str">
        <x:v>正しい。 人の足は果皮を押しつぶしながら種子を比較的壊しにくく、酒精強化までの短期間に均一な抽出を得やすい。</x:v>
      </x:c>
      <x:c r="N230" s="165" t="str">
        <x:v>誤り。 足踏みは抽出のためで、凍結濃縮ではない。</x:v>
      </x:c>
      <x:c r="O230" s="165" t="str">
        <x:v>誤り。 フロール熟成はシェリーの工程である。</x:v>
      </x:c>
      <x:c r="P230" s="165" t="str">
        <x:v>誤り。 目的は短期間で色とタンニンを抽出することである。</x:v>
      </x:c>
      <x:c r="Q230" s="165" t="str">
        <x:v>酒精強化ワイン製法</x:v>
      </x:c>
      <x:c r="R230" s="165" t="str">
        <x:v>ポート・抽出・ラガール</x:v>
      </x:c>
      <x:c r="S230" s="165" t="str">
        <x:v>酒精強化ワイン</x:v>
      </x:c>
      <x:c r="T230" s="165" t="str">
        <x:v>ポルトガル</x:v>
      </x:c>
      <x:c r="U230" s="165" t="str">
        <x:v>ドウロ</x:v>
      </x:c>
      <x:c r="V230" s="165"/>
      <x:c r="W230" s="165" t="str">
        <x:v>因果説明</x:v>
      </x:c>
      <x:c r="X230" s="171" t="str">
        <x:v>D2</x:v>
      </x:c>
      <x:c r="Y230" s="165" t="str">
        <x:v>ラガールは凍結・フロール・脱色</x:v>
      </x:c>
      <x:c r="Z230" s="171" t="str">
        <x:v>N</x:v>
      </x:c>
      <x:c r="AA230" s="165"/>
      <x:c r="AB230" s="165" t="str">
        <x:v>オリジナル</x:v>
      </x:c>
      <x:c r="AC230" s="165" t="str">
        <x:v>公式Specificationの範囲＋ユーザー作成コーパスの論点と問題設計例を参考に独自作成</x:v>
      </x:c>
      <x:c r="AD230" s="171" t="str">
        <x:v>未レビュー</x:v>
      </x:c>
      <x:c r="AE230" s="171"/>
      <x:c r="AF230" s="171"/>
      <x:c r="AG230" s="166"/>
    </x:row>
    <x:row r="231" ht="84" customHeight="1">
      <x:c r="A231" s="164" t="str">
        <x:v>LO4-030</x:v>
      </x:c>
      <x:c r="B231" s="171" t="str">
        <x:v>LO4</x:v>
      </x:c>
      <x:c r="C231" s="165" t="str">
        <x:v>世界の主要な酒精強化ワイン</x:v>
      </x:c>
      <x:c r="D231" s="165" t="str">
        <x:v>オートヴィニファイアー</x:v>
      </x:c>
      <x:c r="E231" s="165" t="str">
        <x:v>オートヴィニファイアーがポート生産で抽出を促す仕組みはどれか。</x:v>
      </x:c>
      <x:c r="F231" s="165" t="str">
        <x:v>外部から酸素を固体として加え、種を凍結する</x:v>
      </x:c>
      <x:c r="G231" s="165" t="str">
        <x:v>発酵で生じる二酸化炭素の圧力を利用し、果汁を果皮の層へ循環させる</x:v>
      </x:c>
      <x:c r="H231" s="165" t="str">
        <x:v>瓶内の澱を口元へ集める</x:v>
      </x:c>
      <x:c r="I231" s="165" t="str">
        <x:v>酒精強化後のポートからアルコールを除去する</x:v>
      </x:c>
      <x:c r="J231" s="171" t="str">
        <x:v>B</x:v>
      </x:c>
      <x:c r="K231" s="165" t="str">
        <x:v>発酵で生じる二酸化炭素の圧力を利用し、果汁を果皮の層へ循環させる</x:v>
      </x:c>
      <x:c r="L231" s="165" t="str">
        <x:v>発酵ガスを利用して自動的に液体を上から散布し、短い発酵期間に効率よく色とタンニンを抽出する。</x:v>
      </x:c>
      <x:c r="M231" s="165" t="str">
        <x:v>誤り。 二酸化炭素の圧力と果汁循環を利用する装置で、酸素の固体化や凍結ではない。</x:v>
      </x:c>
      <x:c r="N231" s="165" t="str">
        <x:v>正しい。 発酵ガスを利用して自動的に液体を上から散布し、短い発酵期間に効率よく色とタンニンを抽出する。</x:v>
      </x:c>
      <x:c r="O231" s="165" t="str">
        <x:v>誤り。 これは発泡性ワインのルミュアージュである。</x:v>
      </x:c>
      <x:c r="P231" s="165" t="str">
        <x:v>誤り。 抽出装置であり、脱アルコール設備ではない。</x:v>
      </x:c>
      <x:c r="Q231" s="165" t="str">
        <x:v>酒精強化ワイン製法</x:v>
      </x:c>
      <x:c r="R231" s="165" t="str">
        <x:v>ポート・抽出・機械化</x:v>
      </x:c>
      <x:c r="S231" s="165" t="str">
        <x:v>酒精強化ワイン</x:v>
      </x:c>
      <x:c r="T231" s="165" t="str">
        <x:v>ポルトガル</x:v>
      </x:c>
      <x:c r="U231" s="165" t="str">
        <x:v>ドウロ</x:v>
      </x:c>
      <x:c r="V231" s="165"/>
      <x:c r="W231" s="165" t="str">
        <x:v>因果説明</x:v>
      </x:c>
      <x:c r="X231" s="171" t="str">
        <x:v>D2</x:v>
      </x:c>
      <x:c r="Y231" s="165" t="str">
        <x:v>オートヴィニファイアーは凍結・動瓶・脱アルコール</x:v>
      </x:c>
      <x:c r="Z231" s="171" t="str">
        <x:v>N</x:v>
      </x:c>
      <x:c r="AA231" s="165"/>
      <x:c r="AB231" s="165" t="str">
        <x:v>オリジナル</x:v>
      </x:c>
      <x:c r="AC231" s="165" t="str">
        <x:v>公式Specificationの範囲＋ユーザー作成コーパスの論点と問題設計例を参考に独自作成</x:v>
      </x:c>
      <x:c r="AD231" s="171" t="str">
        <x:v>未レビュー</x:v>
      </x:c>
      <x:c r="AE231" s="171"/>
      <x:c r="AF231" s="171"/>
      <x:c r="AG231" s="166"/>
    </x:row>
    <x:row r="232" ht="84" customHeight="1">
      <x:c r="A232" s="164" t="str">
        <x:v>LO4-031</x:v>
      </x:c>
      <x:c r="B232" s="171" t="str">
        <x:v>LO4</x:v>
      </x:c>
      <x:c r="C232" s="165" t="str">
        <x:v>世界の主要な酒精強化ワイン</x:v>
      </x:c>
      <x:c r="D232" s="165" t="str">
        <x:v>酒精強化のタイミング</x:v>
      </x:c>
      <x:c r="E232" s="165" t="str">
        <x:v>同じブドウ果汁から、より甘いポートを造るために最も直接的に調整するものはどれか。</x:v>
      </x:c>
      <x:c r="F232" s="165" t="str">
        <x:v>発酵を完全に終えてから、糖をすべて除去する</x:v>
      </x:c>
      <x:c r="G232" s="165" t="str">
        <x:v>果皮接触を短くし、色だけを減らす</x:v>
      </x:c>
      <x:c r="H232" s="165" t="str">
        <x:v>発酵のより早い段階で酒精強化し、残る糖を多くする</x:v>
      </x:c>
      <x:c r="I232" s="165" t="str">
        <x:v>澱熟成を長くし、糖を新たに作る</x:v>
      </x:c>
      <x:c r="J232" s="171" t="str">
        <x:v>C</x:v>
      </x:c>
      <x:c r="K232" s="165" t="str">
        <x:v>発酵のより早い段階で酒精強化し、残る糖を多くする</x:v>
      </x:c>
      <x:c r="L232" s="165" t="str">
        <x:v>蒸留酒を加えると酵母の働きが止まるため、早く酒精強化するほど発酵されずに残る糖が多くなる。</x:v>
      </x:c>
      <x:c r="M232" s="165" t="str">
        <x:v>誤り。 完全発酵後は残糖が少なくなり、より甘いスタイルにはならない。</x:v>
      </x:c>
      <x:c r="N232" s="165" t="str">
        <x:v>誤り。 果皮接触は色とタンニンに影響するが、甘味を直接決めない。</x:v>
      </x:c>
      <x:c r="O232" s="165" t="str">
        <x:v>正しい。 蒸留酒を加えると酵母の働きが止まるため、早く酒精強化するほど発酵されずに残る糖が多くなる。</x:v>
      </x:c>
      <x:c r="P232" s="165" t="str">
        <x:v>誤り。 澱は糖を作らず、甘味は主に発酵停止時点の残糖で決まる。</x:v>
      </x:c>
      <x:c r="Q232" s="165" t="str">
        <x:v>酒精強化ワイン製法</x:v>
      </x:c>
      <x:c r="R232" s="165" t="str">
        <x:v>発酵停止・残糖</x:v>
      </x:c>
      <x:c r="S232" s="165" t="str">
        <x:v>酒精強化ワイン</x:v>
      </x:c>
      <x:c r="T232" s="165" t="str">
        <x:v>ポルトガル</x:v>
      </x:c>
      <x:c r="U232" s="165" t="str">
        <x:v>ドウロ</x:v>
      </x:c>
      <x:c r="V232" s="165"/>
      <x:c r="W232" s="165" t="str">
        <x:v>適用</x:v>
      </x:c>
      <x:c r="X232" s="171" t="str">
        <x:v>D2</x:v>
      </x:c>
      <x:c r="Y232" s="165" t="str">
        <x:v>完全発酵で甘口; 果皮接触・澱が糖を作る</x:v>
      </x:c>
      <x:c r="Z232" s="171" t="str">
        <x:v>N</x:v>
      </x:c>
      <x:c r="AA232" s="165"/>
      <x:c r="AB232" s="165" t="str">
        <x:v>オリジナル</x:v>
      </x:c>
      <x:c r="AC232" s="165" t="str">
        <x:v>公式Specificationの範囲＋ユーザー作成コーパスの論点と問題設計例を参考に独自作成</x:v>
      </x:c>
      <x:c r="AD232" s="171" t="str">
        <x:v>未レビュー</x:v>
      </x:c>
      <x:c r="AE232" s="171"/>
      <x:c r="AF232" s="171"/>
      <x:c r="AG232" s="166"/>
    </x:row>
    <x:row r="233" ht="84" customHeight="1">
      <x:c r="A233" s="164" t="str">
        <x:v>LO4-032</x:v>
      </x:c>
      <x:c r="B233" s="171" t="str">
        <x:v>LO4</x:v>
      </x:c>
      <x:c r="C233" s="165" t="str">
        <x:v>世界の主要な酒精強化ワイン</x:v>
      </x:c>
      <x:c r="D233" s="165" t="str">
        <x:v>ポートの酒精</x:v>
      </x:c>
      <x:c r="E233" s="165" t="str">
        <x:v>ポートの酒精強化に用いる蒸留酒に求められる性質として最も適切なものはどれか。</x:v>
      </x:c>
      <x:c r="F233" s="165" t="str">
        <x:v>強い泥炭香を持ち、ポートの果実香を完全に隠す</x:v>
      </x:c>
      <x:c r="G233" s="165" t="str">
        <x:v>アルコールを含まず、糖だけを加える</x:v>
      </x:c>
      <x:c r="H233" s="165" t="str">
        <x:v>二酸化炭素だけでできており、泡を作る</x:v>
      </x:c>
      <x:c r="I233" s="165" t="str">
        <x:v>高いアルコール度を持ち、ブドウ果実の香りを過度に覆わない比較的ニュートラルな性質</x:v>
      </x:c>
      <x:c r="J233" s="171" t="str">
        <x:v>D</x:v>
      </x:c>
      <x:c r="K233" s="165" t="str">
        <x:v>高いアルコール度を持ち、ブドウ果実の香りを過度に覆わない比較的ニュートラルな性質</x:v>
      </x:c>
      <x:c r="L233" s="165" t="str">
        <x:v>少量で発酵を止め、最終アルコール度を上げる必要があるため、高濃度で清潔、ニュートラルなブドウ由来の蒸留酒が適する。</x:v>
      </x:c>
      <x:c r="M233" s="165" t="str">
        <x:v>誤り。 酒精はポートの果実と品種香を支える必要があり、過度に強い香りは望ましくない。</x:v>
      </x:c>
      <x:c r="N233" s="165" t="str">
        <x:v>誤り。 酒精強化にはアルコールを含む蒸留酒が必要である。</x:v>
      </x:c>
      <x:c r="O233" s="165" t="str">
        <x:v>誤り。 酒精強化はアルコール添加で、炭酸ガス注入ではない。</x:v>
      </x:c>
      <x:c r="P233" s="165" t="str">
        <x:v>正しい。 少量で発酵を止め、最終アルコール度を上げる必要があるため、高濃度で清潔、ニュートラルなブドウ由来の蒸留酒が適する。</x:v>
      </x:c>
      <x:c r="Q233" s="165" t="str">
        <x:v>酒精強化ワイン製法</x:v>
      </x:c>
      <x:c r="R233" s="165" t="str">
        <x:v>酒精・ニュートラル性</x:v>
      </x:c>
      <x:c r="S233" s="165" t="str">
        <x:v>酒精強化ワイン</x:v>
      </x:c>
      <x:c r="T233" s="165" t="str">
        <x:v>ポルトガル</x:v>
      </x:c>
      <x:c r="U233" s="165" t="str">
        <x:v>ドウロ</x:v>
      </x:c>
      <x:c r="V233" s="165"/>
      <x:c r="W233" s="165" t="str">
        <x:v>知識確認</x:v>
      </x:c>
      <x:c r="X233" s="171" t="str">
        <x:v>D1</x:v>
      </x:c>
      <x:c r="Y233" s="165" t="str">
        <x:v>酒精は強い泥炭香・無アルコール・CO2</x:v>
      </x:c>
      <x:c r="Z233" s="171" t="str">
        <x:v>N</x:v>
      </x:c>
      <x:c r="AA233" s="165"/>
      <x:c r="AB233" s="165" t="str">
        <x:v>オリジナル</x:v>
      </x:c>
      <x:c r="AC233" s="165" t="str">
        <x:v>公式Specificationの範囲＋ユーザー作成コーパスの論点と問題設計例を参考に独自作成</x:v>
      </x:c>
      <x:c r="AD233" s="171" t="str">
        <x:v>未レビュー</x:v>
      </x:c>
      <x:c r="AE233" s="171"/>
      <x:c r="AF233" s="171"/>
      <x:c r="AG233" s="166"/>
    </x:row>
    <x:row r="234" ht="84" customHeight="1">
      <x:c r="A234" s="164" t="str">
        <x:v>LO4-033</x:v>
      </x:c>
      <x:c r="B234" s="171" t="str">
        <x:v>LO4</x:v>
      </x:c>
      <x:c r="C234" s="165" t="str">
        <x:v>世界の主要な酒精強化ワイン</x:v>
      </x:c>
      <x:c r="D234" s="165" t="str">
        <x:v>ルビー・リザーヴ</x:v>
      </x:c>
      <x:c r="E234" s="165" t="str">
        <x:v>ルビー・リザーヴが基本的なルビー・ポートより豊かなスタイルになりやすい理由はどれか。</x:v>
      </x:c>
      <x:c r="F234" s="165" t="str">
        <x:v>より品質の高い、色と果実味の強い複数ロットを選んでブレンドする</x:v>
      </x:c>
      <x:c r="G234" s="165" t="str">
        <x:v>数十年の小樽酸化熟成で色を褐色にする</x:v>
      </x:c>
      <x:c r="H234" s="165" t="str">
        <x:v>フロールの下で生物学的熟成する</x:v>
      </x:c>
      <x:c r="I234" s="165" t="str">
        <x:v>発酵を完全に辛口まで進め、酒精強化しない</x:v>
      </x:c>
      <x:c r="J234" s="171" t="str">
        <x:v>A</x:v>
      </x:c>
      <x:c r="K234" s="165" t="str">
        <x:v>より品質の高い、色と果実味の強い複数ロットを選んでブレンドする</x:v>
      </x:c>
      <x:c r="L234" s="165" t="str">
        <x:v>ルビー・リザーヴは果実味を保つ比較的短い熟成を行いながら、より凝縮したワインを選別してブレンドするため、豊かなスタイルになる。</x:v>
      </x:c>
      <x:c r="M234" s="165" t="str">
        <x:v>正しい。 ルビー・リザーヴは果実味を保つ比較的短い熟成を行いながら、より凝縮したワインを選別してブレンドするため、豊かなスタイルになる。</x:v>
      </x:c>
      <x:c r="N234" s="165" t="str">
        <x:v>誤り。 これは年数表記トーニーなどのスタイルに近い。</x:v>
      </x:c>
      <x:c r="O234" s="165" t="str">
        <x:v>誤り。 ポートでフロール熟成は行わない。</x:v>
      </x:c>
      <x:c r="P234" s="165" t="str">
        <x:v>誤り。 ルビー・ポートは甘口の酒精強化ワインである。</x:v>
      </x:c>
      <x:c r="Q234" s="165" t="str">
        <x:v>法律面・スタイル</x:v>
      </x:c>
      <x:c r="R234" s="165" t="str">
        <x:v>ルビー・リザーヴ</x:v>
      </x:c>
      <x:c r="S234" s="165" t="str">
        <x:v>酒精強化ワイン</x:v>
      </x:c>
      <x:c r="T234" s="165" t="str">
        <x:v>ポルトガル</x:v>
      </x:c>
      <x:c r="U234" s="165" t="str">
        <x:v>ポート</x:v>
      </x:c>
      <x:c r="V234" s="165"/>
      <x:c r="W234" s="165" t="str">
        <x:v>比較</x:v>
      </x:c>
      <x:c r="X234" s="171" t="str">
        <x:v>D2</x:v>
      </x:c>
      <x:c r="Y234" s="165" t="str">
        <x:v>ルビーリザーヴは長期酸化・フロール・非酒精強化</x:v>
      </x:c>
      <x:c r="Z234" s="171" t="str">
        <x:v>Y</x:v>
      </x:c>
      <x:c r="AA234" s="165" t="str">
        <x:v>Reserve表示の現行要件と日本語教材での名称表記を最終照合推奨</x:v>
      </x:c>
      <x:c r="AB234" s="165" t="str">
        <x:v>オリジナル</x:v>
      </x:c>
      <x:c r="AC234" s="165" t="str">
        <x:v>公式Specificationの範囲＋ユーザー作成コーパスの論点と問題設計例を参考に独自作成</x:v>
      </x:c>
      <x:c r="AD234" s="171" t="str">
        <x:v>未レビュー</x:v>
      </x:c>
      <x:c r="AE234" s="171"/>
      <x:c r="AF234" s="171"/>
      <x:c r="AG234" s="166"/>
    </x:row>
    <x:row r="235" ht="84" customHeight="1">
      <x:c r="A235" s="164" t="str">
        <x:v>LO4-034</x:v>
      </x:c>
      <x:c r="B235" s="171" t="str">
        <x:v>LO4</x:v>
      </x:c>
      <x:c r="C235" s="165" t="str">
        <x:v>世界の主要な酒精強化ワイン</x:v>
      </x:c>
      <x:c r="D235" s="165" t="str">
        <x:v>トーニー・リザーヴ</x:v>
      </x:c>
      <x:c r="E235" s="165" t="str">
        <x:v>トーニー・リザーヴをルビー・リザーヴと比較した場合に期待される特徴はどれか。</x:v>
      </x:c>
      <x:c r="F235" s="165" t="str">
        <x:v>より深い紫色と一次的な黒果実だけを持つ</x:v>
      </x:c>
      <x:c r="G235" s="165" t="str">
        <x:v>より酸化熟成の影響があり、乾燥果実、ナッツ、キャラメルを思わせる風味</x:v>
      </x:c>
      <x:c r="H235" s="165" t="str">
        <x:v>フロールによるアーモンド香と完全な辛口</x:v>
      </x:c>
      <x:c r="I235" s="165" t="str">
        <x:v>瓶内二次発酵による強い泡を持つ</x:v>
      </x:c>
      <x:c r="J235" s="171" t="str">
        <x:v>B</x:v>
      </x:c>
      <x:c r="K235" s="165" t="str">
        <x:v>より酸化熟成の影響があり、乾燥果実、ナッツ、キャラメルを思わせる風味</x:v>
      </x:c>
      <x:c r="L235" s="165" t="str">
        <x:v>木樽での酸素接触が色を淡い褐色へ変え、一次的な黒果実よりナッツや乾燥果実の熟成香を発達させる。</x:v>
      </x:c>
      <x:c r="M235" s="165" t="str">
        <x:v>誤り。 これは還元的に熟成した若いルビー系に近い。</x:v>
      </x:c>
      <x:c r="N235" s="165" t="str">
        <x:v>正しい。 木樽での酸素接触が色を淡い褐色へ変え、一次的な黒果実よりナッツや乾燥果実の熟成香を発達させる。</x:v>
      </x:c>
      <x:c r="O235" s="165" t="str">
        <x:v>誤り。 トーニーは甘口ポートで、フロール熟成ではない。</x:v>
      </x:c>
      <x:c r="P235" s="165" t="str">
        <x:v>誤り。 トーニーは非発泡性の酒精強化ワインである。</x:v>
      </x:c>
      <x:c r="Q235" s="165" t="str">
        <x:v>スタイル・熟成</x:v>
      </x:c>
      <x:c r="R235" s="165" t="str">
        <x:v>トーニー・リザーヴ</x:v>
      </x:c>
      <x:c r="S235" s="165" t="str">
        <x:v>酒精強化ワイン</x:v>
      </x:c>
      <x:c r="T235" s="165" t="str">
        <x:v>ポルトガル</x:v>
      </x:c>
      <x:c r="U235" s="165" t="str">
        <x:v>ポート</x:v>
      </x:c>
      <x:c r="V235" s="165"/>
      <x:c r="W235" s="165" t="str">
        <x:v>比較</x:v>
      </x:c>
      <x:c r="X235" s="171" t="str">
        <x:v>D2</x:v>
      </x:c>
      <x:c r="Y235" s="165" t="str">
        <x:v>トーニーは紫色若果実; フロール辛口; 発泡</x:v>
      </x:c>
      <x:c r="Z235" s="171" t="str">
        <x:v>N</x:v>
      </x:c>
      <x:c r="AA235" s="165"/>
      <x:c r="AB235" s="165" t="str">
        <x:v>オリジナル</x:v>
      </x:c>
      <x:c r="AC235" s="165" t="str">
        <x:v>公式Specificationの範囲＋ユーザー作成コーパスの論点と問題設計例を参考に独自作成</x:v>
      </x:c>
      <x:c r="AD235" s="171" t="str">
        <x:v>未レビュー</x:v>
      </x:c>
      <x:c r="AE235" s="171"/>
      <x:c r="AF235" s="171"/>
      <x:c r="AG235" s="166"/>
    </x:row>
    <x:row r="236" ht="84" customHeight="1">
      <x:c r="A236" s="164" t="str">
        <x:v>LO4-035</x:v>
      </x:c>
      <x:c r="B236" s="171" t="str">
        <x:v>LO4</x:v>
      </x:c>
      <x:c r="C236" s="165" t="str">
        <x:v>世界の主要な酒精強化ワイン</x:v>
      </x:c>
      <x:c r="D236" s="165" t="str">
        <x:v>無濾過LBV</x:v>
      </x:c>
      <x:c r="E236" s="165" t="str">
        <x:v>無濾過のLBVポートをサービスする際に、濾過済みLBVより注意が必要な点はどれか。</x:v>
      </x:c>
      <x:c r="F236" s="165" t="str">
        <x:v>炭酸ガスが強いため、ミュズレを外さず開ける</x:v>
      </x:c>
      <x:c r="G236" s="165" t="str">
        <x:v>フロールを壊さないよう、樽から直接注ぐ</x:v>
      </x:c>
      <x:c r="H236" s="165" t="str">
        <x:v>瓶内で沈殿が生じ得るため、必要に応じてデカンティングする</x:v>
      </x:c>
      <x:c r="I236" s="165" t="str">
        <x:v>酸が高すぎるため、水で必ず希釈する</x:v>
      </x:c>
      <x:c r="J236" s="171" t="str">
        <x:v>C</x:v>
      </x:c>
      <x:c r="K236" s="165" t="str">
        <x:v>瓶内で沈殿が生じ得るため、必要に応じてデカンティングする</x:v>
      </x:c>
      <x:c r="L236" s="165" t="str">
        <x:v>無濾過LBVは瓶内で熟成を続け、色素やタンニンが沈殿することがあるため、静置して澱を分けて注ぐ場合がある。</x:v>
      </x:c>
      <x:c r="M236" s="165" t="str">
        <x:v>誤り。 LBVは非発泡性で、発泡性ワインの開栓手順は不要である。</x:v>
      </x:c>
      <x:c r="N236" s="165" t="str">
        <x:v>誤り。 瓶詰めされたポートで、フロール熟成ではない。</x:v>
      </x:c>
      <x:c r="O236" s="165" t="str">
        <x:v>正しい。 無濾過LBVは瓶内で熟成を続け、色素やタンニンが沈殿することがあるため、静置して澱を分けて注ぐ場合がある。</x:v>
      </x:c>
      <x:c r="P236" s="165" t="str">
        <x:v>誤り。 水で希釈するサービスは行わず、問題は沈殿である。</x:v>
      </x:c>
      <x:c r="Q236" s="165" t="str">
        <x:v>法律面・サービス</x:v>
      </x:c>
      <x:c r="R236" s="165" t="str">
        <x:v>LBV・濾過・沈殿</x:v>
      </x:c>
      <x:c r="S236" s="165" t="str">
        <x:v>酒精強化ワイン</x:v>
      </x:c>
      <x:c r="T236" s="165" t="str">
        <x:v>ポルトガル</x:v>
      </x:c>
      <x:c r="U236" s="165" t="str">
        <x:v>ポート</x:v>
      </x:c>
      <x:c r="V236" s="165"/>
      <x:c r="W236" s="165" t="str">
        <x:v>適用</x:v>
      </x:c>
      <x:c r="X236" s="171" t="str">
        <x:v>D2</x:v>
      </x:c>
      <x:c r="Y236" s="165" t="str">
        <x:v>LBVは発泡・フロール・希釈</x:v>
      </x:c>
      <x:c r="Z236" s="171" t="str">
        <x:v>Y</x:v>
      </x:c>
      <x:c r="AA236" s="165" t="str">
        <x:v>濾過済み／無濾過LBVの表示とサービス説明を最新教材で最終照合推奨</x:v>
      </x:c>
      <x:c r="AB236" s="165" t="str">
        <x:v>オリジナル</x:v>
      </x:c>
      <x:c r="AC236" s="165" t="str">
        <x:v>公式Specificationの範囲＋ユーザー作成コーパスの論点と問題設計例を参考に独自作成</x:v>
      </x:c>
      <x:c r="AD236" s="171" t="str">
        <x:v>未レビュー</x:v>
      </x:c>
      <x:c r="AE236" s="171"/>
      <x:c r="AF236" s="171"/>
      <x:c r="AG236" s="166"/>
    </x:row>
    <x:row r="237" ht="84" customHeight="1">
      <x:c r="A237" s="164" t="str">
        <x:v>LO4-036</x:v>
      </x:c>
      <x:c r="B237" s="171" t="str">
        <x:v>LO4</x:v>
      </x:c>
      <x:c r="C237" s="165" t="str">
        <x:v>世界の主要な酒精強化ワイン</x:v>
      </x:c>
      <x:c r="D237" s="165" t="str">
        <x:v>ヴィンテージ宣言</x:v>
      </x:c>
      <x:c r="E237" s="165" t="str">
        <x:v>ヴィンテージ・ポートが毎年大量に造られるわけではない主な理由はどれか。</x:v>
      </x:c>
      <x:c r="F237" s="165" t="str">
        <x:v>法律でポートの生産が10年に一度だけ許可される</x:v>
      </x:c>
      <x:c r="G237" s="165" t="str">
        <x:v>ブドウが毎年一粒しか実らない</x:v>
      </x:c>
      <x:c r="H237" s="165" t="str">
        <x:v>ヴィンテージ・ポートは発泡性で、瓶が不足する</x:v>
      </x:c>
      <x:c r="I237" s="165" t="str">
        <x:v>長期瓶熟成に耐える特に高品質な年とロットだけが選ばれ、宣言されるため</x:v>
      </x:c>
      <x:c r="J237" s="171" t="str">
        <x:v>D</x:v>
      </x:c>
      <x:c r="K237" s="165" t="str">
        <x:v>長期瓶熟成に耐える特に高品質な年とロットだけが選ばれ、宣言されるため</x:v>
      </x:c>
      <x:c r="L237" s="165" t="str">
        <x:v>優れた成熟度、濃縮度、酸、タンニンを持つ年に、生産者が少量の最上ロットをヴィンテージとして瓶詰めする。</x:v>
      </x:c>
      <x:c r="M237" s="165" t="str">
        <x:v>誤り。 固定された周期ではなく、年の品質と生産者の判断による。</x:v>
      </x:c>
      <x:c r="N237" s="165" t="str">
        <x:v>誤り。 収量は年により変わるが、一粒しか実らないわけではない。</x:v>
      </x:c>
      <x:c r="O237" s="165" t="str">
        <x:v>誤り。 非発泡性の酒精強化ワインで、発泡性であることが生産制限理由ではない。</x:v>
      </x:c>
      <x:c r="P237" s="165" t="str">
        <x:v>正しい。 優れた成熟度、濃縮度、酸、タンニンを持つ年に、生産者が少量の最上ロットをヴィンテージとして瓶詰めする。</x:v>
      </x:c>
      <x:c r="Q237" s="165" t="str">
        <x:v>商業面・品質</x:v>
      </x:c>
      <x:c r="R237" s="165" t="str">
        <x:v>ヴィンテージ宣言・選別</x:v>
      </x:c>
      <x:c r="S237" s="165" t="str">
        <x:v>酒精強化ワイン</x:v>
      </x:c>
      <x:c r="T237" s="165" t="str">
        <x:v>ポルトガル</x:v>
      </x:c>
      <x:c r="U237" s="165" t="str">
        <x:v>ポート</x:v>
      </x:c>
      <x:c r="V237" s="165"/>
      <x:c r="W237" s="165" t="str">
        <x:v>統合判断</x:v>
      </x:c>
      <x:c r="X237" s="171" t="str">
        <x:v>D3</x:v>
      </x:c>
      <x:c r="Y237" s="165" t="str">
        <x:v>固定10年周期; 一粒収量; 発泡で瓶不足</x:v>
      </x:c>
      <x:c r="Z237" s="171" t="str">
        <x:v>N</x:v>
      </x:c>
      <x:c r="AA237" s="165"/>
      <x:c r="AB237" s="165" t="str">
        <x:v>オリジナル</x:v>
      </x:c>
      <x:c r="AC237" s="165" t="str">
        <x:v>公式Specificationの範囲＋ユーザー作成コーパスの論点と問題設計例を参考に独自作成</x:v>
      </x:c>
      <x:c r="AD237" s="171" t="str">
        <x:v>未レビュー</x:v>
      </x:c>
      <x:c r="AE237" s="171"/>
      <x:c r="AF237" s="171"/>
      <x:c r="AG237" s="166"/>
    </x:row>
    <x:row r="238" ht="84" customHeight="1">
      <x:c r="A238" s="164" t="str">
        <x:v>LO4-037</x:v>
      </x:c>
      <x:c r="B238" s="171" t="str">
        <x:v>LO4</x:v>
      </x:c>
      <x:c r="C238" s="165" t="str">
        <x:v>世界の主要な酒精強化ワイン</x:v>
      </x:c>
      <x:c r="D238" s="165" t="str">
        <x:v>アルバリサ土壌</x:v>
      </x:c>
      <x:c r="E238" s="165" t="str">
        <x:v>ヘレスのアルバリサ土壌が乾燥した夏のブドウ栽培に適する主な理由はどれか。</x:v>
      </x:c>
      <x:c r="F238" s="165" t="str">
        <x:v>冬の雨を多孔質の白亜質土壌に蓄え、表面を固めて蒸発を抑えられる</x:v>
      </x:c>
      <x:c r="G238" s="165" t="str">
        <x:v>海水を大量に蓄え、根へ塩分を供給する</x:v>
      </x:c>
      <x:c r="H238" s="165" t="str">
        <x:v>水を全く保持せず、根を毎日乾燥させる</x:v>
      </x:c>
      <x:c r="I238" s="165" t="str">
        <x:v>土壌自体が糖を作り、果汁へ直接移す</x:v>
      </x:c>
      <x:c r="J238" s="171" t="str">
        <x:v>A</x:v>
      </x:c>
      <x:c r="K238" s="165" t="str">
        <x:v>冬の雨を多孔質の白亜質土壌に蓄え、表面を固めて蒸発を抑えられる</x:v>
      </x:c>
      <x:c r="L238" s="165" t="str">
        <x:v>アルバリサは白亜を多く含み、雨季の水を保持して乾季に根へ供給する。表面を耕して土壌に膜を作り、水分損失を減らすこともある。</x:v>
      </x:c>
      <x:c r="M238" s="165" t="str">
        <x:v>正しい。 アルバリサは白亜を多く含み、雨季の水を保持して乾季に根へ供給する。表面を耕して土壌に膜を作り、水分損失を減らすこともある。</x:v>
      </x:c>
      <x:c r="N238" s="165" t="str">
        <x:v>誤り。 アルバリサの利点は淡水の保持で、塩水供給ではない。</x:v>
      </x:c>
      <x:c r="O238" s="165" t="str">
        <x:v>誤り。 多孔質構造で水を蓄えることが重要である。</x:v>
      </x:c>
      <x:c r="P238" s="165" t="str">
        <x:v>誤り。 糖は葉の光合成で作られ、土壌が直接作るものではない。</x:v>
      </x:c>
      <x:c r="Q238" s="165" t="str">
        <x:v>自然要因・産地</x:v>
      </x:c>
      <x:c r="R238" s="165" t="str">
        <x:v>土壌・水分保持</x:v>
      </x:c>
      <x:c r="S238" s="165" t="str">
        <x:v>酒精強化ワイン</x:v>
      </x:c>
      <x:c r="T238" s="165" t="str">
        <x:v>スペイン</x:v>
      </x:c>
      <x:c r="U238" s="165" t="str">
        <x:v>ヘレス</x:v>
      </x:c>
      <x:c r="V238" s="165" t="str">
        <x:v>パロミノ</x:v>
      </x:c>
      <x:c r="W238" s="165" t="str">
        <x:v>因果説明</x:v>
      </x:c>
      <x:c r="X238" s="171" t="str">
        <x:v>D2</x:v>
      </x:c>
      <x:c r="Y238" s="165" t="str">
        <x:v>アルバリサは塩水・無保水・糖生産</x:v>
      </x:c>
      <x:c r="Z238" s="171" t="str">
        <x:v>N</x:v>
      </x:c>
      <x:c r="AA238" s="165"/>
      <x:c r="AB238" s="165" t="str">
        <x:v>オリジナル</x:v>
      </x:c>
      <x:c r="AC238" s="165" t="str">
        <x:v>公式Specificationの範囲＋ユーザー作成コーパスの論点と問題設計例を参考に独自作成</x:v>
      </x:c>
      <x:c r="AD238" s="171" t="str">
        <x:v>未レビュー</x:v>
      </x:c>
      <x:c r="AE238" s="171"/>
      <x:c r="AF238" s="171"/>
      <x:c r="AG238" s="166"/>
    </x:row>
    <x:row r="239" ht="84" customHeight="1">
      <x:c r="A239" s="164" t="str">
        <x:v>LO4-038</x:v>
      </x:c>
      <x:c r="B239" s="171" t="str">
        <x:v>LO4</x:v>
      </x:c>
      <x:c r="C239" s="165" t="str">
        <x:v>世界の主要な酒精強化ワイン</x:v>
      </x:c>
      <x:c r="D239" s="165" t="str">
        <x:v>ヘレスの海洋影響</x:v>
      </x:c>
      <x:c r="E239" s="165" t="str">
        <x:v>ヘレス地域で大西洋からの風がブドウ栽培と熟成に与える重要な影響はどれか。</x:v>
      </x:c>
      <x:c r="F239" s="165" t="str">
        <x:v>畑を一年中凍結させ、アイスワインを造る</x:v>
      </x:c>
      <x:c r="G239" s="165" t="str">
        <x:v>暑さを和らげ、沿岸部の湿度を高め、フロールの活動を支える</x:v>
      </x:c>
      <x:c r="H239" s="165" t="str">
        <x:v>海水を樽へ入れ、塩味を直接加える</x:v>
      </x:c>
      <x:c r="I239" s="165" t="str">
        <x:v>湿度を完全にゼロにし、フロールを消す</x:v>
      </x:c>
      <x:c r="J239" s="171" t="str">
        <x:v>B</x:v>
      </x:c>
      <x:c r="K239" s="165" t="str">
        <x:v>暑さを和らげ、沿岸部の湿度を高め、フロールの活動を支える</x:v>
      </x:c>
      <x:c r="L239" s="165" t="str">
        <x:v>海洋からの涼しく湿った空気は畑の極端な高温を緩和し、サンルーカルなどではボデガ内のフロール維持にも有利に働く。</x:v>
      </x:c>
      <x:c r="M239" s="165" t="str">
        <x:v>誤り。 ヘレスは温暖な南スペインで、凍結が主な要因ではない。</x:v>
      </x:c>
      <x:c r="N239" s="165" t="str">
        <x:v>正しい。 海洋からの涼しく湿った空気は畑の極端な高温を緩和し、サンルーカルなどではボデガ内のフロール維持にも有利に働く。</x:v>
      </x:c>
      <x:c r="O239" s="165" t="str">
        <x:v>誤り。 海洋の影響は気候と湿度で、海水をワインへ加えない。</x:v>
      </x:c>
      <x:c r="P239" s="165" t="str">
        <x:v>誤り。 沿岸の湿度はフロールを支える方向に働く。</x:v>
      </x:c>
      <x:c r="Q239" s="165" t="str">
        <x:v>自然要因・産地</x:v>
      </x:c>
      <x:c r="R239" s="165" t="str">
        <x:v>海洋影響・湿度</x:v>
      </x:c>
      <x:c r="S239" s="165" t="str">
        <x:v>酒精強化ワイン</x:v>
      </x:c>
      <x:c r="T239" s="165" t="str">
        <x:v>スペイン</x:v>
      </x:c>
      <x:c r="U239" s="165" t="str">
        <x:v>ヘレス</x:v>
      </x:c>
      <x:c r="V239" s="165"/>
      <x:c r="W239" s="165" t="str">
        <x:v>因果説明</x:v>
      </x:c>
      <x:c r="X239" s="171" t="str">
        <x:v>D2</x:v>
      </x:c>
      <x:c r="Y239" s="165" t="str">
        <x:v>ヘレスは凍結; 海水添加; 海風で湿度ゼロ</x:v>
      </x:c>
      <x:c r="Z239" s="171" t="str">
        <x:v>N</x:v>
      </x:c>
      <x:c r="AA239" s="165"/>
      <x:c r="AB239" s="165" t="str">
        <x:v>オリジナル</x:v>
      </x:c>
      <x:c r="AC239" s="165" t="str">
        <x:v>公式Specificationの範囲＋ユーザー作成コーパスの論点と問題設計例を参考に独自作成</x:v>
      </x:c>
      <x:c r="AD239" s="171" t="str">
        <x:v>未レビュー</x:v>
      </x:c>
      <x:c r="AE239" s="171"/>
      <x:c r="AF239" s="171"/>
      <x:c r="AG239" s="166"/>
    </x:row>
    <x:row r="240" ht="84" customHeight="1">
      <x:c r="A240" s="164" t="str">
        <x:v>LO4-039</x:v>
      </x:c>
      <x:c r="B240" s="171" t="str">
        <x:v>LO4</x:v>
      </x:c>
      <x:c r="C240" s="165" t="str">
        <x:v>世界の主要な酒精強化ワイン</x:v>
      </x:c>
      <x:c r="D240" s="165" t="str">
        <x:v>パロミノの適性</x:v>
      </x:c>
      <x:c r="E240" s="165" t="str">
        <x:v>パロミノの比較的ニュートラルな香りが辛口シェリーに適する理由はどれか。</x:v>
      </x:c>
      <x:c r="F240" s="165" t="str">
        <x:v>品種香が強すぎて、熟成香を完全に隠す</x:v>
      </x:c>
      <x:c r="G240" s="165" t="str">
        <x:v>高いタンニンと濃い色が、赤シェリーを作る</x:v>
      </x:c>
      <x:c r="H240" s="165" t="str">
        <x:v>フロールや酸化熟成、ソレラによる熟成香を明確に表現できる</x:v>
      </x:c>
      <x:c r="I240" s="165" t="str">
        <x:v>果汁に自然な炭酸ガスが多く、発泡性になる</x:v>
      </x:c>
      <x:c r="J240" s="171" t="str">
        <x:v>C</x:v>
      </x:c>
      <x:c r="K240" s="165" t="str">
        <x:v>フロールや酸化熟成、ソレラによる熟成香を明確に表現できる</x:v>
      </x:c>
      <x:c r="L240" s="165" t="str">
        <x:v>強い品種香が少ないため、生物学的熟成のアセトアルデヒド香や酸化熟成のナッツ香がワインの中心になりやすい。</x:v>
      </x:c>
      <x:c r="M240" s="165" t="str">
        <x:v>誤り。 パロミノは比較的ニュートラルで、説明が逆である。</x:v>
      </x:c>
      <x:c r="N240" s="165" t="str">
        <x:v>誤り。 パロミノは白ブドウで、辛口シェリーは淡色から褐色の白系酒精強化ワインである。</x:v>
      </x:c>
      <x:c r="O240" s="165" t="str">
        <x:v>正しい。 強い品種香が少ないため、生物学的熟成のアセトアルデヒド香や酸化熟成のナッツ香がワインの中心になりやすい。</x:v>
      </x:c>
      <x:c r="P240" s="165" t="str">
        <x:v>誤り。 パロミノの適性は炭酸ガスではなく、熟成に対する中立的な風味にある。</x:v>
      </x:c>
      <x:c r="Q240" s="165" t="str">
        <x:v>品種・産地</x:v>
      </x:c>
      <x:c r="R240" s="165" t="str">
        <x:v>パロミノ・熟成表現</x:v>
      </x:c>
      <x:c r="S240" s="165" t="str">
        <x:v>酒精強化ワイン</x:v>
      </x:c>
      <x:c r="T240" s="165" t="str">
        <x:v>スペイン</x:v>
      </x:c>
      <x:c r="U240" s="165" t="str">
        <x:v>ヘレス</x:v>
      </x:c>
      <x:c r="V240" s="165" t="str">
        <x:v>パロミノ</x:v>
      </x:c>
      <x:c r="W240" s="165" t="str">
        <x:v>因果説明</x:v>
      </x:c>
      <x:c r="X240" s="171" t="str">
        <x:v>D2</x:v>
      </x:c>
      <x:c r="Y240" s="165" t="str">
        <x:v>パロミノは強芳香・高タンニン黒品種・発泡</x:v>
      </x:c>
      <x:c r="Z240" s="171" t="str">
        <x:v>N</x:v>
      </x:c>
      <x:c r="AA240" s="165"/>
      <x:c r="AB240" s="165" t="str">
        <x:v>オリジナル</x:v>
      </x:c>
      <x:c r="AC240" s="165" t="str">
        <x:v>公式Specificationの範囲＋ユーザー作成コーパスの論点と問題設計例を参考に独自作成</x:v>
      </x:c>
      <x:c r="AD240" s="171" t="str">
        <x:v>未レビュー</x:v>
      </x:c>
      <x:c r="AE240" s="171"/>
      <x:c r="AF240" s="171"/>
      <x:c r="AG240" s="166"/>
    </x:row>
    <x:row r="241" ht="84" customHeight="1">
      <x:c r="A241" s="164" t="str">
        <x:v>LO4-040</x:v>
      </x:c>
      <x:c r="B241" s="171" t="str">
        <x:v>LO4</x:v>
      </x:c>
      <x:c r="C241" s="165" t="str">
        <x:v>世界の主要な酒精強化ワイン</x:v>
      </x:c>
      <x:c r="D241" s="165" t="str">
        <x:v>ベースワインの分類</x:v>
      </x:c>
      <x:c r="E241" s="165" t="str">
        <x:v>辛口シェリーの発酵後に行うベースワインの分類が重要な理由はどれか。</x:v>
      </x:c>
      <x:c r="F241" s="165" t="str">
        <x:v>白ワインを黒ブドウ品種へ変える</x:v>
      </x:c>
      <x:c r="G241" s="165" t="str">
        <x:v>二酸化炭素を注入して発泡性にする</x:v>
      </x:c>
      <x:c r="H241" s="165" t="str">
        <x:v>糖をすべて加え、必ず甘口にする</x:v>
      </x:c>
      <x:c r="I241" s="165" t="str">
        <x:v>繊細なワインをフロール熟成へ、より力強いワインを酸化熟成へ振り分ける</x:v>
      </x:c>
      <x:c r="J241" s="171" t="str">
        <x:v>D</x:v>
      </x:c>
      <x:c r="K241" s="165" t="str">
        <x:v>繊細なワインをフロール熟成へ、より力強いワインを酸化熟成へ振り分ける</x:v>
      </x:c>
      <x:c r="L241" s="165" t="str">
        <x:v>発酵後の香り、ボディ、品質を評価し、約15％vol.でフロールを育てるか、約17％vol.へ強化して酸化熟成するかを決める。</x:v>
      </x:c>
      <x:c r="M241" s="165" t="str">
        <x:v>誤り。 分類は熟成経路を決める工程で、品種を変えない。</x:v>
      </x:c>
      <x:c r="N241" s="165" t="str">
        <x:v>誤り。 辛口シェリーは非発泡性で、分類は炭酸注入ではない。</x:v>
      </x:c>
      <x:c r="O241" s="165" t="str">
        <x:v>誤り。 辛口シェリーの分類であり、甘味添加が目的ではない。</x:v>
      </x:c>
      <x:c r="P241" s="165" t="str">
        <x:v>正しい。 発酵後の香り、ボディ、品質を評価し、約15％vol.でフロールを育てるか、約17％vol.へ強化して酸化熟成するかを決める。</x:v>
      </x:c>
      <x:c r="Q241" s="165" t="str">
        <x:v>酒精強化ワイン製法</x:v>
      </x:c>
      <x:c r="R241" s="165" t="str">
        <x:v>シェリー・分類</x:v>
      </x:c>
      <x:c r="S241" s="165" t="str">
        <x:v>酒精強化ワイン</x:v>
      </x:c>
      <x:c r="T241" s="165" t="str">
        <x:v>スペイン</x:v>
      </x:c>
      <x:c r="U241" s="165" t="str">
        <x:v>ヘレス</x:v>
      </x:c>
      <x:c r="V241" s="165"/>
      <x:c r="W241" s="165" t="str">
        <x:v>統合判断</x:v>
      </x:c>
      <x:c r="X241" s="171" t="str">
        <x:v>D3</x:v>
      </x:c>
      <x:c r="Y241" s="165" t="str">
        <x:v>分類で品種変更・発泡・必ず甘口</x:v>
      </x:c>
      <x:c r="Z241" s="171" t="str">
        <x:v>N</x:v>
      </x:c>
      <x:c r="AA241" s="165"/>
      <x:c r="AB241" s="165" t="str">
        <x:v>オリジナル</x:v>
      </x:c>
      <x:c r="AC241" s="165" t="str">
        <x:v>公式Specificationの範囲＋ユーザー作成コーパスの論点と問題設計例を参考に独自作成</x:v>
      </x:c>
      <x:c r="AD241" s="171" t="str">
        <x:v>未レビュー</x:v>
      </x:c>
      <x:c r="AE241" s="171"/>
      <x:c r="AF241" s="171"/>
      <x:c r="AG241" s="166"/>
    </x:row>
    <x:row r="242" ht="84" customHeight="1">
      <x:c r="A242" s="164" t="str">
        <x:v>LO4-041</x:v>
      </x:c>
      <x:c r="B242" s="171" t="str">
        <x:v>LO4</x:v>
      </x:c>
      <x:c r="C242" s="165" t="str">
        <x:v>世界の主要な酒精強化ワイン</x:v>
      </x:c>
      <x:c r="D242" s="165" t="str">
        <x:v>フロールと樽の空間</x:v>
      </x:c>
      <x:c r="E242" s="165" t="str">
        <x:v>フィノ用の樽を完全に満たさず、上部に空間を残す主な理由はどれか。</x:v>
      </x:c>
      <x:c r="F242" s="165" t="str">
        <x:v>フロールが液面で酸素に触れて成長できるようにする</x:v>
      </x:c>
      <x:c r="G242" s="165" t="str">
        <x:v>ワインを蒸発させ、すべてなくすため</x:v>
      </x:c>
      <x:c r="H242" s="165" t="str">
        <x:v>二次発酵の炭酸ガスを閉じ込め、泡を作るため</x:v>
      </x:c>
      <x:c r="I242" s="165" t="str">
        <x:v>果皮を浮かせ、色を抽出するため</x:v>
      </x:c>
      <x:c r="J242" s="171" t="str">
        <x:v>A</x:v>
      </x:c>
      <x:c r="K242" s="165" t="str">
        <x:v>フロールが液面で酸素に触れて成長できるようにする</x:v>
      </x:c>
      <x:c r="L242" s="165" t="str">
        <x:v>フロール酵母はワイン表面で酸素を利用するため、樽に空間を残し、比較的通気性のある熟成環境を作る。</x:v>
      </x:c>
      <x:c r="M242" s="165" t="str">
        <x:v>正しい。 フロール酵母はワイン表面で酸素を利用するため、樽に空間を残し、比較的通気性のある熟成環境を作る。</x:v>
      </x:c>
      <x:c r="N242" s="165" t="str">
        <x:v>誤り。 一定の蒸発はあるが、目的はフロールの成長で、全量を失うことではない。</x:v>
      </x:c>
      <x:c r="O242" s="165" t="str">
        <x:v>誤り。 樽は密閉せず、フィノは非発泡性である。</x:v>
      </x:c>
      <x:c r="P242" s="165" t="str">
        <x:v>誤り。 発酵後の白ワイン熟成で、果皮抽出は行わない。</x:v>
      </x:c>
      <x:c r="Q242" s="165" t="str">
        <x:v>酒精強化ワイン製法</x:v>
      </x:c>
      <x:c r="R242" s="165" t="str">
        <x:v>フロール・酸素</x:v>
      </x:c>
      <x:c r="S242" s="165" t="str">
        <x:v>酒精強化ワイン</x:v>
      </x:c>
      <x:c r="T242" s="165" t="str">
        <x:v>スペイン</x:v>
      </x:c>
      <x:c r="U242" s="165" t="str">
        <x:v>ヘレス</x:v>
      </x:c>
      <x:c r="V242" s="165"/>
      <x:c r="W242" s="165" t="str">
        <x:v>因果説明</x:v>
      </x:c>
      <x:c r="X242" s="171" t="str">
        <x:v>D1</x:v>
      </x:c>
      <x:c r="Y242" s="165" t="str">
        <x:v>樽空間は全蒸発・発泡・果皮抽出</x:v>
      </x:c>
      <x:c r="Z242" s="171" t="str">
        <x:v>N</x:v>
      </x:c>
      <x:c r="AA242" s="165"/>
      <x:c r="AB242" s="165" t="str">
        <x:v>オリジナル</x:v>
      </x:c>
      <x:c r="AC242" s="165" t="str">
        <x:v>公式Specificationの範囲＋ユーザー作成コーパスの論点と問題設計例を参考に独自作成</x:v>
      </x:c>
      <x:c r="AD242" s="171" t="str">
        <x:v>未レビュー</x:v>
      </x:c>
      <x:c r="AE242" s="171"/>
      <x:c r="AF242" s="171"/>
      <x:c r="AG242" s="166"/>
    </x:row>
    <x:row r="243" ht="84" customHeight="1">
      <x:c r="A243" s="164" t="str">
        <x:v>LO4-042</x:v>
      </x:c>
      <x:c r="B243" s="171" t="str">
        <x:v>LO4</x:v>
      </x:c>
      <x:c r="C243" s="165" t="str">
        <x:v>世界の主要な酒精強化ワイン</x:v>
      </x:c>
      <x:c r="D243" s="165" t="str">
        <x:v>フロールとアセトアルデヒド</x:v>
      </x:c>
      <x:c r="E243" s="165" t="str">
        <x:v>フロール熟成によってフィノに生じやすい香りはどれか。</x:v>
      </x:c>
      <x:c r="F243" s="165" t="str">
        <x:v>濃いジャム、チョコレート、高いタンニンだけ</x:v>
      </x:c>
      <x:c r="G243" s="165" t="str">
        <x:v>青リンゴ、アーモンド、パン生地を思わせるアセトアルデヒド由来の香り</x:v>
      </x:c>
      <x:c r="H243" s="165" t="str">
        <x:v>湿った段ボールとカビだけ</x:v>
      </x:c>
      <x:c r="I243" s="165" t="str">
        <x:v>強い炭酸と泡だけ</x:v>
      </x:c>
      <x:c r="J243" s="171" t="str">
        <x:v>B</x:v>
      </x:c>
      <x:c r="K243" s="165" t="str">
        <x:v>青リンゴ、アーモンド、パン生地を思わせるアセトアルデヒド由来の香り</x:v>
      </x:c>
      <x:c r="L243" s="165" t="str">
        <x:v>フロールの代謝によりアセトアルデヒドが増え、フィノ特有の刺激的で新鮮なリンゴ、アーモンド、酵母系の香りが生まれる。</x:v>
      </x:c>
      <x:c r="M243" s="165" t="str">
        <x:v>誤り。 これは温暖地域の濃厚赤ワインに近く、フィノの典型ではない。</x:v>
      </x:c>
      <x:c r="N243" s="165" t="str">
        <x:v>正しい。 フロールの代謝によりアセトアルデヒドが増え、フィノ特有の刺激的で新鮮なリンゴ、アーモンド、酵母系の香りが生まれる。</x:v>
      </x:c>
      <x:c r="O243" s="165" t="str">
        <x:v>誤り。 これはコルク汚染の兆候で、望ましいフロール香ではない。</x:v>
      </x:c>
      <x:c r="P243" s="165" t="str">
        <x:v>誤り。 フィノは非発泡性で、フロールが炭酸ガスを保持して泡を作るわけではない。</x:v>
      </x:c>
      <x:c r="Q243" s="165" t="str">
        <x:v>酒精強化ワイン製法</x:v>
      </x:c>
      <x:c r="R243" s="165" t="str">
        <x:v>フロール・香り</x:v>
      </x:c>
      <x:c r="S243" s="165" t="str">
        <x:v>酒精強化ワイン</x:v>
      </x:c>
      <x:c r="T243" s="165" t="str">
        <x:v>スペイン</x:v>
      </x:c>
      <x:c r="U243" s="165" t="str">
        <x:v>ヘレス</x:v>
      </x:c>
      <x:c r="V243" s="165"/>
      <x:c r="W243" s="165" t="str">
        <x:v>知識確認</x:v>
      </x:c>
      <x:c r="X243" s="171" t="str">
        <x:v>D1</x:v>
      </x:c>
      <x:c r="Y243" s="165" t="str">
        <x:v>フロール香は濃厚赤・コルク汚染・発泡</x:v>
      </x:c>
      <x:c r="Z243" s="171" t="str">
        <x:v>N</x:v>
      </x:c>
      <x:c r="AA243" s="165"/>
      <x:c r="AB243" s="165" t="str">
        <x:v>オリジナル</x:v>
      </x:c>
      <x:c r="AC243" s="165" t="str">
        <x:v>公式Specificationの範囲＋ユーザー作成コーパスの論点と問題設計例を参考に独自作成</x:v>
      </x:c>
      <x:c r="AD243" s="171" t="str">
        <x:v>未レビュー</x:v>
      </x:c>
      <x:c r="AE243" s="171"/>
      <x:c r="AF243" s="171"/>
      <x:c r="AG243" s="166"/>
    </x:row>
    <x:row r="244" ht="84" customHeight="1">
      <x:c r="A244" s="164" t="str">
        <x:v>LO4-043</x:v>
      </x:c>
      <x:c r="B244" s="171" t="str">
        <x:v>LO4</x:v>
      </x:c>
      <x:c r="C244" s="165" t="str">
        <x:v>世界の主要な酒精強化ワイン</x:v>
      </x:c>
      <x:c r="D244" s="165" t="str">
        <x:v>生物学的熟成とグリセロール</x:v>
      </x:c>
      <x:c r="E244" s="165" t="str">
        <x:v>長い生物学的熟成がフィノの口当たりを軽く感じさせる理由の一つはどれか。</x:v>
      </x:c>
      <x:c r="F244" s="165" t="str">
        <x:v>フロールが糖を大量に作り、甘味と粘性を増やす</x:v>
      </x:c>
      <x:c r="G244" s="165" t="str">
        <x:v>果皮からタンニンを抽出し、重い赤ワインにする</x:v>
      </x:c>
      <x:c r="H244" s="165" t="str">
        <x:v>フロールがグリセロールなどを消費し、丸みが減るため</x:v>
      </x:c>
      <x:c r="I244" s="165" t="str">
        <x:v>瓶内二次発酵により泡が口当たりを軽くする</x:v>
      </x:c>
      <x:c r="J244" s="171" t="str">
        <x:v>C</x:v>
      </x:c>
      <x:c r="K244" s="165" t="str">
        <x:v>フロールがグリセロールなどを消費し、丸みが減るため</x:v>
      </x:c>
      <x:c r="L244" s="165" t="str">
        <x:v>フロールの代謝によりグリセロールが減少し、非常に辛口で軽く、鋭い口当たりになりやすい。</x:v>
      </x:c>
      <x:c r="M244" s="165" t="str">
        <x:v>誤り。 フロール熟成のフィノは非常に辛口で、糖と粘性を増やす説明は逆である。</x:v>
      </x:c>
      <x:c r="N244" s="165" t="str">
        <x:v>誤り。 白ワインの熟成で、果皮抽出は行わない。</x:v>
      </x:c>
      <x:c r="O244" s="165" t="str">
        <x:v>正しい。 フロールの代謝によりグリセロールが減少し、非常に辛口で軽く、鋭い口当たりになりやすい。</x:v>
      </x:c>
      <x:c r="P244" s="165" t="str">
        <x:v>誤り。 フィノは非発泡性で、瓶内二次発酵を行わない。</x:v>
      </x:c>
      <x:c r="Q244" s="165" t="str">
        <x:v>酒精強化ワイン製法</x:v>
      </x:c>
      <x:c r="R244" s="165" t="str">
        <x:v>フロール・口当たり</x:v>
      </x:c>
      <x:c r="S244" s="165" t="str">
        <x:v>酒精強化ワイン</x:v>
      </x:c>
      <x:c r="T244" s="165" t="str">
        <x:v>スペイン</x:v>
      </x:c>
      <x:c r="U244" s="165" t="str">
        <x:v>ヘレス</x:v>
      </x:c>
      <x:c r="V244" s="165"/>
      <x:c r="W244" s="165" t="str">
        <x:v>因果説明</x:v>
      </x:c>
      <x:c r="X244" s="171" t="str">
        <x:v>D2</x:v>
      </x:c>
      <x:c r="Y244" s="165" t="str">
        <x:v>フロールで甘味粘性増加; 果皮抽出; 発泡</x:v>
      </x:c>
      <x:c r="Z244" s="171" t="str">
        <x:v>N</x:v>
      </x:c>
      <x:c r="AA244" s="165"/>
      <x:c r="AB244" s="165" t="str">
        <x:v>オリジナル</x:v>
      </x:c>
      <x:c r="AC244" s="165" t="str">
        <x:v>公式Specificationの範囲＋ユーザー作成コーパスの論点と問題設計例を参考に独自作成</x:v>
      </x:c>
      <x:c r="AD244" s="171" t="str">
        <x:v>未レビュー</x:v>
      </x:c>
      <x:c r="AE244" s="171"/>
      <x:c r="AF244" s="171"/>
      <x:c r="AG244" s="166"/>
    </x:row>
    <x:row r="245" ht="84" customHeight="1">
      <x:c r="A245" s="164" t="str">
        <x:v>LO4-044</x:v>
      </x:c>
      <x:c r="B245" s="171" t="str">
        <x:v>LO4</x:v>
      </x:c>
      <x:c r="C245" s="165" t="str">
        <x:v>世界の主要な酒精強化ワイン</x:v>
      </x:c>
      <x:c r="D245" s="165" t="str">
        <x:v>フィノのスタイル</x:v>
      </x:c>
      <x:c r="E245" s="165" t="str">
        <x:v>若いフィノの典型的な外観と味わいはどれか。</x:v>
      </x:c>
      <x:c r="F245" s="165" t="str">
        <x:v>濃い褐色で非常に甘く、レーズンと糖蜜の風味</x:v>
      </x:c>
      <x:c r="G245" s="165" t="str">
        <x:v>深い紫色で高タンニンの赤ワイン</x:v>
      </x:c>
      <x:c r="H245" s="165" t="str">
        <x:v>強い泡と低アルコールの発泡性ワイン</x:v>
      </x:c>
      <x:c r="I245" s="165" t="str">
        <x:v>淡いレモン色で非常に辛口、軽いボディ、アーモンドやパン生地の風味</x:v>
      </x:c>
      <x:c r="J245" s="171" t="str">
        <x:v>D</x:v>
      </x:c>
      <x:c r="K245" s="165" t="str">
        <x:v>淡いレモン色で非常に辛口、軽いボディ、アーモンドやパン生地の風味</x:v>
      </x:c>
      <x:c r="L245" s="165" t="str">
        <x:v>フロールが酸化を抑え、生物学的熟成香を与えるため、色は淡く、辛口で繊細なスタイルとなる。</x:v>
      </x:c>
      <x:c r="M245" s="165" t="str">
        <x:v>誤り。 これはPXなど濃厚甘口シェリーに近い。</x:v>
      </x:c>
      <x:c r="N245" s="165" t="str">
        <x:v>誤り。 フィノはパロミノから造る白系の酒精強化ワインである。</x:v>
      </x:c>
      <x:c r="O245" s="165" t="str">
        <x:v>誤り。 フィノは酒精強化された非発泡性ワインである。</x:v>
      </x:c>
      <x:c r="P245" s="165" t="str">
        <x:v>正しい。 フロールが酸化を抑え、生物学的熟成香を与えるため、色は淡く、辛口で繊細なスタイルとなる。</x:v>
      </x:c>
      <x:c r="Q245" s="165" t="str">
        <x:v>産地スタイル</x:v>
      </x:c>
      <x:c r="R245" s="165" t="str">
        <x:v>フィノ・官能特徴</x:v>
      </x:c>
      <x:c r="S245" s="165" t="str">
        <x:v>酒精強化ワイン</x:v>
      </x:c>
      <x:c r="T245" s="165" t="str">
        <x:v>スペイン</x:v>
      </x:c>
      <x:c r="U245" s="165" t="str">
        <x:v>ヘレス</x:v>
      </x:c>
      <x:c r="V245" s="165" t="str">
        <x:v>パロミノ</x:v>
      </x:c>
      <x:c r="W245" s="165" t="str">
        <x:v>知識確認</x:v>
      </x:c>
      <x:c r="X245" s="171" t="str">
        <x:v>D1</x:v>
      </x:c>
      <x:c r="Y245" s="165" t="str">
        <x:v>フィノは甘い褐色・赤高タンニン・発泡</x:v>
      </x:c>
      <x:c r="Z245" s="171" t="str">
        <x:v>N</x:v>
      </x:c>
      <x:c r="AA245" s="165"/>
      <x:c r="AB245" s="165" t="str">
        <x:v>オリジナル</x:v>
      </x:c>
      <x:c r="AC245" s="165" t="str">
        <x:v>公式Specificationの範囲＋ユーザー作成コーパスの論点と問題設計例を参考に独自作成</x:v>
      </x:c>
      <x:c r="AD245" s="171" t="str">
        <x:v>未レビュー</x:v>
      </x:c>
      <x:c r="AE245" s="171"/>
      <x:c r="AF245" s="171"/>
      <x:c r="AG245" s="166"/>
    </x:row>
    <x:row r="246" ht="84" customHeight="1">
      <x:c r="A246" s="164" t="str">
        <x:v>LO4-045</x:v>
      </x:c>
      <x:c r="B246" s="171" t="str">
        <x:v>LO4</x:v>
      </x:c>
      <x:c r="C246" s="165" t="str">
        <x:v>世界の主要な酒精強化ワイン</x:v>
      </x:c>
      <x:c r="D246" s="165" t="str">
        <x:v>オロロソのスタイル</x:v>
      </x:c>
      <x:c r="E246" s="165" t="str">
        <x:v>オロロソがフィノより濃い色と豊かなボディを持つ主な理由はどれか。</x:v>
      </x:c>
      <x:c r="F246" s="165" t="str">
        <x:v>フロールを形成させず、長期間酸素に触れて酸化熟成する</x:v>
      </x:c>
      <x:c r="G246" s="165" t="str">
        <x:v>瓶内二次発酵で炭酸ガスを得る</x:v>
      </x:c>
      <x:c r="H246" s="165" t="str">
        <x:v>フロールが厚くワインを完全に保護する</x:v>
      </x:c>
      <x:c r="I246" s="165" t="str">
        <x:v>ブドウを凍結し、氷を分離する</x:v>
      </x:c>
      <x:c r="J246" s="171" t="str">
        <x:v>A</x:v>
      </x:c>
      <x:c r="K246" s="165" t="str">
        <x:v>フロールを形成させず、長期間酸素に触れて酸化熟成する</x:v>
      </x:c>
      <x:c r="L246" s="165" t="str">
        <x:v>高めの酒精強化でフロールを抑え、樽内で酸化と蒸発が進むため、褐色、ナッツ、皮革、豊かなボディが発達する。</x:v>
      </x:c>
      <x:c r="M246" s="165" t="str">
        <x:v>正しい。 高めの酒精強化でフロールを抑え、樽内で酸化と蒸発が進むため、褐色、ナッツ、皮革、豊かなボディが発達する。</x:v>
      </x:c>
      <x:c r="N246" s="165" t="str">
        <x:v>誤り。 オロロソは非発泡性で、瓶内二次発酵を行わない。</x:v>
      </x:c>
      <x:c r="O246" s="165" t="str">
        <x:v>誤り。 これはフィノの生物学的熟成に近く、オロロソではフロールを抑える。</x:v>
      </x:c>
      <x:c r="P246" s="165" t="str">
        <x:v>誤り。 凍結濃縮はオロロソの製法ではない。</x:v>
      </x:c>
      <x:c r="Q246" s="165" t="str">
        <x:v>酒精強化ワイン製法</x:v>
      </x:c>
      <x:c r="R246" s="165" t="str">
        <x:v>オロロソ・酸化熟成</x:v>
      </x:c>
      <x:c r="S246" s="165" t="str">
        <x:v>酒精強化ワイン</x:v>
      </x:c>
      <x:c r="T246" s="165" t="str">
        <x:v>スペイン</x:v>
      </x:c>
      <x:c r="U246" s="165" t="str">
        <x:v>ヘレス</x:v>
      </x:c>
      <x:c r="V246" s="165"/>
      <x:c r="W246" s="165" t="str">
        <x:v>因果説明</x:v>
      </x:c>
      <x:c r="X246" s="171" t="str">
        <x:v>D2</x:v>
      </x:c>
      <x:c r="Y246" s="165" t="str">
        <x:v>オロロソは瓶内発泡・厚いフロール・凍結</x:v>
      </x:c>
      <x:c r="Z246" s="171" t="str">
        <x:v>N</x:v>
      </x:c>
      <x:c r="AA246" s="165"/>
      <x:c r="AB246" s="165" t="str">
        <x:v>オリジナル</x:v>
      </x:c>
      <x:c r="AC246" s="165" t="str">
        <x:v>公式Specificationの範囲＋ユーザー作成コーパスの論点と問題設計例を参考に独自作成</x:v>
      </x:c>
      <x:c r="AD246" s="171" t="str">
        <x:v>未レビュー</x:v>
      </x:c>
      <x:c r="AE246" s="171"/>
      <x:c r="AF246" s="171"/>
      <x:c r="AG246" s="166"/>
    </x:row>
    <x:row r="247" ht="84" customHeight="1">
      <x:c r="A247" s="164" t="str">
        <x:v>LO4-046</x:v>
      </x:c>
      <x:c r="B247" s="171" t="str">
        <x:v>LO4</x:v>
      </x:c>
      <x:c r="C247" s="165" t="str">
        <x:v>世界の主要な酒精強化ワイン</x:v>
      </x:c>
      <x:c r="D247" s="165" t="str">
        <x:v>アモンティリャードの複雑性</x:v>
      </x:c>
      <x:c r="E247" s="165" t="str">
        <x:v>アモンティリャードがフィノとオロロソの両方に似た香りを持ち得る理由はどれか。</x:v>
      </x:c>
      <x:c r="F247" s="165" t="str">
        <x:v>赤ワインと白ワインを必ず半量ずつ混ぜる</x:v>
      </x:c>
      <x:c r="G247" s="165" t="str">
        <x:v>最初にフロール下で熟成し、その後フロールを失って酸化熟成する</x:v>
      </x:c>
      <x:c r="H247" s="165" t="str">
        <x:v>瓶内二次発酵と炭酸ガス注入を連続して行う</x:v>
      </x:c>
      <x:c r="I247" s="165" t="str">
        <x:v>糖を大量に加え、甘味だけで複雑にする</x:v>
      </x:c>
      <x:c r="J247" s="171" t="str">
        <x:v>B</x:v>
      </x:c>
      <x:c r="K247" s="165" t="str">
        <x:v>最初にフロール下で熟成し、その後フロールを失って酸化熟成する</x:v>
      </x:c>
      <x:c r="L247" s="165" t="str">
        <x:v>生物学的熟成のアーモンドやアセトアルデヒド香に、酸化熟成のナッツ、乾燥果実、濃い色が重なる。</x:v>
      </x:c>
      <x:c r="M247" s="165" t="str">
        <x:v>誤り。 複雑性は熟成経路によるもので、赤白の固定ブレンドではない。</x:v>
      </x:c>
      <x:c r="N247" s="165" t="str">
        <x:v>正しい。 生物学的熟成のアーモンドやアセトアルデヒド香に、酸化熟成のナッツ、乾燥果実、濃い色が重なる。</x:v>
      </x:c>
      <x:c r="O247" s="165" t="str">
        <x:v>誤り。 アモンティリャードは非発泡性である。</x:v>
      </x:c>
      <x:c r="P247" s="165" t="str">
        <x:v>誤り。 アモンティリャードは通常辛口で、複雑性は二段階の熟成から生じる。</x:v>
      </x:c>
      <x:c r="Q247" s="165" t="str">
        <x:v>酒精強化ワイン製法</x:v>
      </x:c>
      <x:c r="R247" s="165" t="str">
        <x:v>アモンティリャード・二段階熟成</x:v>
      </x:c>
      <x:c r="S247" s="165" t="str">
        <x:v>酒精強化ワイン</x:v>
      </x:c>
      <x:c r="T247" s="165" t="str">
        <x:v>スペイン</x:v>
      </x:c>
      <x:c r="U247" s="165" t="str">
        <x:v>ヘレス</x:v>
      </x:c>
      <x:c r="V247" s="165"/>
      <x:c r="W247" s="165" t="str">
        <x:v>因果説明</x:v>
      </x:c>
      <x:c r="X247" s="171" t="str">
        <x:v>D2</x:v>
      </x:c>
      <x:c r="Y247" s="165" t="str">
        <x:v>赤白固定ブレンド; 発泡工程; 糖だけで複雑性</x:v>
      </x:c>
      <x:c r="Z247" s="171" t="str">
        <x:v>N</x:v>
      </x:c>
      <x:c r="AA247" s="165"/>
      <x:c r="AB247" s="165" t="str">
        <x:v>オリジナル</x:v>
      </x:c>
      <x:c r="AC247" s="165" t="str">
        <x:v>公式Specificationの範囲＋ユーザー作成コーパスの論点と問題設計例を参考に独自作成</x:v>
      </x:c>
      <x:c r="AD247" s="171" t="str">
        <x:v>未レビュー</x:v>
      </x:c>
      <x:c r="AE247" s="171"/>
      <x:c r="AF247" s="171"/>
      <x:c r="AG247" s="166"/>
    </x:row>
    <x:row r="248" ht="84" customHeight="1">
      <x:c r="A248" s="164" t="str">
        <x:v>LO4-047</x:v>
      </x:c>
      <x:c r="B248" s="171" t="str">
        <x:v>LO4</x:v>
      </x:c>
      <x:c r="C248" s="165" t="str">
        <x:v>世界の主要な酒精強化ワイン</x:v>
      </x:c>
      <x:c r="D248" s="165" t="str">
        <x:v>パロ・コルタド</x:v>
      </x:c>
      <x:c r="E248" s="165" t="str">
        <x:v>パロ・コルタドの一般的なスタイルを最も適切に説明しているものはどれか。</x:v>
      </x:c>
      <x:c r="F248" s="165" t="str">
        <x:v>非常に甘く濃厚なPXだけを指す</x:v>
      </x:c>
      <x:c r="G248" s="165" t="str">
        <x:v>強い泡を持つ低アルコール発泡性ワイン</x:v>
      </x:c>
      <x:c r="H248" s="165" t="str">
        <x:v>アモンティリャードを思わせる繊細な香りと、オロロソのような豊かなボディを併せ持つ辛口</x:v>
      </x:c>
      <x:c r="I248" s="165" t="str">
        <x:v>若い紫色の高タンニン赤ワイン</x:v>
      </x:c>
      <x:c r="J248" s="171" t="str">
        <x:v>C</x:v>
      </x:c>
      <x:c r="K248" s="165" t="str">
        <x:v>アモンティリャードを思わせる繊細な香りと、オロロソのような豊かなボディを併せ持つ辛口</x:v>
      </x:c>
      <x:c r="L248" s="165" t="str">
        <x:v>パロ・コルタドは香りの繊細さと酸化熟成による豊かさを併せ持つ希少な辛口シェリーとして説明される。</x:v>
      </x:c>
      <x:c r="M248" s="165" t="str">
        <x:v>誤り。 PXは天日乾燥したペドロ・ヒメネスの甘口で、パロ・コルタドとは異なる。</x:v>
      </x:c>
      <x:c r="N248" s="165" t="str">
        <x:v>誤り。 パロ・コルタドは非発泡性の酒精強化ワインである。</x:v>
      </x:c>
      <x:c r="O248" s="165" t="str">
        <x:v>正しい。 パロ・コルタドは香りの繊細さと酸化熟成による豊かさを併せ持つ希少な辛口シェリーとして説明される。</x:v>
      </x:c>
      <x:c r="P248" s="165" t="str">
        <x:v>誤り。 白ブドウパロミノ由来の酸化熟成シェリーで、赤ワインではない。</x:v>
      </x:c>
      <x:c r="Q248" s="165" t="str">
        <x:v>法律面・スタイル</x:v>
      </x:c>
      <x:c r="R248" s="165" t="str">
        <x:v>パロ・コルタド</x:v>
      </x:c>
      <x:c r="S248" s="165" t="str">
        <x:v>酒精強化ワイン</x:v>
      </x:c>
      <x:c r="T248" s="165" t="str">
        <x:v>スペイン</x:v>
      </x:c>
      <x:c r="U248" s="165" t="str">
        <x:v>ヘレス</x:v>
      </x:c>
      <x:c r="V248" s="165"/>
      <x:c r="W248" s="165" t="str">
        <x:v>知識確認</x:v>
      </x:c>
      <x:c r="X248" s="171" t="str">
        <x:v>D2</x:v>
      </x:c>
      <x:c r="Y248" s="165" t="str">
        <x:v>パロコルタドはPX・発泡・赤</x:v>
      </x:c>
      <x:c r="Z248" s="171" t="str">
        <x:v>Y</x:v>
      </x:c>
      <x:c r="AA248" s="165" t="str">
        <x:v>パロ・コルタドの生産経路は生産者差が大きいため、スタイル中心の表現を教材と最終照合推奨</x:v>
      </x:c>
      <x:c r="AB248" s="165" t="str">
        <x:v>オリジナル</x:v>
      </x:c>
      <x:c r="AC248" s="165" t="str">
        <x:v>公式Specificationの範囲＋ユーザー作成コーパスの論点と問題設計例を参考に独自作成</x:v>
      </x:c>
      <x:c r="AD248" s="171" t="str">
        <x:v>未レビュー</x:v>
      </x:c>
      <x:c r="AE248" s="171"/>
      <x:c r="AF248" s="171"/>
      <x:c r="AG248" s="166"/>
    </x:row>
    <x:row r="249" ht="84" customHeight="1">
      <x:c r="A249" s="164" t="str">
        <x:v>LO4-048</x:v>
      </x:c>
      <x:c r="B249" s="171" t="str">
        <x:v>LO4</x:v>
      </x:c>
      <x:c r="C249" s="165" t="str">
        <x:v>世界の主要な酒精強化ワイン</x:v>
      </x:c>
      <x:c r="D249" s="165" t="str">
        <x:v>ソレラの平均年齢</x:v>
      </x:c>
      <x:c r="E249" s="165" t="str">
        <x:v>ソレラ・システムで、瓶詰めワインの年齢が単一の収穫年として示されにくい理由はどれか。</x:v>
      </x:c>
      <x:c r="F249" s="165" t="str">
        <x:v>毎年すべての樽を空にして同じ年のワインだけを入れる</x:v>
      </x:c>
      <x:c r="G249" s="165" t="str">
        <x:v>ブドウの収穫年を記録しないことが法律で義務付けられる</x:v>
      </x:c>
      <x:c r="H249" s="165" t="str">
        <x:v>瓶内二次発酵で年号が消える</x:v>
      </x:c>
      <x:c r="I249" s="165" t="str">
        <x:v>異なる年齢のワインを段階的に混ぜ、各樽に複数年のワインが含まれるため</x:v>
      </x:c>
      <x:c r="J249" s="171" t="str">
        <x:v>D</x:v>
      </x:c>
      <x:c r="K249" s="165" t="str">
        <x:v>異なる年齢のワインを段階的に混ぜ、各樽に複数年のワインが含まれるため</x:v>
      </x:c>
      <x:c r="L249" s="165" t="str">
        <x:v>古いワインを一部取り出し、若いワインで補充する分別ブレンドを繰り返すため、最終ワインは多くの年の混合となる。</x:v>
      </x:c>
      <x:c r="M249" s="165" t="str">
        <x:v>誤り。 ソレラでは通常一部だけを移し、古いワインを残す。</x:v>
      </x:c>
      <x:c r="N249" s="165" t="str">
        <x:v>誤り。 本質は分別ブレンドで複数年が混ざることである。</x:v>
      </x:c>
      <x:c r="O249" s="165" t="str">
        <x:v>誤り。 シェリーは非発泡性で、年号が物理的に消えるわけではない。</x:v>
      </x:c>
      <x:c r="P249" s="165" t="str">
        <x:v>正しい。 古いワインを一部取り出し、若いワインで補充する分別ブレンドを繰り返すため、最終ワインは多くの年の混合となる。</x:v>
      </x:c>
      <x:c r="Q249" s="165" t="str">
        <x:v>酒精強化ワイン製法</x:v>
      </x:c>
      <x:c r="R249" s="165" t="str">
        <x:v>ソレラ・年齢</x:v>
      </x:c>
      <x:c r="S249" s="165" t="str">
        <x:v>酒精強化ワイン</x:v>
      </x:c>
      <x:c r="T249" s="165" t="str">
        <x:v>スペイン</x:v>
      </x:c>
      <x:c r="U249" s="165" t="str">
        <x:v>ヘレス</x:v>
      </x:c>
      <x:c r="V249" s="165"/>
      <x:c r="W249" s="165" t="str">
        <x:v>因果説明</x:v>
      </x:c>
      <x:c r="X249" s="171" t="str">
        <x:v>D2</x:v>
      </x:c>
      <x:c r="Y249" s="165" t="str">
        <x:v>ソレラは毎年全樽交換; 年号記録禁止; 発泡で年号消失</x:v>
      </x:c>
      <x:c r="Z249" s="171" t="str">
        <x:v>N</x:v>
      </x:c>
      <x:c r="AA249" s="165"/>
      <x:c r="AB249" s="165" t="str">
        <x:v>オリジナル</x:v>
      </x:c>
      <x:c r="AC249" s="165" t="str">
        <x:v>公式Specificationの範囲＋ユーザー作成コーパスの論点と問題設計例を参考に独自作成</x:v>
      </x:c>
      <x:c r="AD249" s="171" t="str">
        <x:v>未レビュー</x:v>
      </x:c>
      <x:c r="AE249" s="171"/>
      <x:c r="AF249" s="171"/>
      <x:c r="AG249" s="166"/>
    </x:row>
    <x:row r="250" ht="84" customHeight="1">
      <x:c r="A250" s="164" t="str">
        <x:v>LO4-049</x:v>
      </x:c>
      <x:c r="B250" s="171" t="str">
        <x:v>LO4</x:v>
      </x:c>
      <x:c r="C250" s="165" t="str">
        <x:v>世界の主要な酒精強化ワイン</x:v>
      </x:c>
      <x:c r="D250" s="165" t="str">
        <x:v>クリアデラ</x:v>
      </x:c>
      <x:c r="E250" s="165" t="str">
        <x:v>ソレラ・システムでクリアデラの若いワインを段階的に加える効果はどれか。</x:v>
      </x:c>
      <x:c r="F250" s="165" t="str">
        <x:v>古いワインの量を補い、フロールへ栄養を供給しながらスタイルを維持する</x:v>
      </x:c>
      <x:c r="G250" s="165" t="str">
        <x:v>古いワインをすべて捨て、毎年完全に若返らせる</x:v>
      </x:c>
      <x:c r="H250" s="165" t="str">
        <x:v>二酸化炭素を注入し、泡を作る</x:v>
      </x:c>
      <x:c r="I250" s="165" t="str">
        <x:v>果皮を加えて色とタンニンを抽出する</x:v>
      </x:c>
      <x:c r="J250" s="171" t="str">
        <x:v>A</x:v>
      </x:c>
      <x:c r="K250" s="165" t="str">
        <x:v>古いワインの量を補い、フロールへ栄養を供給しながらスタイルを維持する</x:v>
      </x:c>
      <x:c r="L250" s="165" t="str">
        <x:v>若いワインは取り出した量を補い、フィノ系では新しいアルコールや栄養をフロールへ与え、継続的な熟成を支える。</x:v>
      </x:c>
      <x:c r="M250" s="165" t="str">
        <x:v>正しい。 若いワインは取り出した量を補い、フィノ系では新しいアルコールや栄養をフロールへ与え、継続的な熟成を支える。</x:v>
      </x:c>
      <x:c r="N250" s="165" t="str">
        <x:v>誤り。 一部の古いワインを残しながら補充することがソレラの特徴である。</x:v>
      </x:c>
      <x:c r="O250" s="165" t="str">
        <x:v>誤り。 クリアデラは熟成・ブレンド段階で、発泡化ではない。</x:v>
      </x:c>
      <x:c r="P250" s="165" t="str">
        <x:v>誤り。 発酵後のワインを移す仕組みで、果皮抽出を行わない。</x:v>
      </x:c>
      <x:c r="Q250" s="165" t="str">
        <x:v>酒精強化ワイン製法</x:v>
      </x:c>
      <x:c r="R250" s="165" t="str">
        <x:v>ソレラ・クリアデラ</x:v>
      </x:c>
      <x:c r="S250" s="165" t="str">
        <x:v>酒精強化ワイン</x:v>
      </x:c>
      <x:c r="T250" s="165" t="str">
        <x:v>スペイン</x:v>
      </x:c>
      <x:c r="U250" s="165" t="str">
        <x:v>ヘレス</x:v>
      </x:c>
      <x:c r="V250" s="165"/>
      <x:c r="W250" s="165" t="str">
        <x:v>因果説明</x:v>
      </x:c>
      <x:c r="X250" s="171" t="str">
        <x:v>D2</x:v>
      </x:c>
      <x:c r="Y250" s="165" t="str">
        <x:v>クリアデラで古酒全廃; 発泡; 果皮抽出</x:v>
      </x:c>
      <x:c r="Z250" s="171" t="str">
        <x:v>N</x:v>
      </x:c>
      <x:c r="AA250" s="165"/>
      <x:c r="AB250" s="165" t="str">
        <x:v>オリジナル</x:v>
      </x:c>
      <x:c r="AC250" s="165" t="str">
        <x:v>公式Specificationの範囲＋ユーザー作成コーパスの論点と問題設計例を参考に独自作成</x:v>
      </x:c>
      <x:c r="AD250" s="171" t="str">
        <x:v>未レビュー</x:v>
      </x:c>
      <x:c r="AE250" s="171"/>
      <x:c r="AF250" s="171"/>
      <x:c r="AG250" s="166"/>
    </x:row>
    <x:row r="251" ht="84" customHeight="1">
      <x:c r="A251" s="164" t="str">
        <x:v>LO4-050</x:v>
      </x:c>
      <x:c r="B251" s="171" t="str">
        <x:v>LO4</x:v>
      </x:c>
      <x:c r="C251" s="165" t="str">
        <x:v>世界の主要な酒精強化ワイン</x:v>
      </x:c>
      <x:c r="D251" s="165" t="str">
        <x:v>PXの圧搾</x:v>
      </x:c>
      <x:c r="E251" s="165" t="str">
        <x:v>天日乾燥したペドロ・ヒメネスを圧搾する際に生じやすい課題はどれか。</x:v>
      </x:c>
      <x:c r="F251" s="165" t="str">
        <x:v>果汁が水のように薄く、糖度が低すぎる</x:v>
      </x:c>
      <x:c r="G251" s="165" t="str">
        <x:v>果汁が非常に粘性が高く量も少ないため、圧搾と発酵が難しい</x:v>
      </x:c>
      <x:c r="H251" s="165" t="str">
        <x:v>果皮がなくなり、圧搾機が不要になる</x:v>
      </x:c>
      <x:c r="I251" s="165" t="str">
        <x:v>二次発酵が自然に起こり、強い泡が生じる</x:v>
      </x:c>
      <x:c r="J251" s="171" t="str">
        <x:v>B</x:v>
      </x:c>
      <x:c r="K251" s="165" t="str">
        <x:v>果汁が非常に粘性が高く量も少ないため、圧搾と発酵が難しい</x:v>
      </x:c>
      <x:c r="L251" s="165" t="str">
        <x:v>水分を失った果粒は糖度が極めて高く、濃い果汁が少量しか得られず、酵母も高糖度環境で働きにくい。</x:v>
      </x:c>
      <x:c r="M251" s="165" t="str">
        <x:v>誤り。 天日乾燥で糖と風味が濃縮し、説明が逆である。</x:v>
      </x:c>
      <x:c r="N251" s="165" t="str">
        <x:v>正しい。 水分を失った果粒は糖度が極めて高く、濃い果汁が少量しか得られず、酵母も高糖度環境で働きにくい。</x:v>
      </x:c>
      <x:c r="O251" s="165" t="str">
        <x:v>誤り。 乾燥後も果皮と固形物があり、圧搾が必要である。</x:v>
      </x:c>
      <x:c r="P251" s="165" t="str">
        <x:v>誤り。 PXは濃厚な非発泡性甘口シェリーである。</x:v>
      </x:c>
      <x:c r="Q251" s="165" t="str">
        <x:v>酒精強化ワイン製法</x:v>
      </x:c>
      <x:c r="R251" s="165" t="str">
        <x:v>PX・乾燥・圧搾</x:v>
      </x:c>
      <x:c r="S251" s="165" t="str">
        <x:v>酒精強化ワイン</x:v>
      </x:c>
      <x:c r="T251" s="165" t="str">
        <x:v>スペイン</x:v>
      </x:c>
      <x:c r="U251" s="165" t="str">
        <x:v>ヘレス</x:v>
      </x:c>
      <x:c r="V251" s="165" t="str">
        <x:v>ペドロ・ヒメネス</x:v>
      </x:c>
      <x:c r="W251" s="165" t="str">
        <x:v>因果説明</x:v>
      </x:c>
      <x:c r="X251" s="171" t="str">
        <x:v>D2</x:v>
      </x:c>
      <x:c r="Y251" s="165" t="str">
        <x:v>乾燥果汁は希薄; 圧搾不要; 発泡</x:v>
      </x:c>
      <x:c r="Z251" s="171" t="str">
        <x:v>N</x:v>
      </x:c>
      <x:c r="AA251" s="165"/>
      <x:c r="AB251" s="165" t="str">
        <x:v>オリジナル</x:v>
      </x:c>
      <x:c r="AC251" s="165" t="str">
        <x:v>公式Specificationの範囲＋ユーザー作成コーパスの論点と問題設計例を参考に独自作成</x:v>
      </x:c>
      <x:c r="AD251" s="171" t="str">
        <x:v>未レビュー</x:v>
      </x:c>
      <x:c r="AE251" s="171"/>
      <x:c r="AF251" s="171"/>
      <x:c r="AG251" s="166"/>
    </x:row>
    <x:row r="252" ht="84" customHeight="1">
      <x:c r="A252" s="164" t="str">
        <x:v>LO4-051</x:v>
      </x:c>
      <x:c r="B252" s="171" t="str">
        <x:v>LO4</x:v>
      </x:c>
      <x:c r="C252" s="165" t="str">
        <x:v>世界の主要な酒精強化ワイン</x:v>
      </x:c>
      <x:c r="D252" s="165" t="str">
        <x:v>ミディアムとクリーム</x:v>
      </x:c>
      <x:c r="E252" s="165" t="str">
        <x:v>ミディアム・シェリーとクリーム・シェリーの一般的な違いとして最も適切なものはどれか。</x:v>
      </x:c>
      <x:c r="F252" s="165" t="str">
        <x:v>ミディアムは必ず発泡性、クリームは必ず非発泡性</x:v>
      </x:c>
      <x:c r="G252" s="165" t="str">
        <x:v>ミディアムは黒ブドウ、クリームは白ブドウからしか造れない</x:v>
      </x:c>
      <x:c r="H252" s="165" t="str">
        <x:v>ミディアムはアモンティリャード系、クリームはオロロソ系の辛口シェリーを甘味調整することが多い</x:v>
      </x:c>
      <x:c r="I252" s="165" t="str">
        <x:v>どちらも糖を加えず、完全な辛口だけを指す</x:v>
      </x:c>
      <x:c r="J252" s="171" t="str">
        <x:v>C</x:v>
      </x:c>
      <x:c r="K252" s="165" t="str">
        <x:v>ミディアムはアモンティリャード系、クリームはオロロソ系の辛口シェリーを甘味調整することが多い</x:v>
      </x:c>
      <x:c r="L252" s="165" t="str">
        <x:v>いずれも辛口シェリーへPXなどの甘味成分をブレンドして造るが、基礎となる辛口スタイルの違いが香りとボディに影響する。</x:v>
      </x:c>
      <x:c r="M252" s="165" t="str">
        <x:v>誤り。 どちらも通常非発泡性の酒精強化ワインである。</x:v>
      </x:c>
      <x:c r="N252" s="165" t="str">
        <x:v>誤り。 いずれもパロミノ主体の辛口シェリーを基礎とすることが多い。</x:v>
      </x:c>
      <x:c r="O252" s="165" t="str">
        <x:v>正しい。 いずれも辛口シェリーへPXなどの甘味成分をブレンドして造るが、基礎となる辛口スタイルの違いが香りとボディに影響する。</x:v>
      </x:c>
      <x:c r="P252" s="165" t="str">
        <x:v>誤り。 甘味調整されたカテゴリーである。</x:v>
      </x:c>
      <x:c r="Q252" s="165" t="str">
        <x:v>法律面・スタイル</x:v>
      </x:c>
      <x:c r="R252" s="165" t="str">
        <x:v>甘口調整シェリー</x:v>
      </x:c>
      <x:c r="S252" s="165" t="str">
        <x:v>酒精強化ワイン</x:v>
      </x:c>
      <x:c r="T252" s="165" t="str">
        <x:v>スペイン</x:v>
      </x:c>
      <x:c r="U252" s="165" t="str">
        <x:v>ヘレス</x:v>
      </x:c>
      <x:c r="V252" s="165"/>
      <x:c r="W252" s="165" t="str">
        <x:v>比較</x:v>
      </x:c>
      <x:c r="X252" s="171" t="str">
        <x:v>D3</x:v>
      </x:c>
      <x:c r="Y252" s="165" t="str">
        <x:v>Mediumは発泡; 黒白品種区分; 完全辛口</x:v>
      </x:c>
      <x:c r="Z252" s="171" t="str">
        <x:v>Y</x:v>
      </x:c>
      <x:c r="AA252" s="165" t="str">
        <x:v>Medium／Creamの甘味調整方法と表示区分を最新教材・規定と照合推奨</x:v>
      </x:c>
      <x:c r="AB252" s="165" t="str">
        <x:v>オリジナル</x:v>
      </x:c>
      <x:c r="AC252" s="165" t="str">
        <x:v>公式Specificationの範囲＋ユーザー作成コーパスの論点と問題設計例を参考に独自作成</x:v>
      </x:c>
      <x:c r="AD252" s="171" t="str">
        <x:v>未レビュー</x:v>
      </x:c>
      <x:c r="AE252" s="171"/>
      <x:c r="AF252" s="171"/>
      <x:c r="AG252" s="166"/>
    </x:row>
    <x:row r="253" ht="84" customHeight="1">
      <x:c r="A253" s="164" t="str">
        <x:v>LO4-052</x:v>
      </x:c>
      <x:c r="B253" s="171" t="str">
        <x:v>LO4</x:v>
      </x:c>
      <x:c r="C253" s="165" t="str">
        <x:v>世界の主要な酒精強化ワイン</x:v>
      </x:c>
      <x:c r="D253" s="165" t="str">
        <x:v>マンサニーリャの原産地</x:v>
      </x:c>
      <x:c r="E253" s="165" t="str">
        <x:v>マンサニーリャの名称を使用できる辛口シェリーが熟成される場所はどこか。</x:v>
      </x:c>
      <x:c r="F253" s="165" t="str">
        <x:v>ドウロ・スペリオール</x:v>
      </x:c>
      <x:c r="G253" s="165" t="str">
        <x:v>ラザグレン</x:v>
      </x:c>
      <x:c r="H253" s="165" t="str">
        <x:v>シャンパーニュ</x:v>
      </x:c>
      <x:c r="I253" s="165" t="str">
        <x:v>サンルーカル・デ・バラメダ</x:v>
      </x:c>
      <x:c r="J253" s="171" t="str">
        <x:v>D</x:v>
      </x:c>
      <x:c r="K253" s="165" t="str">
        <x:v>サンルーカル・デ・バラメダ</x:v>
      </x:c>
      <x:c r="L253" s="165" t="str">
        <x:v>マンサニーリャはサンルーカル・デ・バラメダでフロール下に熟成される生物学的熟成の辛口シェリーである。</x:v>
      </x:c>
      <x:c r="M253" s="165" t="str">
        <x:v>誤り。 ドウロはポートの産地で、マンサニーリャの熟成地ではない。</x:v>
      </x:c>
      <x:c r="N253" s="165" t="str">
        <x:v>誤り。 ラザグレンはオーストラリアの酒精強化マスカットで知られる。</x:v>
      </x:c>
      <x:c r="O253" s="165" t="str">
        <x:v>誤り。 シャンパーニュはフランスの発泡性ワイン産地である。</x:v>
      </x:c>
      <x:c r="P253" s="165" t="str">
        <x:v>正しい。 マンサニーリャはサンルーカル・デ・バラメダでフロール下に熟成される生物学的熟成の辛口シェリーである。</x:v>
      </x:c>
      <x:c r="Q253" s="165" t="str">
        <x:v>法律面・産地</x:v>
      </x:c>
      <x:c r="R253" s="165" t="str">
        <x:v>マンサニーリャ・原産地</x:v>
      </x:c>
      <x:c r="S253" s="165" t="str">
        <x:v>酒精強化ワイン</x:v>
      </x:c>
      <x:c r="T253" s="165" t="str">
        <x:v>スペイン</x:v>
      </x:c>
      <x:c r="U253" s="165" t="str">
        <x:v>サンルーカル・デ・バラメダ</x:v>
      </x:c>
      <x:c r="V253" s="165" t="str">
        <x:v>パロミノ</x:v>
      </x:c>
      <x:c r="W253" s="165" t="str">
        <x:v>知識確認</x:v>
      </x:c>
      <x:c r="X253" s="171" t="str">
        <x:v>D1</x:v>
      </x:c>
      <x:c r="Y253" s="165" t="str">
        <x:v>マンサニーリャをポート・ラザグレン・シャンパーニュと混同</x:v>
      </x:c>
      <x:c r="Z253" s="171" t="str">
        <x:v>Y</x:v>
      </x:c>
      <x:c r="AA253" s="165" t="str">
        <x:v>Manzanillaの原産地表示に関する現行規定を最終照合推奨</x:v>
      </x:c>
      <x:c r="AB253" s="165" t="str">
        <x:v>オリジナル</x:v>
      </x:c>
      <x:c r="AC253" s="165" t="str">
        <x:v>公式Specificationの範囲＋ユーザー作成コーパスの論点と問題設計例を参考に独自作成</x:v>
      </x:c>
      <x:c r="AD253" s="171" t="str">
        <x:v>未レビュー</x:v>
      </x:c>
      <x:c r="AE253" s="171"/>
      <x:c r="AF253" s="171"/>
      <x:c r="AG253" s="166"/>
    </x:row>
    <x:row r="254" ht="84" customHeight="1">
      <x:c r="A254" s="164" t="str">
        <x:v>LO4-053</x:v>
      </x:c>
      <x:c r="B254" s="171" t="str">
        <x:v>LO4</x:v>
      </x:c>
      <x:c r="C254" s="165" t="str">
        <x:v>世界の主要な酒精強化ワイン</x:v>
      </x:c>
      <x:c r="D254" s="165" t="str">
        <x:v>マスカットの品種香</x:v>
      </x:c>
      <x:c r="E254" s="165" t="str">
        <x:v>酒精強化マスカットに、ブドウ、花、オレンジの皮を思わせる強い香りが残りやすい理由はどれか。</x:v>
      </x:c>
      <x:c r="F254" s="165" t="str">
        <x:v>マスカット自体が強い一次香を持ち、早期の酒精強化でその香りを保てる</x:v>
      </x:c>
      <x:c r="G254" s="165" t="str">
        <x:v>フロールがマスカット香を作る</x:v>
      </x:c>
      <x:c r="H254" s="165" t="str">
        <x:v>長い果皮浸漬で黒い色とタンニンを抽出する</x:v>
      </x:c>
      <x:c r="I254" s="165" t="str">
        <x:v>炭酸ガス注入で花の香りを作る</x:v>
      </x:c>
      <x:c r="J254" s="171" t="str">
        <x:v>A</x:v>
      </x:c>
      <x:c r="K254" s="165" t="str">
        <x:v>マスカット自体が強い一次香を持ち、早期の酒精強化でその香りを保てる</x:v>
      </x:c>
      <x:c r="L254" s="165" t="str">
        <x:v>マスカットはテルペン系の強い品種香を持ち、発酵を早く止めることで残糖と新鮮な芳香を保持しやすい。</x:v>
      </x:c>
      <x:c r="M254" s="165" t="str">
        <x:v>正しい。 マスカットはテルペン系の強い品種香を持ち、発酵を早く止めることで残糖と新鮮な芳香を保持しやすい。</x:v>
      </x:c>
      <x:c r="N254" s="165" t="str">
        <x:v>誤り。 マスカット香は主にブドウ由来で、フロールによるものではない。</x:v>
      </x:c>
      <x:c r="O254" s="165" t="str">
        <x:v>誤り。 多くの酒精強化マスカットは白系または褐色で、強いタンニン抽出が目的ではない。</x:v>
      </x:c>
      <x:c r="P254" s="165" t="str">
        <x:v>誤り。 炭酸ガスは泡を与えるが、品種香を作るものではない。</x:v>
      </x:c>
      <x:c r="Q254" s="165" t="str">
        <x:v>品種・製法</x:v>
      </x:c>
      <x:c r="R254" s="165" t="str">
        <x:v>マスカット・一次香</x:v>
      </x:c>
      <x:c r="S254" s="165" t="str">
        <x:v>酒精強化ワイン</x:v>
      </x:c>
      <x:c r="T254" s="165"/>
      <x:c r="U254" s="165"/>
      <x:c r="V254" s="165" t="str">
        <x:v>マスカット</x:v>
      </x:c>
      <x:c r="W254" s="165" t="str">
        <x:v>因果説明</x:v>
      </x:c>
      <x:c r="X254" s="171" t="str">
        <x:v>D2</x:v>
      </x:c>
      <x:c r="Y254" s="165" t="str">
        <x:v>マスカット香はフロール・果皮抽出・炭酸注入</x:v>
      </x:c>
      <x:c r="Z254" s="171" t="str">
        <x:v>N</x:v>
      </x:c>
      <x:c r="AA254" s="165"/>
      <x:c r="AB254" s="165" t="str">
        <x:v>オリジナル</x:v>
      </x:c>
      <x:c r="AC254" s="165" t="str">
        <x:v>公式Specificationの範囲＋ユーザー作成コーパスの論点と問題設計例を参考に独自作成</x:v>
      </x:c>
      <x:c r="AD254" s="171" t="str">
        <x:v>未レビュー</x:v>
      </x:c>
      <x:c r="AE254" s="171"/>
      <x:c r="AF254" s="171"/>
      <x:c r="AG254" s="166"/>
    </x:row>
    <x:row r="255" ht="84" customHeight="1">
      <x:c r="A255" s="164" t="str">
        <x:v>LO4-054</x:v>
      </x:c>
      <x:c r="B255" s="171" t="str">
        <x:v>LO4</x:v>
      </x:c>
      <x:c r="C255" s="165" t="str">
        <x:v>世界の主要な酒精強化ワイン</x:v>
      </x:c>
      <x:c r="D255" s="165" t="str">
        <x:v>早期酒精強化とマスカット</x:v>
      </x:c>
      <x:c r="E255" s="165" t="str">
        <x:v>酒精強化マスカットで発酵を早い段階で止める主な効果はどれか。</x:v>
      </x:c>
      <x:c r="F255" s="165" t="str">
        <x:v>完全な辛口になり、香りがすべて消える</x:v>
      </x:c>
      <x:c r="G255" s="165" t="str">
        <x:v>高い残糖と低めの発酵由来アルコールを残し、品種香を保持する</x:v>
      </x:c>
      <x:c r="H255" s="165" t="str">
        <x:v>二次発酵が始まり、強い泡が生まれる</x:v>
      </x:c>
      <x:c r="I255" s="165" t="str">
        <x:v>タンニンが最大化し、濃い赤色になる</x:v>
      </x:c>
      <x:c r="J255" s="171" t="str">
        <x:v>B</x:v>
      </x:c>
      <x:c r="K255" s="165" t="str">
        <x:v>高い残糖と低めの発酵由来アルコールを残し、品種香を保持する</x:v>
      </x:c>
      <x:c r="L255" s="165" t="str">
        <x:v>発酵される糖が少ないうちに蒸留酒を加えるため、甘味が多く残り、マスカットのフレッシュな香りが前面に出る。</x:v>
      </x:c>
      <x:c r="M255" s="165" t="str">
        <x:v>誤り。 早期停止では残糖が多く、強い品種香を保つ。</x:v>
      </x:c>
      <x:c r="N255" s="165" t="str">
        <x:v>正しい。 発酵される糖が少ないうちに蒸留酒を加えるため、甘味が多く残り、マスカットのフレッシュな香りが前面に出る。</x:v>
      </x:c>
      <x:c r="O255" s="165" t="str">
        <x:v>誤り。 酒精強化で酵母の働きを止めるため、発泡化が目的ではない。</x:v>
      </x:c>
      <x:c r="P255" s="165" t="str">
        <x:v>誤り。 甘味と香りの保持が中心で、タンニン抽出が主目的ではない。</x:v>
      </x:c>
      <x:c r="Q255" s="165" t="str">
        <x:v>酒精強化ワイン製法</x:v>
      </x:c>
      <x:c r="R255" s="165" t="str">
        <x:v>マスカット・発酵停止</x:v>
      </x:c>
      <x:c r="S255" s="165" t="str">
        <x:v>酒精強化ワイン</x:v>
      </x:c>
      <x:c r="T255" s="165"/>
      <x:c r="U255" s="165"/>
      <x:c r="V255" s="165" t="str">
        <x:v>マスカット</x:v>
      </x:c>
      <x:c r="W255" s="165" t="str">
        <x:v>因果説明</x:v>
      </x:c>
      <x:c r="X255" s="171" t="str">
        <x:v>D2</x:v>
      </x:c>
      <x:c r="Y255" s="165" t="str">
        <x:v>早期強化で辛口・発泡・高タンニン</x:v>
      </x:c>
      <x:c r="Z255" s="171" t="str">
        <x:v>N</x:v>
      </x:c>
      <x:c r="AA255" s="165"/>
      <x:c r="AB255" s="165" t="str">
        <x:v>オリジナル</x:v>
      </x:c>
      <x:c r="AC255" s="165" t="str">
        <x:v>公式Specificationの範囲＋ユーザー作成コーパスの論点と問題設計例を参考に独自作成</x:v>
      </x:c>
      <x:c r="AD255" s="171" t="str">
        <x:v>未レビュー</x:v>
      </x:c>
      <x:c r="AE255" s="171"/>
      <x:c r="AF255" s="171"/>
      <x:c r="AG255" s="166"/>
    </x:row>
    <x:row r="256" ht="84" customHeight="1">
      <x:c r="A256" s="164" t="str">
        <x:v>LO4-055</x:v>
      </x:c>
      <x:c r="B256" s="171" t="str">
        <x:v>LO4</x:v>
      </x:c>
      <x:c r="C256" s="165" t="str">
        <x:v>世界の主要な酒精強化ワイン</x:v>
      </x:c>
      <x:c r="D256" s="165" t="str">
        <x:v>ボーム・ド・ヴニーズの気候</x:v>
      </x:c>
      <x:c r="E256" s="165" t="str">
        <x:v>ミュスカ・ド・ボーム・ド・ヴニーズで熟したマスカットの香りと高い糖度を得やすい主な理由はどれか。</x:v>
      </x:c>
      <x:c r="F256" s="165" t="str">
        <x:v>北極圏の短い夏と永久凍土</x:v>
      </x:c>
      <x:c r="G256" s="165" t="str">
        <x:v>一年中厚い海霧で日照がない</x:v>
      </x:c>
      <x:c r="H256" s="165" t="str">
        <x:v>南ローヌの温暖で日照の多い地中海性気候</x:v>
      </x:c>
      <x:c r="I256" s="165" t="str">
        <x:v>ブドウを海水へ浸して糖を加える</x:v>
      </x:c>
      <x:c r="J256" s="171" t="str">
        <x:v>C</x:v>
      </x:c>
      <x:c r="K256" s="165" t="str">
        <x:v>南ローヌの温暖で日照の多い地中海性気候</x:v>
      </x:c>
      <x:c r="L256" s="165" t="str">
        <x:v>暖かく乾燥した生育期によりマスカットが十分に成熟し、ブドウと花の強い香り、高い糖度を得やすい。</x:v>
      </x:c>
      <x:c r="M256" s="165" t="str">
        <x:v>誤り。 南ローヌの温暖な産地で、極寒ではない。</x:v>
      </x:c>
      <x:c r="N256" s="165" t="str">
        <x:v>誤り。 豊富な日照が成熟を支える。</x:v>
      </x:c>
      <x:c r="O256" s="165" t="str">
        <x:v>正しい。 暖かく乾燥した生育期によりマスカットが十分に成熟し、ブドウと花の強い香り、高い糖度を得やすい。</x:v>
      </x:c>
      <x:c r="P256" s="165" t="str">
        <x:v>誤り。 糖は成熟で蓄積し、海水を用いない。</x:v>
      </x:c>
      <x:c r="Q256" s="165" t="str">
        <x:v>自然要因・産地</x:v>
      </x:c>
      <x:c r="R256" s="165" t="str">
        <x:v>地中海性気候・成熟</x:v>
      </x:c>
      <x:c r="S256" s="165" t="str">
        <x:v>酒精強化ワイン</x:v>
      </x:c>
      <x:c r="T256" s="165" t="str">
        <x:v>フランス</x:v>
      </x:c>
      <x:c r="U256" s="165" t="str">
        <x:v>ミュスカ・ド・ボーム・ド・ヴニーズ</x:v>
      </x:c>
      <x:c r="V256" s="165" t="str">
        <x:v>マスカット</x:v>
      </x:c>
      <x:c r="W256" s="165" t="str">
        <x:v>因果説明</x:v>
      </x:c>
      <x:c r="X256" s="171" t="str">
        <x:v>D1</x:v>
      </x:c>
      <x:c r="Y256" s="165" t="str">
        <x:v>ボームは極寒・無日照・海水糖添加</x:v>
      </x:c>
      <x:c r="Z256" s="171" t="str">
        <x:v>N</x:v>
      </x:c>
      <x:c r="AA256" s="165"/>
      <x:c r="AB256" s="165" t="str">
        <x:v>オリジナル</x:v>
      </x:c>
      <x:c r="AC256" s="165" t="str">
        <x:v>公式Specificationの範囲＋ユーザー作成コーパスの論点と問題設計例を参考に独自作成</x:v>
      </x:c>
      <x:c r="AD256" s="171" t="str">
        <x:v>未レビュー</x:v>
      </x:c>
      <x:c r="AE256" s="171"/>
      <x:c r="AF256" s="171"/>
      <x:c r="AG256" s="166"/>
    </x:row>
    <x:row r="257" ht="84" customHeight="1">
      <x:c r="A257" s="164" t="str">
        <x:v>LO4-056</x:v>
      </x:c>
      <x:c r="B257" s="171" t="str">
        <x:v>LO4</x:v>
      </x:c>
      <x:c r="C257" s="165" t="str">
        <x:v>世界の主要な酒精強化ワイン</x:v>
      </x:c>
      <x:c r="D257" s="165" t="str">
        <x:v>ボーム・ド・ヴニーズの熟成</x:v>
      </x:c>
      <x:c r="E257" s="165" t="str">
        <x:v>若々しいミュスカ・ド・ボーム・ド・ヴニーズで不活性容器が選ばれやすい理由はどれか。</x:v>
      </x:c>
      <x:c r="F257" s="165" t="str">
        <x:v>強いナッツとランシオ香を最大化する</x:v>
      </x:c>
      <x:c r="G257" s="165" t="str">
        <x:v>フロールを厚く育て、辛口にする</x:v>
      </x:c>
      <x:c r="H257" s="165" t="str">
        <x:v>瓶内二次発酵で泡を作る</x:v>
      </x:c>
      <x:c r="I257" s="165" t="str">
        <x:v>酸化を抑え、ブドウ、花、柑橘の新鮮な香りを保つ</x:v>
      </x:c>
      <x:c r="J257" s="171" t="str">
        <x:v>D</x:v>
      </x:c>
      <x:c r="K257" s="165" t="str">
        <x:v>酸化を抑え、ブドウ、花、柑橘の新鮮な香りを保つ</x:v>
      </x:c>
      <x:c r="L257" s="165" t="str">
        <x:v>ステンレスなどで酸素接触を減らし、マスカットの一次香と明るい色を中心としたスタイルを維持する。</x:v>
      </x:c>
      <x:c r="M257" s="165" t="str">
        <x:v>誤り。 これは長期酸化熟成したラザグレンなどに近い。</x:v>
      </x:c>
      <x:c r="N257" s="165" t="str">
        <x:v>誤り。 酒精強化マスカットは甘口で、フロール熟成は標準ではない。</x:v>
      </x:c>
      <x:c r="O257" s="165" t="str">
        <x:v>誤り。 非発泡性の酒精強化ワインである。</x:v>
      </x:c>
      <x:c r="P257" s="165" t="str">
        <x:v>正しい。 ステンレスなどで酸素接触を減らし、マスカットの一次香と明るい色を中心としたスタイルを維持する。</x:v>
      </x:c>
      <x:c r="Q257" s="165" t="str">
        <x:v>酒精強化ワイン製法・産地</x:v>
      </x:c>
      <x:c r="R257" s="165" t="str">
        <x:v>不活性熟成・香り保持</x:v>
      </x:c>
      <x:c r="S257" s="165" t="str">
        <x:v>酒精強化ワイン</x:v>
      </x:c>
      <x:c r="T257" s="165" t="str">
        <x:v>フランス</x:v>
      </x:c>
      <x:c r="U257" s="165" t="str">
        <x:v>ミュスカ・ド・ボーム・ド・ヴニーズ</x:v>
      </x:c>
      <x:c r="V257" s="165" t="str">
        <x:v>マスカット</x:v>
      </x:c>
      <x:c r="W257" s="165" t="str">
        <x:v>因果説明</x:v>
      </x:c>
      <x:c r="X257" s="171" t="str">
        <x:v>D2</x:v>
      </x:c>
      <x:c r="Y257" s="165" t="str">
        <x:v>ボームは酸化ランシオ・フロール辛口・発泡</x:v>
      </x:c>
      <x:c r="Z257" s="171" t="str">
        <x:v>N</x:v>
      </x:c>
      <x:c r="AA257" s="165"/>
      <x:c r="AB257" s="165" t="str">
        <x:v>オリジナル</x:v>
      </x:c>
      <x:c r="AC257" s="165" t="str">
        <x:v>公式Specificationの範囲＋ユーザー作成コーパスの論点と問題設計例を参考に独自作成</x:v>
      </x:c>
      <x:c r="AD257" s="171" t="str">
        <x:v>未レビュー</x:v>
      </x:c>
      <x:c r="AE257" s="171"/>
      <x:c r="AF257" s="171"/>
      <x:c r="AG257" s="166"/>
    </x:row>
    <x:row r="258" ht="84" customHeight="1">
      <x:c r="A258" s="164" t="str">
        <x:v>LO4-057</x:v>
      </x:c>
      <x:c r="B258" s="171" t="str">
        <x:v>LO4</x:v>
      </x:c>
      <x:c r="C258" s="165" t="str">
        <x:v>世界の主要な酒精強化ワイン</x:v>
      </x:c>
      <x:c r="D258" s="165" t="str">
        <x:v>ラザグレンの気候</x:v>
      </x:c>
      <x:c r="E258" s="165" t="str">
        <x:v>ラザグレンで非常に熟したマスカットを得やすい主な自然条件はどれか。</x:v>
      </x:c>
      <x:c r="F258" s="165" t="str">
        <x:v>暑く乾燥した大陸性の影響が強い気候と長い生育期間</x:v>
      </x:c>
      <x:c r="G258" s="165" t="str">
        <x:v>一年中冷涼で日照が少なく、成熟しない</x:v>
      </x:c>
      <x:c r="H258" s="165" t="str">
        <x:v>毎年自然凍結する極寒の谷</x:v>
      </x:c>
      <x:c r="I258" s="165" t="str">
        <x:v>大西洋の冷たい海霧が一日中覆う</x:v>
      </x:c>
      <x:c r="J258" s="171" t="str">
        <x:v>A</x:v>
      </x:c>
      <x:c r="K258" s="165" t="str">
        <x:v>暑く乾燥した大陸性の影響が強い気候と長い生育期間</x:v>
      </x:c>
      <x:c r="L258" s="165" t="str">
        <x:v>高温と日照によりマスカットが高糖度まで成熟し、濃厚な甘口酒精強化ワインの基礎となる。</x:v>
      </x:c>
      <x:c r="M258" s="165" t="str">
        <x:v>正しい。 高温と日照によりマスカットが高糖度まで成熟し、濃厚な甘口酒精強化ワインの基礎となる。</x:v>
      </x:c>
      <x:c r="N258" s="165" t="str">
        <x:v>誤り。 ラザグレンはオーストラリア内陸の暑い地域である。</x:v>
      </x:c>
      <x:c r="O258" s="165" t="str">
        <x:v>誤り。 凍結ではなく高温と過熟を利用する。</x:v>
      </x:c>
      <x:c r="P258" s="165" t="str">
        <x:v>誤り。 内陸に位置し、海霧が主な条件ではない。</x:v>
      </x:c>
      <x:c r="Q258" s="165" t="str">
        <x:v>自然要因・産地</x:v>
      </x:c>
      <x:c r="R258" s="165" t="str">
        <x:v>高温・過熟</x:v>
      </x:c>
      <x:c r="S258" s="165" t="str">
        <x:v>酒精強化ワイン</x:v>
      </x:c>
      <x:c r="T258" s="165" t="str">
        <x:v>オーストラリア</x:v>
      </x:c>
      <x:c r="U258" s="165" t="str">
        <x:v>ラザグレン</x:v>
      </x:c>
      <x:c r="V258" s="165" t="str">
        <x:v>マスカット</x:v>
      </x:c>
      <x:c r="W258" s="165" t="str">
        <x:v>因果説明</x:v>
      </x:c>
      <x:c r="X258" s="171" t="str">
        <x:v>D1</x:v>
      </x:c>
      <x:c r="Y258" s="165" t="str">
        <x:v>ラザグレンは冷涼凍結・沿岸霧</x:v>
      </x:c>
      <x:c r="Z258" s="171" t="str">
        <x:v>N</x:v>
      </x:c>
      <x:c r="AA258" s="165"/>
      <x:c r="AB258" s="165" t="str">
        <x:v>オリジナル</x:v>
      </x:c>
      <x:c r="AC258" s="165" t="str">
        <x:v>公式Specificationの範囲＋ユーザー作成コーパスの論点と問題設計例を参考に独自作成</x:v>
      </x:c>
      <x:c r="AD258" s="171" t="str">
        <x:v>未レビュー</x:v>
      </x:c>
      <x:c r="AE258" s="171"/>
      <x:c r="AF258" s="171"/>
      <x:c r="AG258" s="166"/>
    </x:row>
    <x:row r="259" ht="84" customHeight="1">
      <x:c r="A259" s="164" t="str">
        <x:v>LO4-058</x:v>
      </x:c>
      <x:c r="B259" s="171" t="str">
        <x:v>LO4</x:v>
      </x:c>
      <x:c r="C259" s="165" t="str">
        <x:v>世界の主要な酒精強化ワイン</x:v>
      </x:c>
      <x:c r="D259" s="165" t="str">
        <x:v>ラザグレンの酸化熟成</x:v>
      </x:c>
      <x:c r="E259" s="165" t="str">
        <x:v>長期酸化熟成したラザグレン・マスカットに典型的な風味はどれか。</x:v>
      </x:c>
      <x:c r="F259" s="165" t="str">
        <x:v>青リンゴと草だけの軽い辛口</x:v>
      </x:c>
      <x:c r="G259" s="165" t="str">
        <x:v>レーズン、糖蜜、キャラメル、コーヒー、ナッツを思わせる濃厚な風味</x:v>
      </x:c>
      <x:c r="H259" s="165" t="str">
        <x:v>強い泡とパン生地だけの発泡性ワイン</x:v>
      </x:c>
      <x:c r="I259" s="165" t="str">
        <x:v>湿った段ボールとカビだけ</x:v>
      </x:c>
      <x:c r="J259" s="171" t="str">
        <x:v>B</x:v>
      </x:c>
      <x:c r="K259" s="165" t="str">
        <x:v>レーズン、糖蜜、キャラメル、コーヒー、ナッツを思わせる濃厚な風味</x:v>
      </x:c>
      <x:c r="L259" s="165" t="str">
        <x:v>温暖な環境で樽熟成と蒸発が進み、色が濃くなり、乾燥果実、キャラメル、ランシオなどの複雑な酸化熟成香が発達する。</x:v>
      </x:c>
      <x:c r="M259" s="165" t="str">
        <x:v>誤り。 ラザグレンの熟成マスカットは濃厚で甘く、酸化熟成香を持つ。</x:v>
      </x:c>
      <x:c r="N259" s="165" t="str">
        <x:v>正しい。 温暖な環境で樽熟成と蒸発が進み、色が濃くなり、乾燥果実、キャラメル、ランシオなどの複雑な酸化熟成香が発達する。</x:v>
      </x:c>
      <x:c r="O259" s="165" t="str">
        <x:v>誤り。 非発泡性の酒精強化ワインである。</x:v>
      </x:c>
      <x:c r="P259" s="165" t="str">
        <x:v>誤り。 これはコルク汚染の可能性があり、望ましい酸化熟成香ではない。</x:v>
      </x:c>
      <x:c r="Q259" s="165" t="str">
        <x:v>産地スタイル</x:v>
      </x:c>
      <x:c r="R259" s="165" t="str">
        <x:v>酸化熟成・ランシオ</x:v>
      </x:c>
      <x:c r="S259" s="165" t="str">
        <x:v>酒精強化ワイン</x:v>
      </x:c>
      <x:c r="T259" s="165" t="str">
        <x:v>オーストラリア</x:v>
      </x:c>
      <x:c r="U259" s="165" t="str">
        <x:v>ラザグレン</x:v>
      </x:c>
      <x:c r="V259" s="165" t="str">
        <x:v>マスカット</x:v>
      </x:c>
      <x:c r="W259" s="165" t="str">
        <x:v>知識確認</x:v>
      </x:c>
      <x:c r="X259" s="171" t="str">
        <x:v>D1</x:v>
      </x:c>
      <x:c r="Y259" s="165" t="str">
        <x:v>ラザグレンは軽い辛口・発泡・コルク汚染</x:v>
      </x:c>
      <x:c r="Z259" s="171" t="str">
        <x:v>N</x:v>
      </x:c>
      <x:c r="AA259" s="165"/>
      <x:c r="AB259" s="165" t="str">
        <x:v>オリジナル</x:v>
      </x:c>
      <x:c r="AC259" s="165" t="str">
        <x:v>公式Specificationの範囲＋ユーザー作成コーパスの論点と問題設計例を参考に独自作成</x:v>
      </x:c>
      <x:c r="AD259" s="171" t="str">
        <x:v>未レビュー</x:v>
      </x:c>
      <x:c r="AE259" s="171"/>
      <x:c r="AF259" s="171"/>
      <x:c r="AG259" s="166"/>
    </x:row>
    <x:row r="260" ht="84" customHeight="1">
      <x:c r="A260" s="164" t="str">
        <x:v>LO4-059</x:v>
      </x:c>
      <x:c r="B260" s="171" t="str">
        <x:v>LO4</x:v>
      </x:c>
      <x:c r="C260" s="165" t="str">
        <x:v>世界の主要な酒精強化ワイン</x:v>
      </x:c>
      <x:c r="D260" s="165" t="str">
        <x:v>ラザグレンのブレンド</x:v>
      </x:c>
      <x:c r="E260" s="165" t="str">
        <x:v>ラザグレン・マスカットで異なる年齢のワインをブレンドする主な利点はどれか。</x:v>
      </x:c>
      <x:c r="F260" s="165" t="str">
        <x:v>すべてのワインを同じ収穫年へ変える</x:v>
      </x:c>
      <x:c r="G260" s="165" t="str">
        <x:v>アルコールを完全に除去し、ジュースに戻す</x:v>
      </x:c>
      <x:c r="H260" s="165" t="str">
        <x:v>若いワインの果実香と、古いワインの濃厚な酸化熟成香を組み合わせられる</x:v>
      </x:c>
      <x:c r="I260" s="165" t="str">
        <x:v>二酸化炭素を発生させ、発泡性にする</x:v>
      </x:c>
      <x:c r="J260" s="171" t="str">
        <x:v>C</x:v>
      </x:c>
      <x:c r="K260" s="165" t="str">
        <x:v>若いワインの果実香と、古いワインの濃厚な酸化熟成香を組み合わせられる</x:v>
      </x:c>
      <x:c r="L260" s="165" t="str">
        <x:v>年齢の異なるロットを組み合わせることで、フレッシュなマスカット香、複雑性、濃度、甘味のバランスと一貫性を作れる。</x:v>
      </x:c>
      <x:c r="M260" s="165" t="str">
        <x:v>誤り。 ブレンドしても実際の収穫年は変わらない。</x:v>
      </x:c>
      <x:c r="N260" s="165" t="str">
        <x:v>誤り。 ブレンドは脱アルコール工程ではない。</x:v>
      </x:c>
      <x:c r="O260" s="165" t="str">
        <x:v>正しい。 年齢の異なるロットを組み合わせることで、フレッシュなマスカット香、複雑性、濃度、甘味のバランスと一貫性を作れる。</x:v>
      </x:c>
      <x:c r="P260" s="165" t="str">
        <x:v>誤り。 異なる年齢の非発泡性ワインを混ぜる工程である。</x:v>
      </x:c>
      <x:c r="Q260" s="165" t="str">
        <x:v>ブレンド・商業</x:v>
      </x:c>
      <x:c r="R260" s="165" t="str">
        <x:v>年齢ブレンド・一貫性</x:v>
      </x:c>
      <x:c r="S260" s="165" t="str">
        <x:v>酒精強化ワイン</x:v>
      </x:c>
      <x:c r="T260" s="165" t="str">
        <x:v>オーストラリア</x:v>
      </x:c>
      <x:c r="U260" s="165" t="str">
        <x:v>ラザグレン</x:v>
      </x:c>
      <x:c r="V260" s="165" t="str">
        <x:v>マスカット</x:v>
      </x:c>
      <x:c r="W260" s="165" t="str">
        <x:v>統合判断</x:v>
      </x:c>
      <x:c r="X260" s="171" t="str">
        <x:v>D3</x:v>
      </x:c>
      <x:c r="Y260" s="165" t="str">
        <x:v>ブレンドで年変更・脱アルコール・発泡</x:v>
      </x:c>
      <x:c r="Z260" s="171" t="str">
        <x:v>N</x:v>
      </x:c>
      <x:c r="AA260" s="165"/>
      <x:c r="AB260" s="165" t="str">
        <x:v>オリジナル</x:v>
      </x:c>
      <x:c r="AC260" s="165" t="str">
        <x:v>公式Specificationの範囲＋ユーザー作成コーパスの論点と問題設計例を参考に独自作成</x:v>
      </x:c>
      <x:c r="AD260" s="171" t="str">
        <x:v>未レビュー</x:v>
      </x:c>
      <x:c r="AE260" s="171"/>
      <x:c r="AF260" s="171"/>
      <x:c r="AG260" s="166"/>
    </x:row>
    <x:row r="261" ht="84" customHeight="1">
      <x:c r="A261" s="164" t="str">
        <x:v>LO4-060</x:v>
      </x:c>
      <x:c r="B261" s="171" t="str">
        <x:v>LO4</x:v>
      </x:c>
      <x:c r="C261" s="165" t="str">
        <x:v>世界の主要な酒精強化ワイン</x:v>
      </x:c>
      <x:c r="D261" s="165" t="str">
        <x:v>蒸発と価格</x:v>
      </x:c>
      <x:c r="E261" s="165" t="str">
        <x:v>長期熟成したラザグレン・マスカットが高価格になりやすい理由はどれか。</x:v>
      </x:c>
      <x:c r="F261" s="165" t="str">
        <x:v>熟成中にワイン量が毎年倍になり、容器代だけが増える</x:v>
      </x:c>
      <x:c r="G261" s="165" t="str">
        <x:v>フロールが金属へ変わり、樽を壊す</x:v>
      </x:c>
      <x:c r="H261" s="165" t="str">
        <x:v>瓶内二次発酵の圧力で毎年瓶を交換する</x:v>
      </x:c>
      <x:c r="I261" s="165" t="str">
        <x:v>蒸発でワイン量が減り、長い保管期間と樽・在庫の費用がかかる</x:v>
      </x:c>
      <x:c r="J261" s="171" t="str">
        <x:v>D</x:v>
      </x:c>
      <x:c r="K261" s="165" t="str">
        <x:v>蒸発でワイン量が減り、長い保管期間と樽・在庫の費用がかかる</x:v>
      </x:c>
      <x:c r="L261" s="165" t="str">
        <x:v>温暖な熟成庫では水分とアルコールが蒸発して風味が濃縮する一方、販売できる量が減り、資金と設備が長期間拘束される。</x:v>
      </x:c>
      <x:c r="M261" s="165" t="str">
        <x:v>誤り。 蒸発により量は減る。</x:v>
      </x:c>
      <x:c r="N261" s="165" t="str">
        <x:v>誤り。 ラザグレンの主要熟成は酸化的で、フロールが金属へ変わることはない。</x:v>
      </x:c>
      <x:c r="O261" s="165" t="str">
        <x:v>誤り。 非発泡性で、瓶内二次発酵は行わない。</x:v>
      </x:c>
      <x:c r="P261" s="165" t="str">
        <x:v>正しい。 温暖な熟成庫では水分とアルコールが蒸発して風味が濃縮する一方、販売できる量が減り、資金と設備が長期間拘束される。</x:v>
      </x:c>
      <x:c r="Q261" s="165" t="str">
        <x:v>商業面・熟成</x:v>
      </x:c>
      <x:c r="R261" s="165" t="str">
        <x:v>蒸発・在庫コスト</x:v>
      </x:c>
      <x:c r="S261" s="165" t="str">
        <x:v>酒精強化ワイン</x:v>
      </x:c>
      <x:c r="T261" s="165" t="str">
        <x:v>オーストラリア</x:v>
      </x:c>
      <x:c r="U261" s="165" t="str">
        <x:v>ラザグレン</x:v>
      </x:c>
      <x:c r="V261" s="165" t="str">
        <x:v>マスカット</x:v>
      </x:c>
      <x:c r="W261" s="165" t="str">
        <x:v>統合判断</x:v>
      </x:c>
      <x:c r="X261" s="171" t="str">
        <x:v>D3</x:v>
      </x:c>
      <x:c r="Y261" s="165" t="str">
        <x:v>熟成で量増加; フロールが金属化; 瓶内発泡</x:v>
      </x:c>
      <x:c r="Z261" s="171" t="str">
        <x:v>N</x:v>
      </x:c>
      <x:c r="AA261" s="165"/>
      <x:c r="AB261" s="165" t="str">
        <x:v>オリジナル</x:v>
      </x:c>
      <x:c r="AC261" s="165" t="str">
        <x:v>公式Specificationの範囲＋ユーザー作成コーパスの論点と問題設計例を参考に独自作成</x:v>
      </x:c>
      <x:c r="AD261" s="171" t="str">
        <x:v>未レビュー</x:v>
      </x:c>
      <x:c r="AE261" s="171"/>
      <x:c r="AF261" s="171"/>
      <x:c r="AG261" s="166"/>
    </x:row>
    <x:row r="262" ht="84" customHeight="1">
      <x:c r="A262" s="164" t="str">
        <x:v>LO5-021</x:v>
      </x:c>
      <x:c r="B262" s="171" t="str">
        <x:v>LO5</x:v>
      </x:c>
      <x:c r="C262" s="165" t="str">
        <x:v>情報提供・推奨・保管・サービス</x:v>
      </x:c>
      <x:c r="D262" s="165" t="str">
        <x:v>保管温度の変動</x:v>
      </x:c>
      <x:c r="E262" s="165" t="str">
        <x:v>ワインの長期保管で、平均温度が適切でも大きな温度変化を避けるべき主な理由はどれか。</x:v>
      </x:c>
      <x:c r="F262" s="165" t="str">
        <x:v>液体の膨張と収縮を繰り返し、栓から空気が入りやすくなって熟成を早める可能性がある</x:v>
      </x:c>
      <x:c r="G262" s="165" t="str">
        <x:v>温度が変わるたびにワインのアルコールが完全に消える</x:v>
      </x:c>
      <x:c r="H262" s="165" t="str">
        <x:v>温度変化によってブドウ品種が別の品種へ変わる</x:v>
      </x:c>
      <x:c r="I262" s="165" t="str">
        <x:v>温度変化が必ず二次発酵を起こし、発泡性ワインになる</x:v>
      </x:c>
      <x:c r="J262" s="171" t="str">
        <x:v>A</x:v>
      </x:c>
      <x:c r="K262" s="165" t="str">
        <x:v>液体の膨張と収縮を繰り返し、栓から空気が入りやすくなって熟成を早める可能性がある</x:v>
      </x:c>
      <x:c r="L262" s="165" t="str">
        <x:v>温度変化はワインと容器内の気体を膨張・収縮させ、栓の密閉性へ負担をかけ、酸化や液漏れのリスクを高め得る。</x:v>
      </x:c>
      <x:c r="M262" s="165" t="str">
        <x:v>正しい。 温度変化はワインと容器内の気体を膨張・収縮させ、栓の密閉性へ負担をかけ、酸化や液漏れのリスクを高め得る。</x:v>
      </x:c>
      <x:c r="N262" s="165" t="str">
        <x:v>誤り。 通常の保管温度の変化でアルコールがすべて失われることはない。</x:v>
      </x:c>
      <x:c r="O262" s="165" t="str">
        <x:v>誤り。 品種は原料ブドウの遺伝的性質で、瓶内の温度変化では変わらない。</x:v>
      </x:c>
      <x:c r="P262" s="165" t="str">
        <x:v>誤り。 発酵には酵母と発酵可能な糖などが必要で、温度変化だけでは必ず起こらない。</x:v>
      </x:c>
      <x:c r="Q262" s="165" t="str">
        <x:v>保管・サービス</x:v>
      </x:c>
      <x:c r="R262" s="165" t="str">
        <x:v>温度変動・密閉性</x:v>
      </x:c>
      <x:c r="S262" s="165" t="str">
        <x:v>全般</x:v>
      </x:c>
      <x:c r="T262" s="165"/>
      <x:c r="U262" s="165"/>
      <x:c r="V262" s="165"/>
      <x:c r="W262" s="165" t="str">
        <x:v>因果説明</x:v>
      </x:c>
      <x:c r="X262" s="171" t="str">
        <x:v>D2</x:v>
      </x:c>
      <x:c r="Y262" s="165" t="str">
        <x:v>温度変動でアルコール消失; 品種変化; 必ず発泡</x:v>
      </x:c>
      <x:c r="Z262" s="171" t="str">
        <x:v>N</x:v>
      </x:c>
      <x:c r="AA262" s="165"/>
      <x:c r="AB262" s="165" t="str">
        <x:v>オリジナル</x:v>
      </x:c>
      <x:c r="AC262" s="165" t="str">
        <x:v>公式Specificationの範囲＋ユーザー作成コーパスの論点と問題設計例を参考に独自作成</x:v>
      </x:c>
      <x:c r="AD262" s="171" t="str">
        <x:v>未レビュー</x:v>
      </x:c>
      <x:c r="AE262" s="171"/>
      <x:c r="AF262" s="171"/>
      <x:c r="AG262" s="166"/>
    </x:row>
    <x:row r="263" ht="84" customHeight="1">
      <x:c r="A263" s="164" t="str">
        <x:v>LO5-022</x:v>
      </x:c>
      <x:c r="B263" s="171" t="str">
        <x:v>LO5</x:v>
      </x:c>
      <x:c r="C263" s="165" t="str">
        <x:v>情報提供・推奨・保管・サービス</x:v>
      </x:c>
      <x:c r="D263" s="165" t="str">
        <x:v>保管湿度</x:v>
      </x:c>
      <x:c r="E263" s="165" t="str">
        <x:v>天然コルク栓のワインを非常に乾燥した場所で長期保管した場合に起こり得る問題はどれか。</x:v>
      </x:c>
      <x:c r="F263" s="165" t="str">
        <x:v>ワインの酸がすべて結晶になり、味がなくなる</x:v>
      </x:c>
      <x:c r="G263" s="165" t="str">
        <x:v>コルクが乾燥して収縮し、空気の侵入や液漏れのリスクが高まる</x:v>
      </x:c>
      <x:c r="H263" s="165" t="str">
        <x:v>瓶内のワイン量が増え、栓が押し出される</x:v>
      </x:c>
      <x:c r="I263" s="165" t="str">
        <x:v>ラベルが湿って剥がれやすくなる</x:v>
      </x:c>
      <x:c r="J263" s="171" t="str">
        <x:v>B</x:v>
      </x:c>
      <x:c r="K263" s="165" t="str">
        <x:v>コルクが乾燥して収縮し、空気の侵入や液漏れのリスクが高まる</x:v>
      </x:c>
      <x:c r="L263" s="165" t="str">
        <x:v>適度な湿度は天然コルクの状態維持に役立つ。乾燥しすぎると密閉性が低下し、ワインが早く酸化する可能性がある。</x:v>
      </x:c>
      <x:c r="M263" s="165" t="str">
        <x:v>誤り。 乾燥した空気がワイン中の酸をすべて結晶化させるわけではない。</x:v>
      </x:c>
      <x:c r="N263" s="165" t="str">
        <x:v>正しい。 適度な湿度は天然コルクの状態維持に役立つ。乾燥しすぎると密閉性が低下し、ワインが早く酸化する可能性がある。</x:v>
      </x:c>
      <x:c r="O263" s="165" t="str">
        <x:v>誤り。 乾燥によってワイン量が増えることはない。</x:v>
      </x:c>
      <x:c r="P263" s="165" t="str">
        <x:v>誤り。 これは湿度が高すぎる場合の問題で、非常に乾燥した環境とは逆である。</x:v>
      </x:c>
      <x:c r="Q263" s="165" t="str">
        <x:v>保管・サービス</x:v>
      </x:c>
      <x:c r="R263" s="165" t="str">
        <x:v>湿度・コルク</x:v>
      </x:c>
      <x:c r="S263" s="165" t="str">
        <x:v>全般</x:v>
      </x:c>
      <x:c r="T263" s="165"/>
      <x:c r="U263" s="165"/>
      <x:c r="V263" s="165"/>
      <x:c r="W263" s="165" t="str">
        <x:v>因果説明</x:v>
      </x:c>
      <x:c r="X263" s="171" t="str">
        <x:v>D2</x:v>
      </x:c>
      <x:c r="Y263" s="165" t="str">
        <x:v>乾燥で酸全結晶; ワイン量増加; 乾燥でラベル湿潤</x:v>
      </x:c>
      <x:c r="Z263" s="171" t="str">
        <x:v>N</x:v>
      </x:c>
      <x:c r="AA263" s="165"/>
      <x:c r="AB263" s="165" t="str">
        <x:v>オリジナル</x:v>
      </x:c>
      <x:c r="AC263" s="165" t="str">
        <x:v>公式Specificationの範囲＋ユーザー作成コーパスの論点と問題設計例を参考に独自作成</x:v>
      </x:c>
      <x:c r="AD263" s="171" t="str">
        <x:v>未レビュー</x:v>
      </x:c>
      <x:c r="AE263" s="171"/>
      <x:c r="AF263" s="171"/>
      <x:c r="AG263" s="166"/>
    </x:row>
    <x:row r="264" ht="84" customHeight="1">
      <x:c r="A264" s="164" t="str">
        <x:v>LO5-023</x:v>
      </x:c>
      <x:c r="B264" s="171" t="str">
        <x:v>LO5</x:v>
      </x:c>
      <x:c r="C264" s="165" t="str">
        <x:v>情報提供・推奨・保管・サービス</x:v>
      </x:c>
      <x:c r="D264" s="165" t="str">
        <x:v>振動の影響</x:v>
      </x:c>
      <x:c r="E264" s="165" t="str">
        <x:v>熟成用ワインを継続的な振動のある場所で保管しない方がよい主な理由はどれか。</x:v>
      </x:c>
      <x:c r="F264" s="165" t="str">
        <x:v>振動によって糖が新たに作られ、必ず甘口になる</x:v>
      </x:c>
      <x:c r="G264" s="165" t="str">
        <x:v>振動がワインの色を完全に透明にする</x:v>
      </x:c>
      <x:c r="H264" s="165" t="str">
        <x:v>澱が舞い続け、熟成やサービス時の清澄性に悪影響を与える可能性がある</x:v>
      </x:c>
      <x:c r="I264" s="165" t="str">
        <x:v>振動でコルクが金属製の栓へ変化する</x:v>
      </x:c>
      <x:c r="J264" s="171" t="str">
        <x:v>C</x:v>
      </x:c>
      <x:c r="K264" s="165" t="str">
        <x:v>澱が舞い続け、熟成やサービス時の清澄性に悪影響を与える可能性がある</x:v>
      </x:c>
      <x:c r="L264" s="165" t="str">
        <x:v>振動は熟成ワインの澱を沈殿しにくくし、サービス前に澱を落ち着かせることや、穏やかな熟成を妨げる可能性がある。</x:v>
      </x:c>
      <x:c r="M264" s="165" t="str">
        <x:v>誤り。 瓶内の振動が糖を生成することはない。</x:v>
      </x:c>
      <x:c r="N264" s="165" t="str">
        <x:v>誤り。 振動はむしろ澱を舞い上げ、外観を濁らせる可能性がある。</x:v>
      </x:c>
      <x:c r="O264" s="165" t="str">
        <x:v>正しい。 振動は熟成ワインの澱を沈殿しにくくし、サービス前に澱を落ち着かせることや、穏やかな熟成を妨げる可能性がある。</x:v>
      </x:c>
      <x:c r="P264" s="165" t="str">
        <x:v>誤り。 栓の材質が振動で変化することはない。</x:v>
      </x:c>
      <x:c r="Q264" s="165" t="str">
        <x:v>保管・サービス</x:v>
      </x:c>
      <x:c r="R264" s="165" t="str">
        <x:v>振動・澱</x:v>
      </x:c>
      <x:c r="S264" s="165" t="str">
        <x:v>全般</x:v>
      </x:c>
      <x:c r="T264" s="165"/>
      <x:c r="U264" s="165"/>
      <x:c r="V264" s="165"/>
      <x:c r="W264" s="165" t="str">
        <x:v>因果説明</x:v>
      </x:c>
      <x:c r="X264" s="171" t="str">
        <x:v>D2</x:v>
      </x:c>
      <x:c r="Y264" s="165" t="str">
        <x:v>振動で糖生成; 透明化; 栓材質変化</x:v>
      </x:c>
      <x:c r="Z264" s="171" t="str">
        <x:v>N</x:v>
      </x:c>
      <x:c r="AA264" s="165"/>
      <x:c r="AB264" s="165" t="str">
        <x:v>オリジナル</x:v>
      </x:c>
      <x:c r="AC264" s="165" t="str">
        <x:v>公式Specificationの範囲＋ユーザー作成コーパスの論点と問題設計例を参考に独自作成</x:v>
      </x:c>
      <x:c r="AD264" s="171" t="str">
        <x:v>未レビュー</x:v>
      </x:c>
      <x:c r="AE264" s="171"/>
      <x:c r="AF264" s="171"/>
      <x:c r="AG264" s="166"/>
    </x:row>
    <x:row r="265" ht="84" customHeight="1">
      <x:c r="A265" s="164" t="str">
        <x:v>LO5-024</x:v>
      </x:c>
      <x:c r="B265" s="171" t="str">
        <x:v>LO5</x:v>
      </x:c>
      <x:c r="C265" s="165" t="str">
        <x:v>情報提供・推奨・保管・サービス</x:v>
      </x:c>
      <x:c r="D265" s="165" t="str">
        <x:v>保管場所の臭い</x:v>
      </x:c>
      <x:c r="E265" s="165" t="str">
        <x:v>ワインを強い塗料や溶剤の臭いがある場所で長期間保管することが望ましくない理由はどれか。</x:v>
      </x:c>
      <x:c r="F265" s="165" t="str">
        <x:v>外部の臭いがワインのアルコール度を必ず倍にする</x:v>
      </x:c>
      <x:c r="G265" s="165" t="str">
        <x:v>溶剤の臭いが瓶を冷却し、酸を高める</x:v>
      </x:c>
      <x:c r="H265" s="165" t="str">
        <x:v>臭いが強いほどコルク汚染を防げる</x:v>
      </x:c>
      <x:c r="I265" s="165" t="str">
        <x:v>栓の種類や状態によっては外部の臭いがワインへ影響する可能性がある</x:v>
      </x:c>
      <x:c r="J265" s="171" t="str">
        <x:v>D</x:v>
      </x:c>
      <x:c r="K265" s="165" t="str">
        <x:v>栓の種類や状態によっては外部の臭いがワインへ影響する可能性がある</x:v>
      </x:c>
      <x:c r="L265" s="165" t="str">
        <x:v>ワインは強い異臭源から離し、清潔で無臭の環境に保管する方が安全である。天然コルクなどは完全な気密素材ではない。</x:v>
      </x:c>
      <x:c r="M265" s="165" t="str">
        <x:v>誤り。 臭い物質がアルコール度を倍増させることはない。</x:v>
      </x:c>
      <x:c r="N265" s="165" t="str">
        <x:v>誤り。 臭いは冷却装置ではなく、酸度を高めるものでもない。</x:v>
      </x:c>
      <x:c r="O265" s="165" t="str">
        <x:v>誤り。 強い外部臭は望ましくなく、コルク汚染を防ぐ効果もない。</x:v>
      </x:c>
      <x:c r="P265" s="165" t="str">
        <x:v>正しい。 ワインは強い異臭源から離し、清潔で無臭の環境に保管する方が安全である。天然コルクなどは完全な気密素材ではない。</x:v>
      </x:c>
      <x:c r="Q265" s="165" t="str">
        <x:v>保管・サービス</x:v>
      </x:c>
      <x:c r="R265" s="165" t="str">
        <x:v>臭い・保管環境</x:v>
      </x:c>
      <x:c r="S265" s="165" t="str">
        <x:v>全般</x:v>
      </x:c>
      <x:c r="T265" s="165"/>
      <x:c r="U265" s="165"/>
      <x:c r="V265" s="165"/>
      <x:c r="W265" s="165" t="str">
        <x:v>適用</x:v>
      </x:c>
      <x:c r="X265" s="171" t="str">
        <x:v>D2</x:v>
      </x:c>
      <x:c r="Y265" s="165" t="str">
        <x:v>臭いでアルコール倍増; 冷却・酸増加; 異臭でコルク汚染防止</x:v>
      </x:c>
      <x:c r="Z265" s="171" t="str">
        <x:v>N</x:v>
      </x:c>
      <x:c r="AA265" s="165"/>
      <x:c r="AB265" s="165" t="str">
        <x:v>オリジナル</x:v>
      </x:c>
      <x:c r="AC265" s="165" t="str">
        <x:v>公式Specificationの範囲＋ユーザー作成コーパスの論点と問題設計例を参考に独自作成</x:v>
      </x:c>
      <x:c r="AD265" s="171" t="str">
        <x:v>未レビュー</x:v>
      </x:c>
      <x:c r="AE265" s="171"/>
      <x:c r="AF265" s="171"/>
      <x:c r="AG265" s="166"/>
    </x:row>
    <x:row r="266" ht="84" customHeight="1">
      <x:c r="A266" s="164" t="str">
        <x:v>LO5-025</x:v>
      </x:c>
      <x:c r="B266" s="171" t="str">
        <x:v>LO5</x:v>
      </x:c>
      <x:c r="C266" s="165" t="str">
        <x:v>情報提供・推奨・保管・サービス</x:v>
      </x:c>
      <x:c r="D266" s="165" t="str">
        <x:v>在庫回転</x:v>
      </x:c>
      <x:c r="E266" s="165" t="str">
        <x:v>同じ銘柄・同じスタイルのワインを複数回入荷した場合、一般に先に入荷した在庫から提供する利点はどれか。</x:v>
      </x:c>
      <x:c r="F266" s="165" t="str">
        <x:v>適切な飲み頃を過ぎる在庫を減らし、保管期間を管理しやすい</x:v>
      </x:c>
      <x:c r="G266" s="165" t="str">
        <x:v>後から入荷したワインの品質が自動的に上がる</x:v>
      </x:c>
      <x:c r="H266" s="165" t="str">
        <x:v>先に入荷したワインは必ず高価格で販売できる</x:v>
      </x:c>
      <x:c r="I266" s="165" t="str">
        <x:v>在庫回転を行うとすべてのワインが同じヴィンテージになる</x:v>
      </x:c>
      <x:c r="J266" s="171" t="str">
        <x:v>A</x:v>
      </x:c>
      <x:c r="K266" s="165" t="str">
        <x:v>適切な飲み頃を過ぎる在庫を減らし、保管期間を管理しやすい</x:v>
      </x:c>
      <x:c r="L266" s="165" t="str">
        <x:v>先入れ先出しを基本にすると、古い在庫が残り続けることを防ぎ、品質劣化や在庫ロスのリスクを抑えられる。</x:v>
      </x:c>
      <x:c r="M266" s="165" t="str">
        <x:v>正しい。 先入れ先出しを基本にすると、古い在庫が残り続けることを防ぎ、品質劣化や在庫ロスのリスクを抑えられる。</x:v>
      </x:c>
      <x:c r="N266" s="165" t="str">
        <x:v>誤り。 提供順序が未開栓ワインの品質を自動的に向上させるわけではない。</x:v>
      </x:c>
      <x:c r="O266" s="165" t="str">
        <x:v>誤り。 価格は品質、需要、仕入れ条件などで決まり、入荷順だけでは決まらない。</x:v>
      </x:c>
      <x:c r="P266" s="165" t="str">
        <x:v>誤り。 在庫管理でヴィンテージが変わることはない。</x:v>
      </x:c>
      <x:c r="Q266" s="165" t="str">
        <x:v>保管・サービス・商業</x:v>
      </x:c>
      <x:c r="R266" s="165" t="str">
        <x:v>在庫管理・先入れ先出し</x:v>
      </x:c>
      <x:c r="S266" s="165" t="str">
        <x:v>全般</x:v>
      </x:c>
      <x:c r="T266" s="165"/>
      <x:c r="U266" s="165"/>
      <x:c r="V266" s="165"/>
      <x:c r="W266" s="165" t="str">
        <x:v>適用</x:v>
      </x:c>
      <x:c r="X266" s="171" t="str">
        <x:v>D2</x:v>
      </x:c>
      <x:c r="Y266" s="165" t="str">
        <x:v>在庫順で品質自動上昇; 必ず高価格; ヴィンテージ同一化</x:v>
      </x:c>
      <x:c r="Z266" s="171" t="str">
        <x:v>N</x:v>
      </x:c>
      <x:c r="AA266" s="165"/>
      <x:c r="AB266" s="165" t="str">
        <x:v>オリジナル</x:v>
      </x:c>
      <x:c r="AC266" s="165" t="str">
        <x:v>公式Specificationの範囲＋ユーザー作成コーパスの論点と問題設計例を参考に独自作成</x:v>
      </x:c>
      <x:c r="AD266" s="171" t="str">
        <x:v>未レビュー</x:v>
      </x:c>
      <x:c r="AE266" s="171"/>
      <x:c r="AF266" s="171"/>
      <x:c r="AG266" s="166"/>
    </x:row>
    <x:row r="267" ht="84" customHeight="1">
      <x:c r="A267" s="164" t="str">
        <x:v>LO5-026</x:v>
      </x:c>
      <x:c r="B267" s="171" t="str">
        <x:v>LO5</x:v>
      </x:c>
      <x:c r="C267" s="165" t="str">
        <x:v>情報提供・推奨・保管・サービス</x:v>
      </x:c>
      <x:c r="D267" s="165" t="str">
        <x:v>熟成ワインの事前準備</x:v>
      </x:c>
      <x:c r="E267" s="165" t="str">
        <x:v>澱がある可能性の高い熟成赤ワインをサービスする前に、瓶を立てて静置する主な目的はどれか。</x:v>
      </x:c>
      <x:c r="F267" s="165" t="str">
        <x:v>ワインのタンニンをすべて消し、甘口にする</x:v>
      </x:c>
      <x:c r="G267" s="165" t="str">
        <x:v>澱を瓶底へ沈め、開栓やデカンティング時に分離しやすくする</x:v>
      </x:c>
      <x:c r="H267" s="165" t="str">
        <x:v>瓶内二次発酵を開始して泡を作る</x:v>
      </x:c>
      <x:c r="I267" s="165" t="str">
        <x:v>コルクを膨張させ、瓶を自動的に開ける</x:v>
      </x:c>
      <x:c r="J267" s="171" t="str">
        <x:v>B</x:v>
      </x:c>
      <x:c r="K267" s="165" t="str">
        <x:v>澱を瓶底へ沈め、開栓やデカンティング時に分離しやすくする</x:v>
      </x:c>
      <x:c r="L267" s="165" t="str">
        <x:v>静置すると澱が落ち着き、光源などで澱の移動を確認しながら、澄んだワインを別容器へ移しやすくなる。</x:v>
      </x:c>
      <x:c r="M267" s="165" t="str">
        <x:v>誤り。 静置だけでタンニンが消えたり甘味が増えたりすることはない。</x:v>
      </x:c>
      <x:c r="N267" s="165" t="str">
        <x:v>正しい。 静置すると澱が落ち着き、光源などで澱の移動を確認しながら、澄んだワインを別容器へ移しやすくなる。</x:v>
      </x:c>
      <x:c r="O267" s="165" t="str">
        <x:v>誤り。 静置は澱を沈める準備で、発泡化を目的としない。</x:v>
      </x:c>
      <x:c r="P267" s="165" t="str">
        <x:v>誤り。 瓶を立てても自動開栓は起こらない。</x:v>
      </x:c>
      <x:c r="Q267" s="165" t="str">
        <x:v>保管・サービス</x:v>
      </x:c>
      <x:c r="R267" s="165" t="str">
        <x:v>熟成ワイン・澱</x:v>
      </x:c>
      <x:c r="S267" s="165" t="str">
        <x:v>非発泡性赤ワイン</x:v>
      </x:c>
      <x:c r="T267" s="165"/>
      <x:c r="U267" s="165"/>
      <x:c r="V267" s="165"/>
      <x:c r="W267" s="165" t="str">
        <x:v>適用</x:v>
      </x:c>
      <x:c r="X267" s="171" t="str">
        <x:v>D2</x:v>
      </x:c>
      <x:c r="Y267" s="165" t="str">
        <x:v>静置でタンニン消失; 発泡; 自動開栓</x:v>
      </x:c>
      <x:c r="Z267" s="171" t="str">
        <x:v>N</x:v>
      </x:c>
      <x:c r="AA267" s="165"/>
      <x:c r="AB267" s="165" t="str">
        <x:v>オリジナル</x:v>
      </x:c>
      <x:c r="AC267" s="165" t="str">
        <x:v>公式Specificationの範囲＋ユーザー作成コーパスの論点と問題設計例を参考に独自作成</x:v>
      </x:c>
      <x:c r="AD267" s="171" t="str">
        <x:v>未レビュー</x:v>
      </x:c>
      <x:c r="AE267" s="171"/>
      <x:c r="AF267" s="171"/>
      <x:c r="AG267" s="166"/>
    </x:row>
    <x:row r="268" ht="84" customHeight="1">
      <x:c r="A268" s="164" t="str">
        <x:v>LO5-027</x:v>
      </x:c>
      <x:c r="B268" s="171" t="str">
        <x:v>LO5</x:v>
      </x:c>
      <x:c r="C268" s="165" t="str">
        <x:v>情報提供・推奨・保管・サービス</x:v>
      </x:c>
      <x:c r="D268" s="165" t="str">
        <x:v>開栓後の非発泡性ワイン</x:v>
      </x:c>
      <x:c r="E268" s="165" t="str">
        <x:v>開栓した非発泡性ワインを翌日まで比較的良い状態で保つ方法として、最も適切なものはどれか。</x:v>
      </x:c>
      <x:c r="F268" s="165" t="str">
        <x:v>栓をせず暖かい場所へ置き、表面積を最大化する</x:v>
      </x:c>
      <x:c r="G268" s="165" t="str">
        <x:v>瓶を激しく振り、空気を溶かし込む</x:v>
      </x:c>
      <x:c r="H268" s="165" t="str">
        <x:v>再び栓をして冷蔵し、酸素との接触と化学反応の進行を抑える</x:v>
      </x:c>
      <x:c r="I268" s="165" t="str">
        <x:v>直射日光に当て、微生物を完全に除去する</x:v>
      </x:c>
      <x:c r="J268" s="171" t="str">
        <x:v>C</x:v>
      </x:c>
      <x:c r="K268" s="165" t="str">
        <x:v>再び栓をして冷蔵し、酸素との接触と化学反応の進行を抑える</x:v>
      </x:c>
      <x:c r="L268" s="165" t="str">
        <x:v>低温と密閉は酸化を遅らせる。赤ワインも保存中は冷蔵し、提供前に適温へ戻すことができる。</x:v>
      </x:c>
      <x:c r="M268" s="165" t="str">
        <x:v>誤り。 酸素接触と高温は酸化を速める。</x:v>
      </x:c>
      <x:c r="N268" s="165" t="str">
        <x:v>誤り。 酸素を多く取り込ませると、保存目的には逆効果である。</x:v>
      </x:c>
      <x:c r="O268" s="165" t="str">
        <x:v>正しい。 低温と密閉は酸化を遅らせる。赤ワインも保存中は冷蔵し、提供前に適温へ戻すことができる。</x:v>
      </x:c>
      <x:c r="P268" s="165" t="str">
        <x:v>誤り。 光と熱はワインを劣化させるため、保存方法として不適切である。</x:v>
      </x:c>
      <x:c r="Q268" s="165" t="str">
        <x:v>保管・サービス</x:v>
      </x:c>
      <x:c r="R268" s="165" t="str">
        <x:v>開栓後保存・酸化</x:v>
      </x:c>
      <x:c r="S268" s="165" t="str">
        <x:v>非発泡性ワイン</x:v>
      </x:c>
      <x:c r="T268" s="165"/>
      <x:c r="U268" s="165"/>
      <x:c r="V268" s="165"/>
      <x:c r="W268" s="165" t="str">
        <x:v>適用</x:v>
      </x:c>
      <x:c r="X268" s="171" t="str">
        <x:v>D1</x:v>
      </x:c>
      <x:c r="Y268" s="165" t="str">
        <x:v>開栓保存は高温・振とう・直射日光</x:v>
      </x:c>
      <x:c r="Z268" s="171" t="str">
        <x:v>N</x:v>
      </x:c>
      <x:c r="AA268" s="165"/>
      <x:c r="AB268" s="165" t="str">
        <x:v>オリジナル</x:v>
      </x:c>
      <x:c r="AC268" s="165" t="str">
        <x:v>公式Specificationの範囲＋ユーザー作成コーパスの論点と問題設計例を参考に独自作成</x:v>
      </x:c>
      <x:c r="AD268" s="171" t="str">
        <x:v>未レビュー</x:v>
      </x:c>
      <x:c r="AE268" s="171"/>
      <x:c r="AF268" s="171"/>
      <x:c r="AG268" s="166"/>
    </x:row>
    <x:row r="269" ht="84" customHeight="1">
      <x:c r="A269" s="164" t="str">
        <x:v>LO5-028</x:v>
      </x:c>
      <x:c r="B269" s="171" t="str">
        <x:v>LO5</x:v>
      </x:c>
      <x:c r="C269" s="165" t="str">
        <x:v>情報提供・推奨・保管・サービス</x:v>
      </x:c>
      <x:c r="D269" s="165" t="str">
        <x:v>開栓後の発泡性ワイン</x:v>
      </x:c>
      <x:c r="E269" s="165" t="str">
        <x:v>開栓した発泡性ワインの炭酸ガスを短時間保つために最も有効な方法はどれか。</x:v>
      </x:c>
      <x:c r="F269" s="165" t="str">
        <x:v>普通の紙を瓶口に置き、常温で保管する</x:v>
      </x:c>
      <x:c r="G269" s="165" t="str">
        <x:v>瓶を振ってから栓を外したままにする</x:v>
      </x:c>
      <x:c r="H269" s="165" t="str">
        <x:v>温めて炭酸ガスを液体中へ押し戻す</x:v>
      </x:c>
      <x:c r="I269" s="165" t="str">
        <x:v>発泡性ワイン用ストッパーで密閉し、冷蔵する</x:v>
      </x:c>
      <x:c r="J269" s="171" t="str">
        <x:v>D</x:v>
      </x:c>
      <x:c r="K269" s="165" t="str">
        <x:v>発泡性ワイン用ストッパーで密閉し、冷蔵する</x:v>
      </x:c>
      <x:c r="L269" s="165" t="str">
        <x:v>専用ストッパーは瓶内圧を保持しやすく、低温は炭酸ガスが液体中に溶けた状態を保つのに役立つ。</x:v>
      </x:c>
      <x:c r="M269" s="165" t="str">
        <x:v>誤り。 密閉できず、炭酸ガスが逃げやすい。</x:v>
      </x:c>
      <x:c r="N269" s="165" t="str">
        <x:v>誤り。 振動と開放は炭酸ガスの放出を促す。</x:v>
      </x:c>
      <x:c r="O269" s="165" t="str">
        <x:v>誤り。 温度が上がると炭酸ガスは液体から抜けやすくなる。</x:v>
      </x:c>
      <x:c r="P269" s="165" t="str">
        <x:v>正しい。 専用ストッパーは瓶内圧を保持しやすく、低温は炭酸ガスが液体中に溶けた状態を保つのに役立つ。</x:v>
      </x:c>
      <x:c r="Q269" s="165" t="str">
        <x:v>保管・サービス</x:v>
      </x:c>
      <x:c r="R269" s="165" t="str">
        <x:v>発泡性ワイン・開栓後保存</x:v>
      </x:c>
      <x:c r="S269" s="165" t="str">
        <x:v>発泡性ワイン</x:v>
      </x:c>
      <x:c r="T269" s="165"/>
      <x:c r="U269" s="165"/>
      <x:c r="V269" s="165"/>
      <x:c r="W269" s="165" t="str">
        <x:v>適用</x:v>
      </x:c>
      <x:c r="X269" s="171" t="str">
        <x:v>D1</x:v>
      </x:c>
      <x:c r="Y269" s="165" t="str">
        <x:v>紙で密閉; 振とう; 加温で炭酸保持</x:v>
      </x:c>
      <x:c r="Z269" s="171" t="str">
        <x:v>N</x:v>
      </x:c>
      <x:c r="AA269" s="165"/>
      <x:c r="AB269" s="165" t="str">
        <x:v>オリジナル</x:v>
      </x:c>
      <x:c r="AC269" s="165" t="str">
        <x:v>公式Specificationの範囲＋ユーザー作成コーパスの論点と問題設計例を参考に独自作成</x:v>
      </x:c>
      <x:c r="AD269" s="171" t="str">
        <x:v>未レビュー</x:v>
      </x:c>
      <x:c r="AE269" s="171"/>
      <x:c r="AF269" s="171"/>
      <x:c r="AG269" s="166"/>
    </x:row>
    <x:row r="270" ht="84" customHeight="1">
      <x:c r="A270" s="164" t="str">
        <x:v>LO5-029</x:v>
      </x:c>
      <x:c r="B270" s="171" t="str">
        <x:v>LO5</x:v>
      </x:c>
      <x:c r="C270" s="165" t="str">
        <x:v>情報提供・推奨・保管・サービス</x:v>
      </x:c>
      <x:c r="D270" s="165" t="str">
        <x:v>ボトルの提示</x:v>
      </x:c>
      <x:c r="E270" s="165" t="str">
        <x:v>レストランで注文されたワインを開栓前に顧客へ提示する主な目的はどれか。</x:v>
      </x:c>
      <x:c r="F270" s="165" t="str">
        <x:v>生産者、ワイン名、ヴィンテージなどが注文内容と一致するか確認してもらう</x:v>
      </x:c>
      <x:c r="G270" s="165" t="str">
        <x:v>顧客にラベルを剥がしてもらう</x:v>
      </x:c>
      <x:c r="H270" s="165" t="str">
        <x:v>ボトルを振って澱を均一に混ぜてもらう</x:v>
      </x:c>
      <x:c r="I270" s="165" t="str">
        <x:v>顧客に未開栓のまま香りを評価してもらう</x:v>
      </x:c>
      <x:c r="J270" s="171" t="str">
        <x:v>A</x:v>
      </x:c>
      <x:c r="K270" s="165" t="str">
        <x:v>生産者、ワイン名、ヴィンテージなどが注文内容と一致するか確認してもらう</x:v>
      </x:c>
      <x:c r="L270" s="165" t="str">
        <x:v>開栓前の提示は、誤った銘柄やヴィンテージを開けることを防ぎ、注文内容を相互に確認するために行う。</x:v>
      </x:c>
      <x:c r="M270" s="165" t="str">
        <x:v>正しい。 開栓前の提示は、誤った銘柄やヴィンテージを開けることを防ぎ、注文内容を相互に確認するために行う。</x:v>
      </x:c>
      <x:c r="N270" s="165" t="str">
        <x:v>誤り。 ラベルを剥がすことが目的ではない。</x:v>
      </x:c>
      <x:c r="O270" s="165" t="str">
        <x:v>誤り。 特に熟成ワインでは澱を舞い上げるため不適切である。</x:v>
      </x:c>
      <x:c r="P270" s="165" t="str">
        <x:v>誤り。 栓をしたままではワインの香りを適切に評価できない。</x:v>
      </x:c>
      <x:c r="Q270" s="165" t="str">
        <x:v>保管・サービス</x:v>
      </x:c>
      <x:c r="R270" s="165" t="str">
        <x:v>サービス手順・確認</x:v>
      </x:c>
      <x:c r="S270" s="165" t="str">
        <x:v>全般</x:v>
      </x:c>
      <x:c r="T270" s="165"/>
      <x:c r="U270" s="165"/>
      <x:c r="V270" s="165"/>
      <x:c r="W270" s="165" t="str">
        <x:v>適用</x:v>
      </x:c>
      <x:c r="X270" s="171" t="str">
        <x:v>D1</x:v>
      </x:c>
      <x:c r="Y270" s="165" t="str">
        <x:v>提示はラベル剥離; 振とう; 未開栓香り評価</x:v>
      </x:c>
      <x:c r="Z270" s="171" t="str">
        <x:v>N</x:v>
      </x:c>
      <x:c r="AA270" s="165"/>
      <x:c r="AB270" s="165" t="str">
        <x:v>オリジナル</x:v>
      </x:c>
      <x:c r="AC270" s="165" t="str">
        <x:v>公式Specificationの範囲＋ユーザー作成コーパスの論点と問題設計例を参考に独自作成</x:v>
      </x:c>
      <x:c r="AD270" s="171" t="str">
        <x:v>未レビュー</x:v>
      </x:c>
      <x:c r="AE270" s="171"/>
      <x:c r="AF270" s="171"/>
      <x:c r="AG270" s="166"/>
    </x:row>
    <x:row r="271" ht="84" customHeight="1">
      <x:c r="A271" s="164" t="str">
        <x:v>LO5-030</x:v>
      </x:c>
      <x:c r="B271" s="171" t="str">
        <x:v>LO5</x:v>
      </x:c>
      <x:c r="C271" s="165" t="str">
        <x:v>情報提供・推奨・保管・サービス</x:v>
      </x:c>
      <x:c r="D271" s="165" t="str">
        <x:v>グラスの清潔さ</x:v>
      </x:c>
      <x:c r="E271" s="165" t="str">
        <x:v>ワイングラスを清潔で無臭に保つことが重要な主な理由はどれか。</x:v>
      </x:c>
      <x:c r="F271" s="165" t="str">
        <x:v>グラスの臭いがワインのアルコール度を下げるため</x:v>
      </x:c>
      <x:c r="G271" s="165" t="str">
        <x:v>洗剤や保管場所の臭いがワインの香りを覆い、評価や楽しみを妨げるため</x:v>
      </x:c>
      <x:c r="H271" s="165" t="str">
        <x:v>無臭のグラスではワインの色が見えなくなるため</x:v>
      </x:c>
      <x:c r="I271" s="165" t="str">
        <x:v>洗剤の香りが強いほど品質が高く感じられるため</x:v>
      </x:c>
      <x:c r="J271" s="171" t="str">
        <x:v>B</x:v>
      </x:c>
      <x:c r="K271" s="165" t="str">
        <x:v>洗剤や保管場所の臭いがワインの香りを覆い、評価や楽しみを妨げるため</x:v>
      </x:c>
      <x:c r="L271" s="165" t="str">
        <x:v>ワインの香りは繊細であり、グラスに残った洗剤、布、収納場所などの臭いが品質評価を歪める可能性がある。</x:v>
      </x:c>
      <x:c r="M271" s="165" t="str">
        <x:v>誤り。 外部の臭いはアルコール度を下げない。</x:v>
      </x:c>
      <x:c r="N271" s="165" t="str">
        <x:v>正しい。 ワインの香りは繊細であり、グラスに残った洗剤、布、収納場所などの臭いが品質評価を歪める可能性がある。</x:v>
      </x:c>
      <x:c r="O271" s="165" t="str">
        <x:v>誤り。 清潔さと色の視認性は矛盾せず、透明なグラスなら色を観察できる。</x:v>
      </x:c>
      <x:c r="P271" s="165" t="str">
        <x:v>誤り。 外部香はワイン本来の香りを妨げ、品質評価には不利である。</x:v>
      </x:c>
      <x:c r="Q271" s="165" t="str">
        <x:v>保管・サービス</x:v>
      </x:c>
      <x:c r="R271" s="165" t="str">
        <x:v>グラスウェア・清潔さ</x:v>
      </x:c>
      <x:c r="S271" s="165" t="str">
        <x:v>全般</x:v>
      </x:c>
      <x:c r="T271" s="165"/>
      <x:c r="U271" s="165"/>
      <x:c r="V271" s="165"/>
      <x:c r="W271" s="165" t="str">
        <x:v>因果説明</x:v>
      </x:c>
      <x:c r="X271" s="171" t="str">
        <x:v>D1</x:v>
      </x:c>
      <x:c r="Y271" s="165" t="str">
        <x:v>外臭でアルコール低下; 無臭で色不可視; 洗剤香が品質向上</x:v>
      </x:c>
      <x:c r="Z271" s="171" t="str">
        <x:v>N</x:v>
      </x:c>
      <x:c r="AA271" s="165"/>
      <x:c r="AB271" s="165" t="str">
        <x:v>オリジナル</x:v>
      </x:c>
      <x:c r="AC271" s="165" t="str">
        <x:v>公式Specificationの範囲＋ユーザー作成コーパスの論点と問題設計例を参考に独自作成</x:v>
      </x:c>
      <x:c r="AD271" s="171" t="str">
        <x:v>未レビュー</x:v>
      </x:c>
      <x:c r="AE271" s="171"/>
      <x:c r="AF271" s="171"/>
      <x:c r="AG271" s="166"/>
    </x:row>
    <x:row r="272" ht="84" customHeight="1">
      <x:c r="A272" s="164" t="str">
        <x:v>LO5-031</x:v>
      </x:c>
      <x:c r="B272" s="171" t="str">
        <x:v>LO5</x:v>
      </x:c>
      <x:c r="C272" s="165" t="str">
        <x:v>情報提供・推奨・保管・サービス</x:v>
      </x:c>
      <x:c r="D272" s="165" t="str">
        <x:v>グラスの形状</x:v>
      </x:c>
      <x:c r="E272" s="165" t="str">
        <x:v>一般的なテイスティング用グラスで、ボウルがある程度広く、口がやや狭くなっている利点はどれか。</x:v>
      </x:c>
      <x:c r="F272" s="165" t="str">
        <x:v>ワインを完全に無臭にする</x:v>
      </x:c>
      <x:c r="G272" s="165" t="str">
        <x:v>アルコールを瞬時に蒸発させ、ノンアルコールにする</x:v>
      </x:c>
      <x:c r="H272" s="165" t="str">
        <x:v>香りを発散させつつグラス上部へ集め、観察しやすくする</x:v>
      </x:c>
      <x:c r="I272" s="165" t="str">
        <x:v>ワインの色を自動的に濃くする</x:v>
      </x:c>
      <x:c r="J272" s="171" t="str">
        <x:v>C</x:v>
      </x:c>
      <x:c r="K272" s="165" t="str">
        <x:v>香りを発散させつつグラス上部へ集め、観察しやすくする</x:v>
      </x:c>
      <x:c r="L272" s="165" t="str">
        <x:v>ボウル内でワインを回して香りを放出させ、狭めの口で香りを鼻へ導くことができる。</x:v>
      </x:c>
      <x:c r="M272" s="165" t="str">
        <x:v>誤り。 形状は香りを観察しやすくするためで、消すためではない。</x:v>
      </x:c>
      <x:c r="N272" s="165" t="str">
        <x:v>誤り。 通常のグラス形状でアルコールを瞬時に除去できない。</x:v>
      </x:c>
      <x:c r="O272" s="165" t="str">
        <x:v>正しい。 ボウル内でワインを回して香りを放出させ、狭めの口で香りを鼻へ導くことができる。</x:v>
      </x:c>
      <x:c r="P272" s="165" t="str">
        <x:v>誤り。 グラスの形状は液体の実際の色を変えない。</x:v>
      </x:c>
      <x:c r="Q272" s="165" t="str">
        <x:v>保管・サービス</x:v>
      </x:c>
      <x:c r="R272" s="165" t="str">
        <x:v>グラス形状・香り</x:v>
      </x:c>
      <x:c r="S272" s="165" t="str">
        <x:v>全般</x:v>
      </x:c>
      <x:c r="T272" s="165"/>
      <x:c r="U272" s="165"/>
      <x:c r="V272" s="165"/>
      <x:c r="W272" s="165" t="str">
        <x:v>因果説明</x:v>
      </x:c>
      <x:c r="X272" s="171" t="str">
        <x:v>D1</x:v>
      </x:c>
      <x:c r="Y272" s="165" t="str">
        <x:v>グラスで無臭化; 脱アルコール; 色濃化</x:v>
      </x:c>
      <x:c r="Z272" s="171" t="str">
        <x:v>N</x:v>
      </x:c>
      <x:c r="AA272" s="165"/>
      <x:c r="AB272" s="165" t="str">
        <x:v>オリジナル</x:v>
      </x:c>
      <x:c r="AC272" s="165" t="str">
        <x:v>公式Specificationの範囲＋ユーザー作成コーパスの論点と問題設計例を参考に独自作成</x:v>
      </x:c>
      <x:c r="AD272" s="171" t="str">
        <x:v>未レビュー</x:v>
      </x:c>
      <x:c r="AE272" s="171"/>
      <x:c r="AF272" s="171"/>
      <x:c r="AG272" s="166"/>
    </x:row>
    <x:row r="273" ht="84" customHeight="1">
      <x:c r="A273" s="164" t="str">
        <x:v>LO5-032</x:v>
      </x:c>
      <x:c r="B273" s="171" t="str">
        <x:v>LO5</x:v>
      </x:c>
      <x:c r="C273" s="165" t="str">
        <x:v>情報提供・推奨・保管・サービス</x:v>
      </x:c>
      <x:c r="D273" s="165" t="str">
        <x:v>注ぐ量</x:v>
      </x:c>
      <x:c r="E273" s="165" t="str">
        <x:v>ワインをグラスいっぱいまで注がず、一定の空間を残す主な利点はどれか。</x:v>
      </x:c>
      <x:c r="F273" s="165" t="str">
        <x:v>空間があるほどワインのアルコール度が上がる</x:v>
      </x:c>
      <x:c r="G273" s="165" t="str">
        <x:v>少量にするとすべての欠陥が消える</x:v>
      </x:c>
      <x:c r="H273" s="165" t="str">
        <x:v>グラスを満杯にしないと二次発酵が始まる</x:v>
      </x:c>
      <x:c r="I273" s="165" t="str">
        <x:v>ワインを回して香りを放出させる空間を確保し、こぼれにくくする</x:v>
      </x:c>
      <x:c r="J273" s="171" t="str">
        <x:v>D</x:v>
      </x:c>
      <x:c r="K273" s="165" t="str">
        <x:v>ワインを回して香りを放出させる空間を確保し、こぼれにくくする</x:v>
      </x:c>
      <x:c r="L273" s="165" t="str">
        <x:v>適度な注量なら、グラス内でワインをスワリングでき、香りの観察と安全なサービスの両方に役立つ。</x:v>
      </x:c>
      <x:c r="M273" s="165" t="str">
        <x:v>誤り。 グラス内の空間はアルコール度を上げない。</x:v>
      </x:c>
      <x:c r="N273" s="165" t="str">
        <x:v>誤り。 注量を減らしても欠陥そのものは消えない。</x:v>
      </x:c>
      <x:c r="O273" s="165" t="str">
        <x:v>誤り。 注ぐ量と二次発酵には直接の関係がない。</x:v>
      </x:c>
      <x:c r="P273" s="165" t="str">
        <x:v>正しい。 適度な注量なら、グラス内でワインをスワリングでき、香りの観察と安全なサービスの両方に役立つ。</x:v>
      </x:c>
      <x:c r="Q273" s="165" t="str">
        <x:v>保管・サービス</x:v>
      </x:c>
      <x:c r="R273" s="165" t="str">
        <x:v>注量・香り</x:v>
      </x:c>
      <x:c r="S273" s="165" t="str">
        <x:v>全般</x:v>
      </x:c>
      <x:c r="T273" s="165"/>
      <x:c r="U273" s="165"/>
      <x:c r="V273" s="165"/>
      <x:c r="W273" s="165" t="str">
        <x:v>適用</x:v>
      </x:c>
      <x:c r="X273" s="171" t="str">
        <x:v>D1</x:v>
      </x:c>
      <x:c r="Y273" s="165" t="str">
        <x:v>注量でアルコール増加; 欠陥消失; 二次発酵</x:v>
      </x:c>
      <x:c r="Z273" s="171" t="str">
        <x:v>N</x:v>
      </x:c>
      <x:c r="AA273" s="165"/>
      <x:c r="AB273" s="165" t="str">
        <x:v>オリジナル</x:v>
      </x:c>
      <x:c r="AC273" s="165" t="str">
        <x:v>公式Specificationの範囲＋ユーザー作成コーパスの論点と問題設計例を参考に独自作成</x:v>
      </x:c>
      <x:c r="AD273" s="171" t="str">
        <x:v>未レビュー</x:v>
      </x:c>
      <x:c r="AE273" s="171"/>
      <x:c r="AF273" s="171"/>
      <x:c r="AG273" s="166"/>
    </x:row>
    <x:row r="274" ht="84" customHeight="1">
      <x:c r="A274" s="164" t="str">
        <x:v>LO5-033</x:v>
      </x:c>
      <x:c r="B274" s="171" t="str">
        <x:v>LO5</x:v>
      </x:c>
      <x:c r="C274" s="165" t="str">
        <x:v>情報提供・推奨・保管・サービス</x:v>
      </x:c>
      <x:c r="D274" s="165" t="str">
        <x:v>発泡性ワインの開栓</x:v>
      </x:c>
      <x:c r="E274" s="165" t="str">
        <x:v>発泡性ワインを安全に開栓する方法として最も適切なものはどれか。</x:v>
      </x:c>
      <x:c r="F274" s="165" t="str">
        <x:v>瓶を人から離して傾け、コルクを押さえながら瓶底側をゆっくり回す</x:v>
      </x:c>
      <x:c r="G274" s="165" t="str">
        <x:v>コルクを人へ向け、栓を一気に飛ばす</x:v>
      </x:c>
      <x:c r="H274" s="165" t="str">
        <x:v>瓶を強く振ってからワイヤーを外す</x:v>
      </x:c>
      <x:c r="I274" s="165" t="str">
        <x:v>瓶を温めて内圧を高めてから開ける</x:v>
      </x:c>
      <x:c r="J274" s="171" t="str">
        <x:v>A</x:v>
      </x:c>
      <x:c r="K274" s="165" t="str">
        <x:v>瓶を人から離して傾け、コルクを押さえながら瓶底側をゆっくり回す</x:v>
      </x:c>
      <x:c r="L274" s="165" t="str">
        <x:v>瓶内圧が高いため、コルクを常に管理し、瓶をゆっくり回して小さな音で圧を逃がす方法が安全である。</x:v>
      </x:c>
      <x:c r="M274" s="165" t="str">
        <x:v>正しい。 瓶内圧が高いため、コルクを常に管理し、瓶をゆっくり回して小さな音で圧を逃がす方法が安全である。</x:v>
      </x:c>
      <x:c r="N274" s="165" t="str">
        <x:v>誤り。 高速で飛ぶコルクは事故につながる。</x:v>
      </x:c>
      <x:c r="O274" s="165" t="str">
        <x:v>誤り。 振ると泡が噴き出しやすくなり危険である。</x:v>
      </x:c>
      <x:c r="P274" s="165" t="str">
        <x:v>誤り。 加温は圧力を上げ、危険性を高める。</x:v>
      </x:c>
      <x:c r="Q274" s="165" t="str">
        <x:v>保管・サービス</x:v>
      </x:c>
      <x:c r="R274" s="165" t="str">
        <x:v>発泡性ワイン・安全な開栓</x:v>
      </x:c>
      <x:c r="S274" s="165" t="str">
        <x:v>発泡性ワイン</x:v>
      </x:c>
      <x:c r="T274" s="165"/>
      <x:c r="U274" s="165"/>
      <x:c r="V274" s="165"/>
      <x:c r="W274" s="165" t="str">
        <x:v>適用</x:v>
      </x:c>
      <x:c r="X274" s="171" t="str">
        <x:v>D2</x:v>
      </x:c>
      <x:c r="Y274" s="165" t="str">
        <x:v>コルクを飛ばす; 振とう; 加温</x:v>
      </x:c>
      <x:c r="Z274" s="171" t="str">
        <x:v>N</x:v>
      </x:c>
      <x:c r="AA274" s="165"/>
      <x:c r="AB274" s="165" t="str">
        <x:v>オリジナル</x:v>
      </x:c>
      <x:c r="AC274" s="165" t="str">
        <x:v>公式Specificationの範囲＋ユーザー作成コーパスの論点と問題設計例を参考に独自作成</x:v>
      </x:c>
      <x:c r="AD274" s="171" t="str">
        <x:v>未レビュー</x:v>
      </x:c>
      <x:c r="AE274" s="171"/>
      <x:c r="AF274" s="171"/>
      <x:c r="AG274" s="166"/>
    </x:row>
    <x:row r="275" ht="84" customHeight="1">
      <x:c r="A275" s="164" t="str">
        <x:v>LO5-034</x:v>
      </x:c>
      <x:c r="B275" s="171" t="str">
        <x:v>LO5</x:v>
      </x:c>
      <x:c r="C275" s="165" t="str">
        <x:v>情報提供・推奨・保管・サービス</x:v>
      </x:c>
      <x:c r="D275" s="165" t="str">
        <x:v>天然コルク栓の開栓</x:v>
      </x:c>
      <x:c r="E275" s="165" t="str">
        <x:v>天然コルク栓の非発泡性ワインを開ける際、スクリューをコルクの中央へまっすぐ入れる主な理由はどれか。</x:v>
      </x:c>
      <x:c r="F275" s="165" t="str">
        <x:v>コルクを瓶内へ完全に押し込むため</x:v>
      </x:c>
      <x:c r="G275" s="165" t="str">
        <x:v>コルクを崩しにくくし、安定して引き抜くため</x:v>
      </x:c>
      <x:c r="H275" s="165" t="str">
        <x:v>ワインを発泡性に変えるため</x:v>
      </x:c>
      <x:c r="I275" s="165" t="str">
        <x:v>アルコールをコルクへ吸収させるため</x:v>
      </x:c>
      <x:c r="J275" s="171" t="str">
        <x:v>B</x:v>
      </x:c>
      <x:c r="K275" s="165" t="str">
        <x:v>コルクを崩しにくくし、安定して引き抜くため</x:v>
      </x:c>
      <x:c r="L275" s="165" t="str">
        <x:v>中央へ適切な深さで入れると力が均等にかかり、コルクの破損やワイン中への破片混入を減らせる。</x:v>
      </x:c>
      <x:c r="M275" s="165" t="str">
        <x:v>誤り。 通常はコルクを引き抜くのが目的である。</x:v>
      </x:c>
      <x:c r="N275" s="165" t="str">
        <x:v>正しい。 中央へ適切な深さで入れると力が均等にかかり、コルクの破損やワイン中への破片混入を減らせる。</x:v>
      </x:c>
      <x:c r="O275" s="165" t="str">
        <x:v>誤り。 開栓方法でワインの発泡性は変わらない。</x:v>
      </x:c>
      <x:c r="P275" s="165" t="str">
        <x:v>誤り。 スクリューの位置はアルコール吸収を目的としない。</x:v>
      </x:c>
      <x:c r="Q275" s="165" t="str">
        <x:v>保管・サービス</x:v>
      </x:c>
      <x:c r="R275" s="165" t="str">
        <x:v>コルク栓・開栓</x:v>
      </x:c>
      <x:c r="S275" s="165" t="str">
        <x:v>非発泡性ワイン</x:v>
      </x:c>
      <x:c r="T275" s="165"/>
      <x:c r="U275" s="165"/>
      <x:c r="V275" s="165"/>
      <x:c r="W275" s="165" t="str">
        <x:v>適用</x:v>
      </x:c>
      <x:c r="X275" s="171" t="str">
        <x:v>D1</x:v>
      </x:c>
      <x:c r="Y275" s="165" t="str">
        <x:v>コルク押込み; 発泡化; アルコール吸収</x:v>
      </x:c>
      <x:c r="Z275" s="171" t="str">
        <x:v>N</x:v>
      </x:c>
      <x:c r="AA275" s="165"/>
      <x:c r="AB275" s="165" t="str">
        <x:v>オリジナル</x:v>
      </x:c>
      <x:c r="AC275" s="165" t="str">
        <x:v>公式Specificationの範囲＋ユーザー作成コーパスの論点と問題設計例を参考に独自作成</x:v>
      </x:c>
      <x:c r="AD275" s="171" t="str">
        <x:v>未レビュー</x:v>
      </x:c>
      <x:c r="AE275" s="171"/>
      <x:c r="AF275" s="171"/>
      <x:c r="AG275" s="166"/>
    </x:row>
    <x:row r="276" ht="84" customHeight="1">
      <x:c r="A276" s="164" t="str">
        <x:v>LO5-035</x:v>
      </x:c>
      <x:c r="B276" s="171" t="str">
        <x:v>LO5</x:v>
      </x:c>
      <x:c r="C276" s="165" t="str">
        <x:v>情報提供・推奨・保管・サービス</x:v>
      </x:c>
      <x:c r="D276" s="165" t="str">
        <x:v>アイスバケット</x:v>
      </x:c>
      <x:c r="E276" s="165" t="str">
        <x:v>ワインをアイスバケットで効率よく冷やす方法として最も適切なものはどれか。</x:v>
      </x:c>
      <x:c r="F276" s="165" t="str">
        <x:v>氷だけを少量入れ、瓶に触れないようにする</x:v>
      </x:c>
      <x:c r="G276" s="165" t="str">
        <x:v>温水を入れ、瓶を振り続ける</x:v>
      </x:c>
      <x:c r="H276" s="165" t="str">
        <x:v>氷と水を一緒に入れ、瓶の広い面を冷却液へ接触させる</x:v>
      </x:c>
      <x:c r="I276" s="165" t="str">
        <x:v>瓶を直射日光へ置き、外側だけ氷で覆う</x:v>
      </x:c>
      <x:c r="J276" s="171" t="str">
        <x:v>C</x:v>
      </x:c>
      <x:c r="K276" s="165" t="str">
        <x:v>氷と水を一緒に入れ、瓶の広い面を冷却液へ接触させる</x:v>
      </x:c>
      <x:c r="L276" s="165" t="str">
        <x:v>水が氷と瓶の間を満たして接触面積を増やすため、氷だけの場合より熱が移動しやすく、均一に冷却できる。</x:v>
      </x:c>
      <x:c r="M276" s="165" t="str">
        <x:v>誤り。 接触が少ないと冷却効率が低い。</x:v>
      </x:c>
      <x:c r="N276" s="165" t="str">
        <x:v>誤り。 温水は冷却にならず、振動も望ましくない。</x:v>
      </x:c>
      <x:c r="O276" s="165" t="str">
        <x:v>正しい。 水が氷と瓶の間を満たして接触面積を増やすため、氷だけの場合より熱が移動しやすく、均一に冷却できる。</x:v>
      </x:c>
      <x:c r="P276" s="165" t="str">
        <x:v>誤り。 日光による加熱と光劣化のリスクがある。</x:v>
      </x:c>
      <x:c r="Q276" s="165" t="str">
        <x:v>保管・サービス</x:v>
      </x:c>
      <x:c r="R276" s="165" t="str">
        <x:v>冷却・設備</x:v>
      </x:c>
      <x:c r="S276" s="165" t="str">
        <x:v>全般</x:v>
      </x:c>
      <x:c r="T276" s="165"/>
      <x:c r="U276" s="165"/>
      <x:c r="V276" s="165"/>
      <x:c r="W276" s="165" t="str">
        <x:v>適用</x:v>
      </x:c>
      <x:c r="X276" s="171" t="str">
        <x:v>D2</x:v>
      </x:c>
      <x:c r="Y276" s="165" t="str">
        <x:v>氷は接触不要; 温水; 日光冷却</x:v>
      </x:c>
      <x:c r="Z276" s="171" t="str">
        <x:v>N</x:v>
      </x:c>
      <x:c r="AA276" s="165"/>
      <x:c r="AB276" s="165" t="str">
        <x:v>オリジナル</x:v>
      </x:c>
      <x:c r="AC276" s="165" t="str">
        <x:v>公式Specificationの範囲＋ユーザー作成コーパスの論点と問題設計例を参考に独自作成</x:v>
      </x:c>
      <x:c r="AD276" s="171" t="str">
        <x:v>未レビュー</x:v>
      </x:c>
      <x:c r="AE276" s="171"/>
      <x:c r="AF276" s="171"/>
      <x:c r="AG276" s="166"/>
    </x:row>
    <x:row r="277" ht="84" customHeight="1">
      <x:c r="A277" s="164" t="str">
        <x:v>LO5-036</x:v>
      </x:c>
      <x:c r="B277" s="171" t="str">
        <x:v>LO5</x:v>
      </x:c>
      <x:c r="C277" s="165" t="str">
        <x:v>情報提供・推奨・保管・サービス</x:v>
      </x:c>
      <x:c r="D277" s="165" t="str">
        <x:v>冷やしすぎたワイン</x:v>
      </x:c>
      <x:c r="E277" s="165" t="str">
        <x:v>冷やしすぎたワインを適切な温度へ戻す方法として最も適切なものはどれか。</x:v>
      </x:c>
      <x:c r="F277" s="165" t="str">
        <x:v>電子レンジで急速に加熱する</x:v>
      </x:c>
      <x:c r="G277" s="165" t="str">
        <x:v>熱湯へ完全に沈める</x:v>
      </x:c>
      <x:c r="H277" s="165" t="str">
        <x:v>瓶を直火で温める</x:v>
      </x:c>
      <x:c r="I277" s="165" t="str">
        <x:v>涼しい室温で徐々に温度を上げ、香りと味わいを確認する</x:v>
      </x:c>
      <x:c r="J277" s="171" t="str">
        <x:v>D</x:v>
      </x:c>
      <x:c r="K277" s="165" t="str">
        <x:v>涼しい室温で徐々に温度を上げ、香りと味わいを確認する</x:v>
      </x:c>
      <x:c r="L277" s="165" t="str">
        <x:v>急激な加熱を避け、少しずつ温度を上げれば、香りが開き、甘味・酸・タンニンのバランスを観察しやすい。</x:v>
      </x:c>
      <x:c r="M277" s="165" t="str">
        <x:v>誤り。 局所的な過熱や品質劣化の原因になり得る。</x:v>
      </x:c>
      <x:c r="N277" s="165" t="str">
        <x:v>誤り。 急激な加温はワインへ悪影響を与える可能性が高い。</x:v>
      </x:c>
      <x:c r="O277" s="165" t="str">
        <x:v>誤り。 危険であり、ワインと容器を損なう。</x:v>
      </x:c>
      <x:c r="P277" s="165" t="str">
        <x:v>正しい。 急激な加熱を避け、少しずつ温度を上げれば、香りが開き、甘味・酸・タンニンのバランスを観察しやすい。</x:v>
      </x:c>
      <x:c r="Q277" s="165" t="str">
        <x:v>保管・サービス</x:v>
      </x:c>
      <x:c r="R277" s="165" t="str">
        <x:v>サービス温度・調整</x:v>
      </x:c>
      <x:c r="S277" s="165" t="str">
        <x:v>全般</x:v>
      </x:c>
      <x:c r="T277" s="165"/>
      <x:c r="U277" s="165"/>
      <x:c r="V277" s="165"/>
      <x:c r="W277" s="165" t="str">
        <x:v>適用</x:v>
      </x:c>
      <x:c r="X277" s="171" t="str">
        <x:v>D1</x:v>
      </x:c>
      <x:c r="Y277" s="165" t="str">
        <x:v>急速加熱; 熱湯; 直火</x:v>
      </x:c>
      <x:c r="Z277" s="171" t="str">
        <x:v>N</x:v>
      </x:c>
      <x:c r="AA277" s="165"/>
      <x:c r="AB277" s="165" t="str">
        <x:v>オリジナル</x:v>
      </x:c>
      <x:c r="AC277" s="165" t="str">
        <x:v>公式Specificationの範囲＋ユーザー作成コーパスの論点と問題設計例を参考に独自作成</x:v>
      </x:c>
      <x:c r="AD277" s="171" t="str">
        <x:v>未レビュー</x:v>
      </x:c>
      <x:c r="AE277" s="171"/>
      <x:c r="AF277" s="171"/>
      <x:c r="AG277" s="166"/>
    </x:row>
    <x:row r="278" ht="84" customHeight="1">
      <x:c r="A278" s="164" t="str">
        <x:v>LO5-037</x:v>
      </x:c>
      <x:c r="B278" s="171" t="str">
        <x:v>LO5</x:v>
      </x:c>
      <x:c r="C278" s="165" t="str">
        <x:v>情報提供・推奨・保管・サービス</x:v>
      </x:c>
      <x:c r="D278" s="165" t="str">
        <x:v>ホストによる試飲</x:v>
      </x:c>
      <x:c r="E278" s="165" t="str">
        <x:v>レストランでホストに少量のワインを試してもらう主な目的はどれか。</x:v>
      </x:c>
      <x:c r="F278" s="165" t="str">
        <x:v>ワインに欠陥がなく、注文したボトルが提供可能な状態か確認してもらう</x:v>
      </x:c>
      <x:c r="G278" s="165" t="str">
        <x:v>ホストがワインを全部飲み切れるか試す</x:v>
      </x:c>
      <x:c r="H278" s="165" t="str">
        <x:v>注文した料理の価格を決める</x:v>
      </x:c>
      <x:c r="I278" s="165" t="str">
        <x:v>ワインの法律上の原産地を変更する</x:v>
      </x:c>
      <x:c r="J278" s="171" t="str">
        <x:v>A</x:v>
      </x:c>
      <x:c r="K278" s="165" t="str">
        <x:v>ワインに欠陥がなく、注文したボトルが提供可能な状態か確認してもらう</x:v>
      </x:c>
      <x:c r="L278" s="165" t="str">
        <x:v>ホストの試飲は、個人の好みで返品するためではなく、コルク汚染や酸化などの状態確認を主な目的とする。</x:v>
      </x:c>
      <x:c r="M278" s="165" t="str">
        <x:v>正しい。 ホストの試飲は、個人の好みで返品するためではなく、コルク汚染や酸化などの状態確認を主な目的とする。</x:v>
      </x:c>
      <x:c r="N278" s="165" t="str">
        <x:v>誤り。 試飲量は状態確認に必要な少量である。</x:v>
      </x:c>
      <x:c r="O278" s="165" t="str">
        <x:v>誤り。 ワインの試飲は料理の価格決定と関係しない。</x:v>
      </x:c>
      <x:c r="P278" s="165" t="str">
        <x:v>誤り。 試飲によって原産地や表示は変わらない。</x:v>
      </x:c>
      <x:c r="Q278" s="165" t="str">
        <x:v>保管・サービス</x:v>
      </x:c>
      <x:c r="R278" s="165" t="str">
        <x:v>サービス手順・状態確認</x:v>
      </x:c>
      <x:c r="S278" s="165" t="str">
        <x:v>全般</x:v>
      </x:c>
      <x:c r="T278" s="165"/>
      <x:c r="U278" s="165"/>
      <x:c r="V278" s="165"/>
      <x:c r="W278" s="165" t="str">
        <x:v>適用</x:v>
      </x:c>
      <x:c r="X278" s="171" t="str">
        <x:v>D1</x:v>
      </x:c>
      <x:c r="Y278" s="165" t="str">
        <x:v>試飲は飲量確認; 料理価格; 原産地変更</x:v>
      </x:c>
      <x:c r="Z278" s="171" t="str">
        <x:v>N</x:v>
      </x:c>
      <x:c r="AA278" s="165"/>
      <x:c r="AB278" s="165" t="str">
        <x:v>オリジナル</x:v>
      </x:c>
      <x:c r="AC278" s="165" t="str">
        <x:v>公式Specificationの範囲＋ユーザー作成コーパスの論点と問題設計例を参考に独自作成</x:v>
      </x:c>
      <x:c r="AD278" s="171" t="str">
        <x:v>未レビュー</x:v>
      </x:c>
      <x:c r="AE278" s="171"/>
      <x:c r="AF278" s="171"/>
      <x:c r="AG278" s="166"/>
    </x:row>
    <x:row r="279" ht="84" customHeight="1">
      <x:c r="A279" s="164" t="str">
        <x:v>LO5-038</x:v>
      </x:c>
      <x:c r="B279" s="171" t="str">
        <x:v>LO5</x:v>
      </x:c>
      <x:c r="C279" s="165" t="str">
        <x:v>情報提供・推奨・保管・サービス</x:v>
      </x:c>
      <x:c r="D279" s="165" t="str">
        <x:v>グラスの持ち方</x:v>
      </x:c>
      <x:c r="E279" s="165" t="str">
        <x:v>脚付きワイングラスを脚または台座で持つ利点はどれか。</x:v>
      </x:c>
      <x:c r="F279" s="165" t="str">
        <x:v>ワインの酸を化学的に増やせる</x:v>
      </x:c>
      <x:c r="G279" s="165" t="str">
        <x:v>手の熱でワインを温めにくくし、ボウルに指紋を付けず外観を観察しやすい</x:v>
      </x:c>
      <x:c r="H279" s="165" t="str">
        <x:v>アルコールを完全に蒸発させられる</x:v>
      </x:c>
      <x:c r="I279" s="165" t="str">
        <x:v>グラス内の欠陥を消せる</x:v>
      </x:c>
      <x:c r="J279" s="171" t="str">
        <x:v>B</x:v>
      </x:c>
      <x:c r="K279" s="165" t="str">
        <x:v>手の熱でワインを温めにくくし、ボウルに指紋を付けず外観を観察しやすい</x:v>
      </x:c>
      <x:c r="L279" s="165" t="str">
        <x:v>特に冷やして提供するワインでは温度維持に役立ち、透明なボウルを保つことで色や清澄度も確認しやすい。</x:v>
      </x:c>
      <x:c r="M279" s="165" t="str">
        <x:v>誤り。 持ち方でワインの酸度は変化しない。</x:v>
      </x:c>
      <x:c r="N279" s="165" t="str">
        <x:v>正しい。 特に冷やして提供するワインでは温度維持に役立ち、透明なボウルを保つことで色や清澄度も確認しやすい。</x:v>
      </x:c>
      <x:c r="O279" s="165" t="str">
        <x:v>誤り。 脚を持っても脱アルコールは起こらない。</x:v>
      </x:c>
      <x:c r="P279" s="165" t="str">
        <x:v>誤り。 持ち方はワイン自体の欠陥を除去しない。</x:v>
      </x:c>
      <x:c r="Q279" s="165" t="str">
        <x:v>保管・サービス</x:v>
      </x:c>
      <x:c r="R279" s="165" t="str">
        <x:v>グラスウェア・温度</x:v>
      </x:c>
      <x:c r="S279" s="165" t="str">
        <x:v>全般</x:v>
      </x:c>
      <x:c r="T279" s="165"/>
      <x:c r="U279" s="165"/>
      <x:c r="V279" s="165"/>
      <x:c r="W279" s="165" t="str">
        <x:v>適用</x:v>
      </x:c>
      <x:c r="X279" s="171" t="str">
        <x:v>D1</x:v>
      </x:c>
      <x:c r="Y279" s="165" t="str">
        <x:v>持ち方で酸増加; 脱アルコール; 欠陥除去</x:v>
      </x:c>
      <x:c r="Z279" s="171" t="str">
        <x:v>N</x:v>
      </x:c>
      <x:c r="AA279" s="165"/>
      <x:c r="AB279" s="165" t="str">
        <x:v>オリジナル</x:v>
      </x:c>
      <x:c r="AC279" s="165" t="str">
        <x:v>公式Specificationの範囲＋ユーザー作成コーパスの論点と問題設計例を参考に独自作成</x:v>
      </x:c>
      <x:c r="AD279" s="171" t="str">
        <x:v>未レビュー</x:v>
      </x:c>
      <x:c r="AE279" s="171"/>
      <x:c r="AF279" s="171"/>
      <x:c r="AG279" s="166"/>
    </x:row>
    <x:row r="280" ht="84" customHeight="1">
      <x:c r="A280" s="164" t="str">
        <x:v>LO5-039</x:v>
      </x:c>
      <x:c r="B280" s="171" t="str">
        <x:v>LO5</x:v>
      </x:c>
      <x:c r="C280" s="165" t="str">
        <x:v>情報提供・推奨・保管・サービス</x:v>
      </x:c>
      <x:c r="D280" s="165" t="str">
        <x:v>予算と機会</x:v>
      </x:c>
      <x:c r="E280" s="165" t="str">
        <x:v>顧客が「記念日の贈り物として、予算内で熟成可能な赤ワイン」を求めている場合、推奨で最も重視すべき組み合わせはどれか。</x:v>
      </x:c>
      <x:c r="F280" s="165" t="str">
        <x:v>ラベルの色だけ</x:v>
      </x:c>
      <x:c r="G280" s="165" t="str">
        <x:v>ボトルの重さだけ</x:v>
      </x:c>
      <x:c r="H280" s="165" t="str">
        <x:v>価格、機会、品質、ワインのスタイルと熟成能力</x:v>
      </x:c>
      <x:c r="I280" s="165" t="str">
        <x:v>アルコール度が最も高いことだけ</x:v>
      </x:c>
      <x:c r="J280" s="171" t="str">
        <x:v>C</x:v>
      </x:c>
      <x:c r="K280" s="165" t="str">
        <x:v>価格、機会、品質、ワインのスタイルと熟成能力</x:v>
      </x:c>
      <x:c r="L280" s="165" t="str">
        <x:v>推奨は単一要因ではなく、予算、用途、期待するスタイル、品質、保存期間を総合して選ぶ必要がある。</x:v>
      </x:c>
      <x:c r="M280" s="165" t="str">
        <x:v>誤り。 ラベルの色は熟成能力や品質を十分に示さない。</x:v>
      </x:c>
      <x:c r="N280" s="165" t="str">
        <x:v>誤り。 重い瓶はワインの品質や熟成能力を保証しない。</x:v>
      </x:c>
      <x:c r="O280" s="165" t="str">
        <x:v>正しい。 推奨は単一要因ではなく、予算、用途、期待するスタイル、品質、保存期間を総合して選ぶ必要がある。</x:v>
      </x:c>
      <x:c r="P280" s="165" t="str">
        <x:v>誤り。 高アルコールだけでは品質、好み、熟成能力、予算への適合を判断できない。</x:v>
      </x:c>
      <x:c r="Q280" s="165" t="str">
        <x:v>推奨・助言</x:v>
      </x:c>
      <x:c r="R280" s="165" t="str">
        <x:v>選択基準・機会・価格</x:v>
      </x:c>
      <x:c r="S280" s="165" t="str">
        <x:v>全般</x:v>
      </x:c>
      <x:c r="T280" s="165"/>
      <x:c r="U280" s="165"/>
      <x:c r="V280" s="165"/>
      <x:c r="W280" s="165" t="str">
        <x:v>統合判断</x:v>
      </x:c>
      <x:c r="X280" s="171" t="str">
        <x:v>D3</x:v>
      </x:c>
      <x:c r="Y280" s="165" t="str">
        <x:v>推奨はラベル色; 瓶重量; 高アルコールだけ</x:v>
      </x:c>
      <x:c r="Z280" s="171" t="str">
        <x:v>N</x:v>
      </x:c>
      <x:c r="AA280" s="165"/>
      <x:c r="AB280" s="165" t="str">
        <x:v>オリジナル</x:v>
      </x:c>
      <x:c r="AC280" s="165" t="str">
        <x:v>公式Specificationの範囲＋ユーザー作成コーパスの論点と問題設計例を参考に独自作成</x:v>
      </x:c>
      <x:c r="AD280" s="171" t="str">
        <x:v>未レビュー</x:v>
      </x:c>
      <x:c r="AE280" s="171"/>
      <x:c r="AF280" s="171"/>
      <x:c r="AG280" s="166"/>
    </x:row>
    <x:row r="281" ht="84" customHeight="1">
      <x:c r="A281" s="164" t="str">
        <x:v>LO5-040</x:v>
      </x:c>
      <x:c r="B281" s="171" t="str">
        <x:v>LO5</x:v>
      </x:c>
      <x:c r="C281" s="165" t="str">
        <x:v>情報提供・推奨・保管・サービス</x:v>
      </x:c>
      <x:c r="D281" s="165" t="str">
        <x:v>個人の好みと感受性</x:v>
      </x:c>
      <x:c r="E281" s="165" t="str">
        <x:v>ワインを推奨する前に、顧客の個人的な好みや感受性を確認する理由として最も適切なものはどれか。</x:v>
      </x:c>
      <x:c r="F281" s="165" t="str">
        <x:v>好みを聞けばワインの法律上の格付けを変更できるため</x:v>
      </x:c>
      <x:c r="G281" s="165" t="str">
        <x:v>すべての顧客は同じ味を好むため、確認を省略できる</x:v>
      </x:c>
      <x:c r="H281" s="165" t="str">
        <x:v>好みは価格と常に完全一致するため</x:v>
      </x:c>
      <x:c r="I281" s="165" t="str">
        <x:v>同じ品質のワインでも、甘味、酸、タンニン、香りなどへの好みや反応が人によって異なるため</x:v>
      </x:c>
      <x:c r="J281" s="171" t="str">
        <x:v>D</x:v>
      </x:c>
      <x:c r="K281" s="165" t="str">
        <x:v>同じ品質のワインでも、甘味、酸、タンニン、香りなどへの好みや反応が人によって異なるため</x:v>
      </x:c>
      <x:c r="L281" s="165" t="str">
        <x:v>良い推奨は客観的品質だけでなく、顧客が好むスタイルや避けたい特徴を反映する必要がある。</x:v>
      </x:c>
      <x:c r="M281" s="165" t="str">
        <x:v>誤り。 顧客の好みで原産地や格付けは変わらない。</x:v>
      </x:c>
      <x:c r="N281" s="165" t="str">
        <x:v>誤り。 個人差があるため確認が重要である。</x:v>
      </x:c>
      <x:c r="O281" s="165" t="str">
        <x:v>誤り。 高価格でも顧客の好みに合わない場合がある。</x:v>
      </x:c>
      <x:c r="P281" s="165" t="str">
        <x:v>正しい。 良い推奨は客観的品質だけでなく、顧客が好むスタイルや避けたい特徴を反映する必要がある。</x:v>
      </x:c>
      <x:c r="Q281" s="165" t="str">
        <x:v>推奨・助言</x:v>
      </x:c>
      <x:c r="R281" s="165" t="str">
        <x:v>個人嗜好・感受性</x:v>
      </x:c>
      <x:c r="S281" s="165" t="str">
        <x:v>全般</x:v>
      </x:c>
      <x:c r="T281" s="165"/>
      <x:c r="U281" s="165"/>
      <x:c r="V281" s="165"/>
      <x:c r="W281" s="165" t="str">
        <x:v>判断</x:v>
      </x:c>
      <x:c r="X281" s="171" t="str">
        <x:v>D2</x:v>
      </x:c>
      <x:c r="Y281" s="165" t="str">
        <x:v>好みで格付け変更; 全員同じ; 価格と好み完全一致</x:v>
      </x:c>
      <x:c r="Z281" s="171" t="str">
        <x:v>Y</x:v>
      </x:c>
      <x:c r="AA281" s="165" t="str">
        <x:v>「感受性」の具体例をアプリ実装時に過度な医療助言へ広げないよう表現確認推奨</x:v>
      </x:c>
      <x:c r="AB281" s="165" t="str">
        <x:v>オリジナル</x:v>
      </x:c>
      <x:c r="AC281" s="165" t="str">
        <x:v>公式Specificationの範囲＋ユーザー作成コーパスの論点と問題設計例を参考に独自作成</x:v>
      </x:c>
      <x:c r="AD281" s="171" t="str">
        <x:v>未レビュー</x:v>
      </x:c>
      <x:c r="AE281" s="171"/>
      <x:c r="AF281" s="171"/>
      <x:c r="AG281" s="166"/>
    </x:row>
    <x:row r="282" ht="84" customHeight="1">
      <x:c r="A282" s="164" t="str">
        <x:v>LO5-041</x:v>
      </x:c>
      <x:c r="B282" s="171" t="str">
        <x:v>LO5</x:v>
      </x:c>
      <x:c r="C282" s="165" t="str">
        <x:v>情報提供・推奨・保管・サービス</x:v>
      </x:c>
      <x:c r="D282" s="165" t="str">
        <x:v>品質と価格の推奨</x:v>
      </x:c>
      <x:c r="E282" s="165" t="str">
        <x:v>同じ予算内で二つのワインを比較し、一方を推奨する際の説明として最も適切なものはどれか。</x:v>
      </x:c>
      <x:c r="F282" s="165" t="str">
        <x:v>品質、スタイル、用途への適合を具体的に示し、価格差があればその理由も説明する</x:v>
      </x:c>
      <x:c r="G282" s="165" t="str">
        <x:v>常に価格の高い方だけを選ぶ</x:v>
      </x:c>
      <x:c r="H282" s="165" t="str">
        <x:v>生産国だけで品質を断定する</x:v>
      </x:c>
      <x:c r="I282" s="165" t="str">
        <x:v>理由を示さず、自分の好みだけを押し付ける</x:v>
      </x:c>
      <x:c r="J282" s="171" t="str">
        <x:v>A</x:v>
      </x:c>
      <x:c r="K282" s="165" t="str">
        <x:v>品質、スタイル、用途への適合を具体的に示し、価格差があればその理由も説明する</x:v>
      </x:c>
      <x:c r="L282" s="165" t="str">
        <x:v>推奨では「高いから良い」ではなく、凝縮度、複雑性、バランス、熟成、希少性などと顧客の目的を結び付ける。</x:v>
      </x:c>
      <x:c r="M282" s="165" t="str">
        <x:v>正しい。 推奨では「高いから良い」ではなく、凝縮度、複雑性、バランス、熟成、希少性などと顧客の目的を結び付ける。</x:v>
      </x:c>
      <x:c r="N282" s="165" t="str">
        <x:v>誤り。 価格は一つの情報であり、好みや用途への適合を保証しない。</x:v>
      </x:c>
      <x:c r="O282" s="165" t="str">
        <x:v>誤り。 同じ国でも品質とスタイルは幅広い。</x:v>
      </x:c>
      <x:c r="P282" s="165" t="str">
        <x:v>誤り。 顧客の条件を反映した説明が必要である。</x:v>
      </x:c>
      <x:c r="Q282" s="165" t="str">
        <x:v>推奨・助言</x:v>
      </x:c>
      <x:c r="R282" s="165" t="str">
        <x:v>品質・価格・用途</x:v>
      </x:c>
      <x:c r="S282" s="165" t="str">
        <x:v>全般</x:v>
      </x:c>
      <x:c r="T282" s="165"/>
      <x:c r="U282" s="165"/>
      <x:c r="V282" s="165"/>
      <x:c r="W282" s="165" t="str">
        <x:v>統合判断</x:v>
      </x:c>
      <x:c r="X282" s="171" t="str">
        <x:v>D3</x:v>
      </x:c>
      <x:c r="Y282" s="165" t="str">
        <x:v>高価なら必ず最適; 国だけで断定; 提供者の好み押付け</x:v>
      </x:c>
      <x:c r="Z282" s="171" t="str">
        <x:v>N</x:v>
      </x:c>
      <x:c r="AA282" s="165"/>
      <x:c r="AB282" s="165" t="str">
        <x:v>オリジナル</x:v>
      </x:c>
      <x:c r="AC282" s="165" t="str">
        <x:v>公式Specificationの範囲＋ユーザー作成コーパスの論点と問題設計例を参考に独自作成</x:v>
      </x:c>
      <x:c r="AD282" s="171" t="str">
        <x:v>未レビュー</x:v>
      </x:c>
      <x:c r="AE282" s="171"/>
      <x:c r="AF282" s="171"/>
      <x:c r="AG282" s="166"/>
    </x:row>
    <x:row r="283" ht="84" customHeight="1">
      <x:c r="A283" s="164" t="str">
        <x:v>LO5-042</x:v>
      </x:c>
      <x:c r="B283" s="171" t="str">
        <x:v>LO5</x:v>
      </x:c>
      <x:c r="C283" s="165" t="str">
        <x:v>情報提供・推奨・保管・サービス</x:v>
      </x:c>
      <x:c r="D283" s="165" t="str">
        <x:v>料理に合わせた推奨</x:v>
      </x:c>
      <x:c r="E283" s="165" t="str">
        <x:v>濃厚で風味の強い煮込み料理にワインを推奨する際、最初に検討すべきワイン側の要素はどれか。</x:v>
      </x:c>
      <x:c r="F283" s="165" t="str">
        <x:v>ワインのラベルが料理と同じ色であること</x:v>
      </x:c>
      <x:c r="G283" s="165" t="str">
        <x:v>料理に負けない十分な風味の強さとボディがあること</x:v>
      </x:c>
      <x:c r="H283" s="165" t="str">
        <x:v>必ず最も古いヴィンテージであること</x:v>
      </x:c>
      <x:c r="I283" s="165" t="str">
        <x:v>必ず発泡性であること</x:v>
      </x:c>
      <x:c r="J283" s="171" t="str">
        <x:v>B</x:v>
      </x:c>
      <x:c r="K283" s="165" t="str">
        <x:v>料理に負けない十分な風味の強さとボディがあること</x:v>
      </x:c>
      <x:c r="L283" s="165" t="str">
        <x:v>料理とワインの風味の強さが大きく不均衡だと、繊細なワインが感じにくくなるため、まず強度の釣り合いを考える。</x:v>
      </x:c>
      <x:c r="M283" s="165" t="str">
        <x:v>誤り。 ラベル色は組み合わせの味覚バランスに関係しない。</x:v>
      </x:c>
      <x:c r="N283" s="165" t="str">
        <x:v>正しい。 料理とワインの風味の強さが大きく不均衡だと、繊細なワインが感じにくくなるため、まず強度の釣り合いを考える。</x:v>
      </x:c>
      <x:c r="O283" s="165" t="str">
        <x:v>誤り。 熟成年数だけで料理との相性は決まらない。</x:v>
      </x:c>
      <x:c r="P283" s="165" t="str">
        <x:v>誤り。 料理の性質に応じて多様なスタイルが選べる。</x:v>
      </x:c>
      <x:c r="Q283" s="165" t="str">
        <x:v>推奨・フードペアリング</x:v>
      </x:c>
      <x:c r="R283" s="165" t="str">
        <x:v>風味の強さ・料理</x:v>
      </x:c>
      <x:c r="S283" s="165" t="str">
        <x:v>全般</x:v>
      </x:c>
      <x:c r="T283" s="165"/>
      <x:c r="U283" s="165"/>
      <x:c r="V283" s="165"/>
      <x:c r="W283" s="165" t="str">
        <x:v>判断</x:v>
      </x:c>
      <x:c r="X283" s="171" t="str">
        <x:v>D2</x:v>
      </x:c>
      <x:c r="Y283" s="165" t="str">
        <x:v>ラベル色合わせ; 最古ヴィンテージ; 必ず発泡</x:v>
      </x:c>
      <x:c r="Z283" s="171" t="str">
        <x:v>N</x:v>
      </x:c>
      <x:c r="AA283" s="165"/>
      <x:c r="AB283" s="165" t="str">
        <x:v>オリジナル</x:v>
      </x:c>
      <x:c r="AC283" s="165" t="str">
        <x:v>公式Specificationの範囲＋ユーザー作成コーパスの論点と問題設計例を参考に独自作成</x:v>
      </x:c>
      <x:c r="AD283" s="171" t="str">
        <x:v>未レビュー</x:v>
      </x:c>
      <x:c r="AE283" s="171"/>
      <x:c r="AF283" s="171"/>
      <x:c r="AG283" s="166"/>
    </x:row>
    <x:row r="284" ht="84" customHeight="1">
      <x:c r="A284" s="164" t="str">
        <x:v>LO5-043</x:v>
      </x:c>
      <x:c r="B284" s="171" t="str">
        <x:v>LO5</x:v>
      </x:c>
      <x:c r="C284" s="165" t="str">
        <x:v>情報提供・推奨・保管・サービス</x:v>
      </x:c>
      <x:c r="D284" s="165" t="str">
        <x:v>状態不良</x:v>
      </x:c>
      <x:c r="E284" s="165" t="str">
        <x:v>本来は若々しく果実味があるはずのワインが、香りに乏しく平板で疲れ、飲み頃を過ぎている場合の表現として最も適切なものはどれか。</x:v>
      </x:c>
      <x:c r="F284" s="165" t="str">
        <x:v>瓶内二次発酵</x:v>
      </x:c>
      <x:c r="G284" s="165" t="str">
        <x:v>貴腐</x:v>
      </x:c>
      <x:c r="H284" s="165" t="str">
        <x:v>状態不良</x:v>
      </x:c>
      <x:c r="I284" s="165" t="str">
        <x:v>マロラクティック発酵</x:v>
      </x:c>
      <x:c r="J284" s="171" t="str">
        <x:v>C</x:v>
      </x:c>
      <x:c r="K284" s="165" t="str">
        <x:v>状態不良</x:v>
      </x:c>
      <x:c r="L284" s="165" t="str">
        <x:v>状態不良は、必ずしも一つの特定微生物に由来せず、保管や経年などにより本来の活力や果実味を失った状態を指し得る。</x:v>
      </x:c>
      <x:c r="M284" s="165" t="str">
        <x:v>誤り。 泡や新たな発酵を示す説明ではない。</x:v>
      </x:c>
      <x:c r="N284" s="165" t="str">
        <x:v>誤り。 貴腐は特定条件で望ましい甘口ワインを生む現象で、状態不良の名称ではない。</x:v>
      </x:c>
      <x:c r="O284" s="165" t="str">
        <x:v>正しい。 状態不良は、必ずしも一つの特定微生物に由来せず、保管や経年などにより本来の活力や果実味を失った状態を指し得る。</x:v>
      </x:c>
      <x:c r="P284" s="165" t="str">
        <x:v>誤り。 MLFは酸と香りに影響する醸造工程で、飲み頃を過ぎた状態の名称ではない。</x:v>
      </x:c>
      <x:c r="Q284" s="165" t="str">
        <x:v>ワインの欠陥</x:v>
      </x:c>
      <x:c r="R284" s="165" t="str">
        <x:v>状態不良・経年</x:v>
      </x:c>
      <x:c r="S284" s="165" t="str">
        <x:v>全般</x:v>
      </x:c>
      <x:c r="T284" s="165"/>
      <x:c r="U284" s="165"/>
      <x:c r="V284" s="165"/>
      <x:c r="W284" s="165" t="str">
        <x:v>知識確認</x:v>
      </x:c>
      <x:c r="X284" s="171" t="str">
        <x:v>D1</x:v>
      </x:c>
      <x:c r="Y284" s="165" t="str">
        <x:v>状態不良は二次発酵・貴腐・MLF</x:v>
      </x:c>
      <x:c r="Z284" s="171" t="str">
        <x:v>N</x:v>
      </x:c>
      <x:c r="AA284" s="165"/>
      <x:c r="AB284" s="165" t="str">
        <x:v>オリジナル</x:v>
      </x:c>
      <x:c r="AC284" s="165" t="str">
        <x:v>公式Specificationの範囲＋ユーザー作成コーパスの論点と問題設計例を参考に独自作成</x:v>
      </x:c>
      <x:c r="AD284" s="171" t="str">
        <x:v>未レビュー</x:v>
      </x:c>
      <x:c r="AE284" s="171"/>
      <x:c r="AF284" s="171"/>
      <x:c r="AG284" s="166"/>
    </x:row>
    <x:row r="285" ht="84" customHeight="1">
      <x:c r="A285" s="164" t="str">
        <x:v>LO5-044</x:v>
      </x:c>
      <x:c r="B285" s="171" t="str">
        <x:v>LO5</x:v>
      </x:c>
      <x:c r="C285" s="165" t="str">
        <x:v>情報提供・推奨・保管・サービス</x:v>
      </x:c>
      <x:c r="D285" s="165" t="str">
        <x:v>熱による損傷</x:v>
      </x:c>
      <x:c r="E285" s="165" t="str">
        <x:v>ワインが高温にさらされて損傷した可能性を示す組み合わせとして最も適切なものはどれか。</x:v>
      </x:c>
      <x:c r="F285" s="165" t="str">
        <x:v>酸が高まり、色が必ず若返り、コルクが縮まない</x:v>
      </x:c>
      <x:c r="G285" s="165" t="str">
        <x:v>ブドウ品種が変化し、新しい原産地表示になる</x:v>
      </x:c>
      <x:c r="H285" s="165" t="str">
        <x:v>必ず爽やかな花香と強い泡が増える</x:v>
      </x:c>
      <x:c r="I285" s="165" t="str">
        <x:v>果実味の低下、煮詰めたような風味、早い酸化、液漏れや押し上がったコルク</x:v>
      </x:c>
      <x:c r="J285" s="171" t="str">
        <x:v>D</x:v>
      </x:c>
      <x:c r="K285" s="165" t="str">
        <x:v>果実味の低下、煮詰めたような風味、早い酸化、液漏れや押し上がったコルク</x:v>
      </x:c>
      <x:c r="L285" s="165" t="str">
        <x:v>高温は化学反応と膨張を促し、ワインを早く老化させ、栓や液面にも異常を生じさせることがある。</x:v>
      </x:c>
      <x:c r="M285" s="165" t="str">
        <x:v>誤り。 熱は若返りではなく劣化を促進する。</x:v>
      </x:c>
      <x:c r="N285" s="165" t="str">
        <x:v>誤り。 熱で品種や原産地は変わらない。</x:v>
      </x:c>
      <x:c r="O285" s="165" t="str">
        <x:v>誤り。 熱損傷はフレッシュさを失わせ、発泡を保証しない。</x:v>
      </x:c>
      <x:c r="P285" s="165" t="str">
        <x:v>正しい。 高温は化学反応と膨張を促し、ワインを早く老化させ、栓や液面にも異常を生じさせることがある。</x:v>
      </x:c>
      <x:c r="Q285" s="165" t="str">
        <x:v>ワインの欠陥・保管</x:v>
      </x:c>
      <x:c r="R285" s="165" t="str">
        <x:v>熱損傷・酸化</x:v>
      </x:c>
      <x:c r="S285" s="165" t="str">
        <x:v>全般</x:v>
      </x:c>
      <x:c r="T285" s="165"/>
      <x:c r="U285" s="165"/>
      <x:c r="V285" s="165"/>
      <x:c r="W285" s="165" t="str">
        <x:v>因果説明</x:v>
      </x:c>
      <x:c r="X285" s="171" t="str">
        <x:v>D2</x:v>
      </x:c>
      <x:c r="Y285" s="165" t="str">
        <x:v>熱で若返り; 品種原産地変更; 花香と泡増加</x:v>
      </x:c>
      <x:c r="Z285" s="171" t="str">
        <x:v>N</x:v>
      </x:c>
      <x:c r="AA285" s="165"/>
      <x:c r="AB285" s="165" t="str">
        <x:v>オリジナル</x:v>
      </x:c>
      <x:c r="AC285" s="165" t="str">
        <x:v>公式Specificationの範囲＋ユーザー作成コーパスの論点と問題設計例を参考に独自作成</x:v>
      </x:c>
      <x:c r="AD285" s="171" t="str">
        <x:v>未レビュー</x:v>
      </x:c>
      <x:c r="AE285" s="171"/>
      <x:c r="AF285" s="171"/>
      <x:c r="AG285" s="166"/>
    </x:row>
    <x:row r="286" ht="84" customHeight="1">
      <x:c r="A286" s="164" t="str">
        <x:v>LO5-045</x:v>
      </x:c>
      <x:c r="B286" s="171" t="str">
        <x:v>LO5</x:v>
      </x:c>
      <x:c r="C286" s="165" t="str">
        <x:v>情報提供・推奨・保管・サービス</x:v>
      </x:c>
      <x:c r="D286" s="165" t="str">
        <x:v>酸化したボトルへの対応</x:v>
      </x:c>
      <x:c r="E286" s="165" t="str">
        <x:v>若い白ワインに明らかな酸化臭と褐色化があり、欠陥と判断した場合の対応として最も適切なものはどれか。</x:v>
      </x:c>
      <x:c r="F286" s="165" t="str">
        <x:v>別の健全なボトルへ交換し、欠陥のあるワインは提供しない</x:v>
      </x:c>
      <x:c r="G286" s="165" t="str">
        <x:v>砂糖を加えて酸化を消す</x:v>
      </x:c>
      <x:c r="H286" s="165" t="str">
        <x:v>強く振って酸素をさらに加える</x:v>
      </x:c>
      <x:c r="I286" s="165" t="str">
        <x:v>高温にして若々しい香りを再生する</x:v>
      </x:c>
      <x:c r="J286" s="171" t="str">
        <x:v>A</x:v>
      </x:c>
      <x:c r="K286" s="165" t="str">
        <x:v>別の健全なボトルへ交換し、欠陥のあるワインは提供しない</x:v>
      </x:c>
      <x:c r="L286" s="165" t="str">
        <x:v>欠陥として進んだ酸化はサービス時の操作で元へ戻せないため、顧客へ提供せず代替ボトルを用意する。</x:v>
      </x:c>
      <x:c r="M286" s="165" t="str">
        <x:v>正しい。 欠陥として進んだ酸化はサービス時の操作で元へ戻せないため、顧客へ提供せず代替ボトルを用意する。</x:v>
      </x:c>
      <x:c r="N286" s="165" t="str">
        <x:v>誤り。 甘味を加えても酸化した香りや色は元に戻らない。</x:v>
      </x:c>
      <x:c r="O286" s="165" t="str">
        <x:v>誤り。 酸素を増やすと酸化を悪化させる可能性がある。</x:v>
      </x:c>
      <x:c r="P286" s="165" t="str">
        <x:v>誤り。 加温は劣化を進め得る。</x:v>
      </x:c>
      <x:c r="Q286" s="165" t="str">
        <x:v>ワインの欠陥・サービス</x:v>
      </x:c>
      <x:c r="R286" s="165" t="str">
        <x:v>酸化・対応</x:v>
      </x:c>
      <x:c r="S286" s="165" t="str">
        <x:v>非発泡性白ワイン</x:v>
      </x:c>
      <x:c r="T286" s="165"/>
      <x:c r="U286" s="165"/>
      <x:c r="V286" s="165"/>
      <x:c r="W286" s="165" t="str">
        <x:v>適用</x:v>
      </x:c>
      <x:c r="X286" s="171" t="str">
        <x:v>D2</x:v>
      </x:c>
      <x:c r="Y286" s="165" t="str">
        <x:v>砂糖で酸化除去; 追加酸素; 加温で再生</x:v>
      </x:c>
      <x:c r="Z286" s="171" t="str">
        <x:v>N</x:v>
      </x:c>
      <x:c r="AA286" s="165"/>
      <x:c r="AB286" s="165" t="str">
        <x:v>オリジナル</x:v>
      </x:c>
      <x:c r="AC286" s="165" t="str">
        <x:v>公式Specificationの範囲＋ユーザー作成コーパスの論点と問題設計例を参考に独自作成</x:v>
      </x:c>
      <x:c r="AD286" s="171" t="str">
        <x:v>未レビュー</x:v>
      </x:c>
      <x:c r="AE286" s="171"/>
      <x:c r="AF286" s="171"/>
      <x:c r="AG286" s="166"/>
    </x:row>
    <x:row r="287" ht="84" customHeight="1">
      <x:c r="A287" s="164" t="str">
        <x:v>LO5-046</x:v>
      </x:c>
      <x:c r="B287" s="171" t="str">
        <x:v>LO5</x:v>
      </x:c>
      <x:c r="C287" s="165" t="str">
        <x:v>情報提供・推奨・保管・サービス</x:v>
      </x:c>
      <x:c r="D287" s="165" t="str">
        <x:v>還元と空気接触</x:v>
      </x:c>
      <x:c r="E287" s="165" t="str">
        <x:v>開栓直後に軽い硫黄系の還元臭があるワインへ、最初に試す対応として適切なものはどれか。</x:v>
      </x:c>
      <x:c r="F287" s="165" t="str">
        <x:v>密閉したまま温度を上げ続ける</x:v>
      </x:c>
      <x:c r="G287" s="165" t="str">
        <x:v>グラスへ注ぐ、またはデカンティングして少量の空気に触れさせ、臭いが弱まるか確認する</x:v>
      </x:c>
      <x:c r="H287" s="165" t="str">
        <x:v>砂糖を加えて香りを隠す</x:v>
      </x:c>
      <x:c r="I287" s="165" t="str">
        <x:v>瓶を凍結して香りを永久に固定する</x:v>
      </x:c>
      <x:c r="J287" s="171" t="str">
        <x:v>B</x:v>
      </x:c>
      <x:c r="K287" s="165" t="str">
        <x:v>グラスへ注ぐ、またはデカンティングして少量の空気に触れさせ、臭いが弱まるか確認する</x:v>
      </x:c>
      <x:c r="L287" s="165" t="str">
        <x:v>一部の軽い還元臭は空気との接触で弱まることがある。ただし、消えない強い異臭は欠陥として扱う必要がある。</x:v>
      </x:c>
      <x:c r="M287" s="165" t="str">
        <x:v>誤り。 空気接触を避けたまま加温しても、還元臭への適切な初期対応ではない。</x:v>
      </x:c>
      <x:c r="N287" s="165" t="str">
        <x:v>正しい。 一部の軽い還元臭は空気との接触で弱まることがある。ただし、消えない強い異臭は欠陥として扱う必要がある。</x:v>
      </x:c>
      <x:c r="O287" s="165" t="str">
        <x:v>誤り。 甘味を加えることは欠陥対応ではない。</x:v>
      </x:c>
      <x:c r="P287" s="165" t="str">
        <x:v>誤り。 凍結は適切なサービス対応ではなく、ワインを損なう可能性がある。</x:v>
      </x:c>
      <x:c r="Q287" s="165" t="str">
        <x:v>ワインの欠陥・サービス</x:v>
      </x:c>
      <x:c r="R287" s="165" t="str">
        <x:v>還元・空気接触</x:v>
      </x:c>
      <x:c r="S287" s="165" t="str">
        <x:v>全般</x:v>
      </x:c>
      <x:c r="T287" s="165"/>
      <x:c r="U287" s="165"/>
      <x:c r="V287" s="165"/>
      <x:c r="W287" s="165" t="str">
        <x:v>適用</x:v>
      </x:c>
      <x:c r="X287" s="171" t="str">
        <x:v>D2</x:v>
      </x:c>
      <x:c r="Y287" s="165" t="str">
        <x:v>還元は密閉加温; 砂糖; 凍結</x:v>
      </x:c>
      <x:c r="Z287" s="171" t="str">
        <x:v>N</x:v>
      </x:c>
      <x:c r="AA287" s="165"/>
      <x:c r="AB287" s="165" t="str">
        <x:v>オリジナル</x:v>
      </x:c>
      <x:c r="AC287" s="165" t="str">
        <x:v>公式Specificationの範囲＋ユーザー作成コーパスの論点と問題設計例を参考に独自作成</x:v>
      </x:c>
      <x:c r="AD287" s="171" t="str">
        <x:v>未レビュー</x:v>
      </x:c>
      <x:c r="AE287" s="171"/>
      <x:c r="AF287" s="171"/>
      <x:c r="AG287" s="166"/>
    </x:row>
    <x:row r="288" ht="84" customHeight="1">
      <x:c r="A288" s="164" t="str">
        <x:v>LO5-047</x:v>
      </x:c>
      <x:c r="B288" s="171" t="str">
        <x:v>LO5</x:v>
      </x:c>
      <x:c r="C288" s="165" t="str">
        <x:v>情報提供・推奨・保管・サービス</x:v>
      </x:c>
      <x:c r="D288" s="165" t="str">
        <x:v>コルク汚染への対応</x:v>
      </x:c>
      <x:c r="E288" s="165" t="str">
        <x:v>湿った段ボールを思わせる香りがあり、コルク汚染と判断したボトルへの対応として最も適切なものはどれか。</x:v>
      </x:c>
      <x:c r="F288" s="165" t="str">
        <x:v>デカンティングすれば必ず完全に消える</x:v>
      </x:c>
      <x:c r="G288" s="165" t="str">
        <x:v>強い香辛料を加えて隠す</x:v>
      </x:c>
      <x:c r="H288" s="165" t="str">
        <x:v>別の健全なボトルへ交換する</x:v>
      </x:c>
      <x:c r="I288" s="165" t="str">
        <x:v>瓶内二次発酵を行って泡で除去する</x:v>
      </x:c>
      <x:c r="J288" s="171" t="str">
        <x:v>C</x:v>
      </x:c>
      <x:c r="K288" s="165" t="str">
        <x:v>別の健全なボトルへ交換する</x:v>
      </x:c>
      <x:c r="L288" s="165" t="str">
        <x:v>コルク汚染はデカンティングや加温で除去できないため、顧客へ提供せず代替ボトルを用意する。</x:v>
      </x:c>
      <x:c r="M288" s="165" t="str">
        <x:v>誤り。 TCA由来の臭いは空気接触で確実に除去できない。</x:v>
      </x:c>
      <x:c r="N288" s="165" t="str">
        <x:v>誤り。 ワインへ香辛料を加えることは適切なサービスではない。</x:v>
      </x:c>
      <x:c r="O288" s="165" t="str">
        <x:v>正しい。 コルク汚染はデカンティングや加温で除去できないため、顧客へ提供せず代替ボトルを用意する。</x:v>
      </x:c>
      <x:c r="P288" s="165" t="str">
        <x:v>誤り。 サービス時に二次発酵を行うことはできず、汚染も除去しない。</x:v>
      </x:c>
      <x:c r="Q288" s="165" t="str">
        <x:v>ワインの欠陥・サービス</x:v>
      </x:c>
      <x:c r="R288" s="165" t="str">
        <x:v>コルク汚染・対応</x:v>
      </x:c>
      <x:c r="S288" s="165" t="str">
        <x:v>全般</x:v>
      </x:c>
      <x:c r="T288" s="165"/>
      <x:c r="U288" s="165"/>
      <x:c r="V288" s="165"/>
      <x:c r="W288" s="165" t="str">
        <x:v>適用</x:v>
      </x:c>
      <x:c r="X288" s="171" t="str">
        <x:v>D1</x:v>
      </x:c>
      <x:c r="Y288" s="165" t="str">
        <x:v>デカンティングでTCA完全除去; 香辛料; 二次発酵</x:v>
      </x:c>
      <x:c r="Z288" s="171" t="str">
        <x:v>N</x:v>
      </x:c>
      <x:c r="AA288" s="165"/>
      <x:c r="AB288" s="165" t="str">
        <x:v>オリジナル</x:v>
      </x:c>
      <x:c r="AC288" s="165" t="str">
        <x:v>公式Specificationの範囲＋ユーザー作成コーパスの論点と問題設計例を参考に独自作成</x:v>
      </x:c>
      <x:c r="AD288" s="171" t="str">
        <x:v>未レビュー</x:v>
      </x:c>
      <x:c r="AE288" s="171"/>
      <x:c r="AF288" s="171"/>
      <x:c r="AG288" s="166"/>
    </x:row>
    <x:row r="289" ht="84" customHeight="1">
      <x:c r="A289" s="164" t="str">
        <x:v>LO5-048</x:v>
      </x:c>
      <x:c r="B289" s="171" t="str">
        <x:v>LO5</x:v>
      </x:c>
      <x:c r="C289" s="165" t="str">
        <x:v>情報提供・推奨・保管・サービス</x:v>
      </x:c>
      <x:c r="D289" s="165" t="str">
        <x:v>高濃度亜硫酸と空気</x:v>
      </x:c>
      <x:c r="E289" s="165" t="str">
        <x:v>開栓直後に過剰な亜硫酸を思わせる刺激臭があるワインについて、最も適切な判断はどれか。</x:v>
      </x:c>
      <x:c r="F289" s="165" t="str">
        <x:v>刺激臭は常に最高品質の証拠なので、そのまま提供する</x:v>
      </x:c>
      <x:c r="G289" s="165" t="str">
        <x:v>砂糖を加えれば亜硫酸が水へ変わる</x:v>
      </x:c>
      <x:c r="H289" s="165" t="str">
        <x:v>冷凍すれば法的表示が不要になる</x:v>
      </x:c>
      <x:c r="I289" s="165" t="str">
        <x:v>空気に触れさせると弱まる場合もあるが、強く残るなら状態を再確認し提供を避ける</x:v>
      </x:c>
      <x:c r="J289" s="171" t="str">
        <x:v>D</x:v>
      </x:c>
      <x:c r="K289" s="165" t="str">
        <x:v>空気に触れさせると弱まる場合もあるが、強く残るなら状態を再確認し提供を避ける</x:v>
      </x:c>
      <x:c r="L289" s="165" t="str">
        <x:v>一部の遊離亜硫酸由来の刺激は時間と空気接触で弱まる可能性があるが、顧客へ不快な状態で提供すべきではない。</x:v>
      </x:c>
      <x:c r="M289" s="165" t="str">
        <x:v>誤り。 過剰な刺激臭は欠陥として認識され得る。</x:v>
      </x:c>
      <x:c r="N289" s="165" t="str">
        <x:v>誤り。 糖の添加で亜硫酸が単純に水へ変わることはない。</x:v>
      </x:c>
      <x:c r="O289" s="165" t="str">
        <x:v>誤り。 冷凍と表示義務にはそのような関係はない。</x:v>
      </x:c>
      <x:c r="P289" s="165" t="str">
        <x:v>正しい。 一部の遊離亜硫酸由来の刺激は時間と空気接触で弱まる可能性があるが、顧客へ不快な状態で提供すべきではない。</x:v>
      </x:c>
      <x:c r="Q289" s="165" t="str">
        <x:v>ワインの欠陥・サービス</x:v>
      </x:c>
      <x:c r="R289" s="165" t="str">
        <x:v>亜硫酸・対応</x:v>
      </x:c>
      <x:c r="S289" s="165" t="str">
        <x:v>全般</x:v>
      </x:c>
      <x:c r="T289" s="165"/>
      <x:c r="U289" s="165"/>
      <x:c r="V289" s="165"/>
      <x:c r="W289" s="165" t="str">
        <x:v>適用</x:v>
      </x:c>
      <x:c r="X289" s="171" t="str">
        <x:v>D3</x:v>
      </x:c>
      <x:c r="Y289" s="165" t="str">
        <x:v>高SO2は最高品質; 砂糖で水化; 冷凍で表示不要</x:v>
      </x:c>
      <x:c r="Z289" s="171" t="str">
        <x:v>Y</x:v>
      </x:c>
      <x:c r="AA289" s="165" t="str">
        <x:v>高濃度亜硫酸の官能表現とサービス対応を日本語教材の説明へ最終照合推奨</x:v>
      </x:c>
      <x:c r="AB289" s="165" t="str">
        <x:v>オリジナル</x:v>
      </x:c>
      <x:c r="AC289" s="165" t="str">
        <x:v>公式Specificationの範囲＋ユーザー作成コーパスの論点と問題設計例を参考に独自作成</x:v>
      </x:c>
      <x:c r="AD289" s="171" t="str">
        <x:v>未レビュー</x:v>
      </x:c>
      <x:c r="AE289" s="171"/>
      <x:c r="AF289" s="171"/>
      <x:c r="AG289" s="166"/>
    </x:row>
    <x:row r="290" ht="84" customHeight="1">
      <x:c r="A290" s="164" t="str">
        <x:v>LO5-049</x:v>
      </x:c>
      <x:c r="B290" s="171" t="str">
        <x:v>LO5</x:v>
      </x:c>
      <x:c r="C290" s="165" t="str">
        <x:v>情報提供・推奨・保管・サービス</x:v>
      </x:c>
      <x:c r="D290" s="165" t="str">
        <x:v>塩味とワイン</x:v>
      </x:c>
      <x:c r="E290" s="165" t="str">
        <x:v>塩味のある料理がワインの知覚へ与えやすい影響として最も適切なものはどれか。</x:v>
      </x:c>
      <x:c r="F290" s="165" t="str">
        <x:v>ワインの苦味や渋味を弱く感じさせ、果実味やボディをより感じやすくする</x:v>
      </x:c>
      <x:c r="G290" s="165" t="str">
        <x:v>ワインのタンニンと苦味を必ず強くする</x:v>
      </x:c>
      <x:c r="H290" s="165" t="str">
        <x:v>ワインのアルコールを物理的に除去する</x:v>
      </x:c>
      <x:c r="I290" s="165" t="str">
        <x:v>すべてのワインを甘口へ変える</x:v>
      </x:c>
      <x:c r="J290" s="171" t="str">
        <x:v>A</x:v>
      </x:c>
      <x:c r="K290" s="165" t="str">
        <x:v>ワインの苦味や渋味を弱く感じさせ、果実味やボディをより感じやすくする</x:v>
      </x:c>
      <x:c r="L290" s="165" t="str">
        <x:v>塩味は多くの場合ワインをより柔らかく、果実味豊かに感じさせるため、ペアリングで有利に働くことがある。</x:v>
      </x:c>
      <x:c r="M290" s="165" t="str">
        <x:v>正しい。 塩味は多くの場合ワインをより柔らかく、果実味豊かに感じさせるため、ペアリングで有利に働くことがある。</x:v>
      </x:c>
      <x:c r="N290" s="165" t="str">
        <x:v>誤り。 一般には塩味は苦味や渋味を弱める方向へ働きやすい。</x:v>
      </x:c>
      <x:c r="O290" s="165" t="str">
        <x:v>誤り。 料理の塩味でアルコール度は変わらない。</x:v>
      </x:c>
      <x:c r="P290" s="165" t="str">
        <x:v>誤り。 知覚へ影響しても、残糖量は変わらない。</x:v>
      </x:c>
      <x:c r="Q290" s="165" t="str">
        <x:v>フードペアリング</x:v>
      </x:c>
      <x:c r="R290" s="165" t="str">
        <x:v>塩味・知覚</x:v>
      </x:c>
      <x:c r="S290" s="165" t="str">
        <x:v>全般</x:v>
      </x:c>
      <x:c r="T290" s="165"/>
      <x:c r="U290" s="165"/>
      <x:c r="V290" s="165"/>
      <x:c r="W290" s="165" t="str">
        <x:v>因果説明</x:v>
      </x:c>
      <x:c r="X290" s="171" t="str">
        <x:v>D2</x:v>
      </x:c>
      <x:c r="Y290" s="165" t="str">
        <x:v>塩で苦味増加; 脱アルコール; 残糖増加</x:v>
      </x:c>
      <x:c r="Z290" s="171" t="str">
        <x:v>N</x:v>
      </x:c>
      <x:c r="AA290" s="165"/>
      <x:c r="AB290" s="165" t="str">
        <x:v>オリジナル</x:v>
      </x:c>
      <x:c r="AC290" s="165" t="str">
        <x:v>公式Specificationの範囲＋ユーザー作成コーパスの論点と問題設計例を参考に独自作成</x:v>
      </x:c>
      <x:c r="AD290" s="171" t="str">
        <x:v>未レビュー</x:v>
      </x:c>
      <x:c r="AE290" s="171"/>
      <x:c r="AF290" s="171"/>
      <x:c r="AG290" s="166"/>
    </x:row>
    <x:row r="291" ht="84" customHeight="1">
      <x:c r="A291" s="164" t="str">
        <x:v>LO5-050</x:v>
      </x:c>
      <x:c r="B291" s="171" t="str">
        <x:v>LO5</x:v>
      </x:c>
      <x:c r="C291" s="165" t="str">
        <x:v>情報提供・推奨・保管・サービス</x:v>
      </x:c>
      <x:c r="D291" s="165" t="str">
        <x:v>苦味のある料理</x:v>
      </x:c>
      <x:c r="E291" s="165" t="str">
        <x:v>苦味の強い料理に高タンニンで樽由来の苦味もある赤ワインを合わせた場合に起こりやすいことはどれか。</x:v>
      </x:c>
      <x:c r="F291" s="165" t="str">
        <x:v>ワインが自動的に甘口へ変わる</x:v>
      </x:c>
      <x:c r="G291" s="165" t="str">
        <x:v>料理とワイン双方の苦味や渋味が強調される</x:v>
      </x:c>
      <x:c r="H291" s="165" t="str">
        <x:v>タンニンが化学的にすべて消える</x:v>
      </x:c>
      <x:c r="I291" s="165" t="str">
        <x:v>ワインの酸が必ずゼロになる</x:v>
      </x:c>
      <x:c r="J291" s="171" t="str">
        <x:v>B</x:v>
      </x:c>
      <x:c r="K291" s="165" t="str">
        <x:v>料理とワイン双方の苦味や渋味が強調される</x:v>
      </x:c>
      <x:c r="L291" s="165" t="str">
        <x:v>苦味は相互に増幅して感じられやすいため、苦い料理には苦味やタンニンが穏やかなワインが安全な場合が多い。</x:v>
      </x:c>
      <x:c r="M291" s="165" t="str">
        <x:v>誤り。 料理でワインの残糖は変わらない。</x:v>
      </x:c>
      <x:c r="N291" s="165" t="str">
        <x:v>正しい。 苦味は相互に増幅して感じられやすいため、苦い料理には苦味やタンニンが穏やかなワインが安全な場合が多い。</x:v>
      </x:c>
      <x:c r="O291" s="165" t="str">
        <x:v>誤り。 知覚は変化しても、ワイン中のタンニンが消失するわけではない。</x:v>
      </x:c>
      <x:c r="P291" s="165" t="str">
        <x:v>誤り。 料理との組み合わせで酸度がゼロにはならない。</x:v>
      </x:c>
      <x:c r="Q291" s="165" t="str">
        <x:v>フードペアリング</x:v>
      </x:c>
      <x:c r="R291" s="165" t="str">
        <x:v>苦味・タンニン・樽</x:v>
      </x:c>
      <x:c r="S291" s="165" t="str">
        <x:v>赤ワイン</x:v>
      </x:c>
      <x:c r="T291" s="165"/>
      <x:c r="U291" s="165"/>
      <x:c r="V291" s="165"/>
      <x:c r="W291" s="165" t="str">
        <x:v>因果説明</x:v>
      </x:c>
      <x:c r="X291" s="171" t="str">
        <x:v>D2</x:v>
      </x:c>
      <x:c r="Y291" s="165" t="str">
        <x:v>苦味で甘口化; タンニン消失; 酸ゼロ</x:v>
      </x:c>
      <x:c r="Z291" s="171" t="str">
        <x:v>N</x:v>
      </x:c>
      <x:c r="AA291" s="165"/>
      <x:c r="AB291" s="165" t="str">
        <x:v>オリジナル</x:v>
      </x:c>
      <x:c r="AC291" s="165" t="str">
        <x:v>公式Specificationの範囲＋ユーザー作成コーパスの論点と問題設計例を参考に独自作成</x:v>
      </x:c>
      <x:c r="AD291" s="171" t="str">
        <x:v>未レビュー</x:v>
      </x:c>
      <x:c r="AE291" s="171"/>
      <x:c r="AF291" s="171"/>
      <x:c r="AG291" s="166"/>
    </x:row>
    <x:row r="292" ht="84" customHeight="1">
      <x:c r="A292" s="164" t="str">
        <x:v>LO5-051</x:v>
      </x:c>
      <x:c r="B292" s="171" t="str">
        <x:v>LO5</x:v>
      </x:c>
      <x:c r="C292" s="165" t="str">
        <x:v>情報提供・推奨・保管・サービス</x:v>
      </x:c>
      <x:c r="D292" s="165" t="str">
        <x:v>脂肪と酸</x:v>
      </x:c>
      <x:c r="E292" s="165" t="str">
        <x:v>脂肪分の多い料理に高い酸を持つワインが合いやすい主な理由はどれか。</x:v>
      </x:c>
      <x:c r="F292" s="165" t="str">
        <x:v>酸が料理の脂肪をすべて化学的に消す</x:v>
      </x:c>
      <x:c r="G292" s="165" t="str">
        <x:v>酸の高いワインは必ず甘口だから</x:v>
      </x:c>
      <x:c r="H292" s="165" t="str">
        <x:v>酸が口中をさっぱりさせ、料理の濃厚さとのバランスを取りやすい</x:v>
      </x:c>
      <x:c r="I292" s="165" t="str">
        <x:v>脂肪がワインの原産地を変える</x:v>
      </x:c>
      <x:c r="J292" s="171" t="str">
        <x:v>C</x:v>
      </x:c>
      <x:c r="K292" s="165" t="str">
        <x:v>酸が口中をさっぱりさせ、料理の濃厚さとのバランスを取りやすい</x:v>
      </x:c>
      <x:c r="L292" s="165" t="str">
        <x:v>高い酸は唾液分泌を促し、脂肪による重さを和らげて、次の一口を爽やかに感じさせる。</x:v>
      </x:c>
      <x:c r="M292" s="165" t="str">
        <x:v>誤り。 口中での知覚を軽くするが、脂肪を完全に消去するわけではない。</x:v>
      </x:c>
      <x:c r="N292" s="165" t="str">
        <x:v>誤り。 高酸のワインには辛口も甘口もある。</x:v>
      </x:c>
      <x:c r="O292" s="165" t="str">
        <x:v>正しい。 高い酸は唾液分泌を促し、脂肪による重さを和らげて、次の一口を爽やかに感じさせる。</x:v>
      </x:c>
      <x:c r="P292" s="165" t="str">
        <x:v>誤り。 料理はワインの原産地を変えない。</x:v>
      </x:c>
      <x:c r="Q292" s="165" t="str">
        <x:v>フードペアリング</x:v>
      </x:c>
      <x:c r="R292" s="165" t="str">
        <x:v>脂肪・酸</x:v>
      </x:c>
      <x:c r="S292" s="165" t="str">
        <x:v>全般</x:v>
      </x:c>
      <x:c r="T292" s="165"/>
      <x:c r="U292" s="165"/>
      <x:c r="V292" s="165"/>
      <x:c r="W292" s="165" t="str">
        <x:v>因果説明</x:v>
      </x:c>
      <x:c r="X292" s="171" t="str">
        <x:v>D1</x:v>
      </x:c>
      <x:c r="Y292" s="165" t="str">
        <x:v>酸が脂肪完全消去; 高酸は必ず甘口; 原産地変更</x:v>
      </x:c>
      <x:c r="Z292" s="171" t="str">
        <x:v>N</x:v>
      </x:c>
      <x:c r="AA292" s="165"/>
      <x:c r="AB292" s="165" t="str">
        <x:v>オリジナル</x:v>
      </x:c>
      <x:c r="AC292" s="165" t="str">
        <x:v>公式Specificationの範囲＋ユーザー作成コーパスの論点と問題設計例を参考に独自作成</x:v>
      </x:c>
      <x:c r="AD292" s="171" t="str">
        <x:v>未レビュー</x:v>
      </x:c>
      <x:c r="AE292" s="171"/>
      <x:c r="AF292" s="171"/>
      <x:c r="AG292" s="166"/>
    </x:row>
    <x:row r="293" ht="84" customHeight="1">
      <x:c r="A293" s="164" t="str">
        <x:v>LO5-052</x:v>
      </x:c>
      <x:c r="B293" s="171" t="str">
        <x:v>LO5</x:v>
      </x:c>
      <x:c r="C293" s="165" t="str">
        <x:v>情報提供・推奨・保管・サービス</x:v>
      </x:c>
      <x:c r="D293" s="165" t="str">
        <x:v>風味の強さ</x:v>
      </x:c>
      <x:c r="E293" s="165" t="str">
        <x:v>繊細な白身魚料理に非常に力強く樽香の強いフルボディ赤ワインを合わせた場合の主な問題はどれか。</x:v>
      </x:c>
      <x:c r="F293" s="165" t="str">
        <x:v>魚料理がワインを発泡性に変える</x:v>
      </x:c>
      <x:c r="G293" s="165" t="str">
        <x:v>赤ワインの色が透明になる</x:v>
      </x:c>
      <x:c r="H293" s="165" t="str">
        <x:v>料理の塩分が必ずゼロになる</x:v>
      </x:c>
      <x:c r="I293" s="165" t="str">
        <x:v>ワインの強い風味が料理を圧倒し、料理の繊細さを感じにくくなる</x:v>
      </x:c>
      <x:c r="J293" s="171" t="str">
        <x:v>D</x:v>
      </x:c>
      <x:c r="K293" s="165" t="str">
        <x:v>ワインの強い風味が料理を圧倒し、料理の繊細さを感じにくくなる</x:v>
      </x:c>
      <x:c r="L293" s="165" t="str">
        <x:v>料理とワインの風味の強さをおおむね釣り合わせると、片方がもう一方を覆い隠すことを防ぎやすい。</x:v>
      </x:c>
      <x:c r="M293" s="165" t="str">
        <x:v>誤り。 料理との組み合わせで炭酸ガスは生じない。</x:v>
      </x:c>
      <x:c r="N293" s="165" t="str">
        <x:v>誤り。 料理でワインの色素が消えるわけではない。</x:v>
      </x:c>
      <x:c r="O293" s="165" t="str">
        <x:v>誤り。 ワインを合わせても料理の塩分量は変わらない。</x:v>
      </x:c>
      <x:c r="P293" s="165" t="str">
        <x:v>正しい。 料理とワインの風味の強さをおおむね釣り合わせると、片方がもう一方を覆い隠すことを防ぎやすい。</x:v>
      </x:c>
      <x:c r="Q293" s="165" t="str">
        <x:v>フードペアリング</x:v>
      </x:c>
      <x:c r="R293" s="165" t="str">
        <x:v>風味の強さ・バランス</x:v>
      </x:c>
      <x:c r="S293" s="165" t="str">
        <x:v>全般</x:v>
      </x:c>
      <x:c r="T293" s="165"/>
      <x:c r="U293" s="165"/>
      <x:c r="V293" s="165"/>
      <x:c r="W293" s="165" t="str">
        <x:v>適用</x:v>
      </x:c>
      <x:c r="X293" s="171" t="str">
        <x:v>D1</x:v>
      </x:c>
      <x:c r="Y293" s="165" t="str">
        <x:v>料理で発泡; 色透明化; 塩分ゼロ</x:v>
      </x:c>
      <x:c r="Z293" s="171" t="str">
        <x:v>N</x:v>
      </x:c>
      <x:c r="AA293" s="165"/>
      <x:c r="AB293" s="165" t="str">
        <x:v>オリジナル</x:v>
      </x:c>
      <x:c r="AC293" s="165" t="str">
        <x:v>公式Specificationの範囲＋ユーザー作成コーパスの論点と問題設計例を参考に独自作成</x:v>
      </x:c>
      <x:c r="AD293" s="171" t="str">
        <x:v>未レビュー</x:v>
      </x:c>
      <x:c r="AE293" s="171"/>
      <x:c r="AF293" s="171"/>
      <x:c r="AG293" s="166"/>
    </x:row>
    <x:row r="294" ht="84" customHeight="1">
      <x:c r="A294" s="164" t="str">
        <x:v>LO5-053</x:v>
      </x:c>
      <x:c r="B294" s="171" t="str">
        <x:v>LO5</x:v>
      </x:c>
      <x:c r="C294" s="165" t="str">
        <x:v>情報提供・推奨・保管・サービス</x:v>
      </x:c>
      <x:c r="D294" s="165" t="str">
        <x:v>甘い料理と辛口ワイン</x:v>
      </x:c>
      <x:c r="E294" s="165" t="str">
        <x:v>甘い料理に、料理より甘味の少ない辛口ワインを合わせた場合に起こりやすい知覚はどれか。</x:v>
      </x:c>
      <x:c r="F294" s="165" t="str">
        <x:v>ワインの果実味と甘味が弱く感じられ、酸味や苦味が目立つ</x:v>
      </x:c>
      <x:c r="G294" s="165" t="str">
        <x:v>ワインの残糖が物理的に増える</x:v>
      </x:c>
      <x:c r="H294" s="165" t="str">
        <x:v>ワインの酸味と苦味が必ず消える</x:v>
      </x:c>
      <x:c r="I294" s="165" t="str">
        <x:v>辛口ワインが自動的に酒精強化される</x:v>
      </x:c>
      <x:c r="J294" s="171" t="str">
        <x:v>A</x:v>
      </x:c>
      <x:c r="K294" s="165" t="str">
        <x:v>ワインの果実味と甘味が弱く感じられ、酸味や苦味が目立つ</x:v>
      </x:c>
      <x:c r="L294" s="165" t="str">
        <x:v>料理の甘味がワインの甘味と果実味を相対的に弱く感じさせるため、ワインが細く、酸っぱく、苦く感じられることがある。</x:v>
      </x:c>
      <x:c r="M294" s="165" t="str">
        <x:v>正しい。 料理の甘味がワインの甘味と果実味を相対的に弱く感じさせるため、ワインが細く、酸っぱく、苦く感じられることがある。</x:v>
      </x:c>
      <x:c r="N294" s="165" t="str">
        <x:v>誤り。 料理によってワイン自体の残糖量は増えない。</x:v>
      </x:c>
      <x:c r="O294" s="165" t="str">
        <x:v>誤り。 一般にはむしろ目立ちやすくなる。</x:v>
      </x:c>
      <x:c r="P294" s="165" t="str">
        <x:v>誤り。 料理との組み合わせでアルコールを添加したことにはならない。</x:v>
      </x:c>
      <x:c r="Q294" s="165" t="str">
        <x:v>フードペアリング</x:v>
      </x:c>
      <x:c r="R294" s="165" t="str">
        <x:v>甘味・知覚</x:v>
      </x:c>
      <x:c r="S294" s="165" t="str">
        <x:v>全般</x:v>
      </x:c>
      <x:c r="T294" s="165"/>
      <x:c r="U294" s="165"/>
      <x:c r="V294" s="165"/>
      <x:c r="W294" s="165" t="str">
        <x:v>因果説明</x:v>
      </x:c>
      <x:c r="X294" s="171" t="str">
        <x:v>D2</x:v>
      </x:c>
      <x:c r="Y294" s="165" t="str">
        <x:v>甘い料理で残糖増加; 酸苦味消失; 自動酒精強化</x:v>
      </x:c>
      <x:c r="Z294" s="171" t="str">
        <x:v>N</x:v>
      </x:c>
      <x:c r="AA294" s="165"/>
      <x:c r="AB294" s="165" t="str">
        <x:v>オリジナル</x:v>
      </x:c>
      <x:c r="AC294" s="165" t="str">
        <x:v>公式Specificationの範囲＋ユーザー作成コーパスの論点と問題設計例を参考に独自作成</x:v>
      </x:c>
      <x:c r="AD294" s="171" t="str">
        <x:v>未レビュー</x:v>
      </x:c>
      <x:c r="AE294" s="171"/>
      <x:c r="AF294" s="171"/>
      <x:c r="AG294" s="166"/>
    </x:row>
    <x:row r="295" ht="84" customHeight="1">
      <x:c r="A295" s="164" t="str">
        <x:v>LO5-054</x:v>
      </x:c>
      <x:c r="B295" s="171" t="str">
        <x:v>LO5</x:v>
      </x:c>
      <x:c r="C295" s="165" t="str">
        <x:v>情報提供・推奨・保管・サービス</x:v>
      </x:c>
      <x:c r="D295" s="165" t="str">
        <x:v>酸味のある料理と低酸ワイン</x:v>
      </x:c>
      <x:c r="E295" s="165" t="str">
        <x:v>強い酸味のある料理に低酸のワインを合わせた場合、ワインがどのように感じられやすいか。</x:v>
      </x:c>
      <x:c r="F295" s="165" t="str">
        <x:v>ワインが実際より高酸で鋭く感じられる</x:v>
      </x:c>
      <x:c r="G295" s="165" t="str">
        <x:v>平板で、果実味が弱く、締まりがないように感じられる</x:v>
      </x:c>
      <x:c r="H295" s="165" t="str">
        <x:v>ワインのアルコールがゼロになる</x:v>
      </x:c>
      <x:c r="I295" s="165" t="str">
        <x:v>ワインのタンニンがすべて糖へ変わる</x:v>
      </x:c>
      <x:c r="J295" s="171" t="str">
        <x:v>B</x:v>
      </x:c>
      <x:c r="K295" s="165" t="str">
        <x:v>平板で、果実味が弱く、締まりがないように感じられる</x:v>
      </x:c>
      <x:c r="L295" s="165" t="str">
        <x:v>料理の酸がワインより高いと、相対的にワインの酸が不足して感じられ、重く平板な印象になりやすい。</x:v>
      </x:c>
      <x:c r="M295" s="165" t="str">
        <x:v>誤り。 料理の酸が高いと、低酸ワインは相対的にさらに低酸に感じられやすい。</x:v>
      </x:c>
      <x:c r="N295" s="165" t="str">
        <x:v>正しい。 料理の酸がワインより高いと、相対的にワインの酸が不足して感じられ、重く平板な印象になりやすい。</x:v>
      </x:c>
      <x:c r="O295" s="165" t="str">
        <x:v>誤り。 料理の酸でアルコール度は変わらない。</x:v>
      </x:c>
      <x:c r="P295" s="165" t="str">
        <x:v>誤り。 味覚上の相互作用で化学成分がそのように変換されるわけではない。</x:v>
      </x:c>
      <x:c r="Q295" s="165" t="str">
        <x:v>フードペアリング</x:v>
      </x:c>
      <x:c r="R295" s="165" t="str">
        <x:v>酸味・低酸ワイン</x:v>
      </x:c>
      <x:c r="S295" s="165" t="str">
        <x:v>全般</x:v>
      </x:c>
      <x:c r="T295" s="165"/>
      <x:c r="U295" s="165"/>
      <x:c r="V295" s="165"/>
      <x:c r="W295" s="165" t="str">
        <x:v>因果説明</x:v>
      </x:c>
      <x:c r="X295" s="171" t="str">
        <x:v>D2</x:v>
      </x:c>
      <x:c r="Y295" s="165" t="str">
        <x:v>酸料理でワイン高酸化; 脱アルコール; タンニン糖化</x:v>
      </x:c>
      <x:c r="Z295" s="171" t="str">
        <x:v>N</x:v>
      </x:c>
      <x:c r="AA295" s="165"/>
      <x:c r="AB295" s="165" t="str">
        <x:v>オリジナル</x:v>
      </x:c>
      <x:c r="AC295" s="165" t="str">
        <x:v>公式Specificationの範囲＋ユーザー作成コーパスの論点と問題設計例を参考に独自作成</x:v>
      </x:c>
      <x:c r="AD295" s="171" t="str">
        <x:v>未レビュー</x:v>
      </x:c>
      <x:c r="AE295" s="171"/>
      <x:c r="AF295" s="171"/>
      <x:c r="AG295" s="166"/>
    </x:row>
    <x:row r="296" ht="84" customHeight="1">
      <x:c r="A296" s="164" t="str">
        <x:v>LO5-055</x:v>
      </x:c>
      <x:c r="B296" s="171" t="str">
        <x:v>LO5</x:v>
      </x:c>
      <x:c r="C296" s="165" t="str">
        <x:v>情報提供・推奨・保管・サービス</x:v>
      </x:c>
      <x:c r="D296" s="165" t="str">
        <x:v>タンニンと肉料理</x:v>
      </x:c>
      <x:c r="E296" s="165" t="str">
        <x:v>高タンニンの赤ワインが脂肪やたんぱく質の多い肉料理と合いやすい理由はどれか。</x:v>
      </x:c>
      <x:c r="F296" s="165" t="str">
        <x:v>肉料理がワインのタンニンをアルコールへ変える</x:v>
      </x:c>
      <x:c r="G296" s="165" t="str">
        <x:v>肉料理が赤ワインを白ワインへ変える</x:v>
      </x:c>
      <x:c r="H296" s="165" t="str">
        <x:v>料理の脂肪とたんぱく質がタンニンの渋味を和らげ、ワインが柔らかく感じられる</x:v>
      </x:c>
      <x:c r="I296" s="165" t="str">
        <x:v>高タンニンなら料理の種類にかかわらず必ず最適である</x:v>
      </x:c>
      <x:c r="J296" s="171" t="str">
        <x:v>C</x:v>
      </x:c>
      <x:c r="K296" s="165" t="str">
        <x:v>料理の脂肪とたんぱく質がタンニンの渋味を和らげ、ワインが柔らかく感じられる</x:v>
      </x:c>
      <x:c r="L296" s="165" t="str">
        <x:v>タンニンは口中のたんぱく質と相互作用し、脂肪も渋味を和らげるため、肉料理と構造の強い赤ワインが調和しやすい。</x:v>
      </x:c>
      <x:c r="M296" s="165" t="str">
        <x:v>誤り。 料理でタンニンがアルコールへ変換されることはない。</x:v>
      </x:c>
      <x:c r="N296" s="165" t="str">
        <x:v>誤り。 色やワインカテゴリーは変化しない。</x:v>
      </x:c>
      <x:c r="O296" s="165" t="str">
        <x:v>正しい。 タンニンは口中のたんぱく質と相互作用し、脂肪も渋味を和らげるため、肉料理と構造の強い赤ワインが調和しやすい。</x:v>
      </x:c>
      <x:c r="P296" s="165" t="str">
        <x:v>誤り。 料理の風味、甘味、辛味、調理法なども考慮が必要である。</x:v>
      </x:c>
      <x:c r="Q296" s="165" t="str">
        <x:v>フードペアリング</x:v>
      </x:c>
      <x:c r="R296" s="165" t="str">
        <x:v>タンニン・たんぱく質・脂肪</x:v>
      </x:c>
      <x:c r="S296" s="165" t="str">
        <x:v>赤ワイン</x:v>
      </x:c>
      <x:c r="T296" s="165"/>
      <x:c r="U296" s="165"/>
      <x:c r="V296" s="165"/>
      <x:c r="W296" s="165" t="str">
        <x:v>因果説明</x:v>
      </x:c>
      <x:c r="X296" s="171" t="str">
        <x:v>D2</x:v>
      </x:c>
      <x:c r="Y296" s="165" t="str">
        <x:v>タンニンがアルコール化; 赤が白へ; 高タンニン万能</x:v>
      </x:c>
      <x:c r="Z296" s="171" t="str">
        <x:v>N</x:v>
      </x:c>
      <x:c r="AA296" s="165"/>
      <x:c r="AB296" s="165" t="str">
        <x:v>オリジナル</x:v>
      </x:c>
      <x:c r="AC296" s="165" t="str">
        <x:v>公式Specificationの範囲＋ユーザー作成コーパスの論点と問題設計例を参考に独自作成</x:v>
      </x:c>
      <x:c r="AD296" s="171" t="str">
        <x:v>未レビュー</x:v>
      </x:c>
      <x:c r="AE296" s="171"/>
      <x:c r="AF296" s="171"/>
      <x:c r="AG296" s="166"/>
    </x:row>
    <x:row r="297" ht="84" customHeight="1">
      <x:c r="A297" s="164" t="str">
        <x:v>LO5-056</x:v>
      </x:c>
      <x:c r="B297" s="171" t="str">
        <x:v>LO5</x:v>
      </x:c>
      <x:c r="C297" s="165" t="str">
        <x:v>情報提供・推奨・保管・サービス</x:v>
      </x:c>
      <x:c r="D297" s="165" t="str">
        <x:v>うま味と塩味</x:v>
      </x:c>
      <x:c r="E297" s="165" t="str">
        <x:v>うま味の強い料理に塩味が加わると、ワインとの組み合わせが改善することがある理由はどれか。</x:v>
      </x:c>
      <x:c r="F297" s="165" t="str">
        <x:v>塩味がワインのアルコールを増やす</x:v>
      </x:c>
      <x:c r="G297" s="165" t="str">
        <x:v>うま味と塩味でワインが必ず発泡する</x:v>
      </x:c>
      <x:c r="H297" s="165" t="str">
        <x:v>塩味が料理のうま味を物理的に消す</x:v>
      </x:c>
      <x:c r="I297" s="165" t="str">
        <x:v>塩味が、うま味によって強まりやすい苦味や渋味を弱く感じさせることがある</x:v>
      </x:c>
      <x:c r="J297" s="171" t="str">
        <x:v>D</x:v>
      </x:c>
      <x:c r="K297" s="165" t="str">
        <x:v>塩味が、うま味によって強まりやすい苦味や渋味を弱く感じさせることがある</x:v>
      </x:c>
      <x:c r="L297" s="165" t="str">
        <x:v>うま味単独はワインを苦く、渋く、果実味が少なく感じさせやすいが、塩味はその負の知覚を緩和する方向に働く。</x:v>
      </x:c>
      <x:c r="M297" s="165" t="str">
        <x:v>誤り。 料理の塩味でワインのアルコール度は上がらない。</x:v>
      </x:c>
      <x:c r="N297" s="165" t="str">
        <x:v>誤り。 味覚要素の組み合わせで炭酸ガスは発生しない。</x:v>
      </x:c>
      <x:c r="O297" s="165" t="str">
        <x:v>誤り。 知覚のバランスを変えることはあるが、うま味成分を消去するわけではない。</x:v>
      </x:c>
      <x:c r="P297" s="165" t="str">
        <x:v>正しい。 うま味単独はワインを苦く、渋く、果実味が少なく感じさせやすいが、塩味はその負の知覚を緩和する方向に働く。</x:v>
      </x:c>
      <x:c r="Q297" s="165" t="str">
        <x:v>フードペアリング</x:v>
      </x:c>
      <x:c r="R297" s="165" t="str">
        <x:v>うま味・塩味・知覚</x:v>
      </x:c>
      <x:c r="S297" s="165" t="str">
        <x:v>全般</x:v>
      </x:c>
      <x:c r="T297" s="165"/>
      <x:c r="U297" s="165"/>
      <x:c r="V297" s="165"/>
      <x:c r="W297" s="165" t="str">
        <x:v>因果説明</x:v>
      </x:c>
      <x:c r="X297" s="171" t="str">
        <x:v>D3</x:v>
      </x:c>
      <x:c r="Y297" s="165" t="str">
        <x:v>塩でアルコール増加; 発泡; うま味消去</x:v>
      </x:c>
      <x:c r="Z297" s="171" t="str">
        <x:v>N</x:v>
      </x:c>
      <x:c r="AA297" s="165"/>
      <x:c r="AB297" s="165" t="str">
        <x:v>オリジナル</x:v>
      </x:c>
      <x:c r="AC297" s="165" t="str">
        <x:v>公式Specificationの範囲＋ユーザー作成コーパスの論点と問題設計例を参考に独自作成</x:v>
      </x:c>
      <x:c r="AD297" s="171" t="str">
        <x:v>未レビュー</x:v>
      </x:c>
      <x:c r="AE297" s="171"/>
      <x:c r="AF297" s="171"/>
      <x:c r="AG297" s="166"/>
    </x:row>
    <x:row r="298" ht="84" customHeight="1">
      <x:c r="A298" s="164" t="str">
        <x:v>LO5-057</x:v>
      </x:c>
      <x:c r="B298" s="171" t="str">
        <x:v>LO5</x:v>
      </x:c>
      <x:c r="C298" s="165" t="str">
        <x:v>情報提供・推奨・保管・サービス</x:v>
      </x:c>
      <x:c r="D298" s="165" t="str">
        <x:v>トウガラシとワイン選択</x:v>
      </x:c>
      <x:c r="E298" s="165" t="str">
        <x:v>トウガラシの辛味が強い料理に合わせるワインとして、一般に選びやすいスタイルはどれか。</x:v>
      </x:c>
      <x:c r="F298" s="165" t="str">
        <x:v>低めのアルコール、柔らかなタンニン、十分な果実味があり、場合により少量の残糖を持つワイン</x:v>
      </x:c>
      <x:c r="G298" s="165" t="str">
        <x:v>非常に高アルコールで高タンニン、果実味の少ない赤ワイン</x:v>
      </x:c>
      <x:c r="H298" s="165" t="str">
        <x:v>酸化して果実味を失った欠陥ワイン</x:v>
      </x:c>
      <x:c r="I298" s="165" t="str">
        <x:v>温めた酒精強化ワインだけ</x:v>
      </x:c>
      <x:c r="J298" s="171" t="str">
        <x:v>A</x:v>
      </x:c>
      <x:c r="K298" s="165" t="str">
        <x:v>低めのアルコール、柔らかなタンニン、十分な果実味があり、場合により少量の残糖を持つワイン</x:v>
      </x:c>
      <x:c r="L298" s="165" t="str">
        <x:v>高アルコールと高タンニンは辛味を強めやすい一方、果実味と少量の甘味は辛味を和らげる方向に働く。</x:v>
      </x:c>
      <x:c r="M298" s="165" t="str">
        <x:v>正しい。 高アルコールと高タンニンは辛味を強めやすい一方、果実味と少量の甘味は辛味を和らげる方向に働く。</x:v>
      </x:c>
      <x:c r="N298" s="165" t="str">
        <x:v>誤り。 アルコールとタンニンが辛味と刺激を強調しやすい。</x:v>
      </x:c>
      <x:c r="O298" s="165" t="str">
        <x:v>誤り。 欠陥ワインは料理にかかわらず推奨すべきでない。</x:v>
      </x:c>
      <x:c r="P298" s="165" t="str">
        <x:v>誤り。 高アルコールと高温は辛味を増幅しやすく、唯一の選択肢でもない。</x:v>
      </x:c>
      <x:c r="Q298" s="165" t="str">
        <x:v>フードペアリング</x:v>
      </x:c>
      <x:c r="R298" s="165" t="str">
        <x:v>トウガラシ・アルコール・甘味</x:v>
      </x:c>
      <x:c r="S298" s="165" t="str">
        <x:v>全般</x:v>
      </x:c>
      <x:c r="T298" s="165"/>
      <x:c r="U298" s="165"/>
      <x:c r="V298" s="165"/>
      <x:c r="W298" s="165" t="str">
        <x:v>判断</x:v>
      </x:c>
      <x:c r="X298" s="171" t="str">
        <x:v>D2</x:v>
      </x:c>
      <x:c r="Y298" s="165" t="str">
        <x:v>辛味には高アルコール高タンニン; 欠陥ワイン; 温かい酒精強化だけ</x:v>
      </x:c>
      <x:c r="Z298" s="171" t="str">
        <x:v>N</x:v>
      </x:c>
      <x:c r="AA298" s="165"/>
      <x:c r="AB298" s="165" t="str">
        <x:v>オリジナル</x:v>
      </x:c>
      <x:c r="AC298" s="165" t="str">
        <x:v>公式Specificationの範囲＋ユーザー作成コーパスの論点と問題設計例を参考に独自作成</x:v>
      </x:c>
      <x:c r="AD298" s="171" t="str">
        <x:v>未レビュー</x:v>
      </x:c>
      <x:c r="AE298" s="171"/>
      <x:c r="AF298" s="171"/>
      <x:c r="AG298" s="166"/>
    </x:row>
    <x:row r="299" ht="84" customHeight="1">
      <x:c r="A299" s="164" t="str">
        <x:v>LO5-058</x:v>
      </x:c>
      <x:c r="B299" s="171" t="str">
        <x:v>LO5</x:v>
      </x:c>
      <x:c r="C299" s="165" t="str">
        <x:v>情報提供・推奨・保管・サービス</x:v>
      </x:c>
      <x:c r="D299" s="165" t="str">
        <x:v>甘口ワインと塩味のある食品</x:v>
      </x:c>
      <x:c r="E299" s="165" t="str">
        <x:v>甘口ワインと塩味のあるブルーチーズが良い組み合わせになり得る主な理由はどれか。</x:v>
      </x:c>
      <x:c r="F299" s="165" t="str">
        <x:v>チーズがワインを辛口へ化学的に変える</x:v>
      </x:c>
      <x:c r="G299" s="165" t="str">
        <x:v>甘味と塩味の対比が互いを引き立て、ワインの果実味とチーズの濃厚さを調和させる</x:v>
      </x:c>
      <x:c r="H299" s="165" t="str">
        <x:v>塩味がワインのアルコールを完全に除去する</x:v>
      </x:c>
      <x:c r="I299" s="165" t="str">
        <x:v>ブルーチーズならどの欠陥ワインでも良くなる</x:v>
      </x:c>
      <x:c r="J299" s="171" t="str">
        <x:v>B</x:v>
      </x:c>
      <x:c r="K299" s="165" t="str">
        <x:v>甘味と塩味の対比が互いを引き立て、ワインの果実味とチーズの濃厚さを調和させる</x:v>
      </x:c>
      <x:c r="L299" s="165" t="str">
        <x:v>甘味と塩味の対比に加え、甘口ワインの酸がチーズの脂肪分を爽やかに感じさせる場合もある。</x:v>
      </x:c>
      <x:c r="M299" s="165" t="str">
        <x:v>誤り。 組み合わせでワインの残糖量は変化しない。</x:v>
      </x:c>
      <x:c r="N299" s="165" t="str">
        <x:v>正しい。 甘味と塩味の対比に加え、甘口ワインの酸がチーズの脂肪分を爽やかに感じさせる場合もある。</x:v>
      </x:c>
      <x:c r="O299" s="165" t="str">
        <x:v>誤り。 塩味はアルコール度を変えない。</x:v>
      </x:c>
      <x:c r="P299" s="165" t="str">
        <x:v>誤り。 料理でワインの欠陥が修復されるわけではない。</x:v>
      </x:c>
      <x:c r="Q299" s="165" t="str">
        <x:v>フードペアリング</x:v>
      </x:c>
      <x:c r="R299" s="165" t="str">
        <x:v>甘味・塩味・脂肪</x:v>
      </x:c>
      <x:c r="S299" s="165" t="str">
        <x:v>甘口ワイン</x:v>
      </x:c>
      <x:c r="T299" s="165"/>
      <x:c r="U299" s="165"/>
      <x:c r="V299" s="165"/>
      <x:c r="W299" s="165" t="str">
        <x:v>因果説明</x:v>
      </x:c>
      <x:c r="X299" s="171" t="str">
        <x:v>D2</x:v>
      </x:c>
      <x:c r="Y299" s="165" t="str">
        <x:v>チーズで辛口化; 脱アルコール; 欠陥修復</x:v>
      </x:c>
      <x:c r="Z299" s="171" t="str">
        <x:v>N</x:v>
      </x:c>
      <x:c r="AA299" s="165"/>
      <x:c r="AB299" s="165" t="str">
        <x:v>オリジナル</x:v>
      </x:c>
      <x:c r="AC299" s="165" t="str">
        <x:v>公式Specificationの範囲＋ユーザー作成コーパスの論点と問題設計例を参考に独自作成</x:v>
      </x:c>
      <x:c r="AD299" s="171" t="str">
        <x:v>未レビュー</x:v>
      </x:c>
      <x:c r="AE299" s="171"/>
      <x:c r="AF299" s="171"/>
      <x:c r="AG299" s="166"/>
    </x:row>
    <x:row r="300" ht="84" customHeight="1">
      <x:c r="A300" s="164" t="str">
        <x:v>LO5-059</x:v>
      </x:c>
      <x:c r="B300" s="171" t="str">
        <x:v>LO5</x:v>
      </x:c>
      <x:c r="C300" s="165" t="str">
        <x:v>情報提供・推奨・保管・サービス</x:v>
      </x:c>
      <x:c r="D300" s="165" t="str">
        <x:v>過剰摂取と短期的影響</x:v>
      </x:c>
      <x:c r="E300" s="165" t="str">
        <x:v>ワインの過剰摂取によって短期的に生じ得る社会的・健康上の問題として最も適切なものはどれか。</x:v>
      </x:c>
      <x:c r="F300" s="165" t="str">
        <x:v>判断力と反応速度が必ず向上する</x:v>
      </x:c>
      <x:c r="G300" s="165" t="str">
        <x:v>どれだけ飲んでも行動や健康に影響しない</x:v>
      </x:c>
      <x:c r="H300" s="165" t="str">
        <x:v>判断力や協調運動の低下により、事故や不適切な行動のリスクが高まる</x:v>
      </x:c>
      <x:c r="I300" s="165" t="str">
        <x:v>アルコールが直ちに水へ変わるため問題はない</x:v>
      </x:c>
      <x:c r="J300" s="171" t="str">
        <x:v>C</x:v>
      </x:c>
      <x:c r="K300" s="165" t="str">
        <x:v>判断力や協調運動の低下により、事故や不適切な行動のリスクが高まる</x:v>
      </x:c>
      <x:c r="L300" s="165" t="str">
        <x:v>過剰な飲酒は認知と運動機能を損ない、本人と周囲の安全、社会的行動へ悪影響を与え得る。</x:v>
      </x:c>
      <x:c r="M300" s="165" t="str">
        <x:v>誤り。 過剰摂取は能力を向上させるのではなく低下させ得る。</x:v>
      </x:c>
      <x:c r="N300" s="165" t="str">
        <x:v>誤り。 摂取量が多いほど有害な影響のリスクが高まる。</x:v>
      </x:c>
      <x:c r="O300" s="165" t="str">
        <x:v>正しい。 過剰な飲酒は認知と運動機能を損ない、本人と周囲の安全、社会的行動へ悪影響を与え得る。</x:v>
      </x:c>
      <x:c r="P300" s="165" t="str">
        <x:v>誤り。 体内で直ちに無害な水へ変わるわけではない。</x:v>
      </x:c>
      <x:c r="Q300" s="165" t="str">
        <x:v>社会的・健康上の問題</x:v>
      </x:c>
      <x:c r="R300" s="165" t="str">
        <x:v>過剰摂取・短期的影響</x:v>
      </x:c>
      <x:c r="S300" s="165" t="str">
        <x:v>全般</x:v>
      </x:c>
      <x:c r="T300" s="165"/>
      <x:c r="U300" s="165"/>
      <x:c r="V300" s="165"/>
      <x:c r="W300" s="165" t="str">
        <x:v>知識確認</x:v>
      </x:c>
      <x:c r="X300" s="171" t="str">
        <x:v>D1</x:v>
      </x:c>
      <x:c r="Y300" s="165" t="str">
        <x:v>過剰飲酒で判断向上; 影響なし; 即時に水化</x:v>
      </x:c>
      <x:c r="Z300" s="171" t="str">
        <x:v>Y</x:v>
      </x:c>
      <x:c r="AA300" s="165" t="str">
        <x:v>健康関連表現は一般的説明に限定し、地域別の医療・法的助言として使用しないことを確認推奨</x:v>
      </x:c>
      <x:c r="AB300" s="165" t="str">
        <x:v>オリジナル</x:v>
      </x:c>
      <x:c r="AC300" s="165" t="str">
        <x:v>公式Specificationの範囲＋ユーザー作成コーパスの論点と問題設計例を参考に独自作成</x:v>
      </x:c>
      <x:c r="AD300" s="171" t="str">
        <x:v>未レビュー</x:v>
      </x:c>
      <x:c r="AE300" s="171"/>
      <x:c r="AF300" s="171"/>
      <x:c r="AG300" s="166"/>
    </x:row>
    <x:row r="301" ht="84" customHeight="1">
      <x:c r="A301" s="167" t="str">
        <x:v>LO5-060</x:v>
      </x:c>
      <x:c r="B301" s="172" t="str">
        <x:v>LO5</x:v>
      </x:c>
      <x:c r="C301" s="168" t="str">
        <x:v>情報提供・推奨・保管・サービス</x:v>
      </x:c>
      <x:c r="D301" s="168" t="str">
        <x:v>酔いを早く覚ますという誤解</x:v>
      </x:c>
      <x:c r="E301" s="168" t="str">
        <x:v>過剰に飲酒した人について、最も適切な助言はどれか。</x:v>
      </x:c>
      <x:c r="F301" s="168" t="str">
        <x:v>濃いコーヒーを飲めばすぐ安全に運転できる</x:v>
      </x:c>
      <x:c r="G301" s="168" t="str">
        <x:v>冷水シャワーでアルコールが皮膚から排出される</x:v>
      </x:c>
      <x:c r="H301" s="168" t="str">
        <x:v>さらにワインを飲めば代謝が加速する</x:v>
      </x:c>
      <x:c r="I301" s="168" t="str">
        <x:v>コーヒーや冷水シャワーでアルコールの代謝が急に速くなるとは考えず、追加飲酒や運転を避ける</x:v>
      </x:c>
      <x:c r="J301" s="172" t="str">
        <x:v>D</x:v>
      </x:c>
      <x:c r="K301" s="168" t="str">
        <x:v>コーヒーや冷水シャワーでアルコールの代謝が急に速くなるとは考えず、追加飲酒や運転を避ける</x:v>
      </x:c>
      <x:c r="L301" s="168" t="str">
        <x:v>覚醒感が一時的に変わっても、体内のアルコールが直ちに除去されるわけではない。安全を優先し、時間をかけて回復する必要がある。</x:v>
      </x:c>
      <x:c r="M301" s="168" t="str">
        <x:v>誤り。 覚醒感と血中アルコールの除去は同じではない。</x:v>
      </x:c>
      <x:c r="N301" s="168" t="str">
        <x:v>誤り。 シャワーで体内アルコールを急速に排出できない。</x:v>
      </x:c>
      <x:c r="O301" s="168" t="str">
        <x:v>誤り。 追加飲酒は体内アルコール量を増やす。</x:v>
      </x:c>
      <x:c r="P301" s="168" t="str">
        <x:v>正しい。 覚醒感が一時的に変わっても、体内のアルコールが直ちに除去されるわけではない。安全を優先し、時間をかけて回復する必要がある。</x:v>
      </x:c>
      <x:c r="Q301" s="168" t="str">
        <x:v>社会的・健康上の問題</x:v>
      </x:c>
      <x:c r="R301" s="168" t="str">
        <x:v>過剰摂取・安全</x:v>
      </x:c>
      <x:c r="S301" s="168" t="str">
        <x:v>全般</x:v>
      </x:c>
      <x:c r="T301" s="168"/>
      <x:c r="U301" s="168"/>
      <x:c r="V301" s="168"/>
      <x:c r="W301" s="168" t="str">
        <x:v>適用</x:v>
      </x:c>
      <x:c r="X301" s="172" t="str">
        <x:v>D2</x:v>
      </x:c>
      <x:c r="Y301" s="168" t="str">
        <x:v>コーヒーで即時運転可; シャワーで排出; 追加飲酒で代謝加速</x:v>
      </x:c>
      <x:c r="Z301" s="172" t="str">
        <x:v>Y</x:v>
      </x:c>
      <x:c r="AA301" s="168" t="str">
        <x:v>健康・安全に関する一般論として扱い、医療判断や地域別法規の代替にしないことを確認推奨</x:v>
      </x:c>
      <x:c r="AB301" s="168" t="str">
        <x:v>オリジナル</x:v>
      </x:c>
      <x:c r="AC301" s="168" t="str">
        <x:v>公式Specificationの範囲＋ユーザー作成コーパスの論点と問題設計例を参考に独自作成</x:v>
      </x:c>
      <x:c r="AD301" s="172" t="str">
        <x:v>未レビュー</x:v>
      </x:c>
      <x:c r="AE301" s="172"/>
      <x:c r="AF301" s="172"/>
      <x:c r="AG301" s="169"/>
    </x:row>
    <x:row r="302" ht="84" customHeight="1">
      <x:c r="A302" s="308" t="str">
        <x:v>LO1-061</x:v>
      </x:c>
      <x:c r="B302" s="316" t="str">
        <x:v>LO1</x:v>
      </x:c>
      <x:c r="C302" s="309" t="str">
        <x:v>ブドウ畑・ワイナリーの自然要因と人的要因</x:v>
      </x:c>
      <x:c r="D302" s="309" t="str">
        <x:v>冬季休眠</x:v>
      </x:c>
      <x:c r="E302" s="309" t="str">
        <x:v>冬季休眠がブドウ樹にとって重要である主な理由はどれか。</x:v>
      </x:c>
      <x:c r="F302" s="309" t="str">
        <x:v>生育活動を一時停止し、低温期を耐えて翌年の生育に備える</x:v>
      </x:c>
      <x:c r="G302" s="309" t="str">
        <x:v>冬の間に果粒の糖度を高め、収穫を続ける</x:v>
      </x:c>
      <x:c r="H302" s="309" t="str">
        <x:v>根の活動を完全に永久停止させる</x:v>
      </x:c>
      <x:c r="I302" s="309" t="str">
        <x:v>樹上でアルコール発酵を始める</x:v>
      </x:c>
      <x:c r="J302" s="316" t="str">
        <x:v>A</x:v>
      </x:c>
      <x:c r="K302" s="309" t="str">
        <x:v>生育活動を一時停止し、低温期を耐えて翌年の生育に備える</x:v>
      </x:c>
      <x:c r="L302" s="309" t="str">
        <x:v>落葉後に代謝を大幅に低下させることで、冬の厳しい条件を耐え、貯蔵養分を翌季の芽吹きに利用できる。</x:v>
      </x:c>
      <x:c r="M302" s="309" t="str">
        <x:v>正しい。 落葉後に代謝を大幅に低下させることで、冬の厳しい条件を耐え、貯蔵養分を翌季の芽吹きに利用できる。</x:v>
      </x:c>
      <x:c r="N302" s="309" t="str">
        <x:v>誤り。 休眠期には通常、果実はなく、糖度上昇や収穫は行われない。</x:v>
      </x:c>
      <x:c r="O302" s="309" t="str">
        <x:v>誤り。 根の活動は低下するが、樹が永久に活動を停止するわけではない。</x:v>
      </x:c>
      <x:c r="P302" s="309" t="str">
        <x:v>誤り。 アルコール発酵は収穫後の果汁で酵母が行う工程である。</x:v>
      </x:c>
      <x:c r="Q302" s="309" t="str">
        <x:v>ブドウ樹</x:v>
      </x:c>
      <x:c r="R302" s="309" t="str">
        <x:v>生育サイクル</x:v>
      </x:c>
      <x:c r="S302" s="309" t="str">
        <x:v>非発泡性ワイン</x:v>
      </x:c>
      <x:c r="T302" s="309"/>
      <x:c r="U302" s="309"/>
      <x:c r="V302" s="309"/>
      <x:c r="W302" s="309" t="str">
        <x:v>知識確認</x:v>
      </x:c>
      <x:c r="X302" s="316" t="str">
        <x:v>D1</x:v>
      </x:c>
      <x:c r="Y302" s="309" t="str">
        <x:v>休眠中に成熟する; 休眠は樹の死</x:v>
      </x:c>
      <x:c r="Z302" s="316" t="str">
        <x:v>N</x:v>
      </x:c>
      <x:c r="AA302" s="309"/>
      <x:c r="AB302" s="309" t="str">
        <x:v>オリジナル</x:v>
      </x:c>
      <x:c r="AC302" s="309" t="str">
        <x:v>公式Specificationの範囲＋ユーザー作成コーパスの論点を参考に独自作成</x:v>
      </x:c>
      <x:c r="AD302" s="316" t="str">
        <x:v>未レビュー</x:v>
      </x:c>
      <x:c r="AE302" s="316"/>
      <x:c r="AF302" s="316"/>
      <x:c r="AG302" s="310"/>
    </x:row>
    <x:row r="303" ht="84" customHeight="1">
      <x:c r="A303" s="311" t="str">
        <x:v>LO1-062</x:v>
      </x:c>
      <x:c r="B303" s="171" t="str">
        <x:v>LO1</x:v>
      </x:c>
      <x:c r="C303" s="165" t="str">
        <x:v>ブドウ畑・ワイナリーの自然要因と人的要因</x:v>
      </x:c>
      <x:c r="D303" s="165" t="str">
        <x:v>芽吹きと春霜</x:v>
      </x:c>
      <x:c r="E303" s="165" t="str">
        <x:v>芽吹きの早い品種が春霜の被害を受けやすい主な理由はどれか。</x:v>
      </x:c>
      <x:c r="F303" s="165" t="str">
        <x:v>芽吹きが早い品種は根が土壌から水を吸収できないため</x:v>
      </x:c>
      <x:c r="G303" s="165" t="str">
        <x:v>若い芽や新梢が、霜の起こる時期にすでに露出しているため</x:v>
      </x:c>
      <x:c r="H303" s="165" t="str">
        <x:v>早く芽吹くと果皮が厚くなりすぎるため</x:v>
      </x:c>
      <x:c r="I303" s="165" t="str">
        <x:v>早く芽吹くと必ず収穫が冬になるため</x:v>
      </x:c>
      <x:c r="J303" s="171" t="str">
        <x:v>B</x:v>
      </x:c>
      <x:c r="K303" s="165" t="str">
        <x:v>若い芽や新梢が、霜の起こる時期にすでに露出しているため</x:v>
      </x:c>
      <x:c r="L303" s="165" t="str">
        <x:v>芽吹きが早いほど、春先の低温に弱い若い組織が早く外気にさらされ、凍結による損傷を受けやすい。</x:v>
      </x:c>
      <x:c r="M303" s="165" t="str">
        <x:v>誤り。 根の吸水能力そのものが芽吹き時期によって失われるわけではない。</x:v>
      </x:c>
      <x:c r="N303" s="165" t="str">
        <x:v>正しい。 芽吹きが早いほど、春先の低温に弱い若い組織が早く外気にさらされ、凍結による損傷を受けやすい。</x:v>
      </x:c>
      <x:c r="O303" s="165" t="str">
        <x:v>誤り。 春霜の被害は果皮ではなく、芽や新梢の凍結が中心である。</x:v>
      </x:c>
      <x:c r="P303" s="165" t="str">
        <x:v>誤り。 芽吹きが早くても収穫時期は品種、気候、成熟速度に左右される。</x:v>
      </x:c>
      <x:c r="Q303" s="165" t="str">
        <x:v>自然要因</x:v>
      </x:c>
      <x:c r="R303" s="165" t="str">
        <x:v>霜害</x:v>
      </x:c>
      <x:c r="S303" s="165" t="str">
        <x:v>非発泡性ワイン</x:v>
      </x:c>
      <x:c r="T303" s="165"/>
      <x:c r="U303" s="165"/>
      <x:c r="V303" s="165"/>
      <x:c r="W303" s="165" t="str">
        <x:v>因果説明</x:v>
      </x:c>
      <x:c r="X303" s="171" t="str">
        <x:v>D2</x:v>
      </x:c>
      <x:c r="Y303" s="165" t="str">
        <x:v>早い芽吹きは霜を回避する; 春霜は果皮だけを傷める</x:v>
      </x:c>
      <x:c r="Z303" s="171" t="str">
        <x:v>N</x:v>
      </x:c>
      <x:c r="AA303" s="165"/>
      <x:c r="AB303" s="165" t="str">
        <x:v>オリジナル</x:v>
      </x:c>
      <x:c r="AC303" s="165" t="str">
        <x:v>公式Specificationの範囲＋ユーザー作成コーパスの論点を参考に独自作成</x:v>
      </x:c>
      <x:c r="AD303" s="171" t="str">
        <x:v>未レビュー</x:v>
      </x:c>
      <x:c r="AE303" s="171"/>
      <x:c r="AF303" s="171"/>
      <x:c r="AG303" s="312"/>
    </x:row>
    <x:row r="304" ht="84" customHeight="1">
      <x:c r="A304" s="311" t="str">
        <x:v>LO1-063</x:v>
      </x:c>
      <x:c r="B304" s="171" t="str">
        <x:v>LO1</x:v>
      </x:c>
      <x:c r="C304" s="165" t="str">
        <x:v>ブドウ畑・ワイナリーの自然要因と人的要因</x:v>
      </x:c>
      <x:c r="D304" s="165" t="str">
        <x:v>花振るい</x:v>
      </x:c>
      <x:c r="E304" s="165" t="str">
        <x:v>開花期の低温や強い雨によって花振るいが起きた場合、最も直接的な結果はどれか。</x:v>
      </x:c>
      <x:c r="F304" s="165" t="str">
        <x:v>果粒がすべて大きくなり、果汁が希釈される</x:v>
      </x:c>
      <x:c r="G304" s="165" t="str">
        <x:v>ブドウ樹が直ちに冬季休眠へ戻る</x:v>
      </x:c>
      <x:c r="H304" s="165" t="str">
        <x:v>受粉・結実が不十分となり、果房につく果粒数が減る</x:v>
      </x:c>
      <x:c r="I304" s="165" t="str">
        <x:v>成熟した果実の酸が急速に分解される</x:v>
      </x:c>
      <x:c r="J304" s="171" t="str">
        <x:v>C</x:v>
      </x:c>
      <x:c r="K304" s="165" t="str">
        <x:v>受粉・結実が不十分となり、果房につく果粒数が減る</x:v>
      </x:c>
      <x:c r="L304" s="165" t="str">
        <x:v>開花期の悪天候は受粉と結実を妨げ、花や幼果が落ちるため、収量が低下しやすい。</x:v>
      </x:c>
      <x:c r="M304" s="165" t="str">
        <x:v>誤り。 花振るいは果粒数を減らす現象であり、すべての果粒を大きくするものではない。</x:v>
      </x:c>
      <x:c r="N304" s="165" t="str">
        <x:v>誤り。 開花期の悪天候で樹全体が冬季休眠へ戻るわけではない。</x:v>
      </x:c>
      <x:c r="O304" s="165" t="str">
        <x:v>正しい。 開花期の悪天候は受粉と結実を妨げ、花や幼果が落ちるため、収量が低下しやすい。</x:v>
      </x:c>
      <x:c r="P304" s="165" t="str">
        <x:v>誤り。 開花期には成熟果実がなく、問題は主に結実不良である。</x:v>
      </x:c>
      <x:c r="Q304" s="165" t="str">
        <x:v>ブドウ樹</x:v>
      </x:c>
      <x:c r="R304" s="165" t="str">
        <x:v>開花・結実</x:v>
      </x:c>
      <x:c r="S304" s="165" t="str">
        <x:v>非発泡性ワイン</x:v>
      </x:c>
      <x:c r="T304" s="165"/>
      <x:c r="U304" s="165"/>
      <x:c r="V304" s="165"/>
      <x:c r="W304" s="165" t="str">
        <x:v>因果説明</x:v>
      </x:c>
      <x:c r="X304" s="171" t="str">
        <x:v>D1</x:v>
      </x:c>
      <x:c r="Y304" s="165" t="str">
        <x:v>花振るいは果粒肥大; 花振るいは成熟期の問題</x:v>
      </x:c>
      <x:c r="Z304" s="171" t="str">
        <x:v>N</x:v>
      </x:c>
      <x:c r="AA304" s="165"/>
      <x:c r="AB304" s="165" t="str">
        <x:v>オリジナル</x:v>
      </x:c>
      <x:c r="AC304" s="165" t="str">
        <x:v>公式Specificationの範囲＋ユーザー作成コーパスの論点を参考に独自作成</x:v>
      </x:c>
      <x:c r="AD304" s="171" t="str">
        <x:v>未レビュー</x:v>
      </x:c>
      <x:c r="AE304" s="171"/>
      <x:c r="AF304" s="171"/>
      <x:c r="AG304" s="312"/>
    </x:row>
    <x:row r="305" ht="84" customHeight="1">
      <x:c r="A305" s="311" t="str">
        <x:v>LO1-064</x:v>
      </x:c>
      <x:c r="B305" s="171" t="str">
        <x:v>LO1</x:v>
      </x:c>
      <x:c r="C305" s="165" t="str">
        <x:v>ブドウ畑・ワイナリーの自然要因と人的要因</x:v>
      </x:c>
      <x:c r="D305" s="165" t="str">
        <x:v>ミルランダージュ</x:v>
      </x:c>
      <x:c r="E305" s="165" t="str">
        <x:v>ミルランダージュが起きた果房の特徴として最も適切なものはどれか。</x:v>
      </x:c>
      <x:c r="F305" s="165" t="str">
        <x:v>すべての果粒が同じ大きさで同時に成熟する</x:v>
      </x:c>
      <x:c r="G305" s="165" t="str">
        <x:v>果房が完全に果粒を失い、軸だけになる</x:v>
      </x:c>
      <x:c r="H305" s="165" t="str">
        <x:v>果皮の色だけが白から黒へ変わる</x:v>
      </x:c>
      <x:c r="I305" s="165" t="str">
        <x:v>大きさや成熟度の異なる果粒が同じ果房に混在する</x:v>
      </x:c>
      <x:c r="J305" s="171" t="str">
        <x:v>D</x:v>
      </x:c>
      <x:c r="K305" s="165" t="str">
        <x:v>大きさや成熟度の異なる果粒が同じ果房に混在する</x:v>
      </x:c>
      <x:c r="L305" s="165" t="str">
        <x:v>受精が不完全な果粒が小さいまま残るため、正常な果粒と小粒が混在し、成熟の均一性が低下することがある。</x:v>
      </x:c>
      <x:c r="M305" s="165" t="str">
        <x:v>誤り。 ミルランダージュは果粒の不均一さをもたらす現象である。</x:v>
      </x:c>
      <x:c r="N305" s="165" t="str">
        <x:v>誤り。 これは極端な花振るいに近く、ミルランダージュでは小粒が残る。</x:v>
      </x:c>
      <x:c r="O305" s="165" t="str">
        <x:v>誤り。 果皮色の変化ではなく、果粒の大きさと成熟度の不均一が問題である。</x:v>
      </x:c>
      <x:c r="P305" s="165" t="str">
        <x:v>正しい。 受精が不完全な果粒が小さいまま残るため、正常な果粒と小粒が混在し、成熟の均一性が低下することがある。</x:v>
      </x:c>
      <x:c r="Q305" s="165" t="str">
        <x:v>ブドウ樹</x:v>
      </x:c>
      <x:c r="R305" s="165" t="str">
        <x:v>結実不良</x:v>
      </x:c>
      <x:c r="S305" s="165" t="str">
        <x:v>非発泡性ワイン</x:v>
      </x:c>
      <x:c r="T305" s="165"/>
      <x:c r="U305" s="165"/>
      <x:c r="V305" s="165"/>
      <x:c r="W305" s="165" t="str">
        <x:v>知識確認</x:v>
      </x:c>
      <x:c r="X305" s="171" t="str">
        <x:v>D1</x:v>
      </x:c>
      <x:c r="Y305" s="165" t="str">
        <x:v>ミルランダージュは均一化; 花振るいと同一</x:v>
      </x:c>
      <x:c r="Z305" s="171" t="str">
        <x:v>N</x:v>
      </x:c>
      <x:c r="AA305" s="165"/>
      <x:c r="AB305" s="165" t="str">
        <x:v>オリジナル</x:v>
      </x:c>
      <x:c r="AC305" s="165" t="str">
        <x:v>公式Specificationの範囲＋ユーザー作成コーパスの論点を参考に独自作成</x:v>
      </x:c>
      <x:c r="AD305" s="171" t="str">
        <x:v>未レビュー</x:v>
      </x:c>
      <x:c r="AE305" s="171"/>
      <x:c r="AF305" s="171"/>
      <x:c r="AG305" s="312"/>
    </x:row>
    <x:row r="306" ht="84" customHeight="1">
      <x:c r="A306" s="311" t="str">
        <x:v>LO1-065</x:v>
      </x:c>
      <x:c r="B306" s="171" t="str">
        <x:v>LO1</x:v>
      </x:c>
      <x:c r="C306" s="165" t="str">
        <x:v>ブドウ畑・ワイナリーの自然要因と人的要因</x:v>
      </x:c>
      <x:c r="D306" s="165" t="str">
        <x:v>葉面積と成熟</x:v>
      </x:c>
      <x:c r="E306" s="165" t="str">
        <x:v>ブドウ樹の健全な葉面積が不足すると、果実の成熟が遅れやすい主な理由はどれか。</x:v>
      </x:c>
      <x:c r="F306" s="165" t="str">
        <x:v>光合成で生産できる糖が減り、果実へ供給される炭水化物が不足するため</x:v>
      </x:c>
      <x:c r="G306" s="165" t="str">
        <x:v>根が直ちに土壌中の酸をすべて吸収するため</x:v>
      </x:c>
      <x:c r="H306" s="165" t="str">
        <x:v>果実が日光だけで直接アルコールを生成できなくなるため</x:v>
      </x:c>
      <x:c r="I306" s="165" t="str">
        <x:v>葉が少ないほど果房周辺の湿度が必ず上昇するため</x:v>
      </x:c>
      <x:c r="J306" s="171" t="str">
        <x:v>A</x:v>
      </x:c>
      <x:c r="K306" s="165" t="str">
        <x:v>光合成で生産できる糖が減り、果実へ供給される炭水化物が不足するため</x:v>
      </x:c>
      <x:c r="L306" s="165" t="str">
        <x:v>葉は光合成によって糖をつくるため、健全な葉が少なすぎると果実への糖供給が減り、成熟が遅れる。</x:v>
      </x:c>
      <x:c r="M306" s="165" t="str">
        <x:v>正しい。 葉は光合成によって糖をつくるため、健全な葉が少なすぎると果実への糖供給が減り、成熟が遅れる。</x:v>
      </x:c>
      <x:c r="N306" s="165" t="str">
        <x:v>誤り。 成熟遅延の主因は葉面積不足による光合成量の低下である。</x:v>
      </x:c>
      <x:c r="O306" s="165" t="str">
        <x:v>誤り。 果実は樹上でアルコールを生成せず、アルコールは醸造時の発酵で生じる。</x:v>
      </x:c>
      <x:c r="P306" s="165" t="str">
        <x:v>誤り。 葉が少ないと一般には風通しが良くなり得るため、この説明は逆である。</x:v>
      </x:c>
      <x:c r="Q306" s="165" t="str">
        <x:v>ブドウ樹</x:v>
      </x:c>
      <x:c r="R306" s="165" t="str">
        <x:v>光合成</x:v>
      </x:c>
      <x:c r="S306" s="165" t="str">
        <x:v>非発泡性ワイン</x:v>
      </x:c>
      <x:c r="T306" s="165"/>
      <x:c r="U306" s="165"/>
      <x:c r="V306" s="165"/>
      <x:c r="W306" s="165" t="str">
        <x:v>因果説明</x:v>
      </x:c>
      <x:c r="X306" s="171" t="str">
        <x:v>D2</x:v>
      </x:c>
      <x:c r="Y306" s="165" t="str">
        <x:v>果実が直接光合成する; 葉が少ないほど成熟が速い</x:v>
      </x:c>
      <x:c r="Z306" s="171" t="str">
        <x:v>N</x:v>
      </x:c>
      <x:c r="AA306" s="165"/>
      <x:c r="AB306" s="165" t="str">
        <x:v>オリジナル</x:v>
      </x:c>
      <x:c r="AC306" s="165" t="str">
        <x:v>公式Specificationの範囲＋ユーザー作成コーパスの論点を参考に独自作成</x:v>
      </x:c>
      <x:c r="AD306" s="171" t="str">
        <x:v>未レビュー</x:v>
      </x:c>
      <x:c r="AE306" s="171"/>
      <x:c r="AF306" s="171"/>
      <x:c r="AG306" s="312"/>
    </x:row>
    <x:row r="307" ht="84" customHeight="1">
      <x:c r="A307" s="311" t="str">
        <x:v>LO1-066</x:v>
      </x:c>
      <x:c r="B307" s="171" t="str">
        <x:v>LO1</x:v>
      </x:c>
      <x:c r="C307" s="165" t="str">
        <x:v>ブドウ畑・ワイナリーの自然要因と人的要因</x:v>
      </x:c>
      <x:c r="D307" s="165" t="str">
        <x:v>キャノピーの遮光</x:v>
      </x:c>
      <x:c r="E307" s="165" t="str">
        <x:v>過度に密なキャノピーがワインの品質を低下させる可能性がある主な理由はどれか。</x:v>
      </x:c>
      <x:c r="F307" s="165" t="str">
        <x:v>果房が常に日焼けし、酸が完全に失われる</x:v>
      </x:c>
      <x:c r="G307" s="165" t="str">
        <x:v>葉と果房が遮光され、成熟が遅れ、湿度と病害リスクが高まりやすい</x:v>
      </x:c>
      <x:c r="H307" s="165" t="str">
        <x:v>葉が増えるほど根が必ず枯死する</x:v>
      </x:c>
      <x:c r="I307" s="165" t="str">
        <x:v>遮光によってブドウの収量が必ずゼロになる</x:v>
      </x:c>
      <x:c r="J307" s="171" t="str">
        <x:v>B</x:v>
      </x:c>
      <x:c r="K307" s="165" t="str">
        <x:v>葉と果房が遮光され、成熟が遅れ、湿度と病害リスクが高まりやすい</x:v>
      </x:c>
      <x:c r="L307" s="165" t="str">
        <x:v>密なキャノピーは光の侵入と風通しを妨げ、糖・風味の成熟を遅らせるとともに菌類病のリスクを高める。</x:v>
      </x:c>
      <x:c r="M307" s="165" t="str">
        <x:v>誤り。 密なキャノピーではむしろ果房が遮光され、日焼けのリスクは低くなりやすい。</x:v>
      </x:c>
      <x:c r="N307" s="165" t="str">
        <x:v>正しい。 密なキャノピーは光の侵入と風通しを妨げ、糖・風味の成熟を遅らせるとともに菌類病のリスクを高める。</x:v>
      </x:c>
      <x:c r="O307" s="165" t="str">
        <x:v>誤り。 葉量が多いこと自体が根の枯死を直接引き起こすわけではない。</x:v>
      </x:c>
      <x:c r="P307" s="165" t="str">
        <x:v>誤り。 収量がゼロになるとは限らず、主に成熟と病害の問題が生じる。</x:v>
      </x:c>
      <x:c r="Q307" s="165" t="str">
        <x:v>栽培</x:v>
      </x:c>
      <x:c r="R307" s="165" t="str">
        <x:v>キャノピー・マネジメント</x:v>
      </x:c>
      <x:c r="S307" s="165" t="str">
        <x:v>非発泡性ワイン</x:v>
      </x:c>
      <x:c r="T307" s="165"/>
      <x:c r="U307" s="165"/>
      <x:c r="V307" s="165"/>
      <x:c r="W307" s="165" t="str">
        <x:v>統合判断</x:v>
      </x:c>
      <x:c r="X307" s="171" t="str">
        <x:v>D2</x:v>
      </x:c>
      <x:c r="Y307" s="165" t="str">
        <x:v>密なキャノピーは常に高品質; 遮光は日焼けを増やす</x:v>
      </x:c>
      <x:c r="Z307" s="171" t="str">
        <x:v>N</x:v>
      </x:c>
      <x:c r="AA307" s="165"/>
      <x:c r="AB307" s="165" t="str">
        <x:v>オリジナル</x:v>
      </x:c>
      <x:c r="AC307" s="165" t="str">
        <x:v>公式Specificationの範囲＋ユーザー作成コーパスの論点を参考に独自作成</x:v>
      </x:c>
      <x:c r="AD307" s="171" t="str">
        <x:v>未レビュー</x:v>
      </x:c>
      <x:c r="AE307" s="171"/>
      <x:c r="AF307" s="171"/>
      <x:c r="AG307" s="312"/>
    </x:row>
    <x:row r="308" ht="84" customHeight="1">
      <x:c r="A308" s="311" t="str">
        <x:v>LO1-067</x:v>
      </x:c>
      <x:c r="B308" s="171" t="str">
        <x:v>LO1</x:v>
      </x:c>
      <x:c r="C308" s="165" t="str">
        <x:v>ブドウ畑・ワイナリーの自然要因と人的要因</x:v>
      </x:c>
      <x:c r="D308" s="165" t="str">
        <x:v>果粒サイズ</x:v>
      </x:c>
      <x:c r="E308" s="165" t="str">
        <x:v>同じ品種であれば、小さい果粒が赤ワインの色とタンニンを高めやすい主な理由はどれか。</x:v>
      </x:c>
      <x:c r="F308" s="165" t="str">
        <x:v>小さい果粒ほど種子が必ず存在しないため</x:v>
      </x:c>
      <x:c r="G308" s="165" t="str">
        <x:v>果汁の水分がすべて蒸発しているため</x:v>
      </x:c>
      <x:c r="H308" s="165" t="str">
        <x:v>果汁量に対する果皮の割合が大きくなるため</x:v>
      </x:c>
      <x:c r="I308" s="165" t="str">
        <x:v>小さい果粒は発酵前からアルコールを含むため</x:v>
      </x:c>
      <x:c r="J308" s="171" t="str">
        <x:v>C</x:v>
      </x:c>
      <x:c r="K308" s="165" t="str">
        <x:v>果汁量に対する果皮の割合が大きくなるため</x:v>
      </x:c>
      <x:c r="L308" s="165" t="str">
        <x:v>色素と多くのタンニンは果皮に含まれるため、果皮対果汁比が高い小粒は、浸漬時に色と構造を与えやすい。</x:v>
      </x:c>
      <x:c r="M308" s="165" t="str">
        <x:v>誤り。 小粒でも種子を持つことがあり、主因は果皮対果汁比である。</x:v>
      </x:c>
      <x:c r="N308" s="165" t="str">
        <x:v>誤り。 樹上の小粒がすべて乾燥しているわけではない。</x:v>
      </x:c>
      <x:c r="O308" s="165" t="str">
        <x:v>正しい。 色素と多くのタンニンは果皮に含まれるため、果皮対果汁比が高い小粒は、浸漬時に色と構造を与えやすい。</x:v>
      </x:c>
      <x:c r="P308" s="165" t="str">
        <x:v>誤り。 アルコールは収穫後の発酵で生成される。</x:v>
      </x:c>
      <x:c r="Q308" s="165" t="str">
        <x:v>ブドウ樹</x:v>
      </x:c>
      <x:c r="R308" s="165" t="str">
        <x:v>果粒構造</x:v>
      </x:c>
      <x:c r="S308" s="165" t="str">
        <x:v>赤ワイン</x:v>
      </x:c>
      <x:c r="T308" s="165"/>
      <x:c r="U308" s="165"/>
      <x:c r="V308" s="165"/>
      <x:c r="W308" s="165" t="str">
        <x:v>因果説明</x:v>
      </x:c>
      <x:c r="X308" s="171" t="str">
        <x:v>D2</x:v>
      </x:c>
      <x:c r="Y308" s="165" t="str">
        <x:v>小粒は無種子; 小粒は樹上で発酵済み</x:v>
      </x:c>
      <x:c r="Z308" s="171" t="str">
        <x:v>N</x:v>
      </x:c>
      <x:c r="AA308" s="165"/>
      <x:c r="AB308" s="165" t="str">
        <x:v>オリジナル</x:v>
      </x:c>
      <x:c r="AC308" s="165" t="str">
        <x:v>公式Specificationの範囲＋ユーザー作成コーパスの論点を参考に独自作成</x:v>
      </x:c>
      <x:c r="AD308" s="171" t="str">
        <x:v>未レビュー</x:v>
      </x:c>
      <x:c r="AE308" s="171"/>
      <x:c r="AF308" s="171"/>
      <x:c r="AG308" s="312"/>
    </x:row>
    <x:row r="309" ht="84" customHeight="1">
      <x:c r="A309" s="311" t="str">
        <x:v>LO1-068</x:v>
      </x:c>
      <x:c r="B309" s="171" t="str">
        <x:v>LO1</x:v>
      </x:c>
      <x:c r="C309" s="165" t="str">
        <x:v>ブドウ畑・ワイナリーの自然要因と人的要因</x:v>
      </x:c>
      <x:c r="D309" s="165" t="str">
        <x:v>緯度</x:v>
      </x:c>
      <x:c r="E309" s="165" t="str">
        <x:v>一般に、緯度が高い地域が低い地域より冷涼になりやすい主な理由はどれか。</x:v>
      </x:c>
      <x:c r="F309" s="165" t="str">
        <x:v>高緯度ほど地球の中心に近くなるため</x:v>
      </x:c>
      <x:c r="G309" s="165" t="str">
        <x:v>高緯度では海が存在しないため</x:v>
      </x:c>
      <x:c r="H309" s="165" t="str">
        <x:v>高緯度ほど夜間に光合成が活発になるため</x:v>
      </x:c>
      <x:c r="I309" s="165" t="str">
        <x:v>太陽光がより低い角度で届き、単位面積当たりの受熱量が小さくなりやすい</x:v>
      </x:c>
      <x:c r="J309" s="171" t="str">
        <x:v>D</x:v>
      </x:c>
      <x:c r="K309" s="165" t="str">
        <x:v>太陽光がより低い角度で届き、単位面積当たりの受熱量が小さくなりやすい</x:v>
      </x:c>
      <x:c r="L309" s="165" t="str">
        <x:v>高緯度では太陽光の入射角が低くなり、同じ光が広い面積へ分散するため、平均気温が低くなりやすい。</x:v>
      </x:c>
      <x:c r="M309" s="165" t="str">
        <x:v>誤り。 地球中心までの距離は緯度差による気候を説明しない。</x:v>
      </x:c>
      <x:c r="N309" s="165" t="str">
        <x:v>誤り。 高緯度にも海洋はあり、海の有無は緯度だけで決まらない。</x:v>
      </x:c>
      <x:c r="O309" s="165" t="str">
        <x:v>誤り。 光合成には光が必要であり、夜間に活発になるわけではない。</x:v>
      </x:c>
      <x:c r="P309" s="165" t="str">
        <x:v>正しい。 高緯度では太陽光の入射角が低くなり、同じ光が広い面積へ分散するため、平均気温が低くなりやすい。</x:v>
      </x:c>
      <x:c r="Q309" s="165" t="str">
        <x:v>自然要因</x:v>
      </x:c>
      <x:c r="R309" s="165" t="str">
        <x:v>緯度</x:v>
      </x:c>
      <x:c r="S309" s="165" t="str">
        <x:v>非発泡性ワイン</x:v>
      </x:c>
      <x:c r="T309" s="165"/>
      <x:c r="U309" s="165"/>
      <x:c r="V309" s="165"/>
      <x:c r="W309" s="165" t="str">
        <x:v>因果説明</x:v>
      </x:c>
      <x:c r="X309" s="171" t="str">
        <x:v>D2</x:v>
      </x:c>
      <x:c r="Y309" s="165" t="str">
        <x:v>高緯度は太陽に近い; 夜間光合成</x:v>
      </x:c>
      <x:c r="Z309" s="171" t="str">
        <x:v>N</x:v>
      </x:c>
      <x:c r="AA309" s="165"/>
      <x:c r="AB309" s="165" t="str">
        <x:v>オリジナル</x:v>
      </x:c>
      <x:c r="AC309" s="165" t="str">
        <x:v>公式Specificationの範囲＋ユーザー作成コーパスの論点を参考に独自作成</x:v>
      </x:c>
      <x:c r="AD309" s="171" t="str">
        <x:v>未レビュー</x:v>
      </x:c>
      <x:c r="AE309" s="171"/>
      <x:c r="AF309" s="171"/>
      <x:c r="AG309" s="312"/>
    </x:row>
    <x:row r="310" ht="84" customHeight="1">
      <x:c r="A310" s="311" t="str">
        <x:v>LO1-069</x:v>
      </x:c>
      <x:c r="B310" s="171" t="str">
        <x:v>LO1</x:v>
      </x:c>
      <x:c r="C310" s="165" t="str">
        <x:v>ブドウ畑・ワイナリーの自然要因と人的要因</x:v>
      </x:c>
      <x:c r="D310" s="165" t="str">
        <x:v>海流</x:v>
      </x:c>
      <x:c r="E310" s="165" t="str">
        <x:v>冷たい海流が沿岸のブドウ産地へ与えやすい影響として最も適切なものはどれか。</x:v>
      </x:c>
      <x:c r="F310" s="165" t="str">
        <x:v>沿岸の気温を下げ、霧や冷涼な風をもたらして成熟を遅らせることがある</x:v>
      </x:c>
      <x:c r="G310" s="165" t="str">
        <x:v>沿岸の夜間気温を必ず上昇させ、酸を急速に減らす</x:v>
      </x:c>
      <x:c r="H310" s="165" t="str">
        <x:v>海水が畑へ直接入り、ブドウに塩味を付ける</x:v>
      </x:c>
      <x:c r="I310" s="165" t="str">
        <x:v>降水量を世界中の沿岸で必ず増加させる</x:v>
      </x:c>
      <x:c r="J310" s="171" t="str">
        <x:v>A</x:v>
      </x:c>
      <x:c r="K310" s="165" t="str">
        <x:v>沿岸の気温を下げ、霧や冷涼な風をもたらして成熟を遅らせることがある</x:v>
      </x:c>
      <x:c r="L310" s="165" t="str">
        <x:v>冷たい海流は沿岸大気を冷却し、気温を和らげて酸の保持や長い成熟期間に寄与することがある。</x:v>
      </x:c>
      <x:c r="M310" s="165" t="str">
        <x:v>正しい。 冷たい海流は沿岸大気を冷却し、気温を和らげて酸の保持や長い成熟期間に寄与することがある。</x:v>
      </x:c>
      <x:c r="N310" s="165" t="str">
        <x:v>誤り。 冷たい海流は一般に気温を下げる方向に働く。</x:v>
      </x:c>
      <x:c r="O310" s="165" t="str">
        <x:v>誤り。 海流の主な影響は気候であり、海水が果実へ直接風味を付けるわけではない。</x:v>
      </x:c>
      <x:c r="P310" s="165" t="str">
        <x:v>誤り。 降水への影響は地域の風向や地形にも左右され、必ず増えるとは限らない。</x:v>
      </x:c>
      <x:c r="Q310" s="165" t="str">
        <x:v>自然要因</x:v>
      </x:c>
      <x:c r="R310" s="165" t="str">
        <x:v>海洋影響</x:v>
      </x:c>
      <x:c r="S310" s="165" t="str">
        <x:v>非発泡性ワイン</x:v>
      </x:c>
      <x:c r="T310" s="165"/>
      <x:c r="U310" s="165"/>
      <x:c r="V310" s="165"/>
      <x:c r="W310" s="165" t="str">
        <x:v>因果説明</x:v>
      </x:c>
      <x:c r="X310" s="171" t="str">
        <x:v>D2</x:v>
      </x:c>
      <x:c r="Y310" s="165" t="str">
        <x:v>冷海流は温暖化; 海水が塩味を付与</x:v>
      </x:c>
      <x:c r="Z310" s="171" t="str">
        <x:v>N</x:v>
      </x:c>
      <x:c r="AA310" s="165"/>
      <x:c r="AB310" s="165" t="str">
        <x:v>オリジナル</x:v>
      </x:c>
      <x:c r="AC310" s="165" t="str">
        <x:v>公式Specificationの範囲＋ユーザー作成コーパスの論点を参考に独自作成</x:v>
      </x:c>
      <x:c r="AD310" s="171" t="str">
        <x:v>未レビュー</x:v>
      </x:c>
      <x:c r="AE310" s="171"/>
      <x:c r="AF310" s="171"/>
      <x:c r="AG310" s="312"/>
    </x:row>
    <x:row r="311" ht="84" customHeight="1">
      <x:c r="A311" s="311" t="str">
        <x:v>LO1-070</x:v>
      </x:c>
      <x:c r="B311" s="171" t="str">
        <x:v>LO1</x:v>
      </x:c>
      <x:c r="C311" s="165" t="str">
        <x:v>ブドウ畑・ワイナリーの自然要因と人的要因</x:v>
      </x:c>
      <x:c r="D311" s="165" t="str">
        <x:v>雨陰</x:v>
      </x:c>
      <x:c r="E311" s="165" t="str">
        <x:v>山脈の風下側に乾燥したブドウ産地が形成されやすい主な理由はどれか。</x:v>
      </x:c>
      <x:c r="F311" s="165" t="str">
        <x:v>山脈が地下水をすべて海へ流すため</x:v>
      </x:c>
      <x:c r="G311" s="165" t="str">
        <x:v>湿った空気が風上側で上昇・降雨し、風下側へ乾いた空気が下降するため</x:v>
      </x:c>
      <x:c r="H311" s="165" t="str">
        <x:v>風下側では太陽が昇らないため</x:v>
      </x:c>
      <x:c r="I311" s="165" t="str">
        <x:v>風下側の土壌が必ず塩分だけでできているため</x:v>
      </x:c>
      <x:c r="J311" s="171" t="str">
        <x:v>B</x:v>
      </x:c>
      <x:c r="K311" s="165" t="str">
        <x:v>湿った空気が風上側で上昇・降雨し、風下側へ乾いた空気が下降するため</x:v>
      </x:c>
      <x:c r="L311" s="165" t="str">
        <x:v>山脈を越える際に空気が水分を失い、風下側では乾燥した下降気流となるため、降水量が少なくなりやすい。</x:v>
      </x:c>
      <x:c r="M311" s="165" t="str">
        <x:v>誤り。 乾燥化の主因は大気の上昇・降雨と風下での下降である。</x:v>
      </x:c>
      <x:c r="N311" s="165" t="str">
        <x:v>正しい。 山脈を越える際に空気が水分を失い、風下側では乾燥した下降気流となるため、降水量が少なくなりやすい。</x:v>
      </x:c>
      <x:c r="O311" s="165" t="str">
        <x:v>誤り。 日照の有無ではなく、地形と気流による降水差が原因である。</x:v>
      </x:c>
      <x:c r="P311" s="165" t="str">
        <x:v>誤り。 土壌組成は地域によって異なり、雨陰の定義ではない。</x:v>
      </x:c>
      <x:c r="Q311" s="165" t="str">
        <x:v>自然要因</x:v>
      </x:c>
      <x:c r="R311" s="165" t="str">
        <x:v>地形</x:v>
      </x:c>
      <x:c r="S311" s="165" t="str">
        <x:v>非発泡性ワイン</x:v>
      </x:c>
      <x:c r="T311" s="165"/>
      <x:c r="U311" s="165"/>
      <x:c r="V311" s="165"/>
      <x:c r="W311" s="165" t="str">
        <x:v>因果説明</x:v>
      </x:c>
      <x:c r="X311" s="171" t="str">
        <x:v>D2</x:v>
      </x:c>
      <x:c r="Y311" s="165" t="str">
        <x:v>雨陰は地下水だけの問題; 風下は日照なし</x:v>
      </x:c>
      <x:c r="Z311" s="171" t="str">
        <x:v>N</x:v>
      </x:c>
      <x:c r="AA311" s="165"/>
      <x:c r="AB311" s="165" t="str">
        <x:v>オリジナル</x:v>
      </x:c>
      <x:c r="AC311" s="165" t="str">
        <x:v>公式Specificationの範囲＋ユーザー作成コーパスの論点を参考に独自作成</x:v>
      </x:c>
      <x:c r="AD311" s="171" t="str">
        <x:v>未レビュー</x:v>
      </x:c>
      <x:c r="AE311" s="171"/>
      <x:c r="AF311" s="171"/>
      <x:c r="AG311" s="312"/>
    </x:row>
    <x:row r="312" ht="84" customHeight="1">
      <x:c r="A312" s="311" t="str">
        <x:v>LO1-071</x:v>
      </x:c>
      <x:c r="B312" s="171" t="str">
        <x:v>LO1</x:v>
      </x:c>
      <x:c r="C312" s="165" t="str">
        <x:v>ブドウ畑・ワイナリーの自然要因と人的要因</x:v>
      </x:c>
      <x:c r="D312" s="165" t="str">
        <x:v>土壌の保水性</x:v>
      </x:c>
      <x:c r="E312" s="165" t="str">
        <x:v>乾燥した地域で、粘土質土壌が砂質土壌よりブドウ樹へ水を供給しやすい主な理由はどれか。</x:v>
      </x:c>
      <x:c r="F312" s="165" t="str">
        <x:v>粘土が毎晩新しい水を生成するため</x:v>
      </x:c>
      <x:c r="G312" s="165" t="str">
        <x:v>粘土では根が水を必要としなくなるため</x:v>
      </x:c>
      <x:c r="H312" s="165" t="str">
        <x:v>細かい粒子が水を保持し、排水を遅くするため</x:v>
      </x:c>
      <x:c r="I312" s="165" t="str">
        <x:v>砂質土壌は水を一切通さないため</x:v>
      </x:c>
      <x:c r="J312" s="171" t="str">
        <x:v>C</x:v>
      </x:c>
      <x:c r="K312" s="165" t="str">
        <x:v>細かい粒子が水を保持し、排水を遅くするため</x:v>
      </x:c>
      <x:c r="L312" s="165" t="str">
        <x:v>粘土は粒子間の空隙が小さく水を保持しやすいため、乾燥期にも根へ水を供給できる場合がある。</x:v>
      </x:c>
      <x:c r="M312" s="165" t="str">
        <x:v>誤り。 土壌が水を生成するのではなく、受けた水を保持する能力が高い。</x:v>
      </x:c>
      <x:c r="N312" s="165" t="str">
        <x:v>誤り。 ブドウ樹は土壌種類にかかわらず水を必要とする。</x:v>
      </x:c>
      <x:c r="O312" s="165" t="str">
        <x:v>正しい。 粘土は粒子間の空隙が小さく水を保持しやすいため、乾燥期にも根へ水を供給できる場合がある。</x:v>
      </x:c>
      <x:c r="P312" s="165" t="str">
        <x:v>誤り。 砂質土壌は一般に排水が速く、水を保持しにくい。</x:v>
      </x:c>
      <x:c r="Q312" s="165" t="str">
        <x:v>自然要因</x:v>
      </x:c>
      <x:c r="R312" s="165" t="str">
        <x:v>土壌</x:v>
      </x:c>
      <x:c r="S312" s="165" t="str">
        <x:v>非発泡性ワイン</x:v>
      </x:c>
      <x:c r="T312" s="165"/>
      <x:c r="U312" s="165"/>
      <x:c r="V312" s="165"/>
      <x:c r="W312" s="165" t="str">
        <x:v>因果説明</x:v>
      </x:c>
      <x:c r="X312" s="171" t="str">
        <x:v>D1</x:v>
      </x:c>
      <x:c r="Y312" s="165" t="str">
        <x:v>粘土が水を生成; 砂は不透水</x:v>
      </x:c>
      <x:c r="Z312" s="171" t="str">
        <x:v>N</x:v>
      </x:c>
      <x:c r="AA312" s="165"/>
      <x:c r="AB312" s="165" t="str">
        <x:v>オリジナル</x:v>
      </x:c>
      <x:c r="AC312" s="165" t="str">
        <x:v>公式Specificationの範囲＋ユーザー作成コーパスの論点を参考に独自作成</x:v>
      </x:c>
      <x:c r="AD312" s="171" t="str">
        <x:v>未レビュー</x:v>
      </x:c>
      <x:c r="AE312" s="171"/>
      <x:c r="AF312" s="171"/>
      <x:c r="AG312" s="312"/>
    </x:row>
    <x:row r="313" ht="84" customHeight="1">
      <x:c r="A313" s="311" t="str">
        <x:v>LO1-072</x:v>
      </x:c>
      <x:c r="B313" s="171" t="str">
        <x:v>LO1</x:v>
      </x:c>
      <x:c r="C313" s="165" t="str">
        <x:v>ブドウ畑・ワイナリーの自然要因と人的要因</x:v>
      </x:c>
      <x:c r="D313" s="165" t="str">
        <x:v>石の多い畑の熱</x:v>
      </x:c>
      <x:c r="E313" s="165" t="str">
        <x:v>石の多い畑が冷涼な地域で成熟を助ける場合、その主な仕組みはどれか。</x:v>
      </x:c>
      <x:c r="F313" s="165" t="str">
        <x:v>石が光合成を行い、糖を果実へ送る</x:v>
      </x:c>
      <x:c r="G313" s="165" t="str">
        <x:v>石が土壌中の酸をすべて中和する</x:v>
      </x:c>
      <x:c r="H313" s="165" t="str">
        <x:v>石が果実を発酵させる酵母を生産する</x:v>
      </x:c>
      <x:c r="I313" s="165" t="str">
        <x:v>石が日中の熱を吸収し、夜間に周囲へ放出する</x:v>
      </x:c>
      <x:c r="J313" s="171" t="str">
        <x:v>D</x:v>
      </x:c>
      <x:c r="K313" s="165" t="str">
        <x:v>石が日中の熱を吸収し、夜間に周囲へ放出する</x:v>
      </x:c>
      <x:c r="L313" s="165" t="str">
        <x:v>石は土壌表面を暖め、日中に蓄えた熱を夜間に放出することで、果房周辺の温度をわずかに高く保つことがある。</x:v>
      </x:c>
      <x:c r="M313" s="165" t="str">
        <x:v>誤り。 光合成を行うのは緑色の植物組織であり、石ではない。</x:v>
      </x:c>
      <x:c r="N313" s="165" t="str">
        <x:v>誤り。 石の存在がブドウ果実の酸を直接中和するわけではない。</x:v>
      </x:c>
      <x:c r="O313" s="165" t="str">
        <x:v>誤り。 酵母の供給が熱保持効果の主因ではない。</x:v>
      </x:c>
      <x:c r="P313" s="165" t="str">
        <x:v>正しい。 石は土壌表面を暖め、日中に蓄えた熱を夜間に放出することで、果房周辺の温度をわずかに高く保つことがある。</x:v>
      </x:c>
      <x:c r="Q313" s="165" t="str">
        <x:v>自然要因</x:v>
      </x:c>
      <x:c r="R313" s="165" t="str">
        <x:v>土壌と熱</x:v>
      </x:c>
      <x:c r="S313" s="165" t="str">
        <x:v>非発泡性ワイン</x:v>
      </x:c>
      <x:c r="T313" s="165"/>
      <x:c r="U313" s="165"/>
      <x:c r="V313" s="165"/>
      <x:c r="W313" s="165" t="str">
        <x:v>因果説明</x:v>
      </x:c>
      <x:c r="X313" s="171" t="str">
        <x:v>D1</x:v>
      </x:c>
      <x:c r="Y313" s="165" t="str">
        <x:v>石が光合成; 石が酸を中和</x:v>
      </x:c>
      <x:c r="Z313" s="171" t="str">
        <x:v>N</x:v>
      </x:c>
      <x:c r="AA313" s="165"/>
      <x:c r="AB313" s="165" t="str">
        <x:v>オリジナル</x:v>
      </x:c>
      <x:c r="AC313" s="165" t="str">
        <x:v>公式Specificationの範囲＋ユーザー作成コーパスの論点を参考に独自作成</x:v>
      </x:c>
      <x:c r="AD313" s="171" t="str">
        <x:v>未レビュー</x:v>
      </x:c>
      <x:c r="AE313" s="171"/>
      <x:c r="AF313" s="171"/>
      <x:c r="AG313" s="312"/>
    </x:row>
    <x:row r="314" ht="84" customHeight="1">
      <x:c r="A314" s="311" t="str">
        <x:v>LO1-073</x:v>
      </x:c>
      <x:c r="B314" s="171" t="str">
        <x:v>LO1</x:v>
      </x:c>
      <x:c r="C314" s="165" t="str">
        <x:v>ブドウ畑・ワイナリーの自然要因と人的要因</x:v>
      </x:c>
      <x:c r="D314" s="165" t="str">
        <x:v>深い根</x:v>
      </x:c>
      <x:c r="E314" s="165" t="str">
        <x:v>深く根を張るブドウ樹が干ばつに比較的耐えやすい主な理由はどれか。</x:v>
      </x:c>
      <x:c r="F314" s="165" t="str">
        <x:v>表層が乾いても、深い土層に残る水分へアクセスできるため</x:v>
      </x:c>
      <x:c r="G314" s="165" t="str">
        <x:v>深い根が果汁を直接果房へ送り込むため</x:v>
      </x:c>
      <x:c r="H314" s="165" t="str">
        <x:v>深い根ほど冬季休眠を必要としないため</x:v>
      </x:c>
      <x:c r="I314" s="165" t="str">
        <x:v>根が深いと降雨量が自動的に増えるため</x:v>
      </x:c>
      <x:c r="J314" s="171" t="str">
        <x:v>A</x:v>
      </x:c>
      <x:c r="K314" s="165" t="str">
        <x:v>表層が乾いても、深い土層に残る水分へアクセスできるため</x:v>
      </x:c>
      <x:c r="L314" s="165" t="str">
        <x:v>深根性の樹は表層の水分変動の影響を受けにくく、より深い水源を利用できる場合がある。</x:v>
      </x:c>
      <x:c r="M314" s="165" t="str">
        <x:v>正しい。 深根性の樹は表層の水分変動の影響を受けにくく、より深い水源を利用できる場合がある。</x:v>
      </x:c>
      <x:c r="N314" s="165" t="str">
        <x:v>誤り。 根が吸収するのは主に水と無機養分であり、果汁を直接送るわけではない。</x:v>
      </x:c>
      <x:c r="O314" s="165" t="str">
        <x:v>誤り。 休眠は気候とブドウ樹の生理に関係し、根の深さだけで不要にならない。</x:v>
      </x:c>
      <x:c r="P314" s="165" t="str">
        <x:v>誤り。 根の深さは降雨量を変えない。</x:v>
      </x:c>
      <x:c r="Q314" s="165" t="str">
        <x:v>栽培</x:v>
      </x:c>
      <x:c r="R314" s="165" t="str">
        <x:v>根系</x:v>
      </x:c>
      <x:c r="S314" s="165" t="str">
        <x:v>非発泡性ワイン</x:v>
      </x:c>
      <x:c r="T314" s="165"/>
      <x:c r="U314" s="165"/>
      <x:c r="V314" s="165"/>
      <x:c r="W314" s="165" t="str">
        <x:v>因果説明</x:v>
      </x:c>
      <x:c r="X314" s="171" t="str">
        <x:v>D2</x:v>
      </x:c>
      <x:c r="Y314" s="165" t="str">
        <x:v>深根が降雨を増やす; 根が果汁を送る</x:v>
      </x:c>
      <x:c r="Z314" s="171" t="str">
        <x:v>N</x:v>
      </x:c>
      <x:c r="AA314" s="165"/>
      <x:c r="AB314" s="165" t="str">
        <x:v>オリジナル</x:v>
      </x:c>
      <x:c r="AC314" s="165" t="str">
        <x:v>公式Specificationの範囲＋ユーザー作成コーパスの論点を参考に独自作成</x:v>
      </x:c>
      <x:c r="AD314" s="171" t="str">
        <x:v>未レビュー</x:v>
      </x:c>
      <x:c r="AE314" s="171"/>
      <x:c r="AF314" s="171"/>
      <x:c r="AG314" s="312"/>
    </x:row>
    <x:row r="315" ht="84" customHeight="1">
      <x:c r="A315" s="311" t="str">
        <x:v>LO1-074</x:v>
      </x:c>
      <x:c r="B315" s="171" t="str">
        <x:v>LO1</x:v>
      </x:c>
      <x:c r="C315" s="165" t="str">
        <x:v>ブドウ畑・ワイナリーの自然要因と人的要因</x:v>
      </x:c>
      <x:c r="D315" s="165" t="str">
        <x:v>耐乾性台木</x:v>
      </x:c>
      <x:c r="E315" s="165" t="str">
        <x:v>乾燥した畑で耐乾性の高い台木を選ぶ主な目的はどれか。</x:v>
      </x:c>
      <x:c r="F315" s="165" t="str">
        <x:v>穂木の品種を別の品種へ遺伝的に変える</x:v>
      </x:c>
      <x:c r="G315" s="165" t="str">
        <x:v>限られた水分を効率的に利用し、樹の生存と成熟を支える</x:v>
      </x:c>
      <x:c r="H315" s="165" t="str">
        <x:v>灌漑が禁止されている地域で雨を降らせる</x:v>
      </x:c>
      <x:c r="I315" s="165" t="str">
        <x:v>果実の酸を発酵前にすべて除去する</x:v>
      </x:c>
      <x:c r="J315" s="171" t="str">
        <x:v>B</x:v>
      </x:c>
      <x:c r="K315" s="165" t="str">
        <x:v>限られた水分を効率的に利用し、樹の生存と成熟を支える</x:v>
      </x:c>
      <x:c r="L315" s="165" t="str">
        <x:v>台木の根系特性により、水分探索や水利用効率を高め、強い水不足への適応を助ける。</x:v>
      </x:c>
      <x:c r="M315" s="165" t="str">
        <x:v>誤り。 接ぎ木しても穂木の品種そのものが別品種へ変わるわけではない。</x:v>
      </x:c>
      <x:c r="N315" s="165" t="str">
        <x:v>正しい。 台木の根系特性により、水分探索や水利用効率を高め、強い水不足への適応を助ける。</x:v>
      </x:c>
      <x:c r="O315" s="165" t="str">
        <x:v>誤り。 台木は降雨を生み出さない。</x:v>
      </x:c>
      <x:c r="P315" s="165" t="str">
        <x:v>誤り。 台木選択の目的は根系の適応であり、果汁の除酸ではない。</x:v>
      </x:c>
      <x:c r="Q315" s="165" t="str">
        <x:v>栽培</x:v>
      </x:c>
      <x:c r="R315" s="165" t="str">
        <x:v>台木</x:v>
      </x:c>
      <x:c r="S315" s="165" t="str">
        <x:v>非発泡性ワイン</x:v>
      </x:c>
      <x:c r="T315" s="165"/>
      <x:c r="U315" s="165"/>
      <x:c r="V315" s="165"/>
      <x:c r="W315" s="165" t="str">
        <x:v>適用</x:v>
      </x:c>
      <x:c r="X315" s="171" t="str">
        <x:v>D2</x:v>
      </x:c>
      <x:c r="Y315" s="165" t="str">
        <x:v>台木が品種を変える; 台木が降雨を生む</x:v>
      </x:c>
      <x:c r="Z315" s="171" t="str">
        <x:v>N</x:v>
      </x:c>
      <x:c r="AA315" s="165"/>
      <x:c r="AB315" s="165" t="str">
        <x:v>オリジナル</x:v>
      </x:c>
      <x:c r="AC315" s="165" t="str">
        <x:v>公式Specificationの範囲＋ユーザー作成コーパスの論点を参考に独自作成</x:v>
      </x:c>
      <x:c r="AD315" s="171" t="str">
        <x:v>未レビュー</x:v>
      </x:c>
      <x:c r="AE315" s="171"/>
      <x:c r="AF315" s="171"/>
      <x:c r="AG315" s="312"/>
    </x:row>
    <x:row r="316" ht="84" customHeight="1">
      <x:c r="A316" s="311" t="str">
        <x:v>LO1-075</x:v>
      </x:c>
      <x:c r="B316" s="171" t="str">
        <x:v>LO1</x:v>
      </x:c>
      <x:c r="C316" s="165" t="str">
        <x:v>ブドウ畑・ワイナリーの自然要因と人的要因</x:v>
      </x:c>
      <x:c r="D316" s="165" t="str">
        <x:v>台木と樹勢</x:v>
      </x:c>
      <x:c r="E316" s="165" t="str">
        <x:v>肥沃で水分の多い畑に低樹勢の台木を用いる利点として最も適切なものはどれか。</x:v>
      </x:c>
      <x:c r="F316" s="165" t="str">
        <x:v>すべての病害を防ぎ、農薬を不要にする</x:v>
      </x:c>
      <x:c r="G316" s="165" t="str">
        <x:v>収量を必ずゼロにする</x:v>
      </x:c>
      <x:c r="H316" s="165" t="str">
        <x:v>過度な新梢成長を抑え、果房への光と風通しを確保しやすくする</x:v>
      </x:c>
      <x:c r="I316" s="165" t="str">
        <x:v>ブドウを樹上で酒精強化する</x:v>
      </x:c>
      <x:c r="J316" s="171" t="str">
        <x:v>C</x:v>
      </x:c>
      <x:c r="K316" s="165" t="str">
        <x:v>過度な新梢成長を抑え、果房への光と風通しを確保しやすくする</x:v>
      </x:c>
      <x:c r="L316" s="165" t="str">
        <x:v>低樹勢台木は肥沃な条件での過剰な栄養成長を抑え、キャノピーと果実のバランスを取りやすくする。</x:v>
      </x:c>
      <x:c r="M316" s="165" t="str">
        <x:v>誤り。 台木だけであらゆる病害を防ぐことはできない。</x:v>
      </x:c>
      <x:c r="N316" s="165" t="str">
        <x:v>誤り。 目的は生育の均衡であり、結実を完全に止めることではない。</x:v>
      </x:c>
      <x:c r="O316" s="165" t="str">
        <x:v>正しい。 低樹勢台木は肥沃な条件での過剰な栄養成長を抑え、キャノピーと果実のバランスを取りやすくする。</x:v>
      </x:c>
      <x:c r="P316" s="165" t="str">
        <x:v>誤り。 酒精強化はワイナリーでアルコールを添加する工程である。</x:v>
      </x:c>
      <x:c r="Q316" s="165" t="str">
        <x:v>栽培</x:v>
      </x:c>
      <x:c r="R316" s="165" t="str">
        <x:v>台木と樹勢</x:v>
      </x:c>
      <x:c r="S316" s="165" t="str">
        <x:v>非発泡性ワイン</x:v>
      </x:c>
      <x:c r="T316" s="165"/>
      <x:c r="U316" s="165"/>
      <x:c r="V316" s="165"/>
      <x:c r="W316" s="165" t="str">
        <x:v>適用</x:v>
      </x:c>
      <x:c r="X316" s="171" t="str">
        <x:v>D2</x:v>
      </x:c>
      <x:c r="Y316" s="165" t="str">
        <x:v>低樹勢台木は無収量; 台木で全病害防止</x:v>
      </x:c>
      <x:c r="Z316" s="171" t="str">
        <x:v>N</x:v>
      </x:c>
      <x:c r="AA316" s="165"/>
      <x:c r="AB316" s="165" t="str">
        <x:v>オリジナル</x:v>
      </x:c>
      <x:c r="AC316" s="165" t="str">
        <x:v>公式Specificationの範囲＋ユーザー作成コーパスの論点を参考に独自作成</x:v>
      </x:c>
      <x:c r="AD316" s="171" t="str">
        <x:v>未レビュー</x:v>
      </x:c>
      <x:c r="AE316" s="171"/>
      <x:c r="AF316" s="171"/>
      <x:c r="AG316" s="312"/>
    </x:row>
    <x:row r="317" ht="84" customHeight="1">
      <x:c r="A317" s="311" t="str">
        <x:v>LO1-076</x:v>
      </x:c>
      <x:c r="B317" s="171" t="str">
        <x:v>LO1</x:v>
      </x:c>
      <x:c r="C317" s="165" t="str">
        <x:v>ブドウ畑・ワイナリーの自然要因と人的要因</x:v>
      </x:c>
      <x:c r="D317" s="165" t="str">
        <x:v>遅延剪定</x:v>
      </x:c>
      <x:c r="E317" s="165" t="str">
        <x:v>春霜リスクの高い畑で遅延剪定を行う狙いとして最も適切なものはどれか。</x:v>
      </x:c>
      <x:c r="F317" s="165" t="str">
        <x:v>果実の収穫を前年へ早める</x:v>
      </x:c>
      <x:c r="G317" s="165" t="str">
        <x:v>土壌の保水性を急に高める</x:v>
      </x:c>
      <x:c r="H317" s="165" t="str">
        <x:v>果汁のアルコール度を直接下げる</x:v>
      </x:c>
      <x:c r="I317" s="165" t="str">
        <x:v>芽吹きを遅らせ、霜の危険が高い時期を避けやすくする</x:v>
      </x:c>
      <x:c r="J317" s="171" t="str">
        <x:v>D</x:v>
      </x:c>
      <x:c r="K317" s="165" t="str">
        <x:v>芽吹きを遅らせ、霜の危険が高い時期を避けやすくする</x:v>
      </x:c>
      <x:c r="L317" s="165" t="str">
        <x:v>剪定を遅らせると先端芽の優勢が残り、基部芽の芽吹きが遅れるため、霜害回避に役立つ場合がある。</x:v>
      </x:c>
      <x:c r="M317" s="165" t="str">
        <x:v>誤り。 剪定は翌季の生育を管理する作業で、前年へ収穫を移すことはできない。</x:v>
      </x:c>
      <x:c r="N317" s="165" t="str">
        <x:v>誤り。 剪定時期は土壌の物理的保水性を変えない。</x:v>
      </x:c>
      <x:c r="O317" s="165" t="str">
        <x:v>誤り。 アルコール度は成熟と発酵に関係し、剪定時期が直接下げるものではない。</x:v>
      </x:c>
      <x:c r="P317" s="165" t="str">
        <x:v>正しい。 剪定を遅らせると先端芽の優勢が残り、基部芽の芽吹きが遅れるため、霜害回避に役立つ場合がある。</x:v>
      </x:c>
      <x:c r="Q317" s="165" t="str">
        <x:v>栽培</x:v>
      </x:c>
      <x:c r="R317" s="165" t="str">
        <x:v>霜害対策</x:v>
      </x:c>
      <x:c r="S317" s="165" t="str">
        <x:v>非発泡性ワイン</x:v>
      </x:c>
      <x:c r="T317" s="165"/>
      <x:c r="U317" s="165"/>
      <x:c r="V317" s="165"/>
      <x:c r="W317" s="165" t="str">
        <x:v>適用</x:v>
      </x:c>
      <x:c r="X317" s="171" t="str">
        <x:v>D2</x:v>
      </x:c>
      <x:c r="Y317" s="165" t="str">
        <x:v>遅延剪定は前年収穫; 剪定で土壌改良</x:v>
      </x:c>
      <x:c r="Z317" s="171" t="str">
        <x:v>N</x:v>
      </x:c>
      <x:c r="AA317" s="165"/>
      <x:c r="AB317" s="165" t="str">
        <x:v>オリジナル</x:v>
      </x:c>
      <x:c r="AC317" s="165" t="str">
        <x:v>公式Specificationの範囲＋ユーザー作成コーパスの論点を参考に独自作成</x:v>
      </x:c>
      <x:c r="AD317" s="171" t="str">
        <x:v>未レビュー</x:v>
      </x:c>
      <x:c r="AE317" s="171"/>
      <x:c r="AF317" s="171"/>
      <x:c r="AG317" s="312"/>
    </x:row>
    <x:row r="318" ht="84" customHeight="1">
      <x:c r="A318" s="311" t="str">
        <x:v>LO1-077</x:v>
      </x:c>
      <x:c r="B318" s="171" t="str">
        <x:v>LO1</x:v>
      </x:c>
      <x:c r="C318" s="165" t="str">
        <x:v>ブドウ畑・ワイナリーの自然要因と人的要因</x:v>
      </x:c>
      <x:c r="D318" s="165" t="str">
        <x:v>スプリンクラー霜対策</x:v>
      </x:c>
      <x:c r="E318" s="165" t="str">
        <x:v>霜害対策としてブドウ樹へ散水を続ける方法が有効な主な理由はどれか。</x:v>
      </x:c>
      <x:c r="F318" s="165" t="str">
        <x:v>水が凍る際に放出する潜熱が、植物組織をおよそ0℃付近に保つため</x:v>
      </x:c>
      <x:c r="G318" s="165" t="str">
        <x:v>氷が芽を乾燥させ、凍結点を大幅に下げるため</x:v>
      </x:c>
      <x:c r="H318" s="165" t="str">
        <x:v>散水すると霜が蒸発し、夏の気温になるため</x:v>
      </x:c>
      <x:c r="I318" s="165" t="str">
        <x:v>水が樹上で発酵し、アルコールが不凍液になるため</x:v>
      </x:c>
      <x:c r="J318" s="171" t="str">
        <x:v>A</x:v>
      </x:c>
      <x:c r="K318" s="165" t="str">
        <x:v>水が凍る際に放出する潜熱が、植物組織をおよそ0℃付近に保つため</x:v>
      </x:c>
      <x:c r="L318" s="165" t="str">
        <x:v>水が継続して凍結するときに熱が放出され、散水が続く限り芽や新梢の温度低下を抑えられる。</x:v>
      </x:c>
      <x:c r="M318" s="165" t="str">
        <x:v>正しい。 水が継続して凍結するときに熱が放出され、散水が続く限り芽や新梢の温度低下を抑えられる。</x:v>
      </x:c>
      <x:c r="N318" s="165" t="str">
        <x:v>誤り。 保護効果は乾燥ではなく、凍結時に放出される熱による。</x:v>
      </x:c>
      <x:c r="O318" s="165" t="str">
        <x:v>誤り。 気温が夏の水準になるのではなく、組織を凍結損傷温度より高く保つ。</x:v>
      </x:c>
      <x:c r="P318" s="165" t="str">
        <x:v>誤り。 樹上の散水がアルコール発酵するわけではない。</x:v>
      </x:c>
      <x:c r="Q318" s="165" t="str">
        <x:v>栽培</x:v>
      </x:c>
      <x:c r="R318" s="165" t="str">
        <x:v>霜害対策</x:v>
      </x:c>
      <x:c r="S318" s="165" t="str">
        <x:v>非発泡性ワイン</x:v>
      </x:c>
      <x:c r="T318" s="165"/>
      <x:c r="U318" s="165"/>
      <x:c r="V318" s="165"/>
      <x:c r="W318" s="165" t="str">
        <x:v>因果説明</x:v>
      </x:c>
      <x:c r="X318" s="171" t="str">
        <x:v>D3</x:v>
      </x:c>
      <x:c r="Y318" s="165" t="str">
        <x:v>氷そのものが断熱だけで保護; 散水で発酵</x:v>
      </x:c>
      <x:c r="Z318" s="171" t="str">
        <x:v>N</x:v>
      </x:c>
      <x:c r="AA318" s="165"/>
      <x:c r="AB318" s="165" t="str">
        <x:v>オリジナル</x:v>
      </x:c>
      <x:c r="AC318" s="165" t="str">
        <x:v>公式Specificationの範囲＋ユーザー作成コーパスの論点を参考に独自作成</x:v>
      </x:c>
      <x:c r="AD318" s="171" t="str">
        <x:v>未レビュー</x:v>
      </x:c>
      <x:c r="AE318" s="171"/>
      <x:c r="AF318" s="171"/>
      <x:c r="AG318" s="312"/>
    </x:row>
    <x:row r="319" ht="84" customHeight="1">
      <x:c r="A319" s="311" t="str">
        <x:v>LO1-078</x:v>
      </x:c>
      <x:c r="B319" s="171" t="str">
        <x:v>LO1</x:v>
      </x:c>
      <x:c r="C319" s="165" t="str">
        <x:v>ブドウ畑・ワイナリーの自然要因と人的要因</x:v>
      </x:c>
      <x:c r="D319" s="165" t="str">
        <x:v>防雹ネット</x:v>
      </x:c>
      <x:c r="E319" s="165" t="str">
        <x:v>防雹ネットの主な利点はどれか。</x:v>
      </x:c>
      <x:c r="F319" s="165" t="str">
        <x:v>畑の気温を必ず10℃上げる</x:v>
      </x:c>
      <x:c r="G319" s="165" t="str">
        <x:v>雹が果房や新梢へ直接当たるのを減らし、物理的損傷を抑える</x:v>
      </x:c>
      <x:c r="H319" s="165" t="str">
        <x:v>フィロキセラを土壌から完全に除去する</x:v>
      </x:c>
      <x:c r="I319" s="165" t="str">
        <x:v>果実の糖を酸へ変換する</x:v>
      </x:c>
      <x:c r="J319" s="171" t="str">
        <x:v>B</x:v>
      </x:c>
      <x:c r="K319" s="165" t="str">
        <x:v>雹が果房や新梢へ直接当たるのを減らし、物理的損傷を抑える</x:v>
      </x:c>
      <x:c r="L319" s="165" t="str">
        <x:v>ネットは雹粒の衝撃を遮り、果皮の裂傷、果房の損失、病害侵入口の発生を減らす。</x:v>
      </x:c>
      <x:c r="M319" s="165" t="str">
        <x:v>誤り。 ネットの主目的は衝撃防止であり、大幅な昇温ではない。</x:v>
      </x:c>
      <x:c r="N319" s="165" t="str">
        <x:v>正しい。 ネットは雹粒の衝撃を遮り、果皮の裂傷、果房の損失、病害侵入口の発生を減らす。</x:v>
      </x:c>
      <x:c r="O319" s="165" t="str">
        <x:v>誤り。 フィロキセラは根に寄生し、ネットでは防げない。</x:v>
      </x:c>
      <x:c r="P319" s="165" t="str">
        <x:v>誤り。 ネットは果実の化学成分を直接変換しない。</x:v>
      </x:c>
      <x:c r="Q319" s="165" t="str">
        <x:v>栽培</x:v>
      </x:c>
      <x:c r="R319" s="165" t="str">
        <x:v>雹害対策</x:v>
      </x:c>
      <x:c r="S319" s="165" t="str">
        <x:v>非発泡性ワイン</x:v>
      </x:c>
      <x:c r="T319" s="165"/>
      <x:c r="U319" s="165"/>
      <x:c r="V319" s="165"/>
      <x:c r="W319" s="165" t="str">
        <x:v>知識確認</x:v>
      </x:c>
      <x:c r="X319" s="171" t="str">
        <x:v>D1</x:v>
      </x:c>
      <x:c r="Y319" s="165" t="str">
        <x:v>防雹ネットは温室; 防雹ネットで根害虫防止</x:v>
      </x:c>
      <x:c r="Z319" s="171" t="str">
        <x:v>N</x:v>
      </x:c>
      <x:c r="AA319" s="165"/>
      <x:c r="AB319" s="165" t="str">
        <x:v>オリジナル</x:v>
      </x:c>
      <x:c r="AC319" s="165" t="str">
        <x:v>公式Specificationの範囲＋ユーザー作成コーパスの論点を参考に独自作成</x:v>
      </x:c>
      <x:c r="AD319" s="171" t="str">
        <x:v>未レビュー</x:v>
      </x:c>
      <x:c r="AE319" s="171"/>
      <x:c r="AF319" s="171"/>
      <x:c r="AG319" s="312"/>
    </x:row>
    <x:row r="320" ht="84" customHeight="1">
      <x:c r="A320" s="311" t="str">
        <x:v>LO1-079</x:v>
      </x:c>
      <x:c r="B320" s="171" t="str">
        <x:v>LO1</x:v>
      </x:c>
      <x:c r="C320" s="165" t="str">
        <x:v>ブドウ畑・ワイナリーの自然要因と人的要因</x:v>
      </x:c>
      <x:c r="D320" s="165" t="str">
        <x:v>グリーン・ハーヴェスト</x:v>
      </x:c>
      <x:c r="E320" s="165" t="str">
        <x:v>過剰な着果が見られる畑でグリーン・ハーヴェストを行う主な目的はどれか。</x:v>
      </x:c>
      <x:c r="F320" s="165" t="str">
        <x:v>成熟した房をすべて除き、未熟な房だけを残す</x:v>
      </x:c>
      <x:c r="G320" s="165" t="str">
        <x:v>畑の水分を増やすため、葉をすべて取り除く</x:v>
      </x:c>
      <x:c r="H320" s="165" t="str">
        <x:v>未熟な房を除き、残った果実へ樹の資源を集中させる</x:v>
      </x:c>
      <x:c r="I320" s="165" t="str">
        <x:v>果実を樹上で乾燥させ、甘口ワインを必ず造る</x:v>
      </x:c>
      <x:c r="J320" s="171" t="str">
        <x:v>C</x:v>
      </x:c>
      <x:c r="K320" s="165" t="str">
        <x:v>未熟な房を除き、残った果実へ樹の資源を集中させる</x:v>
      </x:c>
      <x:c r="L320" s="165" t="str">
        <x:v>収量を減らすことで、葉面積に対する果実量を適正化し、残った果実の糖と風味の成熟を助ける。</x:v>
      </x:c>
      <x:c r="M320" s="165" t="str">
        <x:v>誤り。 通常は未熟な段階で余分な房を除き、収穫対象を失うことが目的ではない。</x:v>
      </x:c>
      <x:c r="N320" s="165" t="str">
        <x:v>誤り。 房の除去であり、灌漑や全面除葉とは異なる。</x:v>
      </x:c>
      <x:c r="O320" s="165" t="str">
        <x:v>正しい。 収量を減らすことで、葉面積に対する果実量を適正化し、残った果実の糖と風味の成熟を助ける。</x:v>
      </x:c>
      <x:c r="P320" s="165" t="str">
        <x:v>誤り。 グリーン・ハーヴェストは収量調整で、乾燥工程ではない。</x:v>
      </x:c>
      <x:c r="Q320" s="165" t="str">
        <x:v>栽培</x:v>
      </x:c>
      <x:c r="R320" s="165" t="str">
        <x:v>収量管理</x:v>
      </x:c>
      <x:c r="S320" s="165" t="str">
        <x:v>非発泡性ワイン</x:v>
      </x:c>
      <x:c r="T320" s="165"/>
      <x:c r="U320" s="165"/>
      <x:c r="V320" s="165"/>
      <x:c r="W320" s="165" t="str">
        <x:v>適用</x:v>
      </x:c>
      <x:c r="X320" s="171" t="str">
        <x:v>D2</x:v>
      </x:c>
      <x:c r="Y320" s="165" t="str">
        <x:v>グリーンハーヴェストは収穫; 房除去で甘口化</x:v>
      </x:c>
      <x:c r="Z320" s="171" t="str">
        <x:v>N</x:v>
      </x:c>
      <x:c r="AA320" s="165"/>
      <x:c r="AB320" s="165" t="str">
        <x:v>オリジナル</x:v>
      </x:c>
      <x:c r="AC320" s="165" t="str">
        <x:v>公式Specificationの範囲＋ユーザー作成コーパスの論点を参考に独自作成</x:v>
      </x:c>
      <x:c r="AD320" s="171" t="str">
        <x:v>未レビュー</x:v>
      </x:c>
      <x:c r="AE320" s="171"/>
      <x:c r="AF320" s="171"/>
      <x:c r="AG320" s="312"/>
    </x:row>
    <x:row r="321" ht="84" customHeight="1">
      <x:c r="A321" s="311" t="str">
        <x:v>LO1-080</x:v>
      </x:c>
      <x:c r="B321" s="171" t="str">
        <x:v>LO1</x:v>
      </x:c>
      <x:c r="C321" s="165" t="str">
        <x:v>ブドウ畑・ワイナリーの自然要因と人的要因</x:v>
      </x:c>
      <x:c r="D321" s="165" t="str">
        <x:v>果房周辺の除葉</x:v>
      </x:c>
      <x:c r="E321" s="165" t="str">
        <x:v>湿潤な地域で果房周辺の葉を適度に除く主な利点はどれか。</x:v>
      </x:c>
      <x:c r="F321" s="165" t="str">
        <x:v>果房を常に完全な暗闇に置く</x:v>
      </x:c>
      <x:c r="G321" s="165" t="str">
        <x:v>根の深さを数日で倍にする</x:v>
      </x:c>
      <x:c r="H321" s="165" t="str">
        <x:v>果実の酸をすべて失わせる</x:v>
      </x:c>
      <x:c r="I321" s="165" t="str">
        <x:v>風通しと日照を改善し、果房が乾きやすくなることで菌類病を抑える</x:v>
      </x:c>
      <x:c r="J321" s="171" t="str">
        <x:v>D</x:v>
      </x:c>
      <x:c r="K321" s="165" t="str">
        <x:v>風通しと日照を改善し、果房が乾きやすくなることで菌類病を抑える</x:v>
      </x:c>
      <x:c r="L321" s="165" t="str">
        <x:v>適度な除葉は湿度を下げ、農薬散布の到達性も高めるが、過度に行うと日焼けのリスクがある。</x:v>
      </x:c>
      <x:c r="M321" s="165" t="str">
        <x:v>誤り。 葉を除くと果房への光は増え、暗闇にはならない。</x:v>
      </x:c>
      <x:c r="N321" s="165" t="str">
        <x:v>誤り。 除葉は根の深さを直接変えない。</x:v>
      </x:c>
      <x:c r="O321" s="165" t="str">
        <x:v>誤り。 適度な除葉が必ず酸を完全に失わせるわけではない。</x:v>
      </x:c>
      <x:c r="P321" s="165" t="str">
        <x:v>正しい。 適度な除葉は湿度を下げ、農薬散布の到達性も高めるが、過度に行うと日焼けのリスクがある。</x:v>
      </x:c>
      <x:c r="Q321" s="165" t="str">
        <x:v>栽培</x:v>
      </x:c>
      <x:c r="R321" s="165" t="str">
        <x:v>キャノピー・マネジメント</x:v>
      </x:c>
      <x:c r="S321" s="165" t="str">
        <x:v>非発泡性ワイン</x:v>
      </x:c>
      <x:c r="T321" s="165"/>
      <x:c r="U321" s="165"/>
      <x:c r="V321" s="165"/>
      <x:c r="W321" s="165" t="str">
        <x:v>適用</x:v>
      </x:c>
      <x:c r="X321" s="171" t="str">
        <x:v>D2</x:v>
      </x:c>
      <x:c r="Y321" s="165" t="str">
        <x:v>除葉は遮光; 除葉で酸がゼロ</x:v>
      </x:c>
      <x:c r="Z321" s="171" t="str">
        <x:v>N</x:v>
      </x:c>
      <x:c r="AA321" s="165"/>
      <x:c r="AB321" s="165" t="str">
        <x:v>オリジナル</x:v>
      </x:c>
      <x:c r="AC321" s="165" t="str">
        <x:v>公式Specificationの範囲＋ユーザー作成コーパスの論点を参考に独自作成</x:v>
      </x:c>
      <x:c r="AD321" s="171" t="str">
        <x:v>未レビュー</x:v>
      </x:c>
      <x:c r="AE321" s="171"/>
      <x:c r="AF321" s="171"/>
      <x:c r="AG321" s="312"/>
    </x:row>
    <x:row r="322" ht="84" customHeight="1">
      <x:c r="A322" s="311" t="str">
        <x:v>LO1-081</x:v>
      </x:c>
      <x:c r="B322" s="171" t="str">
        <x:v>LO1</x:v>
      </x:c>
      <x:c r="C322" s="165" t="str">
        <x:v>ブドウ畑・ワイナリーの自然要因と人的要因</x:v>
      </x:c>
      <x:c r="D322" s="165" t="str">
        <x:v>シュート・シニング</x:v>
      </x:c>
      <x:c r="E322" s="165" t="str">
        <x:v>シュート・シニングを行う主な目的はどれか。</x:v>
      </x:c>
      <x:c r="F322" s="165" t="str">
        <x:v>不要な新梢を除き、キャノピーの密度と収量を調整する</x:v>
      </x:c>
      <x:c r="G322" s="165" t="str">
        <x:v>成熟した果粒をワイナリーで選別する</x:v>
      </x:c>
      <x:c r="H322" s="165" t="str">
        <x:v>根を切って樹を植え替える</x:v>
      </x:c>
      <x:c r="I322" s="165" t="str">
        <x:v>発酵中の果皮を液中へ沈める</x:v>
      </x:c>
      <x:c r="J322" s="171" t="str">
        <x:v>A</x:v>
      </x:c>
      <x:c r="K322" s="165" t="str">
        <x:v>不要な新梢を除き、キャノピーの密度と収量を調整する</x:v>
      </x:c>
      <x:c r="L322" s="165" t="str">
        <x:v>新梢数を減らすことで、光と風通しを改善し、果実と葉のバランスを整える。</x:v>
      </x:c>
      <x:c r="M322" s="165" t="str">
        <x:v>正しい。 新梢数を減らすことで、光と風通しを改善し、果実と葉のバランスを整える。</x:v>
      </x:c>
      <x:c r="N322" s="165" t="str">
        <x:v>誤り。 シュート・シニングは畑で新梢を除く作業であり、選果ではない。</x:v>
      </x:c>
      <x:c r="O322" s="165" t="str">
        <x:v>誤り。 新梢の管理であり、根の切断や植え替えではない。</x:v>
      </x:c>
      <x:c r="P322" s="165" t="str">
        <x:v>誤り。 これはパンチング・ダウンなどの醸造操作である。</x:v>
      </x:c>
      <x:c r="Q322" s="165" t="str">
        <x:v>栽培</x:v>
      </x:c>
      <x:c r="R322" s="165" t="str">
        <x:v>キャノピー・マネジメント</x:v>
      </x:c>
      <x:c r="S322" s="165" t="str">
        <x:v>非発泡性ワイン</x:v>
      </x:c>
      <x:c r="T322" s="165"/>
      <x:c r="U322" s="165"/>
      <x:c r="V322" s="165"/>
      <x:c r="W322" s="165" t="str">
        <x:v>知識確認</x:v>
      </x:c>
      <x:c r="X322" s="171" t="str">
        <x:v>D1</x:v>
      </x:c>
      <x:c r="Y322" s="165" t="str">
        <x:v>シュートシニングは選果; シュートシニングは醸造</x:v>
      </x:c>
      <x:c r="Z322" s="171" t="str">
        <x:v>N</x:v>
      </x:c>
      <x:c r="AA322" s="165"/>
      <x:c r="AB322" s="165" t="str">
        <x:v>オリジナル</x:v>
      </x:c>
      <x:c r="AC322" s="165" t="str">
        <x:v>公式Specificationの範囲＋ユーザー作成コーパスの論点を参考に独自作成</x:v>
      </x:c>
      <x:c r="AD322" s="171" t="str">
        <x:v>未レビュー</x:v>
      </x:c>
      <x:c r="AE322" s="171"/>
      <x:c r="AF322" s="171"/>
      <x:c r="AG322" s="312"/>
    </x:row>
    <x:row r="323" ht="84" customHeight="1">
      <x:c r="A323" s="311" t="str">
        <x:v>LO1-082</x:v>
      </x:c>
      <x:c r="B323" s="171" t="str">
        <x:v>LO1</x:v>
      </x:c>
      <x:c r="C323" s="165" t="str">
        <x:v>ブドウ畑・ワイナリーの自然要因と人的要因</x:v>
      </x:c>
      <x:c r="D323" s="165" t="str">
        <x:v>選果</x:v>
      </x:c>
      <x:c r="E323" s="165" t="str">
        <x:v>収穫後の選果が高品質ワインの生産に役立つ主な理由はどれか。</x:v>
      </x:c>
      <x:c r="F323" s="165" t="str">
        <x:v>健全な果実の糖をすべて除去する</x:v>
      </x:c>
      <x:c r="G323" s="165" t="str">
        <x:v>腐敗果、未熟果、葉などを除き、健全な果実だけを醸造に使える</x:v>
      </x:c>
      <x:c r="H323" s="165" t="str">
        <x:v>ブドウ品種を別の品種へ変える</x:v>
      </x:c>
      <x:c r="I323" s="165" t="str">
        <x:v>ワインを瓶内で発泡させる</x:v>
      </x:c>
      <x:c r="J323" s="171" t="str">
        <x:v>B</x:v>
      </x:c>
      <x:c r="K323" s="165" t="str">
        <x:v>腐敗果、未熟果、葉などを除き、健全な果実だけを醸造に使える</x:v>
      </x:c>
      <x:c r="L323" s="165" t="str">
        <x:v>不適切な果実や異物を除くことで、好ましくない風味、過度な酸味、微生物汚染のリスクを減らせる。</x:v>
      </x:c>
      <x:c r="M323" s="165" t="str">
        <x:v>誤り。 選果は果実を選別する工程であり、糖を抽出して除くものではない。</x:v>
      </x:c>
      <x:c r="N323" s="165" t="str">
        <x:v>正しい。 不適切な果実や異物を除くことで、好ましくない風味、過度な酸味、微生物汚染のリスクを減らせる。</x:v>
      </x:c>
      <x:c r="O323" s="165" t="str">
        <x:v>誤り。 選果では品種の遺伝的性質は変わらない。</x:v>
      </x:c>
      <x:c r="P323" s="165" t="str">
        <x:v>誤り。 発泡性は二次発酵や炭酸ガス注入など別の工程で生じる。</x:v>
      </x:c>
      <x:c r="Q323" s="165" t="str">
        <x:v>醸造</x:v>
      </x:c>
      <x:c r="R323" s="165" t="str">
        <x:v>原料選別</x:v>
      </x:c>
      <x:c r="S323" s="165" t="str">
        <x:v>全般</x:v>
      </x:c>
      <x:c r="T323" s="165"/>
      <x:c r="U323" s="165"/>
      <x:c r="V323" s="165"/>
      <x:c r="W323" s="165" t="str">
        <x:v>因果説明</x:v>
      </x:c>
      <x:c r="X323" s="171" t="str">
        <x:v>D1</x:v>
      </x:c>
      <x:c r="Y323" s="165" t="str">
        <x:v>選果で糖除去; 選果で品種変更</x:v>
      </x:c>
      <x:c r="Z323" s="171" t="str">
        <x:v>N</x:v>
      </x:c>
      <x:c r="AA323" s="165"/>
      <x:c r="AB323" s="165" t="str">
        <x:v>オリジナル</x:v>
      </x:c>
      <x:c r="AC323" s="165" t="str">
        <x:v>公式Specificationの範囲＋ユーザー作成コーパスの論点を参考に独自作成</x:v>
      </x:c>
      <x:c r="AD323" s="171" t="str">
        <x:v>未レビュー</x:v>
      </x:c>
      <x:c r="AE323" s="171"/>
      <x:c r="AF323" s="171"/>
      <x:c r="AG323" s="312"/>
    </x:row>
    <x:row r="324" ht="84" customHeight="1">
      <x:c r="A324" s="311" t="str">
        <x:v>LO1-083</x:v>
      </x:c>
      <x:c r="B324" s="171" t="str">
        <x:v>LO1</x:v>
      </x:c>
      <x:c r="C324" s="165" t="str">
        <x:v>ブドウ畑・ワイナリーの自然要因と人的要因</x:v>
      </x:c>
      <x:c r="D324" s="165" t="str">
        <x:v>収穫容器</x:v>
      </x:c>
      <x:c r="E324" s="165" t="str">
        <x:v>高品質な手摘みブドウを小型で浅い容器に入れて運ぶ主な利点はどれか。</x:v>
      </x:c>
      <x:c r="F324" s="165" t="str">
        <x:v>果実を意図的に圧搾し、畑で発酵を始める</x:v>
      </x:c>
      <x:c r="G324" s="165" t="str">
        <x:v>すべての果実を乾燥させてレーズンにする</x:v>
      </x:c>
      <x:c r="H324" s="165" t="str">
        <x:v>果実の自重による潰れを減らし、早期の酸化や微生物活動を抑える</x:v>
      </x:c>
      <x:c r="I324" s="165" t="str">
        <x:v>果皮を薄くして色素を減らす</x:v>
      </x:c>
      <x:c r="J324" s="171" t="str">
        <x:v>C</x:v>
      </x:c>
      <x:c r="K324" s="165" t="str">
        <x:v>果実の自重による潰れを減らし、早期の酸化や微生物活動を抑える</x:v>
      </x:c>
      <x:c r="L324" s="165" t="str">
        <x:v>浅い容器は下部の果実にかかる圧力を軽減し、果汁漏出と望ましくない発酵開始を防ぎやすい。</x:v>
      </x:c>
      <x:c r="M324" s="165" t="str">
        <x:v>誤り。 高品質な収穫では、ワイナリー到着前の潰れと発酵を避ける。</x:v>
      </x:c>
      <x:c r="N324" s="165" t="str">
        <x:v>誤り。 運搬容器の目的は果実保護であり、乾燥ではない。</x:v>
      </x:c>
      <x:c r="O324" s="165" t="str">
        <x:v>正しい。 浅い容器は下部の果実にかかる圧力を軽減し、果汁漏出と望ましくない発酵開始を防ぎやすい。</x:v>
      </x:c>
      <x:c r="P324" s="165" t="str">
        <x:v>誤り。 容器の大きさは果皮の厚さを変えない。</x:v>
      </x:c>
      <x:c r="Q324" s="165" t="str">
        <x:v>栽培</x:v>
      </x:c>
      <x:c r="R324" s="165" t="str">
        <x:v>収穫・運搬</x:v>
      </x:c>
      <x:c r="S324" s="165" t="str">
        <x:v>全般</x:v>
      </x:c>
      <x:c r="T324" s="165"/>
      <x:c r="U324" s="165"/>
      <x:c r="V324" s="165"/>
      <x:c r="W324" s="165" t="str">
        <x:v>因果説明</x:v>
      </x:c>
      <x:c r="X324" s="171" t="str">
        <x:v>D2</x:v>
      </x:c>
      <x:c r="Y324" s="165" t="str">
        <x:v>運搬中に圧搾; 小箱で乾燥</x:v>
      </x:c>
      <x:c r="Z324" s="171" t="str">
        <x:v>N</x:v>
      </x:c>
      <x:c r="AA324" s="165"/>
      <x:c r="AB324" s="165" t="str">
        <x:v>オリジナル</x:v>
      </x:c>
      <x:c r="AC324" s="165" t="str">
        <x:v>公式Specificationの範囲＋ユーザー作成コーパスの論点を参考に独自作成</x:v>
      </x:c>
      <x:c r="AD324" s="171" t="str">
        <x:v>未レビュー</x:v>
      </x:c>
      <x:c r="AE324" s="171"/>
      <x:c r="AF324" s="171"/>
      <x:c r="AG324" s="312"/>
    </x:row>
    <x:row r="325" ht="84" customHeight="1">
      <x:c r="A325" s="311" t="str">
        <x:v>LO1-084</x:v>
      </x:c>
      <x:c r="B325" s="171" t="str">
        <x:v>LO1</x:v>
      </x:c>
      <x:c r="C325" s="165" t="str">
        <x:v>ブドウ畑・ワイナリーの自然要因と人的要因</x:v>
      </x:c>
      <x:c r="D325" s="165" t="str">
        <x:v>夜間の機械収穫</x:v>
      </x:c>
      <x:c r="E325" s="165" t="str">
        <x:v>温暖な地域で機械収穫を夜間に行う利点として最も適切なものはどれか。</x:v>
      </x:c>
      <x:c r="F325" s="165" t="str">
        <x:v>夜間はブドウの糖がすべて酸へ変わる</x:v>
      </x:c>
      <x:c r="G325" s="165" t="str">
        <x:v>夜間は機械が果房だけを完全選別できる</x:v>
      </x:c>
      <x:c r="H325" s="165" t="str">
        <x:v>暗闇によって果皮の色素が増える</x:v>
      </x:c>
      <x:c r="I325" s="165" t="str">
        <x:v>低い果実温度で収穫でき、酸化と微生物活動を抑え、冷却費も減らせる</x:v>
      </x:c>
      <x:c r="J325" s="171" t="str">
        <x:v>D</x:v>
      </x:c>
      <x:c r="K325" s="165" t="str">
        <x:v>低い果実温度で収穫でき、酸化と微生物活動を抑え、冷却費も減らせる</x:v>
      </x:c>
      <x:c r="L325" s="165" t="str">
        <x:v>夜間の低温はブドウをより良い状態でワイナリーへ運び、香りの保持とエネルギー節約に役立つ。</x:v>
      </x:c>
      <x:c r="M325" s="165" t="str">
        <x:v>誤り。 日内変動はあっても、糖が一晩ですべて酸へ変わるわけではない。</x:v>
      </x:c>
      <x:c r="N325" s="165" t="str">
        <x:v>誤り。 機械収穫は葉や未熟果が混じる場合があり、夜間でも完全選別にはならない。</x:v>
      </x:c>
      <x:c r="O325" s="165" t="str">
        <x:v>誤り。 収穫時の暗さが果皮色素を急増させるわけではない。</x:v>
      </x:c>
      <x:c r="P325" s="165" t="str">
        <x:v>正しい。 夜間の低温はブドウをより良い状態でワイナリーへ運び、香りの保持とエネルギー節約に役立つ。</x:v>
      </x:c>
      <x:c r="Q325" s="165" t="str">
        <x:v>栽培</x:v>
      </x:c>
      <x:c r="R325" s="165" t="str">
        <x:v>収穫方法</x:v>
      </x:c>
      <x:c r="S325" s="165" t="str">
        <x:v>全般</x:v>
      </x:c>
      <x:c r="T325" s="165"/>
      <x:c r="U325" s="165"/>
      <x:c r="V325" s="165"/>
      <x:c r="W325" s="165" t="str">
        <x:v>適用</x:v>
      </x:c>
      <x:c r="X325" s="171" t="str">
        <x:v>D2</x:v>
      </x:c>
      <x:c r="Y325" s="165" t="str">
        <x:v>夜間に糖が酸へ変化; 機械収穫は完全選別</x:v>
      </x:c>
      <x:c r="Z325" s="171" t="str">
        <x:v>N</x:v>
      </x:c>
      <x:c r="AA325" s="165"/>
      <x:c r="AB325" s="165" t="str">
        <x:v>オリジナル</x:v>
      </x:c>
      <x:c r="AC325" s="165" t="str">
        <x:v>公式Specificationの範囲＋ユーザー作成コーパスの論点を参考に独自作成</x:v>
      </x:c>
      <x:c r="AD325" s="171" t="str">
        <x:v>未レビュー</x:v>
      </x:c>
      <x:c r="AE325" s="171"/>
      <x:c r="AF325" s="171"/>
      <x:c r="AG325" s="312"/>
    </x:row>
    <x:row r="326" ht="84" customHeight="1">
      <x:c r="A326" s="311" t="str">
        <x:v>LO1-085</x:v>
      </x:c>
      <x:c r="B326" s="171" t="str">
        <x:v>LO1</x:v>
      </x:c>
      <x:c r="C326" s="165" t="str">
        <x:v>ブドウ畑・ワイナリーの自然要因と人的要因</x:v>
      </x:c>
      <x:c r="D326" s="165" t="str">
        <x:v>複数回収穫</x:v>
      </x:c>
      <x:c r="E326" s="165" t="str">
        <x:v>貴腐甘口ワインで畑を複数回に分けて手摘みする主な理由はどれか。</x:v>
      </x:c>
      <x:c r="F326" s="165" t="str">
        <x:v>貴腐の進行が果粒ごとに異なるため、適切に乾燥した果実だけを選ぶ</x:v>
      </x:c>
      <x:c r="G326" s="165" t="str">
        <x:v>同じ果房を毎回収穫して、再び樹へ戻す</x:v>
      </x:c>
      <x:c r="H326" s="165" t="str">
        <x:v>果実を機械的にすべて同時収穫するため</x:v>
      </x:c>
      <x:c r="I326" s="165" t="str">
        <x:v>貴腐菌をワイナリーで果実へ注入するため</x:v>
      </x:c>
      <x:c r="J326" s="171" t="str">
        <x:v>A</x:v>
      </x:c>
      <x:c r="K326" s="165" t="str">
        <x:v>貴腐の進行が果粒ごとに異なるため、適切に乾燥した果実だけを選ぶ</x:v>
      </x:c>
      <x:c r="L326" s="165" t="str">
        <x:v>ボトリティスの進行は不均一であり、選択的な収穫を繰り返すことで、望ましい濃縮果を集められる。</x:v>
      </x:c>
      <x:c r="M326" s="165" t="str">
        <x:v>正しい。 ボトリティスの進行は不均一であり、選択的な収穫を繰り返すことで、望ましい濃縮果を集められる。</x:v>
      </x:c>
      <x:c r="N326" s="165" t="str">
        <x:v>誤り。 一度摘んだ果実を樹へ戻して成熟させることはない。</x:v>
      </x:c>
      <x:c r="O326" s="165" t="str">
        <x:v>誤り。 複数回収穫は選択性を高める手摘みであることが多い。</x:v>
      </x:c>
      <x:c r="P326" s="165" t="str">
        <x:v>誤り。 貴腐は畑の適切な気象条件で発生する。</x:v>
      </x:c>
      <x:c r="Q326" s="165" t="str">
        <x:v>栽培</x:v>
      </x:c>
      <x:c r="R326" s="165" t="str">
        <x:v>選択的収穫</x:v>
      </x:c>
      <x:c r="S326" s="165" t="str">
        <x:v>甘口ワイン</x:v>
      </x:c>
      <x:c r="T326" s="165"/>
      <x:c r="U326" s="165"/>
      <x:c r="V326" s="165"/>
      <x:c r="W326" s="165" t="str">
        <x:v>因果説明</x:v>
      </x:c>
      <x:c r="X326" s="171" t="str">
        <x:v>D2</x:v>
      </x:c>
      <x:c r="Y326" s="165" t="str">
        <x:v>複数回収穫は機械一斉; 貴腐はワイナリー注入</x:v>
      </x:c>
      <x:c r="Z326" s="171" t="str">
        <x:v>N</x:v>
      </x:c>
      <x:c r="AA326" s="165"/>
      <x:c r="AB326" s="165" t="str">
        <x:v>オリジナル</x:v>
      </x:c>
      <x:c r="AC326" s="165" t="str">
        <x:v>公式Specificationの範囲＋ユーザー作成コーパスの論点を参考に独自作成</x:v>
      </x:c>
      <x:c r="AD326" s="171" t="str">
        <x:v>未レビュー</x:v>
      </x:c>
      <x:c r="AE326" s="171"/>
      <x:c r="AF326" s="171"/>
      <x:c r="AG326" s="312"/>
    </x:row>
    <x:row r="327" ht="84" customHeight="1">
      <x:c r="A327" s="311" t="str">
        <x:v>LO1-086</x:v>
      </x:c>
      <x:c r="B327" s="171" t="str">
        <x:v>LO1</x:v>
      </x:c>
      <x:c r="C327" s="165" t="str">
        <x:v>ブドウ畑・ワイナリーの自然要因と人的要因</x:v>
      </x:c>
      <x:c r="D327" s="165" t="str">
        <x:v>全房圧搾</x:v>
      </x:c>
      <x:c r="E327" s="165" t="str">
        <x:v>白ワインや発泡性ワイン用ブドウを全房圧搾する利点として最も適切なものはどれか。</x:v>
      </x:c>
      <x:c r="F327" s="165" t="str">
        <x:v>果皮から最大限のタンニンを抽出する</x:v>
      </x:c>
      <x:c r="G327" s="165" t="str">
        <x:v>果皮や種子の強い抽出を抑えながら、比較的清澄な果汁を得やすい</x:v>
      </x:c>
      <x:c r="H327" s="165" t="str">
        <x:v>果汁を発酵前に完全に甘口へ変える</x:v>
      </x:c>
      <x:c r="I327" s="165" t="str">
        <x:v>赤ワインの色を必ず最も濃くする</x:v>
      </x:c>
      <x:c r="J327" s="171" t="str">
        <x:v>B</x:v>
      </x:c>
      <x:c r="K327" s="165" t="str">
        <x:v>果皮や種子の強い抽出を抑えながら、比較的清澄な果汁を得やすい</x:v>
      </x:c>
      <x:c r="L327" s="165" t="str">
        <x:v>房軸が果汁の排出経路をつくり、破砕を抑えるため、色、タンニン、苦味の抽出を低く保ちやすい。</x:v>
      </x:c>
      <x:c r="M327" s="165" t="str">
        <x:v>誤り。 全房圧搾は一般に強い抽出を避けるために用いられる。</x:v>
      </x:c>
      <x:c r="N327" s="165" t="str">
        <x:v>正しい。 房軸が果汁の排出経路をつくり、破砕を抑えるため、色、タンニン、苦味の抽出を低く保ちやすい。</x:v>
      </x:c>
      <x:c r="O327" s="165" t="str">
        <x:v>誤り。 圧搾方法だけで残糖や甘味は決まらない。</x:v>
      </x:c>
      <x:c r="P327" s="165" t="str">
        <x:v>誤り。 果皮接触を抑えるため、赤色抽出の最大化には向かない。</x:v>
      </x:c>
      <x:c r="Q327" s="165" t="str">
        <x:v>醸造</x:v>
      </x:c>
      <x:c r="R327" s="165" t="str">
        <x:v>圧搾</x:v>
      </x:c>
      <x:c r="S327" s="165" t="str">
        <x:v>白・発泡性ワイン</x:v>
      </x:c>
      <x:c r="T327" s="165"/>
      <x:c r="U327" s="165"/>
      <x:c r="V327" s="165"/>
      <x:c r="W327" s="165" t="str">
        <x:v>因果説明</x:v>
      </x:c>
      <x:c r="X327" s="171" t="str">
        <x:v>D2</x:v>
      </x:c>
      <x:c r="Y327" s="165" t="str">
        <x:v>全房圧搾は強抽出; 圧搾で甘口化</x:v>
      </x:c>
      <x:c r="Z327" s="171" t="str">
        <x:v>N</x:v>
      </x:c>
      <x:c r="AA327" s="165"/>
      <x:c r="AB327" s="165" t="str">
        <x:v>オリジナル</x:v>
      </x:c>
      <x:c r="AC327" s="165" t="str">
        <x:v>公式Specificationの範囲＋ユーザー作成コーパスの論点を参考に独自作成</x:v>
      </x:c>
      <x:c r="AD327" s="171" t="str">
        <x:v>未レビュー</x:v>
      </x:c>
      <x:c r="AE327" s="171"/>
      <x:c r="AF327" s="171"/>
      <x:c r="AG327" s="312"/>
    </x:row>
    <x:row r="328" ht="84" customHeight="1">
      <x:c r="A328" s="311" t="str">
        <x:v>LO1-087</x:v>
      </x:c>
      <x:c r="B328" s="171" t="str">
        <x:v>LO1</x:v>
      </x:c>
      <x:c r="C328" s="165" t="str">
        <x:v>ブドウ畑・ワイナリーの自然要因と人的要因</x:v>
      </x:c>
      <x:c r="D328" s="165" t="str">
        <x:v>破砕</x:v>
      </x:c>
      <x:c r="E328" s="165" t="str">
        <x:v>除梗後にブドウを軽く破砕する主な目的はどれか。</x:v>
      </x:c>
      <x:c r="F328" s="165" t="str">
        <x:v>種子を完全に粉砕し、苦味を最大化する</x:v>
      </x:c>
      <x:c r="G328" s="165" t="str">
        <x:v>果汁のアルコールを除去する</x:v>
      </x:c>
      <x:c r="H328" s="165" t="str">
        <x:v>果皮を裂いて果汁を放出し、酵母や果皮との接触を始めやすくする</x:v>
      </x:c>
      <x:c r="I328" s="165" t="str">
        <x:v>ワインを清澄して瓶詰めする</x:v>
      </x:c>
      <x:c r="J328" s="171" t="str">
        <x:v>C</x:v>
      </x:c>
      <x:c r="K328" s="165" t="str">
        <x:v>果皮を裂いて果汁を放出し、酵母や果皮との接触を始めやすくする</x:v>
      </x:c>
      <x:c r="L328" s="165" t="str">
        <x:v>破砕により果汁が出て、発酵槽への移送や赤ワインの色・風味抽出が進みやすくなる。</x:v>
      </x:c>
      <x:c r="M328" s="165" t="str">
        <x:v>誤り。 種子を強く壊すと粗いタンニンや苦味が出るため通常は避ける。</x:v>
      </x:c>
      <x:c r="N328" s="165" t="str">
        <x:v>誤り。 破砕時点では通常アルコールはほとんどなく、除去工程でもない。</x:v>
      </x:c>
      <x:c r="O328" s="165" t="str">
        <x:v>正しい。 破砕により果汁が出て、発酵槽への移送や赤ワインの色・風味抽出が進みやすくなる。</x:v>
      </x:c>
      <x:c r="P328" s="165" t="str">
        <x:v>誤り。 破砕は醸造初期の工程であり、清澄・瓶詰めとは異なる。</x:v>
      </x:c>
      <x:c r="Q328" s="165" t="str">
        <x:v>醸造</x:v>
      </x:c>
      <x:c r="R328" s="165" t="str">
        <x:v>破砕・除梗</x:v>
      </x:c>
      <x:c r="S328" s="165" t="str">
        <x:v>全般</x:v>
      </x:c>
      <x:c r="T328" s="165"/>
      <x:c r="U328" s="165"/>
      <x:c r="V328" s="165"/>
      <x:c r="W328" s="165" t="str">
        <x:v>知識確認</x:v>
      </x:c>
      <x:c r="X328" s="171" t="str">
        <x:v>D1</x:v>
      </x:c>
      <x:c r="Y328" s="165" t="str">
        <x:v>破砕は種子粉砕; 破砕は瓶詰め工程</x:v>
      </x:c>
      <x:c r="Z328" s="171" t="str">
        <x:v>N</x:v>
      </x:c>
      <x:c r="AA328" s="165"/>
      <x:c r="AB328" s="165" t="str">
        <x:v>オリジナル</x:v>
      </x:c>
      <x:c r="AC328" s="165" t="str">
        <x:v>公式Specificationの範囲＋ユーザー作成コーパスの論点を参考に独自作成</x:v>
      </x:c>
      <x:c r="AD328" s="171" t="str">
        <x:v>未レビュー</x:v>
      </x:c>
      <x:c r="AE328" s="171"/>
      <x:c r="AF328" s="171"/>
      <x:c r="AG328" s="312"/>
    </x:row>
    <x:row r="329" ht="84" customHeight="1">
      <x:c r="A329" s="311" t="str">
        <x:v>LO1-088</x:v>
      </x:c>
      <x:c r="B329" s="171" t="str">
        <x:v>LO1</x:v>
      </x:c>
      <x:c r="C329" s="165" t="str">
        <x:v>ブドウ畑・ワイナリーの自然要因と人的要因</x:v>
      </x:c>
      <x:c r="D329" s="165" t="str">
        <x:v>低温浸漬</x:v>
      </x:c>
      <x:c r="E329" s="165" t="str">
        <x:v>赤ワイン醸造で発酵前に低温浸漬を行う主な目的はどれか。</x:v>
      </x:c>
      <x:c r="F329" s="165" t="str">
        <x:v>高温で種子タンニンを最大限に抽出する</x:v>
      </x:c>
      <x:c r="G329" s="165" t="str">
        <x:v>残糖を完全に除去する</x:v>
      </x:c>
      <x:c r="H329" s="165" t="str">
        <x:v>マロラクティック発酵を必ず停止する</x:v>
      </x:c>
      <x:c r="I329" s="165" t="str">
        <x:v>アルコール生成前に、果皮から色と果実由来の風味を穏やかに抽出する</x:v>
      </x:c>
      <x:c r="J329" s="171" t="str">
        <x:v>D</x:v>
      </x:c>
      <x:c r="K329" s="165" t="str">
        <x:v>アルコール生成前に、果皮から色と果実由来の風味を穏やかに抽出する</x:v>
      </x:c>
      <x:c r="L329" s="165" t="str">
        <x:v>低温で酵母活動を抑えながら果皮接触を行うことで、水溶性の色素や香り成分の抽出を促す。</x:v>
      </x:c>
      <x:c r="M329" s="165" t="str">
        <x:v>誤り。 低温浸漬は高温抽出ではなく、発酵前の穏やかな抽出である。</x:v>
      </x:c>
      <x:c r="N329" s="165" t="str">
        <x:v>誤り。 残糖は発酵の進行で減り、低温浸漬そのものでは除去されない。</x:v>
      </x:c>
      <x:c r="O329" s="165" t="str">
        <x:v>誤り。 低温浸漬はアルコール発酵前の工程で、MLFの成否を必ず決めない。</x:v>
      </x:c>
      <x:c r="P329" s="165" t="str">
        <x:v>正しい。 低温で酵母活動を抑えながら果皮接触を行うことで、水溶性の色素や香り成分の抽出を促す。</x:v>
      </x:c>
      <x:c r="Q329" s="165" t="str">
        <x:v>醸造</x:v>
      </x:c>
      <x:c r="R329" s="165" t="str">
        <x:v>発酵前処理</x:v>
      </x:c>
      <x:c r="S329" s="165" t="str">
        <x:v>赤ワイン</x:v>
      </x:c>
      <x:c r="T329" s="165"/>
      <x:c r="U329" s="165"/>
      <x:c r="V329" s="165"/>
      <x:c r="W329" s="165" t="str">
        <x:v>因果説明</x:v>
      </x:c>
      <x:c r="X329" s="171" t="str">
        <x:v>D2</x:v>
      </x:c>
      <x:c r="Y329" s="165" t="str">
        <x:v>低温浸漬は高温強抽出; 低温浸漬で残糖除去</x:v>
      </x:c>
      <x:c r="Z329" s="171" t="str">
        <x:v>N</x:v>
      </x:c>
      <x:c r="AA329" s="165"/>
      <x:c r="AB329" s="165" t="str">
        <x:v>オリジナル</x:v>
      </x:c>
      <x:c r="AC329" s="165" t="str">
        <x:v>公式Specificationの範囲＋ユーザー作成コーパスの論点を参考に独自作成</x:v>
      </x:c>
      <x:c r="AD329" s="171" t="str">
        <x:v>未レビュー</x:v>
      </x:c>
      <x:c r="AE329" s="171"/>
      <x:c r="AF329" s="171"/>
      <x:c r="AG329" s="312"/>
    </x:row>
    <x:row r="330" ht="84" customHeight="1">
      <x:c r="A330" s="311" t="str">
        <x:v>LO1-089</x:v>
      </x:c>
      <x:c r="B330" s="171" t="str">
        <x:v>LO1</x:v>
      </x:c>
      <x:c r="C330" s="165" t="str">
        <x:v>ブドウ畑・ワイナリーの自然要因と人的要因</x:v>
      </x:c>
      <x:c r="D330" s="165" t="str">
        <x:v>還元的醸造</x:v>
      </x:c>
      <x:c r="E330" s="165" t="str">
        <x:v>フレッシュで果実味中心の白ワインを還元的に醸造する主な目的はどれか。</x:v>
      </x:c>
      <x:c r="F330" s="165" t="str">
        <x:v>酸素との接触を抑え、褐変と繊細な香りの損失を防ぐ</x:v>
      </x:c>
      <x:c r="G330" s="165" t="str">
        <x:v>酸素を大量に加え、ナッツ香を強める</x:v>
      </x:c>
      <x:c r="H330" s="165" t="str">
        <x:v>果汁を長期間高温で放置する</x:v>
      </x:c>
      <x:c r="I330" s="165" t="str">
        <x:v>すべての酸をマロラクティック発酵で除去する</x:v>
      </x:c>
      <x:c r="J330" s="171" t="str">
        <x:v>A</x:v>
      </x:c>
      <x:c r="K330" s="165" t="str">
        <x:v>酸素との接触を抑え、褐変と繊細な香りの損失を防ぐ</x:v>
      </x:c>
      <x:c r="L330" s="165" t="str">
        <x:v>不活性ガス、密閉容器、亜硫酸などを使って酸化を抑えることで、淡い色と新鮮な果実香を保持する。</x:v>
      </x:c>
      <x:c r="M330" s="165" t="str">
        <x:v>正しい。 不活性ガス、密閉容器、亜硫酸などを使って酸化を抑えることで、淡い色と新鮮な果実香を保持する。</x:v>
      </x:c>
      <x:c r="N330" s="165" t="str">
        <x:v>誤り。 これは酸化的な醸造に近く、フレッシュな果実香の保持とは逆である。</x:v>
      </x:c>
      <x:c r="O330" s="165" t="str">
        <x:v>誤り。 高温と長時間の放置は酸化や微生物活動を促す。</x:v>
      </x:c>
      <x:c r="P330" s="165" t="str">
        <x:v>誤り。 還元的醸造とMLFは別の選択であり、酸をすべて除くものでもない。</x:v>
      </x:c>
      <x:c r="Q330" s="165" t="str">
        <x:v>醸造</x:v>
      </x:c>
      <x:c r="R330" s="165" t="str">
        <x:v>酸素管理</x:v>
      </x:c>
      <x:c r="S330" s="165" t="str">
        <x:v>白ワイン</x:v>
      </x:c>
      <x:c r="T330" s="165"/>
      <x:c r="U330" s="165"/>
      <x:c r="V330" s="165"/>
      <x:c r="W330" s="165" t="str">
        <x:v>適用</x:v>
      </x:c>
      <x:c r="X330" s="171" t="str">
        <x:v>D2</x:v>
      </x:c>
      <x:c r="Y330" s="165" t="str">
        <x:v>還元的醸造は大量酸素; 還元とMLFは同義</x:v>
      </x:c>
      <x:c r="Z330" s="171" t="str">
        <x:v>N</x:v>
      </x:c>
      <x:c r="AA330" s="165"/>
      <x:c r="AB330" s="165" t="str">
        <x:v>オリジナル</x:v>
      </x:c>
      <x:c r="AC330" s="165" t="str">
        <x:v>公式Specificationの範囲＋ユーザー作成コーパスの論点を参考に独自作成</x:v>
      </x:c>
      <x:c r="AD330" s="171" t="str">
        <x:v>未レビュー</x:v>
      </x:c>
      <x:c r="AE330" s="171"/>
      <x:c r="AF330" s="171"/>
      <x:c r="AG330" s="312"/>
    </x:row>
    <x:row r="331" ht="84" customHeight="1">
      <x:c r="A331" s="311" t="str">
        <x:v>LO1-090</x:v>
      </x:c>
      <x:c r="B331" s="171" t="str">
        <x:v>LO1</x:v>
      </x:c>
      <x:c r="C331" s="165" t="str">
        <x:v>ブドウ畑・ワイナリーの自然要因と人的要因</x:v>
      </x:c>
      <x:c r="D331" s="165" t="str">
        <x:v>果汁の清澄</x:v>
      </x:c>
      <x:c r="E331" s="165" t="str">
        <x:v>白ワインの発酵前に果汁を沈殿・清澄する主な利点はどれか。</x:v>
      </x:c>
      <x:c r="F331" s="165" t="str">
        <x:v>糖をすべて除いて発酵を不可能にする</x:v>
      </x:c>
      <x:c r="G331" s="165" t="str">
        <x:v>粗い固形物を除き、よりクリーンで制御しやすい発酵を行える</x:v>
      </x:c>
      <x:c r="H331" s="165" t="str">
        <x:v>果汁へタンニンを最大限に加える</x:v>
      </x:c>
      <x:c r="I331" s="165" t="str">
        <x:v>果汁を直ちに瓶内二次発酵させる</x:v>
      </x:c>
      <x:c r="J331" s="171" t="str">
        <x:v>B</x:v>
      </x:c>
      <x:c r="K331" s="165" t="str">
        <x:v>粗い固形物を除き、よりクリーンで制御しやすい発酵を行える</x:v>
      </x:c>
      <x:c r="L331" s="165" t="str">
        <x:v>過剰な果皮片や土、微生物を減らすことで、硫黄臭や粗い風味のリスクを低くしやすい。</x:v>
      </x:c>
      <x:c r="M331" s="165" t="str">
        <x:v>誤り。 清澄では主に固形物を除き、溶解した糖は残る。</x:v>
      </x:c>
      <x:c r="N331" s="165" t="str">
        <x:v>正しい。 過剰な果皮片や土、微生物を減らすことで、硫黄臭や粗い風味のリスクを低くしやすい。</x:v>
      </x:c>
      <x:c r="O331" s="165" t="str">
        <x:v>誤り。 固形物を減らすため、強いタンニン抽出を目的としない。</x:v>
      </x:c>
      <x:c r="P331" s="165" t="str">
        <x:v>誤り。 清澄は一次発酵前の準備であり、瓶内二次発酵とは異なる。</x:v>
      </x:c>
      <x:c r="Q331" s="165" t="str">
        <x:v>醸造</x:v>
      </x:c>
      <x:c r="R331" s="165" t="str">
        <x:v>果汁処理</x:v>
      </x:c>
      <x:c r="S331" s="165" t="str">
        <x:v>白ワイン</x:v>
      </x:c>
      <x:c r="T331" s="165"/>
      <x:c r="U331" s="165"/>
      <x:c r="V331" s="165"/>
      <x:c r="W331" s="165" t="str">
        <x:v>因果説明</x:v>
      </x:c>
      <x:c r="X331" s="171" t="str">
        <x:v>D2</x:v>
      </x:c>
      <x:c r="Y331" s="165" t="str">
        <x:v>清澄で糖除去; 清澄でタンニン増加</x:v>
      </x:c>
      <x:c r="Z331" s="171" t="str">
        <x:v>N</x:v>
      </x:c>
      <x:c r="AA331" s="165"/>
      <x:c r="AB331" s="165" t="str">
        <x:v>オリジナル</x:v>
      </x:c>
      <x:c r="AC331" s="165" t="str">
        <x:v>公式Specificationの範囲＋ユーザー作成コーパスの論点を参考に独自作成</x:v>
      </x:c>
      <x:c r="AD331" s="171" t="str">
        <x:v>未レビュー</x:v>
      </x:c>
      <x:c r="AE331" s="171"/>
      <x:c r="AF331" s="171"/>
      <x:c r="AG331" s="312"/>
    </x:row>
    <x:row r="332" ht="84" customHeight="1">
      <x:c r="A332" s="311" t="str">
        <x:v>LO1-091</x:v>
      </x:c>
      <x:c r="B332" s="171" t="str">
        <x:v>LO1</x:v>
      </x:c>
      <x:c r="C332" s="165" t="str">
        <x:v>ブドウ畑・ワイナリーの自然要因と人的要因</x:v>
      </x:c>
      <x:c r="D332" s="165" t="str">
        <x:v>発酵槽の素材</x:v>
      </x:c>
      <x:c r="E332" s="165" t="str">
        <x:v>ステンレス製発酵槽がフレッシュな白ワインの醸造に適する主な理由はどれか。</x:v>
      </x:c>
      <x:c r="F332" s="165" t="str">
        <x:v>必ず強いヴァニラ香をワインへ与える</x:v>
      </x:c>
      <x:c r="G332" s="165" t="str">
        <x:v>発酵中の酸素を無制限に取り込む</x:v>
      </x:c>
      <x:c r="H332" s="165" t="str">
        <x:v>香味を付与せず、衛生管理と温度管理を行いやすい</x:v>
      </x:c>
      <x:c r="I332" s="165" t="str">
        <x:v>果汁を自然に酒精強化する</x:v>
      </x:c>
      <x:c r="J332" s="171" t="str">
        <x:v>C</x:v>
      </x:c>
      <x:c r="K332" s="165" t="str">
        <x:v>香味を付与せず、衛生管理と温度管理を行いやすい</x:v>
      </x:c>
      <x:c r="L332" s="165" t="str">
        <x:v>ステンレスは不活性で清掃しやすく、冷却ジャケットなどにより低温発酵を精密に管理できる。</x:v>
      </x:c>
      <x:c r="M332" s="165" t="str">
        <x:v>誤り。 ヴァニラ香は主に新しいオーク樽に由来し、ステンレスは中立的である。</x:v>
      </x:c>
      <x:c r="N332" s="165" t="str">
        <x:v>誤り。 ステンレス槽は密閉と酸素管理を行いやすい。</x:v>
      </x:c>
      <x:c r="O332" s="165" t="str">
        <x:v>正しい。 ステンレスは不活性で清掃しやすく、冷却ジャケットなどにより低温発酵を精密に管理できる。</x:v>
      </x:c>
      <x:c r="P332" s="165" t="str">
        <x:v>誤り。 酒精強化には別途アルコール添加が必要である。</x:v>
      </x:c>
      <x:c r="Q332" s="165" t="str">
        <x:v>醸造</x:v>
      </x:c>
      <x:c r="R332" s="165" t="str">
        <x:v>発酵容器</x:v>
      </x:c>
      <x:c r="S332" s="165" t="str">
        <x:v>白ワイン</x:v>
      </x:c>
      <x:c r="T332" s="165"/>
      <x:c r="U332" s="165"/>
      <x:c r="V332" s="165"/>
      <x:c r="W332" s="165" t="str">
        <x:v>因果説明</x:v>
      </x:c>
      <x:c r="X332" s="171" t="str">
        <x:v>D1</x:v>
      </x:c>
      <x:c r="Y332" s="165" t="str">
        <x:v>ステンレスはオーク香; ステンレスで酒精強化</x:v>
      </x:c>
      <x:c r="Z332" s="171" t="str">
        <x:v>N</x:v>
      </x:c>
      <x:c r="AA332" s="165"/>
      <x:c r="AB332" s="165" t="str">
        <x:v>オリジナル</x:v>
      </x:c>
      <x:c r="AC332" s="165" t="str">
        <x:v>公式Specificationの範囲＋ユーザー作成コーパスの論点を参考に独自作成</x:v>
      </x:c>
      <x:c r="AD332" s="171" t="str">
        <x:v>未レビュー</x:v>
      </x:c>
      <x:c r="AE332" s="171"/>
      <x:c r="AF332" s="171"/>
      <x:c r="AG332" s="312"/>
    </x:row>
    <x:row r="333" ht="84" customHeight="1">
      <x:c r="A333" s="311" t="str">
        <x:v>LO1-092</x:v>
      </x:c>
      <x:c r="B333" s="171" t="str">
        <x:v>LO1</x:v>
      </x:c>
      <x:c r="C333" s="165" t="str">
        <x:v>ブドウ畑・ワイナリーの自然要因と人的要因</x:v>
      </x:c>
      <x:c r="D333" s="165" t="str">
        <x:v>野生酵母</x:v>
      </x:c>
      <x:c r="E333" s="165" t="str">
        <x:v>野生酵母による発酵の潜在的な利点とリスクの組み合わせとして最も適切なものはどれか。</x:v>
      </x:c>
      <x:c r="F333" s="165" t="str">
        <x:v>常に同じ香味となり、発酵停止は起きない</x:v>
      </x:c>
      <x:c r="G333" s="165" t="str">
        <x:v>アルコールを生成せず、酸だけを生成する</x:v>
      </x:c>
      <x:c r="H333" s="165" t="str">
        <x:v>瓶詰め後の酸化を完全に防ぐ</x:v>
      </x:c>
      <x:c r="I333" s="165" t="str">
        <x:v>複雑な香味を得られる可能性がある一方、発酵停止や望ましくない風味のリスクが高い</x:v>
      </x:c>
      <x:c r="J333" s="171" t="str">
        <x:v>D</x:v>
      </x:c>
      <x:c r="K333" s="165" t="str">
        <x:v>複雑な香味を得られる可能性がある一方、発酵停止や望ましくない風味のリスクが高い</x:v>
      </x:c>
      <x:c r="L333" s="165" t="str">
        <x:v>複数の酵母種が関与すると複雑性が生まれる場合があるが、発酵力や耐アルコール性が不安定で管理しにくい。</x:v>
      </x:c>
      <x:c r="M333" s="165" t="str">
        <x:v>誤り。 野生酵母は菌相が年や場所で変わり、結果の一貫性が低い。</x:v>
      </x:c>
      <x:c r="N333" s="165" t="str">
        <x:v>誤り。 多くの酵母は糖をアルコールへ変換する。</x:v>
      </x:c>
      <x:c r="O333" s="165" t="str">
        <x:v>誤り。 酵母選択だけで瓶詰め後の酸化を完全に防げない。</x:v>
      </x:c>
      <x:c r="P333" s="165" t="str">
        <x:v>正しい。 複数の酵母種が関与すると複雑性が生まれる場合があるが、発酵力や耐アルコール性が不安定で管理しにくい。</x:v>
      </x:c>
      <x:c r="Q333" s="165" t="str">
        <x:v>醸造</x:v>
      </x:c>
      <x:c r="R333" s="165" t="str">
        <x:v>酵母</x:v>
      </x:c>
      <x:c r="S333" s="165" t="str">
        <x:v>全般</x:v>
      </x:c>
      <x:c r="T333" s="165"/>
      <x:c r="U333" s="165"/>
      <x:c r="V333" s="165"/>
      <x:c r="W333" s="165" t="str">
        <x:v>比較</x:v>
      </x:c>
      <x:c r="X333" s="171" t="str">
        <x:v>D2</x:v>
      </x:c>
      <x:c r="Y333" s="165" t="str">
        <x:v>野生酵母は常に安定; 野生酵母はアルコールを作らない</x:v>
      </x:c>
      <x:c r="Z333" s="171" t="str">
        <x:v>N</x:v>
      </x:c>
      <x:c r="AA333" s="165"/>
      <x:c r="AB333" s="165" t="str">
        <x:v>オリジナル</x:v>
      </x:c>
      <x:c r="AC333" s="165" t="str">
        <x:v>公式Specificationの範囲＋ユーザー作成コーパスの論点を参考に独自作成</x:v>
      </x:c>
      <x:c r="AD333" s="171" t="str">
        <x:v>未レビュー</x:v>
      </x:c>
      <x:c r="AE333" s="171"/>
      <x:c r="AF333" s="171"/>
      <x:c r="AG333" s="312"/>
    </x:row>
    <x:row r="334" ht="84" customHeight="1">
      <x:c r="A334" s="311" t="str">
        <x:v>LO1-093</x:v>
      </x:c>
      <x:c r="B334" s="171" t="str">
        <x:v>LO1</x:v>
      </x:c>
      <x:c r="C334" s="165" t="str">
        <x:v>ブドウ畑・ワイナリーの自然要因と人的要因</x:v>
      </x:c>
      <x:c r="D334" s="165" t="str">
        <x:v>酵母栄養</x:v>
      </x:c>
      <x:c r="E334" s="165" t="str">
        <x:v>発酵中に酵母同化性窒素が不足すると起こりやすい問題はどれか。</x:v>
      </x:c>
      <x:c r="F334" s="165" t="str">
        <x:v>発酵が遅延または停止し、硫化水素などの好ましくない香りが出る</x:v>
      </x:c>
      <x:c r="G334" s="165" t="str">
        <x:v>糖が酵母なしで急速にアルコールへ変わる</x:v>
      </x:c>
      <x:c r="H334" s="165" t="str">
        <x:v>ワインの色が必ず無色透明になる</x:v>
      </x:c>
      <x:c r="I334" s="165" t="str">
        <x:v>マロラクティック発酵が発酵前に完了する</x:v>
      </x:c>
      <x:c r="J334" s="171" t="str">
        <x:v>A</x:v>
      </x:c>
      <x:c r="K334" s="165" t="str">
        <x:v>発酵が遅延または停止し、硫化水素などの好ましくない香りが出る</x:v>
      </x:c>
      <x:c r="L334" s="165" t="str">
        <x:v>酵母は増殖と代謝に窒素を必要とするため、不足するとストレスを受け、発酵不良や還元臭の原因となる。</x:v>
      </x:c>
      <x:c r="M334" s="165" t="str">
        <x:v>正しい。 酵母は増殖と代謝に窒素を必要とするため、不足するとストレスを受け、発酵不良や還元臭の原因となる。</x:v>
      </x:c>
      <x:c r="N334" s="165" t="str">
        <x:v>誤り。 糖からアルコールへの発酵には酵母の代謝が必要である。</x:v>
      </x:c>
      <x:c r="O334" s="165" t="str">
        <x:v>誤り。 窒素不足は主に発酵速度と香りへ影響し、色を必ず失わせない。</x:v>
      </x:c>
      <x:c r="P334" s="165" t="str">
        <x:v>誤り。 アルコール発酵中の栄養不足とMLFの時期は別問題である。</x:v>
      </x:c>
      <x:c r="Q334" s="165" t="str">
        <x:v>醸造</x:v>
      </x:c>
      <x:c r="R334" s="165" t="str">
        <x:v>発酵管理</x:v>
      </x:c>
      <x:c r="S334" s="165" t="str">
        <x:v>全般</x:v>
      </x:c>
      <x:c r="T334" s="165"/>
      <x:c r="U334" s="165"/>
      <x:c r="V334" s="165"/>
      <x:c r="W334" s="165" t="str">
        <x:v>因果説明</x:v>
      </x:c>
      <x:c r="X334" s="171" t="str">
        <x:v>D3</x:v>
      </x:c>
      <x:c r="Y334" s="165" t="str">
        <x:v>窒素不足で自然発酵加速; 栄養不足は色だけの問題</x:v>
      </x:c>
      <x:c r="Z334" s="171" t="str">
        <x:v>N</x:v>
      </x:c>
      <x:c r="AA334" s="165"/>
      <x:c r="AB334" s="165" t="str">
        <x:v>オリジナル</x:v>
      </x:c>
      <x:c r="AC334" s="165" t="str">
        <x:v>公式Specificationの範囲＋ユーザー作成コーパスの論点を参考に独自作成</x:v>
      </x:c>
      <x:c r="AD334" s="171" t="str">
        <x:v>未レビュー</x:v>
      </x:c>
      <x:c r="AE334" s="171"/>
      <x:c r="AF334" s="171"/>
      <x:c r="AG334" s="312"/>
    </x:row>
    <x:row r="335" ht="84" customHeight="1">
      <x:c r="A335" s="311" t="str">
        <x:v>LO1-094</x:v>
      </x:c>
      <x:c r="B335" s="171" t="str">
        <x:v>LO1</x:v>
      </x:c>
      <x:c r="C335" s="165" t="str">
        <x:v>ブドウ畑・ワイナリーの自然要因と人的要因</x:v>
      </x:c>
      <x:c r="D335" s="165" t="str">
        <x:v>赤ワインの高温発酵</x:v>
      </x:c>
      <x:c r="E335" s="165" t="str">
        <x:v>赤ワインを比較的高い温度で発酵させる利点とリスクとして最も適切なものはどれか。</x:v>
      </x:c>
      <x:c r="F335" s="165" t="str">
        <x:v>抽出を完全に止め、淡い色にする</x:v>
      </x:c>
      <x:c r="G335" s="165" t="str">
        <x:v>色とタンニンの抽出を促せる一方、揮発性の果実香を失い、発酵が速くなりすぎることがある</x:v>
      </x:c>
      <x:c r="H335" s="165" t="str">
        <x:v>残糖を増やし、アルコールを低下させる</x:v>
      </x:c>
      <x:c r="I335" s="165" t="str">
        <x:v>ワインを自動的に発泡性にする</x:v>
      </x:c>
      <x:c r="J335" s="171" t="str">
        <x:v>B</x:v>
      </x:c>
      <x:c r="K335" s="165" t="str">
        <x:v>色とタンニンの抽出を促せる一方、揮発性の果実香を失い、発酵が速くなりすぎることがある</x:v>
      </x:c>
      <x:c r="L335" s="165" t="str">
        <x:v>高温は抽出と酵母活動を促進するが、温度管理を誤ると香りの損失や酵母ストレスにつながる。</x:v>
      </x:c>
      <x:c r="M335" s="165" t="str">
        <x:v>誤り。 高温は一般に抽出を高める方向に働く。</x:v>
      </x:c>
      <x:c r="N335" s="165" t="str">
        <x:v>正しい。 高温は抽出と酵母活動を促進するが、温度管理を誤ると香りの損失や酵母ストレスにつながる。</x:v>
      </x:c>
      <x:c r="O335" s="165" t="str">
        <x:v>誤り。 発酵が進めば糖は減り、アルコールは増える。</x:v>
      </x:c>
      <x:c r="P335" s="165" t="str">
        <x:v>誤り。 発酵温度だけで完成ワインが発泡性になるわけではない。</x:v>
      </x:c>
      <x:c r="Q335" s="165" t="str">
        <x:v>醸造</x:v>
      </x:c>
      <x:c r="R335" s="165" t="str">
        <x:v>発酵温度</x:v>
      </x:c>
      <x:c r="S335" s="165" t="str">
        <x:v>赤ワイン</x:v>
      </x:c>
      <x:c r="T335" s="165"/>
      <x:c r="U335" s="165"/>
      <x:c r="V335" s="165"/>
      <x:c r="W335" s="165" t="str">
        <x:v>比較</x:v>
      </x:c>
      <x:c r="X335" s="171" t="str">
        <x:v>D2</x:v>
      </x:c>
      <x:c r="Y335" s="165" t="str">
        <x:v>高温発酵は抽出停止; 高温で残糖増加</x:v>
      </x:c>
      <x:c r="Z335" s="171" t="str">
        <x:v>N</x:v>
      </x:c>
      <x:c r="AA335" s="165"/>
      <x:c r="AB335" s="165" t="str">
        <x:v>オリジナル</x:v>
      </x:c>
      <x:c r="AC335" s="165" t="str">
        <x:v>公式Specificationの範囲＋ユーザー作成コーパスの論点を参考に独自作成</x:v>
      </x:c>
      <x:c r="AD335" s="171" t="str">
        <x:v>未レビュー</x:v>
      </x:c>
      <x:c r="AE335" s="171"/>
      <x:c r="AF335" s="171"/>
      <x:c r="AG335" s="312"/>
    </x:row>
    <x:row r="336" ht="84" customHeight="1">
      <x:c r="A336" s="311" t="str">
        <x:v>LO1-095</x:v>
      </x:c>
      <x:c r="B336" s="171" t="str">
        <x:v>LO1</x:v>
      </x:c>
      <x:c r="C336" s="165" t="str">
        <x:v>ブドウ畑・ワイナリーの自然要因と人的要因</x:v>
      </x:c>
      <x:c r="D336" s="165" t="str">
        <x:v>白ワインの低温発酵</x:v>
      </x:c>
      <x:c r="E336" s="165" t="str">
        <x:v>白ワインを低温で発酵させる主な利点はどれか。</x:v>
      </x:c>
      <x:c r="F336" s="165" t="str">
        <x:v>種子から強いタンニンを抽出する</x:v>
      </x:c>
      <x:c r="G336" s="165" t="str">
        <x:v>酸化を必ず最大化する</x:v>
      </x:c>
      <x:c r="H336" s="165" t="str">
        <x:v>発酵をゆっくり進め、揮発性の果実香を保持しやすい</x:v>
      </x:c>
      <x:c r="I336" s="165" t="str">
        <x:v>アルコールを発酵前に除去する</x:v>
      </x:c>
      <x:c r="J336" s="171" t="str">
        <x:v>C</x:v>
      </x:c>
      <x:c r="K336" s="165" t="str">
        <x:v>発酵をゆっくり進め、揮発性の果実香を保持しやすい</x:v>
      </x:c>
      <x:c r="L336" s="165" t="str">
        <x:v>低温は香り成分の揮散を抑え、フレッシュで果実味中心のスタイルを得やすくする。</x:v>
      </x:c>
      <x:c r="M336" s="165" t="str">
        <x:v>誤り。 白ワインの低温発酵はタンニン抽出の最大化を目的としない。</x:v>
      </x:c>
      <x:c r="N336" s="165" t="str">
        <x:v>誤り。 低温発酵は通常、酸素管理と組み合わせて酸化を抑える。</x:v>
      </x:c>
      <x:c r="O336" s="165" t="str">
        <x:v>正しい。 低温は香り成分の揮散を抑え、フレッシュで果実味中心のスタイルを得やすくする。</x:v>
      </x:c>
      <x:c r="P336" s="165" t="str">
        <x:v>誤り。 発酵によってアルコールが生成され、低温は除去工程ではない。</x:v>
      </x:c>
      <x:c r="Q336" s="165" t="str">
        <x:v>醸造</x:v>
      </x:c>
      <x:c r="R336" s="165" t="str">
        <x:v>発酵温度</x:v>
      </x:c>
      <x:c r="S336" s="165" t="str">
        <x:v>白ワイン</x:v>
      </x:c>
      <x:c r="T336" s="165"/>
      <x:c r="U336" s="165"/>
      <x:c r="V336" s="165"/>
      <x:c r="W336" s="165" t="str">
        <x:v>因果説明</x:v>
      </x:c>
      <x:c r="X336" s="171" t="str">
        <x:v>D1</x:v>
      </x:c>
      <x:c r="Y336" s="165" t="str">
        <x:v>低温発酵はタンニン抽出; 低温でアルコール除去</x:v>
      </x:c>
      <x:c r="Z336" s="171" t="str">
        <x:v>N</x:v>
      </x:c>
      <x:c r="AA336" s="165"/>
      <x:c r="AB336" s="165" t="str">
        <x:v>オリジナル</x:v>
      </x:c>
      <x:c r="AC336" s="165" t="str">
        <x:v>公式Specificationの範囲＋ユーザー作成コーパスの論点を参考に独自作成</x:v>
      </x:c>
      <x:c r="AD336" s="171" t="str">
        <x:v>未レビュー</x:v>
      </x:c>
      <x:c r="AE336" s="171"/>
      <x:c r="AF336" s="171"/>
      <x:c r="AG336" s="312"/>
    </x:row>
    <x:row r="337" ht="84" customHeight="1">
      <x:c r="A337" s="311" t="str">
        <x:v>LO1-096</x:v>
      </x:c>
      <x:c r="B337" s="171" t="str">
        <x:v>LO1</x:v>
      </x:c>
      <x:c r="C337" s="165" t="str">
        <x:v>ブドウ畑・ワイナリーの自然要因と人的要因</x:v>
      </x:c>
      <x:c r="D337" s="165" t="str">
        <x:v>ポンピング・オーバー</x:v>
      </x:c>
      <x:c r="E337" s="165" t="str">
        <x:v>赤ワイン発酵中のポンピング・オーバーの主な効果はどれか。</x:v>
      </x:c>
      <x:c r="F337" s="165" t="str">
        <x:v>果皮を発酵槽から完全に除去する</x:v>
      </x:c>
      <x:c r="G337" s="165" t="str">
        <x:v>残糖を濾過で取り除く</x:v>
      </x:c>
      <x:c r="H337" s="165" t="str">
        <x:v>瓶内の澱を口元へ集める</x:v>
      </x:c>
      <x:c r="I337" s="165" t="str">
        <x:v>発酵液をキャップ上へ散布し、果皮を湿らせて色とタンニンを抽出する</x:v>
      </x:c>
      <x:c r="J337" s="171" t="str">
        <x:v>D</x:v>
      </x:c>
      <x:c r="K337" s="165" t="str">
        <x:v>発酵液をキャップ上へ散布し、果皮を湿らせて色とタンニンを抽出する</x:v>
      </x:c>
      <x:c r="L337" s="165" t="str">
        <x:v>液を循環させることでキャップを乾燥させず、抽出、温度均一化、適度な酸素供給を行える。</x:v>
      </x:c>
      <x:c r="M337" s="165" t="str">
        <x:v>誤り。 ポンピング・オーバーでは果皮を残して液を循環させる。</x:v>
      </x:c>
      <x:c r="N337" s="165" t="str">
        <x:v>誤り。 糖は酵母が発酵し、ポンピング・オーバーで濾過除去しない。</x:v>
      </x:c>
      <x:c r="O337" s="165" t="str">
        <x:v>誤り。 これは発泡性ワインのルミュアージュに関する操作である。</x:v>
      </x:c>
      <x:c r="P337" s="165" t="str">
        <x:v>正しい。 液を循環させることでキャップを乾燥させず、抽出、温度均一化、適度な酸素供給を行える。</x:v>
      </x:c>
      <x:c r="Q337" s="165" t="str">
        <x:v>醸造</x:v>
      </x:c>
      <x:c r="R337" s="165" t="str">
        <x:v>キャップ・マネジメント</x:v>
      </x:c>
      <x:c r="S337" s="165" t="str">
        <x:v>赤ワイン</x:v>
      </x:c>
      <x:c r="T337" s="165"/>
      <x:c r="U337" s="165"/>
      <x:c r="V337" s="165"/>
      <x:c r="W337" s="165" t="str">
        <x:v>知識確認</x:v>
      </x:c>
      <x:c r="X337" s="171" t="str">
        <x:v>D1</x:v>
      </x:c>
      <x:c r="Y337" s="165" t="str">
        <x:v>ポンプオーバーは果皮除去; ルミュアージュとの混同</x:v>
      </x:c>
      <x:c r="Z337" s="171" t="str">
        <x:v>N</x:v>
      </x:c>
      <x:c r="AA337" s="165"/>
      <x:c r="AB337" s="165" t="str">
        <x:v>オリジナル</x:v>
      </x:c>
      <x:c r="AC337" s="165" t="str">
        <x:v>公式Specificationの範囲＋ユーザー作成コーパスの論点を参考に独自作成</x:v>
      </x:c>
      <x:c r="AD337" s="171" t="str">
        <x:v>未レビュー</x:v>
      </x:c>
      <x:c r="AE337" s="171"/>
      <x:c r="AF337" s="171"/>
      <x:c r="AG337" s="312"/>
    </x:row>
    <x:row r="338" ht="84" customHeight="1">
      <x:c r="A338" s="311" t="str">
        <x:v>LO1-097</x:v>
      </x:c>
      <x:c r="B338" s="171" t="str">
        <x:v>LO1</x:v>
      </x:c>
      <x:c r="C338" s="165" t="str">
        <x:v>ブドウ畑・ワイナリーの自然要因と人的要因</x:v>
      </x:c>
      <x:c r="D338" s="165" t="str">
        <x:v>パンチング・ダウン</x:v>
      </x:c>
      <x:c r="E338" s="165" t="str">
        <x:v>パンチング・ダウンがポンピング・オーバーより比較的適することがある状況はどれか。</x:v>
      </x:c>
      <x:c r="F338" s="165" t="str">
        <x:v>小型の開放発酵槽で、キャップを手作業または機械で穏やかに沈めたい場合</x:v>
      </x:c>
      <x:c r="G338" s="165" t="str">
        <x:v>密閉タンクから液を別槽へ完全に移す場合</x:v>
      </x:c>
      <x:c r="H338" s="165" t="str">
        <x:v>白ワインの果汁を清澄する場合</x:v>
      </x:c>
      <x:c r="I338" s="165" t="str">
        <x:v>発泡性ワインの澱を除去する場合</x:v>
      </x:c>
      <x:c r="J338" s="171" t="str">
        <x:v>A</x:v>
      </x:c>
      <x:c r="K338" s="165" t="str">
        <x:v>小型の開放発酵槽で、キャップを手作業または機械で穏やかに沈めたい場合</x:v>
      </x:c>
      <x:c r="L338" s="165" t="str">
        <x:v>キャップを直接押し下げるため、小型槽で管理しやすく、全房を含む発酵にも用いられる。</x:v>
      </x:c>
      <x:c r="M338" s="165" t="str">
        <x:v>正しい。 キャップを直接押し下げるため、小型槽で管理しやすく、全房を含む発酵にも用いられる。</x:v>
      </x:c>
      <x:c r="N338" s="165" t="str">
        <x:v>誤り。 これはラック・アンド・リターンに近い操作である。</x:v>
      </x:c>
      <x:c r="O338" s="165" t="str">
        <x:v>誤り。 パンチング・ダウンは赤ワインの果皮キャップ管理である。</x:v>
      </x:c>
      <x:c r="P338" s="165" t="str">
        <x:v>誤り。 これはデゴルジュマンであり、パンチング・ダウンではない。</x:v>
      </x:c>
      <x:c r="Q338" s="165" t="str">
        <x:v>醸造</x:v>
      </x:c>
      <x:c r="R338" s="165" t="str">
        <x:v>キャップ・マネジメント</x:v>
      </x:c>
      <x:c r="S338" s="165" t="str">
        <x:v>赤ワイン</x:v>
      </x:c>
      <x:c r="T338" s="165"/>
      <x:c r="U338" s="165"/>
      <x:c r="V338" s="165"/>
      <x:c r="W338" s="165" t="str">
        <x:v>適用</x:v>
      </x:c>
      <x:c r="X338" s="171" t="str">
        <x:v>D2</x:v>
      </x:c>
      <x:c r="Y338" s="165" t="str">
        <x:v>パンチダウンは清澄; パンチダウンは澱抜き</x:v>
      </x:c>
      <x:c r="Z338" s="171" t="str">
        <x:v>N</x:v>
      </x:c>
      <x:c r="AA338" s="165"/>
      <x:c r="AB338" s="165" t="str">
        <x:v>オリジナル</x:v>
      </x:c>
      <x:c r="AC338" s="165" t="str">
        <x:v>公式Specificationの範囲＋ユーザー作成コーパスの論点を参考に独自作成</x:v>
      </x:c>
      <x:c r="AD338" s="171" t="str">
        <x:v>未レビュー</x:v>
      </x:c>
      <x:c r="AE338" s="171"/>
      <x:c r="AF338" s="171"/>
      <x:c r="AG338" s="312"/>
    </x:row>
    <x:row r="339" ht="84" customHeight="1">
      <x:c r="A339" s="311" t="str">
        <x:v>LO1-098</x:v>
      </x:c>
      <x:c r="B339" s="171" t="str">
        <x:v>LO1</x:v>
      </x:c>
      <x:c r="C339" s="165" t="str">
        <x:v>ブドウ畑・ワイナリーの自然要因と人的要因</x:v>
      </x:c>
      <x:c r="D339" s="165" t="str">
        <x:v>ラック・アンド・リターン</x:v>
      </x:c>
      <x:c r="E339" s="165" t="str">
        <x:v>ラック・アンド・リターンが赤ワインに与えやすい効果はどれか。</x:v>
      </x:c>
      <x:c r="F339" s="165" t="str">
        <x:v>果汁を凍結し、甘口ワインにする</x:v>
      </x:c>
      <x:c r="G339" s="165" t="str">
        <x:v>発酵液を一度抜いて果皮キャップを崩し、戻すことで強い抽出と酸素供給を行う</x:v>
      </x:c>
      <x:c r="H339" s="165" t="str">
        <x:v>瓶内で二次発酵を起こす</x:v>
      </x:c>
      <x:c r="I339" s="165" t="str">
        <x:v>ワインの酸を化学的にすべて除去する</x:v>
      </x:c>
      <x:c r="J339" s="171" t="str">
        <x:v>B</x:v>
      </x:c>
      <x:c r="K339" s="165" t="str">
        <x:v>発酵液を一度抜いて果皮キャップを崩し、戻すことで強い抽出と酸素供給を行う</x:v>
      </x:c>
      <x:c r="L339" s="165" t="str">
        <x:v>槽を空にしてキャップを崩した後、液を勢いよく戻すため、色・タンニン抽出と発酵初期の酸素供給が高まる。</x:v>
      </x:c>
      <x:c r="M339" s="165" t="str">
        <x:v>誤り。 ラック・アンド・リターンは発酵中の抽出操作である。</x:v>
      </x:c>
      <x:c r="N339" s="165" t="str">
        <x:v>正しい。 槽を空にしてキャップを崩した後、液を勢いよく戻すため、色・タンニン抽出と発酵初期の酸素供給が高まる。</x:v>
      </x:c>
      <x:c r="O339" s="165" t="str">
        <x:v>誤り。 瓶内二次発酵は糖と酵母を加えて密閉瓶内で行う。</x:v>
      </x:c>
      <x:c r="P339" s="165" t="str">
        <x:v>誤り。 この操作は酸の除去ではなく、抽出と酸素管理に関係する。</x:v>
      </x:c>
      <x:c r="Q339" s="165" t="str">
        <x:v>醸造</x:v>
      </x:c>
      <x:c r="R339" s="165" t="str">
        <x:v>キャップ・マネジメント</x:v>
      </x:c>
      <x:c r="S339" s="165" t="str">
        <x:v>赤ワイン</x:v>
      </x:c>
      <x:c r="T339" s="165"/>
      <x:c r="U339" s="165"/>
      <x:c r="V339" s="165"/>
      <x:c r="W339" s="165" t="str">
        <x:v>因果説明</x:v>
      </x:c>
      <x:c r="X339" s="171" t="str">
        <x:v>D3</x:v>
      </x:c>
      <x:c r="Y339" s="165" t="str">
        <x:v>ラックアンドリターンは甘口化; 酸除去工程</x:v>
      </x:c>
      <x:c r="Z339" s="171" t="str">
        <x:v>N</x:v>
      </x:c>
      <x:c r="AA339" s="165"/>
      <x:c r="AB339" s="165" t="str">
        <x:v>オリジナル</x:v>
      </x:c>
      <x:c r="AC339" s="165" t="str">
        <x:v>公式Specificationの範囲＋ユーザー作成コーパスの論点を参考に独自作成</x:v>
      </x:c>
      <x:c r="AD339" s="171" t="str">
        <x:v>未レビュー</x:v>
      </x:c>
      <x:c r="AE339" s="171"/>
      <x:c r="AF339" s="171"/>
      <x:c r="AG339" s="312"/>
    </x:row>
    <x:row r="340" ht="84" customHeight="1">
      <x:c r="A340" s="311" t="str">
        <x:v>LO1-099</x:v>
      </x:c>
      <x:c r="B340" s="171" t="str">
        <x:v>LO1</x:v>
      </x:c>
      <x:c r="C340" s="165" t="str">
        <x:v>ブドウ畑・ワイナリーの自然要因と人的要因</x:v>
      </x:c>
      <x:c r="D340" s="165" t="str">
        <x:v>延長マセレーション</x:v>
      </x:c>
      <x:c r="E340" s="165" t="str">
        <x:v>アルコール発酵後も赤ワインを果皮と接触させる延長マセレーションの狙いとして最も適切なものはどれか。</x:v>
      </x:c>
      <x:c r="F340" s="165" t="str">
        <x:v>果実香を必ず最大化し、タンニンをゼロにする</x:v>
      </x:c>
      <x:c r="G340" s="165" t="str">
        <x:v>ワインのアルコールをすべて蒸発させる</x:v>
      </x:c>
      <x:c r="H340" s="165" t="str">
        <x:v>タンニンの抽出と重合を進め、構造がありながら口当たりを整えたスタイルを得る</x:v>
      </x:c>
      <x:c r="I340" s="165" t="str">
        <x:v>白ワインを無色にする</x:v>
      </x:c>
      <x:c r="J340" s="171" t="str">
        <x:v>C</x:v>
      </x:c>
      <x:c r="K340" s="165" t="str">
        <x:v>タンニンの抽出と重合を進め、構造がありながら口当たりを整えたスタイルを得る</x:v>
      </x:c>
      <x:c r="L340" s="165" t="str">
        <x:v>発酵後のアルコール環境で追加抽出が進み、時間とともにタンニンが結合して質感が変化することがある。</x:v>
      </x:c>
      <x:c r="M340" s="165" t="str">
        <x:v>誤り。 延長接触はタンニン抽出を増やす可能性があり、果実香だけを最大化しない。</x:v>
      </x:c>
      <x:c r="N340" s="165" t="str">
        <x:v>誤り。 密閉・温度管理下で行われ、アルコール除去が目的ではない。</x:v>
      </x:c>
      <x:c r="O340" s="165" t="str">
        <x:v>正しい。 発酵後のアルコール環境で追加抽出が進み、時間とともにタンニンが結合して質感が変化することがある。</x:v>
      </x:c>
      <x:c r="P340" s="165" t="str">
        <x:v>誤り。 赤ワインの果皮接触工程であり、白ワインの脱色ではない。</x:v>
      </x:c>
      <x:c r="Q340" s="165" t="str">
        <x:v>醸造</x:v>
      </x:c>
      <x:c r="R340" s="165" t="str">
        <x:v>マセレーション</x:v>
      </x:c>
      <x:c r="S340" s="165" t="str">
        <x:v>赤ワイン</x:v>
      </x:c>
      <x:c r="T340" s="165"/>
      <x:c r="U340" s="165"/>
      <x:c r="V340" s="165"/>
      <x:c r="W340" s="165" t="str">
        <x:v>統合判断</x:v>
      </x:c>
      <x:c r="X340" s="171" t="str">
        <x:v>D3</x:v>
      </x:c>
      <x:c r="Y340" s="165" t="str">
        <x:v>延長浸漬でタンニン消失; アルコール除去</x:v>
      </x:c>
      <x:c r="Z340" s="171" t="str">
        <x:v>N</x:v>
      </x:c>
      <x:c r="AA340" s="165"/>
      <x:c r="AB340" s="165" t="str">
        <x:v>オリジナル</x:v>
      </x:c>
      <x:c r="AC340" s="165" t="str">
        <x:v>公式Specificationの範囲＋ユーザー作成コーパスの論点を参考に独自作成</x:v>
      </x:c>
      <x:c r="AD340" s="171" t="str">
        <x:v>未レビュー</x:v>
      </x:c>
      <x:c r="AE340" s="171"/>
      <x:c r="AF340" s="171"/>
      <x:c r="AG340" s="312"/>
    </x:row>
    <x:row r="341" ht="84" customHeight="1">
      <x:c r="A341" s="311" t="str">
        <x:v>LO1-100</x:v>
      </x:c>
      <x:c r="B341" s="171" t="str">
        <x:v>LO1</x:v>
      </x:c>
      <x:c r="C341" s="165" t="str">
        <x:v>ブドウ畑・ワイナリーの自然要因と人的要因</x:v>
      </x:c>
      <x:c r="D341" s="165" t="str">
        <x:v>共発酵</x:v>
      </x:c>
      <x:c r="E341" s="165" t="str">
        <x:v>複数品種を共発酵する潜在的な利点と制約として最も適切なものはどれか。</x:v>
      </x:c>
      <x:c r="F341" s="165" t="str">
        <x:v>各品種を瓶詰め後に自由に分離できる</x:v>
      </x:c>
      <x:c r="G341" s="165" t="str">
        <x:v>発酵を行わずにアルコールを生成できる</x:v>
      </x:c>
      <x:c r="H341" s="165" t="str">
        <x:v>品種の成熟時期が異なるほど必ず容易になる</x:v>
      </x:c>
      <x:c r="I341" s="165" t="str">
        <x:v>香味と色が発酵段階から統合されやすい一方、後から各品種の比率を調整しにくい</x:v>
      </x:c>
      <x:c r="J341" s="171" t="str">
        <x:v>D</x:v>
      </x:c>
      <x:c r="K341" s="165" t="str">
        <x:v>香味と色が発酵段階から統合されやすい一方、後から各品種の比率を調整しにくい</x:v>
      </x:c>
      <x:c r="L341" s="165" t="str">
        <x:v>共発酵では品種間の相互作用が早く起こるが、別々に醸造してブレンドする方法より柔軟性が低い。</x:v>
      </x:c>
      <x:c r="M341" s="165" t="str">
        <x:v>誤り。 共発酵後に品種ごとのワインへ分離することはできない。</x:v>
      </x:c>
      <x:c r="N341" s="165" t="str">
        <x:v>誤り。 アルコール生成には酵母発酵が必要である。</x:v>
      </x:c>
      <x:c r="O341" s="165" t="str">
        <x:v>誤り。 収穫時期が異なる品種では同時収穫が難しく、共発酵の制約となる。</x:v>
      </x:c>
      <x:c r="P341" s="165" t="str">
        <x:v>正しい。 共発酵では品種間の相互作用が早く起こるが、別々に醸造してブレンドする方法より柔軟性が低い。</x:v>
      </x:c>
      <x:c r="Q341" s="165" t="str">
        <x:v>醸造</x:v>
      </x:c>
      <x:c r="R341" s="165" t="str">
        <x:v>ブレンド・共発酵</x:v>
      </x:c>
      <x:c r="S341" s="165" t="str">
        <x:v>赤ワイン</x:v>
      </x:c>
      <x:c r="T341" s="165"/>
      <x:c r="U341" s="165"/>
      <x:c r="V341" s="165"/>
      <x:c r="W341" s="165" t="str">
        <x:v>比較</x:v>
      </x:c>
      <x:c r="X341" s="171" t="str">
        <x:v>D3</x:v>
      </x:c>
      <x:c r="Y341" s="165" t="str">
        <x:v>共発酵後に分離可能; 成熟時期差が利点</x:v>
      </x:c>
      <x:c r="Z341" s="171" t="str">
        <x:v>N</x:v>
      </x:c>
      <x:c r="AA341" s="165"/>
      <x:c r="AB341" s="165" t="str">
        <x:v>オリジナル</x:v>
      </x:c>
      <x:c r="AC341" s="165" t="str">
        <x:v>公式Specificationの範囲＋ユーザー作成コーパスの論点を参考に独自作成</x:v>
      </x:c>
      <x:c r="AD341" s="171" t="str">
        <x:v>未レビュー</x:v>
      </x:c>
      <x:c r="AE341" s="171"/>
      <x:c r="AF341" s="171"/>
      <x:c r="AG341" s="312"/>
    </x:row>
    <x:row r="342" ht="84" customHeight="1">
      <x:c r="A342" s="311" t="str">
        <x:v>LO1-101</x:v>
      </x:c>
      <x:c r="B342" s="171" t="str">
        <x:v>LO1</x:v>
      </x:c>
      <x:c r="C342" s="165" t="str">
        <x:v>ブドウ畑・ワイナリーの自然要因と人的要因</x:v>
      </x:c>
      <x:c r="D342" s="165" t="str">
        <x:v>MLFとジアセチル</x:v>
      </x:c>
      <x:c r="E342" s="165" t="str">
        <x:v>マロラクティック発酵後にバターを思わせる香りが現れる場合、主に関係する化合物はどれか。</x:v>
      </x:c>
      <x:c r="F342" s="165" t="str">
        <x:v>ジアセチル</x:v>
      </x:c>
      <x:c r="G342" s="165" t="str">
        <x:v>アセトアルデヒドだけ</x:v>
      </x:c>
      <x:c r="H342" s="165" t="str">
        <x:v>二酸化炭素</x:v>
      </x:c>
      <x:c r="I342" s="165" t="str">
        <x:v>酒石酸結晶</x:v>
      </x:c>
      <x:c r="J342" s="171" t="str">
        <x:v>A</x:v>
      </x:c>
      <x:c r="K342" s="165" t="str">
        <x:v>ジアセチル</x:v>
      </x:c>
      <x:c r="L342" s="165" t="str">
        <x:v>乳酸菌の代謝で生じるジアセチルは、量によってバターやクリームを思わせる香りを与える。</x:v>
      </x:c>
      <x:c r="M342" s="165" t="str">
        <x:v>正しい。 乳酸菌の代謝で生じるジアセチルは、量によってバターやクリームを思わせる香りを与える。</x:v>
      </x:c>
      <x:c r="N342" s="165" t="str">
        <x:v>誤り。 アセトアルデヒドは酸化したリンゴやフロール由来の香りに関係し、典型的なバター香の主因ではない。</x:v>
      </x:c>
      <x:c r="O342" s="165" t="str">
        <x:v>誤り。 二酸化炭素は泡や刺激に関係し、バター香を生まない。</x:v>
      </x:c>
      <x:c r="P342" s="165" t="str">
        <x:v>誤り。 酒石酸塩は無臭の結晶で、バター香の原因ではない。</x:v>
      </x:c>
      <x:c r="Q342" s="165" t="str">
        <x:v>醸造</x:v>
      </x:c>
      <x:c r="R342" s="165" t="str">
        <x:v>マロラクティック発酵</x:v>
      </x:c>
      <x:c r="S342" s="165" t="str">
        <x:v>全般</x:v>
      </x:c>
      <x:c r="T342" s="165"/>
      <x:c r="U342" s="165"/>
      <x:c r="V342" s="165"/>
      <x:c r="W342" s="165" t="str">
        <x:v>知識確認</x:v>
      </x:c>
      <x:c r="X342" s="171" t="str">
        <x:v>D1</x:v>
      </x:c>
      <x:c r="Y342" s="165" t="str">
        <x:v>バター香はCO2; バター香は酒石</x:v>
      </x:c>
      <x:c r="Z342" s="171" t="str">
        <x:v>N</x:v>
      </x:c>
      <x:c r="AA342" s="165"/>
      <x:c r="AB342" s="165" t="str">
        <x:v>オリジナル</x:v>
      </x:c>
      <x:c r="AC342" s="165" t="str">
        <x:v>公式Specificationの範囲＋ユーザー作成コーパスの論点を参考に独自作成</x:v>
      </x:c>
      <x:c r="AD342" s="171" t="str">
        <x:v>未レビュー</x:v>
      </x:c>
      <x:c r="AE342" s="171"/>
      <x:c r="AF342" s="171"/>
      <x:c r="AG342" s="312"/>
    </x:row>
    <x:row r="343" ht="84" customHeight="1">
      <x:c r="A343" s="311" t="str">
        <x:v>LO1-102</x:v>
      </x:c>
      <x:c r="B343" s="171" t="str">
        <x:v>LO1</x:v>
      </x:c>
      <x:c r="C343" s="165" t="str">
        <x:v>ブドウ畑・ワイナリーの自然要因と人的要因</x:v>
      </x:c>
      <x:c r="D343" s="165" t="str">
        <x:v>バトナージュ</x:v>
      </x:c>
      <x:c r="E343" s="165" t="str">
        <x:v>澱熟成中にバトナージュを行う主な目的はどれか。</x:v>
      </x:c>
      <x:c r="F343" s="165" t="str">
        <x:v>澱を瓶口へ集めて凍結除去する</x:v>
      </x:c>
      <x:c r="G343" s="165" t="str">
        <x:v>澱をワイン中へ攪拌し、口当たりと複雑性を高める</x:v>
      </x:c>
      <x:c r="H343" s="165" t="str">
        <x:v>果皮から色を最大限抽出する</x:v>
      </x:c>
      <x:c r="I343" s="165" t="str">
        <x:v>ワインを完全に脱アルコールする</x:v>
      </x:c>
      <x:c r="J343" s="171" t="str">
        <x:v>B</x:v>
      </x:c>
      <x:c r="K343" s="165" t="str">
        <x:v>澱をワイン中へ攪拌し、口当たりと複雑性を高める</x:v>
      </x:c>
      <x:c r="L343" s="165" t="str">
        <x:v>酵母由来のマンノプロテインなどが溶出しやすくなり、質感、風味、酸の知覚が丸くなることがある。</x:v>
      </x:c>
      <x:c r="M343" s="165" t="str">
        <x:v>誤り。 これは発泡性ワインのルミュアージュとデゴルジュマンに関係する。</x:v>
      </x:c>
      <x:c r="N343" s="165" t="str">
        <x:v>正しい。 酵母由来のマンノプロテインなどが溶出しやすくなり、質感、風味、酸の知覚が丸くなることがある。</x:v>
      </x:c>
      <x:c r="O343" s="165" t="str">
        <x:v>誤り。 バトナージュは主に澱の攪拌で、果皮抽出ではない。</x:v>
      </x:c>
      <x:c r="P343" s="165" t="str">
        <x:v>誤り。 澱攪拌でアルコールは除去されない。</x:v>
      </x:c>
      <x:c r="Q343" s="165" t="str">
        <x:v>醸造</x:v>
      </x:c>
      <x:c r="R343" s="165" t="str">
        <x:v>澱熟成</x:v>
      </x:c>
      <x:c r="S343" s="165" t="str">
        <x:v>白ワイン</x:v>
      </x:c>
      <x:c r="T343" s="165"/>
      <x:c r="U343" s="165"/>
      <x:c r="V343" s="165"/>
      <x:c r="W343" s="165" t="str">
        <x:v>因果説明</x:v>
      </x:c>
      <x:c r="X343" s="171" t="str">
        <x:v>D2</x:v>
      </x:c>
      <x:c r="Y343" s="165" t="str">
        <x:v>バトナージュは動瓶; バトナージュは果皮抽出</x:v>
      </x:c>
      <x:c r="Z343" s="171" t="str">
        <x:v>N</x:v>
      </x:c>
      <x:c r="AA343" s="165"/>
      <x:c r="AB343" s="165" t="str">
        <x:v>オリジナル</x:v>
      </x:c>
      <x:c r="AC343" s="165" t="str">
        <x:v>公式Specificationの範囲＋ユーザー作成コーパスの論点を参考に独自作成</x:v>
      </x:c>
      <x:c r="AD343" s="171" t="str">
        <x:v>未レビュー</x:v>
      </x:c>
      <x:c r="AE343" s="171"/>
      <x:c r="AF343" s="171"/>
      <x:c r="AG343" s="312"/>
    </x:row>
    <x:row r="344" ht="84" customHeight="1">
      <x:c r="A344" s="311" t="str">
        <x:v>LO1-103</x:v>
      </x:c>
      <x:c r="B344" s="171" t="str">
        <x:v>LO1</x:v>
      </x:c>
      <x:c r="C344" s="165" t="str">
        <x:v>ブドウ畑・ワイナリーの自然要因と人的要因</x:v>
      </x:c>
      <x:c r="D344" s="165" t="str">
        <x:v>樽サイズ</x:v>
      </x:c>
      <x:c r="E344" s="165" t="str">
        <x:v>同じ材質と新しさであれば、大樽が小樽よりワインへ与えるオーク風味が弱くなりやすい主な理由はどれか。</x:v>
      </x:c>
      <x:c r="F344" s="165" t="str">
        <x:v>大樽では木材が存在しないため</x:v>
      </x:c>
      <x:c r="G344" s="165" t="str">
        <x:v>大樽は発酵を必ず停止させるため</x:v>
      </x:c>
      <x:c r="H344" s="165" t="str">
        <x:v>ワイン量に対する木材接触面積の比率が小さいため</x:v>
      </x:c>
      <x:c r="I344" s="165" t="str">
        <x:v>小樽ではワインが光合成するため</x:v>
      </x:c>
      <x:c r="J344" s="171" t="str">
        <x:v>C</x:v>
      </x:c>
      <x:c r="K344" s="165" t="str">
        <x:v>ワイン量に対する木材接触面積の比率が小さいため</x:v>
      </x:c>
      <x:c r="L344" s="165" t="str">
        <x:v>大樽では単位体積当たりの木材接触が少なく、風味成分と酸素の影響が比較的穏やかになる。</x:v>
      </x:c>
      <x:c r="M344" s="165" t="str">
        <x:v>誤り。 大樽も木製であり、接触比率が異なるだけである。</x:v>
      </x:c>
      <x:c r="N344" s="165" t="str">
        <x:v>誤り。 樽サイズだけで発酵が必ず停止するわけではない。</x:v>
      </x:c>
      <x:c r="O344" s="165" t="str">
        <x:v>正しい。 大樽では単位体積当たりの木材接触が少なく、風味成分と酸素の影響が比較的穏やかになる。</x:v>
      </x:c>
      <x:c r="P344" s="165" t="str">
        <x:v>誤り。 ワインは光合成しない。</x:v>
      </x:c>
      <x:c r="Q344" s="165" t="str">
        <x:v>醸造</x:v>
      </x:c>
      <x:c r="R344" s="165" t="str">
        <x:v>オーク熟成</x:v>
      </x:c>
      <x:c r="S344" s="165" t="str">
        <x:v>全般</x:v>
      </x:c>
      <x:c r="T344" s="165"/>
      <x:c r="U344" s="165"/>
      <x:c r="V344" s="165"/>
      <x:c r="W344" s="165" t="str">
        <x:v>因果説明</x:v>
      </x:c>
      <x:c r="X344" s="171" t="str">
        <x:v>D2</x:v>
      </x:c>
      <x:c r="Y344" s="165" t="str">
        <x:v>大樽は木材なし; 樽サイズで発酵停止</x:v>
      </x:c>
      <x:c r="Z344" s="171" t="str">
        <x:v>N</x:v>
      </x:c>
      <x:c r="AA344" s="165"/>
      <x:c r="AB344" s="165" t="str">
        <x:v>オリジナル</x:v>
      </x:c>
      <x:c r="AC344" s="165" t="str">
        <x:v>公式Specificationの範囲＋ユーザー作成コーパスの論点を参考に独自作成</x:v>
      </x:c>
      <x:c r="AD344" s="171" t="str">
        <x:v>未レビュー</x:v>
      </x:c>
      <x:c r="AE344" s="171"/>
      <x:c r="AF344" s="171"/>
      <x:c r="AG344" s="312"/>
    </x:row>
    <x:row r="345" ht="84" customHeight="1">
      <x:c r="A345" s="311" t="str">
        <x:v>LO1-104</x:v>
      </x:c>
      <x:c r="B345" s="171" t="str">
        <x:v>LO1</x:v>
      </x:c>
      <x:c r="C345" s="165" t="str">
        <x:v>ブドウ畑・ワイナリーの自然要因と人的要因</x:v>
      </x:c>
      <x:c r="D345" s="165" t="str">
        <x:v>新樽比率</x:v>
      </x:c>
      <x:c r="E345" s="165" t="str">
        <x:v>熟成に用いる新樽の比率を高めた場合に起こりやすい変化はどれか。</x:v>
      </x:c>
      <x:c r="F345" s="165" t="str">
        <x:v>果実の糖度が発酵前の値へ戻る</x:v>
      </x:c>
      <x:c r="G345" s="165" t="str">
        <x:v>ワインの酸が必ずゼロになる</x:v>
      </x:c>
      <x:c r="H345" s="165" t="str">
        <x:v>ワインが無色透明になる</x:v>
      </x:c>
      <x:c r="I345" s="165" t="str">
        <x:v>ヴァニラ、トースト、木質香とオーク由来タンニンの影響が強くなる</x:v>
      </x:c>
      <x:c r="J345" s="171" t="str">
        <x:v>D</x:v>
      </x:c>
      <x:c r="K345" s="165" t="str">
        <x:v>ヴァニラ、トースト、木質香とオーク由来タンニンの影響が強くなる</x:v>
      </x:c>
      <x:c r="L345" s="165" t="str">
        <x:v>新しい木材は抽出可能な香味成分とタンニンを多く含み、使用済み樽よりワインへの影響が強い。</x:v>
      </x:c>
      <x:c r="M345" s="165" t="str">
        <x:v>誤り。 樽熟成は発酵済みワインの糖度を元へ戻さない。</x:v>
      </x:c>
      <x:c r="N345" s="165" t="str">
        <x:v>誤り。 新樽は酸を完全に除去しない。</x:v>
      </x:c>
      <x:c r="O345" s="165" t="str">
        <x:v>誤り。 樽熟成で色が変化しても、赤ワインが必ず無色にならない。</x:v>
      </x:c>
      <x:c r="P345" s="165" t="str">
        <x:v>正しい。 新しい木材は抽出可能な香味成分とタンニンを多く含み、使用済み樽よりワインへの影響が強い。</x:v>
      </x:c>
      <x:c r="Q345" s="165" t="str">
        <x:v>醸造</x:v>
      </x:c>
      <x:c r="R345" s="165" t="str">
        <x:v>オーク熟成</x:v>
      </x:c>
      <x:c r="S345" s="165" t="str">
        <x:v>全般</x:v>
      </x:c>
      <x:c r="T345" s="165"/>
      <x:c r="U345" s="165"/>
      <x:c r="V345" s="165"/>
      <x:c r="W345" s="165" t="str">
        <x:v>因果説明</x:v>
      </x:c>
      <x:c r="X345" s="171" t="str">
        <x:v>D1</x:v>
      </x:c>
      <x:c r="Y345" s="165" t="str">
        <x:v>新樽で糖復元; 新樽で酸消失</x:v>
      </x:c>
      <x:c r="Z345" s="171" t="str">
        <x:v>N</x:v>
      </x:c>
      <x:c r="AA345" s="165"/>
      <x:c r="AB345" s="165" t="str">
        <x:v>オリジナル</x:v>
      </x:c>
      <x:c r="AC345" s="165" t="str">
        <x:v>公式Specificationの範囲＋ユーザー作成コーパスの論点を参考に独自作成</x:v>
      </x:c>
      <x:c r="AD345" s="171" t="str">
        <x:v>未レビュー</x:v>
      </x:c>
      <x:c r="AE345" s="171"/>
      <x:c r="AF345" s="171"/>
      <x:c r="AG345" s="312"/>
    </x:row>
    <x:row r="346" ht="84" customHeight="1">
      <x:c r="A346" s="311" t="str">
        <x:v>LO1-105</x:v>
      </x:c>
      <x:c r="B346" s="171" t="str">
        <x:v>LO1</x:v>
      </x:c>
      <x:c r="C346" s="165" t="str">
        <x:v>ブドウ畑・ワイナリーの自然要因と人的要因</x:v>
      </x:c>
      <x:c r="D346" s="165" t="str">
        <x:v>樽のトースト度</x:v>
      </x:c>
      <x:c r="E346" s="165" t="str">
        <x:v>強くトーストしたオーク樽がワインへ与えやすい香りはどれか。</x:v>
      </x:c>
      <x:c r="F346" s="165" t="str">
        <x:v>煙、焦げ、コーヒーを思わせる香り</x:v>
      </x:c>
      <x:c r="G346" s="165" t="str">
        <x:v>未熟な青ピーマンの香りだけ</x:v>
      </x:c>
      <x:c r="H346" s="165" t="str">
        <x:v>新鮮なライム果汁の香りだけ</x:v>
      </x:c>
      <x:c r="I346" s="165" t="str">
        <x:v>海水の塩味を直接加える</x:v>
      </x:c>
      <x:c r="J346" s="171" t="str">
        <x:v>A</x:v>
      </x:c>
      <x:c r="K346" s="165" t="str">
        <x:v>煙、焦げ、コーヒーを思わせる香り</x:v>
      </x:c>
      <x:c r="L346" s="165" t="str">
        <x:v>高いトースト度は木材の熱分解を進め、スモーキー、焦げ、コーヒー様の香りを生みやすい。</x:v>
      </x:c>
      <x:c r="M346" s="165" t="str">
        <x:v>正しい。 高いトースト度は木材の熱分解を進め、スモーキー、焦げ、コーヒー様の香りを生みやすい。</x:v>
      </x:c>
      <x:c r="N346" s="165" t="str">
        <x:v>誤り。 青ピーマン香は主にメトキシピラジンに関係し、樽トーストの典型ではない。</x:v>
      </x:c>
      <x:c r="O346" s="165" t="str">
        <x:v>誤り。 柑橘香は主にブドウや発酵由来で、強いトーストの主な特徴ではない。</x:v>
      </x:c>
      <x:c r="P346" s="165" t="str">
        <x:v>誤り。 樽のトーストは塩分を加える工程ではない。</x:v>
      </x:c>
      <x:c r="Q346" s="165" t="str">
        <x:v>醸造</x:v>
      </x:c>
      <x:c r="R346" s="165" t="str">
        <x:v>オーク熟成</x:v>
      </x:c>
      <x:c r="S346" s="165" t="str">
        <x:v>全般</x:v>
      </x:c>
      <x:c r="T346" s="165"/>
      <x:c r="U346" s="165"/>
      <x:c r="V346" s="165"/>
      <x:c r="W346" s="165" t="str">
        <x:v>知識確認</x:v>
      </x:c>
      <x:c r="X346" s="171" t="str">
        <x:v>D1</x:v>
      </x:c>
      <x:c r="Y346" s="165" t="str">
        <x:v>トーストは青臭さ; トーストで塩分付与</x:v>
      </x:c>
      <x:c r="Z346" s="171" t="str">
        <x:v>N</x:v>
      </x:c>
      <x:c r="AA346" s="165"/>
      <x:c r="AB346" s="165" t="str">
        <x:v>オリジナル</x:v>
      </x:c>
      <x:c r="AC346" s="165" t="str">
        <x:v>公式Specificationの範囲＋ユーザー作成コーパスの論点を参考に独自作成</x:v>
      </x:c>
      <x:c r="AD346" s="171" t="str">
        <x:v>未レビュー</x:v>
      </x:c>
      <x:c r="AE346" s="171"/>
      <x:c r="AF346" s="171"/>
      <x:c r="AG346" s="312"/>
    </x:row>
    <x:row r="347" ht="84" customHeight="1">
      <x:c r="A347" s="311" t="str">
        <x:v>LO1-106</x:v>
      </x:c>
      <x:c r="B347" s="171" t="str">
        <x:v>LO1</x:v>
      </x:c>
      <x:c r="C347" s="165" t="str">
        <x:v>ブドウ畑・ワイナリーの自然要因と人的要因</x:v>
      </x:c>
      <x:c r="D347" s="165" t="str">
        <x:v>樽熟成と酸素</x:v>
      </x:c>
      <x:c r="E347" s="165" t="str">
        <x:v>オーク樽を通じた少量の酸素接触が若い赤ワインへ与えやすい効果はどれか。</x:v>
      </x:c>
      <x:c r="F347" s="165" t="str">
        <x:v>すべての果実香を直ちに消失させる</x:v>
      </x:c>
      <x:c r="G347" s="165" t="str">
        <x:v>タンニンの重合と色素の安定化を促し、口当たりを穏やかにする</x:v>
      </x:c>
      <x:c r="H347" s="165" t="str">
        <x:v>ワインを完全に無酸素状態へする</x:v>
      </x:c>
      <x:c r="I347" s="165" t="str">
        <x:v>アルコールを糖へ戻す</x:v>
      </x:c>
      <x:c r="J347" s="171" t="str">
        <x:v>B</x:v>
      </x:c>
      <x:c r="K347" s="165" t="str">
        <x:v>タンニンの重合と色素の安定化を促し、口当たりを穏やかにする</x:v>
      </x:c>
      <x:c r="L347" s="165" t="str">
        <x:v>ゆっくりした酸素供給は色素とタンニンの結合を助け、粗い収れん性を和らげることがある。</x:v>
      </x:c>
      <x:c r="M347" s="165" t="str">
        <x:v>誤り。 適切な樽熟成は緩やかで、必ずすべての果実香を失わせるわけではない。</x:v>
      </x:c>
      <x:c r="N347" s="165" t="str">
        <x:v>正しい。 ゆっくりした酸素供給は色素とタンニンの結合を助け、粗い収れん性を和らげることがある。</x:v>
      </x:c>
      <x:c r="O347" s="165" t="str">
        <x:v>誤り。 樽は少量の酸素透過を許す。</x:v>
      </x:c>
      <x:c r="P347" s="165" t="str">
        <x:v>誤り。 熟成中にアルコールが糖へ戻ることはない。</x:v>
      </x:c>
      <x:c r="Q347" s="165" t="str">
        <x:v>醸造</x:v>
      </x:c>
      <x:c r="R347" s="165" t="str">
        <x:v>酸素と熟成</x:v>
      </x:c>
      <x:c r="S347" s="165" t="str">
        <x:v>赤ワイン</x:v>
      </x:c>
      <x:c r="T347" s="165"/>
      <x:c r="U347" s="165"/>
      <x:c r="V347" s="165"/>
      <x:c r="W347" s="165" t="str">
        <x:v>因果説明</x:v>
      </x:c>
      <x:c r="X347" s="171" t="str">
        <x:v>D3</x:v>
      </x:c>
      <x:c r="Y347" s="165" t="str">
        <x:v>樽は完全密閉; 酸素でアルコールが糖へ戻る</x:v>
      </x:c>
      <x:c r="Z347" s="171" t="str">
        <x:v>N</x:v>
      </x:c>
      <x:c r="AA347" s="165"/>
      <x:c r="AB347" s="165" t="str">
        <x:v>オリジナル</x:v>
      </x:c>
      <x:c r="AC347" s="165" t="str">
        <x:v>公式Specificationの範囲＋ユーザー作成コーパスの論点を参考に独自作成</x:v>
      </x:c>
      <x:c r="AD347" s="171" t="str">
        <x:v>未レビュー</x:v>
      </x:c>
      <x:c r="AE347" s="171"/>
      <x:c r="AF347" s="171"/>
      <x:c r="AG347" s="312"/>
    </x:row>
    <x:row r="348" ht="84" customHeight="1">
      <x:c r="A348" s="311" t="str">
        <x:v>LO1-107</x:v>
      </x:c>
      <x:c r="B348" s="171" t="str">
        <x:v>LO1</x:v>
      </x:c>
      <x:c r="C348" s="165" t="str">
        <x:v>ブドウ畑・ワイナリーの自然要因と人的要因</x:v>
      </x:c>
      <x:c r="D348" s="165" t="str">
        <x:v>コンクリート槽</x:v>
      </x:c>
      <x:c r="E348" s="165" t="str">
        <x:v>コンクリート槽を発酵・熟成に用いる特徴として最も適切なものはどれか。</x:v>
      </x:c>
      <x:c r="F348" s="165" t="str">
        <x:v>必ず強いココナツ香を与える</x:v>
      </x:c>
      <x:c r="G348" s="165" t="str">
        <x:v>温度が瞬時に外気と同じになる</x:v>
      </x:c>
      <x:c r="H348" s="165" t="str">
        <x:v>温度が比較的安定し、オーク香を付けずに微量の酸素接触を得られる場合がある</x:v>
      </x:c>
      <x:c r="I348" s="165" t="str">
        <x:v>酒精強化用アルコールを自動生成する</x:v>
      </x:c>
      <x:c r="J348" s="171" t="str">
        <x:v>C</x:v>
      </x:c>
      <x:c r="K348" s="165" t="str">
        <x:v>温度が比較的安定し、オーク香を付けずに微量の酸素接触を得られる場合がある</x:v>
      </x:c>
      <x:c r="L348" s="165" t="str">
        <x:v>コンクリートは熱慣性が大きく、内面処理によっては穏やかな酸素交換を許しつつ、中立的な風味を保てる。</x:v>
      </x:c>
      <x:c r="M348" s="165" t="str">
        <x:v>誤り。 ココナツ香は特にアメリカンオークに関係し、コンクリート由来ではない。</x:v>
      </x:c>
      <x:c r="N348" s="165" t="str">
        <x:v>誤り。 コンクリートは熱容量が大きく、温度変化が比較的緩やかである。</x:v>
      </x:c>
      <x:c r="O348" s="165" t="str">
        <x:v>正しい。 コンクリートは熱慣性が大きく、内面処理によっては穏やかな酸素交換を許しつつ、中立的な風味を保てる。</x:v>
      </x:c>
      <x:c r="P348" s="165" t="str">
        <x:v>誤り。 容器素材がアルコール添加を行うわけではない。</x:v>
      </x:c>
      <x:c r="Q348" s="165" t="str">
        <x:v>醸造</x:v>
      </x:c>
      <x:c r="R348" s="165" t="str">
        <x:v>発酵・熟成容器</x:v>
      </x:c>
      <x:c r="S348" s="165" t="str">
        <x:v>全般</x:v>
      </x:c>
      <x:c r="T348" s="165"/>
      <x:c r="U348" s="165"/>
      <x:c r="V348" s="165"/>
      <x:c r="W348" s="165" t="str">
        <x:v>比較</x:v>
      </x:c>
      <x:c r="X348" s="171" t="str">
        <x:v>D2</x:v>
      </x:c>
      <x:c r="Y348" s="165" t="str">
        <x:v>コンクリートはオーク香; コンクリートは温度不安定</x:v>
      </x:c>
      <x:c r="Z348" s="171" t="str">
        <x:v>N</x:v>
      </x:c>
      <x:c r="AA348" s="165"/>
      <x:c r="AB348" s="165" t="str">
        <x:v>オリジナル</x:v>
      </x:c>
      <x:c r="AC348" s="165" t="str">
        <x:v>公式Specificationの範囲＋ユーザー作成コーパスの論点を参考に独自作成</x:v>
      </x:c>
      <x:c r="AD348" s="171" t="str">
        <x:v>未レビュー</x:v>
      </x:c>
      <x:c r="AE348" s="171"/>
      <x:c r="AF348" s="171"/>
      <x:c r="AG348" s="312"/>
    </x:row>
    <x:row r="349" ht="84" customHeight="1">
      <x:c r="A349" s="311" t="str">
        <x:v>LO1-108</x:v>
      </x:c>
      <x:c r="B349" s="171" t="str">
        <x:v>LO1</x:v>
      </x:c>
      <x:c r="C349" s="165" t="str">
        <x:v>ブドウ畑・ワイナリーの自然要因と人的要因</x:v>
      </x:c>
      <x:c r="D349" s="165" t="str">
        <x:v>アンフォラ</x:v>
      </x:c>
      <x:c r="E349" s="165" t="str">
        <x:v>アンフォラなどの陶器製容器を用いる場合の特徴として最も適切なものはどれか。</x:v>
      </x:c>
      <x:c r="F349" s="165" t="str">
        <x:v>必ずワインを炭酸化する</x:v>
      </x:c>
      <x:c r="G349" s="165" t="str">
        <x:v>すべてのワインへヴァニラ香を加える</x:v>
      </x:c>
      <x:c r="H349" s="165" t="str">
        <x:v>果汁の糖を濾過で完全に除く</x:v>
      </x:c>
      <x:c r="I349" s="165" t="str">
        <x:v>オーク香を付けず、素材や密封方法により穏やかな酸素接触を得られる</x:v>
      </x:c>
      <x:c r="J349" s="171" t="str">
        <x:v>D</x:v>
      </x:c>
      <x:c r="K349" s="165" t="str">
        <x:v>オーク香を付けず、素材や密封方法により穏やかな酸素接触を得られる</x:v>
      </x:c>
      <x:c r="L349" s="165" t="str">
        <x:v>陶器は木樽とは異なる中立的な風味を保ちつつ、無釉の場合などは微量の酸素交換が起こり得る。</x:v>
      </x:c>
      <x:c r="M349" s="165" t="str">
        <x:v>誤り。 陶器容器そのものが炭酸ガスを注入するわけではない。</x:v>
      </x:c>
      <x:c r="N349" s="165" t="str">
        <x:v>誤り。 ヴァニラ香は主にオークに由来する。</x:v>
      </x:c>
      <x:c r="O349" s="165" t="str">
        <x:v>誤り。 容器選択は糖の除去工程ではない。</x:v>
      </x:c>
      <x:c r="P349" s="165" t="str">
        <x:v>正しい。 陶器は木樽とは異なる中立的な風味を保ちつつ、無釉の場合などは微量の酸素交換が起こり得る。</x:v>
      </x:c>
      <x:c r="Q349" s="165" t="str">
        <x:v>醸造</x:v>
      </x:c>
      <x:c r="R349" s="165" t="str">
        <x:v>発酵・熟成容器</x:v>
      </x:c>
      <x:c r="S349" s="165" t="str">
        <x:v>全般</x:v>
      </x:c>
      <x:c r="T349" s="165"/>
      <x:c r="U349" s="165"/>
      <x:c r="V349" s="165"/>
      <x:c r="W349" s="165" t="str">
        <x:v>比較</x:v>
      </x:c>
      <x:c r="X349" s="171" t="str">
        <x:v>D2</x:v>
      </x:c>
      <x:c r="Y349" s="165" t="str">
        <x:v>アンフォラで発泡; アンフォラはオーク香</x:v>
      </x:c>
      <x:c r="Z349" s="171" t="str">
        <x:v>N</x:v>
      </x:c>
      <x:c r="AA349" s="165"/>
      <x:c r="AB349" s="165" t="str">
        <x:v>オリジナル</x:v>
      </x:c>
      <x:c r="AC349" s="165" t="str">
        <x:v>公式Specificationの範囲＋ユーザー作成コーパスの論点を参考に独自作成</x:v>
      </x:c>
      <x:c r="AD349" s="171" t="str">
        <x:v>未レビュー</x:v>
      </x:c>
      <x:c r="AE349" s="171"/>
      <x:c r="AF349" s="171"/>
      <x:c r="AG349" s="312"/>
    </x:row>
    <x:row r="350" ht="84" customHeight="1">
      <x:c r="A350" s="311" t="str">
        <x:v>LO1-109</x:v>
      </x:c>
      <x:c r="B350" s="171" t="str">
        <x:v>LO1</x:v>
      </x:c>
      <x:c r="C350" s="165" t="str">
        <x:v>ブドウ畑・ワイナリーの自然要因と人的要因</x:v>
      </x:c>
      <x:c r="D350" s="165" t="str">
        <x:v>マイクロオキシジェネーション</x:v>
      </x:c>
      <x:c r="E350" s="165" t="str">
        <x:v>マイクロオキシジェネーションの主な目的はどれか。</x:v>
      </x:c>
      <x:c r="F350" s="165" t="str">
        <x:v>管理した少量の酸素を加え、色の安定とタンニンの軟化を促す</x:v>
      </x:c>
      <x:c r="G350" s="165" t="str">
        <x:v>ワインを急速に酢へ変える</x:v>
      </x:c>
      <x:c r="H350" s="165" t="str">
        <x:v>瓶内の圧力を発泡性ワインの水準へ上げる</x:v>
      </x:c>
      <x:c r="I350" s="165" t="str">
        <x:v>残糖を甘味として増やす</x:v>
      </x:c>
      <x:c r="J350" s="171" t="str">
        <x:v>A</x:v>
      </x:c>
      <x:c r="K350" s="165" t="str">
        <x:v>管理した少量の酸素を加え、色の安定とタンニンの軟化を促す</x:v>
      </x:c>
      <x:c r="L350" s="165" t="str">
        <x:v>樽熟成に似た緩やかな酸素効果をタンク内で再現し、若い赤ワインの構造を整えるために用いられる。</x:v>
      </x:c>
      <x:c r="M350" s="165" t="str">
        <x:v>正しい。 樽熟成に似た緩やかな酸素効果をタンク内で再現し、若い赤ワインの構造を整えるために用いられる。</x:v>
      </x:c>
      <x:c r="N350" s="165" t="str">
        <x:v>誤り。 過剰酸素は酢酸菌リスクを高めるが、目的は極少量を制御して加えることにある。</x:v>
      </x:c>
      <x:c r="O350" s="165" t="str">
        <x:v>誤り。 酸素添加で炭酸ガス圧は上がらない。</x:v>
      </x:c>
      <x:c r="P350" s="165" t="str">
        <x:v>誤り。 酸素添加で糖が増えることはない。</x:v>
      </x:c>
      <x:c r="Q350" s="165" t="str">
        <x:v>醸造</x:v>
      </x:c>
      <x:c r="R350" s="165" t="str">
        <x:v>酸素管理</x:v>
      </x:c>
      <x:c r="S350" s="165" t="str">
        <x:v>赤ワイン</x:v>
      </x:c>
      <x:c r="T350" s="165"/>
      <x:c r="U350" s="165"/>
      <x:c r="V350" s="165"/>
      <x:c r="W350" s="165" t="str">
        <x:v>因果説明</x:v>
      </x:c>
      <x:c r="X350" s="171" t="str">
        <x:v>D3</x:v>
      </x:c>
      <x:c r="Y350" s="165" t="str">
        <x:v>微酸素で酢化; 微酸素で炭酸化</x:v>
      </x:c>
      <x:c r="Z350" s="171" t="str">
        <x:v>N</x:v>
      </x:c>
      <x:c r="AA350" s="165"/>
      <x:c r="AB350" s="165" t="str">
        <x:v>オリジナル</x:v>
      </x:c>
      <x:c r="AC350" s="165" t="str">
        <x:v>公式Specificationの範囲＋ユーザー作成コーパスの論点を参考に独自作成</x:v>
      </x:c>
      <x:c r="AD350" s="171" t="str">
        <x:v>未レビュー</x:v>
      </x:c>
      <x:c r="AE350" s="171"/>
      <x:c r="AF350" s="171"/>
      <x:c r="AG350" s="312"/>
    </x:row>
    <x:row r="351" ht="84" customHeight="1">
      <x:c r="A351" s="311" t="str">
        <x:v>LO1-110</x:v>
      </x:c>
      <x:c r="B351" s="171" t="str">
        <x:v>LO1</x:v>
      </x:c>
      <x:c r="C351" s="165" t="str">
        <x:v>ブドウ畑・ワイナリーの自然要因と人的要因</x:v>
      </x:c>
      <x:c r="D351" s="165" t="str">
        <x:v>不活性ガスの利用</x:v>
      </x:c>
      <x:c r="E351" s="165" t="str">
        <x:v>ワイン貯蔵タンクの空隙へ窒素や二酸化炭素を入れる主な目的はどれか。</x:v>
      </x:c>
      <x:c r="F351" s="165" t="str">
        <x:v>ワインのアルコールを糖へ変える</x:v>
      </x:c>
      <x:c r="G351" s="165" t="str">
        <x:v>酸素を置換し、酸化と好気性微生物の活動を抑える</x:v>
      </x:c>
      <x:c r="H351" s="165" t="str">
        <x:v>ワインへオーク香を加える</x:v>
      </x:c>
      <x:c r="I351" s="165" t="str">
        <x:v>果皮からタンニンを抽出する</x:v>
      </x:c>
      <x:c r="J351" s="171" t="str">
        <x:v>B</x:v>
      </x:c>
      <x:c r="K351" s="165" t="str">
        <x:v>酸素を置換し、酸化と好気性微生物の活動を抑える</x:v>
      </x:c>
      <x:c r="L351" s="165" t="str">
        <x:v>不活性ガスでヘッドスペースを覆うことで、ワインと空気の接触を減らし、新鮮さを保持する。</x:v>
      </x:c>
      <x:c r="M351" s="165" t="str">
        <x:v>誤り。 不活性ガスは化学的にアルコールを糖へ戻さない。</x:v>
      </x:c>
      <x:c r="N351" s="165" t="str">
        <x:v>正しい。 不活性ガスでヘッドスペースを覆うことで、ワインと空気の接触を減らし、新鮮さを保持する。</x:v>
      </x:c>
      <x:c r="O351" s="165" t="str">
        <x:v>誤り。 ガスは木材由来の香味を付与しない。</x:v>
      </x:c>
      <x:c r="P351" s="165" t="str">
        <x:v>誤り。 貯蔵タンクのガス置換は果皮抽出工程ではない。</x:v>
      </x:c>
      <x:c r="Q351" s="165" t="str">
        <x:v>醸造</x:v>
      </x:c>
      <x:c r="R351" s="165" t="str">
        <x:v>酸素管理</x:v>
      </x:c>
      <x:c r="S351" s="165" t="str">
        <x:v>全般</x:v>
      </x:c>
      <x:c r="T351" s="165"/>
      <x:c r="U351" s="165"/>
      <x:c r="V351" s="165"/>
      <x:c r="W351" s="165" t="str">
        <x:v>知識確認</x:v>
      </x:c>
      <x:c r="X351" s="171" t="str">
        <x:v>D1</x:v>
      </x:c>
      <x:c r="Y351" s="165" t="str">
        <x:v>不活性ガスで糖増加; ガスでオーク香</x:v>
      </x:c>
      <x:c r="Z351" s="171" t="str">
        <x:v>N</x:v>
      </x:c>
      <x:c r="AA351" s="165"/>
      <x:c r="AB351" s="165" t="str">
        <x:v>オリジナル</x:v>
      </x:c>
      <x:c r="AC351" s="165" t="str">
        <x:v>公式Specificationの範囲＋ユーザー作成コーパスの論点を参考に独自作成</x:v>
      </x:c>
      <x:c r="AD351" s="171" t="str">
        <x:v>未レビュー</x:v>
      </x:c>
      <x:c r="AE351" s="171"/>
      <x:c r="AF351" s="171"/>
      <x:c r="AG351" s="312"/>
    </x:row>
    <x:row r="352" ht="84" customHeight="1">
      <x:c r="A352" s="311" t="str">
        <x:v>LO1-111</x:v>
      </x:c>
      <x:c r="B352" s="171" t="str">
        <x:v>LO1</x:v>
      </x:c>
      <x:c r="C352" s="165" t="str">
        <x:v>ブドウ畑・ワイナリーの自然要因と人的要因</x:v>
      </x:c>
      <x:c r="D352" s="165" t="str">
        <x:v>滅菌濾過</x:v>
      </x:c>
      <x:c r="E352" s="165" t="str">
        <x:v>瓶内での再発酵を防ぐため、残糖を含むワインに滅菌濾過を行う主な目的はどれか。</x:v>
      </x:c>
      <x:c r="F352" s="165" t="str">
        <x:v>残糖を結晶化して取り除く</x:v>
      </x:c>
      <x:c r="G352" s="165" t="str">
        <x:v>アルコールをすべて蒸発させる</x:v>
      </x:c>
      <x:c r="H352" s="165" t="str">
        <x:v>酵母や細菌を物理的に除去して、瓶内での微生物活動を防ぐ</x:v>
      </x:c>
      <x:c r="I352" s="165" t="str">
        <x:v>ワインを意図的に酸化させる</x:v>
      </x:c>
      <x:c r="J352" s="171" t="str">
        <x:v>C</x:v>
      </x:c>
      <x:c r="K352" s="165" t="str">
        <x:v>酵母や細菌を物理的に除去して、瓶内での微生物活動を防ぐ</x:v>
      </x:c>
      <x:c r="L352" s="165" t="str">
        <x:v>十分に細かい膜で微生物を除くことで、残糖があっても再発酵や腐敗のリスクを下げられる。</x:v>
      </x:c>
      <x:c r="M352" s="165" t="str">
        <x:v>誤り。 滅菌濾過は微生物を除去し、溶解糖を除くものではない。</x:v>
      </x:c>
      <x:c r="N352" s="165" t="str">
        <x:v>誤り。 膜濾過でアルコールは除去されない。</x:v>
      </x:c>
      <x:c r="O352" s="165" t="str">
        <x:v>正しい。 十分に細かい膜で微生物を除くことで、残糖があっても再発酵や腐敗のリスクを下げられる。</x:v>
      </x:c>
      <x:c r="P352" s="165" t="str">
        <x:v>誤り。 目的は微生物安定性であり、酸化促進ではない。</x:v>
      </x:c>
      <x:c r="Q352" s="165" t="str">
        <x:v>醸造</x:v>
      </x:c>
      <x:c r="R352" s="165" t="str">
        <x:v>濾過・安定化</x:v>
      </x:c>
      <x:c r="S352" s="165" t="str">
        <x:v>甘口ワイン</x:v>
      </x:c>
      <x:c r="T352" s="165"/>
      <x:c r="U352" s="165"/>
      <x:c r="V352" s="165"/>
      <x:c r="W352" s="165" t="str">
        <x:v>因果説明</x:v>
      </x:c>
      <x:c r="X352" s="171" t="str">
        <x:v>D2</x:v>
      </x:c>
      <x:c r="Y352" s="165" t="str">
        <x:v>滅菌濾過で糖除去; 濾過で脱アルコール</x:v>
      </x:c>
      <x:c r="Z352" s="171" t="str">
        <x:v>N</x:v>
      </x:c>
      <x:c r="AA352" s="165"/>
      <x:c r="AB352" s="165" t="str">
        <x:v>オリジナル</x:v>
      </x:c>
      <x:c r="AC352" s="165" t="str">
        <x:v>公式Specificationの範囲＋ユーザー作成コーパスの論点を参考に独自作成</x:v>
      </x:c>
      <x:c r="AD352" s="171" t="str">
        <x:v>未レビュー</x:v>
      </x:c>
      <x:c r="AE352" s="171"/>
      <x:c r="AF352" s="171"/>
      <x:c r="AG352" s="312"/>
    </x:row>
    <x:row r="353" ht="84" customHeight="1">
      <x:c r="A353" s="311" t="str">
        <x:v>LO1-112</x:v>
      </x:c>
      <x:c r="B353" s="171" t="str">
        <x:v>LO1</x:v>
      </x:c>
      <x:c r="C353" s="165" t="str">
        <x:v>ブドウ畑・ワイナリーの自然要因と人的要因</x:v>
      </x:c>
      <x:c r="D353" s="165" t="str">
        <x:v>清澄剤の選択</x:v>
      </x:c>
      <x:c r="E353" s="165" t="str">
        <x:v>清澄剤を選ぶ際に最も重要な考え方はどれか。</x:v>
      </x:c>
      <x:c r="F353" s="165" t="str">
        <x:v>すべての清澄剤は全成分を同じように除く</x:v>
      </x:c>
      <x:c r="G353" s="165" t="str">
        <x:v>清澄剤は必ずワインのアルコール度を上げる</x:v>
      </x:c>
      <x:c r="H353" s="165" t="str">
        <x:v>清澄剤は発酵前の糖を増やす</x:v>
      </x:c>
      <x:c r="I353" s="165" t="str">
        <x:v>除去したい成分に応じて、電荷や結合特性の合う清澄剤を選ぶ</x:v>
      </x:c>
      <x:c r="J353" s="171" t="str">
        <x:v>D</x:v>
      </x:c>
      <x:c r="K353" s="165" t="str">
        <x:v>除去したい成分に応じて、電荷や結合特性の合う清澄剤を選ぶ</x:v>
      </x:c>
      <x:c r="L353" s="165" t="str">
        <x:v>タンパク質、タンニン、褐色物質など対象が異なるため、目的に合わない清澄剤では効果が弱いか過剰処理となる。</x:v>
      </x:c>
      <x:c r="M353" s="165" t="str">
        <x:v>誤り。 清澄剤ごとに作用対象と強さが異なる。</x:v>
      </x:c>
      <x:c r="N353" s="165" t="str">
        <x:v>誤り。 清澄は不要成分を吸着・沈殿させる工程で、アルコール生成ではない。</x:v>
      </x:c>
      <x:c r="O353" s="165" t="str">
        <x:v>誤り。 清澄によって糖が増えることはない。</x:v>
      </x:c>
      <x:c r="P353" s="165" t="str">
        <x:v>正しい。 タンパク質、タンニン、褐色物質など対象が異なるため、目的に合わない清澄剤では効果が弱いか過剰処理となる。</x:v>
      </x:c>
      <x:c r="Q353" s="165" t="str">
        <x:v>醸造</x:v>
      </x:c>
      <x:c r="R353" s="165" t="str">
        <x:v>清澄</x:v>
      </x:c>
      <x:c r="S353" s="165" t="str">
        <x:v>全般</x:v>
      </x:c>
      <x:c r="T353" s="165"/>
      <x:c r="U353" s="165"/>
      <x:c r="V353" s="165"/>
      <x:c r="W353" s="165" t="str">
        <x:v>適用</x:v>
      </x:c>
      <x:c r="X353" s="171" t="str">
        <x:v>D2</x:v>
      </x:c>
      <x:c r="Y353" s="165" t="str">
        <x:v>清澄剤は万能; 清澄でアルコール増加</x:v>
      </x:c>
      <x:c r="Z353" s="171" t="str">
        <x:v>N</x:v>
      </x:c>
      <x:c r="AA353" s="165"/>
      <x:c r="AB353" s="165" t="str">
        <x:v>オリジナル</x:v>
      </x:c>
      <x:c r="AC353" s="165" t="str">
        <x:v>公式Specificationの範囲＋ユーザー作成コーパスの論点を参考に独自作成</x:v>
      </x:c>
      <x:c r="AD353" s="171" t="str">
        <x:v>未レビュー</x:v>
      </x:c>
      <x:c r="AE353" s="171"/>
      <x:c r="AF353" s="171"/>
      <x:c r="AG353" s="312"/>
    </x:row>
    <x:row r="354" ht="84" customHeight="1">
      <x:c r="A354" s="311" t="str">
        <x:v>LO1-113</x:v>
      </x:c>
      <x:c r="B354" s="171" t="str">
        <x:v>LO1</x:v>
      </x:c>
      <x:c r="C354" s="165" t="str">
        <x:v>ブドウ畑・ワイナリーの自然要因と人的要因</x:v>
      </x:c>
      <x:c r="D354" s="165" t="str">
        <x:v>タンパク質安定化</x:v>
      </x:c>
      <x:c r="E354" s="165" t="str">
        <x:v>白ワインのタンパク質混濁を防ぐために一般的に用いられる処理はどれか。</x:v>
      </x:c>
      <x:c r="F354" s="165" t="str">
        <x:v>ベントナイト清澄</x:v>
      </x:c>
      <x:c r="G354" s="165" t="str">
        <x:v>補糖</x:v>
      </x:c>
      <x:c r="H354" s="165" t="str">
        <x:v>炭酸ガス注入</x:v>
      </x:c>
      <x:c r="I354" s="165" t="str">
        <x:v>長期果皮浸漬だけ</x:v>
      </x:c>
      <x:c r="J354" s="171" t="str">
        <x:v>A</x:v>
      </x:c>
      <x:c r="K354" s="165" t="str">
        <x:v>ベントナイト清澄</x:v>
      </x:c>
      <x:c r="L354" s="165" t="str">
        <x:v>ベントナイトは正に帯電した不安定タンパク質を吸着し、沈殿として除去することで熱混濁を防ぐ。</x:v>
      </x:c>
      <x:c r="M354" s="165" t="str">
        <x:v>正しい。 ベントナイトは正に帯電した不安定タンパク質を吸着し、沈殿として除去することで熱混濁を防ぐ。</x:v>
      </x:c>
      <x:c r="N354" s="165" t="str">
        <x:v>誤り。 補糖は発酵前の糖度を上げる工程で、タンパク質混濁を防がない。</x:v>
      </x:c>
      <x:c r="O354" s="165" t="str">
        <x:v>誤り。 炭酸ガスは泡を与えるが、タンパク質を除去しない。</x:v>
      </x:c>
      <x:c r="P354" s="165" t="str">
        <x:v>誤り。 果皮浸漬は抽出工程で、タンパク質安定化の標準処理ではない。</x:v>
      </x:c>
      <x:c r="Q354" s="165" t="str">
        <x:v>醸造</x:v>
      </x:c>
      <x:c r="R354" s="165" t="str">
        <x:v>安定化</x:v>
      </x:c>
      <x:c r="S354" s="165" t="str">
        <x:v>白ワイン</x:v>
      </x:c>
      <x:c r="T354" s="165"/>
      <x:c r="U354" s="165"/>
      <x:c r="V354" s="165"/>
      <x:c r="W354" s="165" t="str">
        <x:v>知識確認</x:v>
      </x:c>
      <x:c r="X354" s="171" t="str">
        <x:v>D1</x:v>
      </x:c>
      <x:c r="Y354" s="165" t="str">
        <x:v>補糖でタンパク安定; 炭酸化で混濁防止</x:v>
      </x:c>
      <x:c r="Z354" s="171" t="str">
        <x:v>N</x:v>
      </x:c>
      <x:c r="AA354" s="165"/>
      <x:c r="AB354" s="165" t="str">
        <x:v>オリジナル</x:v>
      </x:c>
      <x:c r="AC354" s="165" t="str">
        <x:v>公式Specificationの範囲＋ユーザー作成コーパスの論点を参考に独自作成</x:v>
      </x:c>
      <x:c r="AD354" s="171" t="str">
        <x:v>未レビュー</x:v>
      </x:c>
      <x:c r="AE354" s="171"/>
      <x:c r="AF354" s="171"/>
      <x:c r="AG354" s="312"/>
    </x:row>
    <x:row r="355" ht="84" customHeight="1">
      <x:c r="A355" s="311" t="str">
        <x:v>LO1-114</x:v>
      </x:c>
      <x:c r="B355" s="171" t="str">
        <x:v>LO1</x:v>
      </x:c>
      <x:c r="C355" s="165" t="str">
        <x:v>ブドウ畑・ワイナリーの自然要因と人的要因</x:v>
      </x:c>
      <x:c r="D355" s="165" t="str">
        <x:v>微生物安定性</x:v>
      </x:c>
      <x:c r="E355" s="165" t="str">
        <x:v>瓶詰め前に微生物安定性を高める方法の組み合わせとして最も適切なものはどれか。</x:v>
      </x:c>
      <x:c r="F355" s="165" t="str">
        <x:v>高温の直射日光下へ長期間置く</x:v>
      </x:c>
      <x:c r="G355" s="165" t="str">
        <x:v>衛生管理、適切な亜硫酸、必要に応じた滅菌濾過</x:v>
      </x:c>
      <x:c r="H355" s="165" t="str">
        <x:v>糖を追加して酵母の活動を促す</x:v>
      </x:c>
      <x:c r="I355" s="165" t="str">
        <x:v>すべての容器を開放し、空気へさらす</x:v>
      </x:c>
      <x:c r="J355" s="171" t="str">
        <x:v>B</x:v>
      </x:c>
      <x:c r="K355" s="165" t="str">
        <x:v>衛生管理、適切な亜硫酸、必要に応じた滅菌濾過</x:v>
      </x:c>
      <x:c r="L355" s="165" t="str">
        <x:v>微生物の侵入を防ぎ、増殖条件を抑え、瓶詰め直前に除去する多段階の管理が有効である。</x:v>
      </x:c>
      <x:c r="M355" s="165" t="str">
        <x:v>誤り。 熱と光はワインを劣化させ、安定化方法として適切でない。</x:v>
      </x:c>
      <x:c r="N355" s="165" t="str">
        <x:v>正しい。 微生物の侵入を防ぎ、増殖条件を抑え、瓶詰め直前に除去する多段階の管理が有効である。</x:v>
      </x:c>
      <x:c r="O355" s="165" t="str">
        <x:v>誤り。 糖の追加は再発酵リスクを高める。</x:v>
      </x:c>
      <x:c r="P355" s="165" t="str">
        <x:v>誤り。 酸素と汚染リスクが増え、微生物安定性を損なう。</x:v>
      </x:c>
      <x:c r="Q355" s="165" t="str">
        <x:v>醸造</x:v>
      </x:c>
      <x:c r="R355" s="165" t="str">
        <x:v>衛生・安定化</x:v>
      </x:c>
      <x:c r="S355" s="165" t="str">
        <x:v>全般</x:v>
      </x:c>
      <x:c r="T355" s="165"/>
      <x:c r="U355" s="165"/>
      <x:c r="V355" s="165"/>
      <x:c r="W355" s="165" t="str">
        <x:v>統合判断</x:v>
      </x:c>
      <x:c r="X355" s="171" t="str">
        <x:v>D3</x:v>
      </x:c>
      <x:c r="Y355" s="165" t="str">
        <x:v>日光で殺菌; 糖添加で安定化</x:v>
      </x:c>
      <x:c r="Z355" s="171" t="str">
        <x:v>N</x:v>
      </x:c>
      <x:c r="AA355" s="165"/>
      <x:c r="AB355" s="165" t="str">
        <x:v>オリジナル</x:v>
      </x:c>
      <x:c r="AC355" s="165" t="str">
        <x:v>公式Specificationの範囲＋ユーザー作成コーパスの論点を参考に独自作成</x:v>
      </x:c>
      <x:c r="AD355" s="171" t="str">
        <x:v>未レビュー</x:v>
      </x:c>
      <x:c r="AE355" s="171"/>
      <x:c r="AF355" s="171"/>
      <x:c r="AG355" s="312"/>
    </x:row>
    <x:row r="356" ht="84" customHeight="1">
      <x:c r="A356" s="311" t="str">
        <x:v>LO1-115</x:v>
      </x:c>
      <x:c r="B356" s="171" t="str">
        <x:v>LO1</x:v>
      </x:c>
      <x:c r="C356" s="165" t="str">
        <x:v>ブドウ畑・ワイナリーの自然要因と人的要因</x:v>
      </x:c>
      <x:c r="D356" s="165" t="str">
        <x:v>瓶熟成と色</x:v>
      </x:c>
      <x:c r="E356" s="165" t="str">
        <x:v>瓶熟成による色の変化として一般的に最も適切なものはどれか。</x:v>
      </x:c>
      <x:c r="F356" s="165" t="str">
        <x:v>赤も白も必ず無色透明になる</x:v>
      </x:c>
      <x:c r="G356" s="165" t="str">
        <x:v>赤ワインは常に青色へ変化する</x:v>
      </x:c>
      <x:c r="H356" s="165" t="str">
        <x:v>赤ワインは紫からガーネット・褐色へ、白ワインは淡い色からより濃い黄金色へ進む</x:v>
      </x:c>
      <x:c r="I356" s="165" t="str">
        <x:v>白ワインは必ず鮮やかな紫色になる</x:v>
      </x:c>
      <x:c r="J356" s="171" t="str">
        <x:v>C</x:v>
      </x:c>
      <x:c r="K356" s="165" t="str">
        <x:v>赤ワインは紫からガーネット・褐色へ、白ワインは淡い色からより濃い黄金色へ進む</x:v>
      </x:c>
      <x:c r="L356" s="165" t="str">
        <x:v>熟成中の酸化還元反応と色素の重合・沈殿により、赤は色調が淡く褐色化し、白は色が濃くなる。</x:v>
      </x:c>
      <x:c r="M356" s="165" t="str">
        <x:v>誤り。 熟成で色調は変化するが、すべて無色になるわけではない。</x:v>
      </x:c>
      <x:c r="N356" s="165" t="str">
        <x:v>誤り。 熟成した赤は一般にガーネットや褐色方向へ進む。</x:v>
      </x:c>
      <x:c r="O356" s="165" t="str">
        <x:v>正しい。 熟成中の酸化還元反応と色素の重合・沈殿により、赤は色調が淡く褐色化し、白は色が濃くなる。</x:v>
      </x:c>
      <x:c r="P356" s="165" t="str">
        <x:v>誤り。 白ワインは黄金色や琥珀色方向へ進むことがある。</x:v>
      </x:c>
      <x:c r="Q356" s="165" t="str">
        <x:v>熟成</x:v>
      </x:c>
      <x:c r="R356" s="165" t="str">
        <x:v>瓶熟成</x:v>
      </x:c>
      <x:c r="S356" s="165" t="str">
        <x:v>全般</x:v>
      </x:c>
      <x:c r="T356" s="165"/>
      <x:c r="U356" s="165"/>
      <x:c r="V356" s="165"/>
      <x:c r="W356" s="165" t="str">
        <x:v>知識確認</x:v>
      </x:c>
      <x:c r="X356" s="171" t="str">
        <x:v>D1</x:v>
      </x:c>
      <x:c r="Y356" s="165" t="str">
        <x:v>熟成で無色; 白ワインが紫色</x:v>
      </x:c>
      <x:c r="Z356" s="171" t="str">
        <x:v>N</x:v>
      </x:c>
      <x:c r="AA356" s="165"/>
      <x:c r="AB356" s="165" t="str">
        <x:v>オリジナル</x:v>
      </x:c>
      <x:c r="AC356" s="165" t="str">
        <x:v>公式Specificationの範囲＋ユーザー作成コーパスの論点を参考に独自作成</x:v>
      </x:c>
      <x:c r="AD356" s="171" t="str">
        <x:v>未レビュー</x:v>
      </x:c>
      <x:c r="AE356" s="171"/>
      <x:c r="AF356" s="171"/>
      <x:c r="AG356" s="312"/>
    </x:row>
    <x:row r="357" ht="84" customHeight="1">
      <x:c r="A357" s="311" t="str">
        <x:v>LO1-116</x:v>
      </x:c>
      <x:c r="B357" s="171" t="str">
        <x:v>LO1</x:v>
      </x:c>
      <x:c r="C357" s="165" t="str">
        <x:v>ブドウ畑・ワイナリーの自然要因と人的要因</x:v>
      </x:c>
      <x:c r="D357" s="165" t="str">
        <x:v>コルクの酸素透過</x:v>
      </x:c>
      <x:c r="E357" s="165" t="str">
        <x:v>天然コルク栓による瓶熟成でボトル差が生じる一因はどれか。</x:v>
      </x:c>
      <x:c r="F357" s="165" t="str">
        <x:v>すべての天然コルクが完全に同じ構造を持つ</x:v>
      </x:c>
      <x:c r="G357" s="165" t="str">
        <x:v>コルクがワイン中の糖を毎年増やす</x:v>
      </x:c>
      <x:c r="H357" s="165" t="str">
        <x:v>コルク栓では酸素が無制限に流入する</x:v>
      </x:c>
      <x:c r="I357" s="165" t="str">
        <x:v>コルクごとに酸素透過性や密閉性がわずかに異なる</x:v>
      </x:c>
      <x:c r="J357" s="171" t="str">
        <x:v>D</x:v>
      </x:c>
      <x:c r="K357" s="165" t="str">
        <x:v>コルクごとに酸素透過性や密閉性がわずかに異なる</x:v>
      </x:c>
      <x:c r="L357" s="165" t="str">
        <x:v>天然素材には個体差があり、酸素侵入量や密閉状態の違いが熟成速度と酸化リスクへ影響する。</x:v>
      </x:c>
      <x:c r="M357" s="165" t="str">
        <x:v>誤り。 天然素材には密度や孔の違いがある。</x:v>
      </x:c>
      <x:c r="N357" s="165" t="str">
        <x:v>誤り。 コルクが糖を生成することはない。</x:v>
      </x:c>
      <x:c r="O357" s="165" t="str">
        <x:v>誤り。 良好なコルクは密閉し、酸素流入はごく限られる。</x:v>
      </x:c>
      <x:c r="P357" s="165" t="str">
        <x:v>正しい。 天然素材には個体差があり、酸素侵入量や密閉状態の違いが熟成速度と酸化リスクへ影響する。</x:v>
      </x:c>
      <x:c r="Q357" s="165" t="str">
        <x:v>包装</x:v>
      </x:c>
      <x:c r="R357" s="165" t="str">
        <x:v>栓</x:v>
      </x:c>
      <x:c r="S357" s="165" t="str">
        <x:v>全般</x:v>
      </x:c>
      <x:c r="T357" s="165"/>
      <x:c r="U357" s="165"/>
      <x:c r="V357" s="165"/>
      <x:c r="W357" s="165" t="str">
        <x:v>因果説明</x:v>
      </x:c>
      <x:c r="X357" s="171" t="str">
        <x:v>D2</x:v>
      </x:c>
      <x:c r="Y357" s="165" t="str">
        <x:v>天然コルクは完全均一; コルクで糖増加</x:v>
      </x:c>
      <x:c r="Z357" s="171" t="str">
        <x:v>N</x:v>
      </x:c>
      <x:c r="AA357" s="165"/>
      <x:c r="AB357" s="165" t="str">
        <x:v>オリジナル</x:v>
      </x:c>
      <x:c r="AC357" s="165" t="str">
        <x:v>公式Specificationの範囲＋ユーザー作成コーパスの論点を参考に独自作成</x:v>
      </x:c>
      <x:c r="AD357" s="171" t="str">
        <x:v>未レビュー</x:v>
      </x:c>
      <x:c r="AE357" s="171"/>
      <x:c r="AF357" s="171"/>
      <x:c r="AG357" s="312"/>
    </x:row>
    <x:row r="358" ht="84" customHeight="1">
      <x:c r="A358" s="311" t="str">
        <x:v>LO1-117</x:v>
      </x:c>
      <x:c r="B358" s="171" t="str">
        <x:v>LO1</x:v>
      </x:c>
      <x:c r="C358" s="165" t="str">
        <x:v>ブドウ畑・ワイナリーの自然要因と人的要因</x:v>
      </x:c>
      <x:c r="D358" s="165" t="str">
        <x:v>バッグ・イン・ボックス</x:v>
      </x:c>
      <x:c r="E358" s="165" t="str">
        <x:v>バッグ・イン・ボックスが開封後のワイン保存に有利な主な理由はどれか。</x:v>
      </x:c>
      <x:c r="F358" s="165" t="str">
        <x:v>ワインを注ぐと内袋が縮み、容器内へ空気が入りにくい</x:v>
      </x:c>
      <x:c r="G358" s="165" t="str">
        <x:v>内袋がワインを瓶熟成させ、数十年向けにする</x:v>
      </x:c>
      <x:c r="H358" s="165" t="str">
        <x:v>注ぐたびに酸素を大量に混ぜる</x:v>
      </x:c>
      <x:c r="I358" s="165" t="str">
        <x:v>ワインを自動的に発泡性へ変える</x:v>
      </x:c>
      <x:c r="J358" s="171" t="str">
        <x:v>A</x:v>
      </x:c>
      <x:c r="K358" s="165" t="str">
        <x:v>ワインを注ぐと内袋が縮み、容器内へ空気が入りにくい</x:v>
      </x:c>
      <x:c r="L358" s="165" t="str">
        <x:v>ヘッドスペースが増えにくいため、開封後も酸化を抑えて数週間品質を保ちやすい。</x:v>
      </x:c>
      <x:c r="M358" s="165" t="str">
        <x:v>正しい。 ヘッドスペースが増えにくいため、開封後も酸化を抑えて数週間品質を保ちやすい。</x:v>
      </x:c>
      <x:c r="N358" s="165" t="str">
        <x:v>誤り。 この包装は主に早期消費用で、長期瓶熟成には一般に向かない。</x:v>
      </x:c>
      <x:c r="O358" s="165" t="str">
        <x:v>誤り。 内袋が収縮し、空気流入を抑えるのが利点である。</x:v>
      </x:c>
      <x:c r="P358" s="165" t="str">
        <x:v>誤り。 包装だけで二次発酵や炭酸化は起こらない。</x:v>
      </x:c>
      <x:c r="Q358" s="165" t="str">
        <x:v>包装</x:v>
      </x:c>
      <x:c r="R358" s="165" t="str">
        <x:v>代替包装</x:v>
      </x:c>
      <x:c r="S358" s="165" t="str">
        <x:v>全般</x:v>
      </x:c>
      <x:c r="T358" s="165"/>
      <x:c r="U358" s="165"/>
      <x:c r="V358" s="165"/>
      <x:c r="W358" s="165" t="str">
        <x:v>因果説明</x:v>
      </x:c>
      <x:c r="X358" s="171" t="str">
        <x:v>D2</x:v>
      </x:c>
      <x:c r="Y358" s="165" t="str">
        <x:v>BIBは長期熟成; BIBで空気大量流入</x:v>
      </x:c>
      <x:c r="Z358" s="171" t="str">
        <x:v>N</x:v>
      </x:c>
      <x:c r="AA358" s="165"/>
      <x:c r="AB358" s="165" t="str">
        <x:v>オリジナル</x:v>
      </x:c>
      <x:c r="AC358" s="165" t="str">
        <x:v>公式Specificationの範囲＋ユーザー作成コーパスの論点を参考に独自作成</x:v>
      </x:c>
      <x:c r="AD358" s="171" t="str">
        <x:v>未レビュー</x:v>
      </x:c>
      <x:c r="AE358" s="171"/>
      <x:c r="AF358" s="171"/>
      <x:c r="AG358" s="312"/>
    </x:row>
    <x:row r="359" ht="84" customHeight="1">
      <x:c r="A359" s="311" t="str">
        <x:v>LO1-118</x:v>
      </x:c>
      <x:c r="B359" s="171" t="str">
        <x:v>LO1</x:v>
      </x:c>
      <x:c r="C359" s="165" t="str">
        <x:v>ブドウ畑・ワイナリーの自然要因と人的要因</x:v>
      </x:c>
      <x:c r="D359" s="165" t="str">
        <x:v>軽量ボトル</x:v>
      </x:c>
      <x:c r="E359" s="165" t="str">
        <x:v>軽量ガラス瓶を使用する環境上の主な利点はどれか。</x:v>
      </x:c>
      <x:c r="F359" s="165" t="str">
        <x:v>ワインのアルコール度を下げる</x:v>
      </x:c>
      <x:c r="G359" s="165" t="str">
        <x:v>製造と輸送に必要なエネルギーを減らし、温室効果ガス排出を抑えられる</x:v>
      </x:c>
      <x:c r="H359" s="165" t="str">
        <x:v>すべてのワインを長期熟成型にする</x:v>
      </x:c>
      <x:c r="I359" s="165" t="str">
        <x:v>コルク汚染を必ず完全に防ぐ</x:v>
      </x:c>
      <x:c r="J359" s="171" t="str">
        <x:v>B</x:v>
      </x:c>
      <x:c r="K359" s="165" t="str">
        <x:v>製造と輸送に必要なエネルギーを減らし、温室効果ガス排出を抑えられる</x:v>
      </x:c>
      <x:c r="L359" s="165" t="str">
        <x:v>ガラス使用量と輸送重量が減るため、原料・燃料・物流に伴う環境負荷を下げやすい。</x:v>
      </x:c>
      <x:c r="M359" s="165" t="str">
        <x:v>誤り。 瓶重量はワインのアルコール度を変えない。</x:v>
      </x:c>
      <x:c r="N359" s="165" t="str">
        <x:v>正しい。 ガラス使用量と輸送重量が減るため、原料・燃料・物流に伴う環境負荷を下げやすい。</x:v>
      </x:c>
      <x:c r="O359" s="165" t="str">
        <x:v>誤り。 瓶の軽さだけで熟成能力が高まるわけではない。</x:v>
      </x:c>
      <x:c r="P359" s="165" t="str">
        <x:v>誤り。 コルク汚染は栓や環境に関係し、瓶重量では防げない。</x:v>
      </x:c>
      <x:c r="Q359" s="165" t="str">
        <x:v>包装</x:v>
      </x:c>
      <x:c r="R359" s="165" t="str">
        <x:v>持続可能性</x:v>
      </x:c>
      <x:c r="S359" s="165" t="str">
        <x:v>全般</x:v>
      </x:c>
      <x:c r="T359" s="165"/>
      <x:c r="U359" s="165"/>
      <x:c r="V359" s="165"/>
      <x:c r="W359" s="165" t="str">
        <x:v>因果説明</x:v>
      </x:c>
      <x:c r="X359" s="171" t="str">
        <x:v>D1</x:v>
      </x:c>
      <x:c r="Y359" s="165" t="str">
        <x:v>軽量瓶で低アルコール; 軽量瓶でTCA防止</x:v>
      </x:c>
      <x:c r="Z359" s="171" t="str">
        <x:v>N</x:v>
      </x:c>
      <x:c r="AA359" s="165"/>
      <x:c r="AB359" s="165" t="str">
        <x:v>オリジナル</x:v>
      </x:c>
      <x:c r="AC359" s="165" t="str">
        <x:v>公式Specificationの範囲＋ユーザー作成コーパスの論点を参考に独自作成</x:v>
      </x:c>
      <x:c r="AD359" s="171" t="str">
        <x:v>未レビュー</x:v>
      </x:c>
      <x:c r="AE359" s="171"/>
      <x:c r="AF359" s="171"/>
      <x:c r="AG359" s="312"/>
    </x:row>
    <x:row r="360" ht="84" customHeight="1">
      <x:c r="A360" s="311" t="str">
        <x:v>LO1-119</x:v>
      </x:c>
      <x:c r="B360" s="171" t="str">
        <x:v>LO1</x:v>
      </x:c>
      <x:c r="C360" s="165" t="str">
        <x:v>ブドウ畑・ワイナリーの自然要因と人的要因</x:v>
      </x:c>
      <x:c r="D360" s="165" t="str">
        <x:v>輸送中の高温</x:v>
      </x:c>
      <x:c r="E360" s="165" t="str">
        <x:v>ワインが輸送中に高温へ長時間さらされた場合に起こりやすい問題はどれか。</x:v>
      </x:c>
      <x:c r="F360" s="165" t="str">
        <x:v>ワインの新鮮さと酸が必ず増す</x:v>
      </x:c>
      <x:c r="G360" s="165" t="str">
        <x:v>瓶内の微生物活動が必ず完全停止する</x:v>
      </x:c>
      <x:c r="H360" s="165" t="str">
        <x:v>熟成が急速に進み、果実香の低下、酸化、液漏れが生じることがある</x:v>
      </x:c>
      <x:c r="I360" s="165" t="str">
        <x:v>すべての赤ワインが白ワインへ変わる</x:v>
      </x:c>
      <x:c r="J360" s="171" t="str">
        <x:v>C</x:v>
      </x:c>
      <x:c r="K360" s="165" t="str">
        <x:v>熟成が急速に進み、果実香の低下、酸化、液漏れが生じることがある</x:v>
      </x:c>
      <x:c r="L360" s="165" t="str">
        <x:v>熱は化学反応を加速し、ワインを平坦で加熱したような風味にし、膨張で栓が押し上がる場合もある。</x:v>
      </x:c>
      <x:c r="M360" s="165" t="str">
        <x:v>誤り。 高温は新鮮さを保つのではなく、劣化を加速する。</x:v>
      </x:c>
      <x:c r="N360" s="165" t="str">
        <x:v>誤り。 高温が殺菌条件に達するとは限らず、むしろ劣化を促す。</x:v>
      </x:c>
      <x:c r="O360" s="165" t="str">
        <x:v>正しい。 熱は化学反応を加速し、ワインを平坦で加熱したような風味にし、膨張で栓が押し上がる場合もある。</x:v>
      </x:c>
      <x:c r="P360" s="165" t="str">
        <x:v>誤り。 熱でワインカテゴリーが変わることはない。</x:v>
      </x:c>
      <x:c r="Q360" s="165" t="str">
        <x:v>包装</x:v>
      </x:c>
      <x:c r="R360" s="165" t="str">
        <x:v>輸送・保管</x:v>
      </x:c>
      <x:c r="S360" s="165" t="str">
        <x:v>全般</x:v>
      </x:c>
      <x:c r="T360" s="165"/>
      <x:c r="U360" s="165"/>
      <x:c r="V360" s="165"/>
      <x:c r="W360" s="165" t="str">
        <x:v>因果説明</x:v>
      </x:c>
      <x:c r="X360" s="171" t="str">
        <x:v>D2</x:v>
      </x:c>
      <x:c r="Y360" s="165" t="str">
        <x:v>高温で新鮮さ増加; 輸送熱で殺菌</x:v>
      </x:c>
      <x:c r="Z360" s="171" t="str">
        <x:v>N</x:v>
      </x:c>
      <x:c r="AA360" s="165"/>
      <x:c r="AB360" s="165" t="str">
        <x:v>オリジナル</x:v>
      </x:c>
      <x:c r="AC360" s="165" t="str">
        <x:v>公式Specificationの範囲＋ユーザー作成コーパスの論点を参考に独自作成</x:v>
      </x:c>
      <x:c r="AD360" s="171" t="str">
        <x:v>未レビュー</x:v>
      </x:c>
      <x:c r="AE360" s="171"/>
      <x:c r="AF360" s="171"/>
      <x:c r="AG360" s="312"/>
    </x:row>
    <x:row r="361" ht="84" customHeight="1">
      <x:c r="A361" s="311" t="str">
        <x:v>LO1-120</x:v>
      </x:c>
      <x:c r="B361" s="171" t="str">
        <x:v>LO1</x:v>
      </x:c>
      <x:c r="C361" s="165" t="str">
        <x:v>ブドウ畑・ワイナリーの自然要因と人的要因</x:v>
      </x:c>
      <x:c r="D361" s="165" t="str">
        <x:v>合成コルク</x:v>
      </x:c>
      <x:c r="E361" s="165" t="str">
        <x:v>合成コルク栓の一般的な利点として最も適切なものはどれか。</x:v>
      </x:c>
      <x:c r="F361" s="165" t="str">
        <x:v>長期熟成ワインに必ず最適で、酸素を完全に遮断する</x:v>
      </x:c>
      <x:c r="G361" s="165" t="str">
        <x:v>ワインへ天然コルク香を意図的に付ける</x:v>
      </x:c>
      <x:c r="H361" s="165" t="str">
        <x:v>開栓後のワインを自動的に再発酵させる</x:v>
      </x:c>
      <x:c r="I361" s="165" t="str">
        <x:v>天然コルク由来のTCAリスクを避け、比較的一貫した密閉性を得やすい</x:v>
      </x:c>
      <x:c r="J361" s="171" t="str">
        <x:v>D</x:v>
      </x:c>
      <x:c r="K361" s="165" t="str">
        <x:v>天然コルク由来のTCAリスクを避け、比較的一貫した密閉性を得やすい</x:v>
      </x:c>
      <x:c r="L361" s="165" t="str">
        <x:v>合成素材は天然コルクの個体差とTCA汚染を回避しやすいが、製品によって酸素透過性や長期熟成適性は異なる。</x:v>
      </x:c>
      <x:c r="M361" s="165" t="str">
        <x:v>誤り。 合成栓の性能は種類により異なり、長期熟成への適性が常に高いとは限らない。</x:v>
      </x:c>
      <x:c r="N361" s="165" t="str">
        <x:v>誤り。 合成栓はコルク香を付けるためのものではない。</x:v>
      </x:c>
      <x:c r="O361" s="165" t="str">
        <x:v>誤り。 栓素材だけで再発酵は起こらない。</x:v>
      </x:c>
      <x:c r="P361" s="165" t="str">
        <x:v>正しい。 合成素材は天然コルクの個体差とTCA汚染を回避しやすいが、製品によって酸素透過性や長期熟成適性は異なる。</x:v>
      </x:c>
      <x:c r="Q361" s="165" t="str">
        <x:v>包装</x:v>
      </x:c>
      <x:c r="R361" s="165" t="str">
        <x:v>栓</x:v>
      </x:c>
      <x:c r="S361" s="165" t="str">
        <x:v>全般</x:v>
      </x:c>
      <x:c r="T361" s="165"/>
      <x:c r="U361" s="165"/>
      <x:c r="V361" s="165"/>
      <x:c r="W361" s="165" t="str">
        <x:v>比較</x:v>
      </x:c>
      <x:c r="X361" s="171" t="str">
        <x:v>D2</x:v>
      </x:c>
      <x:c r="Y361" s="165" t="str">
        <x:v>合成栓は完全無酸素; 合成栓でコルク香</x:v>
      </x:c>
      <x:c r="Z361" s="171" t="str">
        <x:v>Y</x:v>
      </x:c>
      <x:c r="AA361" s="165" t="str">
        <x:v>合成栓の長期熟成適性は製品差が大きいため、アプリ掲載時に表現確認推奨</x:v>
      </x:c>
      <x:c r="AB361" s="165" t="str">
        <x:v>オリジナル</x:v>
      </x:c>
      <x:c r="AC361" s="165" t="str">
        <x:v>公式Specificationの範囲＋ユーザー作成コーパスの論点を参考に独自作成</x:v>
      </x:c>
      <x:c r="AD361" s="171" t="str">
        <x:v>未レビュー</x:v>
      </x:c>
      <x:c r="AE361" s="171"/>
      <x:c r="AF361" s="171"/>
      <x:c r="AG361" s="312"/>
    </x:row>
    <x:row r="362" ht="84" customHeight="1">
      <x:c r="A362" s="311" t="str">
        <x:v>LO2-061</x:v>
      </x:c>
      <x:c r="B362" s="171" t="str">
        <x:v>LO2</x:v>
      </x:c>
      <x:c r="C362" s="165" t="str">
        <x:v>世界の主要な非発泡性ワイン</x:v>
      </x:c>
      <x:c r="D362" s="165" t="str">
        <x:v>ポイヤック</x:v>
      </x:c>
      <x:c r="E362" s="165" t="str">
        <x:v>ポイヤックの高品質赤ワインの典型的なスタイルを最もよく説明しているものはどれか。</x:v>
      </x:c>
      <x:c r="F362" s="165" t="str">
        <x:v>カベルネ・ソーヴィニヨン主体で、黒系果実、高いタンニン、杉や鉛筆を思わせる香りを持つ</x:v>
      </x:c>
      <x:c r="G362" s="165" t="str">
        <x:v>ガメイ主体で、低タンニンのバナナ香を持つ早飲み赤</x:v>
      </x:c>
      <x:c r="H362" s="165" t="str">
        <x:v>コルテーゼ主体で、高酸の軽い白</x:v>
      </x:c>
      <x:c r="I362" s="165" t="str">
        <x:v>グレーラ主体で、タンク方式の発泡性ワイン</x:v>
      </x:c>
      <x:c r="J362" s="171" t="str">
        <x:v>A</x:v>
      </x:c>
      <x:c r="K362" s="165" t="str">
        <x:v>カベルネ・ソーヴィニヨン主体で、黒系果実、高いタンニン、杉や鉛筆を思わせる香りを持つ</x:v>
      </x:c>
      <x:c r="L362" s="165" t="str">
        <x:v>水はけのよい砂利質土壌がカベルネ・ソーヴィニヨンの成熟を助け、長期熟成向きの構造あるワインを生む。</x:v>
      </x:c>
      <x:c r="M362" s="165" t="str">
        <x:v>正しい。 水はけのよい砂利質土壌がカベルネ・ソーヴィニヨンの成熟を助け、長期熟成向きの構造あるワインを生む。</x:v>
      </x:c>
      <x:c r="N362" s="165" t="str">
        <x:v>誤り。 これは主にボージョレの炭酸ガス浸漬法を用いたスタイルに近い。</x:v>
      </x:c>
      <x:c r="O362" s="165" t="str">
        <x:v>誤り。 コルテーゼはガヴィの主要品種で、ポイヤックの赤とは異なる。</x:v>
      </x:c>
      <x:c r="P362" s="165" t="str">
        <x:v>誤り。 これはプロセッコに関する説明である。</x:v>
      </x:c>
      <x:c r="Q362" s="165" t="str">
        <x:v>産地</x:v>
      </x:c>
      <x:c r="R362" s="165" t="str">
        <x:v>左岸ボルドー</x:v>
      </x:c>
      <x:c r="S362" s="165" t="str">
        <x:v>赤ワイン</x:v>
      </x:c>
      <x:c r="T362" s="165" t="str">
        <x:v>フランス</x:v>
      </x:c>
      <x:c r="U362" s="165" t="str">
        <x:v>ポイヤック</x:v>
      </x:c>
      <x:c r="V362" s="165" t="str">
        <x:v>カベルネ・ソーヴィニヨン、メルロ</x:v>
      </x:c>
      <x:c r="W362" s="165" t="str">
        <x:v>知識確認</x:v>
      </x:c>
      <x:c r="X362" s="171" t="str">
        <x:v>D2</x:v>
      </x:c>
      <x:c r="Y362" s="165" t="str">
        <x:v>ポイヤックはガメイ; ポイヤックは白ワイン</x:v>
      </x:c>
      <x:c r="Z362" s="171" t="str">
        <x:v>N</x:v>
      </x:c>
      <x:c r="AA362" s="165"/>
      <x:c r="AB362" s="165" t="str">
        <x:v>オリジナル</x:v>
      </x:c>
      <x:c r="AC362" s="165" t="str">
        <x:v>公式Specificationの範囲＋ユーザー作成コーパスの論点を参考に独自作成</x:v>
      </x:c>
      <x:c r="AD362" s="171" t="str">
        <x:v>未レビュー</x:v>
      </x:c>
      <x:c r="AE362" s="171"/>
      <x:c r="AF362" s="171"/>
      <x:c r="AG362" s="312"/>
    </x:row>
    <x:row r="363" ht="84" customHeight="1">
      <x:c r="A363" s="311" t="str">
        <x:v>LO2-062</x:v>
      </x:c>
      <x:c r="B363" s="171" t="str">
        <x:v>LO2</x:v>
      </x:c>
      <x:c r="C363" s="165" t="str">
        <x:v>世界の主要な非発泡性ワイン</x:v>
      </x:c>
      <x:c r="D363" s="165" t="str">
        <x:v>マルゴー</x:v>
      </x:c>
      <x:c r="E363" s="165" t="str">
        <x:v>マルゴーの赤ワインがポイヤックと比べてしばしば香り高く、口当たりが洗練される主な理由として最も適切なものはどれか。</x:v>
      </x:c>
      <x:c r="F363" s="165" t="str">
        <x:v>冷涼な高山気候でリースリングを栽培するため</x:v>
      </x:c>
      <x:c r="G363" s="165" t="str">
        <x:v>砂利質土壌と温和なメソ気候がカベルネ主体のブレンドに十分な成熟と繊細さを与えるため</x:v>
      </x:c>
      <x:c r="H363" s="165" t="str">
        <x:v>すべてのワインを炭酸ガス浸漬法で造るため</x:v>
      </x:c>
      <x:c r="I363" s="165" t="str">
        <x:v>ブドウを樹上で凍結して収穫するため</x:v>
      </x:c>
      <x:c r="J363" s="171" t="str">
        <x:v>B</x:v>
      </x:c>
      <x:c r="K363" s="165" t="str">
        <x:v>砂利質土壌と温和なメソ気候がカベルネ主体のブレンドに十分な成熟と繊細さを与えるため</x:v>
      </x:c>
      <x:c r="L363" s="165" t="str">
        <x:v>マルゴーは砂利の多い畑と比較的温和な条件を持ち、黒系果実、花、杉の香りと細やかなタンニンを得やすい。</x:v>
      </x:c>
      <x:c r="M363" s="165" t="str">
        <x:v>誤り。 マルゴーはボルドー左岸の赤ワイン産地であり、主要品種はリースリングではない。</x:v>
      </x:c>
      <x:c r="N363" s="165" t="str">
        <x:v>正しい。 マルゴーは砂利の多い畑と比較的温和な条件を持ち、黒系果実、花、杉の香りと細やかなタンニンを得やすい。</x:v>
      </x:c>
      <x:c r="O363" s="165" t="str">
        <x:v>誤り。 ボルドーの高級赤は通常、伝統的な赤ワイン醸造と樽熟成を行う。</x:v>
      </x:c>
      <x:c r="P363" s="165" t="str">
        <x:v>誤り。 これはアイスワインの製法であり、マルゴーの特徴ではない。</x:v>
      </x:c>
      <x:c r="Q363" s="165" t="str">
        <x:v>産地</x:v>
      </x:c>
      <x:c r="R363" s="165" t="str">
        <x:v>左岸ボルドー</x:v>
      </x:c>
      <x:c r="S363" s="165" t="str">
        <x:v>赤ワイン</x:v>
      </x:c>
      <x:c r="T363" s="165" t="str">
        <x:v>フランス</x:v>
      </x:c>
      <x:c r="U363" s="165" t="str">
        <x:v>マルゴー</x:v>
      </x:c>
      <x:c r="V363" s="165" t="str">
        <x:v>カベルネ・ソーヴィニヨン、メルロ</x:v>
      </x:c>
      <x:c r="W363" s="165" t="str">
        <x:v>因果説明</x:v>
      </x:c>
      <x:c r="X363" s="171" t="str">
        <x:v>D3</x:v>
      </x:c>
      <x:c r="Y363" s="165" t="str">
        <x:v>マルゴーは高山白; マルゴーは炭酸ガス浸漬</x:v>
      </x:c>
      <x:c r="Z363" s="171" t="str">
        <x:v>N</x:v>
      </x:c>
      <x:c r="AA363" s="165"/>
      <x:c r="AB363" s="165" t="str">
        <x:v>オリジナル</x:v>
      </x:c>
      <x:c r="AC363" s="165" t="str">
        <x:v>公式Specificationの範囲＋ユーザー作成コーパスの論点を参考に独自作成</x:v>
      </x:c>
      <x:c r="AD363" s="171" t="str">
        <x:v>未レビュー</x:v>
      </x:c>
      <x:c r="AE363" s="171"/>
      <x:c r="AF363" s="171"/>
      <x:c r="AG363" s="312"/>
    </x:row>
    <x:row r="364" ht="84" customHeight="1">
      <x:c r="A364" s="311" t="str">
        <x:v>LO2-063</x:v>
      </x:c>
      <x:c r="B364" s="171" t="str">
        <x:v>LO2</x:v>
      </x:c>
      <x:c r="C364" s="165" t="str">
        <x:v>世界の主要な非発泡性ワイン</x:v>
      </x:c>
      <x:c r="D364" s="165" t="str">
        <x:v>サン・テステフ</x:v>
      </x:c>
      <x:c r="E364" s="165" t="str">
        <x:v>サン・テステフの赤ワインが若いうちは特に堅固になりやすい主な理由はどれか。</x:v>
      </x:c>
      <x:c r="F364" s="165" t="str">
        <x:v>グルナッシュを高収量で栽培し、低酸にするため</x:v>
      </x:c>
      <x:c r="G364" s="165" t="str">
        <x:v>すべてのワインに残糖を残すため</x:v>
      </x:c>
      <x:c r="H364" s="165" t="str">
        <x:v>粘土を含む比較的冷涼な土壌が成熟を遅らせ、高い酸とタンニンを保ちやすい</x:v>
      </x:c>
      <x:c r="I364" s="165" t="str">
        <x:v>タンク方式の二次発酵を行うため</x:v>
      </x:c>
      <x:c r="J364" s="171" t="str">
        <x:v>C</x:v>
      </x:c>
      <x:c r="K364" s="165" t="str">
        <x:v>粘土を含む比較的冷涼な土壌が成熟を遅らせ、高い酸とタンニンを保ちやすい</x:v>
      </x:c>
      <x:c r="L364" s="165" t="str">
        <x:v>左岸北部の位置と粘土分の多い土壌により、力強い構造と熟成能力を持つワインになりやすい。</x:v>
      </x:c>
      <x:c r="M364" s="165" t="str">
        <x:v>誤り。 サン・テステフの主要品種はカベルネ・ソーヴィニヨンとメルロである。</x:v>
      </x:c>
      <x:c r="N364" s="165" t="str">
        <x:v>誤り。 サン・テステフの赤は通常辛口で、堅固さは残糖によらない。</x:v>
      </x:c>
      <x:c r="O364" s="165" t="str">
        <x:v>正しい。 左岸北部の位置と粘土分の多い土壌により、力強い構造と熟成能力を持つワインになりやすい。</x:v>
      </x:c>
      <x:c r="P364" s="165" t="str">
        <x:v>誤り。 これは発泡性ワインの製法であり、赤ワインの構造を説明しない。</x:v>
      </x:c>
      <x:c r="Q364" s="165" t="str">
        <x:v>産地</x:v>
      </x:c>
      <x:c r="R364" s="165" t="str">
        <x:v>左岸ボルドー</x:v>
      </x:c>
      <x:c r="S364" s="165" t="str">
        <x:v>赤ワイン</x:v>
      </x:c>
      <x:c r="T364" s="165" t="str">
        <x:v>フランス</x:v>
      </x:c>
      <x:c r="U364" s="165" t="str">
        <x:v>サン・テステフ</x:v>
      </x:c>
      <x:c r="V364" s="165" t="str">
        <x:v>カベルネ・ソーヴィニヨン、メルロ</x:v>
      </x:c>
      <x:c r="W364" s="165" t="str">
        <x:v>因果説明</x:v>
      </x:c>
      <x:c r="X364" s="171" t="str">
        <x:v>D3</x:v>
      </x:c>
      <x:c r="Y364" s="165" t="str">
        <x:v>サンテステフはグルナッシュ; 堅固さは残糖</x:v>
      </x:c>
      <x:c r="Z364" s="171" t="str">
        <x:v>N</x:v>
      </x:c>
      <x:c r="AA364" s="165"/>
      <x:c r="AB364" s="165" t="str">
        <x:v>オリジナル</x:v>
      </x:c>
      <x:c r="AC364" s="165" t="str">
        <x:v>公式Specificationの範囲＋ユーザー作成コーパスの論点を参考に独自作成</x:v>
      </x:c>
      <x:c r="AD364" s="171" t="str">
        <x:v>未レビュー</x:v>
      </x:c>
      <x:c r="AE364" s="171"/>
      <x:c r="AF364" s="171"/>
      <x:c r="AG364" s="312"/>
    </x:row>
    <x:row r="365" ht="84" customHeight="1">
      <x:c r="A365" s="311" t="str">
        <x:v>LO2-064</x:v>
      </x:c>
      <x:c r="B365" s="171" t="str">
        <x:v>LO2</x:v>
      </x:c>
      <x:c r="C365" s="165" t="str">
        <x:v>世界の主要な非発泡性ワイン</x:v>
      </x:c>
      <x:c r="D365" s="165" t="str">
        <x:v>サン・ジュリアン</x:v>
      </x:c>
      <x:c r="E365" s="165" t="str">
        <x:v>サン・ジュリアンの典型的なスタイルを最も適切に説明しているものはどれか。</x:v>
      </x:c>
      <x:c r="F365" s="165" t="str">
        <x:v>甘口のシュナン・ブランで、貴腐香が中心</x:v>
      </x:c>
      <x:c r="G365" s="165" t="str">
        <x:v>ネッビオーロ主体で、淡い色と高いタンニン</x:v>
      </x:c>
      <x:c r="H365" s="165" t="str">
        <x:v>モスカート主体で、低アルコールの発泡性ワイン</x:v>
      </x:c>
      <x:c r="I365" s="165" t="str">
        <x:v>カベルネ主体で、ポイヤックの構造とマルゴーの香り高さの中間的な均衡を持つ</x:v>
      </x:c>
      <x:c r="J365" s="171" t="str">
        <x:v>D</x:v>
      </x:c>
      <x:c r="K365" s="165" t="str">
        <x:v>カベルネ主体で、ポイヤックの構造とマルゴーの香り高さの中間的な均衡を持つ</x:v>
      </x:c>
      <x:c r="L365" s="165" t="str">
        <x:v>小規模なアペラシオンながら砂利質の優良畑が多く、黒系果実、杉、引き締まったタンニンと洗練を兼ね備える。</x:v>
      </x:c>
      <x:c r="M365" s="165" t="str">
        <x:v>誤り。 これはロワールや貴腐甘口ワインに近い。</x:v>
      </x:c>
      <x:c r="N365" s="165" t="str">
        <x:v>誤り。 これはバローロやバルバレスコの特徴である。</x:v>
      </x:c>
      <x:c r="O365" s="165" t="str">
        <x:v>誤り。 これはアスティやモスカート・ダスティに近い。</x:v>
      </x:c>
      <x:c r="P365" s="165" t="str">
        <x:v>正しい。 小規模なアペラシオンながら砂利質の優良畑が多く、黒系果実、杉、引き締まったタンニンと洗練を兼ね備える。</x:v>
      </x:c>
      <x:c r="Q365" s="165" t="str">
        <x:v>産地</x:v>
      </x:c>
      <x:c r="R365" s="165" t="str">
        <x:v>左岸ボルドー</x:v>
      </x:c>
      <x:c r="S365" s="165" t="str">
        <x:v>赤ワイン</x:v>
      </x:c>
      <x:c r="T365" s="165" t="str">
        <x:v>フランス</x:v>
      </x:c>
      <x:c r="U365" s="165" t="str">
        <x:v>サン・ジュリアン</x:v>
      </x:c>
      <x:c r="V365" s="165" t="str">
        <x:v>カベルネ・ソーヴィニヨン、メルロ</x:v>
      </x:c>
      <x:c r="W365" s="165" t="str">
        <x:v>知識確認</x:v>
      </x:c>
      <x:c r="X365" s="171" t="str">
        <x:v>D2</x:v>
      </x:c>
      <x:c r="Y365" s="165" t="str">
        <x:v>サンジュリアンは甘口白; サンジュリアンはネッビオーロ</x:v>
      </x:c>
      <x:c r="Z365" s="171" t="str">
        <x:v>N</x:v>
      </x:c>
      <x:c r="AA365" s="165"/>
      <x:c r="AB365" s="165" t="str">
        <x:v>オリジナル</x:v>
      </x:c>
      <x:c r="AC365" s="165" t="str">
        <x:v>公式Specificationの範囲＋ユーザー作成コーパスの論点を参考に独自作成</x:v>
      </x:c>
      <x:c r="AD365" s="171" t="str">
        <x:v>未レビュー</x:v>
      </x:c>
      <x:c r="AE365" s="171"/>
      <x:c r="AF365" s="171"/>
      <x:c r="AG365" s="312"/>
    </x:row>
    <x:row r="366" ht="84" customHeight="1">
      <x:c r="A366" s="311" t="str">
        <x:v>LO2-065</x:v>
      </x:c>
      <x:c r="B366" s="171" t="str">
        <x:v>LO2</x:v>
      </x:c>
      <x:c r="C366" s="165" t="str">
        <x:v>世界の主要な非発泡性ワイン</x:v>
      </x:c>
      <x:c r="D366" s="165" t="str">
        <x:v>コート・ド・ニュイ</x:v>
      </x:c>
      <x:c r="E366" s="165" t="str">
        <x:v>コート・ド・ニュイの最上級ワインの中心となる品種とスタイルはどれか。</x:v>
      </x:c>
      <x:c r="F366" s="165" t="str">
        <x:v>ピノ・ノワールから造る、香り高く複雑で長期熟成可能な赤ワイン</x:v>
      </x:c>
      <x:c r="G366" s="165" t="str">
        <x:v>セミヨンから造る貴腐甘口白</x:v>
      </x:c>
      <x:c r="H366" s="165" t="str">
        <x:v>テンプラニーリョから造る長期樽熟成赤</x:v>
      </x:c>
      <x:c r="I366" s="165" t="str">
        <x:v>シュナン・ブランから造る辛口発泡性ワインだけ</x:v>
      </x:c>
      <x:c r="J366" s="171" t="str">
        <x:v>A</x:v>
      </x:c>
      <x:c r="K366" s="165" t="str">
        <x:v>ピノ・ノワールから造る、香り高く複雑で長期熟成可能な赤ワイン</x:v>
      </x:c>
      <x:c r="L366" s="165" t="str">
        <x:v>東から南東向きの石灰岩と粘土の斜面に優良畑が集中し、繊細な香りと高い酸を持つ赤を生む。</x:v>
      </x:c>
      <x:c r="M366" s="165" t="str">
        <x:v>正しい。 東から南東向きの石灰岩と粘土の斜面に優良畑が集中し、繊細な香りと高い酸を持つ赤を生む。</x:v>
      </x:c>
      <x:c r="N366" s="165" t="str">
        <x:v>誤り。 これはソーテルヌなどの特徴である。</x:v>
      </x:c>
      <x:c r="O366" s="165" t="str">
        <x:v>誤り。 これはリオハなどの特徴である。</x:v>
      </x:c>
      <x:c r="P366" s="165" t="str">
        <x:v>誤り。 コート・ド・ニュイの中心はピノ・ノワールの非発泡性赤である。</x:v>
      </x:c>
      <x:c r="Q366" s="165" t="str">
        <x:v>産地</x:v>
      </x:c>
      <x:c r="R366" s="165" t="str">
        <x:v>ブルゴーニュ</x:v>
      </x:c>
      <x:c r="S366" s="165" t="str">
        <x:v>赤ワイン</x:v>
      </x:c>
      <x:c r="T366" s="165" t="str">
        <x:v>フランス</x:v>
      </x:c>
      <x:c r="U366" s="165" t="str">
        <x:v>コート・ド・ニュイ</x:v>
      </x:c>
      <x:c r="V366" s="165" t="str">
        <x:v>ピノ・ノワール</x:v>
      </x:c>
      <x:c r="W366" s="165" t="str">
        <x:v>知識確認</x:v>
      </x:c>
      <x:c r="X366" s="171" t="str">
        <x:v>D1</x:v>
      </x:c>
      <x:c r="Y366" s="165" t="str">
        <x:v>コートドニュイは甘口白; 主要品種はテンプラニーリョ</x:v>
      </x:c>
      <x:c r="Z366" s="171" t="str">
        <x:v>N</x:v>
      </x:c>
      <x:c r="AA366" s="165"/>
      <x:c r="AB366" s="165" t="str">
        <x:v>オリジナル</x:v>
      </x:c>
      <x:c r="AC366" s="165" t="str">
        <x:v>公式Specificationの範囲＋ユーザー作成コーパスの論点を参考に独自作成</x:v>
      </x:c>
      <x:c r="AD366" s="171" t="str">
        <x:v>未レビュー</x:v>
      </x:c>
      <x:c r="AE366" s="171"/>
      <x:c r="AF366" s="171"/>
      <x:c r="AG366" s="312"/>
    </x:row>
    <x:row r="367" ht="84" customHeight="1">
      <x:c r="A367" s="311" t="str">
        <x:v>LO2-066</x:v>
      </x:c>
      <x:c r="B367" s="171" t="str">
        <x:v>LO2</x:v>
      </x:c>
      <x:c r="C367" s="165" t="str">
        <x:v>世界の主要な非発泡性ワイン</x:v>
      </x:c>
      <x:c r="D367" s="165" t="str">
        <x:v>コート・ド・ボーヌ</x:v>
      </x:c>
      <x:c r="E367" s="165" t="str">
        <x:v>コート・ド・ボーヌの高品質白ワインに典型的な特徴はどれか。</x:v>
      </x:c>
      <x:c r="F367" s="165" t="str">
        <x:v>ソーヴィニヨン・ブラン主体で、強い青草と猫の尿の香りだけ</x:v>
      </x:c>
      <x:c r="G367" s="165" t="str">
        <x:v>シャルドネ主体で、高い酸、熟した柑橘・核果、オークと澱由来の複雑性を持つ</x:v>
      </x:c>
      <x:c r="H367" s="165" t="str">
        <x:v>グレーラ主体で、軽い発泡性と洋梨香</x:v>
      </x:c>
      <x:c r="I367" s="165" t="str">
        <x:v>パロミノ主体で、フロール下に熟成する</x:v>
      </x:c>
      <x:c r="J367" s="171" t="str">
        <x:v>B</x:v>
      </x:c>
      <x:c r="K367" s="165" t="str">
        <x:v>シャルドネ主体で、高い酸、熟した柑橘・核果、オークと澱由来の複雑性を持つ</x:v>
      </x:c>
      <x:c r="L367" s="165" t="str">
        <x:v>ムルソー、ピュリニー・モンラッシェ、シャサーニュ・モンラッシェなどでは、凝縮したシャルドネを樽発酵・熟成することが多い。</x:v>
      </x:c>
      <x:c r="M367" s="165" t="str">
        <x:v>誤り。 ロワールや一部ニューワールドのソーヴィニヨンに近い。</x:v>
      </x:c>
      <x:c r="N367" s="165" t="str">
        <x:v>正しい。 ムルソー、ピュリニー・モンラッシェ、シャサーニュ・モンラッシェなどでは、凝縮したシャルドネを樽発酵・熟成することが多い。</x:v>
      </x:c>
      <x:c r="O367" s="165" t="str">
        <x:v>誤り。 これはプロセッコの特徴である。</x:v>
      </x:c>
      <x:c r="P367" s="165" t="str">
        <x:v>誤り。 これはフィノ・シェリーの特徴である。</x:v>
      </x:c>
      <x:c r="Q367" s="165" t="str">
        <x:v>産地</x:v>
      </x:c>
      <x:c r="R367" s="165" t="str">
        <x:v>ブルゴーニュ</x:v>
      </x:c>
      <x:c r="S367" s="165" t="str">
        <x:v>白ワイン</x:v>
      </x:c>
      <x:c r="T367" s="165" t="str">
        <x:v>フランス</x:v>
      </x:c>
      <x:c r="U367" s="165" t="str">
        <x:v>コート・ド・ボーヌ</x:v>
      </x:c>
      <x:c r="V367" s="165" t="str">
        <x:v>シャルドネ</x:v>
      </x:c>
      <x:c r="W367" s="165" t="str">
        <x:v>知識確認</x:v>
      </x:c>
      <x:c r="X367" s="171" t="str">
        <x:v>D2</x:v>
      </x:c>
      <x:c r="Y367" s="165" t="str">
        <x:v>コートドボーヌ白はSB; シャルドネは発泡だけ</x:v>
      </x:c>
      <x:c r="Z367" s="171" t="str">
        <x:v>N</x:v>
      </x:c>
      <x:c r="AA367" s="165"/>
      <x:c r="AB367" s="165" t="str">
        <x:v>オリジナル</x:v>
      </x:c>
      <x:c r="AC367" s="165" t="str">
        <x:v>公式Specificationの範囲＋ユーザー作成コーパスの論点を参考に独自作成</x:v>
      </x:c>
      <x:c r="AD367" s="171" t="str">
        <x:v>未レビュー</x:v>
      </x:c>
      <x:c r="AE367" s="171"/>
      <x:c r="AF367" s="171"/>
      <x:c r="AG367" s="312"/>
    </x:row>
    <x:row r="368" ht="84" customHeight="1">
      <x:c r="A368" s="311" t="str">
        <x:v>LO2-067</x:v>
      </x:c>
      <x:c r="B368" s="171" t="str">
        <x:v>LO2</x:v>
      </x:c>
      <x:c r="C368" s="165" t="str">
        <x:v>世界の主要な非発泡性ワイン</x:v>
      </x:c>
      <x:c r="D368" s="165" t="str">
        <x:v>コート・シャロネーズ</x:v>
      </x:c>
      <x:c r="E368" s="165" t="str">
        <x:v>コート・シャロネーズがコート・ドールより比較的手頃な価格になりやすい主な理由はどれか。</x:v>
      </x:c>
      <x:c r="F368" s="165" t="str">
        <x:v>ワインを必ず大量の水で希釈するため</x:v>
      </x:c>
      <x:c r="G368" s="165" t="str">
        <x:v>すべてのブドウが温室で栽培されるため</x:v>
      </x:c>
      <x:c r="H368" s="165" t="str">
        <x:v>優良なピノ・ノワールとシャルドネを生むが、歴史的評価と需要がコート・ドールほど高くない</x:v>
      </x:c>
      <x:c r="I368" s="165" t="str">
        <x:v>酒精強化が法律で義務付けられるため</x:v>
      </x:c>
      <x:c r="J368" s="171" t="str">
        <x:v>C</x:v>
      </x:c>
      <x:c r="K368" s="165" t="str">
        <x:v>優良なピノ・ノワールとシャルドネを生むが、歴史的評価と需要がコート・ドールほど高くない</x:v>
      </x:c>
      <x:c r="L368" s="165" t="str">
        <x:v>メルキュレ、ジヴリ、モンタニーなどは品質の高いワインを生む一方、土地価格とブランド需要が比較的低い。</x:v>
      </x:c>
      <x:c r="M368" s="165" t="str">
        <x:v>誤り。 価格差は品質低下のための希釈ではなく、市場評価や土地価格による。</x:v>
      </x:c>
      <x:c r="N368" s="165" t="str">
        <x:v>誤り。 一般的な露地ブドウ栽培である。</x:v>
      </x:c>
      <x:c r="O368" s="165" t="str">
        <x:v>正しい。 メルキュレ、ジヴリ、モンタニーなどは品質の高いワインを生む一方、土地価格とブランド需要が比較的低い。</x:v>
      </x:c>
      <x:c r="P368" s="165" t="str">
        <x:v>誤り。 コート・シャロネーズの主要ワインは非発泡性の辛口である。</x:v>
      </x:c>
      <x:c r="Q368" s="165" t="str">
        <x:v>商業・価格</x:v>
      </x:c>
      <x:c r="R368" s="165" t="str">
        <x:v>ブルゴーニュ</x:v>
      </x:c>
      <x:c r="S368" s="165" t="str">
        <x:v>赤・白ワイン</x:v>
      </x:c>
      <x:c r="T368" s="165" t="str">
        <x:v>フランス</x:v>
      </x:c>
      <x:c r="U368" s="165" t="str">
        <x:v>コート・シャロネーズ</x:v>
      </x:c>
      <x:c r="V368" s="165" t="str">
        <x:v>ピノ・ノワール、シャルドネ</x:v>
      </x:c>
      <x:c r="W368" s="165" t="str">
        <x:v>統合判断</x:v>
      </x:c>
      <x:c r="X368" s="171" t="str">
        <x:v>D3</x:v>
      </x:c>
      <x:c r="Y368" s="165" t="str">
        <x:v>低価格は希釈; 酒精強化地域</x:v>
      </x:c>
      <x:c r="Z368" s="171" t="str">
        <x:v>N</x:v>
      </x:c>
      <x:c r="AA368" s="165"/>
      <x:c r="AB368" s="165" t="str">
        <x:v>オリジナル</x:v>
      </x:c>
      <x:c r="AC368" s="165" t="str">
        <x:v>公式Specificationの範囲＋ユーザー作成コーパスの論点を参考に独自作成</x:v>
      </x:c>
      <x:c r="AD368" s="171" t="str">
        <x:v>未レビュー</x:v>
      </x:c>
      <x:c r="AE368" s="171"/>
      <x:c r="AF368" s="171"/>
      <x:c r="AG368" s="312"/>
    </x:row>
    <x:row r="369" ht="84" customHeight="1">
      <x:c r="A369" s="311" t="str">
        <x:v>LO2-068</x:v>
      </x:c>
      <x:c r="B369" s="171" t="str">
        <x:v>LO2</x:v>
      </x:c>
      <x:c r="C369" s="165" t="str">
        <x:v>世界の主要な非発泡性ワイン</x:v>
      </x:c>
      <x:c r="D369" s="165" t="str">
        <x:v>プイィ・フュイッセ</x:v>
      </x:c>
      <x:c r="E369" s="165" t="str">
        <x:v>プイィ・フュイッセの典型的なスタイルとして最も適切なものはどれか。</x:v>
      </x:c>
      <x:c r="F369" s="165" t="str">
        <x:v>ソーヴィニヨン・ブランから造る火打石香の軽い白</x:v>
      </x:c>
      <x:c r="G369" s="165" t="str">
        <x:v>ネッビオーロから造る高タンニン赤</x:v>
      </x:c>
      <x:c r="H369" s="165" t="str">
        <x:v>グルナッシュ主体の甘口酒精強化ワイン</x:v>
      </x:c>
      <x:c r="I369" s="165" t="str">
        <x:v>温暖なマコネ地区のシャルドネから造る、熟した核果と中程度以上のボディを持つ辛口白</x:v>
      </x:c>
      <x:c r="J369" s="171" t="str">
        <x:v>D</x:v>
      </x:c>
      <x:c r="K369" s="165" t="str">
        <x:v>温暖なマコネ地区のシャルドネから造る、熟した核果と中程度以上のボディを持つ辛口白</x:v>
      </x:c>
      <x:c r="L369" s="165" t="str">
        <x:v>南部ブルゴーニュの比較的温暖な斜面でシャルドネが十分に成熟し、樽を用いた豊かなスタイルも造られる。</x:v>
      </x:c>
      <x:c r="M369" s="165" t="str">
        <x:v>誤り。 名称が似るプイィ・フュメとは品種も地域も異なる。</x:v>
      </x:c>
      <x:c r="N369" s="165" t="str">
        <x:v>誤り。 ネッビオーロはピエモンテの主要品種である。</x:v>
      </x:c>
      <x:c r="O369" s="165" t="str">
        <x:v>誤り。 プイィ・フュイッセはシャルドネの辛口非発泡性白である。</x:v>
      </x:c>
      <x:c r="P369" s="165" t="str">
        <x:v>正しい。 南部ブルゴーニュの比較的温暖な斜面でシャルドネが十分に成熟し、樽を用いた豊かなスタイルも造られる。</x:v>
      </x:c>
      <x:c r="Q369" s="165" t="str">
        <x:v>産地</x:v>
      </x:c>
      <x:c r="R369" s="165" t="str">
        <x:v>マコネ</x:v>
      </x:c>
      <x:c r="S369" s="165" t="str">
        <x:v>白ワイン</x:v>
      </x:c>
      <x:c r="T369" s="165" t="str">
        <x:v>フランス</x:v>
      </x:c>
      <x:c r="U369" s="165" t="str">
        <x:v>プイィ・フュイッセ</x:v>
      </x:c>
      <x:c r="V369" s="165" t="str">
        <x:v>シャルドネ</x:v>
      </x:c>
      <x:c r="W369" s="165" t="str">
        <x:v>知識確認</x:v>
      </x:c>
      <x:c r="X369" s="171" t="str">
        <x:v>D2</x:v>
      </x:c>
      <x:c r="Y369" s="165" t="str">
        <x:v>プイィフュイッセとプイィフュメ混同; ネッビオーロ</x:v>
      </x:c>
      <x:c r="Z369" s="171" t="str">
        <x:v>N</x:v>
      </x:c>
      <x:c r="AA369" s="165"/>
      <x:c r="AB369" s="165" t="str">
        <x:v>オリジナル</x:v>
      </x:c>
      <x:c r="AC369" s="165" t="str">
        <x:v>公式Specificationの範囲＋ユーザー作成コーパスの論点を参考に独自作成</x:v>
      </x:c>
      <x:c r="AD369" s="171" t="str">
        <x:v>未レビュー</x:v>
      </x:c>
      <x:c r="AE369" s="171"/>
      <x:c r="AF369" s="171"/>
      <x:c r="AG369" s="312"/>
    </x:row>
    <x:row r="370" ht="84" customHeight="1">
      <x:c r="A370" s="311" t="str">
        <x:v>LO2-069</x:v>
      </x:c>
      <x:c r="B370" s="171" t="str">
        <x:v>LO2</x:v>
      </x:c>
      <x:c r="C370" s="165" t="str">
        <x:v>世界の主要な非発泡性ワイン</x:v>
      </x:c>
      <x:c r="D370" s="165" t="str">
        <x:v>サヴニエール</x:v>
      </x:c>
      <x:c r="E370" s="165" t="str">
        <x:v>サヴニエールの辛口白ワインが長期熟成に向く主な理由はどれか。</x:v>
      </x:c>
      <x:c r="F370" s="165" t="str">
        <x:v>シュナン・ブランの高い酸と凝縮した風味を持つため</x:v>
      </x:c>
      <x:c r="G370" s="165" t="str">
        <x:v>残糖が必ず極端に高いから</x:v>
      </x:c>
      <x:c r="H370" s="165" t="str">
        <x:v>赤品種カベルネ・フランの高いタンニンによる</x:v>
      </x:c>
      <x:c r="I370" s="165" t="str">
        <x:v>タンク方式の二次発酵で高圧になるから</x:v>
      </x:c>
      <x:c r="J370" s="171" t="str">
        <x:v>A</x:v>
      </x:c>
      <x:c r="K370" s="165" t="str">
        <x:v>シュナン・ブランの高い酸と凝縮した風味を持つため</x:v>
      </x:c>
      <x:c r="L370" s="165" t="str">
        <x:v>低収量のシュナン・ブランから、石や蜜蝋を思わせる複雑な辛口白が造られ、高い酸が熟成を支える。</x:v>
      </x:c>
      <x:c r="M370" s="165" t="str">
        <x:v>正しい。 低収量のシュナン・ブランから、石や蜜蝋を思わせる複雑な辛口白が造られ、高い酸が熟成を支える。</x:v>
      </x:c>
      <x:c r="N370" s="165" t="str">
        <x:v>誤り。 サヴニエールは主に辛口で、熟成能力は残糖だけによらない。</x:v>
      </x:c>
      <x:c r="O370" s="165" t="str">
        <x:v>誤り。 主要品種は白のシュナン・ブランである。</x:v>
      </x:c>
      <x:c r="P370" s="165" t="str">
        <x:v>誤り。 サヴニエールは非発泡性白が中心である。</x:v>
      </x:c>
      <x:c r="Q370" s="165" t="str">
        <x:v>産地</x:v>
      </x:c>
      <x:c r="R370" s="165" t="str">
        <x:v>ロワール</x:v>
      </x:c>
      <x:c r="S370" s="165" t="str">
        <x:v>白ワイン</x:v>
      </x:c>
      <x:c r="T370" s="165" t="str">
        <x:v>フランス</x:v>
      </x:c>
      <x:c r="U370" s="165" t="str">
        <x:v>サヴニエール</x:v>
      </x:c>
      <x:c r="V370" s="165" t="str">
        <x:v>シュナン・ブラン</x:v>
      </x:c>
      <x:c r="W370" s="165" t="str">
        <x:v>因果説明</x:v>
      </x:c>
      <x:c r="X370" s="171" t="str">
        <x:v>D2</x:v>
      </x:c>
      <x:c r="Y370" s="165" t="str">
        <x:v>サヴニエールは必ず甘口; 主要品種はカベルネフラン</x:v>
      </x:c>
      <x:c r="Z370" s="171" t="str">
        <x:v>N</x:v>
      </x:c>
      <x:c r="AA370" s="165"/>
      <x:c r="AB370" s="165" t="str">
        <x:v>オリジナル</x:v>
      </x:c>
      <x:c r="AC370" s="165" t="str">
        <x:v>公式Specificationの範囲＋ユーザー作成コーパスの論点を参考に独自作成</x:v>
      </x:c>
      <x:c r="AD370" s="171" t="str">
        <x:v>未レビュー</x:v>
      </x:c>
      <x:c r="AE370" s="171"/>
      <x:c r="AF370" s="171"/>
      <x:c r="AG370" s="312"/>
    </x:row>
    <x:row r="371" ht="84" customHeight="1">
      <x:c r="A371" s="311" t="str">
        <x:v>LO2-070</x:v>
      </x:c>
      <x:c r="B371" s="171" t="str">
        <x:v>LO2</x:v>
      </x:c>
      <x:c r="C371" s="165" t="str">
        <x:v>世界の主要な非発泡性ワイン</x:v>
      </x:c>
      <x:c r="D371" s="165" t="str">
        <x:v>シノン</x:v>
      </x:c>
      <x:c r="E371" s="165" t="str">
        <x:v>シノンの砂利質の平地から造られるカベルネ・フランに典型的なスタイルはどれか。</x:v>
      </x:c>
      <x:c r="F371" s="165" t="str">
        <x:v>非常に高アルコールで甘い酒精強化ワイン</x:v>
      </x:c>
      <x:c r="G371" s="165" t="str">
        <x:v>比較的軽やかで、赤系果実と高い酸を持ち、早めに楽しめる</x:v>
      </x:c>
      <x:c r="H371" s="165" t="str">
        <x:v>シャルドネ主体の樽熟成白</x:v>
      </x:c>
      <x:c r="I371" s="165" t="str">
        <x:v>酸の低い濃厚なプリミティーヴォ</x:v>
      </x:c>
      <x:c r="J371" s="171" t="str">
        <x:v>B</x:v>
      </x:c>
      <x:c r="K371" s="165" t="str">
        <x:v>比較的軽やかで、赤系果実と高い酸を持ち、早めに楽しめる</x:v>
      </x:c>
      <x:c r="L371" s="165" t="str">
        <x:v>温まりやすく排水のよい砂利土壌では成熟が進み、丘陵の粘土石灰質畑より軽いスタイルになりやすい。</x:v>
      </x:c>
      <x:c r="M371" s="165" t="str">
        <x:v>誤り。 シノンの主要ワインは辛口の非発泡性赤である。</x:v>
      </x:c>
      <x:c r="N371" s="165" t="str">
        <x:v>正しい。 温まりやすく排水のよい砂利土壌では成熟が進み、丘陵の粘土石灰質畑より軽いスタイルになりやすい。</x:v>
      </x:c>
      <x:c r="O371" s="165" t="str">
        <x:v>誤り。 主要品種はカベルネ・フランである。</x:v>
      </x:c>
      <x:c r="P371" s="165" t="str">
        <x:v>誤り。 これは南イタリアの温暖なスタイルに近い。</x:v>
      </x:c>
      <x:c r="Q371" s="165" t="str">
        <x:v>産地</x:v>
      </x:c>
      <x:c r="R371" s="165" t="str">
        <x:v>ロワール</x:v>
      </x:c>
      <x:c r="S371" s="165" t="str">
        <x:v>赤ワイン</x:v>
      </x:c>
      <x:c r="T371" s="165" t="str">
        <x:v>フランス</x:v>
      </x:c>
      <x:c r="U371" s="165" t="str">
        <x:v>シノン</x:v>
      </x:c>
      <x:c r="V371" s="165" t="str">
        <x:v>カベルネ・フラン</x:v>
      </x:c>
      <x:c r="W371" s="165" t="str">
        <x:v>適用</x:v>
      </x:c>
      <x:c r="X371" s="171" t="str">
        <x:v>D3</x:v>
      </x:c>
      <x:c r="Y371" s="165" t="str">
        <x:v>シノンは酒精強化; シノンはシャルドネ</x:v>
      </x:c>
      <x:c r="Z371" s="171" t="str">
        <x:v>N</x:v>
      </x:c>
      <x:c r="AA371" s="165"/>
      <x:c r="AB371" s="165" t="str">
        <x:v>オリジナル</x:v>
      </x:c>
      <x:c r="AC371" s="165" t="str">
        <x:v>公式Specificationの範囲＋ユーザー作成コーパスの論点を参考に独自作成</x:v>
      </x:c>
      <x:c r="AD371" s="171" t="str">
        <x:v>未レビュー</x:v>
      </x:c>
      <x:c r="AE371" s="171"/>
      <x:c r="AF371" s="171"/>
      <x:c r="AG371" s="312"/>
    </x:row>
    <x:row r="372" ht="84" customHeight="1">
      <x:c r="A372" s="311" t="str">
        <x:v>LO2-071</x:v>
      </x:c>
      <x:c r="B372" s="171" t="str">
        <x:v>LO2</x:v>
      </x:c>
      <x:c r="C372" s="165" t="str">
        <x:v>世界の主要な非発泡性ワイン</x:v>
      </x:c>
      <x:c r="D372" s="165" t="str">
        <x:v>コトー・デュ・レイヨン</x:v>
      </x:c>
      <x:c r="E372" s="165" t="str">
        <x:v>コトー・デュ・レイヨンの甘口ワインが甘味と高い酸を両立しやすい主な理由はどれか。</x:v>
      </x:c>
      <x:c r="F372" s="165" t="str">
        <x:v>低酸のグルナッシュを早摘みするため</x:v>
      </x:c>
      <x:c r="G372" s="165" t="str">
        <x:v>発酵後に大量の水を加えるため</x:v>
      </x:c>
      <x:c r="H372" s="165" t="str">
        <x:v>高酸のシュナン・ブランを、貴腐または樹上で濃縮して収穫するため</x:v>
      </x:c>
      <x:c r="I372" s="165" t="str">
        <x:v>すべてのワインをフロール下に熟成するため</x:v>
      </x:c>
      <x:c r="J372" s="171" t="str">
        <x:v>C</x:v>
      </x:c>
      <x:c r="K372" s="165" t="str">
        <x:v>高酸のシュナン・ブランを、貴腐または樹上で濃縮して収穫するため</x:v>
      </x:c>
      <x:c r="L372" s="165" t="str">
        <x:v>シュナン・ブランの自然な酸が、貴腐やパスリヤージュで増した糖と濃縮風味を支える。</x:v>
      </x:c>
      <x:c r="M372" s="165" t="str">
        <x:v>誤り。 主要品種はシュナン・ブランで、酸を保持しやすい。</x:v>
      </x:c>
      <x:c r="N372" s="165" t="str">
        <x:v>誤り。 甘味と酸の均衡はブドウの成分と発酵管理による。</x:v>
      </x:c>
      <x:c r="O372" s="165" t="str">
        <x:v>正しい。 シュナン・ブランの自然な酸が、貴腐やパスリヤージュで増した糖と濃縮風味を支える。</x:v>
      </x:c>
      <x:c r="P372" s="165" t="str">
        <x:v>誤り。 フロール熟成はシェリーの生物学的熟成に関係する。</x:v>
      </x:c>
      <x:c r="Q372" s="165" t="str">
        <x:v>産地</x:v>
      </x:c>
      <x:c r="R372" s="165" t="str">
        <x:v>ロワール</x:v>
      </x:c>
      <x:c r="S372" s="165" t="str">
        <x:v>甘口白ワイン</x:v>
      </x:c>
      <x:c r="T372" s="165" t="str">
        <x:v>フランス</x:v>
      </x:c>
      <x:c r="U372" s="165" t="str">
        <x:v>コトー・デュ・レイヨン</x:v>
      </x:c>
      <x:c r="V372" s="165" t="str">
        <x:v>シュナン・ブラン</x:v>
      </x:c>
      <x:c r="W372" s="165" t="str">
        <x:v>因果説明</x:v>
      </x:c>
      <x:c r="X372" s="171" t="str">
        <x:v>D2</x:v>
      </x:c>
      <x:c r="Y372" s="165" t="str">
        <x:v>主要品種はグルナッシュ; フロール熟成</x:v>
      </x:c>
      <x:c r="Z372" s="171" t="str">
        <x:v>N</x:v>
      </x:c>
      <x:c r="AA372" s="165"/>
      <x:c r="AB372" s="165" t="str">
        <x:v>オリジナル</x:v>
      </x:c>
      <x:c r="AC372" s="165" t="str">
        <x:v>公式Specificationの範囲＋ユーザー作成コーパスの論点を参考に独自作成</x:v>
      </x:c>
      <x:c r="AD372" s="171" t="str">
        <x:v>未レビュー</x:v>
      </x:c>
      <x:c r="AE372" s="171"/>
      <x:c r="AF372" s="171"/>
      <x:c r="AG372" s="312"/>
    </x:row>
    <x:row r="373" ht="84" customHeight="1">
      <x:c r="A373" s="311" t="str">
        <x:v>LO2-072</x:v>
      </x:c>
      <x:c r="B373" s="171" t="str">
        <x:v>LO2</x:v>
      </x:c>
      <x:c r="C373" s="165" t="str">
        <x:v>世界の主要な非発泡性ワイン</x:v>
      </x:c>
      <x:c r="D373" s="165" t="str">
        <x:v>コート・ロティ</x:v>
      </x:c>
      <x:c r="E373" s="165" t="str">
        <x:v>コート・ロティでヴィオニエを少量シラーと共発酵する場合の主な効果はどれか。</x:v>
      </x:c>
      <x:c r="F373" s="165" t="str">
        <x:v>ワインを甘口の白へ変える</x:v>
      </x:c>
      <x:c r="G373" s="165" t="str">
        <x:v>タンニンを完全に除去する</x:v>
      </x:c>
      <x:c r="H373" s="165" t="str">
        <x:v>瓶内二次発酵を必ず起こす</x:v>
      </x:c>
      <x:c r="I373" s="165" t="str">
        <x:v>香りを高め、色の安定に寄与し、質感をやや柔らかくする</x:v>
      </x:c>
      <x:c r="J373" s="171" t="str">
        <x:v>D</x:v>
      </x:c>
      <x:c r="K373" s="165" t="str">
        <x:v>香りを高め、色の安定に寄与し、質感をやや柔らかくする</x:v>
      </x:c>
      <x:c r="L373" s="165" t="str">
        <x:v>白品種ヴィオニエの芳香と共色素効果により、シラーの花や果実の香りと色の安定を補える。</x:v>
      </x:c>
      <x:c r="M373" s="165" t="str">
        <x:v>誤り。 少量のヴィオニエを共発酵しても、ワインはシラー主体の辛口赤である。</x:v>
      </x:c>
      <x:c r="N373" s="165" t="str">
        <x:v>誤り。 質感を和らげることはあっても、シラーのタンニンがなくなるわけではない。</x:v>
      </x:c>
      <x:c r="O373" s="165" t="str">
        <x:v>誤り。 共発酵は一次発酵の品種構成であり、発泡性を意味しない。</x:v>
      </x:c>
      <x:c r="P373" s="165" t="str">
        <x:v>正しい。 白品種ヴィオニエの芳香と共色素効果により、シラーの花や果実の香りと色の安定を補える。</x:v>
      </x:c>
      <x:c r="Q373" s="165" t="str">
        <x:v>醸造</x:v>
      </x:c>
      <x:c r="R373" s="165" t="str">
        <x:v>北部ローヌ</x:v>
      </x:c>
      <x:c r="S373" s="165" t="str">
        <x:v>赤ワイン</x:v>
      </x:c>
      <x:c r="T373" s="165" t="str">
        <x:v>フランス</x:v>
      </x:c>
      <x:c r="U373" s="165" t="str">
        <x:v>コート・ロティ</x:v>
      </x:c>
      <x:c r="V373" s="165" t="str">
        <x:v>シラー、ヴィオニエ</x:v>
      </x:c>
      <x:c r="W373" s="165" t="str">
        <x:v>因果説明</x:v>
      </x:c>
      <x:c r="X373" s="171" t="str">
        <x:v>D3</x:v>
      </x:c>
      <x:c r="Y373" s="165" t="str">
        <x:v>ヴィオニエで白ワイン化; 共発酵で発泡</x:v>
      </x:c>
      <x:c r="Z373" s="171" t="str">
        <x:v>N</x:v>
      </x:c>
      <x:c r="AA373" s="165"/>
      <x:c r="AB373" s="165" t="str">
        <x:v>オリジナル</x:v>
      </x:c>
      <x:c r="AC373" s="165" t="str">
        <x:v>公式Specificationの範囲＋ユーザー作成コーパスの論点を参考に独自作成</x:v>
      </x:c>
      <x:c r="AD373" s="171" t="str">
        <x:v>未レビュー</x:v>
      </x:c>
      <x:c r="AE373" s="171"/>
      <x:c r="AF373" s="171"/>
      <x:c r="AG373" s="312"/>
    </x:row>
    <x:row r="374" ht="84" customHeight="1">
      <x:c r="A374" s="311" t="str">
        <x:v>LO2-073</x:v>
      </x:c>
      <x:c r="B374" s="171" t="str">
        <x:v>LO2</x:v>
      </x:c>
      <x:c r="C374" s="165" t="str">
        <x:v>世界の主要な非発泡性ワイン</x:v>
      </x:c>
      <x:c r="D374" s="165" t="str">
        <x:v>エルミタージュ</x:v>
      </x:c>
      <x:c r="E374" s="165" t="str">
        <x:v>赤のエルミタージュが長期熟成に向く主な理由はどれか。</x:v>
      </x:c>
      <x:c r="F374" s="165" t="str">
        <x:v>南向きの花崗岩斜面で成熟したシラーが、高いタンニン、酸、凝縮度を持つため</x:v>
      </x:c>
      <x:c r="G374" s="165" t="str">
        <x:v>グレーラから低圧の発泡性ワインを造るため</x:v>
      </x:c>
      <x:c r="H374" s="165" t="str">
        <x:v>残糖の高いモスカートを早期酒精強化するため</x:v>
      </x:c>
      <x:c r="I374" s="165" t="str">
        <x:v>冷たい海流が畑へ直接流れ込むため</x:v>
      </x:c>
      <x:c r="J374" s="171" t="str">
        <x:v>A</x:v>
      </x:c>
      <x:c r="K374" s="165" t="str">
        <x:v>南向きの花崗岩斜面で成熟したシラーが、高いタンニン、酸、凝縮度を持つため</x:v>
      </x:c>
      <x:c r="L374" s="165" t="str">
        <x:v>日照に恵まれた急斜面で低収量のシラーが十分に成熟し、黒系果実、スパイス、強い構造を得る。</x:v>
      </x:c>
      <x:c r="M374" s="165" t="str">
        <x:v>正しい。 日照に恵まれた急斜面で低収量のシラーが十分に成熟し、黒系果実、スパイス、強い構造を得る。</x:v>
      </x:c>
      <x:c r="N374" s="165" t="str">
        <x:v>誤り。 これはプロセッコの特徴である。</x:v>
      </x:c>
      <x:c r="O374" s="165" t="str">
        <x:v>誤り。 エルミタージュ赤はシラーの辛口非発泡性である。</x:v>
      </x:c>
      <x:c r="P374" s="165" t="str">
        <x:v>誤り。 内陸ローヌの斜面で、海流の直接影響ではない。</x:v>
      </x:c>
      <x:c r="Q374" s="165" t="str">
        <x:v>産地</x:v>
      </x:c>
      <x:c r="R374" s="165" t="str">
        <x:v>北部ローヌ</x:v>
      </x:c>
      <x:c r="S374" s="165" t="str">
        <x:v>赤ワイン</x:v>
      </x:c>
      <x:c r="T374" s="165" t="str">
        <x:v>フランス</x:v>
      </x:c>
      <x:c r="U374" s="165" t="str">
        <x:v>エルミタージュ</x:v>
      </x:c>
      <x:c r="V374" s="165" t="str">
        <x:v>シラー</x:v>
      </x:c>
      <x:c r="W374" s="165" t="str">
        <x:v>統合判断</x:v>
      </x:c>
      <x:c r="X374" s="171" t="str">
        <x:v>D3</x:v>
      </x:c>
      <x:c r="Y374" s="165" t="str">
        <x:v>エルミタージュは発泡; モスカート酒精強化</x:v>
      </x:c>
      <x:c r="Z374" s="171" t="str">
        <x:v>N</x:v>
      </x:c>
      <x:c r="AA374" s="165"/>
      <x:c r="AB374" s="165" t="str">
        <x:v>オリジナル</x:v>
      </x:c>
      <x:c r="AC374" s="165" t="str">
        <x:v>公式Specificationの範囲＋ユーザー作成コーパスの論点を参考に独自作成</x:v>
      </x:c>
      <x:c r="AD374" s="171" t="str">
        <x:v>未レビュー</x:v>
      </x:c>
      <x:c r="AE374" s="171"/>
      <x:c r="AF374" s="171"/>
      <x:c r="AG374" s="312"/>
    </x:row>
    <x:row r="375" ht="84" customHeight="1">
      <x:c r="A375" s="311" t="str">
        <x:v>LO2-074</x:v>
      </x:c>
      <x:c r="B375" s="171" t="str">
        <x:v>LO2</x:v>
      </x:c>
      <x:c r="C375" s="165" t="str">
        <x:v>世界の主要な非発泡性ワイン</x:v>
      </x:c>
      <x:c r="D375" s="165" t="str">
        <x:v>コルナス</x:v>
      </x:c>
      <x:c r="E375" s="165" t="str">
        <x:v>コルナスのシラーが力強く黒系果実の熟したスタイルになりやすい主な理由はどれか。</x:v>
      </x:c>
      <x:c r="F375" s="165" t="str">
        <x:v>大西洋の冷たい海水を畑へ灌漑するため</x:v>
      </x:c>
      <x:c r="G375" s="165" t="str">
        <x:v>南向きで風から守られた花崗岩の斜面が熱を蓄え、シラーの成熟を促すため</x:v>
      </x:c>
      <x:c r="H375" s="165" t="str">
        <x:v>白品種リースリングを凍結収穫するため</x:v>
      </x:c>
      <x:c r="I375" s="165" t="str">
        <x:v>すべての果実を貴腐化するため</x:v>
      </x:c>
      <x:c r="J375" s="171" t="str">
        <x:v>B</x:v>
      </x:c>
      <x:c r="K375" s="165" t="str">
        <x:v>南向きで風から守られた花崗岩の斜面が熱を蓄え、シラーの成熟を促すため</x:v>
      </x:c>
      <x:c r="L375" s="165" t="str">
        <x:v>自然の円形劇場のような地形が日照と暖かさを確保し、北部ローヌでも比較的濃厚なシラーを生む。</x:v>
      </x:c>
      <x:c r="M375" s="165" t="str">
        <x:v>誤り。 コルナスは内陸で、海水灌漑は行わない。</x:v>
      </x:c>
      <x:c r="N375" s="165" t="str">
        <x:v>正しい。 自然の円形劇場のような地形が日照と暖かさを確保し、北部ローヌでも比較的濃厚なシラーを生む。</x:v>
      </x:c>
      <x:c r="O375" s="165" t="str">
        <x:v>誤り。 主要品種はシラーで、辛口赤を造る。</x:v>
      </x:c>
      <x:c r="P375" s="165" t="str">
        <x:v>誤り。 貴腐甘口ワインの産地ではない。</x:v>
      </x:c>
      <x:c r="Q375" s="165" t="str">
        <x:v>自然要因</x:v>
      </x:c>
      <x:c r="R375" s="165" t="str">
        <x:v>北部ローヌ</x:v>
      </x:c>
      <x:c r="S375" s="165" t="str">
        <x:v>赤ワイン</x:v>
      </x:c>
      <x:c r="T375" s="165" t="str">
        <x:v>フランス</x:v>
      </x:c>
      <x:c r="U375" s="165" t="str">
        <x:v>コルナス</x:v>
      </x:c>
      <x:c r="V375" s="165" t="str">
        <x:v>シラー</x:v>
      </x:c>
      <x:c r="W375" s="165" t="str">
        <x:v>因果説明</x:v>
      </x:c>
      <x:c r="X375" s="171" t="str">
        <x:v>D2</x:v>
      </x:c>
      <x:c r="Y375" s="165" t="str">
        <x:v>コルナスは海洋産地; コルナスはリースリング</x:v>
      </x:c>
      <x:c r="Z375" s="171" t="str">
        <x:v>N</x:v>
      </x:c>
      <x:c r="AA375" s="165"/>
      <x:c r="AB375" s="165" t="str">
        <x:v>オリジナル</x:v>
      </x:c>
      <x:c r="AC375" s="165" t="str">
        <x:v>公式Specificationの範囲＋ユーザー作成コーパスの論点を参考に独自作成</x:v>
      </x:c>
      <x:c r="AD375" s="171" t="str">
        <x:v>未レビュー</x:v>
      </x:c>
      <x:c r="AE375" s="171"/>
      <x:c r="AF375" s="171"/>
      <x:c r="AG375" s="312"/>
    </x:row>
    <x:row r="376" ht="84" customHeight="1">
      <x:c r="A376" s="311" t="str">
        <x:v>LO2-075</x:v>
      </x:c>
      <x:c r="B376" s="171" t="str">
        <x:v>LO2</x:v>
      </x:c>
      <x:c r="C376" s="165" t="str">
        <x:v>世界の主要な非発泡性ワイン</x:v>
      </x:c>
      <x:c r="D376" s="165" t="str">
        <x:v>シャトーヌフ・デュ・パプ</x:v>
      </x:c>
      <x:c r="E376" s="165" t="str">
        <x:v>シャトーヌフ・デュ・パプの赤ワインに典型的な特徴はどれか。</x:v>
      </x:c>
      <x:c r="F376" s="165" t="str">
        <x:v>ピノ・ノワール主体で、低アルコールの淡い赤</x:v>
      </x:c>
      <x:c r="G376" s="165" t="str">
        <x:v>コルテーゼ主体の高酸白</x:v>
      </x:c>
      <x:c r="H376" s="165" t="str">
        <x:v>グルナッシュ主体で、熟した赤・黒系果実、高いアルコール、スパイスを持つ</x:v>
      </x:c>
      <x:c r="I376" s="165" t="str">
        <x:v>パロミノ主体でフロール熟成する</x:v>
      </x:c>
      <x:c r="J376" s="171" t="str">
        <x:v>C</x:v>
      </x:c>
      <x:c r="K376" s="165" t="str">
        <x:v>グルナッシュ主体で、熟した赤・黒系果実、高いアルコール、スパイスを持つ</x:v>
      </x:c>
      <x:c r="L376" s="165" t="str">
        <x:v>暑く乾燥した地中海性気候でグルナッシュが高い糖度まで成熟し、複数品種のブレンドが複雑性を与える。</x:v>
      </x:c>
      <x:c r="M376" s="165" t="str">
        <x:v>誤り。 これは冷涼なブルゴーニュなどに近い。</x:v>
      </x:c>
      <x:c r="N376" s="165" t="str">
        <x:v>誤り。 コルテーゼはガヴィの主要品種である。</x:v>
      </x:c>
      <x:c r="O376" s="165" t="str">
        <x:v>正しい。 暑く乾燥した地中海性気候でグルナッシュが高い糖度まで成熟し、複数品種のブレンドが複雑性を与える。</x:v>
      </x:c>
      <x:c r="P376" s="165" t="str">
        <x:v>誤り。 これはフィノ・シェリーの特徴である。</x:v>
      </x:c>
      <x:c r="Q376" s="165" t="str">
        <x:v>産地</x:v>
      </x:c>
      <x:c r="R376" s="165" t="str">
        <x:v>南部ローヌ</x:v>
      </x:c>
      <x:c r="S376" s="165" t="str">
        <x:v>赤ワイン</x:v>
      </x:c>
      <x:c r="T376" s="165" t="str">
        <x:v>フランス</x:v>
      </x:c>
      <x:c r="U376" s="165" t="str">
        <x:v>シャトーヌフ・デュ・パプ</x:v>
      </x:c>
      <x:c r="V376" s="165" t="str">
        <x:v>グルナッシュ、シラー、ムールヴェードル</x:v>
      </x:c>
      <x:c r="W376" s="165" t="str">
        <x:v>知識確認</x:v>
      </x:c>
      <x:c r="X376" s="171" t="str">
        <x:v>D2</x:v>
      </x:c>
      <x:c r="Y376" s="165" t="str">
        <x:v>主要品種はピノノワール; フロール熟成</x:v>
      </x:c>
      <x:c r="Z376" s="171" t="str">
        <x:v>N</x:v>
      </x:c>
      <x:c r="AA376" s="165"/>
      <x:c r="AB376" s="165" t="str">
        <x:v>オリジナル</x:v>
      </x:c>
      <x:c r="AC376" s="165" t="str">
        <x:v>公式Specificationの範囲＋ユーザー作成コーパスの論点を参考に独自作成</x:v>
      </x:c>
      <x:c r="AD376" s="171" t="str">
        <x:v>未レビュー</x:v>
      </x:c>
      <x:c r="AE376" s="171"/>
      <x:c r="AF376" s="171"/>
      <x:c r="AG376" s="312"/>
    </x:row>
    <x:row r="377" ht="84" customHeight="1">
      <x:c r="A377" s="311" t="str">
        <x:v>LO2-076</x:v>
      </x:c>
      <x:c r="B377" s="171" t="str">
        <x:v>LO2</x:v>
      </x:c>
      <x:c r="C377" s="165" t="str">
        <x:v>世界の主要な非発泡性ワイン</x:v>
      </x:c>
      <x:c r="D377" s="165" t="str">
        <x:v>ジゴンダス</x:v>
      </x:c>
      <x:c r="E377" s="165" t="str">
        <x:v>ジゴンダスが南部ローヌの低地産ワインより引き締まった酸とタンニンを保ちやすい理由はどれか。</x:v>
      </x:c>
      <x:c r="F377" s="165" t="str">
        <x:v>大西洋の恒常的な霧で日照がないため</x:v>
      </x:c>
      <x:c r="G377" s="165" t="str">
        <x:v>リースリングを高収量で栽培するため</x:v>
      </x:c>
      <x:c r="H377" s="165" t="str">
        <x:v>発酵を途中で止め、残糖を残すため</x:v>
      </x:c>
      <x:c r="I377" s="165" t="str">
        <x:v>標高の高い斜面と冷涼な夜が成熟を緩やかにするため</x:v>
      </x:c>
      <x:c r="J377" s="171" t="str">
        <x:v>D</x:v>
      </x:c>
      <x:c r="K377" s="165" t="str">
        <x:v>標高の高い斜面と冷涼な夜が成熟を緩やかにするため</x:v>
      </x:c>
      <x:c r="L377" s="165" t="str">
        <x:v>ダンテル・ド・モンミライユ周辺の高い畑は昼夜差を生み、熟した果実味と構造を両立しやすい。</x:v>
      </x:c>
      <x:c r="M377" s="165" t="str">
        <x:v>誤り。 地中海性気候で日照は豊富であり、標高の冷却が重要である。</x:v>
      </x:c>
      <x:c r="N377" s="165" t="str">
        <x:v>誤り。 主要品種はグルナッシュ、シラー、ムールヴェードルである。</x:v>
      </x:c>
      <x:c r="O377" s="165" t="str">
        <x:v>誤り。 ジゴンダスの赤は通常辛口である。</x:v>
      </x:c>
      <x:c r="P377" s="165" t="str">
        <x:v>正しい。 ダンテル・ド・モンミライユ周辺の高い畑は昼夜差を生み、熟した果実味と構造を両立しやすい。</x:v>
      </x:c>
      <x:c r="Q377" s="165" t="str">
        <x:v>自然要因</x:v>
      </x:c>
      <x:c r="R377" s="165" t="str">
        <x:v>南部ローヌ</x:v>
      </x:c>
      <x:c r="S377" s="165" t="str">
        <x:v>赤ワイン</x:v>
      </x:c>
      <x:c r="T377" s="165" t="str">
        <x:v>フランス</x:v>
      </x:c>
      <x:c r="U377" s="165" t="str">
        <x:v>ジゴンダス</x:v>
      </x:c>
      <x:c r="V377" s="165" t="str">
        <x:v>グルナッシュ、シラー、ムールヴェードル</x:v>
      </x:c>
      <x:c r="W377" s="165" t="str">
        <x:v>因果説明</x:v>
      </x:c>
      <x:c r="X377" s="171" t="str">
        <x:v>D3</x:v>
      </x:c>
      <x:c r="Y377" s="165" t="str">
        <x:v>ジゴンダスは霧の産地; 甘口赤</x:v>
      </x:c>
      <x:c r="Z377" s="171" t="str">
        <x:v>N</x:v>
      </x:c>
      <x:c r="AA377" s="165"/>
      <x:c r="AB377" s="165" t="str">
        <x:v>オリジナル</x:v>
      </x:c>
      <x:c r="AC377" s="165" t="str">
        <x:v>公式Specificationの範囲＋ユーザー作成コーパスの論点を参考に独自作成</x:v>
      </x:c>
      <x:c r="AD377" s="171" t="str">
        <x:v>未レビュー</x:v>
      </x:c>
      <x:c r="AE377" s="171"/>
      <x:c r="AF377" s="171"/>
      <x:c r="AG377" s="312"/>
    </x:row>
    <x:row r="378" ht="84" customHeight="1">
      <x:c r="A378" s="311" t="str">
        <x:v>LO2-077</x:v>
      </x:c>
      <x:c r="B378" s="171" t="str">
        <x:v>LO2</x:v>
      </x:c>
      <x:c r="C378" s="165" t="str">
        <x:v>世界の主要な非発泡性ワイン</x:v>
      </x:c>
      <x:c r="D378" s="165" t="str">
        <x:v>タヴェル</x:v>
      </x:c>
      <x:c r="E378" s="165" t="str">
        <x:v>タヴェルのロゼが多くの淡色プロヴァンス・ロゼより色と構造が強い主な理由はどれか。</x:v>
      </x:c>
      <x:c r="F378" s="165" t="str">
        <x:v>黒ブドウを比較的長く果皮と接触させ、複数品種を用いるため</x:v>
      </x:c>
      <x:c r="G378" s="165" t="str">
        <x:v>白ブドウだけを全房圧搾するため</x:v>
      </x:c>
      <x:c r="H378" s="165" t="str">
        <x:v>瓶内二次発酵によって色が濃くなるため</x:v>
      </x:c>
      <x:c r="I378" s="165" t="str">
        <x:v>フロール下で長期熟成するため</x:v>
      </x:c>
      <x:c r="J378" s="171" t="str">
        <x:v>A</x:v>
      </x:c>
      <x:c r="K378" s="165" t="str">
        <x:v>黒ブドウを比較的長く果皮と接触させ、複数品種を用いるため</x:v>
      </x:c>
      <x:c r="L378" s="165" t="str">
        <x:v>グルナッシュやサンソーなどを用い、浸漬またはセニエで十分な色と風味を抽出するため、食事向きの力強いロゼになる。</x:v>
      </x:c>
      <x:c r="M378" s="165" t="str">
        <x:v>正しい。 グルナッシュやサンソーなどを用い、浸漬またはセニエで十分な色と風味を抽出するため、食事向きの力強いロゼになる。</x:v>
      </x:c>
      <x:c r="N378" s="165" t="str">
        <x:v>誤り。 タヴェルは黒ブドウを中心に造るロゼである。</x:v>
      </x:c>
      <x:c r="O378" s="165" t="str">
        <x:v>誤り。 タヴェルは通常非発泡性で、色は果皮接触に由来する。</x:v>
      </x:c>
      <x:c r="P378" s="165" t="str">
        <x:v>誤り。 フロール熟成はシェリーの特徴である。</x:v>
      </x:c>
      <x:c r="Q378" s="165" t="str">
        <x:v>醸造</x:v>
      </x:c>
      <x:c r="R378" s="165" t="str">
        <x:v>南部ローヌ</x:v>
      </x:c>
      <x:c r="S378" s="165" t="str">
        <x:v>ロゼワイン</x:v>
      </x:c>
      <x:c r="T378" s="165" t="str">
        <x:v>フランス</x:v>
      </x:c>
      <x:c r="U378" s="165" t="str">
        <x:v>タヴェル</x:v>
      </x:c>
      <x:c r="V378" s="165" t="str">
        <x:v>グルナッシュ、サンソー</x:v>
      </x:c>
      <x:c r="W378" s="165" t="str">
        <x:v>因果説明</x:v>
      </x:c>
      <x:c r="X378" s="171" t="str">
        <x:v>D2</x:v>
      </x:c>
      <x:c r="Y378" s="165" t="str">
        <x:v>タヴェルは白ブドウ; ロゼ色は二次発酵</x:v>
      </x:c>
      <x:c r="Z378" s="171" t="str">
        <x:v>N</x:v>
      </x:c>
      <x:c r="AA378" s="165"/>
      <x:c r="AB378" s="165" t="str">
        <x:v>オリジナル</x:v>
      </x:c>
      <x:c r="AC378" s="165" t="str">
        <x:v>公式Specificationの範囲＋ユーザー作成コーパスの論点を参考に独自作成</x:v>
      </x:c>
      <x:c r="AD378" s="171" t="str">
        <x:v>未レビュー</x:v>
      </x:c>
      <x:c r="AE378" s="171"/>
      <x:c r="AF378" s="171"/>
      <x:c r="AG378" s="312"/>
    </x:row>
    <x:row r="379" ht="84" customHeight="1">
      <x:c r="A379" s="311" t="str">
        <x:v>LO2-078</x:v>
      </x:c>
      <x:c r="B379" s="171" t="str">
        <x:v>LO2</x:v>
      </x:c>
      <x:c r="C379" s="165" t="str">
        <x:v>世界の主要な非発泡性ワイン</x:v>
      </x:c>
      <x:c r="D379" s="165" t="str">
        <x:v>プロヴァンス・ロゼ</x:v>
      </x:c>
      <x:c r="E379" s="165" t="str">
        <x:v>プロヴァンスの淡色辛口ロゼに一般的な醸造方法はどれか。</x:v>
      </x:c>
      <x:c r="F379" s="165" t="str">
        <x:v>長期の高温マセレーションで高タンニンにする</x:v>
      </x:c>
      <x:c r="G379" s="165" t="str">
        <x:v>黒ブドウを直接圧搾するか、ごく短時間だけ果皮浸漬する</x:v>
      </x:c>
      <x:c r="H379" s="165" t="str">
        <x:v>ブドウを樹上で凍結し、甘口にする</x:v>
      </x:c>
      <x:c r="I379" s="165" t="str">
        <x:v>酸化熟成を数十年行う</x:v>
      </x:c>
      <x:c r="J379" s="171" t="str">
        <x:v>B</x:v>
      </x:c>
      <x:c r="K379" s="165" t="str">
        <x:v>黒ブドウを直接圧搾するか、ごく短時間だけ果皮浸漬する</x:v>
      </x:c>
      <x:c r="L379" s="165" t="str">
        <x:v>色とタンニンの抽出を抑え、淡い色、柑橘・赤系果実、爽やかな酸を持つスタイルを目指す。</x:v>
      </x:c>
      <x:c r="M379" s="165" t="str">
        <x:v>誤り。 これは濃厚な赤ワイン向けの抽出方法である。</x:v>
      </x:c>
      <x:c r="N379" s="165" t="str">
        <x:v>正しい。 色とタンニンの抽出を抑え、淡い色、柑橘・赤系果実、爽やかな酸を持つスタイルを目指す。</x:v>
      </x:c>
      <x:c r="O379" s="165" t="str">
        <x:v>誤り。 プロヴァンス・ロゼは通常辛口である。</x:v>
      </x:c>
      <x:c r="P379" s="165" t="str">
        <x:v>誤り。 フレッシュさを重視し、一般に若いうちに飲まれる。</x:v>
      </x:c>
      <x:c r="Q379" s="165" t="str">
        <x:v>醸造</x:v>
      </x:c>
      <x:c r="R379" s="165" t="str">
        <x:v>プロヴァンス</x:v>
      </x:c>
      <x:c r="S379" s="165" t="str">
        <x:v>ロゼワイン</x:v>
      </x:c>
      <x:c r="T379" s="165" t="str">
        <x:v>フランス</x:v>
      </x:c>
      <x:c r="U379" s="165" t="str">
        <x:v>プロヴァンス</x:v>
      </x:c>
      <x:c r="V379" s="165" t="str">
        <x:v>グルナッシュ、サンソー、シラー</x:v>
      </x:c>
      <x:c r="W379" s="165" t="str">
        <x:v>知識確認</x:v>
      </x:c>
      <x:c r="X379" s="171" t="str">
        <x:v>D1</x:v>
      </x:c>
      <x:c r="Y379" s="165" t="str">
        <x:v>プロヴァンスロゼは長期浸漬; 甘口凍結</x:v>
      </x:c>
      <x:c r="Z379" s="171" t="str">
        <x:v>N</x:v>
      </x:c>
      <x:c r="AA379" s="165"/>
      <x:c r="AB379" s="165" t="str">
        <x:v>オリジナル</x:v>
      </x:c>
      <x:c r="AC379" s="165" t="str">
        <x:v>公式Specificationの範囲＋ユーザー作成コーパスの論点を参考に独自作成</x:v>
      </x:c>
      <x:c r="AD379" s="171" t="str">
        <x:v>未レビュー</x:v>
      </x:c>
      <x:c r="AE379" s="171"/>
      <x:c r="AF379" s="171"/>
      <x:c r="AG379" s="312"/>
    </x:row>
    <x:row r="380" ht="84" customHeight="1">
      <x:c r="A380" s="311" t="str">
        <x:v>LO2-079</x:v>
      </x:c>
      <x:c r="B380" s="171" t="str">
        <x:v>LO2</x:v>
      </x:c>
      <x:c r="C380" s="165" t="str">
        <x:v>世界の主要な非発泡性ワイン</x:v>
      </x:c>
      <x:c r="D380" s="165" t="str">
        <x:v>ペイ・ドックIGP</x:v>
      </x:c>
      <x:c r="E380" s="165" t="str">
        <x:v>ペイ・ドックIGPが国際市場向けのワイン生産に適する主な理由はどれか。</x:v>
      </x:c>
      <x:c r="F380" s="165" t="str">
        <x:v>すべてのワインを単一の土着品種だけで造る義務がある</x:v>
      </x:c>
      <x:c r="G380" s="165" t="str">
        <x:v>瓶内二次発酵を行わなければ表示できない</x:v>
      </x:c>
      <x:c r="H380" s="165" t="str">
        <x:v>幅広い品種を使用でき、品種名表示と柔軟なブレンドが可能である</x:v>
      </x:c>
      <x:c r="I380" s="165" t="str">
        <x:v>高級ワインだけに使用できる最上位の畑名である</x:v>
      </x:c>
      <x:c r="J380" s="171" t="str">
        <x:v>C</x:v>
      </x:c>
      <x:c r="K380" s="165" t="str">
        <x:v>幅広い品種を使用でき、品種名表示と柔軟なブレンドが可能である</x:v>
      </x:c>
      <x:c r="L380" s="165" t="str">
        <x:v>AOCより規定が柔軟で、大規模な畑と近代的醸造設備を用いて、分かりやすい品種ワインを競争力ある価格で造れる。</x:v>
      </x:c>
      <x:c r="M380" s="165" t="str">
        <x:v>誤り。 IGPは幅広い品種選択が可能である。</x:v>
      </x:c>
      <x:c r="N380" s="165" t="str">
        <x:v>誤り。 非発泡性ワインにも広く用いられる表示である。</x:v>
      </x:c>
      <x:c r="O380" s="165" t="str">
        <x:v>正しい。 AOCより規定が柔軟で、大規模な畑と近代的醸造設備を用いて、分かりやすい品種ワインを競争力ある価格で造れる。</x:v>
      </x:c>
      <x:c r="P380" s="165" t="str">
        <x:v>誤り。 品質水準は幅広く、価値重視のワインも多い。</x:v>
      </x:c>
      <x:c r="Q380" s="165" t="str">
        <x:v>商業・価格</x:v>
      </x:c>
      <x:c r="R380" s="165" t="str">
        <x:v>ラングドック</x:v>
      </x:c>
      <x:c r="S380" s="165" t="str">
        <x:v>全般</x:v>
      </x:c>
      <x:c r="T380" s="165" t="str">
        <x:v>フランス</x:v>
      </x:c>
      <x:c r="U380" s="165" t="str">
        <x:v>ペイ・ドックIGP</x:v>
      </x:c>
      <x:c r="V380" s="165" t="str">
        <x:v>国際品種・地域品種</x:v>
      </x:c>
      <x:c r="W380" s="165" t="str">
        <x:v>統合判断</x:v>
      </x:c>
      <x:c r="X380" s="171" t="str">
        <x:v>D3</x:v>
      </x:c>
      <x:c r="Y380" s="165" t="str">
        <x:v>IGPは単一品種限定; IGPは発泡限定</x:v>
      </x:c>
      <x:c r="Z380" s="171" t="str">
        <x:v>N</x:v>
      </x:c>
      <x:c r="AA380" s="165"/>
      <x:c r="AB380" s="165" t="str">
        <x:v>オリジナル</x:v>
      </x:c>
      <x:c r="AC380" s="165" t="str">
        <x:v>公式Specificationの範囲＋ユーザー作成コーパスの論点を参考に独自作成</x:v>
      </x:c>
      <x:c r="AD380" s="171" t="str">
        <x:v>未レビュー</x:v>
      </x:c>
      <x:c r="AE380" s="171"/>
      <x:c r="AF380" s="171"/>
      <x:c r="AG380" s="312"/>
    </x:row>
    <x:row r="381" ht="84" customHeight="1">
      <x:c r="A381" s="311" t="str">
        <x:v>LO2-080</x:v>
      </x:c>
      <x:c r="B381" s="171" t="str">
        <x:v>LO2</x:v>
      </x:c>
      <x:c r="C381" s="165" t="str">
        <x:v>世界の主要な非発泡性ワイン</x:v>
      </x:c>
      <x:c r="D381" s="165" t="str">
        <x:v>ルーションの辛口赤</x:v>
      </x:c>
      <x:c r="E381" s="165" t="str">
        <x:v>ルーションの古木グルナッシュやカリニャンから凝縮した辛口赤が造られやすい主な理由はどれか。</x:v>
      </x:c>
      <x:c r="F381" s="165" t="str">
        <x:v>冷涼で多雨な気候が果粒を大きく希釈するため</x:v>
      </x:c>
      <x:c r="G381" s="165" t="str">
        <x:v>ブドウを常に早摘みし、低アルコールにするため</x:v>
      </x:c>
      <x:c r="H381" s="165" t="str">
        <x:v>リースリングだけを栽培するため</x:v>
      </x:c>
      <x:c r="I381" s="165" t="str">
        <x:v>暑く乾燥した気候と低収量の古木が、小粒で風味の濃い果実を生むため</x:v>
      </x:c>
      <x:c r="J381" s="171" t="str">
        <x:v>D</x:v>
      </x:c>
      <x:c r="K381" s="165" t="str">
        <x:v>暑く乾燥した気候と低収量の古木が、小粒で風味の濃い果実を生むため</x:v>
      </x:c>
      <x:c r="L381" s="165" t="str">
        <x:v>乾燥と風が病害を抑え、痩せた斜面の古木は収量が低く、高アルコールで濃厚なワインになりやすい。</x:v>
      </x:c>
      <x:c r="M381" s="165" t="str">
        <x:v>誤り。 ルーションはフランスでも特に温暖で乾燥した地域である。</x:v>
      </x:c>
      <x:c r="N381" s="165" t="str">
        <x:v>誤り。 十分な成熟と高い糖度が典型である。</x:v>
      </x:c>
      <x:c r="O381" s="165" t="str">
        <x:v>誤り。 主要品種はグルナッシュ、カリニャン、シラーなどである。</x:v>
      </x:c>
      <x:c r="P381" s="165" t="str">
        <x:v>正しい。 乾燥と風が病害を抑え、痩せた斜面の古木は収量が低く、高アルコールで濃厚なワインになりやすい。</x:v>
      </x:c>
      <x:c r="Q381" s="165" t="str">
        <x:v>自然要因</x:v>
      </x:c>
      <x:c r="R381" s="165" t="str">
        <x:v>ルーション</x:v>
      </x:c>
      <x:c r="S381" s="165" t="str">
        <x:v>赤ワイン</x:v>
      </x:c>
      <x:c r="T381" s="165" t="str">
        <x:v>フランス</x:v>
      </x:c>
      <x:c r="U381" s="165" t="str">
        <x:v>ルーション</x:v>
      </x:c>
      <x:c r="V381" s="165" t="str">
        <x:v>グルナッシュ、カリニャン、シラー</x:v>
      </x:c>
      <x:c r="W381" s="165" t="str">
        <x:v>因果説明</x:v>
      </x:c>
      <x:c r="X381" s="171" t="str">
        <x:v>D2</x:v>
      </x:c>
      <x:c r="Y381" s="165" t="str">
        <x:v>ルーションは冷涼多雨; 主要品種はリースリング</x:v>
      </x:c>
      <x:c r="Z381" s="171" t="str">
        <x:v>N</x:v>
      </x:c>
      <x:c r="AA381" s="165"/>
      <x:c r="AB381" s="165" t="str">
        <x:v>オリジナル</x:v>
      </x:c>
      <x:c r="AC381" s="165" t="str">
        <x:v>公式Specificationの範囲＋ユーザー作成コーパスの論点を参考に独自作成</x:v>
      </x:c>
      <x:c r="AD381" s="171" t="str">
        <x:v>未レビュー</x:v>
      </x:c>
      <x:c r="AE381" s="171"/>
      <x:c r="AF381" s="171"/>
      <x:c r="AG381" s="312"/>
    </x:row>
    <x:row r="382" ht="84" customHeight="1">
      <x:c r="A382" s="311" t="str">
        <x:v>LO2-081</x:v>
      </x:c>
      <x:c r="B382" s="171" t="str">
        <x:v>LO2</x:v>
      </x:c>
      <x:c r="C382" s="165" t="str">
        <x:v>世界の主要な非発泡性ワイン</x:v>
      </x:c>
      <x:c r="D382" s="165" t="str">
        <x:v>ナーエ</x:v>
      </x:c>
      <x:c r="E382" s="165" t="str">
        <x:v>ナーエが多様なスタイルのリースリングを生む主な理由はどれか。</x:v>
      </x:c>
      <x:c r="F382" s="165" t="str">
        <x:v>狭い地域に火山岩、粘板岩、砂岩など多様な土壌と標高差があるため</x:v>
      </x:c>
      <x:c r="G382" s="165" t="str">
        <x:v>地域全体が単一の平坦な粘土土壌だから</x:v>
      </x:c>
      <x:c r="H382" s="165" t="str">
        <x:v>常に高温の砂漠気候だから</x:v>
      </x:c>
      <x:c r="I382" s="165" t="str">
        <x:v>赤品種シラーのみを栽培するから</x:v>
      </x:c>
      <x:c r="J382" s="171" t="str">
        <x:v>A</x:v>
      </x:c>
      <x:c r="K382" s="165" t="str">
        <x:v>狭い地域に火山岩、粘板岩、砂岩など多様な土壌と標高差があるため</x:v>
      </x:c>
      <x:c r="L382" s="165" t="str">
        <x:v>地質と斜面の違いが成熟度と香味に幅を与え、繊細な辛口から凝縮した甘口まで造られる。</x:v>
      </x:c>
      <x:c r="M382" s="165" t="str">
        <x:v>正しい。 地質と斜面の違いが成熟度と香味に幅を与え、繊細な辛口から凝縮した甘口まで造られる。</x:v>
      </x:c>
      <x:c r="N382" s="165" t="str">
        <x:v>誤り。 ナーエは地質の多様性で知られる。</x:v>
      </x:c>
      <x:c r="O382" s="165" t="str">
        <x:v>誤り。 ドイツの比較的冷涼な地域である。</x:v>
      </x:c>
      <x:c r="P382" s="165" t="str">
        <x:v>誤り。 リースリングが重要な品種である。</x:v>
      </x:c>
      <x:c r="Q382" s="165" t="str">
        <x:v>自然要因</x:v>
      </x:c>
      <x:c r="R382" s="165" t="str">
        <x:v>ドイツ</x:v>
      </x:c>
      <x:c r="S382" s="165" t="str">
        <x:v>白ワイン</x:v>
      </x:c>
      <x:c r="T382" s="165" t="str">
        <x:v>ドイツ</x:v>
      </x:c>
      <x:c r="U382" s="165" t="str">
        <x:v>ナーエ</x:v>
      </x:c>
      <x:c r="V382" s="165" t="str">
        <x:v>リースリング</x:v>
      </x:c>
      <x:c r="W382" s="165" t="str">
        <x:v>因果説明</x:v>
      </x:c>
      <x:c r="X382" s="171" t="str">
        <x:v>D2</x:v>
      </x:c>
      <x:c r="Y382" s="165" t="str">
        <x:v>ナーエは単一土壌; ナーエは砂漠</x:v>
      </x:c>
      <x:c r="Z382" s="171" t="str">
        <x:v>N</x:v>
      </x:c>
      <x:c r="AA382" s="165"/>
      <x:c r="AB382" s="165" t="str">
        <x:v>オリジナル</x:v>
      </x:c>
      <x:c r="AC382" s="165" t="str">
        <x:v>公式Specificationの範囲＋ユーザー作成コーパスの論点を参考に独自作成</x:v>
      </x:c>
      <x:c r="AD382" s="171" t="str">
        <x:v>未レビュー</x:v>
      </x:c>
      <x:c r="AE382" s="171"/>
      <x:c r="AF382" s="171"/>
      <x:c r="AG382" s="312"/>
    </x:row>
    <x:row r="383" ht="84" customHeight="1">
      <x:c r="A383" s="311" t="str">
        <x:v>LO2-082</x:v>
      </x:c>
      <x:c r="B383" s="171" t="str">
        <x:v>LO2</x:v>
      </x:c>
      <x:c r="C383" s="165" t="str">
        <x:v>世界の主要な非発泡性ワイン</x:v>
      </x:c>
      <x:c r="D383" s="165" t="str">
        <x:v>ラインヘッセン</x:v>
      </x:c>
      <x:c r="E383" s="165" t="str">
        <x:v>現代の高品質ラインヘッセン産リースリングに多く見られる特徴はどれか。</x:v>
      </x:c>
      <x:c r="F383" s="165" t="str">
        <x:v>必ず低品質の甘口大量生産品だけである</x:v>
      </x:c>
      <x:c r="G383" s="165" t="str">
        <x:v>比較的温暖で乾燥した条件から、熟した果実と高い酸を備えた辛口スタイル</x:v>
      </x:c>
      <x:c r="H383" s="165" t="str">
        <x:v>グレーラ主体の発泡性ワインだけを造る</x:v>
      </x:c>
      <x:c r="I383" s="165" t="str">
        <x:v>フロール熟成した酒精強化ワインである</x:v>
      </x:c>
      <x:c r="J383" s="171" t="str">
        <x:v>B</x:v>
      </x:c>
      <x:c r="K383" s="165" t="str">
        <x:v>比較的温暖で乾燥した条件から、熟した果実と高い酸を備えた辛口スタイル</x:v>
      </x:c>
      <x:c r="L383" s="165" t="str">
        <x:v>広大な地域の中でも優良な斜面と低収量栽培を選ぶことで、凝縮した辛口リースリングが造られる。</x:v>
      </x:c>
      <x:c r="M383" s="165" t="str">
        <x:v>誤り。 現在は高品質な辛口ワインの生産者も多い。</x:v>
      </x:c>
      <x:c r="N383" s="165" t="str">
        <x:v>正しい。 広大な地域の中でも優良な斜面と低収量栽培を選ぶことで、凝縮した辛口リースリングが造られる。</x:v>
      </x:c>
      <x:c r="O383" s="165" t="str">
        <x:v>誤り。 主要品種にはリースリング、シルヴァーナーなどがある。</x:v>
      </x:c>
      <x:c r="P383" s="165" t="str">
        <x:v>誤り。 ドイツの非発泡性白ワイン地域である。</x:v>
      </x:c>
      <x:c r="Q383" s="165" t="str">
        <x:v>産地</x:v>
      </x:c>
      <x:c r="R383" s="165" t="str">
        <x:v>ドイツ</x:v>
      </x:c>
      <x:c r="S383" s="165" t="str">
        <x:v>白ワイン</x:v>
      </x:c>
      <x:c r="T383" s="165" t="str">
        <x:v>ドイツ</x:v>
      </x:c>
      <x:c r="U383" s="165" t="str">
        <x:v>ラインヘッセン</x:v>
      </x:c>
      <x:c r="V383" s="165" t="str">
        <x:v>リースリング、シルヴァーナー</x:v>
      </x:c>
      <x:c r="W383" s="165" t="str">
        <x:v>知識確認</x:v>
      </x:c>
      <x:c r="X383" s="171" t="str">
        <x:v>D2</x:v>
      </x:c>
      <x:c r="Y383" s="165" t="str">
        <x:v>ラインヘッセンは低品質のみ; プロセッコ地域</x:v>
      </x:c>
      <x:c r="Z383" s="171" t="str">
        <x:v>N</x:v>
      </x:c>
      <x:c r="AA383" s="165"/>
      <x:c r="AB383" s="165" t="str">
        <x:v>オリジナル</x:v>
      </x:c>
      <x:c r="AC383" s="165" t="str">
        <x:v>公式Specificationの範囲＋ユーザー作成コーパスの論点を参考に独自作成</x:v>
      </x:c>
      <x:c r="AD383" s="171" t="str">
        <x:v>未レビュー</x:v>
      </x:c>
      <x:c r="AE383" s="171"/>
      <x:c r="AF383" s="171"/>
      <x:c r="AG383" s="312"/>
    </x:row>
    <x:row r="384" ht="84" customHeight="1">
      <x:c r="A384" s="311" t="str">
        <x:v>LO2-083</x:v>
      </x:c>
      <x:c r="B384" s="171" t="str">
        <x:v>LO2</x:v>
      </x:c>
      <x:c r="C384" s="165" t="str">
        <x:v>世界の主要な非発泡性ワイン</x:v>
      </x:c>
      <x:c r="D384" s="165" t="str">
        <x:v>バーデン</x:v>
      </x:c>
      <x:c r="E384" s="165" t="str">
        <x:v>バーデンでシュペートブルグンダーが比較的豊かなスタイルになりやすい主な理由はどれか。</x:v>
      </x:c>
      <x:c r="F384" s="165" t="str">
        <x:v>北極圏に近く、成熟が不可能だから</x:v>
      </x:c>
      <x:c r="G384" s="165" t="str">
        <x:v>ブドウをすべて凍結収穫するから</x:v>
      </x:c>
      <x:c r="H384" s="165" t="str">
        <x:v>ドイツの中でも温暖で日照が多く、黒ブドウが十分に成熟しやすい</x:v>
      </x:c>
      <x:c r="I384" s="165" t="str">
        <x:v>海水で灌漑し、塩味を与えるから</x:v>
      </x:c>
      <x:c r="J384" s="171" t="str">
        <x:v>C</x:v>
      </x:c>
      <x:c r="K384" s="165" t="str">
        <x:v>ドイツの中でも温暖で日照が多く、黒ブドウが十分に成熟しやすい</x:v>
      </x:c>
      <x:c r="L384" s="165" t="str">
        <x:v>南西部の温暖な気候がピノ・ノワールの色、果実味、アルコールを高め、樽熟成に適するワインを生む。</x:v>
      </x:c>
      <x:c r="M384" s="165" t="str">
        <x:v>誤り。 バーデンはドイツ南西部の比較的温暖な地域である。</x:v>
      </x:c>
      <x:c r="N384" s="165" t="str">
        <x:v>誤り。 アイスワインは一部で造られるが、赤ワインの典型的な製法ではない。</x:v>
      </x:c>
      <x:c r="O384" s="165" t="str">
        <x:v>正しい。 南西部の温暖な気候がピノ・ノワールの色、果実味、アルコールを高め、樽熟成に適するワインを生む。</x:v>
      </x:c>
      <x:c r="P384" s="165" t="str">
        <x:v>誤り。 海水灌漑は行わず、成熟は気候による。</x:v>
      </x:c>
      <x:c r="Q384" s="165" t="str">
        <x:v>自然要因</x:v>
      </x:c>
      <x:c r="R384" s="165" t="str">
        <x:v>ドイツ</x:v>
      </x:c>
      <x:c r="S384" s="165" t="str">
        <x:v>赤ワイン</x:v>
      </x:c>
      <x:c r="T384" s="165" t="str">
        <x:v>ドイツ</x:v>
      </x:c>
      <x:c r="U384" s="165" t="str">
        <x:v>バーデン</x:v>
      </x:c>
      <x:c r="V384" s="165" t="str">
        <x:v>シュペートブルグンダー</x:v>
      </x:c>
      <x:c r="W384" s="165" t="str">
        <x:v>因果説明</x:v>
      </x:c>
      <x:c r="X384" s="171" t="str">
        <x:v>D2</x:v>
      </x:c>
      <x:c r="Y384" s="165" t="str">
        <x:v>バーデンは極寒; すべてアイスワイン</x:v>
      </x:c>
      <x:c r="Z384" s="171" t="str">
        <x:v>N</x:v>
      </x:c>
      <x:c r="AA384" s="165"/>
      <x:c r="AB384" s="165" t="str">
        <x:v>オリジナル</x:v>
      </x:c>
      <x:c r="AC384" s="165" t="str">
        <x:v>公式Specificationの範囲＋ユーザー作成コーパスの論点を参考に独自作成</x:v>
      </x:c>
      <x:c r="AD384" s="171" t="str">
        <x:v>未レビュー</x:v>
      </x:c>
      <x:c r="AE384" s="171"/>
      <x:c r="AF384" s="171"/>
      <x:c r="AG384" s="312"/>
    </x:row>
    <x:row r="385" ht="84" customHeight="1">
      <x:c r="A385" s="311" t="str">
        <x:v>LO2-084</x:v>
      </x:c>
      <x:c r="B385" s="171" t="str">
        <x:v>LO2</x:v>
      </x:c>
      <x:c r="C385" s="165" t="str">
        <x:v>世界の主要な非発泡性ワイン</x:v>
      </x:c>
      <x:c r="D385" s="165" t="str">
        <x:v>カンプタール</x:v>
      </x:c>
      <x:c r="E385" s="165" t="str">
        <x:v>カンプタールの高品質グリューナー・ヴェルトリーナーとリースリングが熟度と酸を両立しやすい主な理由はどれか。</x:v>
      </x:c>
      <x:c r="F385" s="165" t="str">
        <x:v>熱帯の高湿度が一年中続くため</x:v>
      </x:c>
      <x:c r="G385" s="165" t="str">
        <x:v>海抜ゼロの平地だけで栽培するため</x:v>
      </x:c>
      <x:c r="H385" s="165" t="str">
        <x:v>早期酒精強化で発酵を止めるため</x:v>
      </x:c>
      <x:c r="I385" s="165" t="str">
        <x:v>暖かい日中と北西からの冷たい夜風による大きな日較差</x:v>
      </x:c>
      <x:c r="J385" s="171" t="str">
        <x:v>D</x:v>
      </x:c>
      <x:c r="K385" s="165" t="str">
        <x:v>暖かい日中と北西からの冷たい夜風による大きな日較差</x:v>
      </x:c>
      <x:c r="L385" s="165" t="str">
        <x:v>パンノニア平原からの暖気が成熟を促し、ヴァルトフィアテルからの冷気が夜間に酸と香りを保持する。</x:v>
      </x:c>
      <x:c r="M385" s="165" t="str">
        <x:v>誤り。 カンプタールは大陸性の影響を受け、熱帯ではない。</x:v>
      </x:c>
      <x:c r="N385" s="165" t="str">
        <x:v>誤り。 段丘や斜面の優良畑も重要である。</x:v>
      </x:c>
      <x:c r="O385" s="165" t="str">
        <x:v>誤り。 主なワインは辛口の非発泡性白である。</x:v>
      </x:c>
      <x:c r="P385" s="165" t="str">
        <x:v>正しい。 パンノニア平原からの暖気が成熟を促し、ヴァルトフィアテルからの冷気が夜間に酸と香りを保持する。</x:v>
      </x:c>
      <x:c r="Q385" s="165" t="str">
        <x:v>自然要因</x:v>
      </x:c>
      <x:c r="R385" s="165" t="str">
        <x:v>オーストリア</x:v>
      </x:c>
      <x:c r="S385" s="165" t="str">
        <x:v>白ワイン</x:v>
      </x:c>
      <x:c r="T385" s="165" t="str">
        <x:v>オーストリア</x:v>
      </x:c>
      <x:c r="U385" s="165" t="str">
        <x:v>カンプタール</x:v>
      </x:c>
      <x:c r="V385" s="165" t="str">
        <x:v>グリューナー・ヴェルトリーナー、リースリング</x:v>
      </x:c>
      <x:c r="W385" s="165" t="str">
        <x:v>因果説明</x:v>
      </x:c>
      <x:c r="X385" s="171" t="str">
        <x:v>D3</x:v>
      </x:c>
      <x:c r="Y385" s="165" t="str">
        <x:v>カンプタールは熱帯; 酒精強化白</x:v>
      </x:c>
      <x:c r="Z385" s="171" t="str">
        <x:v>N</x:v>
      </x:c>
      <x:c r="AA385" s="165"/>
      <x:c r="AB385" s="165" t="str">
        <x:v>オリジナル</x:v>
      </x:c>
      <x:c r="AC385" s="165" t="str">
        <x:v>公式Specificationの範囲＋ユーザー作成コーパスの論点を参考に独自作成</x:v>
      </x:c>
      <x:c r="AD385" s="171" t="str">
        <x:v>未レビュー</x:v>
      </x:c>
      <x:c r="AE385" s="171"/>
      <x:c r="AF385" s="171"/>
      <x:c r="AG385" s="312"/>
    </x:row>
    <x:row r="386" ht="84" customHeight="1">
      <x:c r="A386" s="311" t="str">
        <x:v>LO2-085</x:v>
      </x:c>
      <x:c r="B386" s="171" t="str">
        <x:v>LO2</x:v>
      </x:c>
      <x:c r="C386" s="165" t="str">
        <x:v>世界の主要な非発泡性ワイン</x:v>
      </x:c>
      <x:c r="D386" s="165" t="str">
        <x:v>クレムスタール</x:v>
      </x:c>
      <x:c r="E386" s="165" t="str">
        <x:v>クレムスタールの典型的な高品質白ワインを最もよく説明しているものはどれか。</x:v>
      </x:c>
      <x:c r="F386" s="165" t="str">
        <x:v>グリューナー・ヴェルトリーナーまたはリースリングから造る、熟した果実と高い酸を持つ辛口</x:v>
      </x:c>
      <x:c r="G386" s="165" t="str">
        <x:v>ネッビオーロ主体の高タンニン赤</x:v>
      </x:c>
      <x:c r="H386" s="165" t="str">
        <x:v>グレーラ主体の軽い発泡性</x:v>
      </x:c>
      <x:c r="I386" s="165" t="str">
        <x:v>パロミノ主体の酸化熟成酒精強化ワイン</x:v>
      </x:c>
      <x:c r="J386" s="171" t="str">
        <x:v>A</x:v>
      </x:c>
      <x:c r="K386" s="165" t="str">
        <x:v>グリューナー・ヴェルトリーナーまたはリースリングから造る、熟した果実と高い酸を持つ辛口</x:v>
      </x:c>
      <x:c r="L386" s="165" t="str">
        <x:v>ドナウ川沿いの段丘とレス土壌、暖かい日中と冷涼な夜により、力強さと鮮度を両立する。</x:v>
      </x:c>
      <x:c r="M386" s="165" t="str">
        <x:v>正しい。 ドナウ川沿いの段丘とレス土壌、暖かい日中と冷涼な夜により、力強さと鮮度を両立する。</x:v>
      </x:c>
      <x:c r="N386" s="165" t="str">
        <x:v>誤り。 これはピエモンテの特徴である。</x:v>
      </x:c>
      <x:c r="O386" s="165" t="str">
        <x:v>誤り。 これはプロセッコの特徴である。</x:v>
      </x:c>
      <x:c r="P386" s="165" t="str">
        <x:v>誤り。 これはオロロソなどのシェリーに近い。</x:v>
      </x:c>
      <x:c r="Q386" s="165" t="str">
        <x:v>産地</x:v>
      </x:c>
      <x:c r="R386" s="165" t="str">
        <x:v>オーストリア</x:v>
      </x:c>
      <x:c r="S386" s="165" t="str">
        <x:v>白ワイン</x:v>
      </x:c>
      <x:c r="T386" s="165" t="str">
        <x:v>オーストリア</x:v>
      </x:c>
      <x:c r="U386" s="165" t="str">
        <x:v>クレムスタール</x:v>
      </x:c>
      <x:c r="V386" s="165" t="str">
        <x:v>グリューナー・ヴェルトリーナー、リースリング</x:v>
      </x:c>
      <x:c r="W386" s="165" t="str">
        <x:v>知識確認</x:v>
      </x:c>
      <x:c r="X386" s="171" t="str">
        <x:v>D2</x:v>
      </x:c>
      <x:c r="Y386" s="165" t="str">
        <x:v>クレムスタールはネッビオーロ; 発泡性のみ</x:v>
      </x:c>
      <x:c r="Z386" s="171" t="str">
        <x:v>N</x:v>
      </x:c>
      <x:c r="AA386" s="165"/>
      <x:c r="AB386" s="165" t="str">
        <x:v>オリジナル</x:v>
      </x:c>
      <x:c r="AC386" s="165" t="str">
        <x:v>公式Specificationの範囲＋ユーザー作成コーパスの論点を参考に独自作成</x:v>
      </x:c>
      <x:c r="AD386" s="171" t="str">
        <x:v>未レビュー</x:v>
      </x:c>
      <x:c r="AE386" s="171"/>
      <x:c r="AF386" s="171"/>
      <x:c r="AG386" s="312"/>
    </x:row>
    <x:row r="387" ht="84" customHeight="1">
      <x:c r="A387" s="311" t="str">
        <x:v>LO2-086</x:v>
      </x:c>
      <x:c r="B387" s="171" t="str">
        <x:v>LO2</x:v>
      </x:c>
      <x:c r="C387" s="165" t="str">
        <x:v>世界の主要な非発泡性ワイン</x:v>
      </x:c>
      <x:c r="D387" s="165" t="str">
        <x:v>ノイジードラーゼーの甘口</x:v>
      </x:c>
      <x:c r="E387" s="165" t="str">
        <x:v>ノイジードラーゼー周辺で貴腐甘口ワインが造られやすい主な理由はどれか。</x:v>
      </x:c>
      <x:c r="F387" s="165" t="str">
        <x:v>一年中乾燥し、湿度が全くないため</x:v>
      </x:c>
      <x:c r="G387" s="165" t="str">
        <x:v>浅い湖と湿地が秋の朝に湿度を与え、暖かく乾燥した午後が果実を濃縮するため</x:v>
      </x:c>
      <x:c r="H387" s="165" t="str">
        <x:v>高山の永久凍土で果実を凍結するため</x:v>
      </x:c>
      <x:c r="I387" s="165" t="str">
        <x:v>黒ブドウを長期マセレーションするため</x:v>
      </x:c>
      <x:c r="J387" s="171" t="str">
        <x:v>B</x:v>
      </x:c>
      <x:c r="K387" s="165" t="str">
        <x:v>浅い湖と湿地が秋の朝に湿度を与え、暖かく乾燥した午後が果実を濃縮するため</x:v>
      </x:c>
      <x:c r="L387" s="165" t="str">
        <x:v>湖による霧がボトリティスの発生を促し、その後の乾燥した条件が水分蒸発と糖の濃縮を助ける。</x:v>
      </x:c>
      <x:c r="M387" s="165" t="str">
        <x:v>誤り。 貴腐の発生には適度な湿度が必要である。</x:v>
      </x:c>
      <x:c r="N387" s="165" t="str">
        <x:v>正しい。 湖による霧がボトリティスの発生を促し、その後の乾燥した条件が水分蒸発と糖の濃縮を助ける。</x:v>
      </x:c>
      <x:c r="O387" s="165" t="str">
        <x:v>誤り。 主要因は湖周辺の貴腐条件で、永久凍土ではない。</x:v>
      </x:c>
      <x:c r="P387" s="165" t="str">
        <x:v>誤り。 甘口白はヴェルシュリースリングなど白品種から造られる。</x:v>
      </x:c>
      <x:c r="Q387" s="165" t="str">
        <x:v>自然要因</x:v>
      </x:c>
      <x:c r="R387" s="165" t="str">
        <x:v>ブルゲンラント</x:v>
      </x:c>
      <x:c r="S387" s="165" t="str">
        <x:v>甘口白ワイン</x:v>
      </x:c>
      <x:c r="T387" s="165" t="str">
        <x:v>オーストリア</x:v>
      </x:c>
      <x:c r="U387" s="165" t="str">
        <x:v>ノイジードラーゼー</x:v>
      </x:c>
      <x:c r="V387" s="165" t="str">
        <x:v>ヴェルシュリースリングほか</x:v>
      </x:c>
      <x:c r="W387" s="165" t="str">
        <x:v>因果説明</x:v>
      </x:c>
      <x:c r="X387" s="171" t="str">
        <x:v>D2</x:v>
      </x:c>
      <x:c r="Y387" s="165" t="str">
        <x:v>貴腐に湿度不要; 永久凍土</x:v>
      </x:c>
      <x:c r="Z387" s="171" t="str">
        <x:v>N</x:v>
      </x:c>
      <x:c r="AA387" s="165"/>
      <x:c r="AB387" s="165" t="str">
        <x:v>オリジナル</x:v>
      </x:c>
      <x:c r="AC387" s="165" t="str">
        <x:v>公式Specificationの範囲＋ユーザー作成コーパスの論点を参考に独自作成</x:v>
      </x:c>
      <x:c r="AD387" s="171" t="str">
        <x:v>未レビュー</x:v>
      </x:c>
      <x:c r="AE387" s="171"/>
      <x:c r="AF387" s="171"/>
      <x:c r="AG387" s="312"/>
    </x:row>
    <x:row r="388" ht="84" customHeight="1">
      <x:c r="A388" s="311" t="str">
        <x:v>LO2-087</x:v>
      </x:c>
      <x:c r="B388" s="171" t="str">
        <x:v>LO2</x:v>
      </x:c>
      <x:c r="C388" s="165" t="str">
        <x:v>世界の主要な非発泡性ワイン</x:v>
      </x:c>
      <x:c r="D388" s="165" t="str">
        <x:v>バルバレスコ</x:v>
      </x:c>
      <x:c r="E388" s="165" t="str">
        <x:v>バルバレスコがバローロより比較的早く飲み頃になりやすい主な理由はどれか。</x:v>
      </x:c>
      <x:c r="F388" s="165" t="str">
        <x:v>主要品種が低タンニンのガメイだから</x:v>
      </x:c>
      <x:c r="G388" s="165" t="str">
        <x:v>すべてのワインに残糖を残すから</x:v>
      </x:c>
      <x:c r="H388" s="165" t="str">
        <x:v>標高がやや低く温暖な畑が多く、ネッビオーロが早めに成熟し、タンニンがやや穏やかになりやすい</x:v>
      </x:c>
      <x:c r="I388" s="165" t="str">
        <x:v>瓶内二次発酵を行うから</x:v>
      </x:c>
      <x:c r="J388" s="171" t="str">
        <x:v>C</x:v>
      </x:c>
      <x:c r="K388" s="165" t="str">
        <x:v>標高がやや低く温暖な畑が多く、ネッビオーロが早めに成熟し、タンニンがやや穏やかになりやすい</x:v>
      </x:c>
      <x:c r="L388" s="165" t="str">
        <x:v>同じネッビオーロでも、温和なメソ気候と一般に短い熟成規定により、香り高く比較的早く開くスタイルになる。</x:v>
      </x:c>
      <x:c r="M388" s="165" t="str">
        <x:v>誤り。 主要品種はバローロと同じネッビオーロである。</x:v>
      </x:c>
      <x:c r="N388" s="165" t="str">
        <x:v>誤り。 通常は辛口赤である。</x:v>
      </x:c>
      <x:c r="O388" s="165" t="str">
        <x:v>正しい。 同じネッビオーロでも、温和なメソ気候と一般に短い熟成規定により、香り高く比較的早く開くスタイルになる。</x:v>
      </x:c>
      <x:c r="P388" s="165" t="str">
        <x:v>誤り。 非発泡性赤であり、熟成差は発泡工程によらない。</x:v>
      </x:c>
      <x:c r="Q388" s="165" t="str">
        <x:v>自然要因</x:v>
      </x:c>
      <x:c r="R388" s="165" t="str">
        <x:v>ピエモンテ</x:v>
      </x:c>
      <x:c r="S388" s="165" t="str">
        <x:v>赤ワイン</x:v>
      </x:c>
      <x:c r="T388" s="165" t="str">
        <x:v>イタリア</x:v>
      </x:c>
      <x:c r="U388" s="165" t="str">
        <x:v>バルバレスコ</x:v>
      </x:c>
      <x:c r="V388" s="165" t="str">
        <x:v>ネッビオーロ</x:v>
      </x:c>
      <x:c r="W388" s="165" t="str">
        <x:v>比較</x:v>
      </x:c>
      <x:c r="X388" s="171" t="str">
        <x:v>D3</x:v>
      </x:c>
      <x:c r="Y388" s="165" t="str">
        <x:v>バルバレスコはガメイ; 甘口赤</x:v>
      </x:c>
      <x:c r="Z388" s="171" t="str">
        <x:v>N</x:v>
      </x:c>
      <x:c r="AA388" s="165"/>
      <x:c r="AB388" s="165" t="str">
        <x:v>オリジナル</x:v>
      </x:c>
      <x:c r="AC388" s="165" t="str">
        <x:v>公式Specificationの範囲＋ユーザー作成コーパスの論点を参考に独自作成</x:v>
      </x:c>
      <x:c r="AD388" s="171" t="str">
        <x:v>未レビュー</x:v>
      </x:c>
      <x:c r="AE388" s="171"/>
      <x:c r="AF388" s="171"/>
      <x:c r="AG388" s="312"/>
    </x:row>
    <x:row r="389" ht="84" customHeight="1">
      <x:c r="A389" s="311" t="str">
        <x:v>LO2-088</x:v>
      </x:c>
      <x:c r="B389" s="171" t="str">
        <x:v>LO2</x:v>
      </x:c>
      <x:c r="C389" s="165" t="str">
        <x:v>世界の主要な非発泡性ワイン</x:v>
      </x:c>
      <x:c r="D389" s="165" t="str">
        <x:v>ブルネッロ・ディ・モンタルチーノ</x:v>
      </x:c>
      <x:c r="E389" s="165" t="str">
        <x:v>ブルネッロ・ディ・モンタルチーノが力強く長期熟成可能になりやすい主な理由はどれか。</x:v>
      </x:c>
      <x:c r="F389" s="165" t="str">
        <x:v>コルテーゼを早摘みして軽い白にするため</x:v>
      </x:c>
      <x:c r="G389" s="165" t="str">
        <x:v>発酵途中で酒精強化するため</x:v>
      </x:c>
      <x:c r="H389" s="165" t="str">
        <x:v>冷涼な霧だけで成熟を防ぐため</x:v>
      </x:c>
      <x:c r="I389" s="165" t="str">
        <x:v>温暖で乾燥した丘陵地でサンジョヴェーゼが十分に成熟し、高い酸とタンニンを保つため</x:v>
      </x:c>
      <x:c r="J389" s="171" t="str">
        <x:v>D</x:v>
      </x:c>
      <x:c r="K389" s="165" t="str">
        <x:v>温暖で乾燥した丘陵地でサンジョヴェーゼが十分に成熟し、高い酸とタンニンを保つため</x:v>
      </x:c>
      <x:c r="L389" s="165" t="str">
        <x:v>海からの風で病害が抑えられ、熟したチェリー、ハーブ、高い構造を持つサンジョヴェーゼを得やすい。</x:v>
      </x:c>
      <x:c r="M389" s="165" t="str">
        <x:v>誤り。 主要品種はサンジョヴェーゼで、赤ワインである。</x:v>
      </x:c>
      <x:c r="N389" s="165" t="str">
        <x:v>誤り。 通常の辛口非発泡性赤であり、酒精強化しない。</x:v>
      </x:c>
      <x:c r="O389" s="165" t="str">
        <x:v>誤り。 十分な日照と温暖さが成熟を支える。</x:v>
      </x:c>
      <x:c r="P389" s="165" t="str">
        <x:v>正しい。 海からの風で病害が抑えられ、熟したチェリー、ハーブ、高い構造を持つサンジョヴェーゼを得やすい。</x:v>
      </x:c>
      <x:c r="Q389" s="165" t="str">
        <x:v>自然要因</x:v>
      </x:c>
      <x:c r="R389" s="165" t="str">
        <x:v>トスカーナ</x:v>
      </x:c>
      <x:c r="S389" s="165" t="str">
        <x:v>赤ワイン</x:v>
      </x:c>
      <x:c r="T389" s="165" t="str">
        <x:v>イタリア</x:v>
      </x:c>
      <x:c r="U389" s="165" t="str">
        <x:v>ブルネッロ・ディ・モンタルチーノ</x:v>
      </x:c>
      <x:c r="V389" s="165" t="str">
        <x:v>サンジョヴェーゼ</x:v>
      </x:c>
      <x:c r="W389" s="165" t="str">
        <x:v>統合判断</x:v>
      </x:c>
      <x:c r="X389" s="171" t="str">
        <x:v>D3</x:v>
      </x:c>
      <x:c r="Y389" s="165" t="str">
        <x:v>ブルネッロは白; 酒精強化</x:v>
      </x:c>
      <x:c r="Z389" s="171" t="str">
        <x:v>N</x:v>
      </x:c>
      <x:c r="AA389" s="165"/>
      <x:c r="AB389" s="165" t="str">
        <x:v>オリジナル</x:v>
      </x:c>
      <x:c r="AC389" s="165" t="str">
        <x:v>公式Specificationの範囲＋ユーザー作成コーパスの論点を参考に独自作成</x:v>
      </x:c>
      <x:c r="AD389" s="171" t="str">
        <x:v>未レビュー</x:v>
      </x:c>
      <x:c r="AE389" s="171"/>
      <x:c r="AF389" s="171"/>
      <x:c r="AG389" s="312"/>
    </x:row>
    <x:row r="390" ht="84" customHeight="1">
      <x:c r="A390" s="311" t="str">
        <x:v>LO2-089</x:v>
      </x:c>
      <x:c r="B390" s="171" t="str">
        <x:v>LO2</x:v>
      </x:c>
      <x:c r="C390" s="165" t="str">
        <x:v>世界の主要な非発泡性ワイン</x:v>
      </x:c>
      <x:c r="D390" s="165" t="str">
        <x:v>ヴィーノ・ノービレ・ディ・モンテプルチアーノ</x:v>
      </x:c>
      <x:c r="E390" s="165" t="str">
        <x:v>ヴィーノ・ノービレ・ディ・モンテプルチアーノの主要品種はどれか。</x:v>
      </x:c>
      <x:c r="F390" s="165" t="str">
        <x:v>サンジョヴェーゼ（地域名プルニョーロ・ジェンティーレ）</x:v>
      </x:c>
      <x:c r="G390" s="165" t="str">
        <x:v>モンテプルチアーノ種のみ</x:v>
      </x:c>
      <x:c r="H390" s="165" t="str">
        <x:v>ネッビオーロ</x:v>
      </x:c>
      <x:c r="I390" s="165" t="str">
        <x:v>コルヴィーナ</x:v>
      </x:c>
      <x:c r="J390" s="171" t="str">
        <x:v>A</x:v>
      </x:c>
      <x:c r="K390" s="165" t="str">
        <x:v>サンジョヴェーゼ（地域名プルニョーロ・ジェンティーレ）</x:v>
      </x:c>
      <x:c r="L390" s="165" t="str">
        <x:v>トスカーナのモンテプルチアーノの町周辺で、サンジョヴェーゼを主体に赤ワインが造られる。</x:v>
      </x:c>
      <x:c r="M390" s="165" t="str">
        <x:v>正しい。 トスカーナのモンテプルチアーノの町周辺で、サンジョヴェーゼを主体に赤ワインが造られる。</x:v>
      </x:c>
      <x:c r="N390" s="165" t="str">
        <x:v>誤り。 産地名と品種名が混同されやすいが、主要品種はサンジョヴェーゼである。</x:v>
      </x:c>
      <x:c r="O390" s="165" t="str">
        <x:v>誤り。 ネッビオーロはピエモンテのバローロやバルバレスコの主要品種である。</x:v>
      </x:c>
      <x:c r="P390" s="165" t="str">
        <x:v>誤り。 コルヴィーナはヴァルポリチェッラの主要品種である。</x:v>
      </x:c>
      <x:c r="Q390" s="165" t="str">
        <x:v>品種</x:v>
      </x:c>
      <x:c r="R390" s="165" t="str">
        <x:v>トスカーナ</x:v>
      </x:c>
      <x:c r="S390" s="165" t="str">
        <x:v>赤ワイン</x:v>
      </x:c>
      <x:c r="T390" s="165" t="str">
        <x:v>イタリア</x:v>
      </x:c>
      <x:c r="U390" s="165" t="str">
        <x:v>ヴィーノ・ノービレ・ディ・モンテプルチアーノ</x:v>
      </x:c>
      <x:c r="V390" s="165" t="str">
        <x:v>サンジョヴェーゼ</x:v>
      </x:c>
      <x:c r="W390" s="165" t="str">
        <x:v>知識確認</x:v>
      </x:c>
      <x:c r="X390" s="171" t="str">
        <x:v>D1</x:v>
      </x:c>
      <x:c r="Y390" s="165" t="str">
        <x:v>産地名モンテプルチアーノと品種混同</x:v>
      </x:c>
      <x:c r="Z390" s="171" t="str">
        <x:v>N</x:v>
      </x:c>
      <x:c r="AA390" s="165"/>
      <x:c r="AB390" s="165" t="str">
        <x:v>オリジナル</x:v>
      </x:c>
      <x:c r="AC390" s="165" t="str">
        <x:v>公式Specificationの範囲＋ユーザー作成コーパスの論点を参考に独自作成</x:v>
      </x:c>
      <x:c r="AD390" s="171" t="str">
        <x:v>未レビュー</x:v>
      </x:c>
      <x:c r="AE390" s="171"/>
      <x:c r="AF390" s="171"/>
      <x:c r="AG390" s="312"/>
    </x:row>
    <x:row r="391" ht="84" customHeight="1">
      <x:c r="A391" s="311" t="str">
        <x:v>LO2-090</x:v>
      </x:c>
      <x:c r="B391" s="171" t="str">
        <x:v>LO2</x:v>
      </x:c>
      <x:c r="C391" s="165" t="str">
        <x:v>世界の主要な非発泡性ワイン</x:v>
      </x:c>
      <x:c r="D391" s="165" t="str">
        <x:v>ガヴィ</x:v>
      </x:c>
      <x:c r="E391" s="165" t="str">
        <x:v>ガヴィの典型的なスタイルとして最も適切なものはどれか。</x:v>
      </x:c>
      <x:c r="F391" s="165" t="str">
        <x:v>ネッビオーロから造る高タンニン赤</x:v>
      </x:c>
      <x:c r="G391" s="165" t="str">
        <x:v>コルテーゼから造る、高い酸と柑橘・青リンゴを持つ辛口白</x:v>
      </x:c>
      <x:c r="H391" s="165" t="str">
        <x:v>グルナッシュから造る高アルコール赤</x:v>
      </x:c>
      <x:c r="I391" s="165" t="str">
        <x:v>モスカートから造る甘口発泡性ワイン</x:v>
      </x:c>
      <x:c r="J391" s="171" t="str">
        <x:v>B</x:v>
      </x:c>
      <x:c r="K391" s="165" t="str">
        <x:v>コルテーゼから造る、高い酸と柑橘・青リンゴを持つ辛口白</x:v>
      </x:c>
      <x:c r="L391" s="165" t="str">
        <x:v>ピエモンテ南東部の比較的冷涼な丘陵でコルテーゼを栽培し、爽やかな酸と繊細な香りを得る。</x:v>
      </x:c>
      <x:c r="M391" s="165" t="str">
        <x:v>誤り。 これはバローロなどの特徴である。</x:v>
      </x:c>
      <x:c r="N391" s="165" t="str">
        <x:v>正しい。 ピエモンテ南東部の比較的冷涼な丘陵でコルテーゼを栽培し、爽やかな酸と繊細な香りを得る。</x:v>
      </x:c>
      <x:c r="O391" s="165" t="str">
        <x:v>誤り。 これは温暖な南部ローヌなどに近い。</x:v>
      </x:c>
      <x:c r="P391" s="165" t="str">
        <x:v>誤り。 これはアスティに近い。</x:v>
      </x:c>
      <x:c r="Q391" s="165" t="str">
        <x:v>産地</x:v>
      </x:c>
      <x:c r="R391" s="165" t="str">
        <x:v>ピエモンテ</x:v>
      </x:c>
      <x:c r="S391" s="165" t="str">
        <x:v>白ワイン</x:v>
      </x:c>
      <x:c r="T391" s="165" t="str">
        <x:v>イタリア</x:v>
      </x:c>
      <x:c r="U391" s="165" t="str">
        <x:v>ガヴィ</x:v>
      </x:c>
      <x:c r="V391" s="165" t="str">
        <x:v>コルテーゼ</x:v>
      </x:c>
      <x:c r="W391" s="165" t="str">
        <x:v>知識確認</x:v>
      </x:c>
      <x:c r="X391" s="171" t="str">
        <x:v>D1</x:v>
      </x:c>
      <x:c r="Y391" s="165" t="str">
        <x:v>ガヴィはネッビオーロ; ガヴィはモスカート</x:v>
      </x:c>
      <x:c r="Z391" s="171" t="str">
        <x:v>N</x:v>
      </x:c>
      <x:c r="AA391" s="165"/>
      <x:c r="AB391" s="165" t="str">
        <x:v>オリジナル</x:v>
      </x:c>
      <x:c r="AC391" s="165" t="str">
        <x:v>公式Specificationの範囲＋ユーザー作成コーパスの論点を参考に独自作成</x:v>
      </x:c>
      <x:c r="AD391" s="171" t="str">
        <x:v>未レビュー</x:v>
      </x:c>
      <x:c r="AE391" s="171"/>
      <x:c r="AF391" s="171"/>
      <x:c r="AG391" s="312"/>
    </x:row>
    <x:row r="392" ht="84" customHeight="1">
      <x:c r="A392" s="311" t="str">
        <x:v>LO2-091</x:v>
      </x:c>
      <x:c r="B392" s="171" t="str">
        <x:v>LO2</x:v>
      </x:c>
      <x:c r="C392" s="165" t="str">
        <x:v>世界の主要な非発泡性ワイン</x:v>
      </x:c>
      <x:c r="D392" s="165" t="str">
        <x:v>ヴェルディッキオ</x:v>
      </x:c>
      <x:c r="E392" s="165" t="str">
        <x:v>ヴェルディッキオの品質を支える典型的な構造はどれか。</x:v>
      </x:c>
      <x:c r="F392" s="165" t="str">
        <x:v>低酸で、必ず甘く高アルコール</x:v>
      </x:c>
      <x:c r="G392" s="165" t="str">
        <x:v>黒ブドウから造る濃厚な赤</x:v>
      </x:c>
      <x:c r="H392" s="165" t="str">
        <x:v>高い酸と十分な果実濃度があり、若いうちは柑橘、熟成するとナッツや蜂蜜の複雑性を持つ</x:v>
      </x:c>
      <x:c r="I392" s="165" t="str">
        <x:v>フロール下で生物学的熟成する</x:v>
      </x:c>
      <x:c r="J392" s="171" t="str">
        <x:v>C</x:v>
      </x:c>
      <x:c r="K392" s="165" t="str">
        <x:v>高い酸と十分な果実濃度があり、若いうちは柑橘、熟成するとナッツや蜂蜜の複雑性を持つ</x:v>
      </x:c>
      <x:c r="L392" s="165" t="str">
        <x:v>マルケの丘陵で育つヴェルディッキオは酸を保持し、レモン、フェンネル、アーモンドの風味と熟成力を持つ。</x:v>
      </x:c>
      <x:c r="M392" s="165" t="str">
        <x:v>誤り。 典型的なヴェルディッキオは辛口で高い酸を持つ。</x:v>
      </x:c>
      <x:c r="N392" s="165" t="str">
        <x:v>誤り。 ヴェルディッキオは白品種である。</x:v>
      </x:c>
      <x:c r="O392" s="165" t="str">
        <x:v>正しい。 マルケの丘陵で育つヴェルディッキオは酸を保持し、レモン、フェンネル、アーモンドの風味と熟成力を持つ。</x:v>
      </x:c>
      <x:c r="P392" s="165" t="str">
        <x:v>誤り。 シェリーの製法ではない。</x:v>
      </x:c>
      <x:c r="Q392" s="165" t="str">
        <x:v>スタイル</x:v>
      </x:c>
      <x:c r="R392" s="165" t="str">
        <x:v>マルケ</x:v>
      </x:c>
      <x:c r="S392" s="165" t="str">
        <x:v>白ワイン</x:v>
      </x:c>
      <x:c r="T392" s="165" t="str">
        <x:v>イタリア</x:v>
      </x:c>
      <x:c r="U392" s="165" t="str">
        <x:v>ヴェルディッキオ・デイ・カステッリ・ディ・イエージ</x:v>
      </x:c>
      <x:c r="V392" s="165" t="str">
        <x:v>ヴェルディッキオ</x:v>
      </x:c>
      <x:c r="W392" s="165" t="str">
        <x:v>統合判断</x:v>
      </x:c>
      <x:c r="X392" s="171" t="str">
        <x:v>D2</x:v>
      </x:c>
      <x:c r="Y392" s="165" t="str">
        <x:v>ヴェルディッキオは低酸; 黒ブドウ</x:v>
      </x:c>
      <x:c r="Z392" s="171" t="str">
        <x:v>N</x:v>
      </x:c>
      <x:c r="AA392" s="165"/>
      <x:c r="AB392" s="165" t="str">
        <x:v>オリジナル</x:v>
      </x:c>
      <x:c r="AC392" s="165" t="str">
        <x:v>公式Specificationの範囲＋ユーザー作成コーパスの論点を参考に独自作成</x:v>
      </x:c>
      <x:c r="AD392" s="171" t="str">
        <x:v>未レビュー</x:v>
      </x:c>
      <x:c r="AE392" s="171"/>
      <x:c r="AF392" s="171"/>
      <x:c r="AG392" s="312"/>
    </x:row>
    <x:row r="393" ht="84" customHeight="1">
      <x:c r="A393" s="311" t="str">
        <x:v>LO2-092</x:v>
      </x:c>
      <x:c r="B393" s="171" t="str">
        <x:v>LO2</x:v>
      </x:c>
      <x:c r="C393" s="165" t="str">
        <x:v>世界の主要な非発泡性ワイン</x:v>
      </x:c>
      <x:c r="D393" s="165" t="str">
        <x:v>エトナ・ロッソ</x:v>
      </x:c>
      <x:c r="E393" s="165" t="str">
        <x:v>エトナ・ロッソがシチリアの低地産赤より高い酸と淡い色を持ちやすい主な理由はどれか。</x:v>
      </x:c>
      <x:c r="F393" s="165" t="str">
        <x:v>海面下の熱帯低地でシラーを栽培するため</x:v>
      </x:c>
      <x:c r="G393" s="165" t="str">
        <x:v>発酵を途中で止めて甘口にするため</x:v>
      </x:c>
      <x:c r="H393" s="165" t="str">
        <x:v>白品種グレーラをタンク方式で発泡させるため</x:v>
      </x:c>
      <x:c r="I393" s="165" t="str">
        <x:v>高標高の火山斜面でネレッロ・マスカレーゼを栽培するため</x:v>
      </x:c>
      <x:c r="J393" s="171" t="str">
        <x:v>D</x:v>
      </x:c>
      <x:c r="K393" s="165" t="str">
        <x:v>高標高の火山斜面でネレッロ・マスカレーゼを栽培するため</x:v>
      </x:c>
      <x:c r="L393" s="165" t="str">
        <x:v>標高による冷涼な夜が酸を保持し、果皮色素が比較的少ない品種から、香り高く引き締まった赤が造られる。</x:v>
      </x:c>
      <x:c r="M393" s="165" t="str">
        <x:v>誤り。 エトナは高標高の火山斜面である。</x:v>
      </x:c>
      <x:c r="N393" s="165" t="str">
        <x:v>誤り。 通常は辛口赤である。</x:v>
      </x:c>
      <x:c r="O393" s="165" t="str">
        <x:v>誤り。 これはプロセッコの特徴である。</x:v>
      </x:c>
      <x:c r="P393" s="165" t="str">
        <x:v>正しい。 標高による冷涼な夜が酸を保持し、果皮色素が比較的少ない品種から、香り高く引き締まった赤が造られる。</x:v>
      </x:c>
      <x:c r="Q393" s="165" t="str">
        <x:v>自然要因</x:v>
      </x:c>
      <x:c r="R393" s="165" t="str">
        <x:v>シチリア</x:v>
      </x:c>
      <x:c r="S393" s="165" t="str">
        <x:v>赤ワイン</x:v>
      </x:c>
      <x:c r="T393" s="165" t="str">
        <x:v>イタリア</x:v>
      </x:c>
      <x:c r="U393" s="165" t="str">
        <x:v>エトナ</x:v>
      </x:c>
      <x:c r="V393" s="165" t="str">
        <x:v>ネレッロ・マスカレーゼ</x:v>
      </x:c>
      <x:c r="W393" s="165" t="str">
        <x:v>因果説明</x:v>
      </x:c>
      <x:c r="X393" s="171" t="str">
        <x:v>D3</x:v>
      </x:c>
      <x:c r="Y393" s="165" t="str">
        <x:v>エトナは低地; 発泡性グレーラ</x:v>
      </x:c>
      <x:c r="Z393" s="171" t="str">
        <x:v>N</x:v>
      </x:c>
      <x:c r="AA393" s="165"/>
      <x:c r="AB393" s="165" t="str">
        <x:v>オリジナル</x:v>
      </x:c>
      <x:c r="AC393" s="165" t="str">
        <x:v>公式Specificationの範囲＋ユーザー作成コーパスの論点を参考に独自作成</x:v>
      </x:c>
      <x:c r="AD393" s="171" t="str">
        <x:v>未レビュー</x:v>
      </x:c>
      <x:c r="AE393" s="171"/>
      <x:c r="AF393" s="171"/>
      <x:c r="AG393" s="312"/>
    </x:row>
    <x:row r="394" ht="84" customHeight="1">
      <x:c r="A394" s="311" t="str">
        <x:v>LO2-093</x:v>
      </x:c>
      <x:c r="B394" s="171" t="str">
        <x:v>LO2</x:v>
      </x:c>
      <x:c r="C394" s="165" t="str">
        <x:v>世界の主要な非発泡性ワイン</x:v>
      </x:c>
      <x:c r="D394" s="165" t="str">
        <x:v>モンテプルチアーノ・ダブルッツォ</x:v>
      </x:c>
      <x:c r="E394" s="165" t="str">
        <x:v>モンテプルチアーノ・ダブルッツォの典型的なスタイルはどれか。</x:v>
      </x:c>
      <x:c r="F394" s="165" t="str">
        <x:v>深い色、熟した黒系果実、中程度以上のタンニンを持つ赤ワイン</x:v>
      </x:c>
      <x:c r="G394" s="165" t="str">
        <x:v>コルテーゼから造る淡い高酸白</x:v>
      </x:c>
      <x:c r="H394" s="165" t="str">
        <x:v>ネッビオーロから造る淡色高タンニン赤</x:v>
      </x:c>
      <x:c r="I394" s="165" t="str">
        <x:v>グレーラから造る発泡性白</x:v>
      </x:c>
      <x:c r="J394" s="171" t="str">
        <x:v>A</x:v>
      </x:c>
      <x:c r="K394" s="165" t="str">
        <x:v>深い色、熟した黒系果実、中程度以上のタンニンを持つ赤ワイン</x:v>
      </x:c>
      <x:c r="L394" s="165" t="str">
        <x:v>アドリア海と山地の影響を受けるアブルッツォで、モンテプルチアーノ種が十分に成熟し、果実味豊かな赤になる。</x:v>
      </x:c>
      <x:c r="M394" s="165" t="str">
        <x:v>正しい。 アドリア海と山地の影響を受けるアブルッツォで、モンテプルチアーノ種が十分に成熟し、果実味豊かな赤になる。</x:v>
      </x:c>
      <x:c r="N394" s="165" t="str">
        <x:v>誤り。 これはガヴィの特徴である。</x:v>
      </x:c>
      <x:c r="O394" s="165" t="str">
        <x:v>誤り。 主要品種はモンテプルチアーノである。</x:v>
      </x:c>
      <x:c r="P394" s="165" t="str">
        <x:v>誤り。 これはプロセッコの特徴である。</x:v>
      </x:c>
      <x:c r="Q394" s="165" t="str">
        <x:v>産地</x:v>
      </x:c>
      <x:c r="R394" s="165" t="str">
        <x:v>アブルッツォ</x:v>
      </x:c>
      <x:c r="S394" s="165" t="str">
        <x:v>赤ワイン</x:v>
      </x:c>
      <x:c r="T394" s="165" t="str">
        <x:v>イタリア</x:v>
      </x:c>
      <x:c r="U394" s="165" t="str">
        <x:v>モンテプルチアーノ・ダブルッツォ</x:v>
      </x:c>
      <x:c r="V394" s="165" t="str">
        <x:v>モンテプルチアーノ</x:v>
      </x:c>
      <x:c r="W394" s="165" t="str">
        <x:v>知識確認</x:v>
      </x:c>
      <x:c r="X394" s="171" t="str">
        <x:v>D1</x:v>
      </x:c>
      <x:c r="Y394" s="165" t="str">
        <x:v>モンテプルチアーノ産地と品種混同; 白ワイン</x:v>
      </x:c>
      <x:c r="Z394" s="171" t="str">
        <x:v>N</x:v>
      </x:c>
      <x:c r="AA394" s="165"/>
      <x:c r="AB394" s="165" t="str">
        <x:v>オリジナル</x:v>
      </x:c>
      <x:c r="AC394" s="165" t="str">
        <x:v>公式Specificationの範囲＋ユーザー作成コーパスの論点を参考に独自作成</x:v>
      </x:c>
      <x:c r="AD394" s="171" t="str">
        <x:v>未レビュー</x:v>
      </x:c>
      <x:c r="AE394" s="171"/>
      <x:c r="AF394" s="171"/>
      <x:c r="AG394" s="312"/>
    </x:row>
    <x:row r="395" ht="84" customHeight="1">
      <x:c r="A395" s="311" t="str">
        <x:v>LO2-094</x:v>
      </x:c>
      <x:c r="B395" s="171" t="str">
        <x:v>LO2</x:v>
      </x:c>
      <x:c r="C395" s="165" t="str">
        <x:v>世界の主要な非発泡性ワイン</x:v>
      </x:c>
      <x:c r="D395" s="165" t="str">
        <x:v>アルト・アディジェ</x:v>
      </x:c>
      <x:c r="E395" s="165" t="str">
        <x:v>アルト・アディジェのピノ・グリージョがヴェネトの高収量スタイルより香りと酸を持ちやすい主な理由はどれか。</x:v>
      </x:c>
      <x:c r="F395" s="165" t="str">
        <x:v>常に熱帯の平地で栽培するため</x:v>
      </x:c>
      <x:c r="G395" s="165" t="str">
        <x:v>高標高の斜面と冷涼な夜が成熟を遅らせ、低収量で栽培されることが多い</x:v>
      </x:c>
      <x:c r="H395" s="165" t="str">
        <x:v>果汁を大量の水で希釈するため</x:v>
      </x:c>
      <x:c r="I395" s="165" t="str">
        <x:v>フロール熟成を行うため</x:v>
      </x:c>
      <x:c r="J395" s="171" t="str">
        <x:v>B</x:v>
      </x:c>
      <x:c r="K395" s="165" t="str">
        <x:v>高標高の斜面と冷涼な夜が成熟を遅らせ、低収量で栽培されることが多い</x:v>
      </x:c>
      <x:c r="L395" s="165" t="str">
        <x:v>アルプスの谷と斜面は日照を確保しつつ夜間に冷却され、より凝縮した果実と爽やかな酸を生む。</x:v>
      </x:c>
      <x:c r="M395" s="165" t="str">
        <x:v>誤り。 アルト・アディジェは山岳地域である。</x:v>
      </x:c>
      <x:c r="N395" s="165" t="str">
        <x:v>正しい。 アルプスの谷と斜面は日照を確保しつつ夜間に冷却され、より凝縮した果実と爽やかな酸を生む。</x:v>
      </x:c>
      <x:c r="O395" s="165" t="str">
        <x:v>誤り。 香りと酸の強さは低収量と気候による。</x:v>
      </x:c>
      <x:c r="P395" s="165" t="str">
        <x:v>誤り。 通常の白ワイン醸造で、シェリー方式ではない。</x:v>
      </x:c>
      <x:c r="Q395" s="165" t="str">
        <x:v>自然要因</x:v>
      </x:c>
      <x:c r="R395" s="165" t="str">
        <x:v>北東イタリア</x:v>
      </x:c>
      <x:c r="S395" s="165" t="str">
        <x:v>白ワイン</x:v>
      </x:c>
      <x:c r="T395" s="165" t="str">
        <x:v>イタリア</x:v>
      </x:c>
      <x:c r="U395" s="165" t="str">
        <x:v>アルト・アディジェ</x:v>
      </x:c>
      <x:c r="V395" s="165" t="str">
        <x:v>ピノ・グリージョ</x:v>
      </x:c>
      <x:c r="W395" s="165" t="str">
        <x:v>比較</x:v>
      </x:c>
      <x:c r="X395" s="171" t="str">
        <x:v>D3</x:v>
      </x:c>
      <x:c r="Y395" s="165" t="str">
        <x:v>アルトアディジェは熱帯平地; フロール熟成</x:v>
      </x:c>
      <x:c r="Z395" s="171" t="str">
        <x:v>N</x:v>
      </x:c>
      <x:c r="AA395" s="165"/>
      <x:c r="AB395" s="165" t="str">
        <x:v>オリジナル</x:v>
      </x:c>
      <x:c r="AC395" s="165" t="str">
        <x:v>公式Specificationの範囲＋ユーザー作成コーパスの論点を参考に独自作成</x:v>
      </x:c>
      <x:c r="AD395" s="171" t="str">
        <x:v>未レビュー</x:v>
      </x:c>
      <x:c r="AE395" s="171"/>
      <x:c r="AF395" s="171"/>
      <x:c r="AG395" s="312"/>
    </x:row>
    <x:row r="396" ht="84" customHeight="1">
      <x:c r="A396" s="311" t="str">
        <x:v>LO2-095</x:v>
      </x:c>
      <x:c r="B396" s="171" t="str">
        <x:v>LO2</x:v>
      </x:c>
      <x:c r="C396" s="165" t="str">
        <x:v>世界の主要な非発泡性ワイン</x:v>
      </x:c>
      <x:c r="D396" s="165" t="str">
        <x:v>プーリアのプリミティーヴォ</x:v>
      </x:c>
      <x:c r="E396" s="165" t="str">
        <x:v>プーリアのプリミティーヴォに典型的なスタイルはどれか。</x:v>
      </x:c>
      <x:c r="F396" s="165" t="str">
        <x:v>低アルコールで高酸の淡い白</x:v>
      </x:c>
      <x:c r="G396" s="165" t="str">
        <x:v>フロール下で熟成した辛口酒精強化ワイン</x:v>
      </x:c>
      <x:c r="H396" s="165" t="str">
        <x:v>熟した黒系果実、ジャムを思わせる風味、高いアルコールを持つ豊かな赤</x:v>
      </x:c>
      <x:c r="I396" s="165" t="str">
        <x:v>瓶内二次発酵の発泡性ワイン</x:v>
      </x:c>
      <x:c r="J396" s="171" t="str">
        <x:v>C</x:v>
      </x:c>
      <x:c r="K396" s="165" t="str">
        <x:v>熟した黒系果実、ジャムを思わせる風味、高いアルコールを持つ豊かな赤</x:v>
      </x:c>
      <x:c r="L396" s="165" t="str">
        <x:v>暑く乾燥した南イタリアで早熟のプリミティーヴォが高い糖度まで成熟し、濃厚なスタイルになる。</x:v>
      </x:c>
      <x:c r="M396" s="165" t="str">
        <x:v>誤り。 プリミティーヴォは黒品種で、温暖地域の豊かな赤を造る。</x:v>
      </x:c>
      <x:c r="N396" s="165" t="str">
        <x:v>誤り。 これはフィノ・シェリーの特徴である。</x:v>
      </x:c>
      <x:c r="O396" s="165" t="str">
        <x:v>正しい。 暑く乾燥した南イタリアで早熟のプリミティーヴォが高い糖度まで成熟し、濃厚なスタイルになる。</x:v>
      </x:c>
      <x:c r="P396" s="165" t="str">
        <x:v>誤り。 非発泡性赤が中心である。</x:v>
      </x:c>
      <x:c r="Q396" s="165" t="str">
        <x:v>産地</x:v>
      </x:c>
      <x:c r="R396" s="165" t="str">
        <x:v>プーリア</x:v>
      </x:c>
      <x:c r="S396" s="165" t="str">
        <x:v>赤ワイン</x:v>
      </x:c>
      <x:c r="T396" s="165" t="str">
        <x:v>イタリア</x:v>
      </x:c>
      <x:c r="U396" s="165" t="str">
        <x:v>プーリア</x:v>
      </x:c>
      <x:c r="V396" s="165" t="str">
        <x:v>プリミティーヴォ</x:v>
      </x:c>
      <x:c r="W396" s="165" t="str">
        <x:v>知識確認</x:v>
      </x:c>
      <x:c r="X396" s="171" t="str">
        <x:v>D1</x:v>
      </x:c>
      <x:c r="Y396" s="165" t="str">
        <x:v>プリミティーヴォは白; 酒精強化</x:v>
      </x:c>
      <x:c r="Z396" s="171" t="str">
        <x:v>N</x:v>
      </x:c>
      <x:c r="AA396" s="165"/>
      <x:c r="AB396" s="165" t="str">
        <x:v>オリジナル</x:v>
      </x:c>
      <x:c r="AC396" s="165" t="str">
        <x:v>公式Specificationの範囲＋ユーザー作成コーパスの論点を参考に独自作成</x:v>
      </x:c>
      <x:c r="AD396" s="171" t="str">
        <x:v>未レビュー</x:v>
      </x:c>
      <x:c r="AE396" s="171"/>
      <x:c r="AF396" s="171"/>
      <x:c r="AG396" s="312"/>
    </x:row>
    <x:row r="397" ht="84" customHeight="1">
      <x:c r="A397" s="311" t="str">
        <x:v>LO2-096</x:v>
      </x:c>
      <x:c r="B397" s="171" t="str">
        <x:v>LO2</x:v>
      </x:c>
      <x:c r="C397" s="165" t="str">
        <x:v>世界の主要な非発泡性ワイン</x:v>
      </x:c>
      <x:c r="D397" s="165" t="str">
        <x:v>ルエダ</x:v>
      </x:c>
      <x:c r="E397" s="165" t="str">
        <x:v>ルエダのヴェルデホが熟した果実と爽やかな酸を両立しやすい主な理由はどれか。</x:v>
      </x:c>
      <x:c r="F397" s="165" t="str">
        <x:v>海面下の温暖湿潤地域だから</x:v>
      </x:c>
      <x:c r="G397" s="165" t="str">
        <x:v>パロミノをフロール熟成するから</x:v>
      </x:c>
      <x:c r="H397" s="165" t="str">
        <x:v>発酵途中で酒精強化するから</x:v>
      </x:c>
      <x:c r="I397" s="165" t="str">
        <x:v>高い標高による大きな日較差が、昼の成熟と夜の酸保持を両立するため</x:v>
      </x:c>
      <x:c r="J397" s="171" t="str">
        <x:v>D</x:v>
      </x:c>
      <x:c r="K397" s="165" t="str">
        <x:v>高い標高による大きな日較差が、昼の成熟と夜の酸保持を両立するため</x:v>
      </x:c>
      <x:c r="L397" s="165" t="str">
        <x:v>大陸性気候で日中は暑いが、標高の高い台地では夜が冷え、柑橘、核果、ハーブの香りを保つ。</x:v>
      </x:c>
      <x:c r="M397" s="165" t="str">
        <x:v>誤り。 ルエダは内陸の高原である。</x:v>
      </x:c>
      <x:c r="N397" s="165" t="str">
        <x:v>誤り。 主要品種はヴェルデホで、通常の辛口白を造る。</x:v>
      </x:c>
      <x:c r="O397" s="165" t="str">
        <x:v>誤り。 非発泡性の辛口白が中心である。</x:v>
      </x:c>
      <x:c r="P397" s="165" t="str">
        <x:v>正しい。 大陸性気候で日中は暑いが、標高の高い台地では夜が冷え、柑橘、核果、ハーブの香りを保つ。</x:v>
      </x:c>
      <x:c r="Q397" s="165" t="str">
        <x:v>自然要因</x:v>
      </x:c>
      <x:c r="R397" s="165" t="str">
        <x:v>カスティーリャ・イ・レオン</x:v>
      </x:c>
      <x:c r="S397" s="165" t="str">
        <x:v>白ワイン</x:v>
      </x:c>
      <x:c r="T397" s="165" t="str">
        <x:v>スペイン</x:v>
      </x:c>
      <x:c r="U397" s="165" t="str">
        <x:v>ルエダ</x:v>
      </x:c>
      <x:c r="V397" s="165" t="str">
        <x:v>ヴェルデホ</x:v>
      </x:c>
      <x:c r="W397" s="165" t="str">
        <x:v>因果説明</x:v>
      </x:c>
      <x:c r="X397" s="171" t="str">
        <x:v>D2</x:v>
      </x:c>
      <x:c r="Y397" s="165" t="str">
        <x:v>ルエダは海面下; フロール熟成</x:v>
      </x:c>
      <x:c r="Z397" s="171" t="str">
        <x:v>N</x:v>
      </x:c>
      <x:c r="AA397" s="165"/>
      <x:c r="AB397" s="165" t="str">
        <x:v>オリジナル</x:v>
      </x:c>
      <x:c r="AC397" s="165" t="str">
        <x:v>公式Specificationの範囲＋ユーザー作成コーパスの論点を参考に独自作成</x:v>
      </x:c>
      <x:c r="AD397" s="171" t="str">
        <x:v>未レビュー</x:v>
      </x:c>
      <x:c r="AE397" s="171"/>
      <x:c r="AF397" s="171"/>
      <x:c r="AG397" s="312"/>
    </x:row>
    <x:row r="398" ht="84" customHeight="1">
      <x:c r="A398" s="311" t="str">
        <x:v>LO2-097</x:v>
      </x:c>
      <x:c r="B398" s="171" t="str">
        <x:v>LO2</x:v>
      </x:c>
      <x:c r="C398" s="165" t="str">
        <x:v>世界の主要な非発泡性ワイン</x:v>
      </x:c>
      <x:c r="D398" s="165" t="str">
        <x:v>ビエルソ</x:v>
      </x:c>
      <x:c r="E398" s="165" t="str">
        <x:v>ビエルソのメンシアが香り高く高い酸を持つスタイルになりやすい主な理由はどれか。</x:v>
      </x:c>
      <x:c r="F398" s="165" t="str">
        <x:v>北西スペインの比較的冷涼な気候と高い斜面に古木が多いため</x:v>
      </x:c>
      <x:c r="G398" s="165" t="str">
        <x:v>地中海沿岸の非常に暑い平地だけで栽培するため</x:v>
      </x:c>
      <x:c r="H398" s="165" t="str">
        <x:v>白品種アルバリーニョだけを用いるため</x:v>
      </x:c>
      <x:c r="I398" s="165" t="str">
        <x:v>すべての果実を乾燥させるため</x:v>
      </x:c>
      <x:c r="J398" s="171" t="str">
        <x:v>A</x:v>
      </x:c>
      <x:c r="K398" s="165" t="str">
        <x:v>北西スペインの比較的冷涼な気候と高い斜面に古木が多いため</x:v>
      </x:c>
      <x:c r="L398" s="165" t="str">
        <x:v>大西洋の影響と標高が成熟を緩やかにし、古木の低収量が赤系果実と花の濃度を高める。</x:v>
      </x:c>
      <x:c r="M398" s="165" t="str">
        <x:v>正しい。 大西洋の影響と標高が成熟を緩やかにし、古木の低収量が赤系果実と花の濃度を高める。</x:v>
      </x:c>
      <x:c r="N398" s="165" t="str">
        <x:v>誤り。 ビエルソは内陸北西部で、比較的冷涼な影響を受ける。</x:v>
      </x:c>
      <x:c r="O398" s="165" t="str">
        <x:v>誤り。 主要な赤品種はメンシアである。</x:v>
      </x:c>
      <x:c r="P398" s="165" t="str">
        <x:v>誤り。 陰干しは標準的な製法ではない。</x:v>
      </x:c>
      <x:c r="Q398" s="165" t="str">
        <x:v>自然要因</x:v>
      </x:c>
      <x:c r="R398" s="165" t="str">
        <x:v>カスティーリャ・イ・レオン</x:v>
      </x:c>
      <x:c r="S398" s="165" t="str">
        <x:v>赤ワイン</x:v>
      </x:c>
      <x:c r="T398" s="165" t="str">
        <x:v>スペイン</x:v>
      </x:c>
      <x:c r="U398" s="165" t="str">
        <x:v>ビエルソ</x:v>
      </x:c>
      <x:c r="V398" s="165" t="str">
        <x:v>メンシア</x:v>
      </x:c>
      <x:c r="W398" s="165" t="str">
        <x:v>因果説明</x:v>
      </x:c>
      <x:c r="X398" s="171" t="str">
        <x:v>D2</x:v>
      </x:c>
      <x:c r="Y398" s="165" t="str">
        <x:v>ビエルソは暑い平地; 主要品種はアルバリーニョ</x:v>
      </x:c>
      <x:c r="Z398" s="171" t="str">
        <x:v>N</x:v>
      </x:c>
      <x:c r="AA398" s="165"/>
      <x:c r="AB398" s="165" t="str">
        <x:v>オリジナル</x:v>
      </x:c>
      <x:c r="AC398" s="165" t="str">
        <x:v>公式Specificationの範囲＋ユーザー作成コーパスの論点を参考に独自作成</x:v>
      </x:c>
      <x:c r="AD398" s="171" t="str">
        <x:v>未レビュー</x:v>
      </x:c>
      <x:c r="AE398" s="171"/>
      <x:c r="AF398" s="171"/>
      <x:c r="AG398" s="312"/>
    </x:row>
    <x:row r="399" ht="84" customHeight="1">
      <x:c r="A399" s="311" t="str">
        <x:v>LO2-098</x:v>
      </x:c>
      <x:c r="B399" s="171" t="str">
        <x:v>LO2</x:v>
      </x:c>
      <x:c r="C399" s="165" t="str">
        <x:v>世界の主要な非発泡性ワイン</x:v>
      </x:c>
      <x:c r="D399" s="165" t="str">
        <x:v>トロ</x:v>
      </x:c>
      <x:c r="E399" s="165" t="str">
        <x:v>トロのティンタ・デ・トロから力強い赤ワインが造られやすい主な理由はどれか。</x:v>
      </x:c>
      <x:c r="F399" s="165" t="str">
        <x:v>冷涼な海洋性気候で成熟が困難だから</x:v>
      </x:c>
      <x:c r="G399" s="165" t="str">
        <x:v>暑く乾燥した大陸性気候と古木の低収量により、糖、色、タンニンが高くなるため</x:v>
      </x:c>
      <x:c r="H399" s="165" t="str">
        <x:v>白品種ヴェルデホから造るため</x:v>
      </x:c>
      <x:c r="I399" s="165" t="str">
        <x:v>残糖を高く残す発泡性ワインだから</x:v>
      </x:c>
      <x:c r="J399" s="171" t="str">
        <x:v>B</x:v>
      </x:c>
      <x:c r="K399" s="165" t="str">
        <x:v>暑く乾燥した大陸性気候と古木の低収量により、糖、色、タンニンが高くなるため</x:v>
      </x:c>
      <x:c r="L399" s="165" t="str">
        <x:v>標高の高い台地でも日中は暑く、厚い果皮のテンプラニーリョ系統が濃縮した果実を生む。</x:v>
      </x:c>
      <x:c r="M399" s="165" t="str">
        <x:v>誤り。 トロは内陸の暑く乾燥した大陸性地域である。</x:v>
      </x:c>
      <x:c r="N399" s="165" t="str">
        <x:v>正しい。 標高の高い台地でも日中は暑く、厚い果皮のテンプラニーリョ系統が濃縮した果実を生む。</x:v>
      </x:c>
      <x:c r="O399" s="165" t="str">
        <x:v>誤り。 主要品種は黒のティンタ・デ・トロである。</x:v>
      </x:c>
      <x:c r="P399" s="165" t="str">
        <x:v>誤り。 通常は辛口の非発泡性赤である。</x:v>
      </x:c>
      <x:c r="Q399" s="165" t="str">
        <x:v>自然要因</x:v>
      </x:c>
      <x:c r="R399" s="165" t="str">
        <x:v>カスティーリャ・イ・レオン</x:v>
      </x:c>
      <x:c r="S399" s="165" t="str">
        <x:v>赤ワイン</x:v>
      </x:c>
      <x:c r="T399" s="165" t="str">
        <x:v>スペイン</x:v>
      </x:c>
      <x:c r="U399" s="165" t="str">
        <x:v>トロ</x:v>
      </x:c>
      <x:c r="V399" s="165" t="str">
        <x:v>ティンタ・デ・トロ</x:v>
      </x:c>
      <x:c r="W399" s="165" t="str">
        <x:v>因果説明</x:v>
      </x:c>
      <x:c r="X399" s="171" t="str">
        <x:v>D2</x:v>
      </x:c>
      <x:c r="Y399" s="165" t="str">
        <x:v>トロは海洋性; 主要品種はヴェルデホ</x:v>
      </x:c>
      <x:c r="Z399" s="171" t="str">
        <x:v>N</x:v>
      </x:c>
      <x:c r="AA399" s="165"/>
      <x:c r="AB399" s="165" t="str">
        <x:v>オリジナル</x:v>
      </x:c>
      <x:c r="AC399" s="165" t="str">
        <x:v>公式Specificationの範囲＋ユーザー作成コーパスの論点を参考に独自作成</x:v>
      </x:c>
      <x:c r="AD399" s="171" t="str">
        <x:v>未レビュー</x:v>
      </x:c>
      <x:c r="AE399" s="171"/>
      <x:c r="AF399" s="171"/>
      <x:c r="AG399" s="312"/>
    </x:row>
    <x:row r="400" ht="84" customHeight="1">
      <x:c r="A400" s="311" t="str">
        <x:v>LO2-099</x:v>
      </x:c>
      <x:c r="B400" s="171" t="str">
        <x:v>LO2</x:v>
      </x:c>
      <x:c r="C400" s="165" t="str">
        <x:v>世界の主要な非発泡性ワイン</x:v>
      </x:c>
      <x:c r="D400" s="165" t="str">
        <x:v>ナバーラのロサード</x:v>
      </x:c>
      <x:c r="E400" s="165" t="str">
        <x:v>ナバーラの伝統的なロサードに典型的な特徴はどれか。</x:v>
      </x:c>
      <x:c r="F400" s="165" t="str">
        <x:v>リースリングから造る高酸の白</x:v>
      </x:c>
      <x:c r="G400" s="165" t="str">
        <x:v>パロミノをフロール下で熟成した酒精強化ワイン</x:v>
      </x:c>
      <x:c r="H400" s="165" t="str">
        <x:v>ガルナッチャから造る、熟した赤系果実と中程度の色を持つ辛口ロゼ</x:v>
      </x:c>
      <x:c r="I400" s="165" t="str">
        <x:v>ネッビオーロから造る長期熟成赤のみ</x:v>
      </x:c>
      <x:c r="J400" s="171" t="str">
        <x:v>C</x:v>
      </x:c>
      <x:c r="K400" s="165" t="str">
        <x:v>ガルナッチャから造る、熟した赤系果実と中程度の色を持つ辛口ロゼ</x:v>
      </x:c>
      <x:c r="L400" s="165" t="str">
        <x:v>エブロ川流域の温暖な条件でガルナッチャが成熟し、短い果皮接触またはセニエで果実味豊かなロゼになる。</x:v>
      </x:c>
      <x:c r="M400" s="165" t="str">
        <x:v>誤り。 ガルナッチャのロゼが伝統的である。</x:v>
      </x:c>
      <x:c r="N400" s="165" t="str">
        <x:v>誤り。 これはフィノ・シェリーの特徴である。</x:v>
      </x:c>
      <x:c r="O400" s="165" t="str">
        <x:v>正しい。 エブロ川流域の温暖な条件でガルナッチャが成熟し、短い果皮接触またはセニエで果実味豊かなロゼになる。</x:v>
      </x:c>
      <x:c r="P400" s="165" t="str">
        <x:v>誤り。 ナバーラは多様な品種とスタイルを生産する。</x:v>
      </x:c>
      <x:c r="Q400" s="165" t="str">
        <x:v>産地</x:v>
      </x:c>
      <x:c r="R400" s="165" t="str">
        <x:v>エブロ川流域</x:v>
      </x:c>
      <x:c r="S400" s="165" t="str">
        <x:v>ロゼワイン</x:v>
      </x:c>
      <x:c r="T400" s="165" t="str">
        <x:v>スペイン</x:v>
      </x:c>
      <x:c r="U400" s="165" t="str">
        <x:v>ナバーラ</x:v>
      </x:c>
      <x:c r="V400" s="165" t="str">
        <x:v>ガルナッチャ</x:v>
      </x:c>
      <x:c r="W400" s="165" t="str">
        <x:v>知識確認</x:v>
      </x:c>
      <x:c r="X400" s="171" t="str">
        <x:v>D2</x:v>
      </x:c>
      <x:c r="Y400" s="165" t="str">
        <x:v>ナバーラロゼはリースリング; フロール熟成</x:v>
      </x:c>
      <x:c r="Z400" s="171" t="str">
        <x:v>N</x:v>
      </x:c>
      <x:c r="AA400" s="165"/>
      <x:c r="AB400" s="165" t="str">
        <x:v>オリジナル</x:v>
      </x:c>
      <x:c r="AC400" s="165" t="str">
        <x:v>公式Specificationの範囲＋ユーザー作成コーパスの論点を参考に独自作成</x:v>
      </x:c>
      <x:c r="AD400" s="171" t="str">
        <x:v>未レビュー</x:v>
      </x:c>
      <x:c r="AE400" s="171"/>
      <x:c r="AF400" s="171"/>
      <x:c r="AG400" s="312"/>
    </x:row>
    <x:row r="401" ht="84" customHeight="1">
      <x:c r="A401" s="311" t="str">
        <x:v>LO2-100</x:v>
      </x:c>
      <x:c r="B401" s="171" t="str">
        <x:v>LO2</x:v>
      </x:c>
      <x:c r="C401" s="165" t="str">
        <x:v>世界の主要な非発泡性ワイン</x:v>
      </x:c>
      <x:c r="D401" s="165" t="str">
        <x:v>ドウロの辛口赤</x:v>
      </x:c>
      <x:c r="E401" s="165" t="str">
        <x:v>ドウロの辛口赤ワインが濃厚で高いタンニンを持ちやすい主な理由はどれか。</x:v>
      </x:c>
      <x:c r="F401" s="165" t="str">
        <x:v>冷涼な海洋性平地でグレーラを栽培するため</x:v>
      </x:c>
      <x:c r="G401" s="165" t="str">
        <x:v>ブドウをすべて貴腐化するため</x:v>
      </x:c>
      <x:c r="H401" s="165" t="str">
        <x:v>フロール下で長期熟成するため</x:v>
      </x:c>
      <x:c r="I401" s="165" t="str">
        <x:v>暑く乾燥した片岩の急斜面で、ポート用の黒品種を低収量で栽培するため</x:v>
      </x:c>
      <x:c r="J401" s="171" t="str">
        <x:v>D</x:v>
      </x:c>
      <x:c r="K401" s="165" t="str">
        <x:v>暑く乾燥した片岩の急斜面で、ポート用の黒品種を低収量で栽培するため</x:v>
      </x:c>
      <x:c r="L401" s="165" t="str">
        <x:v>トウリガ・ナシオナルなどの厚い果皮の品種が十分に成熟し、凝縮した黒系果実と構造を与える。</x:v>
      </x:c>
      <x:c r="M401" s="165" t="str">
        <x:v>誤り。 ドウロは内陸へ行くほど暑く乾燥し、黒品種が中心である。</x:v>
      </x:c>
      <x:c r="N401" s="165" t="str">
        <x:v>誤り。 辛口赤の主要な生産方法ではない。</x:v>
      </x:c>
      <x:c r="O401" s="165" t="str">
        <x:v>誤り。 フロール熟成はシェリーの特徴である。</x:v>
      </x:c>
      <x:c r="P401" s="165" t="str">
        <x:v>正しい。 トウリガ・ナシオナルなどの厚い果皮の品種が十分に成熟し、凝縮した黒系果実と構造を与える。</x:v>
      </x:c>
      <x:c r="Q401" s="165" t="str">
        <x:v>自然要因</x:v>
      </x:c>
      <x:c r="R401" s="165" t="str">
        <x:v>ドウロ</x:v>
      </x:c>
      <x:c r="S401" s="165" t="str">
        <x:v>赤ワイン</x:v>
      </x:c>
      <x:c r="T401" s="165" t="str">
        <x:v>ポルトガル</x:v>
      </x:c>
      <x:c r="U401" s="165" t="str">
        <x:v>ドウロ</x:v>
      </x:c>
      <x:c r="V401" s="165" t="str">
        <x:v>トウリガ・ナシオナルほか</x:v>
      </x:c>
      <x:c r="W401" s="165" t="str">
        <x:v>因果説明</x:v>
      </x:c>
      <x:c r="X401" s="171" t="str">
        <x:v>D2</x:v>
      </x:c>
      <x:c r="Y401" s="165" t="str">
        <x:v>ドウロ赤はグレーラ; 貴腐</x:v>
      </x:c>
      <x:c r="Z401" s="171" t="str">
        <x:v>N</x:v>
      </x:c>
      <x:c r="AA401" s="165"/>
      <x:c r="AB401" s="165" t="str">
        <x:v>オリジナル</x:v>
      </x:c>
      <x:c r="AC401" s="165" t="str">
        <x:v>公式Specificationの範囲＋ユーザー作成コーパスの論点を参考に独自作成</x:v>
      </x:c>
      <x:c r="AD401" s="171" t="str">
        <x:v>未レビュー</x:v>
      </x:c>
      <x:c r="AE401" s="171"/>
      <x:c r="AF401" s="171"/>
      <x:c r="AG401" s="312"/>
    </x:row>
    <x:row r="402" ht="84" customHeight="1">
      <x:c r="A402" s="311" t="str">
        <x:v>LO2-101</x:v>
      </x:c>
      <x:c r="B402" s="171" t="str">
        <x:v>LO2</x:v>
      </x:c>
      <x:c r="C402" s="165" t="str">
        <x:v>世界の主要な非発泡性ワイン</x:v>
      </x:c>
      <x:c r="D402" s="165" t="str">
        <x:v>ダン</x:v>
      </x:c>
      <x:c r="E402" s="165" t="str">
        <x:v>ダンの赤ワインが温暖なポルトガル産地の中でも酸と香りを保ちやすい主な理由はどれか。</x:v>
      </x:c>
      <x:c r="F402" s="165" t="str">
        <x:v>山地に囲まれた高標高の花崗岩畑で夜間が冷涼になるため</x:v>
      </x:c>
      <x:c r="G402" s="165" t="str">
        <x:v>海面下の熱帯湿地だから</x:v>
      </x:c>
      <x:c r="H402" s="165" t="str">
        <x:v>すべてのワインを甘口にするため</x:v>
      </x:c>
      <x:c r="I402" s="165" t="str">
        <x:v>グレーラをタンク方式で発泡させるため</x:v>
      </x:c>
      <x:c r="J402" s="171" t="str">
        <x:v>A</x:v>
      </x:c>
      <x:c r="K402" s="165" t="str">
        <x:v>山地に囲まれた高標高の花崗岩畑で夜間が冷涼になるため</x:v>
      </x:c>
      <x:c r="L402" s="165" t="str">
        <x:v>標高と山の保護が成熟を緩やかにし、トウリガ・ナシオナルなどから香り高く引き締まった赤を生む。</x:v>
      </x:c>
      <x:c r="M402" s="165" t="str">
        <x:v>正しい。 標高と山の保護が成熟を緩やかにし、トウリガ・ナシオナルなどから香り高く引き締まった赤を生む。</x:v>
      </x:c>
      <x:c r="N402" s="165" t="str">
        <x:v>誤り。 ダンは内陸の高い台地と山地に囲まれる。</x:v>
      </x:c>
      <x:c r="O402" s="165" t="str">
        <x:v>誤り。 辛口赤と白が中心である。</x:v>
      </x:c>
      <x:c r="P402" s="165" t="str">
        <x:v>誤り。 主要品種はポルトガルの土着品種である。</x:v>
      </x:c>
      <x:c r="Q402" s="165" t="str">
        <x:v>自然要因</x:v>
      </x:c>
      <x:c r="R402" s="165" t="str">
        <x:v>ポルトガル</x:v>
      </x:c>
      <x:c r="S402" s="165" t="str">
        <x:v>赤ワイン</x:v>
      </x:c>
      <x:c r="T402" s="165" t="str">
        <x:v>ポルトガル</x:v>
      </x:c>
      <x:c r="U402" s="165" t="str">
        <x:v>ダン</x:v>
      </x:c>
      <x:c r="V402" s="165" t="str">
        <x:v>トウリガ・ナシオナル、アルフロシェイロ</x:v>
      </x:c>
      <x:c r="W402" s="165" t="str">
        <x:v>因果説明</x:v>
      </x:c>
      <x:c r="X402" s="171" t="str">
        <x:v>D2</x:v>
      </x:c>
      <x:c r="Y402" s="165" t="str">
        <x:v>ダンは低地熱帯; 発泡性グレーラ</x:v>
      </x:c>
      <x:c r="Z402" s="171" t="str">
        <x:v>N</x:v>
      </x:c>
      <x:c r="AA402" s="165"/>
      <x:c r="AB402" s="165" t="str">
        <x:v>オリジナル</x:v>
      </x:c>
      <x:c r="AC402" s="165" t="str">
        <x:v>公式Specificationの範囲＋ユーザー作成コーパスの論点を参考に独自作成</x:v>
      </x:c>
      <x:c r="AD402" s="171" t="str">
        <x:v>未レビュー</x:v>
      </x:c>
      <x:c r="AE402" s="171"/>
      <x:c r="AF402" s="171"/>
      <x:c r="AG402" s="312"/>
    </x:row>
    <x:row r="403" ht="84" customHeight="1">
      <x:c r="A403" s="311" t="str">
        <x:v>LO2-102</x:v>
      </x:c>
      <x:c r="B403" s="171" t="str">
        <x:v>LO2</x:v>
      </x:c>
      <x:c r="C403" s="165" t="str">
        <x:v>世界の主要な非発泡性ワイン</x:v>
      </x:c>
      <x:c r="D403" s="165" t="str">
        <x:v>アレンテージョ</x:v>
      </x:c>
      <x:c r="E403" s="165" t="str">
        <x:v>アレンテージョの赤ワインに典型的な特徴はどれか。</x:v>
      </x:c>
      <x:c r="F403" s="165" t="str">
        <x:v>高い酸と低アルコールの冷涼気候ピノ・ノワール</x:v>
      </x:c>
      <x:c r="G403" s="165" t="str">
        <x:v>熟した黒系果実、柔らかなタンニン、比較的高いアルコール</x:v>
      </x:c>
      <x:c r="H403" s="165" t="str">
        <x:v>貴腐リースリングの甘口白だけ</x:v>
      </x:c>
      <x:c r="I403" s="165" t="str">
        <x:v>フロール熟成したパロミノ</x:v>
      </x:c>
      <x:c r="J403" s="171" t="str">
        <x:v>B</x:v>
      </x:c>
      <x:c r="K403" s="165" t="str">
        <x:v>熟した黒系果実、柔らかなタンニン、比較的高いアルコール</x:v>
      </x:c>
      <x:c r="L403" s="165" t="str">
        <x:v>暑く乾燥した内陸平原でブドウが十分に成熟し、果実味豊かで親しみやすい赤になりやすい。</x:v>
      </x:c>
      <x:c r="M403" s="165" t="str">
        <x:v>誤り。 アレンテージョは温暖で、より熟したスタイルが一般的である。</x:v>
      </x:c>
      <x:c r="N403" s="165" t="str">
        <x:v>正しい。 暑く乾燥した内陸平原でブドウが十分に成熟し、果実味豊かで親しみやすい赤になりやすい。</x:v>
      </x:c>
      <x:c r="O403" s="165" t="str">
        <x:v>誤り。 多様な赤・白を生産するが、典型的赤は熟したスタイルである。</x:v>
      </x:c>
      <x:c r="P403" s="165" t="str">
        <x:v>誤り。 これはシェリーの特徴である。</x:v>
      </x:c>
      <x:c r="Q403" s="165" t="str">
        <x:v>産地</x:v>
      </x:c>
      <x:c r="R403" s="165" t="str">
        <x:v>ポルトガル</x:v>
      </x:c>
      <x:c r="S403" s="165" t="str">
        <x:v>赤ワイン</x:v>
      </x:c>
      <x:c r="T403" s="165" t="str">
        <x:v>ポルトガル</x:v>
      </x:c>
      <x:c r="U403" s="165" t="str">
        <x:v>アレンテージョ</x:v>
      </x:c>
      <x:c r="V403" s="165" t="str">
        <x:v>アラゴネス、トリンカデイラほか</x:v>
      </x:c>
      <x:c r="W403" s="165" t="str">
        <x:v>知識確認</x:v>
      </x:c>
      <x:c r="X403" s="171" t="str">
        <x:v>D1</x:v>
      </x:c>
      <x:c r="Y403" s="165" t="str">
        <x:v>アレンテージョは冷涼; 貴腐のみ</x:v>
      </x:c>
      <x:c r="Z403" s="171" t="str">
        <x:v>N</x:v>
      </x:c>
      <x:c r="AA403" s="165"/>
      <x:c r="AB403" s="165" t="str">
        <x:v>オリジナル</x:v>
      </x:c>
      <x:c r="AC403" s="165" t="str">
        <x:v>公式Specificationの範囲＋ユーザー作成コーパスの論点を参考に独自作成</x:v>
      </x:c>
      <x:c r="AD403" s="171" t="str">
        <x:v>未レビュー</x:v>
      </x:c>
      <x:c r="AE403" s="171"/>
      <x:c r="AF403" s="171"/>
      <x:c r="AG403" s="312"/>
    </x:row>
    <x:row r="404" ht="84" customHeight="1">
      <x:c r="A404" s="311" t="str">
        <x:v>LO2-103</x:v>
      </x:c>
      <x:c r="B404" s="171" t="str">
        <x:v>LO2</x:v>
      </x:c>
      <x:c r="C404" s="165" t="str">
        <x:v>世界の主要な非発泡性ワイン</x:v>
      </x:c>
      <x:c r="D404" s="165" t="str">
        <x:v>バイラーダ</x:v>
      </x:c>
      <x:c r="E404" s="165" t="str">
        <x:v>バイラーダのバガから造る赤ワインが長期熟成に向く主な理由はどれか。</x:v>
      </x:c>
      <x:c r="F404" s="165" t="str">
        <x:v>低酸でタンニンをほとんど持たないため</x:v>
      </x:c>
      <x:c r="G404" s="165" t="str">
        <x:v>白品種であるため</x:v>
      </x:c>
      <x:c r="H404" s="165" t="str">
        <x:v>海洋性の冷涼な気候で高い酸を保ち、厚い果皮から高いタンニンを得るため</x:v>
      </x:c>
      <x:c r="I404" s="165" t="str">
        <x:v>タンク方式で発泡させるため</x:v>
      </x:c>
      <x:c r="J404" s="171" t="str">
        <x:v>C</x:v>
      </x:c>
      <x:c r="K404" s="165" t="str">
        <x:v>海洋性の冷涼な気候で高い酸を保ち、厚い果皮から高いタンニンを得るため</x:v>
      </x:c>
      <x:c r="L404" s="165" t="str">
        <x:v>バガは晩熟で色とタンニンが高く、適切に成熟すると赤系果実と土の複雑性を持つ構造的な赤になる。</x:v>
      </x:c>
      <x:c r="M404" s="165" t="str">
        <x:v>誤り。 バガは高酸・高タンニンになりやすい。</x:v>
      </x:c>
      <x:c r="N404" s="165" t="str">
        <x:v>誤り。 バガは黒品種である。</x:v>
      </x:c>
      <x:c r="O404" s="165" t="str">
        <x:v>正しい。 バガは晩熟で色とタンニンが高く、適切に成熟すると赤系果実と土の複雑性を持つ構造的な赤になる。</x:v>
      </x:c>
      <x:c r="P404" s="165" t="str">
        <x:v>誤り。 発泡性も造られる地域だが、バガ赤の熟成力は酸とタンニンによる。</x:v>
      </x:c>
      <x:c r="Q404" s="165" t="str">
        <x:v>品種</x:v>
      </x:c>
      <x:c r="R404" s="165" t="str">
        <x:v>ポルトガル</x:v>
      </x:c>
      <x:c r="S404" s="165" t="str">
        <x:v>赤ワイン</x:v>
      </x:c>
      <x:c r="T404" s="165" t="str">
        <x:v>ポルトガル</x:v>
      </x:c>
      <x:c r="U404" s="165" t="str">
        <x:v>バイラーダ</x:v>
      </x:c>
      <x:c r="V404" s="165" t="str">
        <x:v>バガ</x:v>
      </x:c>
      <x:c r="W404" s="165" t="str">
        <x:v>因果説明</x:v>
      </x:c>
      <x:c r="X404" s="171" t="str">
        <x:v>D2</x:v>
      </x:c>
      <x:c r="Y404" s="165" t="str">
        <x:v>バガは低酸低タンニン; バガは白品種</x:v>
      </x:c>
      <x:c r="Z404" s="171" t="str">
        <x:v>N</x:v>
      </x:c>
      <x:c r="AA404" s="165"/>
      <x:c r="AB404" s="165" t="str">
        <x:v>オリジナル</x:v>
      </x:c>
      <x:c r="AC404" s="165" t="str">
        <x:v>公式Specificationの範囲＋ユーザー作成コーパスの論点を参考に独自作成</x:v>
      </x:c>
      <x:c r="AD404" s="171" t="str">
        <x:v>未レビュー</x:v>
      </x:c>
      <x:c r="AE404" s="171"/>
      <x:c r="AF404" s="171"/>
      <x:c r="AG404" s="312"/>
    </x:row>
    <x:row r="405" ht="84" customHeight="1">
      <x:c r="A405" s="311" t="str">
        <x:v>LO2-104</x:v>
      </x:c>
      <x:c r="B405" s="171" t="str">
        <x:v>LO2</x:v>
      </x:c>
      <x:c r="C405" s="165" t="str">
        <x:v>世界の主要な非発泡性ワイン</x:v>
      </x:c>
      <x:c r="D405" s="165" t="str">
        <x:v>ソノマ・コースト</x:v>
      </x:c>
      <x:c r="E405" s="165" t="str">
        <x:v>ソノマ・コーストで高品質ピノ・ノワールとシャルドネが造られやすい主な理由はどれか。</x:v>
      </x:c>
      <x:c r="F405" s="165" t="str">
        <x:v>砂漠の熱風で果実を急速乾燥させるため</x:v>
      </x:c>
      <x:c r="G405" s="165" t="str">
        <x:v>高温でグルナッシュを栽培するため</x:v>
      </x:c>
      <x:c r="H405" s="165" t="str">
        <x:v>すべてのワインを酒精強化するため</x:v>
      </x:c>
      <x:c r="I405" s="165" t="str">
        <x:v>太平洋の冷たい霧と風が成熟を遅らせ、酸と繊細な香りを保つため</x:v>
      </x:c>
      <x:c r="J405" s="171" t="str">
        <x:v>D</x:v>
      </x:c>
      <x:c r="K405" s="165" t="str">
        <x:v>太平洋の冷たい霧と風が成熟を遅らせ、酸と繊細な香りを保つため</x:v>
      </x:c>
      <x:c r="L405" s="165" t="str">
        <x:v>沿岸の冷却により生育期間が長くなり、赤系果実や柑橘の風味を十分に発達させながら酸を保持できる。</x:v>
      </x:c>
      <x:c r="M405" s="165" t="str">
        <x:v>誤り。 沿岸冷却が重要で、極端な乾燥による濃縮が主因ではない。</x:v>
      </x:c>
      <x:c r="N405" s="165" t="str">
        <x:v>誤り。 冷涼気候品種のピノ・ノワールとシャルドネが重要である。</x:v>
      </x:c>
      <x:c r="O405" s="165" t="str">
        <x:v>誤り。 主なワインは辛口の非発泡性である。</x:v>
      </x:c>
      <x:c r="P405" s="165" t="str">
        <x:v>正しい。 沿岸の冷却により生育期間が長くなり、赤系果実や柑橘の風味を十分に発達させながら酸を保持できる。</x:v>
      </x:c>
      <x:c r="Q405" s="165" t="str">
        <x:v>自然要因</x:v>
      </x:c>
      <x:c r="R405" s="165" t="str">
        <x:v>カリフォルニア</x:v>
      </x:c>
      <x:c r="S405" s="165" t="str">
        <x:v>赤・白ワイン</x:v>
      </x:c>
      <x:c r="T405" s="165" t="str">
        <x:v>米国</x:v>
      </x:c>
      <x:c r="U405" s="165" t="str">
        <x:v>ソノマ・コースト</x:v>
      </x:c>
      <x:c r="V405" s="165" t="str">
        <x:v>ピノ・ノワール、シャルドネ</x:v>
      </x:c>
      <x:c r="W405" s="165" t="str">
        <x:v>因果説明</x:v>
      </x:c>
      <x:c r="X405" s="171" t="str">
        <x:v>D2</x:v>
      </x:c>
      <x:c r="Y405" s="165" t="str">
        <x:v>ソノマコーストは砂漠; グルナッシュ中心</x:v>
      </x:c>
      <x:c r="Z405" s="171" t="str">
        <x:v>N</x:v>
      </x:c>
      <x:c r="AA405" s="165"/>
      <x:c r="AB405" s="165" t="str">
        <x:v>オリジナル</x:v>
      </x:c>
      <x:c r="AC405" s="165" t="str">
        <x:v>公式Specificationの範囲＋ユーザー作成コーパスの論点を参考に独自作成</x:v>
      </x:c>
      <x:c r="AD405" s="171" t="str">
        <x:v>未レビュー</x:v>
      </x:c>
      <x:c r="AE405" s="171"/>
      <x:c r="AF405" s="171"/>
      <x:c r="AG405" s="312"/>
    </x:row>
    <x:row r="406" ht="84" customHeight="1">
      <x:c r="A406" s="311" t="str">
        <x:v>LO2-105</x:v>
      </x:c>
      <x:c r="B406" s="171" t="str">
        <x:v>LO2</x:v>
      </x:c>
      <x:c r="C406" s="165" t="str">
        <x:v>世界の主要な非発泡性ワイン</x:v>
      </x:c>
      <x:c r="D406" s="165" t="str">
        <x:v>サンタ・バーバラ</x:v>
      </x:c>
      <x:c r="E406" s="165" t="str">
        <x:v>サンタ・バーバラ郡の一部で海洋の冷気が内陸深くまで入りやすい主な理由はどれか。</x:v>
      </x:c>
      <x:c r="F406" s="165" t="str">
        <x:v>山脈と谷が東西方向に走り、太平洋からの風と霧の通り道となるため</x:v>
      </x:c>
      <x:c r="G406" s="165" t="str">
        <x:v>すべての谷が北南方向で海を遮るため</x:v>
      </x:c>
      <x:c r="H406" s="165" t="str">
        <x:v>海流が温かく、内陸を加熱するため</x:v>
      </x:c>
      <x:c r="I406" s="165" t="str">
        <x:v>高山の永久凍土が存在するため</x:v>
      </x:c>
      <x:c r="J406" s="171" t="str">
        <x:v>A</x:v>
      </x:c>
      <x:c r="K406" s="165" t="str">
        <x:v>山脈と谷が東西方向に走り、太平洋からの風と霧の通り道となるため</x:v>
      </x:c>
      <x:c r="L406" s="165" t="str">
        <x:v>カリフォルニアでは珍しい東西方向の地形が、沿岸の冷却を内陸へ導き、ピノ・ノワールやシャルドネに適する。</x:v>
      </x:c>
      <x:c r="M406" s="165" t="str">
        <x:v>正しい。 カリフォルニアでは珍しい東西方向の地形が、沿岸の冷却を内陸へ導き、ピノ・ノワールやシャルドネに適する。</x:v>
      </x:c>
      <x:c r="N406" s="165" t="str">
        <x:v>誤り。 東西方向の谷が海洋影響を取り込む。</x:v>
      </x:c>
      <x:c r="O406" s="165" t="str">
        <x:v>誤り。 冷たいカリフォルニア海流が冷却に寄与する。</x:v>
      </x:c>
      <x:c r="P406" s="165" t="str">
        <x:v>誤り。 主因は海洋風と地形である。</x:v>
      </x:c>
      <x:c r="Q406" s="165" t="str">
        <x:v>自然要因</x:v>
      </x:c>
      <x:c r="R406" s="165" t="str">
        <x:v>カリフォルニア</x:v>
      </x:c>
      <x:c r="S406" s="165" t="str">
        <x:v>赤・白ワイン</x:v>
      </x:c>
      <x:c r="T406" s="165" t="str">
        <x:v>米国</x:v>
      </x:c>
      <x:c r="U406" s="165" t="str">
        <x:v>サンタ・バーバラ郡</x:v>
      </x:c>
      <x:c r="V406" s="165" t="str">
        <x:v>ピノ・ノワール、シャルドネ</x:v>
      </x:c>
      <x:c r="W406" s="165" t="str">
        <x:v>因果説明</x:v>
      </x:c>
      <x:c r="X406" s="171" t="str">
        <x:v>D3</x:v>
      </x:c>
      <x:c r="Y406" s="165" t="str">
        <x:v>谷は海を遮断; 暖流で冷却</x:v>
      </x:c>
      <x:c r="Z406" s="171" t="str">
        <x:v>N</x:v>
      </x:c>
      <x:c r="AA406" s="165"/>
      <x:c r="AB406" s="165" t="str">
        <x:v>オリジナル</x:v>
      </x:c>
      <x:c r="AC406" s="165" t="str">
        <x:v>公式Specificationの範囲＋ユーザー作成コーパスの論点を参考に独自作成</x:v>
      </x:c>
      <x:c r="AD406" s="171" t="str">
        <x:v>未レビュー</x:v>
      </x:c>
      <x:c r="AE406" s="171"/>
      <x:c r="AF406" s="171"/>
      <x:c r="AG406" s="312"/>
    </x:row>
    <x:row r="407" ht="84" customHeight="1">
      <x:c r="A407" s="311" t="str">
        <x:v>LO2-106</x:v>
      </x:c>
      <x:c r="B407" s="171" t="str">
        <x:v>LO2</x:v>
      </x:c>
      <x:c r="C407" s="165" t="str">
        <x:v>世界の主要な非発泡性ワイン</x:v>
      </x:c>
      <x:c r="D407" s="165" t="str">
        <x:v>パソ・ロブレス</x:v>
      </x:c>
      <x:c r="E407" s="165" t="str">
        <x:v>パソ・ロブレスで熟したカベルネ・ソーヴィニヨンやシラーが高い酸もある程度保ちやすい要因はどれか。</x:v>
      </x:c>
      <x:c r="F407" s="165" t="str">
        <x:v>一年中霧で日照がないこと</x:v>
      </x:c>
      <x:c r="G407" s="165" t="str">
        <x:v>暑い日中と、海風や大きな日較差による涼しい夜</x:v>
      </x:c>
      <x:c r="H407" s="165" t="str">
        <x:v>高緯度の極夜が続くこと</x:v>
      </x:c>
      <x:c r="I407" s="165" t="str">
        <x:v>果実をすべて凍結収穫すること</x:v>
      </x:c>
      <x:c r="J407" s="171" t="str">
        <x:v>B</x:v>
      </x:c>
      <x:c r="K407" s="165" t="str">
        <x:v>暑い日中と、海風や大きな日較差による涼しい夜</x:v>
      </x:c>
      <x:c r="L407" s="165" t="str">
        <x:v>内陸の暖かさが糖と風味を成熟させる一方、西側からの冷気と夜間の冷却が酸の減少を緩やかにする。</x:v>
      </x:c>
      <x:c r="M407" s="165" t="str">
        <x:v>誤り。 パソ・ロブレスは日中の日照と暖かさに恵まれる。</x:v>
      </x:c>
      <x:c r="N407" s="165" t="str">
        <x:v>正しい。 内陸の暖かさが糖と風味を成熟させる一方、西側からの冷気と夜間の冷却が酸の減少を緩やかにする。</x:v>
      </x:c>
      <x:c r="O407" s="165" t="str">
        <x:v>誤り。 カリフォルニア中部で、極夜はない。</x:v>
      </x:c>
      <x:c r="P407" s="165" t="str">
        <x:v>誤り。 通常の完熟ブドウから辛口赤を造る。</x:v>
      </x:c>
      <x:c r="Q407" s="165" t="str">
        <x:v>自然要因</x:v>
      </x:c>
      <x:c r="R407" s="165" t="str">
        <x:v>カリフォルニア</x:v>
      </x:c>
      <x:c r="S407" s="165" t="str">
        <x:v>赤ワイン</x:v>
      </x:c>
      <x:c r="T407" s="165" t="str">
        <x:v>米国</x:v>
      </x:c>
      <x:c r="U407" s="165" t="str">
        <x:v>パソ・ロブレス</x:v>
      </x:c>
      <x:c r="V407" s="165" t="str">
        <x:v>カベルネ・ソーヴィニヨン、シラー、ジンファンデル</x:v>
      </x:c>
      <x:c r="W407" s="165" t="str">
        <x:v>因果説明</x:v>
      </x:c>
      <x:c r="X407" s="171" t="str">
        <x:v>D2</x:v>
      </x:c>
      <x:c r="Y407" s="165" t="str">
        <x:v>パソは日照なし; 凍結収穫</x:v>
      </x:c>
      <x:c r="Z407" s="171" t="str">
        <x:v>N</x:v>
      </x:c>
      <x:c r="AA407" s="165"/>
      <x:c r="AB407" s="165" t="str">
        <x:v>オリジナル</x:v>
      </x:c>
      <x:c r="AC407" s="165" t="str">
        <x:v>公式Specificationの範囲＋ユーザー作成コーパスの論点を参考に独自作成</x:v>
      </x:c>
      <x:c r="AD407" s="171" t="str">
        <x:v>未レビュー</x:v>
      </x:c>
      <x:c r="AE407" s="171"/>
      <x:c r="AF407" s="171"/>
      <x:c r="AG407" s="312"/>
    </x:row>
    <x:row r="408" ht="84" customHeight="1">
      <x:c r="A408" s="311" t="str">
        <x:v>LO2-107</x:v>
      </x:c>
      <x:c r="B408" s="171" t="str">
        <x:v>LO2</x:v>
      </x:c>
      <x:c r="C408" s="165" t="str">
        <x:v>世界の主要な非発泡性ワイン</x:v>
      </x:c>
      <x:c r="D408" s="165" t="str">
        <x:v>ワラ・ワラ・ヴァレー</x:v>
      </x:c>
      <x:c r="E408" s="165" t="str">
        <x:v>ワラ・ワラ・ヴァレーで高品質赤ワインが造られやすい主な理由はどれか。</x:v>
      </x:c>
      <x:c r="F408" s="165" t="str">
        <x:v>年間を通じて熱帯雨林のように多雨だから</x:v>
      </x:c>
      <x:c r="G408" s="165" t="str">
        <x:v>ブドウを海水で灌漑するから</x:v>
      </x:c>
      <x:c r="H408" s="165" t="str">
        <x:v>乾燥した暖かい生育期、大きな日較差、灌漑による水分管理</x:v>
      </x:c>
      <x:c r="I408" s="165" t="str">
        <x:v>白品種だけを栽培するから</x:v>
      </x:c>
      <x:c r="J408" s="171" t="str">
        <x:v>C</x:v>
      </x:c>
      <x:c r="K408" s="165" t="str">
        <x:v>乾燥した暖かい生育期、大きな日較差、灌漑による水分管理</x:v>
      </x:c>
      <x:c r="L408" s="165" t="str">
        <x:v>カスケード山脈の雨陰で病害が少なく、成熟を進めながら夜間の冷却で酸を保てる。</x:v>
      </x:c>
      <x:c r="M408" s="165" t="str">
        <x:v>誤り。 ワラ・ワラは乾燥しており、灌漑が必要な場合が多い。</x:v>
      </x:c>
      <x:c r="N408" s="165" t="str">
        <x:v>誤り。 淡水灌漑を用い、海水ではない。</x:v>
      </x:c>
      <x:c r="O408" s="165" t="str">
        <x:v>正しい。 カスケード山脈の雨陰で病害が少なく、成熟を進めながら夜間の冷却で酸を保てる。</x:v>
      </x:c>
      <x:c r="P408" s="165" t="str">
        <x:v>誤り。 カベルネ、メルロ、シラーなど赤品種が重要である。</x:v>
      </x:c>
      <x:c r="Q408" s="165" t="str">
        <x:v>自然要因</x:v>
      </x:c>
      <x:c r="R408" s="165" t="str">
        <x:v>ワシントン州</x:v>
      </x:c>
      <x:c r="S408" s="165" t="str">
        <x:v>赤ワイン</x:v>
      </x:c>
      <x:c r="T408" s="165" t="str">
        <x:v>米国</x:v>
      </x:c>
      <x:c r="U408" s="165" t="str">
        <x:v>ワラ・ワラ・ヴァレー</x:v>
      </x:c>
      <x:c r="V408" s="165" t="str">
        <x:v>カベルネ・ソーヴィニヨン、メルロ、シラー</x:v>
      </x:c>
      <x:c r="W408" s="165" t="str">
        <x:v>統合判断</x:v>
      </x:c>
      <x:c r="X408" s="171" t="str">
        <x:v>D3</x:v>
      </x:c>
      <x:c r="Y408" s="165" t="str">
        <x:v>ワラワラは多雨; 海水灌漑</x:v>
      </x:c>
      <x:c r="Z408" s="171" t="str">
        <x:v>N</x:v>
      </x:c>
      <x:c r="AA408" s="165"/>
      <x:c r="AB408" s="165" t="str">
        <x:v>オリジナル</x:v>
      </x:c>
      <x:c r="AC408" s="165" t="str">
        <x:v>公式Specificationの範囲＋ユーザー作成コーパスの論点を参考に独自作成</x:v>
      </x:c>
      <x:c r="AD408" s="171" t="str">
        <x:v>未レビュー</x:v>
      </x:c>
      <x:c r="AE408" s="171"/>
      <x:c r="AF408" s="171"/>
      <x:c r="AG408" s="312"/>
    </x:row>
    <x:row r="409" ht="84" customHeight="1">
      <x:c r="A409" s="311" t="str">
        <x:v>LO2-108</x:v>
      </x:c>
      <x:c r="B409" s="171" t="str">
        <x:v>LO2</x:v>
      </x:c>
      <x:c r="C409" s="165" t="str">
        <x:v>世界の主要な非発泡性ワイン</x:v>
      </x:c>
      <x:c r="D409" s="165" t="str">
        <x:v>ヤキマ・ヴァレー</x:v>
      </x:c>
      <x:c r="E409" s="165" t="str">
        <x:v>ヤキマ・ヴァレーがリースリングからカベルネ・ソーヴィニヨンまで幅広い品種に適する主な理由はどれか。</x:v>
      </x:c>
      <x:c r="F409" s="165" t="str">
        <x:v>全域が単一の温度と土壌であるため</x:v>
      </x:c>
      <x:c r="G409" s="165" t="str">
        <x:v>すべてのブドウを貴腐化するため</x:v>
      </x:c>
      <x:c r="H409" s="165" t="str">
        <x:v>海洋性の多雨気候で灌漑が不要だから</x:v>
      </x:c>
      <x:c r="I409" s="165" t="str">
        <x:v>標高、斜面、日照、冷気のたまり方が多様で、品種に合うメソ気候を選べる</x:v>
      </x:c>
      <x:c r="J409" s="171" t="str">
        <x:v>D</x:v>
      </x:c>
      <x:c r="K409" s="165" t="str">
        <x:v>標高、斜面、日照、冷気のたまり方が多様で、品種に合うメソ気候を選べる</x:v>
      </x:c>
      <x:c r="L409" s="165" t="str">
        <x:v>乾燥した大陸性地域の中で、冷涼な区画から温暖な区画まで存在し、灌漑で水分を制御できる。</x:v>
      </x:c>
      <x:c r="M409" s="165" t="str">
        <x:v>誤り。 多様なメソ気候が品種の幅を支える。</x:v>
      </x:c>
      <x:c r="N409" s="165" t="str">
        <x:v>誤り。 貴腐は地域全体の標準ではない。</x:v>
      </x:c>
      <x:c r="O409" s="165" t="str">
        <x:v>誤り。 乾燥しており、灌漑が重要である。</x:v>
      </x:c>
      <x:c r="P409" s="165" t="str">
        <x:v>正しい。 乾燥した大陸性地域の中で、冷涼な区画から温暖な区画まで存在し、灌漑で水分を制御できる。</x:v>
      </x:c>
      <x:c r="Q409" s="165" t="str">
        <x:v>自然要因</x:v>
      </x:c>
      <x:c r="R409" s="165" t="str">
        <x:v>ワシントン州</x:v>
      </x:c>
      <x:c r="S409" s="165" t="str">
        <x:v>赤・白ワイン</x:v>
      </x:c>
      <x:c r="T409" s="165" t="str">
        <x:v>米国</x:v>
      </x:c>
      <x:c r="U409" s="165" t="str">
        <x:v>ヤキマ・ヴァレー</x:v>
      </x:c>
      <x:c r="V409" s="165" t="str">
        <x:v>リースリング、シャルドネ、カベルネ・ソーヴィニヨン</x:v>
      </x:c>
      <x:c r="W409" s="165" t="str">
        <x:v>統合判断</x:v>
      </x:c>
      <x:c r="X409" s="171" t="str">
        <x:v>D3</x:v>
      </x:c>
      <x:c r="Y409" s="165" t="str">
        <x:v>ヤキマは均一; 多雨で灌漑不要</x:v>
      </x:c>
      <x:c r="Z409" s="171" t="str">
        <x:v>N</x:v>
      </x:c>
      <x:c r="AA409" s="165"/>
      <x:c r="AB409" s="165" t="str">
        <x:v>オリジナル</x:v>
      </x:c>
      <x:c r="AC409" s="165" t="str">
        <x:v>公式Specificationの範囲＋ユーザー作成コーパスの論点を参考に独自作成</x:v>
      </x:c>
      <x:c r="AD409" s="171" t="str">
        <x:v>未レビュー</x:v>
      </x:c>
      <x:c r="AE409" s="171"/>
      <x:c r="AF409" s="171"/>
      <x:c r="AG409" s="312"/>
    </x:row>
    <x:row r="410" ht="84" customHeight="1">
      <x:c r="A410" s="311" t="str">
        <x:v>LO2-109</x:v>
      </x:c>
      <x:c r="B410" s="171" t="str">
        <x:v>LO2</x:v>
      </x:c>
      <x:c r="C410" s="165" t="str">
        <x:v>世界の主要な非発泡性ワイン</x:v>
      </x:c>
      <x:c r="D410" s="165" t="str">
        <x:v>ナイアガラのリースリング</x:v>
      </x:c>
      <x:c r="E410" s="165" t="str">
        <x:v>ナイアガラ半島のリースリングが高い酸を保ちつつ成熟できる主な理由はどれか。</x:v>
      </x:c>
      <x:c r="F410" s="165" t="str">
        <x:v>オンタリオ湖が秋の冷え込みを和らげ、生育期間を延長するため</x:v>
      </x:c>
      <x:c r="G410" s="165" t="str">
        <x:v>熱帯の高温が一年中続くため</x:v>
      </x:c>
      <x:c r="H410" s="165" t="str">
        <x:v>海抜が極端に高く、永久雪に覆われるため</x:v>
      </x:c>
      <x:c r="I410" s="165" t="str">
        <x:v>リースリングを酒精強化するため</x:v>
      </x:c>
      <x:c r="J410" s="171" t="str">
        <x:v>A</x:v>
      </x:c>
      <x:c r="K410" s="165" t="str">
        <x:v>オンタリオ湖が秋の冷え込みを和らげ、生育期間を延長するため</x:v>
      </x:c>
      <x:c r="L410" s="165" t="str">
        <x:v>大きな湖の熱容量が春と秋の極端な温度を緩和し、冷涼気候でも果実の成熟を助ける。</x:v>
      </x:c>
      <x:c r="M410" s="165" t="str">
        <x:v>正しい。 大きな湖の熱容量が春と秋の極端な温度を緩和し、冷涼気候でも果実の成熟を助ける。</x:v>
      </x:c>
      <x:c r="N410" s="165" t="str">
        <x:v>誤り。 ナイアガラは冷涼な大陸性地域である。</x:v>
      </x:c>
      <x:c r="O410" s="165" t="str">
        <x:v>誤り。 湖の緩和効果が重要で、永久雪ではない。</x:v>
      </x:c>
      <x:c r="P410" s="165" t="str">
        <x:v>誤り。 通常の辛口・甘口非発泡性ワインを造る。</x:v>
      </x:c>
      <x:c r="Q410" s="165" t="str">
        <x:v>自然要因</x:v>
      </x:c>
      <x:c r="R410" s="165" t="str">
        <x:v>オンタリオ</x:v>
      </x:c>
      <x:c r="S410" s="165" t="str">
        <x:v>白ワイン</x:v>
      </x:c>
      <x:c r="T410" s="165" t="str">
        <x:v>カナダ</x:v>
      </x:c>
      <x:c r="U410" s="165" t="str">
        <x:v>ナイアガラ半島</x:v>
      </x:c>
      <x:c r="V410" s="165" t="str">
        <x:v>リースリング</x:v>
      </x:c>
      <x:c r="W410" s="165" t="str">
        <x:v>因果説明</x:v>
      </x:c>
      <x:c r="X410" s="171" t="str">
        <x:v>D2</x:v>
      </x:c>
      <x:c r="Y410" s="165" t="str">
        <x:v>ナイアガラは熱帯; 酒精強化</x:v>
      </x:c>
      <x:c r="Z410" s="171" t="str">
        <x:v>N</x:v>
      </x:c>
      <x:c r="AA410" s="165"/>
      <x:c r="AB410" s="165" t="str">
        <x:v>オリジナル</x:v>
      </x:c>
      <x:c r="AC410" s="165" t="str">
        <x:v>公式Specificationの範囲＋ユーザー作成コーパスの論点を参考に独自作成</x:v>
      </x:c>
      <x:c r="AD410" s="171" t="str">
        <x:v>未レビュー</x:v>
      </x:c>
      <x:c r="AE410" s="171"/>
      <x:c r="AF410" s="171"/>
      <x:c r="AG410" s="312"/>
    </x:row>
    <x:row r="411" ht="84" customHeight="1">
      <x:c r="A411" s="311" t="str">
        <x:v>LO2-110</x:v>
      </x:c>
      <x:c r="B411" s="171" t="str">
        <x:v>LO2</x:v>
      </x:c>
      <x:c r="C411" s="165" t="str">
        <x:v>世界の主要な非発泡性ワイン</x:v>
      </x:c>
      <x:c r="D411" s="165" t="str">
        <x:v>オカナガンのシラー</x:v>
      </x:c>
      <x:c r="E411" s="165" t="str">
        <x:v>オカナガン・ヴァレー南部のシラーに典型的なスタイルはどれか。</x:v>
      </x:c>
      <x:c r="F411" s="165" t="str">
        <x:v>低アルコールの甘口白</x:v>
      </x:c>
      <x:c r="G411" s="165" t="str">
        <x:v>熟した黒系果実と胡椒の香りを持ち、温暖な日中と冷涼な夜により酸も保つ</x:v>
      </x:c>
      <x:c r="H411" s="165" t="str">
        <x:v>フロール熟成した酒精強化ワイン</x:v>
      </x:c>
      <x:c r="I411" s="165" t="str">
        <x:v>グレーラ主体の発泡性ワイン</x:v>
      </x:c>
      <x:c r="J411" s="171" t="str">
        <x:v>B</x:v>
      </x:c>
      <x:c r="K411" s="165" t="str">
        <x:v>熟した黒系果実と胡椒の香りを持ち、温暖な日中と冷涼な夜により酸も保つ</x:v>
      </x:c>
      <x:c r="L411" s="165" t="str">
        <x:v>北緯は高いが乾燥した谷の南部は夏に暖かく、長い日照と大きな日較差でシラーが成熟する。</x:v>
      </x:c>
      <x:c r="M411" s="165" t="str">
        <x:v>誤り。 シラーは黒品種で、辛口赤が中心である。</x:v>
      </x:c>
      <x:c r="N411" s="165" t="str">
        <x:v>正しい。 北緯は高いが乾燥した谷の南部は夏に暖かく、長い日照と大きな日較差でシラーが成熟する。</x:v>
      </x:c>
      <x:c r="O411" s="165" t="str">
        <x:v>誤り。 シェリーの製法ではない。</x:v>
      </x:c>
      <x:c r="P411" s="165" t="str">
        <x:v>誤り。 プロセッコの特徴である。</x:v>
      </x:c>
      <x:c r="Q411" s="165" t="str">
        <x:v>産地</x:v>
      </x:c>
      <x:c r="R411" s="165" t="str">
        <x:v>ブリティッシュ・コロンビア</x:v>
      </x:c>
      <x:c r="S411" s="165" t="str">
        <x:v>赤ワイン</x:v>
      </x:c>
      <x:c r="T411" s="165" t="str">
        <x:v>カナダ</x:v>
      </x:c>
      <x:c r="U411" s="165" t="str">
        <x:v>オカナガン・ヴァレー</x:v>
      </x:c>
      <x:c r="V411" s="165" t="str">
        <x:v>シラー</x:v>
      </x:c>
      <x:c r="W411" s="165" t="str">
        <x:v>知識確認</x:v>
      </x:c>
      <x:c r="X411" s="171" t="str">
        <x:v>D2</x:v>
      </x:c>
      <x:c r="Y411" s="165" t="str">
        <x:v>オカナガンシラーは甘口白; フロール熟成</x:v>
      </x:c>
      <x:c r="Z411" s="171" t="str">
        <x:v>N</x:v>
      </x:c>
      <x:c r="AA411" s="165"/>
      <x:c r="AB411" s="165" t="str">
        <x:v>オリジナル</x:v>
      </x:c>
      <x:c r="AC411" s="165" t="str">
        <x:v>公式Specificationの範囲＋ユーザー作成コーパスの論点を参考に独自作成</x:v>
      </x:c>
      <x:c r="AD411" s="171" t="str">
        <x:v>未レビュー</x:v>
      </x:c>
      <x:c r="AE411" s="171"/>
      <x:c r="AF411" s="171"/>
      <x:c r="AG411" s="312"/>
    </x:row>
    <x:row r="412" ht="84" customHeight="1">
      <x:c r="A412" s="311" t="str">
        <x:v>LO2-111</x:v>
      </x:c>
      <x:c r="B412" s="171" t="str">
        <x:v>LO2</x:v>
      </x:c>
      <x:c r="C412" s="165" t="str">
        <x:v>世界の主要な非発泡性ワイン</x:v>
      </x:c>
      <x:c r="D412" s="165" t="str">
        <x:v>アコンカグア・ヴァレー</x:v>
      </x:c>
      <x:c r="E412" s="165" t="str">
        <x:v>アコンカグア・ヴァレー内陸部がカベルネ・ソーヴィニヨンに適する主な理由はどれか。</x:v>
      </x:c>
      <x:c r="F412" s="165" t="str">
        <x:v>冷たい海流が内陸畑を常に霧で覆うため</x:v>
      </x:c>
      <x:c r="G412" s="165" t="str">
        <x:v>高緯度の極夜で糖が蓄積しないため</x:v>
      </x:c>
      <x:c r="H412" s="165" t="str">
        <x:v>暖かく乾燥した日中とアンデスからの冷涼な夜風により、完全成熟と酸保持を両立できる</x:v>
      </x:c>
      <x:c r="I412" s="165" t="str">
        <x:v>リースリングだけを栽培するため</x:v>
      </x:c>
      <x:c r="J412" s="171" t="str">
        <x:v>C</x:v>
      </x:c>
      <x:c r="K412" s="165" t="str">
        <x:v>暖かく乾燥した日中とアンデスからの冷涼な夜風により、完全成熟と酸保持を両立できる</x:v>
      </x:c>
      <x:c r="L412" s="165" t="str">
        <x:v>日照の多い半乾燥気候で病害が少なく、灌漑を用いて水分を管理しながら黒品種を成熟させる。</x:v>
      </x:c>
      <x:c r="M412" s="165" t="str">
        <x:v>誤り。 沿岸部には海洋影響が強いが、内陸部はより暖かい。</x:v>
      </x:c>
      <x:c r="N412" s="165" t="str">
        <x:v>誤り。 チリ中部で日照に恵まれる。</x:v>
      </x:c>
      <x:c r="O412" s="165" t="str">
        <x:v>正しい。 日照の多い半乾燥気候で病害が少なく、灌漑を用いて水分を管理しながら黒品種を成熟させる。</x:v>
      </x:c>
      <x:c r="P412" s="165" t="str">
        <x:v>誤り。 カベルネ・ソーヴィニヨンやシラーが重要である。</x:v>
      </x:c>
      <x:c r="Q412" s="165" t="str">
        <x:v>自然要因</x:v>
      </x:c>
      <x:c r="R412" s="165" t="str">
        <x:v>チリ</x:v>
      </x:c>
      <x:c r="S412" s="165" t="str">
        <x:v>赤ワイン</x:v>
      </x:c>
      <x:c r="T412" s="165" t="str">
        <x:v>チリ</x:v>
      </x:c>
      <x:c r="U412" s="165" t="str">
        <x:v>アコンカグア・ヴァレー</x:v>
      </x:c>
      <x:c r="V412" s="165" t="str">
        <x:v>カベルネ・ソーヴィニヨン、シラー</x:v>
      </x:c>
      <x:c r="W412" s="165" t="str">
        <x:v>因果説明</x:v>
      </x:c>
      <x:c r="X412" s="171" t="str">
        <x:v>D2</x:v>
      </x:c>
      <x:c r="Y412" s="165" t="str">
        <x:v>内陸も恒常霧; 主要品種はリースリング</x:v>
      </x:c>
      <x:c r="Z412" s="171" t="str">
        <x:v>N</x:v>
      </x:c>
      <x:c r="AA412" s="165"/>
      <x:c r="AB412" s="165" t="str">
        <x:v>オリジナル</x:v>
      </x:c>
      <x:c r="AC412" s="165" t="str">
        <x:v>公式Specificationの範囲＋ユーザー作成コーパスの論点を参考に独自作成</x:v>
      </x:c>
      <x:c r="AD412" s="171" t="str">
        <x:v>未レビュー</x:v>
      </x:c>
      <x:c r="AE412" s="171"/>
      <x:c r="AF412" s="171"/>
      <x:c r="AG412" s="312"/>
    </x:row>
    <x:row r="413" ht="84" customHeight="1">
      <x:c r="A413" s="311" t="str">
        <x:v>LO2-112</x:v>
      </x:c>
      <x:c r="B413" s="171" t="str">
        <x:v>LO2</x:v>
      </x:c>
      <x:c r="C413" s="165" t="str">
        <x:v>世界の主要な非発泡性ワイン</x:v>
      </x:c>
      <x:c r="D413" s="165" t="str">
        <x:v>リマリ・ヴァレー</x:v>
      </x:c>
      <x:c r="E413" s="165" t="str">
        <x:v>リマリ・ヴァレーのシャルドネが高い酸と塩味を思わせるミネラル感を持ちやすい要因はどれか。</x:v>
      </x:c>
      <x:c r="F413" s="165" t="str">
        <x:v>熱帯雨林の高温多湿</x:v>
      </x:c>
      <x:c r="G413" s="165" t="str">
        <x:v>黒ブドウを樹上乾燥する製法</x:v>
      </x:c>
      <x:c r="H413" s="165" t="str">
        <x:v>フロール下の生物学的熟成</x:v>
      </x:c>
      <x:c r="I413" s="165" t="str">
        <x:v>フンボルト海流由来の冷気と霧、石灰質を含む土壌</x:v>
      </x:c>
      <x:c r="J413" s="171" t="str">
        <x:v>D</x:v>
      </x:c>
      <x:c r="K413" s="165" t="str">
        <x:v>フンボルト海流由来の冷気と霧、石灰質を含む土壌</x:v>
      </x:c>
      <x:c r="L413" s="165" t="str">
        <x:v>北部の乾燥地域ながら海洋冷却が成熟を遅らせ、石灰質土壌の畑で引き締まったシャルドネを生む。</x:v>
      </x:c>
      <x:c r="M413" s="165" t="str">
        <x:v>誤り。 リマリは乾燥しており、冷たい海洋影響を受ける。</x:v>
      </x:c>
      <x:c r="N413" s="165" t="str">
        <x:v>誤り。 シャルドネの辛口白が重要である。</x:v>
      </x:c>
      <x:c r="O413" s="165" t="str">
        <x:v>誤り。 シェリーの製法ではない。</x:v>
      </x:c>
      <x:c r="P413" s="165" t="str">
        <x:v>正しい。 北部の乾燥地域ながら海洋冷却が成熟を遅らせ、石灰質土壌の畑で引き締まったシャルドネを生む。</x:v>
      </x:c>
      <x:c r="Q413" s="165" t="str">
        <x:v>自然要因</x:v>
      </x:c>
      <x:c r="R413" s="165" t="str">
        <x:v>チリ</x:v>
      </x:c>
      <x:c r="S413" s="165" t="str">
        <x:v>白ワイン</x:v>
      </x:c>
      <x:c r="T413" s="165" t="str">
        <x:v>チリ</x:v>
      </x:c>
      <x:c r="U413" s="165" t="str">
        <x:v>リマリ・ヴァレー</x:v>
      </x:c>
      <x:c r="V413" s="165" t="str">
        <x:v>シャルドネ</x:v>
      </x:c>
      <x:c r="W413" s="165" t="str">
        <x:v>統合判断</x:v>
      </x:c>
      <x:c r="X413" s="171" t="str">
        <x:v>D3</x:v>
      </x:c>
      <x:c r="Y413" s="165" t="str">
        <x:v>リマリは熱帯雨林; フロール熟成</x:v>
      </x:c>
      <x:c r="Z413" s="171" t="str">
        <x:v>N</x:v>
      </x:c>
      <x:c r="AA413" s="165"/>
      <x:c r="AB413" s="165" t="str">
        <x:v>オリジナル</x:v>
      </x:c>
      <x:c r="AC413" s="165" t="str">
        <x:v>公式Specificationの範囲＋ユーザー作成コーパスの論点を参考に独自作成</x:v>
      </x:c>
      <x:c r="AD413" s="171" t="str">
        <x:v>未レビュー</x:v>
      </x:c>
      <x:c r="AE413" s="171"/>
      <x:c r="AF413" s="171"/>
      <x:c r="AG413" s="312"/>
    </x:row>
    <x:row r="414" ht="84" customHeight="1">
      <x:c r="A414" s="311" t="str">
        <x:v>LO2-113</x:v>
      </x:c>
      <x:c r="B414" s="171" t="str">
        <x:v>LO2</x:v>
      </x:c>
      <x:c r="C414" s="165" t="str">
        <x:v>世界の主要な非発泡性ワイン</x:v>
      </x:c>
      <x:c r="D414" s="165" t="str">
        <x:v>イタタとビオ・ビオ</x:v>
      </x:c>
      <x:c r="E414" s="165" t="str">
        <x:v>チリ南部のイタタやビオ・ビオが中部の温暖産地より軽快なワインを生みやすい主な理由はどれか。</x:v>
      </x:c>
      <x:c r="F414" s="165" t="str">
        <x:v>緯度が高く海洋影響も強いため、気温が低く降水量が多い</x:v>
      </x:c>
      <x:c r="G414" s="165" t="str">
        <x:v>アタカマ砂漠より暑く乾燥しているため</x:v>
      </x:c>
      <x:c r="H414" s="165" t="str">
        <x:v>すべての畑が海面下にあるため</x:v>
      </x:c>
      <x:c r="I414" s="165" t="str">
        <x:v>ポートのように早期酒精強化するため</x:v>
      </x:c>
      <x:c r="J414" s="171" t="str">
        <x:v>A</x:v>
      </x:c>
      <x:c r="K414" s="165" t="str">
        <x:v>緯度が高く海洋影響も強いため、気温が低く降水量が多い</x:v>
      </x:c>
      <x:c r="L414" s="165" t="str">
        <x:v>冷涼な条件が成熟を遅らせ、古木のパイス、サンソー、香り高い白品種から高い酸のワインを生む。</x:v>
      </x:c>
      <x:c r="M414" s="165" t="str">
        <x:v>正しい。 冷涼な条件が成熟を遅らせ、古木のパイス、サンソー、香り高い白品種から高い酸のワインを生む。</x:v>
      </x:c>
      <x:c r="N414" s="165" t="str">
        <x:v>誤り。 南部は北部より冷涼で降水が多い。</x:v>
      </x:c>
      <x:c r="O414" s="165" t="str">
        <x:v>誤り。 標高より緯度と海洋影響が重要である。</x:v>
      </x:c>
      <x:c r="P414" s="165" t="str">
        <x:v>誤り。 主に非発泡性の辛口ワインである。</x:v>
      </x:c>
      <x:c r="Q414" s="165" t="str">
        <x:v>自然要因</x:v>
      </x:c>
      <x:c r="R414" s="165" t="str">
        <x:v>チリ南部</x:v>
      </x:c>
      <x:c r="S414" s="165" t="str">
        <x:v>赤・白ワイン</x:v>
      </x:c>
      <x:c r="T414" s="165" t="str">
        <x:v>チリ</x:v>
      </x:c>
      <x:c r="U414" s="165" t="str">
        <x:v>イタタ／ビオ・ビオ</x:v>
      </x:c>
      <x:c r="V414" s="165" t="str">
        <x:v>パイス、サンソー、モスカテル</x:v>
      </x:c>
      <x:c r="W414" s="165" t="str">
        <x:v>比較</x:v>
      </x:c>
      <x:c r="X414" s="171" t="str">
        <x:v>D3</x:v>
      </x:c>
      <x:c r="Y414" s="165" t="str">
        <x:v>南部はより暑い; 酒精強化</x:v>
      </x:c>
      <x:c r="Z414" s="171" t="str">
        <x:v>N</x:v>
      </x:c>
      <x:c r="AA414" s="165"/>
      <x:c r="AB414" s="165" t="str">
        <x:v>オリジナル</x:v>
      </x:c>
      <x:c r="AC414" s="165" t="str">
        <x:v>公式Specificationの範囲＋ユーザー作成コーパスの論点を参考に独自作成</x:v>
      </x:c>
      <x:c r="AD414" s="171" t="str">
        <x:v>未レビュー</x:v>
      </x:c>
      <x:c r="AE414" s="171"/>
      <x:c r="AF414" s="171"/>
      <x:c r="AG414" s="312"/>
    </x:row>
    <x:row r="415" ht="84" customHeight="1">
      <x:c r="A415" s="311" t="str">
        <x:v>LO2-114</x:v>
      </x:c>
      <x:c r="B415" s="171" t="str">
        <x:v>LO2</x:v>
      </x:c>
      <x:c r="C415" s="165" t="str">
        <x:v>世界の主要な非発泡性ワイン</x:v>
      </x:c>
      <x:c r="D415" s="165" t="str">
        <x:v>サルタのトロンテス</x:v>
      </x:c>
      <x:c r="E415" s="165" t="str">
        <x:v>サルタのトロンテスが強い花香と高い酸を両立しやすい主な理由はどれか。</x:v>
      </x:c>
      <x:c r="F415" s="165" t="str">
        <x:v>低地の湿潤熱帯気候だから</x:v>
      </x:c>
      <x:c r="G415" s="165" t="str">
        <x:v>極めて高い標高で、強い日射と冷涼な夜が同時に得られるため</x:v>
      </x:c>
      <x:c r="H415" s="165" t="str">
        <x:v>トロンテスをフロール熟成するから</x:v>
      </x:c>
      <x:c r="I415" s="165" t="str">
        <x:v>黒ブドウの長期マセレーションを行うから</x:v>
      </x:c>
      <x:c r="J415" s="171" t="str">
        <x:v>B</x:v>
      </x:c>
      <x:c r="K415" s="165" t="str">
        <x:v>極めて高い標高で、強い日射と冷涼な夜が同時に得られるため</x:v>
      </x:c>
      <x:c r="L415" s="165" t="str">
        <x:v>日中の紫外線と暖かさが香りと糖を発達させ、夜間の大幅な冷却が酸を保持する。</x:v>
      </x:c>
      <x:c r="M415" s="165" t="str">
        <x:v>誤り。 サルタの主要畑は高標高で乾燥している。</x:v>
      </x:c>
      <x:c r="N415" s="165" t="str">
        <x:v>正しい。 日中の紫外線と暖かさが香りと糖を発達させ、夜間の大幅な冷却が酸を保持する。</x:v>
      </x:c>
      <x:c r="O415" s="165" t="str">
        <x:v>誤り。 通常はフレッシュな芳香性白として造る。</x:v>
      </x:c>
      <x:c r="P415" s="165" t="str">
        <x:v>誤り。 トロンテスは白品種である。</x:v>
      </x:c>
      <x:c r="Q415" s="165" t="str">
        <x:v>自然要因</x:v>
      </x:c>
      <x:c r="R415" s="165" t="str">
        <x:v>アルゼンチン</x:v>
      </x:c>
      <x:c r="S415" s="165" t="str">
        <x:v>白ワイン</x:v>
      </x:c>
      <x:c r="T415" s="165" t="str">
        <x:v>アルゼンチン</x:v>
      </x:c>
      <x:c r="U415" s="165" t="str">
        <x:v>サルタ／カファジャテ</x:v>
      </x:c>
      <x:c r="V415" s="165" t="str">
        <x:v>トロンテス</x:v>
      </x:c>
      <x:c r="W415" s="165" t="str">
        <x:v>因果説明</x:v>
      </x:c>
      <x:c r="X415" s="171" t="str">
        <x:v>D2</x:v>
      </x:c>
      <x:c r="Y415" s="165" t="str">
        <x:v>サルタは低地熱帯; トロンテスは黒品種</x:v>
      </x:c>
      <x:c r="Z415" s="171" t="str">
        <x:v>N</x:v>
      </x:c>
      <x:c r="AA415" s="165"/>
      <x:c r="AB415" s="165" t="str">
        <x:v>オリジナル</x:v>
      </x:c>
      <x:c r="AC415" s="165" t="str">
        <x:v>公式Specificationの範囲＋ユーザー作成コーパスの論点を参考に独自作成</x:v>
      </x:c>
      <x:c r="AD415" s="171" t="str">
        <x:v>未レビュー</x:v>
      </x:c>
      <x:c r="AE415" s="171"/>
      <x:c r="AF415" s="171"/>
      <x:c r="AG415" s="312"/>
    </x:row>
    <x:row r="416" ht="84" customHeight="1">
      <x:c r="A416" s="311" t="str">
        <x:v>LO2-115</x:v>
      </x:c>
      <x:c r="B416" s="171" t="str">
        <x:v>LO2</x:v>
      </x:c>
      <x:c r="C416" s="165" t="str">
        <x:v>世界の主要な非発泡性ワイン</x:v>
      </x:c>
      <x:c r="D416" s="165" t="str">
        <x:v>コンスタンシア</x:v>
      </x:c>
      <x:c r="E416" s="165" t="str">
        <x:v>コンスタンシアのソーヴィニヨン・ブランがフレッシュな酸と香りを持ちやすい主な理由はどれか。</x:v>
      </x:c>
      <x:c r="F416" s="165" t="str">
        <x:v>内陸砂漠の極端な高温だから</x:v>
      </x:c>
      <x:c r="G416" s="165" t="str">
        <x:v>ブドウをすべて貴腐化するため</x:v>
      </x:c>
      <x:c r="H416" s="165" t="str">
        <x:v>ケープ半島の海洋風と標高が夏の暑さを和らげるため</x:v>
      </x:c>
      <x:c r="I416" s="165" t="str">
        <x:v>発酵中に酒精強化するため</x:v>
      </x:c>
      <x:c r="J416" s="171" t="str">
        <x:v>C</x:v>
      </x:c>
      <x:c r="K416" s="165" t="str">
        <x:v>ケープ半島の海洋風と標高が夏の暑さを和らげるため</x:v>
      </x:c>
      <x:c r="L416" s="165" t="str">
        <x:v>大西洋とフォールス湾からの冷たい風が成熟を遅らせ、柑橘、青草、トロピカル果実の香りを保つ。</x:v>
      </x:c>
      <x:c r="M416" s="165" t="str">
        <x:v>誤り。 コンスタンシアは海に近く、冷却を受ける。</x:v>
      </x:c>
      <x:c r="N416" s="165" t="str">
        <x:v>誤り。 甘口の歴史もあるが、ソーヴィニヨン・ブランの典型は辛口である。</x:v>
      </x:c>
      <x:c r="O416" s="165" t="str">
        <x:v>正しい。 大西洋とフォールス湾からの冷たい風が成熟を遅らせ、柑橘、青草、トロピカル果実の香りを保つ。</x:v>
      </x:c>
      <x:c r="P416" s="165" t="str">
        <x:v>誤り。 通常の辛口白である。</x:v>
      </x:c>
      <x:c r="Q416" s="165" t="str">
        <x:v>自然要因</x:v>
      </x:c>
      <x:c r="R416" s="165" t="str">
        <x:v>ケープ・タウン</x:v>
      </x:c>
      <x:c r="S416" s="165" t="str">
        <x:v>白ワイン</x:v>
      </x:c>
      <x:c r="T416" s="165" t="str">
        <x:v>南アフリカ</x:v>
      </x:c>
      <x:c r="U416" s="165" t="str">
        <x:v>コンスタンシア</x:v>
      </x:c>
      <x:c r="V416" s="165" t="str">
        <x:v>ソーヴィニヨン・ブラン</x:v>
      </x:c>
      <x:c r="W416" s="165" t="str">
        <x:v>因果説明</x:v>
      </x:c>
      <x:c r="X416" s="171" t="str">
        <x:v>D2</x:v>
      </x:c>
      <x:c r="Y416" s="165" t="str">
        <x:v>コンスタンシアは砂漠; すべて貴腐</x:v>
      </x:c>
      <x:c r="Z416" s="171" t="str">
        <x:v>N</x:v>
      </x:c>
      <x:c r="AA416" s="165"/>
      <x:c r="AB416" s="165" t="str">
        <x:v>オリジナル</x:v>
      </x:c>
      <x:c r="AC416" s="165" t="str">
        <x:v>公式Specificationの範囲＋ユーザー作成コーパスの論点を参考に独自作成</x:v>
      </x:c>
      <x:c r="AD416" s="171" t="str">
        <x:v>未レビュー</x:v>
      </x:c>
      <x:c r="AE416" s="171"/>
      <x:c r="AF416" s="171"/>
      <x:c r="AG416" s="312"/>
    </x:row>
    <x:row r="417" ht="84" customHeight="1">
      <x:c r="A417" s="311" t="str">
        <x:v>LO2-116</x:v>
      </x:c>
      <x:c r="B417" s="171" t="str">
        <x:v>LO2</x:v>
      </x:c>
      <x:c r="C417" s="165" t="str">
        <x:v>世界の主要な非発泡性ワイン</x:v>
      </x:c>
      <x:c r="D417" s="165" t="str">
        <x:v>エルギン</x:v>
      </x:c>
      <x:c r="E417" s="165" t="str">
        <x:v>エルギンのシャルドネが南アフリカの温暖地域より繊細で高い酸を持ちやすい主な理由はどれか。</x:v>
      </x:c>
      <x:c r="F417" s="165" t="str">
        <x:v>国の最も暑い低地だから</x:v>
      </x:c>
      <x:c r="G417" s="165" t="str">
        <x:v>シャルドネを樹上乾燥するから</x:v>
      </x:c>
      <x:c r="H417" s="165" t="str">
        <x:v>フロール下で熟成するから</x:v>
      </x:c>
      <x:c r="I417" s="165" t="str">
        <x:v>高標高の盆地と海洋からの冷気により、生育期が冷涼で長い</x:v>
      </x:c>
      <x:c r="J417" s="171" t="str">
        <x:v>D</x:v>
      </x:c>
      <x:c r="K417" s="165" t="str">
        <x:v>高標高の盆地と海洋からの冷気により、生育期が冷涼で長い</x:v>
      </x:c>
      <x:c r="L417" s="165" t="str">
        <x:v>冷涼な条件が成熟を遅らせ、柑橘と核果の香りを発達させながら酸を保持する。</x:v>
      </x:c>
      <x:c r="M417" s="165" t="str">
        <x:v>誤り。 エルギンは南アフリカでも冷涼な産地である。</x:v>
      </x:c>
      <x:c r="N417" s="165" t="str">
        <x:v>誤り。 通常はフレッシュまたは樽熟成の辛口白である。</x:v>
      </x:c>
      <x:c r="O417" s="165" t="str">
        <x:v>誤り。 シェリー方式ではない。</x:v>
      </x:c>
      <x:c r="P417" s="165" t="str">
        <x:v>正しい。 冷涼な条件が成熟を遅らせ、柑橘と核果の香りを発達させながら酸を保持する。</x:v>
      </x:c>
      <x:c r="Q417" s="165" t="str">
        <x:v>自然要因</x:v>
      </x:c>
      <x:c r="R417" s="165" t="str">
        <x:v>西ケープ</x:v>
      </x:c>
      <x:c r="S417" s="165" t="str">
        <x:v>白ワイン</x:v>
      </x:c>
      <x:c r="T417" s="165" t="str">
        <x:v>南アフリカ</x:v>
      </x:c>
      <x:c r="U417" s="165" t="str">
        <x:v>エルギン</x:v>
      </x:c>
      <x:c r="V417" s="165" t="str">
        <x:v>シャルドネ</x:v>
      </x:c>
      <x:c r="W417" s="165" t="str">
        <x:v>比較</x:v>
      </x:c>
      <x:c r="X417" s="171" t="str">
        <x:v>D2</x:v>
      </x:c>
      <x:c r="Y417" s="165" t="str">
        <x:v>エルギンは最暑; 樹上乾燥</x:v>
      </x:c>
      <x:c r="Z417" s="171" t="str">
        <x:v>N</x:v>
      </x:c>
      <x:c r="AA417" s="165"/>
      <x:c r="AB417" s="165" t="str">
        <x:v>オリジナル</x:v>
      </x:c>
      <x:c r="AC417" s="165" t="str">
        <x:v>公式Specificationの範囲＋ユーザー作成コーパスの論点を参考に独自作成</x:v>
      </x:c>
      <x:c r="AD417" s="171" t="str">
        <x:v>未レビュー</x:v>
      </x:c>
      <x:c r="AE417" s="171"/>
      <x:c r="AF417" s="171"/>
      <x:c r="AG417" s="312"/>
    </x:row>
    <x:row r="418" ht="84" customHeight="1">
      <x:c r="A418" s="311" t="str">
        <x:v>LO2-117</x:v>
      </x:c>
      <x:c r="B418" s="171" t="str">
        <x:v>LO2</x:v>
      </x:c>
      <x:c r="C418" s="165" t="str">
        <x:v>世界の主要な非発泡性ワイン</x:v>
      </x:c>
      <x:c r="D418" s="165" t="str">
        <x:v>パール</x:v>
      </x:c>
      <x:c r="E418" s="165" t="str">
        <x:v>パールの赤ワインがステレンボッシュの海寄りの畑より熟したスタイルになりやすい主な理由はどれか。</x:v>
      </x:c>
      <x:c r="F418" s="165" t="str">
        <x:v>内陸で海洋の冷却が弱く、夏の日中がより暑い</x:v>
      </x:c>
      <x:c r="G418" s="165" t="str">
        <x:v>南極からの霧で一年中低温だから</x:v>
      </x:c>
      <x:c r="H418" s="165" t="str">
        <x:v>リースリングだけを凍結収穫するから</x:v>
      </x:c>
      <x:c r="I418" s="165" t="str">
        <x:v>すべてのワインを発泡性にするから</x:v>
      </x:c>
      <x:c r="J418" s="171" t="str">
        <x:v>A</x:v>
      </x:c>
      <x:c r="K418" s="165" t="str">
        <x:v>内陸で海洋の冷却が弱く、夏の日中がより暑い</x:v>
      </x:c>
      <x:c r="L418" s="165" t="str">
        <x:v>温暖な気候でシラーやカベルネが高い糖度まで成熟し、豊かな果実味と高いアルコールを得やすい。</x:v>
      </x:c>
      <x:c r="M418" s="165" t="str">
        <x:v>正しい。 温暖な気候でシラーやカベルネが高い糖度まで成熟し、豊かな果実味と高いアルコールを得やすい。</x:v>
      </x:c>
      <x:c r="N418" s="165" t="str">
        <x:v>誤り。 パールは内陸の比較的温暖な地域である。</x:v>
      </x:c>
      <x:c r="O418" s="165" t="str">
        <x:v>誤り。 黒品種の辛口赤が重要である。</x:v>
      </x:c>
      <x:c r="P418" s="165" t="str">
        <x:v>誤り。 非発泡性の赤・白が中心である。</x:v>
      </x:c>
      <x:c r="Q418" s="165" t="str">
        <x:v>自然要因</x:v>
      </x:c>
      <x:c r="R418" s="165" t="str">
        <x:v>西ケープ</x:v>
      </x:c>
      <x:c r="S418" s="165" t="str">
        <x:v>赤ワイン</x:v>
      </x:c>
      <x:c r="T418" s="165" t="str">
        <x:v>南アフリカ</x:v>
      </x:c>
      <x:c r="U418" s="165" t="str">
        <x:v>パール</x:v>
      </x:c>
      <x:c r="V418" s="165" t="str">
        <x:v>シラー、カベルネ・ソーヴィニヨン</x:v>
      </x:c>
      <x:c r="W418" s="165" t="str">
        <x:v>比較</x:v>
      </x:c>
      <x:c r="X418" s="171" t="str">
        <x:v>D2</x:v>
      </x:c>
      <x:c r="Y418" s="165" t="str">
        <x:v>パールは極寒; 発泡性のみ</x:v>
      </x:c>
      <x:c r="Z418" s="171" t="str">
        <x:v>N</x:v>
      </x:c>
      <x:c r="AA418" s="165"/>
      <x:c r="AB418" s="165" t="str">
        <x:v>オリジナル</x:v>
      </x:c>
      <x:c r="AC418" s="165" t="str">
        <x:v>公式Specificationの範囲＋ユーザー作成コーパスの論点を参考に独自作成</x:v>
      </x:c>
      <x:c r="AD418" s="171" t="str">
        <x:v>未レビュー</x:v>
      </x:c>
      <x:c r="AE418" s="171"/>
      <x:c r="AF418" s="171"/>
      <x:c r="AG418" s="312"/>
    </x:row>
    <x:row r="419" ht="84" customHeight="1">
      <x:c r="A419" s="311" t="str">
        <x:v>LO2-118</x:v>
      </x:c>
      <x:c r="B419" s="171" t="str">
        <x:v>LO2</x:v>
      </x:c>
      <x:c r="C419" s="165" t="str">
        <x:v>世界の主要な非発泡性ワイン</x:v>
      </x:c>
      <x:c r="D419" s="165" t="str">
        <x:v>ヤラ・ヴァレー</x:v>
      </x:c>
      <x:c r="E419" s="165" t="str">
        <x:v>ヤラ・ヴァレーのピノ・ノワールに典型的なスタイルはどれか。</x:v>
      </x:c>
      <x:c r="F419" s="165" t="str">
        <x:v>ジャム状黒果実と極めて高いアルコールのプリミティーヴォ</x:v>
      </x:c>
      <x:c r="G419" s="165" t="str">
        <x:v>赤いチェリーとラズベリー、高い酸、中程度以下のタンニンを持つ香り高い赤</x:v>
      </x:c>
      <x:c r="H419" s="165" t="str">
        <x:v>貴腐セミヨンの甘口白</x:v>
      </x:c>
      <x:c r="I419" s="165" t="str">
        <x:v>パロミノのフロール熟成酒精強化ワイン</x:v>
      </x:c>
      <x:c r="J419" s="171" t="str">
        <x:v>B</x:v>
      </x:c>
      <x:c r="K419" s="165" t="str">
        <x:v>赤いチェリーとラズベリー、高い酸、中程度以下のタンニンを持つ香り高い赤</x:v>
      </x:c>
      <x:c r="L419" s="165" t="str">
        <x:v>標高と南極海からの冷却により、ピノ・ノワールがゆっくり成熟し、繊細な果実と香辛料を保つ。</x:v>
      </x:c>
      <x:c r="M419" s="165" t="str">
        <x:v>誤り。 これは温暖な南イタリアのスタイルに近い。</x:v>
      </x:c>
      <x:c r="N419" s="165" t="str">
        <x:v>正しい。 標高と南極海からの冷却により、ピノ・ノワールがゆっくり成熟し、繊細な果実と香辛料を保つ。</x:v>
      </x:c>
      <x:c r="O419" s="165" t="str">
        <x:v>誤り。 ヤラの代表的なピノ・ノワールは辛口赤である。</x:v>
      </x:c>
      <x:c r="P419" s="165" t="str">
        <x:v>誤り。 シェリーの特徴である。</x:v>
      </x:c>
      <x:c r="Q419" s="165" t="str">
        <x:v>産地</x:v>
      </x:c>
      <x:c r="R419" s="165" t="str">
        <x:v>ヴィクトリア州</x:v>
      </x:c>
      <x:c r="S419" s="165" t="str">
        <x:v>赤ワイン</x:v>
      </x:c>
      <x:c r="T419" s="165" t="str">
        <x:v>オーストラリア</x:v>
      </x:c>
      <x:c r="U419" s="165" t="str">
        <x:v>ヤラ・ヴァレー</x:v>
      </x:c>
      <x:c r="V419" s="165" t="str">
        <x:v>ピノ・ノワール</x:v>
      </x:c>
      <x:c r="W419" s="165" t="str">
        <x:v>知識確認</x:v>
      </x:c>
      <x:c r="X419" s="171" t="str">
        <x:v>D2</x:v>
      </x:c>
      <x:c r="Y419" s="165" t="str">
        <x:v>ヤラピノは高アルコール濃厚; 酒精強化</x:v>
      </x:c>
      <x:c r="Z419" s="171" t="str">
        <x:v>N</x:v>
      </x:c>
      <x:c r="AA419" s="165"/>
      <x:c r="AB419" s="165" t="str">
        <x:v>オリジナル</x:v>
      </x:c>
      <x:c r="AC419" s="165" t="str">
        <x:v>公式Specificationの範囲＋ユーザー作成コーパスの論点を参考に独自作成</x:v>
      </x:c>
      <x:c r="AD419" s="171" t="str">
        <x:v>未レビュー</x:v>
      </x:c>
      <x:c r="AE419" s="171"/>
      <x:c r="AF419" s="171"/>
      <x:c r="AG419" s="312"/>
    </x:row>
    <x:row r="420" ht="84" customHeight="1">
      <x:c r="A420" s="311" t="str">
        <x:v>LO2-119</x:v>
      </x:c>
      <x:c r="B420" s="171" t="str">
        <x:v>LO2</x:v>
      </x:c>
      <x:c r="C420" s="165" t="str">
        <x:v>世界の主要な非発泡性ワイン</x:v>
      </x:c>
      <x:c r="D420" s="165" t="str">
        <x:v>マクラーレン・ヴェイル</x:v>
      </x:c>
      <x:c r="E420" s="165" t="str">
        <x:v>マクラーレン・ヴェイルのシラーズやグルナッシュが豊かな果実味を持ちながら過度に重くなりにくい要因はどれか。</x:v>
      </x:c>
      <x:c r="F420" s="165" t="str">
        <x:v>一年中雪に覆われるため</x:v>
      </x:c>
      <x:c r="G420" s="165" t="str">
        <x:v>高湿度の熱帯雨林だから</x:v>
      </x:c>
      <x:c r="H420" s="165" t="str">
        <x:v>温暖な地中海性気候に、湾からの海風と一部の標高差が加わるため</x:v>
      </x:c>
      <x:c r="I420" s="165" t="str">
        <x:v>リースリングのみを栽培するため</x:v>
      </x:c>
      <x:c r="J420" s="171" t="str">
        <x:v>C</x:v>
      </x:c>
      <x:c r="K420" s="165" t="str">
        <x:v>温暖な地中海性気候に、湾からの海風と一部の標高差が加わるため</x:v>
      </x:c>
      <x:c r="L420" s="165" t="str">
        <x:v>暖かさが完熟を促し、午後の海風が畑を冷却して酸と香りを保つ。</x:v>
      </x:c>
      <x:c r="M420" s="165" t="str">
        <x:v>誤り。 温暖な南オーストラリアの沿岸産地である。</x:v>
      </x:c>
      <x:c r="N420" s="165" t="str">
        <x:v>誤り。 地中海性で夏は乾燥する。</x:v>
      </x:c>
      <x:c r="O420" s="165" t="str">
        <x:v>正しい。 暖かさが完熟を促し、午後の海風が畑を冷却して酸と香りを保つ。</x:v>
      </x:c>
      <x:c r="P420" s="165" t="str">
        <x:v>誤り。 シラーズ、グルナッシュ、カベルネが重要である。</x:v>
      </x:c>
      <x:c r="Q420" s="165" t="str">
        <x:v>自然要因</x:v>
      </x:c>
      <x:c r="R420" s="165" t="str">
        <x:v>南オーストラリア州</x:v>
      </x:c>
      <x:c r="S420" s="165" t="str">
        <x:v>赤ワイン</x:v>
      </x:c>
      <x:c r="T420" s="165" t="str">
        <x:v>オーストラリア</x:v>
      </x:c>
      <x:c r="U420" s="165" t="str">
        <x:v>マクラーレン・ヴェイル</x:v>
      </x:c>
      <x:c r="V420" s="165" t="str">
        <x:v>シラーズ、グルナッシュ</x:v>
      </x:c>
      <x:c r="W420" s="165" t="str">
        <x:v>因果説明</x:v>
      </x:c>
      <x:c r="X420" s="171" t="str">
        <x:v>D3</x:v>
      </x:c>
      <x:c r="Y420" s="165" t="str">
        <x:v>マクラーレンは雪国; 熱帯雨林</x:v>
      </x:c>
      <x:c r="Z420" s="171" t="str">
        <x:v>N</x:v>
      </x:c>
      <x:c r="AA420" s="165"/>
      <x:c r="AB420" s="165" t="str">
        <x:v>オリジナル</x:v>
      </x:c>
      <x:c r="AC420" s="165" t="str">
        <x:v>公式Specificationの範囲＋ユーザー作成コーパスの論点を参考に独自作成</x:v>
      </x:c>
      <x:c r="AD420" s="171" t="str">
        <x:v>未レビュー</x:v>
      </x:c>
      <x:c r="AE420" s="171"/>
      <x:c r="AF420" s="171"/>
      <x:c r="AG420" s="312"/>
    </x:row>
    <x:row r="421" ht="84" customHeight="1">
      <x:c r="A421" s="311" t="str">
        <x:v>LO2-120</x:v>
      </x:c>
      <x:c r="B421" s="171" t="str">
        <x:v>LO2</x:v>
      </x:c>
      <x:c r="C421" s="165" t="str">
        <x:v>世界の主要な非発泡性ワイン</x:v>
      </x:c>
      <x:c r="D421" s="165" t="str">
        <x:v>ホークス・ベイのシラー</x:v>
      </x:c>
      <x:c r="E421" s="165" t="str">
        <x:v>ホークス・ベイのシラーに典型的な特徴はどれか。</x:v>
      </x:c>
      <x:c r="F421" s="165" t="str">
        <x:v>低酸で甘いモスカート発泡性ワイン</x:v>
      </x:c>
      <x:c r="G421" s="165" t="str">
        <x:v>非常に淡い色のガメイのヌーヴォー</x:v>
      </x:c>
      <x:c r="H421" s="165" t="str">
        <x:v>フロール下で熟成したパロミノ</x:v>
      </x:c>
      <x:c r="I421" s="165" t="str">
        <x:v>熟したプラムと黒系果実、黒胡椒、高い酸と中程度以上のタンニン</x:v>
      </x:c>
      <x:c r="J421" s="171" t="str">
        <x:v>D</x:v>
      </x:c>
      <x:c r="K421" s="165" t="str">
        <x:v>熟したプラムと黒系果実、黒胡椒、高い酸と中程度以上のタンニン</x:v>
      </x:c>
      <x:c r="L421" s="165" t="str">
        <x:v>ニュージーランドでも比較的暖かく乾燥した地域で、砂利質土壌と海洋性気候が成熟と鮮度を両立する。</x:v>
      </x:c>
      <x:c r="M421" s="165" t="str">
        <x:v>誤り。 シラーは黒品種で、辛口赤を造る。</x:v>
      </x:c>
      <x:c r="N421" s="165" t="str">
        <x:v>誤り。 品種と地域が異なる。</x:v>
      </x:c>
      <x:c r="O421" s="165" t="str">
        <x:v>誤り。 シェリーの特徴である。</x:v>
      </x:c>
      <x:c r="P421" s="165" t="str">
        <x:v>正しい。 ニュージーランドでも比較的暖かく乾燥した地域で、砂利質土壌と海洋性気候が成熟と鮮度を両立する。</x:v>
      </x:c>
      <x:c r="Q421" s="165" t="str">
        <x:v>産地</x:v>
      </x:c>
      <x:c r="R421" s="165" t="str">
        <x:v>ニュージーランド</x:v>
      </x:c>
      <x:c r="S421" s="165" t="str">
        <x:v>赤ワイン</x:v>
      </x:c>
      <x:c r="T421" s="165" t="str">
        <x:v>ニュージーランド</x:v>
      </x:c>
      <x:c r="U421" s="165" t="str">
        <x:v>ホークス・ベイ</x:v>
      </x:c>
      <x:c r="V421" s="165" t="str">
        <x:v>シラー</x:v>
      </x:c>
      <x:c r="W421" s="165" t="str">
        <x:v>知識確認</x:v>
      </x:c>
      <x:c r="X421" s="171" t="str">
        <x:v>D2</x:v>
      </x:c>
      <x:c r="Y421" s="165" t="str">
        <x:v>ホークスベイシラーは甘口発泡; ガメイ</x:v>
      </x:c>
      <x:c r="Z421" s="171" t="str">
        <x:v>N</x:v>
      </x:c>
      <x:c r="AA421" s="165"/>
      <x:c r="AB421" s="165" t="str">
        <x:v>オリジナル</x:v>
      </x:c>
      <x:c r="AC421" s="165" t="str">
        <x:v>公式Specificationの範囲＋ユーザー作成コーパスの論点を参考に独自作成</x:v>
      </x:c>
      <x:c r="AD421" s="171" t="str">
        <x:v>未レビュー</x:v>
      </x:c>
      <x:c r="AE421" s="171"/>
      <x:c r="AF421" s="171"/>
      <x:c r="AG421" s="312"/>
    </x:row>
    <x:row r="422" ht="84" customHeight="1">
      <x:c r="A422" s="311" t="str">
        <x:v>LO3-061</x:v>
      </x:c>
      <x:c r="B422" s="171" t="str">
        <x:v>LO3</x:v>
      </x:c>
      <x:c r="C422" s="165" t="str">
        <x:v>世界の主要な発泡性ワイン</x:v>
      </x:c>
      <x:c r="D422" s="165" t="str">
        <x:v>キュヴェとタイユ</x:v>
      </x:c>
      <x:c r="E422" s="165" t="str">
        <x:v>伝統的方式の発泡性ワイン用ブドウを圧搾したとき、一般に最初の圧搾果汁が後半の果汁より好まれる主な理由はどれか。</x:v>
      </x:c>
      <x:c r="F422" s="165" t="str">
        <x:v>酸が高く、果皮由来のフェノールや色の抽出が比較的少ないため</x:v>
      </x:c>
      <x:c r="G422" s="165" t="str">
        <x:v>最初の果汁だけがアルコールをすでに含むため</x:v>
      </x:c>
      <x:c r="H422" s="165" t="str">
        <x:v>後半の果汁は必ず糖を一切含まないため</x:v>
      </x:c>
      <x:c r="I422" s="165" t="str">
        <x:v>最初の果汁は自然に発泡性になるため</x:v>
      </x:c>
      <x:c r="J422" s="171" t="str">
        <x:v>A</x:v>
      </x:c>
      <x:c r="K422" s="165" t="str">
        <x:v>酸が高く、果皮由来のフェノールや色の抽出が比較的少ないため</x:v>
      </x:c>
      <x:c r="L422" s="165" t="str">
        <x:v>穏やかな最初の圧搾では清澄で繊細な果汁が得られやすく、後半の圧搾ほど果皮成分と粗さが増えやすい。</x:v>
      </x:c>
      <x:c r="M422" s="165" t="str">
        <x:v>正しい。 穏やかな最初の圧搾では清澄で繊細な果汁が得られやすく、後半の圧搾ほど果皮成分と粗さが増えやすい。</x:v>
      </x:c>
      <x:c r="N422" s="165" t="str">
        <x:v>誤り。 収穫直後の果汁には通常アルコールはほとんどなく、発酵で生成される。</x:v>
      </x:c>
      <x:c r="O422" s="165" t="str">
        <x:v>誤り。 後半の圧搾果汁にも糖は含まれる。</x:v>
      </x:c>
      <x:c r="P422" s="165" t="str">
        <x:v>誤り。 発泡性は二次発酵や炭酸ガス保持によって生じる。</x:v>
      </x:c>
      <x:c r="Q422" s="165" t="str">
        <x:v>発泡性ワイン製法</x:v>
      </x:c>
      <x:c r="R422" s="165" t="str">
        <x:v>圧搾</x:v>
      </x:c>
      <x:c r="S422" s="165" t="str">
        <x:v>発泡性ワイン</x:v>
      </x:c>
      <x:c r="T422" s="165"/>
      <x:c r="U422" s="165"/>
      <x:c r="V422" s="165"/>
      <x:c r="W422" s="165" t="str">
        <x:v>因果説明</x:v>
      </x:c>
      <x:c r="X422" s="171" t="str">
        <x:v>D2</x:v>
      </x:c>
      <x:c r="Y422" s="165" t="str">
        <x:v>最初の果汁は発酵済み; 後半果汁は無糖</x:v>
      </x:c>
      <x:c r="Z422" s="171" t="str">
        <x:v>N</x:v>
      </x:c>
      <x:c r="AA422" s="165"/>
      <x:c r="AB422" s="165" t="str">
        <x:v>オリジナル</x:v>
      </x:c>
      <x:c r="AC422" s="165" t="str">
        <x:v>公式Specificationの範囲＋ユーザー作成コーパスの論点を参考に独自作成</x:v>
      </x:c>
      <x:c r="AD422" s="171" t="str">
        <x:v>未レビュー</x:v>
      </x:c>
      <x:c r="AE422" s="171"/>
      <x:c r="AF422" s="171"/>
      <x:c r="AG422" s="312"/>
    </x:row>
    <x:row r="423" ht="84" customHeight="1">
      <x:c r="A423" s="311" t="str">
        <x:v>LO3-062</x:v>
      </x:c>
      <x:c r="B423" s="171" t="str">
        <x:v>LO3</x:v>
      </x:c>
      <x:c r="C423" s="165" t="str">
        <x:v>世界の主要な発泡性ワイン</x:v>
      </x:c>
      <x:c r="D423" s="165" t="str">
        <x:v>ベースワインの高い酸</x:v>
      </x:c>
      <x:c r="E423" s="165" t="str">
        <x:v>伝統的方式の発泡性ワインで、ベースワインに高い酸が求められる主な理由はどれか。</x:v>
      </x:c>
      <x:c r="F423" s="165" t="str">
        <x:v>高い酸が瓶内の糖をすべて消滅させるため</x:v>
      </x:c>
      <x:c r="G423" s="165" t="str">
        <x:v>二次発酵、澱熟成、ドザージュを経た完成品の鮮度とバランスを保つため</x:v>
      </x:c>
      <x:c r="H423" s="165" t="str">
        <x:v>高い酸がアルコールを発生させるため</x:v>
      </x:c>
      <x:c r="I423" s="165" t="str">
        <x:v>高い酸がコルクを自動的に固定するため</x:v>
      </x:c>
      <x:c r="J423" s="171" t="str">
        <x:v>B</x:v>
      </x:c>
      <x:c r="K423" s="165" t="str">
        <x:v>二次発酵、澱熟成、ドザージュを経た完成品の鮮度とバランスを保つため</x:v>
      </x:c>
      <x:c r="L423" s="165" t="str">
        <x:v>発泡性と熟成によって酸の鋭さは和らぎ、糖を含むドザージュが加わる場合もあるため、出発点には十分な酸が必要である。</x:v>
      </x:c>
      <x:c r="M423" s="165" t="str">
        <x:v>誤り。 糖は酵母が発酵するかドザージュで加えられ、酸が直接消滅させない。</x:v>
      </x:c>
      <x:c r="N423" s="165" t="str">
        <x:v>正しい。 発泡性と熟成によって酸の鋭さは和らぎ、糖を含むドザージュが加わる場合もあるため、出発点には十分な酸が必要である。</x:v>
      </x:c>
      <x:c r="O423" s="165" t="str">
        <x:v>誤り。 アルコールは酵母発酵で生じる。</x:v>
      </x:c>
      <x:c r="P423" s="165" t="str">
        <x:v>誤り。 コルクは瓶内圧力に対応する形状とミュズレで固定される。</x:v>
      </x:c>
      <x:c r="Q423" s="165" t="str">
        <x:v>発泡性ワイン製法</x:v>
      </x:c>
      <x:c r="R423" s="165" t="str">
        <x:v>ベースワイン</x:v>
      </x:c>
      <x:c r="S423" s="165" t="str">
        <x:v>発泡性ワイン</x:v>
      </x:c>
      <x:c r="T423" s="165"/>
      <x:c r="U423" s="165"/>
      <x:c r="V423" s="165"/>
      <x:c r="W423" s="165" t="str">
        <x:v>因果説明</x:v>
      </x:c>
      <x:c r="X423" s="171" t="str">
        <x:v>D2</x:v>
      </x:c>
      <x:c r="Y423" s="165" t="str">
        <x:v>酸が糖を消す; 酸がアルコール生成</x:v>
      </x:c>
      <x:c r="Z423" s="171" t="str">
        <x:v>N</x:v>
      </x:c>
      <x:c r="AA423" s="165"/>
      <x:c r="AB423" s="165" t="str">
        <x:v>オリジナル</x:v>
      </x:c>
      <x:c r="AC423" s="165" t="str">
        <x:v>公式Specificationの範囲＋ユーザー作成コーパスの論点を参考に独自作成</x:v>
      </x:c>
      <x:c r="AD423" s="171" t="str">
        <x:v>未レビュー</x:v>
      </x:c>
      <x:c r="AE423" s="171"/>
      <x:c r="AF423" s="171"/>
      <x:c r="AG423" s="312"/>
    </x:row>
    <x:row r="424" ht="84" customHeight="1">
      <x:c r="A424" s="311" t="str">
        <x:v>LO3-063</x:v>
      </x:c>
      <x:c r="B424" s="171" t="str">
        <x:v>LO3</x:v>
      </x:c>
      <x:c r="C424" s="165" t="str">
        <x:v>世界の主要な発泡性ワイン</x:v>
      </x:c>
      <x:c r="D424" s="165" t="str">
        <x:v>ベースワインのMLF</x:v>
      </x:c>
      <x:c r="E424" s="165" t="str">
        <x:v>発泡性ワインのベースワインにマロラクティック発酵を行う主な効果はどれか。</x:v>
      </x:c>
      <x:c r="F424" s="165" t="str">
        <x:v>瓶内圧力を直接高める</x:v>
      </x:c>
      <x:c r="G424" s="165" t="str">
        <x:v>残糖を増やして甘口にする</x:v>
      </x:c>
      <x:c r="H424" s="165" t="str">
        <x:v>酸を和らげ、微生物安定性を高め、場合によりクリーミーな風味を加える</x:v>
      </x:c>
      <x:c r="I424" s="165" t="str">
        <x:v>澱を瓶口へ集める</x:v>
      </x:c>
      <x:c r="J424" s="171" t="str">
        <x:v>C</x:v>
      </x:c>
      <x:c r="K424" s="165" t="str">
        <x:v>酸を和らげ、微生物安定性を高め、場合によりクリーミーな風味を加える</x:v>
      </x:c>
      <x:c r="L424" s="165" t="str">
        <x:v>鋭いリンゴ酸が穏やかな乳酸へ変わるため、冷涼産地の高酸ベースワインを調整できる。</x:v>
      </x:c>
      <x:c r="M424" s="165" t="str">
        <x:v>誤り。 圧力は二次発酵で生成される二酸化炭素による。</x:v>
      </x:c>
      <x:c r="N424" s="165" t="str">
        <x:v>誤り。 MLFは糖を増やさず、主に酸を変換する。</x:v>
      </x:c>
      <x:c r="O424" s="165" t="str">
        <x:v>正しい。 鋭いリンゴ酸が穏やかな乳酸へ変わるため、冷涼産地の高酸ベースワインを調整できる。</x:v>
      </x:c>
      <x:c r="P424" s="165" t="str">
        <x:v>誤り。 これはルミュアージュの役割である。</x:v>
      </x:c>
      <x:c r="Q424" s="165" t="str">
        <x:v>発泡性ワイン製法</x:v>
      </x:c>
      <x:c r="R424" s="165" t="str">
        <x:v>マロラクティック発酵</x:v>
      </x:c>
      <x:c r="S424" s="165" t="str">
        <x:v>発泡性ワイン</x:v>
      </x:c>
      <x:c r="T424" s="165"/>
      <x:c r="U424" s="165"/>
      <x:c r="V424" s="165"/>
      <x:c r="W424" s="165" t="str">
        <x:v>因果説明</x:v>
      </x:c>
      <x:c r="X424" s="171" t="str">
        <x:v>D2</x:v>
      </x:c>
      <x:c r="Y424" s="165" t="str">
        <x:v>MLFで加圧; MLFで甘味増加</x:v>
      </x:c>
      <x:c r="Z424" s="171" t="str">
        <x:v>N</x:v>
      </x:c>
      <x:c r="AA424" s="165"/>
      <x:c r="AB424" s="165" t="str">
        <x:v>オリジナル</x:v>
      </x:c>
      <x:c r="AC424" s="165" t="str">
        <x:v>公式Specificationの範囲＋ユーザー作成コーパスの論点を参考に独自作成</x:v>
      </x:c>
      <x:c r="AD424" s="171" t="str">
        <x:v>未レビュー</x:v>
      </x:c>
      <x:c r="AE424" s="171"/>
      <x:c r="AF424" s="171"/>
      <x:c r="AG424" s="312"/>
    </x:row>
    <x:row r="425" ht="84" customHeight="1">
      <x:c r="A425" s="311" t="str">
        <x:v>LO3-064</x:v>
      </x:c>
      <x:c r="B425" s="171" t="str">
        <x:v>LO3</x:v>
      </x:c>
      <x:c r="C425" s="165" t="str">
        <x:v>世界の主要な発泡性ワイン</x:v>
      </x:c>
      <x:c r="D425" s="165" t="str">
        <x:v>リザーヴワインの保管</x:v>
      </x:c>
      <x:c r="E425" s="165" t="str">
        <x:v>ノン・ヴィンテージ発泡性ワイン用のリザーヴワインを保管する主な目的はどれか。</x:v>
      </x:c>
      <x:c r="F425" s="165" t="str">
        <x:v>すべてのリザーヴワインを甘口にする</x:v>
      </x:c>
      <x:c r="G425" s="165" t="str">
        <x:v>二次発酵を行わずに泡を作る</x:v>
      </x:c>
      <x:c r="H425" s="165" t="str">
        <x:v>ボトルの澱を除去する</x:v>
      </x:c>
      <x:c r="I425" s="165" t="str">
        <x:v>年ごとの収穫差を補い、継続的なハウス・スタイルを維持する</x:v>
      </x:c>
      <x:c r="J425" s="171" t="str">
        <x:v>D</x:v>
      </x:c>
      <x:c r="K425" s="165" t="str">
        <x:v>年ごとの収穫差を補い、継続的なハウス・スタイルを維持する</x:v>
      </x:c>
      <x:c r="L425" s="165" t="str">
        <x:v>複数年のワインをブレンドすることで、気候差をならし、香り、酸、熟成感を毎年一定に近づけられる。</x:v>
      </x:c>
      <x:c r="M425" s="165" t="str">
        <x:v>誤り。 リザーヴワインは甘味調整用ではなく、ブレンドの一部である。</x:v>
      </x:c>
      <x:c r="N425" s="165" t="str">
        <x:v>誤り。 発泡性は別途二次発酵や炭酸ガス注入で生じる。</x:v>
      </x:c>
      <x:c r="O425" s="165" t="str">
        <x:v>誤り。 澱の除去はデゴルジュマンで行う。</x:v>
      </x:c>
      <x:c r="P425" s="165" t="str">
        <x:v>正しい。 複数年のワインをブレンドすることで、気候差をならし、香り、酸、熟成感を毎年一定に近づけられる。</x:v>
      </x:c>
      <x:c r="Q425" s="165" t="str">
        <x:v>発泡性ワイン製法</x:v>
      </x:c>
      <x:c r="R425" s="165" t="str">
        <x:v>ブレンド</x:v>
      </x:c>
      <x:c r="S425" s="165" t="str">
        <x:v>発泡性ワイン</x:v>
      </x:c>
      <x:c r="T425" s="165"/>
      <x:c r="U425" s="165"/>
      <x:c r="V425" s="165"/>
      <x:c r="W425" s="165" t="str">
        <x:v>因果説明</x:v>
      </x:c>
      <x:c r="X425" s="171" t="str">
        <x:v>D2</x:v>
      </x:c>
      <x:c r="Y425" s="165" t="str">
        <x:v>リザーヴは甘味用; リザーヴで直接発泡</x:v>
      </x:c>
      <x:c r="Z425" s="171" t="str">
        <x:v>N</x:v>
      </x:c>
      <x:c r="AA425" s="165"/>
      <x:c r="AB425" s="165" t="str">
        <x:v>オリジナル</x:v>
      </x:c>
      <x:c r="AC425" s="165" t="str">
        <x:v>公式Specificationの範囲＋ユーザー作成コーパスの論点を参考に独自作成</x:v>
      </x:c>
      <x:c r="AD425" s="171" t="str">
        <x:v>未レビュー</x:v>
      </x:c>
      <x:c r="AE425" s="171"/>
      <x:c r="AF425" s="171"/>
      <x:c r="AG425" s="312"/>
    </x:row>
    <x:row r="426" ht="84" customHeight="1">
      <x:c r="A426" s="311" t="str">
        <x:v>LO3-065</x:v>
      </x:c>
      <x:c r="B426" s="171" t="str">
        <x:v>LO3</x:v>
      </x:c>
      <x:c r="C426" s="165" t="str">
        <x:v>世界の主要な発泡性ワイン</x:v>
      </x:c>
      <x:c r="D426" s="165" t="str">
        <x:v>リクール・ドゥ・ティラージュの構成</x:v>
      </x:c>
      <x:c r="E426" s="165" t="str">
        <x:v>リクール・ドゥ・ティラージュに通常含まれる主要な要素はどれか。</x:v>
      </x:c>
      <x:c r="F426" s="165" t="str">
        <x:v>酵母と糖、および必要に応じて酵母栄養や清澄補助剤</x:v>
      </x:c>
      <x:c r="G426" s="165" t="str">
        <x:v>完成ワインの甘味を決めるドザージュだけ</x:v>
      </x:c>
      <x:c r="H426" s="165" t="str">
        <x:v>ブランデーだけ</x:v>
      </x:c>
      <x:c r="I426" s="165" t="str">
        <x:v>果皮と種子だけ</x:v>
      </x:c>
      <x:c r="J426" s="171" t="str">
        <x:v>A</x:v>
      </x:c>
      <x:c r="K426" s="165" t="str">
        <x:v>酵母と糖、および必要に応じて酵母栄養や清澄補助剤</x:v>
      </x:c>
      <x:c r="L426" s="165" t="str">
        <x:v>糖は二次発酵の基質となり、酵母がアルコールと二酸化炭素を生成する。</x:v>
      </x:c>
      <x:c r="M426" s="165" t="str">
        <x:v>正しい。 糖は二次発酵の基質となり、酵母がアルコールと二酸化炭素を生成する。</x:v>
      </x:c>
      <x:c r="N426" s="165" t="str">
        <x:v>誤り。 最終甘味は主にデゴルジュマン後のリクール・デクスペディシオンで調整する。</x:v>
      </x:c>
      <x:c r="O426" s="165" t="str">
        <x:v>誤り。 酒精強化ではなく、二次発酵を起こす混合物である。</x:v>
      </x:c>
      <x:c r="P426" s="165" t="str">
        <x:v>誤り。 果皮抽出を行う工程ではない。</x:v>
      </x:c>
      <x:c r="Q426" s="165" t="str">
        <x:v>発泡性ワイン製法</x:v>
      </x:c>
      <x:c r="R426" s="165" t="str">
        <x:v>瓶内二次発酵</x:v>
      </x:c>
      <x:c r="S426" s="165" t="str">
        <x:v>発泡性ワイン</x:v>
      </x:c>
      <x:c r="T426" s="165"/>
      <x:c r="U426" s="165"/>
      <x:c r="V426" s="165"/>
      <x:c r="W426" s="165" t="str">
        <x:v>知識確認</x:v>
      </x:c>
      <x:c r="X426" s="171" t="str">
        <x:v>D1</x:v>
      </x:c>
      <x:c r="Y426" s="165" t="str">
        <x:v>ティラージュとドザージュ混同; ブランデー添加</x:v>
      </x:c>
      <x:c r="Z426" s="171" t="str">
        <x:v>N</x:v>
      </x:c>
      <x:c r="AA426" s="165"/>
      <x:c r="AB426" s="165" t="str">
        <x:v>オリジナル</x:v>
      </x:c>
      <x:c r="AC426" s="165" t="str">
        <x:v>公式Specificationの範囲＋ユーザー作成コーパスの論点を参考に独自作成</x:v>
      </x:c>
      <x:c r="AD426" s="171" t="str">
        <x:v>未レビュー</x:v>
      </x:c>
      <x:c r="AE426" s="171"/>
      <x:c r="AF426" s="171"/>
      <x:c r="AG426" s="312"/>
    </x:row>
    <x:row r="427" ht="84" customHeight="1">
      <x:c r="A427" s="311" t="str">
        <x:v>LO3-066</x:v>
      </x:c>
      <x:c r="B427" s="171" t="str">
        <x:v>LO3</x:v>
      </x:c>
      <x:c r="C427" s="165" t="str">
        <x:v>世界の主要な発泡性ワイン</x:v>
      </x:c>
      <x:c r="D427" s="165" t="str">
        <x:v>二次発酵の温度</x:v>
      </x:c>
      <x:c r="E427" s="165" t="str">
        <x:v>瓶内二次発酵を比較的低い温度でゆっくり進める利点はどれか。</x:v>
      </x:c>
      <x:c r="F427" s="165" t="str">
        <x:v>糖が発酵せず、二酸化炭素が一切生じない</x:v>
      </x:c>
      <x:c r="G427" s="165" t="str">
        <x:v>発酵を制御しやすく、繊細な香りと均一な発泡性を保ちやすい</x:v>
      </x:c>
      <x:c r="H427" s="165" t="str">
        <x:v>ワインの酸が完全に消える</x:v>
      </x:c>
      <x:c r="I427" s="165" t="str">
        <x:v>瓶のガラスが自然に厚くなる</x:v>
      </x:c>
      <x:c r="J427" s="171" t="str">
        <x:v>B</x:v>
      </x:c>
      <x:c r="K427" s="165" t="str">
        <x:v>発酵を制御しやすく、繊細な香りと均一な発泡性を保ちやすい</x:v>
      </x:c>
      <x:c r="L427" s="165" t="str">
        <x:v>低温では酵母の活動が穏やかになり、過度な温度上昇や香りの損失を抑えられる。</x:v>
      </x:c>
      <x:c r="M427" s="165" t="str">
        <x:v>誤り。 適切な温度範囲なら低温でも二次発酵は進む。</x:v>
      </x:c>
      <x:c r="N427" s="165" t="str">
        <x:v>正しい。 低温では酵母の活動が穏やかになり、過度な温度上昇や香りの損失を抑えられる。</x:v>
      </x:c>
      <x:c r="O427" s="165" t="str">
        <x:v>誤り。 温度だけで酸が消失することはない。</x:v>
      </x:c>
      <x:c r="P427" s="165" t="str">
        <x:v>誤り。 発酵温度は瓶の物理的厚さを変えない。</x:v>
      </x:c>
      <x:c r="Q427" s="165" t="str">
        <x:v>発泡性ワイン製法</x:v>
      </x:c>
      <x:c r="R427" s="165" t="str">
        <x:v>二次発酵管理</x:v>
      </x:c>
      <x:c r="S427" s="165" t="str">
        <x:v>発泡性ワイン</x:v>
      </x:c>
      <x:c r="T427" s="165"/>
      <x:c r="U427" s="165"/>
      <x:c r="V427" s="165"/>
      <x:c r="W427" s="165" t="str">
        <x:v>因果説明</x:v>
      </x:c>
      <x:c r="X427" s="171" t="str">
        <x:v>D2</x:v>
      </x:c>
      <x:c r="Y427" s="165" t="str">
        <x:v>低温で発酵停止; 低温で酸消失</x:v>
      </x:c>
      <x:c r="Z427" s="171" t="str">
        <x:v>N</x:v>
      </x:c>
      <x:c r="AA427" s="165"/>
      <x:c r="AB427" s="165" t="str">
        <x:v>オリジナル</x:v>
      </x:c>
      <x:c r="AC427" s="165" t="str">
        <x:v>公式Specificationの範囲＋ユーザー作成コーパスの論点を参考に独自作成</x:v>
      </x:c>
      <x:c r="AD427" s="171" t="str">
        <x:v>未レビュー</x:v>
      </x:c>
      <x:c r="AE427" s="171"/>
      <x:c r="AF427" s="171"/>
      <x:c r="AG427" s="312"/>
    </x:row>
    <x:row r="428" ht="84" customHeight="1">
      <x:c r="A428" s="311" t="str">
        <x:v>LO3-067</x:v>
      </x:c>
      <x:c r="B428" s="171" t="str">
        <x:v>LO3</x:v>
      </x:c>
      <x:c r="C428" s="165" t="str">
        <x:v>世界の主要な発泡性ワイン</x:v>
      </x:c>
      <x:c r="D428" s="165" t="str">
        <x:v>澱熟成中の瓶の向き</x:v>
      </x:c>
      <x:c r="E428" s="165" t="str">
        <x:v>伝統的方式で二次発酵後の瓶を横向きに積んで澱熟成する主な理由はどれか。</x:v>
      </x:c>
      <x:c r="F428" s="165" t="str">
        <x:v>澱を直ちに瓶口へ集めるため</x:v>
      </x:c>
      <x:c r="G428" s="165" t="str">
        <x:v>コルクを乾燥させ、空気を大量に入れるため</x:v>
      </x:c>
      <x:c r="H428" s="165" t="str">
        <x:v>ワインと澱の接触を保ち、瓶内を安定して熟成させるため</x:v>
      </x:c>
      <x:c r="I428" s="165" t="str">
        <x:v>ワインを非発泡性へ戻すため</x:v>
      </x:c>
      <x:c r="J428" s="171" t="str">
        <x:v>C</x:v>
      </x:c>
      <x:c r="K428" s="165" t="str">
        <x:v>ワインと澱の接触を保ち、瓶内を安定して熟成させるため</x:v>
      </x:c>
      <x:c r="L428" s="165" t="str">
        <x:v>横置きで酵母澱が瓶の側面へ広がり、自己分解由来の風味と質感がワインへ移りやすい。</x:v>
      </x:c>
      <x:c r="M428" s="165" t="str">
        <x:v>誤り。 瓶口へ集めるのは後のルミュアージュである。</x:v>
      </x:c>
      <x:c r="N428" s="165" t="str">
        <x:v>誤り。 二次発酵中は王冠などで密閉される。</x:v>
      </x:c>
      <x:c r="O428" s="165" t="str">
        <x:v>正しい。 横置きで酵母澱が瓶の側面へ広がり、自己分解由来の風味と質感がワインへ移りやすい。</x:v>
      </x:c>
      <x:c r="P428" s="165" t="str">
        <x:v>誤り。 瓶内の二酸化炭素は密閉され、発泡性が保持される。</x:v>
      </x:c>
      <x:c r="Q428" s="165" t="str">
        <x:v>発泡性ワイン製法</x:v>
      </x:c>
      <x:c r="R428" s="165" t="str">
        <x:v>澱熟成</x:v>
      </x:c>
      <x:c r="S428" s="165" t="str">
        <x:v>発泡性ワイン</x:v>
      </x:c>
      <x:c r="T428" s="165"/>
      <x:c r="U428" s="165"/>
      <x:c r="V428" s="165"/>
      <x:c r="W428" s="165" t="str">
        <x:v>知識確認</x:v>
      </x:c>
      <x:c r="X428" s="171" t="str">
        <x:v>D1</x:v>
      </x:c>
      <x:c r="Y428" s="165" t="str">
        <x:v>横置きで澱抜き; 横置きで脱泡</x:v>
      </x:c>
      <x:c r="Z428" s="171" t="str">
        <x:v>N</x:v>
      </x:c>
      <x:c r="AA428" s="165"/>
      <x:c r="AB428" s="165" t="str">
        <x:v>オリジナル</x:v>
      </x:c>
      <x:c r="AC428" s="165" t="str">
        <x:v>公式Specificationの範囲＋ユーザー作成コーパスの論点を参考に独自作成</x:v>
      </x:c>
      <x:c r="AD428" s="171" t="str">
        <x:v>未レビュー</x:v>
      </x:c>
      <x:c r="AE428" s="171"/>
      <x:c r="AF428" s="171"/>
      <x:c r="AG428" s="312"/>
    </x:row>
    <x:row r="429" ht="84" customHeight="1">
      <x:c r="A429" s="311" t="str">
        <x:v>LO3-068</x:v>
      </x:c>
      <x:c r="B429" s="171" t="str">
        <x:v>LO3</x:v>
      </x:c>
      <x:c r="C429" s="165" t="str">
        <x:v>世界の主要な発泡性ワイン</x:v>
      </x:c>
      <x:c r="D429" s="165" t="str">
        <x:v>ルミュアージュの角度</x:v>
      </x:c>
      <x:c r="E429" s="165" t="str">
        <x:v>ルミュアージュの進行中に瓶の角度を徐々に立てて逆さに近づける目的はどれか。</x:v>
      </x:c>
      <x:c r="F429" s="165" t="str">
        <x:v>ドザージュを瓶底へ沈める</x:v>
      </x:c>
      <x:c r="G429" s="165" t="str">
        <x:v>瓶内圧力をゼロにする</x:v>
      </x:c>
      <x:c r="H429" s="165" t="str">
        <x:v>ワインの色を濃くする</x:v>
      </x:c>
      <x:c r="I429" s="165" t="str">
        <x:v>澱を瓶の側面から瓶口へ移動させる</x:v>
      </x:c>
      <x:c r="J429" s="171" t="str">
        <x:v>D</x:v>
      </x:c>
      <x:c r="K429" s="165" t="str">
        <x:v>澱を瓶の側面から瓶口へ移動させる</x:v>
      </x:c>
      <x:c r="L429" s="165" t="str">
        <x:v>回転と傾斜を繰り返すことで沈殿をまとめ、デゴルジュマンで効率よく除去できる。</x:v>
      </x:c>
      <x:c r="M429" s="165" t="str">
        <x:v>誤り。 ドザージュはデゴルジュマン後に加えられる。</x:v>
      </x:c>
      <x:c r="N429" s="165" t="str">
        <x:v>誤り。 ルミュアージュ中も瓶は密閉され、圧力は保持される。</x:v>
      </x:c>
      <x:c r="O429" s="165" t="str">
        <x:v>誤り。 主目的は澱の移動で、色抽出ではない。</x:v>
      </x:c>
      <x:c r="P429" s="165" t="str">
        <x:v>正しい。 回転と傾斜を繰り返すことで沈殿をまとめ、デゴルジュマンで効率よく除去できる。</x:v>
      </x:c>
      <x:c r="Q429" s="165" t="str">
        <x:v>発泡性ワイン製法</x:v>
      </x:c>
      <x:c r="R429" s="165" t="str">
        <x:v>ルミュアージュ</x:v>
      </x:c>
      <x:c r="S429" s="165" t="str">
        <x:v>発泡性ワイン</x:v>
      </x:c>
      <x:c r="T429" s="165"/>
      <x:c r="U429" s="165"/>
      <x:c r="V429" s="165"/>
      <x:c r="W429" s="165" t="str">
        <x:v>因果説明</x:v>
      </x:c>
      <x:c r="X429" s="171" t="str">
        <x:v>D1</x:v>
      </x:c>
      <x:c r="Y429" s="165" t="str">
        <x:v>ルミュアージュはドザージュ移動; 圧力除去</x:v>
      </x:c>
      <x:c r="Z429" s="171" t="str">
        <x:v>N</x:v>
      </x:c>
      <x:c r="AA429" s="165"/>
      <x:c r="AB429" s="165" t="str">
        <x:v>オリジナル</x:v>
      </x:c>
      <x:c r="AC429" s="165" t="str">
        <x:v>公式Specificationの範囲＋ユーザー作成コーパスの論点を参考に独自作成</x:v>
      </x:c>
      <x:c r="AD429" s="171" t="str">
        <x:v>未レビュー</x:v>
      </x:c>
      <x:c r="AE429" s="171"/>
      <x:c r="AF429" s="171"/>
      <x:c r="AG429" s="312"/>
    </x:row>
    <x:row r="430" ht="84" customHeight="1">
      <x:c r="A430" s="311" t="str">
        <x:v>LO3-069</x:v>
      </x:c>
      <x:c r="B430" s="171" t="str">
        <x:v>LO3</x:v>
      </x:c>
      <x:c r="C430" s="165" t="str">
        <x:v>世界の主要な発泡性ワイン</x:v>
      </x:c>
      <x:c r="D430" s="165" t="str">
        <x:v>凍結デゴルジュマン</x:v>
      </x:c>
      <x:c r="E430" s="165" t="str">
        <x:v>デゴルジュマン前に瓶口部分を凍結する主な理由はどれか。</x:v>
      </x:c>
      <x:c r="F430" s="165" t="str">
        <x:v>瓶口に集めた澱を氷栓としてまとめ、圧力で素早く排出できるようにする</x:v>
      </x:c>
      <x:c r="G430" s="165" t="str">
        <x:v>瓶内のワイン全体を凍結して甘味を濃縮する</x:v>
      </x:c>
      <x:c r="H430" s="165" t="str">
        <x:v>二次発酵を再開させる</x:v>
      </x:c>
      <x:c r="I430" s="165" t="str">
        <x:v>コルクを永久に瓶へ接着する</x:v>
      </x:c>
      <x:c r="J430" s="171" t="str">
        <x:v>A</x:v>
      </x:c>
      <x:c r="K430" s="165" t="str">
        <x:v>瓶口に集めた澱を氷栓としてまとめ、圧力で素早く排出できるようにする</x:v>
      </x:c>
      <x:c r="L430" s="165" t="str">
        <x:v>澱を凍らせることでワイン損失と濁りを最小限にしながら除去できる。</x:v>
      </x:c>
      <x:c r="M430" s="165" t="str">
        <x:v>正しい。 澱を凍らせることでワイン損失と濁りを最小限にしながら除去できる。</x:v>
      </x:c>
      <x:c r="N430" s="165" t="str">
        <x:v>誤り。 凍結するのは瓶口の少量部分である。</x:v>
      </x:c>
      <x:c r="O430" s="165" t="str">
        <x:v>誤り。 デゴルジュマンは二次発酵後の仕上げ工程である。</x:v>
      </x:c>
      <x:c r="P430" s="165" t="str">
        <x:v>誤り。 澱除去後にコルクとミュズレで再栓する。</x:v>
      </x:c>
      <x:c r="Q430" s="165" t="str">
        <x:v>発泡性ワイン製法</x:v>
      </x:c>
      <x:c r="R430" s="165" t="str">
        <x:v>デゴルジュマン</x:v>
      </x:c>
      <x:c r="S430" s="165" t="str">
        <x:v>発泡性ワイン</x:v>
      </x:c>
      <x:c r="T430" s="165"/>
      <x:c r="U430" s="165"/>
      <x:c r="V430" s="165"/>
      <x:c r="W430" s="165" t="str">
        <x:v>因果説明</x:v>
      </x:c>
      <x:c r="X430" s="171" t="str">
        <x:v>D2</x:v>
      </x:c>
      <x:c r="Y430" s="165" t="str">
        <x:v>瓶全体を凍結; デゴルジュマンで再発酵</x:v>
      </x:c>
      <x:c r="Z430" s="171" t="str">
        <x:v>N</x:v>
      </x:c>
      <x:c r="AA430" s="165"/>
      <x:c r="AB430" s="165" t="str">
        <x:v>オリジナル</x:v>
      </x:c>
      <x:c r="AC430" s="165" t="str">
        <x:v>公式Specificationの範囲＋ユーザー作成コーパスの論点を参考に独自作成</x:v>
      </x:c>
      <x:c r="AD430" s="171" t="str">
        <x:v>未レビュー</x:v>
      </x:c>
      <x:c r="AE430" s="171"/>
      <x:c r="AF430" s="171"/>
      <x:c r="AG430" s="312"/>
    </x:row>
    <x:row r="431" ht="84" customHeight="1">
      <x:c r="A431" s="311" t="str">
        <x:v>LO3-070</x:v>
      </x:c>
      <x:c r="B431" s="171" t="str">
        <x:v>LO3</x:v>
      </x:c>
      <x:c r="C431" s="165" t="str">
        <x:v>世界の主要な発泡性ワイン</x:v>
      </x:c>
      <x:c r="D431" s="165" t="str">
        <x:v>リクール・デクスペディシオン</x:v>
      </x:c>
      <x:c r="E431" s="165" t="str">
        <x:v>リクール・デクスペディシオンを加える主な目的はどれか。</x:v>
      </x:c>
      <x:c r="F431" s="165" t="str">
        <x:v>瓶内二次発酵を開始する</x:v>
      </x:c>
      <x:c r="G431" s="165" t="str">
        <x:v>デゴルジュマンで失った量を補い、最終的な甘味とスタイルを調整する</x:v>
      </x:c>
      <x:c r="H431" s="165" t="str">
        <x:v>澱を瓶口へ移動する</x:v>
      </x:c>
      <x:c r="I431" s="165" t="str">
        <x:v>ベースワインを赤ワインへ変える</x:v>
      </x:c>
      <x:c r="J431" s="171" t="str">
        <x:v>B</x:v>
      </x:c>
      <x:c r="K431" s="165" t="str">
        <x:v>デゴルジュマンで失った量を補い、最終的な甘味とスタイルを調整する</x:v>
      </x:c>
      <x:c r="L431" s="165" t="str">
        <x:v>ワインと糖を含む混合液を加えることで、ブリュットなどの甘味区分と酸のバランスを決める。</x:v>
      </x:c>
      <x:c r="M431" s="165" t="str">
        <x:v>誤り。 二次発酵を開始するのはリクール・ドゥ・ティラージュである。</x:v>
      </x:c>
      <x:c r="N431" s="165" t="str">
        <x:v>正しい。 ワインと糖を含む混合液を加えることで、ブリュットなどの甘味区分と酸のバランスを決める。</x:v>
      </x:c>
      <x:c r="O431" s="165" t="str">
        <x:v>誤り。 これはルミュアージュの役割である。</x:v>
      </x:c>
      <x:c r="P431" s="165" t="str">
        <x:v>誤り。 ドザージュは色を赤へ変える工程ではない。</x:v>
      </x:c>
      <x:c r="Q431" s="165" t="str">
        <x:v>発泡性ワイン製法</x:v>
      </x:c>
      <x:c r="R431" s="165" t="str">
        <x:v>ドザージュ</x:v>
      </x:c>
      <x:c r="S431" s="165" t="str">
        <x:v>発泡性ワイン</x:v>
      </x:c>
      <x:c r="T431" s="165"/>
      <x:c r="U431" s="165"/>
      <x:c r="V431" s="165"/>
      <x:c r="W431" s="165" t="str">
        <x:v>知識確認</x:v>
      </x:c>
      <x:c r="X431" s="171" t="str">
        <x:v>D1</x:v>
      </x:c>
      <x:c r="Y431" s="165" t="str">
        <x:v>デクスペディシオンとティラージュ混同; ドザージュで色変更</x:v>
      </x:c>
      <x:c r="Z431" s="171" t="str">
        <x:v>N</x:v>
      </x:c>
      <x:c r="AA431" s="165"/>
      <x:c r="AB431" s="165" t="str">
        <x:v>オリジナル</x:v>
      </x:c>
      <x:c r="AC431" s="165" t="str">
        <x:v>公式Specificationの範囲＋ユーザー作成コーパスの論点を参考に独自作成</x:v>
      </x:c>
      <x:c r="AD431" s="171" t="str">
        <x:v>未レビュー</x:v>
      </x:c>
      <x:c r="AE431" s="171"/>
      <x:c r="AF431" s="171"/>
      <x:c r="AG431" s="312"/>
    </x:row>
    <x:row r="432" ht="84" customHeight="1">
      <x:c r="A432" s="311" t="str">
        <x:v>LO3-071</x:v>
      </x:c>
      <x:c r="B432" s="171" t="str">
        <x:v>LO3</x:v>
      </x:c>
      <x:c r="C432" s="165" t="str">
        <x:v>世界の主要な発泡性ワイン</x:v>
      </x:c>
      <x:c r="D432" s="165" t="str">
        <x:v>発泡性ワインのコルク</x:v>
      </x:c>
      <x:c r="E432" s="165" t="str">
        <x:v>伝統的方式の発泡性ワイン用コルクが開栓後にキノコ形になる主な理由はどれか。</x:v>
      </x:c>
      <x:c r="F432" s="165" t="str">
        <x:v>二次発酵中にコルクが酵母を吸収するため</x:v>
      </x:c>
      <x:c r="G432" s="165" t="str">
        <x:v>ドザージュの糖がコルクを溶かすため</x:v>
      </x:c>
      <x:c r="H432" s="165" t="str">
        <x:v>瓶口へ強く圧縮されていた下部が、抜栓後に膨張するため</x:v>
      </x:c>
      <x:c r="I432" s="165" t="str">
        <x:v>瓶内の酸がコルクを発酵させるため</x:v>
      </x:c>
      <x:c r="J432" s="171" t="str">
        <x:v>C</x:v>
      </x:c>
      <x:c r="K432" s="165" t="str">
        <x:v>瓶口へ強く圧縮されていた下部が、抜栓後に膨張するため</x:v>
      </x:c>
      <x:c r="L432" s="165" t="str">
        <x:v>太いコルクを圧縮して挿入し、瓶内圧力に耐えるようミュズレで固定するため、抜くと形が戻る。</x:v>
      </x:c>
      <x:c r="M432" s="165" t="str">
        <x:v>誤り。 形状は酵母吸収ではなく、圧縮と膨張による。</x:v>
      </x:c>
      <x:c r="N432" s="165" t="str">
        <x:v>誤り。 糖がコルクをキノコ形へ溶解するわけではない。</x:v>
      </x:c>
      <x:c r="O432" s="165" t="str">
        <x:v>正しい。 太いコルクを圧縮して挿入し、瓶内圧力に耐えるようミュズレで固定するため、抜くと形が戻る。</x:v>
      </x:c>
      <x:c r="P432" s="165" t="str">
        <x:v>誤り。 コルク自体が発酵して形を変えるのではない。</x:v>
      </x:c>
      <x:c r="Q432" s="165" t="str">
        <x:v>包装</x:v>
      </x:c>
      <x:c r="R432" s="165" t="str">
        <x:v>栓と圧力</x:v>
      </x:c>
      <x:c r="S432" s="165" t="str">
        <x:v>発泡性ワイン</x:v>
      </x:c>
      <x:c r="T432" s="165"/>
      <x:c r="U432" s="165"/>
      <x:c r="V432" s="165"/>
      <x:c r="W432" s="165" t="str">
        <x:v>因果説明</x:v>
      </x:c>
      <x:c r="X432" s="171" t="str">
        <x:v>D1</x:v>
      </x:c>
      <x:c r="Y432" s="165" t="str">
        <x:v>コルクが酵母を吸収; 糖でコルク変形</x:v>
      </x:c>
      <x:c r="Z432" s="171" t="str">
        <x:v>N</x:v>
      </x:c>
      <x:c r="AA432" s="165"/>
      <x:c r="AB432" s="165" t="str">
        <x:v>オリジナル</x:v>
      </x:c>
      <x:c r="AC432" s="165" t="str">
        <x:v>公式Specificationの範囲＋ユーザー作成コーパスの論点を参考に独自作成</x:v>
      </x:c>
      <x:c r="AD432" s="171" t="str">
        <x:v>未レビュー</x:v>
      </x:c>
      <x:c r="AE432" s="171"/>
      <x:c r="AF432" s="171"/>
      <x:c r="AG432" s="312"/>
    </x:row>
    <x:row r="433" ht="84" customHeight="1">
      <x:c r="A433" s="311" t="str">
        <x:v>LO3-072</x:v>
      </x:c>
      <x:c r="B433" s="171" t="str">
        <x:v>LO3</x:v>
      </x:c>
      <x:c r="C433" s="165" t="str">
        <x:v>世界の主要な発泡性ワイン</x:v>
      </x:c>
      <x:c r="D433" s="165" t="str">
        <x:v>マグナム瓶での熟成</x:v>
      </x:c>
      <x:c r="E433" s="165" t="str">
        <x:v>同じワインであれば、マグナム瓶が標準瓶よりゆっくり熟成しやすい主な理由はどれか。</x:v>
      </x:c>
      <x:c r="F433" s="165" t="str">
        <x:v>マグナム瓶には酸素が一切存在しないため</x:v>
      </x:c>
      <x:c r="G433" s="165" t="str">
        <x:v>大きな瓶では発酵が永遠に続くため</x:v>
      </x:c>
      <x:c r="H433" s="165" t="str">
        <x:v>ガラスがワインへ糖を供給するため</x:v>
      </x:c>
      <x:c r="I433" s="165" t="str">
        <x:v>ワイン量に対する栓付近の酸素量の比率が小さいため</x:v>
      </x:c>
      <x:c r="J433" s="171" t="str">
        <x:v>D</x:v>
      </x:c>
      <x:c r="K433" s="165" t="str">
        <x:v>ワイン量に対する栓付近の酸素量の比率が小さいため</x:v>
      </x:c>
      <x:c r="L433" s="165" t="str">
        <x:v>同程度の栓とヘッドスペースに対しワイン量が多く、単位量当たりの酸素影響が小さくなる。</x:v>
      </x:c>
      <x:c r="M433" s="165" t="str">
        <x:v>誤り。 酸素はごく少量存在するが、比率が小さい。</x:v>
      </x:c>
      <x:c r="N433" s="165" t="str">
        <x:v>誤り。 熟成中に発酵が続くことが理由ではない。</x:v>
      </x:c>
      <x:c r="O433" s="165" t="str">
        <x:v>誤り。 ガラスは糖を供給しない。</x:v>
      </x:c>
      <x:c r="P433" s="165" t="str">
        <x:v>正しい。 同程度の栓とヘッドスペースに対しワイン量が多く、単位量当たりの酸素影響が小さくなる。</x:v>
      </x:c>
      <x:c r="Q433" s="165" t="str">
        <x:v>熟成</x:v>
      </x:c>
      <x:c r="R433" s="165" t="str">
        <x:v>瓶サイズ</x:v>
      </x:c>
      <x:c r="S433" s="165" t="str">
        <x:v>発泡性ワイン</x:v>
      </x:c>
      <x:c r="T433" s="165"/>
      <x:c r="U433" s="165"/>
      <x:c r="V433" s="165"/>
      <x:c r="W433" s="165" t="str">
        <x:v>因果説明</x:v>
      </x:c>
      <x:c r="X433" s="171" t="str">
        <x:v>D2</x:v>
      </x:c>
      <x:c r="Y433" s="165" t="str">
        <x:v>大瓶は完全無酸素; ガラスが糖供給</x:v>
      </x:c>
      <x:c r="Z433" s="171" t="str">
        <x:v>N</x:v>
      </x:c>
      <x:c r="AA433" s="165"/>
      <x:c r="AB433" s="165" t="str">
        <x:v>オリジナル</x:v>
      </x:c>
      <x:c r="AC433" s="165" t="str">
        <x:v>公式Specificationの範囲＋ユーザー作成コーパスの論点を参考に独自作成</x:v>
      </x:c>
      <x:c r="AD433" s="171" t="str">
        <x:v>未レビュー</x:v>
      </x:c>
      <x:c r="AE433" s="171"/>
      <x:c r="AF433" s="171"/>
      <x:c r="AG433" s="312"/>
    </x:row>
    <x:row r="434" ht="84" customHeight="1">
      <x:c r="A434" s="311" t="str">
        <x:v>LO3-073</x:v>
      </x:c>
      <x:c r="B434" s="171" t="str">
        <x:v>LO3</x:v>
      </x:c>
      <x:c r="C434" s="165" t="str">
        <x:v>世界の主要な発泡性ワイン</x:v>
      </x:c>
      <x:c r="D434" s="165" t="str">
        <x:v>温度と炭酸ガス</x:v>
      </x:c>
      <x:c r="E434" s="165" t="str">
        <x:v>発泡性ワインを十分に冷やして提供すると泡が制御しやすい主な理由はどれか。</x:v>
      </x:c>
      <x:c r="F434" s="165" t="str">
        <x:v>低温では二酸化炭素がワインに溶けた状態を保ちやすい</x:v>
      </x:c>
      <x:c r="G434" s="165" t="str">
        <x:v>低温で二酸化炭素が酸素へ変わるため</x:v>
      </x:c>
      <x:c r="H434" s="165" t="str">
        <x:v>低温で瓶内圧力が永久にゼロになるため</x:v>
      </x:c>
      <x:c r="I434" s="165" t="str">
        <x:v>冷却するとワインが甘口へ変わるため</x:v>
      </x:c>
      <x:c r="J434" s="171" t="str">
        <x:v>A</x:v>
      </x:c>
      <x:c r="K434" s="165" t="str">
        <x:v>低温では二酸化炭素がワインに溶けた状態を保ちやすい</x:v>
      </x:c>
      <x:c r="L434" s="165" t="str">
        <x:v>温度が低いほど二酸化炭素の溶解度が高くなり、開栓時の急激な噴出や泡立ちを抑えられる。</x:v>
      </x:c>
      <x:c r="M434" s="165" t="str">
        <x:v>正しい。 温度が低いほど二酸化炭素の溶解度が高くなり、開栓時の急激な噴出や泡立ちを抑えられる。</x:v>
      </x:c>
      <x:c r="N434" s="165" t="str">
        <x:v>誤り。 二酸化炭素が酸素へ変換されるわけではない。</x:v>
      </x:c>
      <x:c r="O434" s="165" t="str">
        <x:v>誤り。 圧力は低下するが、発泡性は保持される。</x:v>
      </x:c>
      <x:c r="P434" s="165" t="str">
        <x:v>誤り。 知覚は変わっても残糖量は変化しない。</x:v>
      </x:c>
      <x:c r="Q434" s="165" t="str">
        <x:v>サービス関連理論</x:v>
      </x:c>
      <x:c r="R434" s="165" t="str">
        <x:v>温度と気体</x:v>
      </x:c>
      <x:c r="S434" s="165" t="str">
        <x:v>発泡性ワイン</x:v>
      </x:c>
      <x:c r="T434" s="165"/>
      <x:c r="U434" s="165"/>
      <x:c r="V434" s="165"/>
      <x:c r="W434" s="165" t="str">
        <x:v>因果説明</x:v>
      </x:c>
      <x:c r="X434" s="171" t="str">
        <x:v>D2</x:v>
      </x:c>
      <x:c r="Y434" s="165" t="str">
        <x:v>CO2が酸素へ変化; 冷却で残糖増加</x:v>
      </x:c>
      <x:c r="Z434" s="171" t="str">
        <x:v>N</x:v>
      </x:c>
      <x:c r="AA434" s="165"/>
      <x:c r="AB434" s="165" t="str">
        <x:v>オリジナル</x:v>
      </x:c>
      <x:c r="AC434" s="165" t="str">
        <x:v>公式Specificationの範囲＋ユーザー作成コーパスの論点を参考に独自作成</x:v>
      </x:c>
      <x:c r="AD434" s="171" t="str">
        <x:v>未レビュー</x:v>
      </x:c>
      <x:c r="AE434" s="171"/>
      <x:c r="AF434" s="171"/>
      <x:c r="AG434" s="312"/>
    </x:row>
    <x:row r="435" ht="84" customHeight="1">
      <x:c r="A435" s="311" t="str">
        <x:v>LO3-074</x:v>
      </x:c>
      <x:c r="B435" s="171" t="str">
        <x:v>LO3</x:v>
      </x:c>
      <x:c r="C435" s="165" t="str">
        <x:v>世界の主要な発泡性ワイン</x:v>
      </x:c>
      <x:c r="D435" s="165" t="str">
        <x:v>酵母の自己分解香</x:v>
      </x:c>
      <x:c r="E435" s="165" t="str">
        <x:v>長期の澱熟成で生じる典型的な香りはどれか。</x:v>
      </x:c>
      <x:c r="F435" s="165" t="str">
        <x:v>新鮮な青ピーマンだけ</x:v>
      </x:c>
      <x:c r="G435" s="165" t="str">
        <x:v>パン生地、ビスケット、トーストを思わせる香り</x:v>
      </x:c>
      <x:c r="H435" s="165" t="str">
        <x:v>強い酢の香りだけ</x:v>
      </x:c>
      <x:c r="I435" s="165" t="str">
        <x:v>海水の塩分だけ</x:v>
      </x:c>
      <x:c r="J435" s="171" t="str">
        <x:v>B</x:v>
      </x:c>
      <x:c r="K435" s="165" t="str">
        <x:v>パン生地、ビスケット、トーストを思わせる香り</x:v>
      </x:c>
      <x:c r="L435" s="165" t="str">
        <x:v>死滅酵母の自己分解によりアミノ酸や多糖類が放出され、パンや菓子を思わせる複雑性が生まれる。</x:v>
      </x:c>
      <x:c r="M435" s="165" t="str">
        <x:v>誤り。 青ピーマン香は主にメトキシピラジンに関係する。</x:v>
      </x:c>
      <x:c r="N435" s="165" t="str">
        <x:v>正しい。 死滅酵母の自己分解によりアミノ酸や多糖類が放出され、パンや菓子を思わせる複雑性が生まれる。</x:v>
      </x:c>
      <x:c r="O435" s="165" t="str">
        <x:v>誤り。 酢酸は欠陥となり得るが、自己分解の典型香ではない。</x:v>
      </x:c>
      <x:c r="P435" s="165" t="str">
        <x:v>誤り。 澱熟成が塩分を加えるわけではない。</x:v>
      </x:c>
      <x:c r="Q435" s="165" t="str">
        <x:v>熟成</x:v>
      </x:c>
      <x:c r="R435" s="165" t="str">
        <x:v>酵母の自己分解</x:v>
      </x:c>
      <x:c r="S435" s="165" t="str">
        <x:v>発泡性ワイン</x:v>
      </x:c>
      <x:c r="T435" s="165"/>
      <x:c r="U435" s="165"/>
      <x:c r="V435" s="165"/>
      <x:c r="W435" s="165" t="str">
        <x:v>知識確認</x:v>
      </x:c>
      <x:c r="X435" s="171" t="str">
        <x:v>D1</x:v>
      </x:c>
      <x:c r="Y435" s="165" t="str">
        <x:v>自己分解は青臭さ; 自己分解は酢酸</x:v>
      </x:c>
      <x:c r="Z435" s="171" t="str">
        <x:v>N</x:v>
      </x:c>
      <x:c r="AA435" s="165"/>
      <x:c r="AB435" s="165" t="str">
        <x:v>オリジナル</x:v>
      </x:c>
      <x:c r="AC435" s="165" t="str">
        <x:v>公式Specificationの範囲＋ユーザー作成コーパスの論点を参考に独自作成</x:v>
      </x:c>
      <x:c r="AD435" s="171" t="str">
        <x:v>未レビュー</x:v>
      </x:c>
      <x:c r="AE435" s="171"/>
      <x:c r="AF435" s="171"/>
      <x:c r="AG435" s="312"/>
    </x:row>
    <x:row r="436" ht="84" customHeight="1">
      <x:c r="A436" s="311" t="str">
        <x:v>LO3-075</x:v>
      </x:c>
      <x:c r="B436" s="171" t="str">
        <x:v>LO3</x:v>
      </x:c>
      <x:c r="C436" s="165" t="str">
        <x:v>世界の主要な発泡性ワイン</x:v>
      </x:c>
      <x:c r="D436" s="165" t="str">
        <x:v>澱熟成と泡の持続性</x:v>
      </x:c>
      <x:c r="E436" s="165" t="str">
        <x:v>長期の澱熟成が泡のきめ細かさと持続性を高めることがある主な理由はどれか。</x:v>
      </x:c>
      <x:c r="F436" s="165" t="str">
        <x:v>澱が二酸化炭素を酸素へ変えるため</x:v>
      </x:c>
      <x:c r="G436" s="165" t="str">
        <x:v>澱がアルコールをすべて除去するため</x:v>
      </x:c>
      <x:c r="H436" s="165" t="str">
        <x:v>酵母由来のタンパク質や多糖類が泡の膜を安定させるため</x:v>
      </x:c>
      <x:c r="I436" s="165" t="str">
        <x:v>澱が瓶を厚くするため</x:v>
      </x:c>
      <x:c r="J436" s="171" t="str">
        <x:v>C</x:v>
      </x:c>
      <x:c r="K436" s="165" t="str">
        <x:v>酵母由来のタンパク質や多糖類が泡の膜を安定させるため</x:v>
      </x:c>
      <x:c r="L436" s="165" t="str">
        <x:v>自己分解で放出される成分が口当たりを滑らかにし、泡の形成と持続を助ける。</x:v>
      </x:c>
      <x:c r="M436" s="165" t="str">
        <x:v>誤り。 二酸化炭素は保持され、酸素へ変換されない。</x:v>
      </x:c>
      <x:c r="N436" s="165" t="str">
        <x:v>誤り。 澱熟成でアルコールは消失しない。</x:v>
      </x:c>
      <x:c r="O436" s="165" t="str">
        <x:v>正しい。 自己分解で放出される成分が口当たりを滑らかにし、泡の形成と持続を助ける。</x:v>
      </x:c>
      <x:c r="P436" s="165" t="str">
        <x:v>誤り。 瓶の物理的厚さは変わらない。</x:v>
      </x:c>
      <x:c r="Q436" s="165" t="str">
        <x:v>熟成</x:v>
      </x:c>
      <x:c r="R436" s="165" t="str">
        <x:v>泡の質</x:v>
      </x:c>
      <x:c r="S436" s="165" t="str">
        <x:v>発泡性ワイン</x:v>
      </x:c>
      <x:c r="T436" s="165"/>
      <x:c r="U436" s="165"/>
      <x:c r="V436" s="165"/>
      <x:c r="W436" s="165" t="str">
        <x:v>因果説明</x:v>
      </x:c>
      <x:c r="X436" s="171" t="str">
        <x:v>D3</x:v>
      </x:c>
      <x:c r="Y436" s="165" t="str">
        <x:v>澱がCO2を酸素化; 澱で脱アルコール</x:v>
      </x:c>
      <x:c r="Z436" s="171" t="str">
        <x:v>N</x:v>
      </x:c>
      <x:c r="AA436" s="165"/>
      <x:c r="AB436" s="165" t="str">
        <x:v>オリジナル</x:v>
      </x:c>
      <x:c r="AC436" s="165" t="str">
        <x:v>公式Specificationの範囲＋ユーザー作成コーパスの論点を参考に独自作成</x:v>
      </x:c>
      <x:c r="AD436" s="171" t="str">
        <x:v>未レビュー</x:v>
      </x:c>
      <x:c r="AE436" s="171"/>
      <x:c r="AF436" s="171"/>
      <x:c r="AG436" s="312"/>
    </x:row>
    <x:row r="437" ht="84" customHeight="1">
      <x:c r="A437" s="311" t="str">
        <x:v>LO3-076</x:v>
      </x:c>
      <x:c r="B437" s="171" t="str">
        <x:v>LO3</x:v>
      </x:c>
      <x:c r="C437" s="165" t="str">
        <x:v>世界の主要な発泡性ワイン</x:v>
      </x:c>
      <x:c r="D437" s="165" t="str">
        <x:v>プレスティージュ・キュヴェ</x:v>
      </x:c>
      <x:c r="E437" s="165" t="str">
        <x:v>プレスティージュ・キュヴェが高価格になりやすい主な理由はどれか。</x:v>
      </x:c>
      <x:c r="F437" s="165" t="str">
        <x:v>必ず最も高収量の畑だけを使うため</x:v>
      </x:c>
      <x:c r="G437" s="165" t="str">
        <x:v>炭酸ガス注入だけで短期間に造るため</x:v>
      </x:c>
      <x:c r="H437" s="165" t="str">
        <x:v>すべてのワインを甘口にするため</x:v>
      </x:c>
      <x:c r="I437" s="165" t="str">
        <x:v>優良な畑の果汁を選び、長い澱熟成と厳しい選別を行うため</x:v>
      </x:c>
      <x:c r="J437" s="171" t="str">
        <x:v>D</x:v>
      </x:c>
      <x:c r="K437" s="165" t="str">
        <x:v>優良な畑の果汁を選び、長い澱熟成と厳しい選別を行うため</x:v>
      </x:c>
      <x:c r="L437" s="165" t="str">
        <x:v>高品質な原料、低い生産量、長期在庫、ブランド需要が品質と価格を押し上げる。</x:v>
      </x:c>
      <x:c r="M437" s="165" t="str">
        <x:v>誤り。 通常は優良区画と厳しい選果を重視する。</x:v>
      </x:c>
      <x:c r="N437" s="165" t="str">
        <x:v>誤り。 高級品は伝統的方式と長期熟成を行うことが多い。</x:v>
      </x:c>
      <x:c r="O437" s="165" t="str">
        <x:v>誤り。 甘味区分はさまざまで、高価格の主因ではない。</x:v>
      </x:c>
      <x:c r="P437" s="165" t="str">
        <x:v>正しい。 高品質な原料、低い生産量、長期在庫、ブランド需要が品質と価格を押し上げる。</x:v>
      </x:c>
      <x:c r="Q437" s="165" t="str">
        <x:v>商業・価格</x:v>
      </x:c>
      <x:c r="R437" s="165" t="str">
        <x:v>高級発泡性ワイン</x:v>
      </x:c>
      <x:c r="S437" s="165" t="str">
        <x:v>発泡性ワイン</x:v>
      </x:c>
      <x:c r="T437" s="165"/>
      <x:c r="U437" s="165"/>
      <x:c r="V437" s="165"/>
      <x:c r="W437" s="165" t="str">
        <x:v>統合判断</x:v>
      </x:c>
      <x:c r="X437" s="171" t="str">
        <x:v>D3</x:v>
      </x:c>
      <x:c r="Y437" s="165" t="str">
        <x:v>高級品は高収量; 高級品は炭酸注入</x:v>
      </x:c>
      <x:c r="Z437" s="171" t="str">
        <x:v>N</x:v>
      </x:c>
      <x:c r="AA437" s="165"/>
      <x:c r="AB437" s="165" t="str">
        <x:v>オリジナル</x:v>
      </x:c>
      <x:c r="AC437" s="165" t="str">
        <x:v>公式Specificationの範囲＋ユーザー作成コーパスの論点を参考に独自作成</x:v>
      </x:c>
      <x:c r="AD437" s="171" t="str">
        <x:v>未レビュー</x:v>
      </x:c>
      <x:c r="AE437" s="171"/>
      <x:c r="AF437" s="171"/>
      <x:c r="AG437" s="312"/>
    </x:row>
    <x:row r="438" ht="84" customHeight="1">
      <x:c r="A438" s="311" t="str">
        <x:v>LO3-077</x:v>
      </x:c>
      <x:c r="B438" s="171" t="str">
        <x:v>LO3</x:v>
      </x:c>
      <x:c r="C438" s="165" t="str">
        <x:v>世界の主要な発泡性ワイン</x:v>
      </x:c>
      <x:c r="D438" s="165" t="str">
        <x:v>シャンパーニュのピノ・ノワール</x:v>
      </x:c>
      <x:c r="E438" s="165" t="str">
        <x:v>シャンパーニュのブレンドでピノ・ノワールが主に与えるものはどれか。</x:v>
      </x:c>
      <x:c r="F438" s="165" t="str">
        <x:v>ボディ、構造、赤系果実の風味</x:v>
      </x:c>
      <x:c r="G438" s="165" t="str">
        <x:v>強いマスカット香と残糖</x:v>
      </x:c>
      <x:c r="H438" s="165" t="str">
        <x:v>軽い洋梨香だけで構造を持たない</x:v>
      </x:c>
      <x:c r="I438" s="165" t="str">
        <x:v>高い酸だけを与え、果実味を持たない</x:v>
      </x:c>
      <x:c r="J438" s="171" t="str">
        <x:v>A</x:v>
      </x:c>
      <x:c r="K438" s="165" t="str">
        <x:v>ボディ、構造、赤系果実の風味</x:v>
      </x:c>
      <x:c r="L438" s="165" t="str">
        <x:v>黒ブドウのピノ・ノワールは骨格と熟成力を与え、特にモンターニュ・ド・ランスやコート・デ・バールで重要である。</x:v>
      </x:c>
      <x:c r="M438" s="165" t="str">
        <x:v>正しい。 黒ブドウのピノ・ノワールは骨格と熟成力を与え、特にモンターニュ・ド・ランスやコート・デ・バールで重要である。</x:v>
      </x:c>
      <x:c r="N438" s="165" t="str">
        <x:v>誤り。 これはモスカート系品種に近い。</x:v>
      </x:c>
      <x:c r="O438" s="165" t="str">
        <x:v>誤り。 これはグレーラの一般的な特徴に近い。</x:v>
      </x:c>
      <x:c r="P438" s="165" t="str">
        <x:v>誤り。 ピノ・ノワールは構造と果実味も与える。</x:v>
      </x:c>
      <x:c r="Q438" s="165" t="str">
        <x:v>品種</x:v>
      </x:c>
      <x:c r="R438" s="165" t="str">
        <x:v>シャンパーニュ</x:v>
      </x:c>
      <x:c r="S438" s="165" t="str">
        <x:v>発泡性ワイン</x:v>
      </x:c>
      <x:c r="T438" s="165" t="str">
        <x:v>フランス</x:v>
      </x:c>
      <x:c r="U438" s="165" t="str">
        <x:v>シャンパーニュ</x:v>
      </x:c>
      <x:c r="V438" s="165" t="str">
        <x:v>ピノ・ノワール</x:v>
      </x:c>
      <x:c r="W438" s="165" t="str">
        <x:v>知識確認</x:v>
      </x:c>
      <x:c r="X438" s="171" t="str">
        <x:v>D1</x:v>
      </x:c>
      <x:c r="Y438" s="165" t="str">
        <x:v>ピノノワールはマスカット香; 構造なし</x:v>
      </x:c>
      <x:c r="Z438" s="171" t="str">
        <x:v>N</x:v>
      </x:c>
      <x:c r="AA438" s="165"/>
      <x:c r="AB438" s="165" t="str">
        <x:v>オリジナル</x:v>
      </x:c>
      <x:c r="AC438" s="165" t="str">
        <x:v>公式Specificationの範囲＋ユーザー作成コーパスの論点を参考に独自作成</x:v>
      </x:c>
      <x:c r="AD438" s="171" t="str">
        <x:v>未レビュー</x:v>
      </x:c>
      <x:c r="AE438" s="171"/>
      <x:c r="AF438" s="171"/>
      <x:c r="AG438" s="312"/>
    </x:row>
    <x:row r="439" ht="84" customHeight="1">
      <x:c r="A439" s="311" t="str">
        <x:v>LO3-078</x:v>
      </x:c>
      <x:c r="B439" s="171" t="str">
        <x:v>LO3</x:v>
      </x:c>
      <x:c r="C439" s="165" t="str">
        <x:v>世界の主要な発泡性ワイン</x:v>
      </x:c>
      <x:c r="D439" s="165" t="str">
        <x:v>シャンパーニュのシャルドネ</x:v>
      </x:c>
      <x:c r="E439" s="165" t="str">
        <x:v>シャンパーニュのブレンドでシャルドネが主に与えるものはどれか。</x:v>
      </x:c>
      <x:c r="F439" s="165" t="str">
        <x:v>深い色と非常に高いタンニン</x:v>
      </x:c>
      <x:c r="G439" s="165" t="str">
        <x:v>高い酸、柑橘・花の繊細さ、長期熟成能力</x:v>
      </x:c>
      <x:c r="H439" s="165" t="str">
        <x:v>強い黒胡椒香と高アルコール</x:v>
      </x:c>
      <x:c r="I439" s="165" t="str">
        <x:v>残糖と酒精強化香</x:v>
      </x:c>
      <x:c r="J439" s="171" t="str">
        <x:v>B</x:v>
      </x:c>
      <x:c r="K439" s="165" t="str">
        <x:v>高い酸、柑橘・花の繊細さ、長期熟成能力</x:v>
      </x:c>
      <x:c r="L439" s="165" t="str">
        <x:v>冷涼なコート・デ・ブランなどで育つシャルドネは、線の細い構造と鮮度を与える。</x:v>
      </x:c>
      <x:c r="M439" s="165" t="str">
        <x:v>誤り。 白品種であり、色とタンニンの主な供給源ではない。</x:v>
      </x:c>
      <x:c r="N439" s="165" t="str">
        <x:v>正しい。 冷涼なコート・デ・ブランなどで育つシャルドネは、線の細い構造と鮮度を与える。</x:v>
      </x:c>
      <x:c r="O439" s="165" t="str">
        <x:v>誤り。 これは温暖なシラーに近い。</x:v>
      </x:c>
      <x:c r="P439" s="165" t="str">
        <x:v>誤り。 シャルドネ自体が残糖や酒精強化を与えるわけではない。</x:v>
      </x:c>
      <x:c r="Q439" s="165" t="str">
        <x:v>品種</x:v>
      </x:c>
      <x:c r="R439" s="165" t="str">
        <x:v>シャンパーニュ</x:v>
      </x:c>
      <x:c r="S439" s="165" t="str">
        <x:v>発泡性ワイン</x:v>
      </x:c>
      <x:c r="T439" s="165" t="str">
        <x:v>フランス</x:v>
      </x:c>
      <x:c r="U439" s="165" t="str">
        <x:v>シャンパーニュ</x:v>
      </x:c>
      <x:c r="V439" s="165" t="str">
        <x:v>シャルドネ</x:v>
      </x:c>
      <x:c r="W439" s="165" t="str">
        <x:v>知識確認</x:v>
      </x:c>
      <x:c r="X439" s="171" t="str">
        <x:v>D1</x:v>
      </x:c>
      <x:c r="Y439" s="165" t="str">
        <x:v>シャルドネは高タンニン; シャルドネが酒精強化</x:v>
      </x:c>
      <x:c r="Z439" s="171" t="str">
        <x:v>N</x:v>
      </x:c>
      <x:c r="AA439" s="165"/>
      <x:c r="AB439" s="165" t="str">
        <x:v>オリジナル</x:v>
      </x:c>
      <x:c r="AC439" s="165" t="str">
        <x:v>公式Specificationの範囲＋ユーザー作成コーパスの論点を参考に独自作成</x:v>
      </x:c>
      <x:c r="AD439" s="171" t="str">
        <x:v>未レビュー</x:v>
      </x:c>
      <x:c r="AE439" s="171"/>
      <x:c r="AF439" s="171"/>
      <x:c r="AG439" s="312"/>
    </x:row>
    <x:row r="440" ht="84" customHeight="1">
      <x:c r="A440" s="311" t="str">
        <x:v>LO3-079</x:v>
      </x:c>
      <x:c r="B440" s="171" t="str">
        <x:v>LO3</x:v>
      </x:c>
      <x:c r="C440" s="165" t="str">
        <x:v>世界の主要な発泡性ワイン</x:v>
      </x:c>
      <x:c r="D440" s="165" t="str">
        <x:v>シャンパーニュのムニエ</x:v>
      </x:c>
      <x:c r="E440" s="165" t="str">
        <x:v>シャンパーニュのブレンドでムニエが重視される主な理由はどれか。</x:v>
      </x:c>
      <x:c r="F440" s="165" t="str">
        <x:v>最も晩熟で、暖地でしか成熟しない</x:v>
      </x:c>
      <x:c r="G440" s="165" t="str">
        <x:v>白品種で高いタンニンを与える</x:v>
      </x:c>
      <x:c r="H440" s="165" t="str">
        <x:v>芽吹きが遅く成熟が早めで、果実味豊かで若いうちから親しみやすいワインを与える</x:v>
      </x:c>
      <x:c r="I440" s="165" t="str">
        <x:v>必ず長期熟成専用で若飲みできない</x:v>
      </x:c>
      <x:c r="J440" s="171" t="str">
        <x:v>C</x:v>
      </x:c>
      <x:c r="K440" s="165" t="str">
        <x:v>芽吹きが遅く成熟が早めで、果実味豊かで若いうちから親しみやすいワインを与える</x:v>
      </x:c>
      <x:c r="L440" s="165" t="str">
        <x:v>霜害を避けやすく冷涼な谷でも成熟しやすいため、ヴィンテージ差のある地域で安定した原料となる。</x:v>
      </x:c>
      <x:c r="M440" s="165" t="str">
        <x:v>誤り。 ムニエはピノ・ノワールより早く成熟しやすい。</x:v>
      </x:c>
      <x:c r="N440" s="165" t="str">
        <x:v>誤り。 黒品種だが、一般に柔らかな果実味を与える。</x:v>
      </x:c>
      <x:c r="O440" s="165" t="str">
        <x:v>正しい。 霜害を避けやすく冷涼な谷でも成熟しやすいため、ヴィンテージ差のある地域で安定した原料となる。</x:v>
      </x:c>
      <x:c r="P440" s="165" t="str">
        <x:v>誤り。 若いうちから果実味を出しやすい。</x:v>
      </x:c>
      <x:c r="Q440" s="165" t="str">
        <x:v>品種</x:v>
      </x:c>
      <x:c r="R440" s="165" t="str">
        <x:v>シャンパーニュ</x:v>
      </x:c>
      <x:c r="S440" s="165" t="str">
        <x:v>発泡性ワイン</x:v>
      </x:c>
      <x:c r="T440" s="165" t="str">
        <x:v>フランス</x:v>
      </x:c>
      <x:c r="U440" s="165" t="str">
        <x:v>シャンパーニュ</x:v>
      </x:c>
      <x:c r="V440" s="165" t="str">
        <x:v>ムニエ</x:v>
      </x:c>
      <x:c r="W440" s="165" t="str">
        <x:v>因果説明</x:v>
      </x:c>
      <x:c r="X440" s="171" t="str">
        <x:v>D2</x:v>
      </x:c>
      <x:c r="Y440" s="165" t="str">
        <x:v>ムニエは最晩熟; ムニエは白品種</x:v>
      </x:c>
      <x:c r="Z440" s="171" t="str">
        <x:v>N</x:v>
      </x:c>
      <x:c r="AA440" s="165"/>
      <x:c r="AB440" s="165" t="str">
        <x:v>オリジナル</x:v>
      </x:c>
      <x:c r="AC440" s="165" t="str">
        <x:v>公式Specificationの範囲＋ユーザー作成コーパスの論点を参考に独自作成</x:v>
      </x:c>
      <x:c r="AD440" s="171" t="str">
        <x:v>未レビュー</x:v>
      </x:c>
      <x:c r="AE440" s="171"/>
      <x:c r="AF440" s="171"/>
      <x:c r="AG440" s="312"/>
    </x:row>
    <x:row r="441" ht="84" customHeight="1">
      <x:c r="A441" s="311" t="str">
        <x:v>LO3-080</x:v>
      </x:c>
      <x:c r="B441" s="171" t="str">
        <x:v>LO3</x:v>
      </x:c>
      <x:c r="C441" s="165" t="str">
        <x:v>世界の主要な発泡性ワイン</x:v>
      </x:c>
      <x:c r="D441" s="165" t="str">
        <x:v>ハウス・スタイル</x:v>
      </x:c>
      <x:c r="E441" s="165" t="str">
        <x:v>大手シャンパーニュ・メゾンが多数の村と収穫年のワインをブレンドする主な目的はどれか。</x:v>
      </x:c>
      <x:c r="F441" s="165" t="str">
        <x:v>原産地の特徴を完全に隠し、品質を必ず下げる</x:v>
      </x:c>
      <x:c r="G441" s="165" t="str">
        <x:v>二次発酵を不要にする</x:v>
      </x:c>
      <x:c r="H441" s="165" t="str">
        <x:v>ワインを酒精強化する</x:v>
      </x:c>
      <x:c r="I441" s="165" t="str">
        <x:v>原料の差を組み合わせ、毎年一貫したハウス・スタイルを再現する</x:v>
      </x:c>
      <x:c r="J441" s="171" t="str">
        <x:v>D</x:v>
      </x:c>
      <x:c r="K441" s="165" t="str">
        <x:v>原料の差を組み合わせ、毎年一貫したハウス・スタイルを再現する</x:v>
      </x:c>
      <x:c r="L441" s="165" t="str">
        <x:v>地域と年の強みを補完し、リザーヴワインを用いて香り、ボディ、酸の均衡を安定させる。</x:v>
      </x:c>
      <x:c r="M441" s="165" t="str">
        <x:v>誤り。 ブレンドは品質と一貫性を高めるために行われる。</x:v>
      </x:c>
      <x:c r="N441" s="165" t="str">
        <x:v>誤り。 ブレンド後も伝統的方式の二次発酵が必要である。</x:v>
      </x:c>
      <x:c r="O441" s="165" t="str">
        <x:v>誤り。 シャンパーニュは酒精強化ワインではない。</x:v>
      </x:c>
      <x:c r="P441" s="165" t="str">
        <x:v>正しい。 地域と年の強みを補完し、リザーヴワインを用いて香り、ボディ、酸の均衡を安定させる。</x:v>
      </x:c>
      <x:c r="Q441" s="165" t="str">
        <x:v>商業・価格</x:v>
      </x:c>
      <x:c r="R441" s="165" t="str">
        <x:v>ブレンド</x:v>
      </x:c>
      <x:c r="S441" s="165" t="str">
        <x:v>発泡性ワイン</x:v>
      </x:c>
      <x:c r="T441" s="165" t="str">
        <x:v>フランス</x:v>
      </x:c>
      <x:c r="U441" s="165" t="str">
        <x:v>シャンパーニュ</x:v>
      </x:c>
      <x:c r="V441" s="165"/>
      <x:c r="W441" s="165" t="str">
        <x:v>統合判断</x:v>
      </x:c>
      <x:c r="X441" s="171" t="str">
        <x:v>D3</x:v>
      </x:c>
      <x:c r="Y441" s="165" t="str">
        <x:v>ブレンドは品質低下; ブレンドで二次発酵不要</x:v>
      </x:c>
      <x:c r="Z441" s="171" t="str">
        <x:v>N</x:v>
      </x:c>
      <x:c r="AA441" s="165"/>
      <x:c r="AB441" s="165" t="str">
        <x:v>オリジナル</x:v>
      </x:c>
      <x:c r="AC441" s="165" t="str">
        <x:v>公式Specificationの範囲＋ユーザー作成コーパスの論点を参考に独自作成</x:v>
      </x:c>
      <x:c r="AD441" s="171" t="str">
        <x:v>未レビュー</x:v>
      </x:c>
      <x:c r="AE441" s="171"/>
      <x:c r="AF441" s="171"/>
      <x:c r="AG441" s="312"/>
    </x:row>
    <x:row r="442" ht="84" customHeight="1">
      <x:c r="A442" s="311" t="str">
        <x:v>LO3-081</x:v>
      </x:c>
      <x:c r="B442" s="171" t="str">
        <x:v>LO3</x:v>
      </x:c>
      <x:c r="C442" s="165" t="str">
        <x:v>世界の主要な発泡性ワイン</x:v>
      </x:c>
      <x:c r="D442" s="165" t="str">
        <x:v>カバのマカベオ</x:v>
      </x:c>
      <x:c r="E442" s="165" t="str">
        <x:v>カバの伝統的ブレンドでマカベオが主に与えやすい特徴はどれか。</x:v>
      </x:c>
      <x:c r="F442" s="165" t="str">
        <x:v>穏やかなリンゴや花の香りと比較的中立的な果実味</x:v>
      </x:c>
      <x:c r="G442" s="165" t="str">
        <x:v>非常に高いタンニンと黒系果実</x:v>
      </x:c>
      <x:c r="H442" s="165" t="str">
        <x:v>強いマスカット香だけ</x:v>
      </x:c>
      <x:c r="I442" s="165" t="str">
        <x:v>深い赤色</x:v>
      </x:c>
      <x:c r="J442" s="171" t="str">
        <x:v>A</x:v>
      </x:c>
      <x:c r="K442" s="165" t="str">
        <x:v>穏やかなリンゴや花の香りと比較的中立的な果実味</x:v>
      </x:c>
      <x:c r="L442" s="165" t="str">
        <x:v>マカベオはブレンドの基礎となり、パレリャーダやチャレッロの酸・構造と組み合わせやすい。</x:v>
      </x:c>
      <x:c r="M442" s="165" t="str">
        <x:v>正しい。 マカベオはブレンドの基礎となり、パレリャーダやチャレッロの酸・構造と組み合わせやすい。</x:v>
      </x:c>
      <x:c r="N442" s="165" t="str">
        <x:v>誤り。 白品種であり、高タンニン赤の特徴ではない。</x:v>
      </x:c>
      <x:c r="O442" s="165" t="str">
        <x:v>誤り。 マカベオは一般により穏やかな芳香である。</x:v>
      </x:c>
      <x:c r="P442" s="165" t="str">
        <x:v>誤り。 白品種のため赤色を与えない。</x:v>
      </x:c>
      <x:c r="Q442" s="165" t="str">
        <x:v>品種</x:v>
      </x:c>
      <x:c r="R442" s="165" t="str">
        <x:v>カバ</x:v>
      </x:c>
      <x:c r="S442" s="165" t="str">
        <x:v>発泡性ワイン</x:v>
      </x:c>
      <x:c r="T442" s="165" t="str">
        <x:v>スペイン</x:v>
      </x:c>
      <x:c r="U442" s="165" t="str">
        <x:v>カバ</x:v>
      </x:c>
      <x:c r="V442" s="165" t="str">
        <x:v>マカベオ</x:v>
      </x:c>
      <x:c r="W442" s="165" t="str">
        <x:v>知識確認</x:v>
      </x:c>
      <x:c r="X442" s="171" t="str">
        <x:v>D1</x:v>
      </x:c>
      <x:c r="Y442" s="165" t="str">
        <x:v>マカベオは黒品種; 強いマスカット香</x:v>
      </x:c>
      <x:c r="Z442" s="171" t="str">
        <x:v>N</x:v>
      </x:c>
      <x:c r="AA442" s="165"/>
      <x:c r="AB442" s="165" t="str">
        <x:v>オリジナル</x:v>
      </x:c>
      <x:c r="AC442" s="165" t="str">
        <x:v>公式Specificationの範囲＋ユーザー作成コーパスの論点を参考に独自作成</x:v>
      </x:c>
      <x:c r="AD442" s="171" t="str">
        <x:v>未レビュー</x:v>
      </x:c>
      <x:c r="AE442" s="171"/>
      <x:c r="AF442" s="171"/>
      <x:c r="AG442" s="312"/>
    </x:row>
    <x:row r="443" ht="84" customHeight="1">
      <x:c r="A443" s="311" t="str">
        <x:v>LO3-082</x:v>
      </x:c>
      <x:c r="B443" s="171" t="str">
        <x:v>LO3</x:v>
      </x:c>
      <x:c r="C443" s="165" t="str">
        <x:v>世界の主要な発泡性ワイン</x:v>
      </x:c>
      <x:c r="D443" s="165" t="str">
        <x:v>カバのパレリャーダ</x:v>
      </x:c>
      <x:c r="E443" s="165" t="str">
        <x:v>カバのブレンドでパレリャーダが高く評価される主な理由はどれか。</x:v>
      </x:c>
      <x:c r="F443" s="165" t="str">
        <x:v>低地の酷暑で高アルコールになるため</x:v>
      </x:c>
      <x:c r="G443" s="165" t="str">
        <x:v>高標高で酸を保ち、繊細な花と柑橘の香りを与える</x:v>
      </x:c>
      <x:c r="H443" s="165" t="str">
        <x:v>黒品種として色とタンニンを与えるため</x:v>
      </x:c>
      <x:c r="I443" s="165" t="str">
        <x:v>フロールを形成するため</x:v>
      </x:c>
      <x:c r="J443" s="171" t="str">
        <x:v>B</x:v>
      </x:c>
      <x:c r="K443" s="165" t="str">
        <x:v>高標高で酸を保ち、繊細な花と柑橘の香りを与える</x:v>
      </x:c>
      <x:c r="L443" s="165" t="str">
        <x:v>晩熟のパレリャーダは冷涼な高地で最良となり、ブレンドへ軽やかさと香りを加える。</x:v>
      </x:c>
      <x:c r="M443" s="165" t="str">
        <x:v>誤り。 パレリャーダは高地で酸と繊細さを保つ。</x:v>
      </x:c>
      <x:c r="N443" s="165" t="str">
        <x:v>正しい。 晩熟のパレリャーダは冷涼な高地で最良となり、ブレンドへ軽やかさと香りを加える。</x:v>
      </x:c>
      <x:c r="O443" s="165" t="str">
        <x:v>誤り。 白品種である。</x:v>
      </x:c>
      <x:c r="P443" s="165" t="str">
        <x:v>誤り。 フロール熟成はカバの製法ではない。</x:v>
      </x:c>
      <x:c r="Q443" s="165" t="str">
        <x:v>品種</x:v>
      </x:c>
      <x:c r="R443" s="165" t="str">
        <x:v>カバ</x:v>
      </x:c>
      <x:c r="S443" s="165" t="str">
        <x:v>発泡性ワイン</x:v>
      </x:c>
      <x:c r="T443" s="165" t="str">
        <x:v>スペイン</x:v>
      </x:c>
      <x:c r="U443" s="165" t="str">
        <x:v>カバ</x:v>
      </x:c>
      <x:c r="V443" s="165" t="str">
        <x:v>パレリャーダ</x:v>
      </x:c>
      <x:c r="W443" s="165" t="str">
        <x:v>因果説明</x:v>
      </x:c>
      <x:c r="X443" s="171" t="str">
        <x:v>D2</x:v>
      </x:c>
      <x:c r="Y443" s="165" t="str">
        <x:v>パレリャーダは黒品種; 低地高アルコール</x:v>
      </x:c>
      <x:c r="Z443" s="171" t="str">
        <x:v>N</x:v>
      </x:c>
      <x:c r="AA443" s="165"/>
      <x:c r="AB443" s="165" t="str">
        <x:v>オリジナル</x:v>
      </x:c>
      <x:c r="AC443" s="165" t="str">
        <x:v>公式Specificationの範囲＋ユーザー作成コーパスの論点を参考に独自作成</x:v>
      </x:c>
      <x:c r="AD443" s="171" t="str">
        <x:v>未レビュー</x:v>
      </x:c>
      <x:c r="AE443" s="171"/>
      <x:c r="AF443" s="171"/>
      <x:c r="AG443" s="312"/>
    </x:row>
    <x:row r="444" ht="84" customHeight="1">
      <x:c r="A444" s="311" t="str">
        <x:v>LO3-083</x:v>
      </x:c>
      <x:c r="B444" s="171" t="str">
        <x:v>LO3</x:v>
      </x:c>
      <x:c r="C444" s="165" t="str">
        <x:v>世界の主要な発泡性ワイン</x:v>
      </x:c>
      <x:c r="D444" s="165" t="str">
        <x:v>カバ・レセルバ</x:v>
      </x:c>
      <x:c r="E444" s="165" t="str">
        <x:v>一般にカバ・レセルバが若いカバより複雑になりやすい主な理由はどれか。</x:v>
      </x:c>
      <x:c r="F444" s="165" t="str">
        <x:v>炭酸ガス注入だけで短時間に造るため</x:v>
      </x:c>
      <x:c r="G444" s="165" t="str">
        <x:v>ブドウをすべて乾燥させるため</x:v>
      </x:c>
      <x:c r="H444" s="165" t="str">
        <x:v>瓶内でより長く澱熟成し、自己分解由来の風味が増えるため</x:v>
      </x:c>
      <x:c r="I444" s="165" t="str">
        <x:v>発酵途中で酒精強化するため</x:v>
      </x:c>
      <x:c r="J444" s="171" t="str">
        <x:v>C</x:v>
      </x:c>
      <x:c r="K444" s="165" t="str">
        <x:v>瓶内でより長く澱熟成し、自己分解由来の風味が増えるため</x:v>
      </x:c>
      <x:c r="L444" s="165" t="str">
        <x:v>長い熟成によりパン、ビスケット、ナッツの香りと滑らかな泡が発達する。</x:v>
      </x:c>
      <x:c r="M444" s="165" t="str">
        <x:v>誤り。 カバは伝統的方式で造られる。</x:v>
      </x:c>
      <x:c r="N444" s="165" t="str">
        <x:v>誤り。 乾燥ブドウの使用は標準的なカバ製法ではない。</x:v>
      </x:c>
      <x:c r="O444" s="165" t="str">
        <x:v>正しい。 長い熟成によりパン、ビスケット、ナッツの香りと滑らかな泡が発達する。</x:v>
      </x:c>
      <x:c r="P444" s="165" t="str">
        <x:v>誤り。 カバは酒精強化ワインではない。</x:v>
      </x:c>
      <x:c r="Q444" s="165" t="str">
        <x:v>熟成</x:v>
      </x:c>
      <x:c r="R444" s="165" t="str">
        <x:v>カバ</x:v>
      </x:c>
      <x:c r="S444" s="165" t="str">
        <x:v>発泡性ワイン</x:v>
      </x:c>
      <x:c r="T444" s="165" t="str">
        <x:v>スペイン</x:v>
      </x:c>
      <x:c r="U444" s="165" t="str">
        <x:v>カバ</x:v>
      </x:c>
      <x:c r="V444" s="165"/>
      <x:c r="W444" s="165" t="str">
        <x:v>因果説明</x:v>
      </x:c>
      <x:c r="X444" s="171" t="str">
        <x:v>D2</x:v>
      </x:c>
      <x:c r="Y444" s="165" t="str">
        <x:v>カバレセルバは炭酸注入; 酒精強化</x:v>
      </x:c>
      <x:c r="Z444" s="171" t="str">
        <x:v>Y</x:v>
      </x:c>
      <x:c r="AA444" s="165" t="str">
        <x:v>カバの熟成区分・表示規定は改定され得るため、最新教材との最終照合を推奨</x:v>
      </x:c>
      <x:c r="AB444" s="165" t="str">
        <x:v>オリジナル</x:v>
      </x:c>
      <x:c r="AC444" s="165" t="str">
        <x:v>公式Specificationの範囲＋ユーザー作成コーパスの論点を参考に独自作成</x:v>
      </x:c>
      <x:c r="AD444" s="171" t="str">
        <x:v>未レビュー</x:v>
      </x:c>
      <x:c r="AE444" s="171"/>
      <x:c r="AF444" s="171"/>
      <x:c r="AG444" s="312"/>
    </x:row>
    <x:row r="445" ht="84" customHeight="1">
      <x:c r="A445" s="311" t="str">
        <x:v>LO3-084</x:v>
      </x:c>
      <x:c r="B445" s="171" t="str">
        <x:v>LO3</x:v>
      </x:c>
      <x:c r="C445" s="165" t="str">
        <x:v>世界の主要な発泡性ワイン</x:v>
      </x:c>
      <x:c r="D445" s="165" t="str">
        <x:v>ロゼ・カバ</x:v>
      </x:c>
      <x:c r="E445" s="165" t="str">
        <x:v>ロゼ・カバに色と赤系果実の風味を与える代表的な方法はどれか。</x:v>
      </x:c>
      <x:c r="F445" s="165" t="str">
        <x:v>完成した白カバへ人工着色料を加える</x:v>
      </x:c>
      <x:c r="G445" s="165" t="str">
        <x:v>白ブドウを長期間酸化して赤くする</x:v>
      </x:c>
      <x:c r="H445" s="165" t="str">
        <x:v>澱熟成だけで赤色を作る</x:v>
      </x:c>
      <x:c r="I445" s="165" t="str">
        <x:v>ガルナッチャ、トレパット、ピノ・ノワールなど黒ブドウを短時間果皮浸漬する</x:v>
      </x:c>
      <x:c r="J445" s="171" t="str">
        <x:v>D</x:v>
      </x:c>
      <x:c r="K445" s="165" t="str">
        <x:v>ガルナッチャ、トレパット、ピノ・ノワールなど黒ブドウを短時間果皮浸漬する</x:v>
      </x:c>
      <x:c r="L445" s="165" t="str">
        <x:v>黒ブドウから必要な色だけを抽出してベースワインを造り、その後伝統的方式で発泡性を得る。</x:v>
      </x:c>
      <x:c r="M445" s="165" t="str">
        <x:v>誤り。 ワインの色はブドウ由来の方法で得る。</x:v>
      </x:c>
      <x:c r="N445" s="165" t="str">
        <x:v>誤り。 白ブドウの酸化で適切なロゼ色は得られない。</x:v>
      </x:c>
      <x:c r="O445" s="165" t="str">
        <x:v>誤り。 澱熟成は香味と泡に影響するが、赤色の供給源ではない。</x:v>
      </x:c>
      <x:c r="P445" s="165" t="str">
        <x:v>正しい。 黒ブドウから必要な色だけを抽出してベースワインを造り、その後伝統的方式で発泡性を得る。</x:v>
      </x:c>
      <x:c r="Q445" s="165" t="str">
        <x:v>醸造</x:v>
      </x:c>
      <x:c r="R445" s="165" t="str">
        <x:v>カバ</x:v>
      </x:c>
      <x:c r="S445" s="165" t="str">
        <x:v>ロゼ発泡性ワイン</x:v>
      </x:c>
      <x:c r="T445" s="165" t="str">
        <x:v>スペイン</x:v>
      </x:c>
      <x:c r="U445" s="165" t="str">
        <x:v>カバ</x:v>
      </x:c>
      <x:c r="V445" s="165" t="str">
        <x:v>ガルナッチャ、トレパット、ピノ・ノワール</x:v>
      </x:c>
      <x:c r="W445" s="165" t="str">
        <x:v>知識確認</x:v>
      </x:c>
      <x:c r="X445" s="171" t="str">
        <x:v>D2</x:v>
      </x:c>
      <x:c r="Y445" s="165" t="str">
        <x:v>人工着色; 澱でロゼ色</x:v>
      </x:c>
      <x:c r="Z445" s="171" t="str">
        <x:v>N</x:v>
      </x:c>
      <x:c r="AA445" s="165"/>
      <x:c r="AB445" s="165" t="str">
        <x:v>オリジナル</x:v>
      </x:c>
      <x:c r="AC445" s="165" t="str">
        <x:v>公式Specificationの範囲＋ユーザー作成コーパスの論点を参考に独自作成</x:v>
      </x:c>
      <x:c r="AD445" s="171" t="str">
        <x:v>未レビュー</x:v>
      </x:c>
      <x:c r="AE445" s="171"/>
      <x:c r="AF445" s="171"/>
      <x:c r="AG445" s="312"/>
    </x:row>
    <x:row r="446" ht="84" customHeight="1">
      <x:c r="A446" s="311" t="str">
        <x:v>LO3-085</x:v>
      </x:c>
      <x:c r="B446" s="171" t="str">
        <x:v>LO3</x:v>
      </x:c>
      <x:c r="C446" s="165" t="str">
        <x:v>世界の主要な発泡性ワイン</x:v>
      </x:c>
      <x:c r="D446" s="165" t="str">
        <x:v>プロセッコDOCGの丘陵</x:v>
      </x:c>
      <x:c r="E446" s="165" t="str">
        <x:v>コネリアーノ・ヴァルドッビアーデネの丘陵産プロセッコが平地の大量生産品より高価格になりやすい主な理由はどれか。</x:v>
      </x:c>
      <x:c r="F446" s="165" t="str">
        <x:v>急斜面で手作業が必要になりやすく、収量を抑えた香りの濃いブドウを得るため</x:v>
      </x:c>
      <x:c r="G446" s="165" t="str">
        <x:v>すべてのワインを瓶内で数十年熟成するため</x:v>
      </x:c>
      <x:c r="H446" s="165" t="str">
        <x:v>グレーラを酒精強化するため</x:v>
      </x:c>
      <x:c r="I446" s="165" t="str">
        <x:v>平地より収穫が完全自動化されるため</x:v>
      </x:c>
      <x:c r="J446" s="171" t="str">
        <x:v>A</x:v>
      </x:c>
      <x:c r="K446" s="165" t="str">
        <x:v>急斜面で手作業が必要になりやすく、収量を抑えた香りの濃いブドウを得るため</x:v>
      </x:c>
      <x:c r="L446" s="165" t="str">
        <x:v>斜面の日照と排水が品質を高める一方、機械化が難しく生産コストが上がる。</x:v>
      </x:c>
      <x:c r="M446" s="165" t="str">
        <x:v>正しい。 斜面の日照と排水が品質を高める一方、機械化が難しく生産コストが上がる。</x:v>
      </x:c>
      <x:c r="N446" s="165" t="str">
        <x:v>誤り。 一般にタンク方式で、果実香を重視する。</x:v>
      </x:c>
      <x:c r="O446" s="165" t="str">
        <x:v>誤り。 プロセッコは酒精強化ワインではない。</x:v>
      </x:c>
      <x:c r="P446" s="165" t="str">
        <x:v>誤り。 急斜面では手摘みなど労働コストが増えやすい。</x:v>
      </x:c>
      <x:c r="Q446" s="165" t="str">
        <x:v>商業・価格</x:v>
      </x:c>
      <x:c r="R446" s="165" t="str">
        <x:v>プロセッコ</x:v>
      </x:c>
      <x:c r="S446" s="165" t="str">
        <x:v>発泡性ワイン</x:v>
      </x:c>
      <x:c r="T446" s="165" t="str">
        <x:v>イタリア</x:v>
      </x:c>
      <x:c r="U446" s="165" t="str">
        <x:v>コネリアーノ・ヴァルドッビアーデネ</x:v>
      </x:c>
      <x:c r="V446" s="165" t="str">
        <x:v>グレーラ</x:v>
      </x:c>
      <x:c r="W446" s="165" t="str">
        <x:v>統合判断</x:v>
      </x:c>
      <x:c r="X446" s="171" t="str">
        <x:v>D3</x:v>
      </x:c>
      <x:c r="Y446" s="165" t="str">
        <x:v>DOCGは長期瓶熟成; 急斜面は完全機械化</x:v>
      </x:c>
      <x:c r="Z446" s="171" t="str">
        <x:v>Y</x:v>
      </x:c>
      <x:c r="AA446" s="165" t="str">
        <x:v>プロセッコの現行DOC/DOCG表記・収量規定は最新教材との最終照合を推奨</x:v>
      </x:c>
      <x:c r="AB446" s="165" t="str">
        <x:v>オリジナル</x:v>
      </x:c>
      <x:c r="AC446" s="165" t="str">
        <x:v>公式Specificationの範囲＋ユーザー作成コーパスの論点を参考に独自作成</x:v>
      </x:c>
      <x:c r="AD446" s="171" t="str">
        <x:v>未レビュー</x:v>
      </x:c>
      <x:c r="AE446" s="171"/>
      <x:c r="AF446" s="171"/>
      <x:c r="AG446" s="312"/>
    </x:row>
    <x:row r="447" ht="84" customHeight="1">
      <x:c r="A447" s="311" t="str">
        <x:v>LO3-086</x:v>
      </x:c>
      <x:c r="B447" s="171" t="str">
        <x:v>LO3</x:v>
      </x:c>
      <x:c r="C447" s="165" t="str">
        <x:v>世界の主要な発泡性ワイン</x:v>
      </x:c>
      <x:c r="D447" s="165" t="str">
        <x:v>グレーラの特徴</x:v>
      </x:c>
      <x:c r="E447" s="165" t="str">
        <x:v>グレーラがタンク方式のプロセッコに適する主な理由はどれか。</x:v>
      </x:c>
      <x:c r="F447" s="165" t="str">
        <x:v>極めて高いタンニンを持つ黒品種だから</x:v>
      </x:c>
      <x:c r="G447" s="165" t="str">
        <x:v>洋梨、リンゴ、花の繊細な一次香を持ち、早い消費に適する</x:v>
      </x:c>
      <x:c r="H447" s="165" t="str">
        <x:v>長期酸化熟成で最良になるから</x:v>
      </x:c>
      <x:c r="I447" s="165" t="str">
        <x:v>貴腐によってのみ香りが出るから</x:v>
      </x:c>
      <x:c r="J447" s="171" t="str">
        <x:v>B</x:v>
      </x:c>
      <x:c r="K447" s="165" t="str">
        <x:v>洋梨、リンゴ、花の繊細な一次香を持ち、早い消費に適する</x:v>
      </x:c>
      <x:c r="L447" s="165" t="str">
        <x:v>密閉タンクで低温発酵すると、グレーラの軽やかな果実香を保持しながら効率的に発泡性を得られる。</x:v>
      </x:c>
      <x:c r="M447" s="165" t="str">
        <x:v>誤り。 グレーラは白品種で、タンニンは低い。</x:v>
      </x:c>
      <x:c r="N447" s="165" t="str">
        <x:v>正しい。 密閉タンクで低温発酵すると、グレーラの軽やかな果実香を保持しながら効率的に発泡性を得られる。</x:v>
      </x:c>
      <x:c r="O447" s="165" t="str">
        <x:v>誤り。 新鮮な一次香を重視し、若いうちに飲まれる。</x:v>
      </x:c>
      <x:c r="P447" s="165" t="str">
        <x:v>誤り。 健全なブドウの品種香が重要である。</x:v>
      </x:c>
      <x:c r="Q447" s="165" t="str">
        <x:v>品種</x:v>
      </x:c>
      <x:c r="R447" s="165" t="str">
        <x:v>プロセッコ</x:v>
      </x:c>
      <x:c r="S447" s="165" t="str">
        <x:v>発泡性ワイン</x:v>
      </x:c>
      <x:c r="T447" s="165" t="str">
        <x:v>イタリア</x:v>
      </x:c>
      <x:c r="U447" s="165" t="str">
        <x:v>プロセッコ</x:v>
      </x:c>
      <x:c r="V447" s="165" t="str">
        <x:v>グレーラ</x:v>
      </x:c>
      <x:c r="W447" s="165" t="str">
        <x:v>因果説明</x:v>
      </x:c>
      <x:c r="X447" s="171" t="str">
        <x:v>D2</x:v>
      </x:c>
      <x:c r="Y447" s="165" t="str">
        <x:v>グレーラは黒品種; 長期酸化向き</x:v>
      </x:c>
      <x:c r="Z447" s="171" t="str">
        <x:v>N</x:v>
      </x:c>
      <x:c r="AA447" s="165"/>
      <x:c r="AB447" s="165" t="str">
        <x:v>オリジナル</x:v>
      </x:c>
      <x:c r="AC447" s="165" t="str">
        <x:v>公式Specificationの範囲＋ユーザー作成コーパスの論点を参考に独自作成</x:v>
      </x:c>
      <x:c r="AD447" s="171" t="str">
        <x:v>未レビュー</x:v>
      </x:c>
      <x:c r="AE447" s="171"/>
      <x:c r="AF447" s="171"/>
      <x:c r="AG447" s="312"/>
    </x:row>
    <x:row r="448" ht="84" customHeight="1">
      <x:c r="A448" s="311" t="str">
        <x:v>LO3-087</x:v>
      </x:c>
      <x:c r="B448" s="171" t="str">
        <x:v>LO3</x:v>
      </x:c>
      <x:c r="C448" s="165" t="str">
        <x:v>世界の主要な発泡性ワイン</x:v>
      </x:c>
      <x:c r="D448" s="165" t="str">
        <x:v>エクストラ・ドライ</x:v>
      </x:c>
      <x:c r="E448" s="165" t="str">
        <x:v>プロセッコの「エクストラ・ドライ」が「ブリュット」より一般に甘く感じられる理由はどれか。</x:v>
      </x:c>
      <x:c r="F448" s="165" t="str">
        <x:v>エクストラ・ドライは必ずアルコール度がゼロだから</x:v>
      </x:c>
      <x:c r="G448" s="165" t="str">
        <x:v>ブリュットには糖を一切加えられないから</x:v>
      </x:c>
      <x:c r="H448" s="165" t="str">
        <x:v>発泡性ワインの甘味表示では、エクストラ・ドライの許容残糖がブリュットより高いから</x:v>
      </x:c>
      <x:c r="I448" s="165" t="str">
        <x:v>エクストラ・ドライは赤ワインだから</x:v>
      </x:c>
      <x:c r="J448" s="171" t="str">
        <x:v>C</x:v>
      </x:c>
      <x:c r="K448" s="165" t="str">
        <x:v>発泡性ワインの甘味表示では、エクストラ・ドライの許容残糖がブリュットより高いから</x:v>
      </x:c>
      <x:c r="L448" s="165" t="str">
        <x:v>日常語の「より辛口」とは逆に、規定上エクストラ・ドライはブリュットよりやや多い残糖を持つ。</x:v>
      </x:c>
      <x:c r="M448" s="165" t="str">
        <x:v>誤り。 アルコール度ではなく残糖区分の違いである。</x:v>
      </x:c>
      <x:c r="N448" s="165" t="str">
        <x:v>誤り。 ブリュットにも規定範囲内のドザージュを行える。</x:v>
      </x:c>
      <x:c r="O448" s="165" t="str">
        <x:v>正しい。 日常語の「より辛口」とは逆に、規定上エクストラ・ドライはブリュットよりやや多い残糖を持つ。</x:v>
      </x:c>
      <x:c r="P448" s="165" t="str">
        <x:v>誤り。 白またはロゼの発泡性ワインに用いられる甘味表示である。</x:v>
      </x:c>
      <x:c r="Q448" s="165" t="str">
        <x:v>法律・表示</x:v>
      </x:c>
      <x:c r="R448" s="165" t="str">
        <x:v>甘味区分</x:v>
      </x:c>
      <x:c r="S448" s="165" t="str">
        <x:v>発泡性ワイン</x:v>
      </x:c>
      <x:c r="T448" s="165"/>
      <x:c r="U448" s="165"/>
      <x:c r="V448" s="165"/>
      <x:c r="W448" s="165" t="str">
        <x:v>比較</x:v>
      </x:c>
      <x:c r="X448" s="171" t="str">
        <x:v>D2</x:v>
      </x:c>
      <x:c r="Y448" s="165" t="str">
        <x:v>Extra DryはBrutより辛口; アルコール区分</x:v>
      </x:c>
      <x:c r="Z448" s="171" t="str">
        <x:v>Y</x:v>
      </x:c>
      <x:c r="AA448" s="165" t="str">
        <x:v>発泡性ワインの残糖区分は最新EU規定・教材との最終照合を推奨</x:v>
      </x:c>
      <x:c r="AB448" s="165" t="str">
        <x:v>オリジナル</x:v>
      </x:c>
      <x:c r="AC448" s="165" t="str">
        <x:v>公式Specificationの範囲＋ユーザー作成コーパスの論点を参考に独自作成</x:v>
      </x:c>
      <x:c r="AD448" s="171" t="str">
        <x:v>未レビュー</x:v>
      </x:c>
      <x:c r="AE448" s="171"/>
      <x:c r="AF448" s="171"/>
      <x:c r="AG448" s="312"/>
    </x:row>
    <x:row r="449" ht="84" customHeight="1">
      <x:c r="A449" s="311" t="str">
        <x:v>LO3-088</x:v>
      </x:c>
      <x:c r="B449" s="171" t="str">
        <x:v>LO3</x:v>
      </x:c>
      <x:c r="C449" s="165" t="str">
        <x:v>世界の主要な発泡性ワイン</x:v>
      </x:c>
      <x:c r="D449" s="165" t="str">
        <x:v>モスカート・ダスティとアスティ</x:v>
      </x:c>
      <x:c r="E449" s="165" t="str">
        <x:v>モスカート・ダスティをアスティと比較した一般的な特徴はどれか。</x:v>
      </x:c>
      <x:c r="F449" s="165" t="str">
        <x:v>必ず辛口で高アルコール</x:v>
      </x:c>
      <x:c r="G449" s="165" t="str">
        <x:v>黒品種から造る赤の発泡性ワイン</x:v>
      </x:c>
      <x:c r="H449" s="165" t="str">
        <x:v>長期澱熟成の強いトースト香が中心</x:v>
      </x:c>
      <x:c r="I449" s="165" t="str">
        <x:v>瓶内圧力とアルコールが低く、より軽く微発泡である</x:v>
      </x:c>
      <x:c r="J449" s="171" t="str">
        <x:v>D</x:v>
      </x:c>
      <x:c r="K449" s="165" t="str">
        <x:v>瓶内圧力とアルコールが低く、より軽く微発泡である</x:v>
      </x:c>
      <x:c r="L449" s="165" t="str">
        <x:v>発酵を早めに止めるため、残糖が高くアルコールが低いまま、穏やかな泡を持つ。</x:v>
      </x:c>
      <x:c r="M449" s="165" t="str">
        <x:v>誤り。 モスカート・ダスティは甘口で低アルコールが典型である。</x:v>
      </x:c>
      <x:c r="N449" s="165" t="str">
        <x:v>誤り。 白品種モスカート・ビアンコから造る。</x:v>
      </x:c>
      <x:c r="O449" s="165" t="str">
        <x:v>誤り。 品種のブドウ、花、桃の香りを重視する。</x:v>
      </x:c>
      <x:c r="P449" s="165" t="str">
        <x:v>正しい。 発酵を早めに止めるため、残糖が高くアルコールが低いまま、穏やかな泡を持つ。</x:v>
      </x:c>
      <x:c r="Q449" s="165" t="str">
        <x:v>スタイル</x:v>
      </x:c>
      <x:c r="R449" s="165" t="str">
        <x:v>アスティ</x:v>
      </x:c>
      <x:c r="S449" s="165" t="str">
        <x:v>甘口発泡性ワイン</x:v>
      </x:c>
      <x:c r="T449" s="165" t="str">
        <x:v>イタリア</x:v>
      </x:c>
      <x:c r="U449" s="165" t="str">
        <x:v>ピエモンテ</x:v>
      </x:c>
      <x:c r="V449" s="165" t="str">
        <x:v>モスカート・ビアンコ</x:v>
      </x:c>
      <x:c r="W449" s="165" t="str">
        <x:v>比較</x:v>
      </x:c>
      <x:c r="X449" s="171" t="str">
        <x:v>D2</x:v>
      </x:c>
      <x:c r="Y449" s="165" t="str">
        <x:v>モスカートダスティは辛口; 黒品種</x:v>
      </x:c>
      <x:c r="Z449" s="171" t="str">
        <x:v>N</x:v>
      </x:c>
      <x:c r="AA449" s="165"/>
      <x:c r="AB449" s="165" t="str">
        <x:v>オリジナル</x:v>
      </x:c>
      <x:c r="AC449" s="165" t="str">
        <x:v>公式Specificationの範囲＋ユーザー作成コーパスの論点を参考に独自作成</x:v>
      </x:c>
      <x:c r="AD449" s="171" t="str">
        <x:v>未レビュー</x:v>
      </x:c>
      <x:c r="AE449" s="171"/>
      <x:c r="AF449" s="171"/>
      <x:c r="AG449" s="312"/>
    </x:row>
    <x:row r="450" ht="84" customHeight="1">
      <x:c r="A450" s="311" t="str">
        <x:v>LO3-089</x:v>
      </x:c>
      <x:c r="B450" s="171" t="str">
        <x:v>LO3</x:v>
      </x:c>
      <x:c r="C450" s="165" t="str">
        <x:v>世界の主要な発泡性ワイン</x:v>
      </x:c>
      <x:c r="D450" s="165" t="str">
        <x:v>アスティの発酵停止</x:v>
      </x:c>
      <x:c r="E450" s="165" t="str">
        <x:v>アスティ方式で低アルコールと高い残糖を得るために行う重要な操作はどれか。</x:v>
      </x:c>
      <x:c r="F450" s="165" t="str">
        <x:v>目的のバランスに達した時点で冷却し、酵母を濾過除去して発酵を止める</x:v>
      </x:c>
      <x:c r="G450" s="165" t="str">
        <x:v>発酵を完全に辛口まで進めてから水を加える</x:v>
      </x:c>
      <x:c r="H450" s="165" t="str">
        <x:v>長期の酸化熟成を行う</x:v>
      </x:c>
      <x:c r="I450" s="165" t="str">
        <x:v>酒精強化して酵母を殺す</x:v>
      </x:c>
      <x:c r="J450" s="171" t="str">
        <x:v>A</x:v>
      </x:c>
      <x:c r="K450" s="165" t="str">
        <x:v>目的のバランスに達した時点で冷却し、酵母を濾過除去して発酵を止める</x:v>
      </x:c>
      <x:c r="L450" s="165" t="str">
        <x:v>糖の一部だけをアルコールと二酸化炭素へ変え、残りを甘味として保持する。</x:v>
      </x:c>
      <x:c r="M450" s="165" t="str">
        <x:v>正しい。 糖の一部だけをアルコールと二酸化炭素へ変え、残りを甘味として保持する。</x:v>
      </x:c>
      <x:c r="N450" s="165" t="str">
        <x:v>誤り。 低アルコールと甘味は発酵途中で停止して得る。</x:v>
      </x:c>
      <x:c r="O450" s="165" t="str">
        <x:v>誤り。 アスティは新鮮な品種香を重視する。</x:v>
      </x:c>
      <x:c r="P450" s="165" t="str">
        <x:v>誤り。 アスティは酒精強化せず、冷却・濾過で停止する。</x:v>
      </x:c>
      <x:c r="Q450" s="165" t="str">
        <x:v>発泡性ワイン製法</x:v>
      </x:c>
      <x:c r="R450" s="165" t="str">
        <x:v>アスティ方式</x:v>
      </x:c>
      <x:c r="S450" s="165" t="str">
        <x:v>甘口発泡性ワイン</x:v>
      </x:c>
      <x:c r="T450" s="165" t="str">
        <x:v>イタリア</x:v>
      </x:c>
      <x:c r="U450" s="165" t="str">
        <x:v>アスティ</x:v>
      </x:c>
      <x:c r="V450" s="165" t="str">
        <x:v>モスカート・ビアンコ</x:v>
      </x:c>
      <x:c r="W450" s="165" t="str">
        <x:v>因果説明</x:v>
      </x:c>
      <x:c r="X450" s="171" t="str">
        <x:v>D2</x:v>
      </x:c>
      <x:c r="Y450" s="165" t="str">
        <x:v>辛口後に加水; 酒精強化</x:v>
      </x:c>
      <x:c r="Z450" s="171" t="str">
        <x:v>N</x:v>
      </x:c>
      <x:c r="AA450" s="165"/>
      <x:c r="AB450" s="165" t="str">
        <x:v>オリジナル</x:v>
      </x:c>
      <x:c r="AC450" s="165" t="str">
        <x:v>公式Specificationの範囲＋ユーザー作成コーパスの論点を参考に独自作成</x:v>
      </x:c>
      <x:c r="AD450" s="171" t="str">
        <x:v>未レビュー</x:v>
      </x:c>
      <x:c r="AE450" s="171"/>
      <x:c r="AF450" s="171"/>
      <x:c r="AG450" s="312"/>
    </x:row>
    <x:row r="451" ht="84" customHeight="1">
      <x:c r="A451" s="311" t="str">
        <x:v>LO3-090</x:v>
      </x:c>
      <x:c r="B451" s="171" t="str">
        <x:v>LO3</x:v>
      </x:c>
      <x:c r="C451" s="165" t="str">
        <x:v>世界の主要な発泡性ワイン</x:v>
      </x:c>
      <x:c r="D451" s="165" t="str">
        <x:v>クレマン・ダルザス</x:v>
      </x:c>
      <x:c r="E451" s="165" t="str">
        <x:v>クレマン・ダルザスに多く用いられ、軽やかなリンゴと花の香りを与える品種はどれか。</x:v>
      </x:c>
      <x:c r="F451" s="165" t="str">
        <x:v>ネッビオーロ</x:v>
      </x:c>
      <x:c r="G451" s="165" t="str">
        <x:v>ピノ・ブランとオーセロワ</x:v>
      </x:c>
      <x:c r="H451" s="165" t="str">
        <x:v>トウリガ・ナシオナル</x:v>
      </x:c>
      <x:c r="I451" s="165" t="str">
        <x:v>パロミノ</x:v>
      </x:c>
      <x:c r="J451" s="171" t="str">
        <x:v>B</x:v>
      </x:c>
      <x:c r="K451" s="165" t="str">
        <x:v>ピノ・ブランとオーセロワ</x:v>
      </x:c>
      <x:c r="L451" s="165" t="str">
        <x:v>アルザスの比較的乾燥した気候で栽培され、伝統的方式のフレッシュで果実味のある発泡性ワインに適する。</x:v>
      </x:c>
      <x:c r="M451" s="165" t="str">
        <x:v>誤り。 ネッビオーロはピエモンテの高タンニン赤品種である。</x:v>
      </x:c>
      <x:c r="N451" s="165" t="str">
        <x:v>正しい。 アルザスの比較的乾燥した気候で栽培され、伝統的方式のフレッシュで果実味のある発泡性ワインに適する。</x:v>
      </x:c>
      <x:c r="O451" s="165" t="str">
        <x:v>誤り。 ポートやドウロ赤の主要黒品種である。</x:v>
      </x:c>
      <x:c r="P451" s="165" t="str">
        <x:v>誤り。 シェリーの主要白品種である。</x:v>
      </x:c>
      <x:c r="Q451" s="165" t="str">
        <x:v>品種</x:v>
      </x:c>
      <x:c r="R451" s="165" t="str">
        <x:v>クレマン</x:v>
      </x:c>
      <x:c r="S451" s="165" t="str">
        <x:v>発泡性ワイン</x:v>
      </x:c>
      <x:c r="T451" s="165" t="str">
        <x:v>フランス</x:v>
      </x:c>
      <x:c r="U451" s="165" t="str">
        <x:v>アルザス</x:v>
      </x:c>
      <x:c r="V451" s="165" t="str">
        <x:v>ピノ・ブラン、オーセロワ</x:v>
      </x:c>
      <x:c r="W451" s="165" t="str">
        <x:v>知識確認</x:v>
      </x:c>
      <x:c r="X451" s="171" t="str">
        <x:v>D1</x:v>
      </x:c>
      <x:c r="Y451" s="165" t="str">
        <x:v>クレマンアルザスはネッビオーロ; パロミノ</x:v>
      </x:c>
      <x:c r="Z451" s="171" t="str">
        <x:v>N</x:v>
      </x:c>
      <x:c r="AA451" s="165"/>
      <x:c r="AB451" s="165" t="str">
        <x:v>オリジナル</x:v>
      </x:c>
      <x:c r="AC451" s="165" t="str">
        <x:v>公式Specificationの範囲＋ユーザー作成コーパスの論点を参考に独自作成</x:v>
      </x:c>
      <x:c r="AD451" s="171" t="str">
        <x:v>未レビュー</x:v>
      </x:c>
      <x:c r="AE451" s="171"/>
      <x:c r="AF451" s="171"/>
      <x:c r="AG451" s="312"/>
    </x:row>
    <x:row r="452" ht="84" customHeight="1">
      <x:c r="A452" s="311" t="str">
        <x:v>LO3-091</x:v>
      </x:c>
      <x:c r="B452" s="171" t="str">
        <x:v>LO3</x:v>
      </x:c>
      <x:c r="C452" s="165" t="str">
        <x:v>世界の主要な発泡性ワイン</x:v>
      </x:c>
      <x:c r="D452" s="165" t="str">
        <x:v>クレマン・ド・ロワール</x:v>
      </x:c>
      <x:c r="E452" s="165" t="str">
        <x:v>クレマン・ド・ロワールでシュナン・ブランが重要な理由はどれか。</x:v>
      </x:c>
      <x:c r="F452" s="165" t="str">
        <x:v>非常に低い酸で、泡を保持できないから</x:v>
      </x:c>
      <x:c r="G452" s="165" t="str">
        <x:v>黒品種で深い色を与えるから</x:v>
      </x:c>
      <x:c r="H452" s="165" t="str">
        <x:v>高い酸とリンゴ・カリンの風味を持ち、瓶内熟成にも耐えられる</x:v>
      </x:c>
      <x:c r="I452" s="165" t="str">
        <x:v>酒精強化に必須だから</x:v>
      </x:c>
      <x:c r="J452" s="171" t="str">
        <x:v>C</x:v>
      </x:c>
      <x:c r="K452" s="165" t="str">
        <x:v>高い酸とリンゴ・カリンの風味を持ち、瓶内熟成にも耐えられる</x:v>
      </x:c>
      <x:c r="L452" s="165" t="str">
        <x:v>ロワールの冷涼な条件で酸を保持し、伝統的方式で新鮮さと熟成由来の複雑性を両立する。</x:v>
      </x:c>
      <x:c r="M452" s="165" t="str">
        <x:v>誤り。 シュナン・ブランは高い酸が特徴である。</x:v>
      </x:c>
      <x:c r="N452" s="165" t="str">
        <x:v>誤り。 シュナン・ブランは白品種である。</x:v>
      </x:c>
      <x:c r="O452" s="165" t="str">
        <x:v>正しい。 ロワールの冷涼な条件で酸を保持し、伝統的方式で新鮮さと熟成由来の複雑性を両立する。</x:v>
      </x:c>
      <x:c r="P452" s="165" t="str">
        <x:v>誤り。 クレマンは酒精強化ワインではない。</x:v>
      </x:c>
      <x:c r="Q452" s="165" t="str">
        <x:v>品種</x:v>
      </x:c>
      <x:c r="R452" s="165" t="str">
        <x:v>クレマン</x:v>
      </x:c>
      <x:c r="S452" s="165" t="str">
        <x:v>発泡性ワイン</x:v>
      </x:c>
      <x:c r="T452" s="165" t="str">
        <x:v>フランス</x:v>
      </x:c>
      <x:c r="U452" s="165" t="str">
        <x:v>ロワール</x:v>
      </x:c>
      <x:c r="V452" s="165" t="str">
        <x:v>シュナン・ブラン</x:v>
      </x:c>
      <x:c r="W452" s="165" t="str">
        <x:v>因果説明</x:v>
      </x:c>
      <x:c r="X452" s="171" t="str">
        <x:v>D2</x:v>
      </x:c>
      <x:c r="Y452" s="165" t="str">
        <x:v>シュナンは低酸; 黒品種</x:v>
      </x:c>
      <x:c r="Z452" s="171" t="str">
        <x:v>N</x:v>
      </x:c>
      <x:c r="AA452" s="165"/>
      <x:c r="AB452" s="165" t="str">
        <x:v>オリジナル</x:v>
      </x:c>
      <x:c r="AC452" s="165" t="str">
        <x:v>公式Specificationの範囲＋ユーザー作成コーパスの論点を参考に独自作成</x:v>
      </x:c>
      <x:c r="AD452" s="171" t="str">
        <x:v>未レビュー</x:v>
      </x:c>
      <x:c r="AE452" s="171"/>
      <x:c r="AF452" s="171"/>
      <x:c r="AG452" s="312"/>
    </x:row>
    <x:row r="453" ht="84" customHeight="1">
      <x:c r="A453" s="311" t="str">
        <x:v>LO3-092</x:v>
      </x:c>
      <x:c r="B453" s="171" t="str">
        <x:v>LO3</x:v>
      </x:c>
      <x:c r="C453" s="165" t="str">
        <x:v>世界の主要な発泡性ワイン</x:v>
      </x:c>
      <x:c r="D453" s="165" t="str">
        <x:v>クレマン・ド・ブルゴーニュ</x:v>
      </x:c>
      <x:c r="E453" s="165" t="str">
        <x:v>クレマン・ド・ブルゴーニュの主要品種として最も適切なものはどれか。</x:v>
      </x:c>
      <x:c r="F453" s="165" t="str">
        <x:v>グレーラとモスカート</x:v>
      </x:c>
      <x:c r="G453" s="165" t="str">
        <x:v>パロミノとペドロ・ヒメネス</x:v>
      </x:c>
      <x:c r="H453" s="165" t="str">
        <x:v>トウリガ・ナシオナルとティンタ・ロリス</x:v>
      </x:c>
      <x:c r="I453" s="165" t="str">
        <x:v>シャルドネとピノ・ノワール</x:v>
      </x:c>
      <x:c r="J453" s="171" t="str">
        <x:v>D</x:v>
      </x:c>
      <x:c r="K453" s="165" t="str">
        <x:v>シャルドネとピノ・ノワール</x:v>
      </x:c>
      <x:c r="L453" s="165" t="str">
        <x:v>ブルゴーニュの主要品種を用い、伝統的方式で柑橘、リンゴ、赤系果実と澱由来の風味を持つ。</x:v>
      </x:c>
      <x:c r="M453" s="165" t="str">
        <x:v>誤り。 それぞれプロセッコとアスティの主要品種である。</x:v>
      </x:c>
      <x:c r="N453" s="165" t="str">
        <x:v>誤り。 シェリーの主要品種である。</x:v>
      </x:c>
      <x:c r="O453" s="165" t="str">
        <x:v>誤り。 ポートとドウロ赤の主要品種である。</x:v>
      </x:c>
      <x:c r="P453" s="165" t="str">
        <x:v>正しい。 ブルゴーニュの主要品種を用い、伝統的方式で柑橘、リンゴ、赤系果実と澱由来の風味を持つ。</x:v>
      </x:c>
      <x:c r="Q453" s="165" t="str">
        <x:v>品種</x:v>
      </x:c>
      <x:c r="R453" s="165" t="str">
        <x:v>クレマン</x:v>
      </x:c>
      <x:c r="S453" s="165" t="str">
        <x:v>発泡性ワイン</x:v>
      </x:c>
      <x:c r="T453" s="165" t="str">
        <x:v>フランス</x:v>
      </x:c>
      <x:c r="U453" s="165" t="str">
        <x:v>ブルゴーニュ</x:v>
      </x:c>
      <x:c r="V453" s="165" t="str">
        <x:v>シャルドネ、ピノ・ノワール</x:v>
      </x:c>
      <x:c r="W453" s="165" t="str">
        <x:v>知識確認</x:v>
      </x:c>
      <x:c r="X453" s="171" t="str">
        <x:v>D1</x:v>
      </x:c>
      <x:c r="Y453" s="165" t="str">
        <x:v>クレマンブルゴーニュはグレーラ; ポート品種</x:v>
      </x:c>
      <x:c r="Z453" s="171" t="str">
        <x:v>N</x:v>
      </x:c>
      <x:c r="AA453" s="165"/>
      <x:c r="AB453" s="165" t="str">
        <x:v>オリジナル</x:v>
      </x:c>
      <x:c r="AC453" s="165" t="str">
        <x:v>公式Specificationの範囲＋ユーザー作成コーパスの論点を参考に独自作成</x:v>
      </x:c>
      <x:c r="AD453" s="171" t="str">
        <x:v>未レビュー</x:v>
      </x:c>
      <x:c r="AE453" s="171"/>
      <x:c r="AF453" s="171"/>
      <x:c r="AG453" s="312"/>
    </x:row>
    <x:row r="454" ht="84" customHeight="1">
      <x:c r="A454" s="311" t="str">
        <x:v>LO3-093</x:v>
      </x:c>
      <x:c r="B454" s="171" t="str">
        <x:v>LO3</x:v>
      </x:c>
      <x:c r="C454" s="165" t="str">
        <x:v>世界の主要な発泡性ワイン</x:v>
      </x:c>
      <x:c r="D454" s="165" t="str">
        <x:v>ブランケット・ド・リムー</x:v>
      </x:c>
      <x:c r="E454" s="165" t="str">
        <x:v>ブランケット・ド・リムーの伝統的な主要品種はどれか。</x:v>
      </x:c>
      <x:c r="F454" s="165" t="str">
        <x:v>モーザック</x:v>
      </x:c>
      <x:c r="G454" s="165" t="str">
        <x:v>グレーラ</x:v>
      </x:c>
      <x:c r="H454" s="165" t="str">
        <x:v>ネッビオーロ</x:v>
      </x:c>
      <x:c r="I454" s="165" t="str">
        <x:v>トロンテス</x:v>
      </x:c>
      <x:c r="J454" s="171" t="str">
        <x:v>A</x:v>
      </x:c>
      <x:c r="K454" s="165" t="str">
        <x:v>モーザック</x:v>
      </x:c>
      <x:c r="L454" s="165" t="str">
        <x:v>モーザックは青リンゴや乾燥ハーブを思わせる風味を与え、伝統的方式の発泡性ワインに用いられる。</x:v>
      </x:c>
      <x:c r="M454" s="165" t="str">
        <x:v>正しい。 モーザックは青リンゴや乾燥ハーブを思わせる風味を与え、伝統的方式の発泡性ワインに用いられる。</x:v>
      </x:c>
      <x:c r="N454" s="165" t="str">
        <x:v>誤り。 グレーラはプロセッコの主要品種である。</x:v>
      </x:c>
      <x:c r="O454" s="165" t="str">
        <x:v>誤り。 ネッビオーロはピエモンテの赤品種である。</x:v>
      </x:c>
      <x:c r="P454" s="165" t="str">
        <x:v>誤り。 トロンテスはアルゼンチンの芳香性白品種である。</x:v>
      </x:c>
      <x:c r="Q454" s="165" t="str">
        <x:v>品種</x:v>
      </x:c>
      <x:c r="R454" s="165" t="str">
        <x:v>リムー</x:v>
      </x:c>
      <x:c r="S454" s="165" t="str">
        <x:v>発泡性ワイン</x:v>
      </x:c>
      <x:c r="T454" s="165" t="str">
        <x:v>フランス</x:v>
      </x:c>
      <x:c r="U454" s="165" t="str">
        <x:v>リムー</x:v>
      </x:c>
      <x:c r="V454" s="165" t="str">
        <x:v>モーザック</x:v>
      </x:c>
      <x:c r="W454" s="165" t="str">
        <x:v>知識確認</x:v>
      </x:c>
      <x:c r="X454" s="171" t="str">
        <x:v>D1</x:v>
      </x:c>
      <x:c r="Y454" s="165" t="str">
        <x:v>ブランケットはグレーラ; ネッビオーロ</x:v>
      </x:c>
      <x:c r="Z454" s="171" t="str">
        <x:v>N</x:v>
      </x:c>
      <x:c r="AA454" s="165"/>
      <x:c r="AB454" s="165" t="str">
        <x:v>オリジナル</x:v>
      </x:c>
      <x:c r="AC454" s="165" t="str">
        <x:v>公式Specificationの範囲＋ユーザー作成コーパスの論点を参考に独自作成</x:v>
      </x:c>
      <x:c r="AD454" s="171" t="str">
        <x:v>未レビュー</x:v>
      </x:c>
      <x:c r="AE454" s="171"/>
      <x:c r="AF454" s="171"/>
      <x:c r="AG454" s="312"/>
    </x:row>
    <x:row r="455" ht="84" customHeight="1">
      <x:c r="A455" s="311" t="str">
        <x:v>LO3-094</x:v>
      </x:c>
      <x:c r="B455" s="171" t="str">
        <x:v>LO3</x:v>
      </x:c>
      <x:c r="C455" s="165" t="str">
        <x:v>世界の主要な発泡性ワイン</x:v>
      </x:c>
      <x:c r="D455" s="165" t="str">
        <x:v>フランチャコルタ</x:v>
      </x:c>
      <x:c r="E455" s="165" t="str">
        <x:v>フランチャコルタの一般的な生産方法とスタイルはどれか。</x:v>
      </x:c>
      <x:c r="F455" s="165" t="str">
        <x:v>グレーラをタンク方式で短期間発泡させる</x:v>
      </x:c>
      <x:c r="G455" s="165" t="str">
        <x:v>シャルドネやピノ・ネロを用いる伝統的方式で、長い澱熟成を行う高品質発泡性ワイン</x:v>
      </x:c>
      <x:c r="H455" s="165" t="str">
        <x:v>モスカートを発酵途中で止める甘口</x:v>
      </x:c>
      <x:c r="I455" s="165" t="str">
        <x:v>パロミノを酒精強化してフロール熟成する</x:v>
      </x:c>
      <x:c r="J455" s="171" t="str">
        <x:v>B</x:v>
      </x:c>
      <x:c r="K455" s="165" t="str">
        <x:v>シャルドネやピノ・ネロを用いる伝統的方式で、長い澱熟成を行う高品質発泡性ワイン</x:v>
      </x:c>
      <x:c r="L455" s="165" t="str">
        <x:v>北イタリアの湖周辺の温和な気候で高品質なベースワインを造り、瓶内二次発酵で複雑性を高める。</x:v>
      </x:c>
      <x:c r="M455" s="165" t="str">
        <x:v>誤り。 これはプロセッコの一般的な製法である。</x:v>
      </x:c>
      <x:c r="N455" s="165" t="str">
        <x:v>正しい。 北イタリアの湖周辺の温和な気候で高品質なベースワインを造り、瓶内二次発酵で複雑性を高める。</x:v>
      </x:c>
      <x:c r="O455" s="165" t="str">
        <x:v>誤り。 これはアスティに近い。</x:v>
      </x:c>
      <x:c r="P455" s="165" t="str">
        <x:v>誤り。 これはフィノ・シェリーである。</x:v>
      </x:c>
      <x:c r="Q455" s="165" t="str">
        <x:v>産地</x:v>
      </x:c>
      <x:c r="R455" s="165" t="str">
        <x:v>イタリア発泡性</x:v>
      </x:c>
      <x:c r="S455" s="165" t="str">
        <x:v>発泡性ワイン</x:v>
      </x:c>
      <x:c r="T455" s="165" t="str">
        <x:v>イタリア</x:v>
      </x:c>
      <x:c r="U455" s="165" t="str">
        <x:v>フランチャコルタ</x:v>
      </x:c>
      <x:c r="V455" s="165" t="str">
        <x:v>シャルドネ、ピノ・ネロ</x:v>
      </x:c>
      <x:c r="W455" s="165" t="str">
        <x:v>比較</x:v>
      </x:c>
      <x:c r="X455" s="171" t="str">
        <x:v>D2</x:v>
      </x:c>
      <x:c r="Y455" s="165" t="str">
        <x:v>フランチャコルタはタンク方式; 甘口モスカート</x:v>
      </x:c>
      <x:c r="Z455" s="171" t="str">
        <x:v>Y</x:v>
      </x:c>
      <x:c r="AA455" s="165" t="str">
        <x:v>WSET Level 3現行Specificationでの扱いと最新産地規定を最終確認推奨</x:v>
      </x:c>
      <x:c r="AB455" s="165" t="str">
        <x:v>オリジナル</x:v>
      </x:c>
      <x:c r="AC455" s="165" t="str">
        <x:v>公式Specificationの範囲＋ユーザー作成コーパスの論点を参考に独自作成</x:v>
      </x:c>
      <x:c r="AD455" s="171" t="str">
        <x:v>未レビュー</x:v>
      </x:c>
      <x:c r="AE455" s="171"/>
      <x:c r="AF455" s="171"/>
      <x:c r="AG455" s="312"/>
    </x:row>
    <x:row r="456" ht="84" customHeight="1">
      <x:c r="A456" s="311" t="str">
        <x:v>LO3-095</x:v>
      </x:c>
      <x:c r="B456" s="171" t="str">
        <x:v>LO3</x:v>
      </x:c>
      <x:c r="C456" s="165" t="str">
        <x:v>世界の主要な発泡性ワイン</x:v>
      </x:c>
      <x:c r="D456" s="165" t="str">
        <x:v>トレントDOC</x:v>
      </x:c>
      <x:c r="E456" s="165" t="str">
        <x:v>トレントDOCの発泡性ワインが高い酸を持ちやすい主な理由はどれか。</x:v>
      </x:c>
      <x:c r="F456" s="165" t="str">
        <x:v>南イタリアの低地で極端に高温だから</x:v>
      </x:c>
      <x:c r="G456" s="165" t="str">
        <x:v>ブドウを樹上乾燥するから</x:v>
      </x:c>
      <x:c r="H456" s="165" t="str">
        <x:v>アルプスの高標高畑で夜間が冷涼になり、シャルドネやピノ・ノワールの酸が保持される</x:v>
      </x:c>
      <x:c r="I456" s="165" t="str">
        <x:v>フロール熟成を行うから</x:v>
      </x:c>
      <x:c r="J456" s="171" t="str">
        <x:v>C</x:v>
      </x:c>
      <x:c r="K456" s="165" t="str">
        <x:v>アルプスの高標高畑で夜間が冷涼になり、シャルドネやピノ・ノワールの酸が保持される</x:v>
      </x:c>
      <x:c r="L456" s="165" t="str">
        <x:v>強い日照が成熟を進める一方、標高による冷却が伝統的方式に適した高酸のベースワインを生む。</x:v>
      </x:c>
      <x:c r="M456" s="165" t="str">
        <x:v>誤り。 トレンティーノは北部の山岳地域である。</x:v>
      </x:c>
      <x:c r="N456" s="165" t="str">
        <x:v>誤り。 ベースワインには早めに収穫した健全な果実を用いる。</x:v>
      </x:c>
      <x:c r="O456" s="165" t="str">
        <x:v>正しい。 強い日照が成熟を進める一方、標高による冷却が伝統的方式に適した高酸のベースワインを生む。</x:v>
      </x:c>
      <x:c r="P456" s="165" t="str">
        <x:v>誤り。 シェリー方式ではない。</x:v>
      </x:c>
      <x:c r="Q456" s="165" t="str">
        <x:v>自然要因</x:v>
      </x:c>
      <x:c r="R456" s="165" t="str">
        <x:v>イタリア発泡性</x:v>
      </x:c>
      <x:c r="S456" s="165" t="str">
        <x:v>発泡性ワイン</x:v>
      </x:c>
      <x:c r="T456" s="165" t="str">
        <x:v>イタリア</x:v>
      </x:c>
      <x:c r="U456" s="165" t="str">
        <x:v>トレントDOC</x:v>
      </x:c>
      <x:c r="V456" s="165" t="str">
        <x:v>シャルドネ、ピノ・ノワール</x:v>
      </x:c>
      <x:c r="W456" s="165" t="str">
        <x:v>因果説明</x:v>
      </x:c>
      <x:c r="X456" s="171" t="str">
        <x:v>D2</x:v>
      </x:c>
      <x:c r="Y456" s="165" t="str">
        <x:v>トレントは南部低地; 樹上乾燥</x:v>
      </x:c>
      <x:c r="Z456" s="171" t="str">
        <x:v>Y</x:v>
      </x:c>
      <x:c r="AA456" s="165" t="str">
        <x:v>WSET Level 3現行Specificationでの扱いと最新産地規定を最終確認推奨</x:v>
      </x:c>
      <x:c r="AB456" s="165" t="str">
        <x:v>オリジナル</x:v>
      </x:c>
      <x:c r="AC456" s="165" t="str">
        <x:v>公式Specificationの範囲＋ユーザー作成コーパスの論点を参考に独自作成</x:v>
      </x:c>
      <x:c r="AD456" s="171" t="str">
        <x:v>未レビュー</x:v>
      </x:c>
      <x:c r="AE456" s="171"/>
      <x:c r="AF456" s="171"/>
      <x:c r="AG456" s="312"/>
    </x:row>
    <x:row r="457" ht="84" customHeight="1">
      <x:c r="A457" s="311" t="str">
        <x:v>LO3-096</x:v>
      </x:c>
      <x:c r="B457" s="171" t="str">
        <x:v>LO3</x:v>
      </x:c>
      <x:c r="C457" s="165" t="str">
        <x:v>世界の主要な発泡性ワイン</x:v>
      </x:c>
      <x:c r="D457" s="165" t="str">
        <x:v>リースリング・ゼクト</x:v>
      </x:c>
      <x:c r="E457" s="165" t="str">
        <x:v>高品質なリースリング・ゼクトに典型的な特徴はどれか。</x:v>
      </x:c>
      <x:c r="F457" s="165" t="str">
        <x:v>深い色と高いタンニン</x:v>
      </x:c>
      <x:c r="G457" s="165" t="str">
        <x:v>強い酸化香と高い残糖だけ</x:v>
      </x:c>
      <x:c r="H457" s="165" t="str">
        <x:v>高アルコールの酒精強化ワイン</x:v>
      </x:c>
      <x:c r="I457" s="165" t="str">
        <x:v>高い酸、柑橘や核果の香り、軽快なボディと明瞭な品種香</x:v>
      </x:c>
      <x:c r="J457" s="171" t="str">
        <x:v>D</x:v>
      </x:c>
      <x:c r="K457" s="165" t="str">
        <x:v>高い酸、柑橘や核果の香り、軽快なボディと明瞭な品種香</x:v>
      </x:c>
      <x:c r="L457" s="165" t="str">
        <x:v>リースリングの芳香と酸を保つため、比較的冷涼な産地のベースワインを用い、伝統的方式またはタンク方式で発泡化する。</x:v>
      </x:c>
      <x:c r="M457" s="165" t="str">
        <x:v>誤り。 リースリングは白品種で、タンニンは低い。</x:v>
      </x:c>
      <x:c r="N457" s="165" t="str">
        <x:v>誤り。 スタイルは辛口から甘口まであり、品種香と酸が中心である。</x:v>
      </x:c>
      <x:c r="O457" s="165" t="str">
        <x:v>誤り。 ゼクトは酒精強化ワインではない。</x:v>
      </x:c>
      <x:c r="P457" s="165" t="str">
        <x:v>正しい。 リースリングの芳香と酸を保つため、比較的冷涼な産地のベースワインを用い、伝統的方式またはタンク方式で発泡化する。</x:v>
      </x:c>
      <x:c r="Q457" s="165" t="str">
        <x:v>品種</x:v>
      </x:c>
      <x:c r="R457" s="165" t="str">
        <x:v>ゼクト</x:v>
      </x:c>
      <x:c r="S457" s="165" t="str">
        <x:v>発泡性ワイン</x:v>
      </x:c>
      <x:c r="T457" s="165" t="str">
        <x:v>ドイツ</x:v>
      </x:c>
      <x:c r="U457" s="165" t="str">
        <x:v>ドイツ</x:v>
      </x:c>
      <x:c r="V457" s="165" t="str">
        <x:v>リースリング</x:v>
      </x:c>
      <x:c r="W457" s="165" t="str">
        <x:v>知識確認</x:v>
      </x:c>
      <x:c r="X457" s="171" t="str">
        <x:v>D2</x:v>
      </x:c>
      <x:c r="Y457" s="165" t="str">
        <x:v>リースリングゼクトは高タンニン; 酒精強化</x:v>
      </x:c>
      <x:c r="Z457" s="171" t="str">
        <x:v>N</x:v>
      </x:c>
      <x:c r="AA457" s="165"/>
      <x:c r="AB457" s="165" t="str">
        <x:v>オリジナル</x:v>
      </x:c>
      <x:c r="AC457" s="165" t="str">
        <x:v>公式Specificationの範囲＋ユーザー作成コーパスの論点を参考に独自作成</x:v>
      </x:c>
      <x:c r="AD457" s="171" t="str">
        <x:v>未レビュー</x:v>
      </x:c>
      <x:c r="AE457" s="171"/>
      <x:c r="AF457" s="171"/>
      <x:c r="AG457" s="312"/>
    </x:row>
    <x:row r="458" ht="84" customHeight="1">
      <x:c r="A458" s="311" t="str">
        <x:v>LO3-097</x:v>
      </x:c>
      <x:c r="B458" s="171" t="str">
        <x:v>LO3</x:v>
      </x:c>
      <x:c r="C458" s="165" t="str">
        <x:v>世界の主要な発泡性ワイン</x:v>
      </x:c>
      <x:c r="D458" s="165" t="str">
        <x:v>ヴィンツァーゼクト</x:v>
      </x:c>
      <x:c r="E458" s="165" t="str">
        <x:v>ヴィンツァーゼクトが一般的な大量生産ゼクトより産地と品種の個性を表しやすい主な理由はどれか。</x:v>
      </x:c>
      <x:c r="F458" s="165" t="str">
        <x:v>生産者自身のブドウを用い、単一品種や産地を明示して伝統的方式で造ることが多い</x:v>
      </x:c>
      <x:c r="G458" s="165" t="str">
        <x:v>必ず炭酸ガス注入だけで造る</x:v>
      </x:c>
      <x:c r="H458" s="165" t="str">
        <x:v>原料ブドウの産地を一切表示できない</x:v>
      </x:c>
      <x:c r="I458" s="165" t="str">
        <x:v>酒精強化が義務である</x:v>
      </x:c>
      <x:c r="J458" s="171" t="str">
        <x:v>A</x:v>
      </x:c>
      <x:c r="K458" s="165" t="str">
        <x:v>生産者自身のブドウを用い、単一品種や産地を明示して伝統的方式で造ることが多い</x:v>
      </x:c>
      <x:c r="L458" s="165" t="str">
        <x:v>原料の出所を管理し、長い瓶内熟成を行うことで、輸入ベースワインを用いる大量生産品と差別化できる。</x:v>
      </x:c>
      <x:c r="M458" s="165" t="str">
        <x:v>正しい。 原料の出所を管理し、長い瓶内熟成を行うことで、輸入ベースワインを用いる大量生産品と差別化できる。</x:v>
      </x:c>
      <x:c r="N458" s="165" t="str">
        <x:v>誤り。 高品質品は伝統的方式を用いることが多い。</x:v>
      </x:c>
      <x:c r="O458" s="165" t="str">
        <x:v>誤り。 むしろ生産者・産地・品種の個性を示す。</x:v>
      </x:c>
      <x:c r="P458" s="165" t="str">
        <x:v>誤り。 ゼクトは酒精強化ワインではない。</x:v>
      </x:c>
      <x:c r="Q458" s="165" t="str">
        <x:v>法律・表示</x:v>
      </x:c>
      <x:c r="R458" s="165" t="str">
        <x:v>ゼクト</x:v>
      </x:c>
      <x:c r="S458" s="165" t="str">
        <x:v>発泡性ワイン</x:v>
      </x:c>
      <x:c r="T458" s="165" t="str">
        <x:v>ドイツ</x:v>
      </x:c>
      <x:c r="U458" s="165" t="str">
        <x:v>ドイツ</x:v>
      </x:c>
      <x:c r="V458" s="165"/>
      <x:c r="W458" s="165" t="str">
        <x:v>統合判断</x:v>
      </x:c>
      <x:c r="X458" s="171" t="str">
        <x:v>D3</x:v>
      </x:c>
      <x:c r="Y458" s="165" t="str">
        <x:v>ヴィンツァーゼクトは炭酸注入; 産地表示不可</x:v>
      </x:c>
      <x:c r="Z458" s="171" t="str">
        <x:v>Y</x:v>
      </x:c>
      <x:c r="AA458" s="165" t="str">
        <x:v>Winzersektの現行表示要件と教材表現を最終照合推奨</x:v>
      </x:c>
      <x:c r="AB458" s="165" t="str">
        <x:v>オリジナル</x:v>
      </x:c>
      <x:c r="AC458" s="165" t="str">
        <x:v>公式Specificationの範囲＋ユーザー作成コーパスの論点を参考に独自作成</x:v>
      </x:c>
      <x:c r="AD458" s="171" t="str">
        <x:v>未レビュー</x:v>
      </x:c>
      <x:c r="AE458" s="171"/>
      <x:c r="AF458" s="171"/>
      <x:c r="AG458" s="312"/>
    </x:row>
    <x:row r="459" ht="84" customHeight="1">
      <x:c r="A459" s="311" t="str">
        <x:v>LO3-098</x:v>
      </x:c>
      <x:c r="B459" s="171" t="str">
        <x:v>LO3</x:v>
      </x:c>
      <x:c r="C459" s="165" t="str">
        <x:v>世界の主要な発泡性ワイン</x:v>
      </x:c>
      <x:c r="D459" s="165" t="str">
        <x:v>イングランドの発泡性ワイン</x:v>
      </x:c>
      <x:c r="E459" s="165" t="str">
        <x:v>イングランド南部が伝統的方式の高品質発泡性ワインに適する主な理由はどれか。</x:v>
      </x:c>
      <x:c r="F459" s="165" t="str">
        <x:v>熱帯の高温でブドウが過熟するため</x:v>
      </x:c>
      <x:c r="G459" s="165" t="str">
        <x:v>冷涼な気候と白亜質土壌により、高い酸を持つシャルドネとピノ系品種を得られる</x:v>
      </x:c>
      <x:c r="H459" s="165" t="str">
        <x:v>グレーラを高収量で栽培するため</x:v>
      </x:c>
      <x:c r="I459" s="165" t="str">
        <x:v>発酵途中で酒精強化するため</x:v>
      </x:c>
      <x:c r="J459" s="171" t="str">
        <x:v>B</x:v>
      </x:c>
      <x:c r="K459" s="165" t="str">
        <x:v>冷涼な気候と白亜質土壌により、高い酸を持つシャルドネとピノ系品種を得られる</x:v>
      </x:c>
      <x:c r="L459" s="165" t="str">
        <x:v>長い生育期間で糖度は中程度にとどまり、酸が高いベースワインを造れるため、瓶内熟成後も鮮度が保たれる。</x:v>
      </x:c>
      <x:c r="M459" s="165" t="str">
        <x:v>誤り。 イングランドは冷涼気候である。</x:v>
      </x:c>
      <x:c r="N459" s="165" t="str">
        <x:v>正しい。 長い生育期間で糖度は中程度にとどまり、酸が高いベースワインを造れるため、瓶内熟成後も鮮度が保たれる。</x:v>
      </x:c>
      <x:c r="O459" s="165" t="str">
        <x:v>誤り。 主要品種はシャルドネ、ピノ・ノワール、ムニエである。</x:v>
      </x:c>
      <x:c r="P459" s="165" t="str">
        <x:v>誤り。 伝統的方式の発泡性ワインで、酒精強化しない。</x:v>
      </x:c>
      <x:c r="Q459" s="165" t="str">
        <x:v>自然要因</x:v>
      </x:c>
      <x:c r="R459" s="165" t="str">
        <x:v>イングランド</x:v>
      </x:c>
      <x:c r="S459" s="165" t="str">
        <x:v>発泡性ワイン</x:v>
      </x:c>
      <x:c r="T459" s="165" t="str">
        <x:v>英国</x:v>
      </x:c>
      <x:c r="U459" s="165" t="str">
        <x:v>イングランド南部</x:v>
      </x:c>
      <x:c r="V459" s="165" t="str">
        <x:v>シャルドネ、ピノ・ノワール、ムニエ</x:v>
      </x:c>
      <x:c r="W459" s="165" t="str">
        <x:v>因果説明</x:v>
      </x:c>
      <x:c r="X459" s="171" t="str">
        <x:v>D3</x:v>
      </x:c>
      <x:c r="Y459" s="165" t="str">
        <x:v>英国は熱帯; 主要品種はグレーラ</x:v>
      </x:c>
      <x:c r="Z459" s="171" t="str">
        <x:v>N</x:v>
      </x:c>
      <x:c r="AA459" s="165"/>
      <x:c r="AB459" s="165" t="str">
        <x:v>オリジナル</x:v>
      </x:c>
      <x:c r="AC459" s="165" t="str">
        <x:v>公式Specificationの範囲＋ユーザー作成コーパスの論点を参考に独自作成</x:v>
      </x:c>
      <x:c r="AD459" s="171" t="str">
        <x:v>未レビュー</x:v>
      </x:c>
      <x:c r="AE459" s="171"/>
      <x:c r="AF459" s="171"/>
      <x:c r="AG459" s="312"/>
    </x:row>
    <x:row r="460" ht="84" customHeight="1">
      <x:c r="A460" s="311" t="str">
        <x:v>LO3-099</x:v>
      </x:c>
      <x:c r="B460" s="171" t="str">
        <x:v>LO3</x:v>
      </x:c>
      <x:c r="C460" s="165" t="str">
        <x:v>世界の主要な発泡性ワイン</x:v>
      </x:c>
      <x:c r="D460" s="165" t="str">
        <x:v>タスマニアの発泡性ワイン</x:v>
      </x:c>
      <x:c r="E460" s="165" t="str">
        <x:v>タスマニアの伝統的方式発泡性ワインに高い酸と繊細な果実香が出やすい主な理由はどれか。</x:v>
      </x:c>
      <x:c r="F460" s="165" t="str">
        <x:v>内陸砂漠の極端な高温だから</x:v>
      </x:c>
      <x:c r="G460" s="165" t="str">
        <x:v>ブドウをすべて乾燥させるから</x:v>
      </x:c>
      <x:c r="H460" s="165" t="str">
        <x:v>南緯が高く海洋性で、生育期が冷涼かつ長い</x:v>
      </x:c>
      <x:c r="I460" s="165" t="str">
        <x:v>フロール下で熟成するから</x:v>
      </x:c>
      <x:c r="J460" s="171" t="str">
        <x:v>C</x:v>
      </x:c>
      <x:c r="K460" s="165" t="str">
        <x:v>南緯が高く海洋性で、生育期が冷涼かつ長い</x:v>
      </x:c>
      <x:c r="L460" s="165" t="str">
        <x:v>南極海の影響が成熟を遅らせ、シャルドネとピノ・ノワールに柑橘、リンゴ、赤系果実の風味と高い酸を保つ。</x:v>
      </x:c>
      <x:c r="M460" s="165" t="str">
        <x:v>誤り。 タスマニアは冷涼な島である。</x:v>
      </x:c>
      <x:c r="N460" s="165" t="str">
        <x:v>誤り。 発泡性ベースワインは早めに収穫する。</x:v>
      </x:c>
      <x:c r="O460" s="165" t="str">
        <x:v>正しい。 南極海の影響が成熟を遅らせ、シャルドネとピノ・ノワールに柑橘、リンゴ、赤系果実の風味と高い酸を保つ。</x:v>
      </x:c>
      <x:c r="P460" s="165" t="str">
        <x:v>誤り。 伝統的方式の澱熟成であり、フロールではない。</x:v>
      </x:c>
      <x:c r="Q460" s="165" t="str">
        <x:v>自然要因</x:v>
      </x:c>
      <x:c r="R460" s="165" t="str">
        <x:v>オーストラリア</x:v>
      </x:c>
      <x:c r="S460" s="165" t="str">
        <x:v>発泡性ワイン</x:v>
      </x:c>
      <x:c r="T460" s="165" t="str">
        <x:v>オーストラリア</x:v>
      </x:c>
      <x:c r="U460" s="165" t="str">
        <x:v>タスマニア</x:v>
      </x:c>
      <x:c r="V460" s="165" t="str">
        <x:v>シャルドネ、ピノ・ノワール</x:v>
      </x:c>
      <x:c r="W460" s="165" t="str">
        <x:v>因果説明</x:v>
      </x:c>
      <x:c r="X460" s="171" t="str">
        <x:v>D2</x:v>
      </x:c>
      <x:c r="Y460" s="165" t="str">
        <x:v>タスマニアは砂漠; ブドウ乾燥</x:v>
      </x:c>
      <x:c r="Z460" s="171" t="str">
        <x:v>N</x:v>
      </x:c>
      <x:c r="AA460" s="165"/>
      <x:c r="AB460" s="165" t="str">
        <x:v>オリジナル</x:v>
      </x:c>
      <x:c r="AC460" s="165" t="str">
        <x:v>公式Specificationの範囲＋ユーザー作成コーパスの論点を参考に独自作成</x:v>
      </x:c>
      <x:c r="AD460" s="171" t="str">
        <x:v>未レビュー</x:v>
      </x:c>
      <x:c r="AE460" s="171"/>
      <x:c r="AF460" s="171"/>
      <x:c r="AG460" s="312"/>
    </x:row>
    <x:row r="461" ht="84" customHeight="1">
      <x:c r="A461" s="311" t="str">
        <x:v>LO3-100</x:v>
      </x:c>
      <x:c r="B461" s="171" t="str">
        <x:v>LO3</x:v>
      </x:c>
      <x:c r="C461" s="165" t="str">
        <x:v>世界の主要な発泡性ワイン</x:v>
      </x:c>
      <x:c r="D461" s="165" t="str">
        <x:v>ヤラ・ヴァレーの発泡性ワイン</x:v>
      </x:c>
      <x:c r="E461" s="165" t="str">
        <x:v>ヤラ・ヴァレーがオーストラリアの高品質発泡性ワイン産地となる主な理由はどれか。</x:v>
      </x:c>
      <x:c r="F461" s="165" t="str">
        <x:v>オーストラリアで最も暑い砂漠だから</x:v>
      </x:c>
      <x:c r="G461" s="165" t="str">
        <x:v>酒精強化によって泡を作るから</x:v>
      </x:c>
      <x:c r="H461" s="165" t="str">
        <x:v>モスカートだけを用いるから</x:v>
      </x:c>
      <x:c r="I461" s="165" t="str">
        <x:v>標高と南からの冷気により、シャルドネとピノ・ノワールの酸を保持できる</x:v>
      </x:c>
      <x:c r="J461" s="171" t="str">
        <x:v>D</x:v>
      </x:c>
      <x:c r="K461" s="165" t="str">
        <x:v>標高と南からの冷気により、シャルドネとピノ・ノワールの酸を保持できる</x:v>
      </x:c>
      <x:c r="L461" s="165" t="str">
        <x:v>冷涼な区画から早めに収穫した果実が、伝統的方式に適した繊細なベースワインになる。</x:v>
      </x:c>
      <x:c r="M461" s="165" t="str">
        <x:v>誤り。 ヤラは比較的冷涼なヴィクトリア州の産地である。</x:v>
      </x:c>
      <x:c r="N461" s="165" t="str">
        <x:v>誤り。 発泡性は二次発酵で得る。</x:v>
      </x:c>
      <x:c r="O461" s="165" t="str">
        <x:v>誤り。 主にシャルドネとピノ・ノワールが用いられる。</x:v>
      </x:c>
      <x:c r="P461" s="165" t="str">
        <x:v>正しい。 冷涼な区画から早めに収穫した果実が、伝統的方式に適した繊細なベースワインになる。</x:v>
      </x:c>
      <x:c r="Q461" s="165" t="str">
        <x:v>自然要因</x:v>
      </x:c>
      <x:c r="R461" s="165" t="str">
        <x:v>オーストラリア</x:v>
      </x:c>
      <x:c r="S461" s="165" t="str">
        <x:v>発泡性ワイン</x:v>
      </x:c>
      <x:c r="T461" s="165" t="str">
        <x:v>オーストラリア</x:v>
      </x:c>
      <x:c r="U461" s="165" t="str">
        <x:v>ヤラ・ヴァレー</x:v>
      </x:c>
      <x:c r="V461" s="165" t="str">
        <x:v>シャルドネ、ピノ・ノワール</x:v>
      </x:c>
      <x:c r="W461" s="165" t="str">
        <x:v>因果説明</x:v>
      </x:c>
      <x:c r="X461" s="171" t="str">
        <x:v>D2</x:v>
      </x:c>
      <x:c r="Y461" s="165" t="str">
        <x:v>ヤラは砂漠; 酒精強化で発泡</x:v>
      </x:c>
      <x:c r="Z461" s="171" t="str">
        <x:v>N</x:v>
      </x:c>
      <x:c r="AA461" s="165"/>
      <x:c r="AB461" s="165" t="str">
        <x:v>オリジナル</x:v>
      </x:c>
      <x:c r="AC461" s="165" t="str">
        <x:v>公式Specificationの範囲＋ユーザー作成コーパスの論点を参考に独自作成</x:v>
      </x:c>
      <x:c r="AD461" s="171" t="str">
        <x:v>未レビュー</x:v>
      </x:c>
      <x:c r="AE461" s="171"/>
      <x:c r="AF461" s="171"/>
      <x:c r="AG461" s="312"/>
    </x:row>
    <x:row r="462" ht="84" customHeight="1">
      <x:c r="A462" s="311" t="str">
        <x:v>LO3-101</x:v>
      </x:c>
      <x:c r="B462" s="171" t="str">
        <x:v>LO3</x:v>
      </x:c>
      <x:c r="C462" s="165" t="str">
        <x:v>世界の主要な発泡性ワイン</x:v>
      </x:c>
      <x:c r="D462" s="165" t="str">
        <x:v>モーニントン・ペニンシュラ</x:v>
      </x:c>
      <x:c r="E462" s="165" t="str">
        <x:v>モーニントン・ペニンシュラの発泡性ワインがフレッシュなスタイルになりやすい主な理由はどれか。</x:v>
      </x:c>
      <x:c r="F462" s="165" t="str">
        <x:v>海に囲まれた冷涼な気候が成熟を遅らせ、酸を保持する</x:v>
      </x:c>
      <x:c r="G462" s="165" t="str">
        <x:v>内陸の高温乾燥が糖を極端に高めるため</x:v>
      </x:c>
      <x:c r="H462" s="165" t="str">
        <x:v>ブドウを貴腐化するため</x:v>
      </x:c>
      <x:c r="I462" s="165" t="str">
        <x:v>タンクへブランデーを加えるため</x:v>
      </x:c>
      <x:c r="J462" s="171" t="str">
        <x:v>A</x:v>
      </x:c>
      <x:c r="K462" s="165" t="str">
        <x:v>海に囲まれた冷涼な気候が成熟を遅らせ、酸を保持する</x:v>
      </x:c>
      <x:c r="L462" s="165" t="str">
        <x:v>バス海峡からの風が夏の暑さを和らげ、ピノ・ノワールとシャルドネの繊細な香りを保つ。</x:v>
      </x:c>
      <x:c r="M462" s="165" t="str">
        <x:v>正しい。 バス海峡からの風が夏の暑さを和らげ、ピノ・ノワールとシャルドネの繊細な香りを保つ。</x:v>
      </x:c>
      <x:c r="N462" s="165" t="str">
        <x:v>誤り。 海洋性の冷涼さが重要である。</x:v>
      </x:c>
      <x:c r="O462" s="165" t="str">
        <x:v>誤り。 発泡性用には健全で高酸の果実を用いる。</x:v>
      </x:c>
      <x:c r="P462" s="165" t="str">
        <x:v>誤り。 酒精強化は行わない。</x:v>
      </x:c>
      <x:c r="Q462" s="165" t="str">
        <x:v>自然要因</x:v>
      </x:c>
      <x:c r="R462" s="165" t="str">
        <x:v>オーストラリア</x:v>
      </x:c>
      <x:c r="S462" s="165" t="str">
        <x:v>発泡性ワイン</x:v>
      </x:c>
      <x:c r="T462" s="165" t="str">
        <x:v>オーストラリア</x:v>
      </x:c>
      <x:c r="U462" s="165" t="str">
        <x:v>モーニントン・ペニンシュラ</x:v>
      </x:c>
      <x:c r="V462" s="165" t="str">
        <x:v>ピノ・ノワール、シャルドネ</x:v>
      </x:c>
      <x:c r="W462" s="165" t="str">
        <x:v>因果説明</x:v>
      </x:c>
      <x:c r="X462" s="171" t="str">
        <x:v>D2</x:v>
      </x:c>
      <x:c r="Y462" s="165" t="str">
        <x:v>モーニントンは内陸高温; 貴腐</x:v>
      </x:c>
      <x:c r="Z462" s="171" t="str">
        <x:v>N</x:v>
      </x:c>
      <x:c r="AA462" s="165"/>
      <x:c r="AB462" s="165" t="str">
        <x:v>オリジナル</x:v>
      </x:c>
      <x:c r="AC462" s="165" t="str">
        <x:v>公式Specificationの範囲＋ユーザー作成コーパスの論点を参考に独自作成</x:v>
      </x:c>
      <x:c r="AD462" s="171" t="str">
        <x:v>未レビュー</x:v>
      </x:c>
      <x:c r="AE462" s="171"/>
      <x:c r="AF462" s="171"/>
      <x:c r="AG462" s="312"/>
    </x:row>
    <x:row r="463" ht="84" customHeight="1">
      <x:c r="A463" s="311" t="str">
        <x:v>LO3-102</x:v>
      </x:c>
      <x:c r="B463" s="171" t="str">
        <x:v>LO3</x:v>
      </x:c>
      <x:c r="C463" s="165" t="str">
        <x:v>世界の主要な発泡性ワイン</x:v>
      </x:c>
      <x:c r="D463" s="165" t="str">
        <x:v>マールボロの発泡性ワイン</x:v>
      </x:c>
      <x:c r="E463" s="165" t="str">
        <x:v>マールボロで伝統的方式発泡性ワインを造る際、ソーヴィニヨン・ブランよりシャルドネとピノ・ノワールが多く用いられる理由はどれか。</x:v>
      </x:c>
      <x:c r="F463" s="165" t="str">
        <x:v>ソーヴィニヨン・ブランは黒品種だから</x:v>
      </x:c>
      <x:c r="G463" s="165" t="str">
        <x:v>中立的で高酸のベースワインを造りやすく、澱熟成の風味と調和するため</x:v>
      </x:c>
      <x:c r="H463" s="165" t="str">
        <x:v>シャルドネとピノ・ノワールは発酵を必要としないから</x:v>
      </x:c>
      <x:c r="I463" s="165" t="str">
        <x:v>澱熟成には高タンニンが必須だから</x:v>
      </x:c>
      <x:c r="J463" s="171" t="str">
        <x:v>B</x:v>
      </x:c>
      <x:c r="K463" s="165" t="str">
        <x:v>中立的で高酸のベースワインを造りやすく、澱熟成の風味と調和するため</x:v>
      </x:c>
      <x:c r="L463" s="165" t="str">
        <x:v>シャルドネとピノ・ノワールは伝統的方式の構造と熟成に適し、強い品種香が自己分解香を圧倒しにくい。</x:v>
      </x:c>
      <x:c r="M463" s="165" t="str">
        <x:v>誤り。 ソーヴィニヨン・ブランは白品種である。</x:v>
      </x:c>
      <x:c r="N463" s="165" t="str">
        <x:v>正しい。 シャルドネとピノ・ノワールは伝統的方式の構造と熟成に適し、強い品種香が自己分解香を圧倒しにくい。</x:v>
      </x:c>
      <x:c r="O463" s="165" t="str">
        <x:v>誤り。 いずれも一次・二次発酵が必要である。</x:v>
      </x:c>
      <x:c r="P463" s="165" t="str">
        <x:v>誤り。 発泡性ベースワインは低タンニンが望ましい。</x:v>
      </x:c>
      <x:c r="Q463" s="165" t="str">
        <x:v>品種</x:v>
      </x:c>
      <x:c r="R463" s="165" t="str">
        <x:v>ニュージーランド</x:v>
      </x:c>
      <x:c r="S463" s="165" t="str">
        <x:v>発泡性ワイン</x:v>
      </x:c>
      <x:c r="T463" s="165" t="str">
        <x:v>ニュージーランド</x:v>
      </x:c>
      <x:c r="U463" s="165" t="str">
        <x:v>マールボロ</x:v>
      </x:c>
      <x:c r="V463" s="165" t="str">
        <x:v>シャルドネ、ピノ・ノワール</x:v>
      </x:c>
      <x:c r="W463" s="165" t="str">
        <x:v>比較</x:v>
      </x:c>
      <x:c r="X463" s="171" t="str">
        <x:v>D3</x:v>
      </x:c>
      <x:c r="Y463" s="165" t="str">
        <x:v>SBは黒品種; 発泡性に高タンニン必須</x:v>
      </x:c>
      <x:c r="Z463" s="171" t="str">
        <x:v>N</x:v>
      </x:c>
      <x:c r="AA463" s="165"/>
      <x:c r="AB463" s="165" t="str">
        <x:v>オリジナル</x:v>
      </x:c>
      <x:c r="AC463" s="165" t="str">
        <x:v>公式Specificationの範囲＋ユーザー作成コーパスの論点を参考に独自作成</x:v>
      </x:c>
      <x:c r="AD463" s="171" t="str">
        <x:v>未レビュー</x:v>
      </x:c>
      <x:c r="AE463" s="171"/>
      <x:c r="AF463" s="171"/>
      <x:c r="AG463" s="312"/>
    </x:row>
    <x:row r="464" ht="84" customHeight="1">
      <x:c r="A464" s="311" t="str">
        <x:v>LO3-103</x:v>
      </x:c>
      <x:c r="B464" s="171" t="str">
        <x:v>LO3</x:v>
      </x:c>
      <x:c r="C464" s="165" t="str">
        <x:v>世界の主要な発泡性ワイン</x:v>
      </x:c>
      <x:c r="D464" s="165" t="str">
        <x:v>セントラル・オタゴの発泡性ワイン</x:v>
      </x:c>
      <x:c r="E464" s="165" t="str">
        <x:v>セントラル・オタゴの発泡性ワイン用ピノ・ノワールを通常の赤ワイン用より早く収穫する主な理由はどれか。</x:v>
      </x:c>
      <x:c r="F464" s="165" t="str">
        <x:v>赤色とタンニンを最大限に増やすため</x:v>
      </x:c>
      <x:c r="G464" s="165" t="str">
        <x:v>果実を凍結して甘口にするため</x:v>
      </x:c>
      <x:c r="H464" s="165" t="str">
        <x:v>糖度と潜在アルコールを抑え、高い酸と繊細な香りを保つため</x:v>
      </x:c>
      <x:c r="I464" s="165" t="str">
        <x:v>酒精強化を容易にするため</x:v>
      </x:c>
      <x:c r="J464" s="171" t="str">
        <x:v>C</x:v>
      </x:c>
      <x:c r="K464" s="165" t="str">
        <x:v>糖度と潜在アルコールを抑え、高い酸と繊細な香りを保つため</x:v>
      </x:c>
      <x:c r="L464" s="165" t="str">
        <x:v>二次発酵でアルコールが増えるため、ベースワインには過熟でない高酸の果実が適する。</x:v>
      </x:c>
      <x:c r="M464" s="165" t="str">
        <x:v>誤り。 発泡性用は一般に穏やかな圧搾で色とタンニンを抑える。</x:v>
      </x:c>
      <x:c r="N464" s="165" t="str">
        <x:v>誤り。 早期収穫は酸保持が目的で、凍結収穫ではない。</x:v>
      </x:c>
      <x:c r="O464" s="165" t="str">
        <x:v>正しい。 二次発酵でアルコールが増えるため、ベースワインには過熟でない高酸の果実が適する。</x:v>
      </x:c>
      <x:c r="P464" s="165" t="str">
        <x:v>誤り。 発泡性ワインは酒精強化しない。</x:v>
      </x:c>
      <x:c r="Q464" s="165" t="str">
        <x:v>栽培</x:v>
      </x:c>
      <x:c r="R464" s="165" t="str">
        <x:v>ニュージーランド</x:v>
      </x:c>
      <x:c r="S464" s="165" t="str">
        <x:v>発泡性ワイン</x:v>
      </x:c>
      <x:c r="T464" s="165" t="str">
        <x:v>ニュージーランド</x:v>
      </x:c>
      <x:c r="U464" s="165" t="str">
        <x:v>セントラル・オタゴ</x:v>
      </x:c>
      <x:c r="V464" s="165" t="str">
        <x:v>ピノ・ノワール</x:v>
      </x:c>
      <x:c r="W464" s="165" t="str">
        <x:v>因果説明</x:v>
      </x:c>
      <x:c r="X464" s="171" t="str">
        <x:v>D2</x:v>
      </x:c>
      <x:c r="Y464" s="165" t="str">
        <x:v>早摘みで色最大化; 酒精強化</x:v>
      </x:c>
      <x:c r="Z464" s="171" t="str">
        <x:v>N</x:v>
      </x:c>
      <x:c r="AA464" s="165"/>
      <x:c r="AB464" s="165" t="str">
        <x:v>オリジナル</x:v>
      </x:c>
      <x:c r="AC464" s="165" t="str">
        <x:v>公式Specificationの範囲＋ユーザー作成コーパスの論点を参考に独自作成</x:v>
      </x:c>
      <x:c r="AD464" s="171" t="str">
        <x:v>未レビュー</x:v>
      </x:c>
      <x:c r="AE464" s="171"/>
      <x:c r="AF464" s="171"/>
      <x:c r="AG464" s="312"/>
    </x:row>
    <x:row r="465" ht="84" customHeight="1">
      <x:c r="A465" s="311" t="str">
        <x:v>LO3-104</x:v>
      </x:c>
      <x:c r="B465" s="171" t="str">
        <x:v>LO3</x:v>
      </x:c>
      <x:c r="C465" s="165" t="str">
        <x:v>世界の主要な発泡性ワイン</x:v>
      </x:c>
      <x:c r="D465" s="165" t="str">
        <x:v>キャップ・クラシックの冷涼産地</x:v>
      </x:c>
      <x:c r="E465" s="165" t="str">
        <x:v>南アフリカの高品質キャップ・クラシックで沿岸や高標高のブドウが好まれる主な理由はどれか。</x:v>
      </x:c>
      <x:c r="F465" s="165" t="str">
        <x:v>最も暑い内陸の過熟果だけが必要だから</x:v>
      </x:c>
      <x:c r="G465" s="165" t="str">
        <x:v>果皮タンニンを最大限抽出するため</x:v>
      </x:c>
      <x:c r="H465" s="165" t="str">
        <x:v>すべてのワインを甘口にするため</x:v>
      </x:c>
      <x:c r="I465" s="165" t="str">
        <x:v>温暖な国の中で高い酸と低い潜在アルコールを確保できるため</x:v>
      </x:c>
      <x:c r="J465" s="171" t="str">
        <x:v>D</x:v>
      </x:c>
      <x:c r="K465" s="165" t="str">
        <x:v>温暖な国の中で高い酸と低い潜在アルコールを確保できるため</x:v>
      </x:c>
      <x:c r="L465" s="165" t="str">
        <x:v>海風や標高が成熟を遅らせ、伝統的方式に適したシャルドネとピノ・ノワールを得る。</x:v>
      </x:c>
      <x:c r="M465" s="165" t="str">
        <x:v>誤り。 発泡性用には高酸で過熟していない果実が適する。</x:v>
      </x:c>
      <x:c r="N465" s="165" t="str">
        <x:v>誤り。 ベースワインは低タンニンが望ましい。</x:v>
      </x:c>
      <x:c r="O465" s="165" t="str">
        <x:v>誤り。 辛口を含む多様なスタイルがある。</x:v>
      </x:c>
      <x:c r="P465" s="165" t="str">
        <x:v>正しい。 海風や標高が成熟を遅らせ、伝統的方式に適したシャルドネとピノ・ノワールを得る。</x:v>
      </x:c>
      <x:c r="Q465" s="165" t="str">
        <x:v>自然要因</x:v>
      </x:c>
      <x:c r="R465" s="165" t="str">
        <x:v>キャップ・クラシック</x:v>
      </x:c>
      <x:c r="S465" s="165" t="str">
        <x:v>発泡性ワイン</x:v>
      </x:c>
      <x:c r="T465" s="165" t="str">
        <x:v>南アフリカ</x:v>
      </x:c>
      <x:c r="U465" s="165" t="str">
        <x:v>西ケープ</x:v>
      </x:c>
      <x:c r="V465" s="165" t="str">
        <x:v>シャルドネ、ピノ・ノワール</x:v>
      </x:c>
      <x:c r="W465" s="165" t="str">
        <x:v>因果説明</x:v>
      </x:c>
      <x:c r="X465" s="171" t="str">
        <x:v>D2</x:v>
      </x:c>
      <x:c r="Y465" s="165" t="str">
        <x:v>過熟果が最適; 高タンニンベース</x:v>
      </x:c>
      <x:c r="Z465" s="171" t="str">
        <x:v>N</x:v>
      </x:c>
      <x:c r="AA465" s="165"/>
      <x:c r="AB465" s="165" t="str">
        <x:v>オリジナル</x:v>
      </x:c>
      <x:c r="AC465" s="165" t="str">
        <x:v>公式Specificationの範囲＋ユーザー作成コーパスの論点を参考に独自作成</x:v>
      </x:c>
      <x:c r="AD465" s="171" t="str">
        <x:v>未レビュー</x:v>
      </x:c>
      <x:c r="AE465" s="171"/>
      <x:c r="AF465" s="171"/>
      <x:c r="AG465" s="312"/>
    </x:row>
    <x:row r="466" ht="84" customHeight="1">
      <x:c r="A466" s="311" t="str">
        <x:v>LO3-105</x:v>
      </x:c>
      <x:c r="B466" s="171" t="str">
        <x:v>LO3</x:v>
      </x:c>
      <x:c r="C466" s="165" t="str">
        <x:v>世界の主要な発泡性ワイン</x:v>
      </x:c>
      <x:c r="D466" s="165" t="str">
        <x:v>ロス・カーネロス</x:v>
      </x:c>
      <x:c r="E466" s="165" t="str">
        <x:v>ロス・カーネロスがカリフォルニアの発泡性ワインに適する主な理由はどれか。</x:v>
      </x:c>
      <x:c r="F466" s="165" t="str">
        <x:v>サン・パブロ湾からの風と霧が日中の気温を下げるため</x:v>
      </x:c>
      <x:c r="G466" s="165" t="str">
        <x:v>内陸砂漠で夜間も高温だから</x:v>
      </x:c>
      <x:c r="H466" s="165" t="str">
        <x:v>グレーラだけを栽培するため</x:v>
      </x:c>
      <x:c r="I466" s="165" t="str">
        <x:v>ブドウを酒精強化するため</x:v>
      </x:c>
      <x:c r="J466" s="171" t="str">
        <x:v>A</x:v>
      </x:c>
      <x:c r="K466" s="165" t="str">
        <x:v>サン・パブロ湾からの風と霧が日中の気温を下げるため</x:v>
      </x:c>
      <x:c r="L466" s="165" t="str">
        <x:v>冷涼な海洋影響により、シャルドネとピノ・ノワールが酸を保ち、香りをゆっくり発達させる。</x:v>
      </x:c>
      <x:c r="M466" s="165" t="str">
        <x:v>正しい。 冷涼な海洋影響により、シャルドネとピノ・ノワールが酸を保ち、香りをゆっくり発達させる。</x:v>
      </x:c>
      <x:c r="N466" s="165" t="str">
        <x:v>誤り。 湾からの冷却が重要である。</x:v>
      </x:c>
      <x:c r="O466" s="165" t="str">
        <x:v>誤り。 主要品種はシャルドネとピノ・ノワールである。</x:v>
      </x:c>
      <x:c r="P466" s="165" t="str">
        <x:v>誤り。 発泡性は二次発酵で得る。</x:v>
      </x:c>
      <x:c r="Q466" s="165" t="str">
        <x:v>自然要因</x:v>
      </x:c>
      <x:c r="R466" s="165" t="str">
        <x:v>カリフォルニア</x:v>
      </x:c>
      <x:c r="S466" s="165" t="str">
        <x:v>発泡性ワイン</x:v>
      </x:c>
      <x:c r="T466" s="165" t="str">
        <x:v>米国</x:v>
      </x:c>
      <x:c r="U466" s="165" t="str">
        <x:v>ロス・カーネロス</x:v>
      </x:c>
      <x:c r="V466" s="165" t="str">
        <x:v>シャルドネ、ピノ・ノワール</x:v>
      </x:c>
      <x:c r="W466" s="165" t="str">
        <x:v>因果説明</x:v>
      </x:c>
      <x:c r="X466" s="171" t="str">
        <x:v>D2</x:v>
      </x:c>
      <x:c r="Y466" s="165" t="str">
        <x:v>カーネロスは砂漠; グレーラ</x:v>
      </x:c>
      <x:c r="Z466" s="171" t="str">
        <x:v>N</x:v>
      </x:c>
      <x:c r="AA466" s="165"/>
      <x:c r="AB466" s="165" t="str">
        <x:v>オリジナル</x:v>
      </x:c>
      <x:c r="AC466" s="165" t="str">
        <x:v>公式Specificationの範囲＋ユーザー作成コーパスの論点を参考に独自作成</x:v>
      </x:c>
      <x:c r="AD466" s="171" t="str">
        <x:v>未レビュー</x:v>
      </x:c>
      <x:c r="AE466" s="171"/>
      <x:c r="AF466" s="171"/>
      <x:c r="AG466" s="312"/>
    </x:row>
    <x:row r="467" ht="84" customHeight="1">
      <x:c r="A467" s="311" t="str">
        <x:v>LO3-106</x:v>
      </x:c>
      <x:c r="B467" s="171" t="str">
        <x:v>LO3</x:v>
      </x:c>
      <x:c r="C467" s="165" t="str">
        <x:v>世界の主要な発泡性ワイン</x:v>
      </x:c>
      <x:c r="D467" s="165" t="str">
        <x:v>ウィラメットの発泡性ワイン</x:v>
      </x:c>
      <x:c r="E467" s="165" t="str">
        <x:v>ウィラメット・ヴァレーで伝統的方式の発泡性ワインが発展しやすい主な理由はどれか。</x:v>
      </x:c>
      <x:c r="F467" s="165" t="str">
        <x:v>極端な熱帯気候だから</x:v>
      </x:c>
      <x:c r="G467" s="165" t="str">
        <x:v>冷涼な気候で高酸のピノ・ノワールとシャルドネを栽培できる</x:v>
      </x:c>
      <x:c r="H467" s="165" t="str">
        <x:v>シラーを樹上乾燥するため</x:v>
      </x:c>
      <x:c r="I467" s="165" t="str">
        <x:v>フロール熟成が義務だから</x:v>
      </x:c>
      <x:c r="J467" s="171" t="str">
        <x:v>B</x:v>
      </x:c>
      <x:c r="K467" s="165" t="str">
        <x:v>冷涼な気候で高酸のピノ・ノワールとシャルドネを栽培できる</x:v>
      </x:c>
      <x:c r="L467" s="165" t="str">
        <x:v>長い生育期が繊細な果実香を発達させ、早めの収穫でベースワインの酸を確保できる。</x:v>
      </x:c>
      <x:c r="M467" s="165" t="str">
        <x:v>誤り。 オレゴン北部の冷涼な産地である。</x:v>
      </x:c>
      <x:c r="N467" s="165" t="str">
        <x:v>正しい。 長い生育期が繊細な果実香を発達させ、早めの収穫でベースワインの酸を確保できる。</x:v>
      </x:c>
      <x:c r="O467" s="165" t="str">
        <x:v>誤り。 ピノ・ノワールとシャルドネが中心である。</x:v>
      </x:c>
      <x:c r="P467" s="165" t="str">
        <x:v>誤り。 伝統的方式の澱熟成を行う。</x:v>
      </x:c>
      <x:c r="Q467" s="165" t="str">
        <x:v>自然要因</x:v>
      </x:c>
      <x:c r="R467" s="165" t="str">
        <x:v>オレゴン</x:v>
      </x:c>
      <x:c r="S467" s="165" t="str">
        <x:v>発泡性ワイン</x:v>
      </x:c>
      <x:c r="T467" s="165" t="str">
        <x:v>米国</x:v>
      </x:c>
      <x:c r="U467" s="165" t="str">
        <x:v>ウィラメット・ヴァレー</x:v>
      </x:c>
      <x:c r="V467" s="165" t="str">
        <x:v>ピノ・ノワール、シャルドネ</x:v>
      </x:c>
      <x:c r="W467" s="165" t="str">
        <x:v>因果説明</x:v>
      </x:c>
      <x:c r="X467" s="171" t="str">
        <x:v>D2</x:v>
      </x:c>
      <x:c r="Y467" s="165" t="str">
        <x:v>ウィラメットは熱帯; フロール熟成</x:v>
      </x:c>
      <x:c r="Z467" s="171" t="str">
        <x:v>N</x:v>
      </x:c>
      <x:c r="AA467" s="165"/>
      <x:c r="AB467" s="165" t="str">
        <x:v>オリジナル</x:v>
      </x:c>
      <x:c r="AC467" s="165" t="str">
        <x:v>公式Specificationの範囲＋ユーザー作成コーパスの論点を参考に独自作成</x:v>
      </x:c>
      <x:c r="AD467" s="171" t="str">
        <x:v>未レビュー</x:v>
      </x:c>
      <x:c r="AE467" s="171"/>
      <x:c r="AF467" s="171"/>
      <x:c r="AG467" s="312"/>
    </x:row>
    <x:row r="468" ht="84" customHeight="1">
      <x:c r="A468" s="311" t="str">
        <x:v>LO3-107</x:v>
      </x:c>
      <x:c r="B468" s="171" t="str">
        <x:v>LO3</x:v>
      </x:c>
      <x:c r="C468" s="165" t="str">
        <x:v>世界の主要な発泡性ワイン</x:v>
      </x:c>
      <x:c r="D468" s="165" t="str">
        <x:v>ロゼ発泡性の短時間浸漬</x:v>
      </x:c>
      <x:c r="E468" s="165" t="str">
        <x:v>黒ブドウからロゼのベースワインを造る短時間果皮浸漬法の主な利点はどれか。</x:v>
      </x:c>
      <x:c r="F468" s="165" t="str">
        <x:v>種子タンニンを最大限に抽出する</x:v>
      </x:c>
      <x:c r="G468" s="165" t="str">
        <x:v>発酵を行わずにアルコールを得る</x:v>
      </x:c>
      <x:c r="H468" s="165" t="str">
        <x:v>色と赤系果実の風味を得ながら、タンニン抽出を低く保てる</x:v>
      </x:c>
      <x:c r="I468" s="165" t="str">
        <x:v>澱熟成だけで色を得る</x:v>
      </x:c>
      <x:c r="J468" s="171" t="str">
        <x:v>C</x:v>
      </x:c>
      <x:c r="K468" s="165" t="str">
        <x:v>色と赤系果実の風味を得ながら、タンニン抽出を低く保てる</x:v>
      </x:c>
      <x:c r="L468" s="165" t="str">
        <x:v>低温で短時間だけ果皮と接触し、目的の淡い色になった時点で果汁を分離する。</x:v>
      </x:c>
      <x:c r="M468" s="165" t="str">
        <x:v>誤り。 ロゼ発泡性では強い苦渋味を避ける。</x:v>
      </x:c>
      <x:c r="N468" s="165" t="str">
        <x:v>誤り。 一次発酵と二次発酵が必要である。</x:v>
      </x:c>
      <x:c r="O468" s="165" t="str">
        <x:v>正しい。 低温で短時間だけ果皮と接触し、目的の淡い色になった時点で果汁を分離する。</x:v>
      </x:c>
      <x:c r="P468" s="165" t="str">
        <x:v>誤り。 色は黒ブドウの果皮から得る。</x:v>
      </x:c>
      <x:c r="Q468" s="165" t="str">
        <x:v>醸造</x:v>
      </x:c>
      <x:c r="R468" s="165" t="str">
        <x:v>ロゼ発泡性</x:v>
      </x:c>
      <x:c r="S468" s="165" t="str">
        <x:v>ロゼ発泡性ワイン</x:v>
      </x:c>
      <x:c r="T468" s="165"/>
      <x:c r="U468" s="165"/>
      <x:c r="V468" s="165"/>
      <x:c r="W468" s="165" t="str">
        <x:v>因果説明</x:v>
      </x:c>
      <x:c r="X468" s="171" t="str">
        <x:v>D2</x:v>
      </x:c>
      <x:c r="Y468" s="165" t="str">
        <x:v>ロゼは最大タンニン; 澱で色</x:v>
      </x:c>
      <x:c r="Z468" s="171" t="str">
        <x:v>N</x:v>
      </x:c>
      <x:c r="AA468" s="165"/>
      <x:c r="AB468" s="165" t="str">
        <x:v>オリジナル</x:v>
      </x:c>
      <x:c r="AC468" s="165" t="str">
        <x:v>公式Specificationの範囲＋ユーザー作成コーパスの論点を参考に独自作成</x:v>
      </x:c>
      <x:c r="AD468" s="171" t="str">
        <x:v>未レビュー</x:v>
      </x:c>
      <x:c r="AE468" s="171"/>
      <x:c r="AF468" s="171"/>
      <x:c r="AG468" s="312"/>
    </x:row>
    <x:row r="469" ht="84" customHeight="1">
      <x:c r="A469" s="311" t="str">
        <x:v>LO3-108</x:v>
      </x:c>
      <x:c r="B469" s="171" t="str">
        <x:v>LO3</x:v>
      </x:c>
      <x:c r="C469" s="165" t="str">
        <x:v>世界の主要な発泡性ワイン</x:v>
      </x:c>
      <x:c r="D469" s="165" t="str">
        <x:v>ロゼ発泡性のブレンド</x:v>
      </x:c>
      <x:c r="E469" s="165" t="str">
        <x:v>白のベースワインへ少量の赤ワインを加えてロゼ発泡性ワインを造る利点はどれか。</x:v>
      </x:c>
      <x:c r="F469" s="165" t="str">
        <x:v>赤ワインを加えると二次発酵が不要になる</x:v>
      </x:c>
      <x:c r="G469" s="165" t="str">
        <x:v>白ワインの酸が完全に消える</x:v>
      </x:c>
      <x:c r="H469" s="165" t="str">
        <x:v>必ず甘口になる</x:v>
      </x:c>
      <x:c r="I469" s="165" t="str">
        <x:v>色と赤系果実の風味を精密かつ再現性高く調整できる</x:v>
      </x:c>
      <x:c r="J469" s="171" t="str">
        <x:v>D</x:v>
      </x:c>
      <x:c r="K469" s="165" t="str">
        <x:v>色と赤系果実の風味を精密かつ再現性高く調整できる</x:v>
      </x:c>
      <x:c r="L469" s="165" t="str">
        <x:v>別に醸造した赤を少量ずつ加えるため、収穫年ごとの色の差を補い、ハウス・スタイルを維持しやすい。</x:v>
      </x:c>
      <x:c r="M469" s="165" t="str">
        <x:v>誤り。 発泡性を得るには通常、二次発酵が必要である。</x:v>
      </x:c>
      <x:c r="N469" s="165" t="str">
        <x:v>誤り。 少量の赤を加えても酸がなくなるわけではない。</x:v>
      </x:c>
      <x:c r="O469" s="165" t="str">
        <x:v>誤り。 甘味はドザージュで調整し、赤ワイン添加だけでは決まらない。</x:v>
      </x:c>
      <x:c r="P469" s="165" t="str">
        <x:v>正しい。 別に醸造した赤を少量ずつ加えるため、収穫年ごとの色の差を補い、ハウス・スタイルを維持しやすい。</x:v>
      </x:c>
      <x:c r="Q469" s="165" t="str">
        <x:v>醸造</x:v>
      </x:c>
      <x:c r="R469" s="165" t="str">
        <x:v>ロゼ発泡性</x:v>
      </x:c>
      <x:c r="S469" s="165" t="str">
        <x:v>ロゼ発泡性ワイン</x:v>
      </x:c>
      <x:c r="T469" s="165"/>
      <x:c r="U469" s="165"/>
      <x:c r="V469" s="165"/>
      <x:c r="W469" s="165" t="str">
        <x:v>比較</x:v>
      </x:c>
      <x:c r="X469" s="171" t="str">
        <x:v>D2</x:v>
      </x:c>
      <x:c r="Y469" s="165" t="str">
        <x:v>赤添加で二次発酵不要; 赤添加で甘口</x:v>
      </x:c>
      <x:c r="Z469" s="171" t="str">
        <x:v>N</x:v>
      </x:c>
      <x:c r="AA469" s="165"/>
      <x:c r="AB469" s="165" t="str">
        <x:v>オリジナル</x:v>
      </x:c>
      <x:c r="AC469" s="165" t="str">
        <x:v>公式Specificationの範囲＋ユーザー作成コーパスの論点を参考に独自作成</x:v>
      </x:c>
      <x:c r="AD469" s="171" t="str">
        <x:v>未レビュー</x:v>
      </x:c>
      <x:c r="AE469" s="171"/>
      <x:c r="AF469" s="171"/>
      <x:c r="AG469" s="312"/>
    </x:row>
    <x:row r="470" ht="84" customHeight="1">
      <x:c r="A470" s="311" t="str">
        <x:v>LO3-109</x:v>
      </x:c>
      <x:c r="B470" s="171" t="str">
        <x:v>LO3</x:v>
      </x:c>
      <x:c r="C470" s="165" t="str">
        <x:v>世界の主要な発泡性ワイン</x:v>
      </x:c>
      <x:c r="D470" s="165" t="str">
        <x:v>トランスファー方式と瓶サイズ</x:v>
      </x:c>
      <x:c r="E470" s="165" t="str">
        <x:v>トランスファー方式が小型瓶や大型瓶の発泡性ワイン生産に便利な主な理由はどれか。</x:v>
      </x:c>
      <x:c r="F470" s="165" t="str">
        <x:v>標準瓶で二次発酵後、加圧タンクでまとめて処理し、任意のサイズへ再瓶詰めできる</x:v>
      </x:c>
      <x:c r="G470" s="165" t="str">
        <x:v>瓶内二次発酵を一切行わないから</x:v>
      </x:c>
      <x:c r="H470" s="165" t="str">
        <x:v>炭酸ガスをすべて除去するから</x:v>
      </x:c>
      <x:c r="I470" s="165" t="str">
        <x:v>ワインを酒精強化するから</x:v>
      </x:c>
      <x:c r="J470" s="171" t="str">
        <x:v>A</x:v>
      </x:c>
      <x:c r="K470" s="165" t="str">
        <x:v>標準瓶で二次発酵後、加圧タンクでまとめて処理し、任意のサイズへ再瓶詰めできる</x:v>
      </x:c>
      <x:c r="L470" s="165" t="str">
        <x:v>ルミュアージュと個別デゴルジュマンを省き、均一なロットを多様な瓶サイズへ充填できる。</x:v>
      </x:c>
      <x:c r="M470" s="165" t="str">
        <x:v>正しい。 ルミュアージュと個別デゴルジュマンを省き、均一なロットを多様な瓶サイズへ充填できる。</x:v>
      </x:c>
      <x:c r="N470" s="165" t="str">
        <x:v>誤り。 最初の二次発酵は瓶内で行う。</x:v>
      </x:c>
      <x:c r="O470" s="165" t="str">
        <x:v>誤り。 加圧下で処理し、発泡性を保持する。</x:v>
      </x:c>
      <x:c r="P470" s="165" t="str">
        <x:v>誤り。 酒精強化とは無関係である。</x:v>
      </x:c>
      <x:c r="Q470" s="165" t="str">
        <x:v>発泡性ワイン製法</x:v>
      </x:c>
      <x:c r="R470" s="165" t="str">
        <x:v>トランスファー方式</x:v>
      </x:c>
      <x:c r="S470" s="165" t="str">
        <x:v>発泡性ワイン</x:v>
      </x:c>
      <x:c r="T470" s="165"/>
      <x:c r="U470" s="165"/>
      <x:c r="V470" s="165"/>
      <x:c r="W470" s="165" t="str">
        <x:v>因果説明</x:v>
      </x:c>
      <x:c r="X470" s="171" t="str">
        <x:v>D3</x:v>
      </x:c>
      <x:c r="Y470" s="165" t="str">
        <x:v>トランスファーは瓶内発酵なし; 脱泡</x:v>
      </x:c>
      <x:c r="Z470" s="171" t="str">
        <x:v>N</x:v>
      </x:c>
      <x:c r="AA470" s="165"/>
      <x:c r="AB470" s="165" t="str">
        <x:v>オリジナル</x:v>
      </x:c>
      <x:c r="AC470" s="165" t="str">
        <x:v>公式Specificationの範囲＋ユーザー作成コーパスの論点を参考に独自作成</x:v>
      </x:c>
      <x:c r="AD470" s="171" t="str">
        <x:v>未レビュー</x:v>
      </x:c>
      <x:c r="AE470" s="171"/>
      <x:c r="AF470" s="171"/>
      <x:c r="AG470" s="312"/>
    </x:row>
    <x:row r="471" ht="84" customHeight="1">
      <x:c r="A471" s="311" t="str">
        <x:v>LO3-110</x:v>
      </x:c>
      <x:c r="B471" s="171" t="str">
        <x:v>LO3</x:v>
      </x:c>
      <x:c r="C471" s="165" t="str">
        <x:v>世界の主要な発泡性ワイン</x:v>
      </x:c>
      <x:c r="D471" s="165" t="str">
        <x:v>タンク方式の密閉</x:v>
      </x:c>
      <x:c r="E471" s="165" t="str">
        <x:v>タンク方式で二次発酵を密閉耐圧タンク内で行う主な理由はどれか。</x:v>
      </x:c>
      <x:c r="F471" s="165" t="str">
        <x:v>酸素を大量に取り込み、酸化を最大化するため</x:v>
      </x:c>
      <x:c r="G471" s="165" t="str">
        <x:v>発生した二酸化炭素をワインへ溶かしたまま保持するため</x:v>
      </x:c>
      <x:c r="H471" s="165" t="str">
        <x:v>アルコールをすべて蒸発させるため</x:v>
      </x:c>
      <x:c r="I471" s="165" t="str">
        <x:v>澱を瓶口へ集めるため</x:v>
      </x:c>
      <x:c r="J471" s="171" t="str">
        <x:v>B</x:v>
      </x:c>
      <x:c r="K471" s="165" t="str">
        <x:v>発生した二酸化炭素をワインへ溶かしたまま保持するため</x:v>
      </x:c>
      <x:c r="L471" s="165" t="str">
        <x:v>密閉されたタンク内で酵母が糖を発酵し、逃げ場のない二酸化炭素がワインへ溶け込む。</x:v>
      </x:c>
      <x:c r="M471" s="165" t="str">
        <x:v>誤り。 密閉し、酸素を制限する。</x:v>
      </x:c>
      <x:c r="N471" s="165" t="str">
        <x:v>正しい。 密閉されたタンク内で酵母が糖を発酵し、逃げ場のない二酸化炭素がワインへ溶け込む。</x:v>
      </x:c>
      <x:c r="O471" s="165" t="str">
        <x:v>誤り。 耐圧密閉タンクでアルコール除去は行わない。</x:v>
      </x:c>
      <x:c r="P471" s="165" t="str">
        <x:v>誤り。 瓶内のルミュアージュは行わない。</x:v>
      </x:c>
      <x:c r="Q471" s="165" t="str">
        <x:v>発泡性ワイン製法</x:v>
      </x:c>
      <x:c r="R471" s="165" t="str">
        <x:v>タンク方式</x:v>
      </x:c>
      <x:c r="S471" s="165" t="str">
        <x:v>発泡性ワイン</x:v>
      </x:c>
      <x:c r="T471" s="165"/>
      <x:c r="U471" s="165"/>
      <x:c r="V471" s="165"/>
      <x:c r="W471" s="165" t="str">
        <x:v>因果説明</x:v>
      </x:c>
      <x:c r="X471" s="171" t="str">
        <x:v>D1</x:v>
      </x:c>
      <x:c r="Y471" s="165" t="str">
        <x:v>タンク方式は酸化; ルミュアージュ</x:v>
      </x:c>
      <x:c r="Z471" s="171" t="str">
        <x:v>N</x:v>
      </x:c>
      <x:c r="AA471" s="165"/>
      <x:c r="AB471" s="165" t="str">
        <x:v>オリジナル</x:v>
      </x:c>
      <x:c r="AC471" s="165" t="str">
        <x:v>公式Specificationの範囲＋ユーザー作成コーパスの論点を参考に独自作成</x:v>
      </x:c>
      <x:c r="AD471" s="171" t="str">
        <x:v>未レビュー</x:v>
      </x:c>
      <x:c r="AE471" s="171"/>
      <x:c r="AF471" s="171"/>
      <x:c r="AG471" s="312"/>
    </x:row>
    <x:row r="472" ht="84" customHeight="1">
      <x:c r="A472" s="311" t="str">
        <x:v>LO3-111</x:v>
      </x:c>
      <x:c r="B472" s="171" t="str">
        <x:v>LO3</x:v>
      </x:c>
      <x:c r="C472" s="165" t="str">
        <x:v>世界の主要な発泡性ワイン</x:v>
      </x:c>
      <x:c r="D472" s="165" t="str">
        <x:v>タンク方式の低温管理</x:v>
      </x:c>
      <x:c r="E472" s="165" t="str">
        <x:v>プロセッコの二次発酵を低温のタンクで行う主な目的はどれか。</x:v>
      </x:c>
      <x:c r="F472" s="165" t="str">
        <x:v>パンやビスケット香を最大限にする</x:v>
      </x:c>
      <x:c r="G472" s="165" t="str">
        <x:v>タンニンを最大限に抽出する</x:v>
      </x:c>
      <x:c r="H472" s="165" t="str">
        <x:v>グレーラの洋梨、リンゴ、花の香りを保持する</x:v>
      </x:c>
      <x:c r="I472" s="165" t="str">
        <x:v>残糖を必ずゼロにする</x:v>
      </x:c>
      <x:c r="J472" s="171" t="str">
        <x:v>C</x:v>
      </x:c>
      <x:c r="K472" s="165" t="str">
        <x:v>グレーラの洋梨、リンゴ、花の香りを保持する</x:v>
      </x:c>
      <x:c r="L472" s="165" t="str">
        <x:v>低温は揮発性香気の損失を抑え、自己分解香より一次果実香を中心としたスタイルにする。</x:v>
      </x:c>
      <x:c r="M472" s="165" t="str">
        <x:v>誤り。 長期澱熟成を行う伝統的方式でより発達しやすい香りである。</x:v>
      </x:c>
      <x:c r="N472" s="165" t="str">
        <x:v>誤り。 白のベースワインで強い果皮抽出は行わない。</x:v>
      </x:c>
      <x:c r="O472" s="165" t="str">
        <x:v>正しい。 低温は揮発性香気の損失を抑え、自己分解香より一次果実香を中心としたスタイルにする。</x:v>
      </x:c>
      <x:c r="P472" s="165" t="str">
        <x:v>誤り。 発酵停止と甘味調整により複数の残糖スタイルがある。</x:v>
      </x:c>
      <x:c r="Q472" s="165" t="str">
        <x:v>発泡性ワイン製法</x:v>
      </x:c>
      <x:c r="R472" s="165" t="str">
        <x:v>タンク方式</x:v>
      </x:c>
      <x:c r="S472" s="165" t="str">
        <x:v>発泡性ワイン</x:v>
      </x:c>
      <x:c r="T472" s="165" t="str">
        <x:v>イタリア</x:v>
      </x:c>
      <x:c r="U472" s="165" t="str">
        <x:v>プロセッコ</x:v>
      </x:c>
      <x:c r="V472" s="165" t="str">
        <x:v>グレーラ</x:v>
      </x:c>
      <x:c r="W472" s="165" t="str">
        <x:v>因果説明</x:v>
      </x:c>
      <x:c r="X472" s="171" t="str">
        <x:v>D2</x:v>
      </x:c>
      <x:c r="Y472" s="165" t="str">
        <x:v>低温タンクで自己分解最大化; 残糖必ずゼロ</x:v>
      </x:c>
      <x:c r="Z472" s="171" t="str">
        <x:v>N</x:v>
      </x:c>
      <x:c r="AA472" s="165"/>
      <x:c r="AB472" s="165" t="str">
        <x:v>オリジナル</x:v>
      </x:c>
      <x:c r="AC472" s="165" t="str">
        <x:v>公式Specificationの範囲＋ユーザー作成コーパスの論点を参考に独自作成</x:v>
      </x:c>
      <x:c r="AD472" s="171" t="str">
        <x:v>未レビュー</x:v>
      </x:c>
      <x:c r="AE472" s="171"/>
      <x:c r="AF472" s="171"/>
      <x:c r="AG472" s="312"/>
    </x:row>
    <x:row r="473" ht="84" customHeight="1">
      <x:c r="A473" s="311" t="str">
        <x:v>LO3-112</x:v>
      </x:c>
      <x:c r="B473" s="171" t="str">
        <x:v>LO3</x:v>
      </x:c>
      <x:c r="C473" s="165" t="str">
        <x:v>世界の主要な発泡性ワイン</x:v>
      </x:c>
      <x:c r="D473" s="165" t="str">
        <x:v>炭酸ガス注入方式のコスト</x:v>
      </x:c>
      <x:c r="E473" s="165" t="str">
        <x:v>炭酸ガス注入方式が最も低コストになりやすい主な理由はどれか。</x:v>
      </x:c>
      <x:c r="F473" s="165" t="str">
        <x:v>手作業のルミュアージュを数年行うため</x:v>
      </x:c>
      <x:c r="G473" s="165" t="str">
        <x:v>最高品質の低収量畑だけを使うため</x:v>
      </x:c>
      <x:c r="H473" s="165" t="str">
        <x:v>瓶ごとに二次発酵するため</x:v>
      </x:c>
      <x:c r="I473" s="165" t="str">
        <x:v>二次発酵や長期澱熟成を行わず、完成ワインへ直接炭酸ガスを溶かすため</x:v>
      </x:c>
      <x:c r="J473" s="171" t="str">
        <x:v>D</x:v>
      </x:c>
      <x:c r="K473" s="165" t="str">
        <x:v>二次発酵や長期澱熟成を行わず、完成ワインへ直接炭酸ガスを溶かすため</x:v>
      </x:c>
      <x:c r="L473" s="165" t="str">
        <x:v>工程と在庫期間が短く、大型設備で大量に処理できるため、安価で単純な発泡性ワインに適する。</x:v>
      </x:c>
      <x:c r="M473" s="165" t="str">
        <x:v>誤り。 この方式ではルミュアージュを行わない。</x:v>
      </x:c>
      <x:c r="N473" s="165" t="str">
        <x:v>誤り。 原料コストと長期熟成を抑えた製品に用いられることが多い。</x:v>
      </x:c>
      <x:c r="O473" s="165" t="str">
        <x:v>誤り。 二次発酵を行わず、炭酸ガスを注入する。</x:v>
      </x:c>
      <x:c r="P473" s="165" t="str">
        <x:v>正しい。 工程と在庫期間が短く、大型設備で大量に処理できるため、安価で単純な発泡性ワインに適する。</x:v>
      </x:c>
      <x:c r="Q473" s="165" t="str">
        <x:v>商業・価格</x:v>
      </x:c>
      <x:c r="R473" s="165" t="str">
        <x:v>炭酸ガス注入</x:v>
      </x:c>
      <x:c r="S473" s="165" t="str">
        <x:v>発泡性ワイン</x:v>
      </x:c>
      <x:c r="T473" s="165"/>
      <x:c r="U473" s="165"/>
      <x:c r="V473" s="165"/>
      <x:c r="W473" s="165" t="str">
        <x:v>統合判断</x:v>
      </x:c>
      <x:c r="X473" s="171" t="str">
        <x:v>D2</x:v>
      </x:c>
      <x:c r="Y473" s="165" t="str">
        <x:v>炭酸注入は長期手作業; 瓶内二次発酵</x:v>
      </x:c>
      <x:c r="Z473" s="171" t="str">
        <x:v>N</x:v>
      </x:c>
      <x:c r="AA473" s="165"/>
      <x:c r="AB473" s="165" t="str">
        <x:v>オリジナル</x:v>
      </x:c>
      <x:c r="AC473" s="165" t="str">
        <x:v>公式Specificationの範囲＋ユーザー作成コーパスの論点を参考に独自作成</x:v>
      </x:c>
      <x:c r="AD473" s="171" t="str">
        <x:v>未レビュー</x:v>
      </x:c>
      <x:c r="AE473" s="171"/>
      <x:c r="AF473" s="171"/>
      <x:c r="AG473" s="312"/>
    </x:row>
    <x:row r="474" ht="84" customHeight="1">
      <x:c r="A474" s="311" t="str">
        <x:v>LO3-113</x:v>
      </x:c>
      <x:c r="B474" s="171" t="str">
        <x:v>LO3</x:v>
      </x:c>
      <x:c r="C474" s="165" t="str">
        <x:v>世界の主要な発泡性ワイン</x:v>
      </x:c>
      <x:c r="D474" s="165" t="str">
        <x:v>アンセストラル方式</x:v>
      </x:c>
      <x:c r="E474" s="165" t="str">
        <x:v>アンセストラル方式の発泡性ワインで瓶ごとの圧力や残糖に差が出やすい主な理由はどれか。</x:v>
      </x:c>
      <x:c r="F474" s="165" t="str">
        <x:v>一次発酵途中のワインを瓶詰めし、残りの発酵を瓶内で完了させるため</x:v>
      </x:c>
      <x:c r="G474" s="165" t="str">
        <x:v>完成した辛口ワインへ常に同量の炭酸ガスを注入するため</x:v>
      </x:c>
      <x:c r="H474" s="165" t="str">
        <x:v>デゴルジュマン後に酒精強化するため</x:v>
      </x:c>
      <x:c r="I474" s="165" t="str">
        <x:v>毎年同じリザーヴワインを大量に使うため</x:v>
      </x:c>
      <x:c r="J474" s="171" t="str">
        <x:v>A</x:v>
      </x:c>
      <x:c r="K474" s="165" t="str">
        <x:v>一次発酵途中のワインを瓶詰めし、残りの発酵を瓶内で完了させるため</x:v>
      </x:c>
      <x:c r="L474" s="165" t="str">
        <x:v>瓶詰め時の糖と酵母の状態を精密にそろえることが難しく、濾過やドザージュを省く場合も多い。</x:v>
      </x:c>
      <x:c r="M474" s="165" t="str">
        <x:v>正しい。 瓶詰め時の糖と酵母の状態を精密にそろえることが難しく、濾過やドザージュを省く場合も多い。</x:v>
      </x:c>
      <x:c r="N474" s="165" t="str">
        <x:v>誤り。 これは炭酸ガス注入方式で、より均一になりやすい。</x:v>
      </x:c>
      <x:c r="O474" s="165" t="str">
        <x:v>誤り。 アンセストラル方式は酒精強化しない。</x:v>
      </x:c>
      <x:c r="P474" s="165" t="str">
        <x:v>誤り。 単一発酵の自然な仕上がりが特徴である。</x:v>
      </x:c>
      <x:c r="Q474" s="165" t="str">
        <x:v>発泡性ワイン製法</x:v>
      </x:c>
      <x:c r="R474" s="165" t="str">
        <x:v>アンセストラル方式</x:v>
      </x:c>
      <x:c r="S474" s="165" t="str">
        <x:v>発泡性ワイン</x:v>
      </x:c>
      <x:c r="T474" s="165"/>
      <x:c r="U474" s="165"/>
      <x:c r="V474" s="165"/>
      <x:c r="W474" s="165" t="str">
        <x:v>因果説明</x:v>
      </x:c>
      <x:c r="X474" s="171" t="str">
        <x:v>D3</x:v>
      </x:c>
      <x:c r="Y474" s="165" t="str">
        <x:v>アンセストラルは炭酸注入; 酒精強化</x:v>
      </x:c>
      <x:c r="Z474" s="171" t="str">
        <x:v>N</x:v>
      </x:c>
      <x:c r="AA474" s="165"/>
      <x:c r="AB474" s="165" t="str">
        <x:v>オリジナル</x:v>
      </x:c>
      <x:c r="AC474" s="165" t="str">
        <x:v>公式Specificationの範囲＋ユーザー作成コーパスの論点を参考に独自作成</x:v>
      </x:c>
      <x:c r="AD474" s="171" t="str">
        <x:v>未レビュー</x:v>
      </x:c>
      <x:c r="AE474" s="171"/>
      <x:c r="AF474" s="171"/>
      <x:c r="AG474" s="312"/>
    </x:row>
    <x:row r="475" ht="84" customHeight="1">
      <x:c r="A475" s="311" t="str">
        <x:v>LO3-114</x:v>
      </x:c>
      <x:c r="B475" s="171" t="str">
        <x:v>LO3</x:v>
      </x:c>
      <x:c r="C475" s="165" t="str">
        <x:v>世界の主要な発泡性ワイン</x:v>
      </x:c>
      <x:c r="D475" s="165" t="str">
        <x:v>ペット・ナットの澱</x:v>
      </x:c>
      <x:c r="E475" s="165" t="str">
        <x:v>ペット・ナットの瓶底に澱が残ることが多い主な理由はどれか。</x:v>
      </x:c>
      <x:c r="F475" s="165" t="str">
        <x:v>人工着色料が沈殿するため</x:v>
      </x:c>
      <x:c r="G475" s="165" t="str">
        <x:v>瓶内で一次発酵が完了し、濾過やデゴルジュマンを行わない場合が多い</x:v>
      </x:c>
      <x:c r="H475" s="165" t="str">
        <x:v>果皮を数年間瓶内へ入れるため</x:v>
      </x:c>
      <x:c r="I475" s="165" t="str">
        <x:v>コルクが溶けるため</x:v>
      </x:c>
      <x:c r="J475" s="171" t="str">
        <x:v>B</x:v>
      </x:c>
      <x:c r="K475" s="165" t="str">
        <x:v>瓶内で一次発酵が完了し、濾過やデゴルジュマンを行わない場合が多い</x:v>
      </x:c>
      <x:c r="L475" s="165" t="str">
        <x:v>酵母が瓶内で沈殿したまま出荷されるため、外観が濁り、パンや酵母の風味を感じることがある。</x:v>
      </x:c>
      <x:c r="M475" s="165" t="str">
        <x:v>誤り。 澱の主成分は酵母である。</x:v>
      </x:c>
      <x:c r="N475" s="165" t="str">
        <x:v>正しい。 酵母が瓶内で沈殿したまま出荷されるため、外観が濁り、パンや酵母の風味を感じることがある。</x:v>
      </x:c>
      <x:c r="O475" s="165" t="str">
        <x:v>誤り。 果皮ではなく発酵酵母が主な沈殿である。</x:v>
      </x:c>
      <x:c r="P475" s="165" t="str">
        <x:v>誤り。 コルクの溶解が澱の原因ではない。</x:v>
      </x:c>
      <x:c r="Q475" s="165" t="str">
        <x:v>発泡性ワイン製法</x:v>
      </x:c>
      <x:c r="R475" s="165" t="str">
        <x:v>ペット・ナット</x:v>
      </x:c>
      <x:c r="S475" s="165" t="str">
        <x:v>発泡性ワイン</x:v>
      </x:c>
      <x:c r="T475" s="165"/>
      <x:c r="U475" s="165"/>
      <x:c r="V475" s="165"/>
      <x:c r="W475" s="165" t="str">
        <x:v>知識確認</x:v>
      </x:c>
      <x:c r="X475" s="171" t="str">
        <x:v>D1</x:v>
      </x:c>
      <x:c r="Y475" s="165" t="str">
        <x:v>澱は着色料; 澱は溶けたコルク</x:v>
      </x:c>
      <x:c r="Z475" s="171" t="str">
        <x:v>N</x:v>
      </x:c>
      <x:c r="AA475" s="165"/>
      <x:c r="AB475" s="165" t="str">
        <x:v>オリジナル</x:v>
      </x:c>
      <x:c r="AC475" s="165" t="str">
        <x:v>公式Specificationの範囲＋ユーザー作成コーパスの論点を参考に独自作成</x:v>
      </x:c>
      <x:c r="AD475" s="171" t="str">
        <x:v>未レビュー</x:v>
      </x:c>
      <x:c r="AE475" s="171"/>
      <x:c r="AF475" s="171"/>
      <x:c r="AG475" s="312"/>
    </x:row>
    <x:row r="476" ht="84" customHeight="1">
      <x:c r="A476" s="311" t="str">
        <x:v>LO3-115</x:v>
      </x:c>
      <x:c r="B476" s="171" t="str">
        <x:v>LO3</x:v>
      </x:c>
      <x:c r="C476" s="165" t="str">
        <x:v>世界の主要な発泡性ワイン</x:v>
      </x:c>
      <x:c r="D476" s="165" t="str">
        <x:v>ドザージュ試験</x:v>
      </x:c>
      <x:c r="E476" s="165" t="str">
        <x:v>生産者が同じワインに複数水準のドザージュを試す主な目的はどれか。</x:v>
      </x:c>
      <x:c r="F476" s="165" t="str">
        <x:v>二次発酵に必要な酵母量を決める</x:v>
      </x:c>
      <x:c r="G476" s="165" t="str">
        <x:v>瓶内圧力を完全にゼロにする</x:v>
      </x:c>
      <x:c r="H476" s="165" t="str">
        <x:v>酸、果実味、自己分解香に最も調和する最終甘味を選ぶ</x:v>
      </x:c>
      <x:c r="I476" s="165" t="str">
        <x:v>ワインを赤へ着色する</x:v>
      </x:c>
      <x:c r="J476" s="171" t="str">
        <x:v>C</x:v>
      </x:c>
      <x:c r="K476" s="165" t="str">
        <x:v>酸、果実味、自己分解香に最も調和する最終甘味を選ぶ</x:v>
      </x:c>
      <x:c r="L476" s="165" t="str">
        <x:v>糖が少なすぎると鋭く、多すぎると重く感じられるため、試飲でバランスとハウス・スタイルを決める。</x:v>
      </x:c>
      <x:c r="M476" s="165" t="str">
        <x:v>誤り。 二次発酵前のティラージュとは別の工程である。</x:v>
      </x:c>
      <x:c r="N476" s="165" t="str">
        <x:v>誤り。 ドザージュは甘味調整で、圧力除去ではない。</x:v>
      </x:c>
      <x:c r="O476" s="165" t="str">
        <x:v>正しい。 糖が少なすぎると鋭く、多すぎると重く感じられるため、試飲でバランスとハウス・スタイルを決める。</x:v>
      </x:c>
      <x:c r="P476" s="165" t="str">
        <x:v>誤り。 色の調整が主目的ではない。</x:v>
      </x:c>
      <x:c r="Q476" s="165" t="str">
        <x:v>発泡性ワイン製法</x:v>
      </x:c>
      <x:c r="R476" s="165" t="str">
        <x:v>ドザージュ</x:v>
      </x:c>
      <x:c r="S476" s="165" t="str">
        <x:v>発泡性ワイン</x:v>
      </x:c>
      <x:c r="T476" s="165"/>
      <x:c r="U476" s="165"/>
      <x:c r="V476" s="165"/>
      <x:c r="W476" s="165" t="str">
        <x:v>適用</x:v>
      </x:c>
      <x:c r="X476" s="171" t="str">
        <x:v>D3</x:v>
      </x:c>
      <x:c r="Y476" s="165" t="str">
        <x:v>ドザージュは二次発酵開始; 圧力ゼロ化</x:v>
      </x:c>
      <x:c r="Z476" s="171" t="str">
        <x:v>N</x:v>
      </x:c>
      <x:c r="AA476" s="165"/>
      <x:c r="AB476" s="165" t="str">
        <x:v>オリジナル</x:v>
      </x:c>
      <x:c r="AC476" s="165" t="str">
        <x:v>公式Specificationの範囲＋ユーザー作成コーパスの論点を参考に独自作成</x:v>
      </x:c>
      <x:c r="AD476" s="171" t="str">
        <x:v>未レビュー</x:v>
      </x:c>
      <x:c r="AE476" s="171"/>
      <x:c r="AF476" s="171"/>
      <x:c r="AG476" s="312"/>
    </x:row>
    <x:row r="477" ht="84" customHeight="1">
      <x:c r="A477" s="311" t="str">
        <x:v>LO3-116</x:v>
      </x:c>
      <x:c r="B477" s="171" t="str">
        <x:v>LO3</x:v>
      </x:c>
      <x:c r="C477" s="165" t="str">
        <x:v>世界の主要な発泡性ワイン</x:v>
      </x:c>
      <x:c r="D477" s="165" t="str">
        <x:v>ゼロ・ドザージュ</x:v>
      </x:c>
      <x:c r="E477" s="165" t="str">
        <x:v>ゼロ・ドザージュの発泡性ワインで、十分に成熟した高品質ブドウが特に重要な理由はどれか。</x:v>
      </x:c>
      <x:c r="F477" s="165" t="str">
        <x:v>糖を加えないと二酸化炭素がすべて消えるため</x:v>
      </x:c>
      <x:c r="G477" s="165" t="str">
        <x:v>ゼロ・ドザージュは必ず低酸だから</x:v>
      </x:c>
      <x:c r="H477" s="165" t="str">
        <x:v>酒精強化しなければならないため</x:v>
      </x:c>
      <x:c r="I477" s="165" t="str">
        <x:v>糖で酸や未熟な風味を補正できないため、ベースワイン自体のバランスが明確に表れる</x:v>
      </x:c>
      <x:c r="J477" s="171" t="str">
        <x:v>D</x:v>
      </x:c>
      <x:c r="K477" s="165" t="str">
        <x:v>糖で酸や未熟な風味を補正できないため、ベースワイン自体のバランスが明確に表れる</x:v>
      </x:c>
      <x:c r="L477" s="165" t="str">
        <x:v>ドザージュによる甘味がないため、酸の質、果実濃度、熟成由来の複雑性が不足すると厳しく感じられる。</x:v>
      </x:c>
      <x:c r="M477" s="165" t="str">
        <x:v>誤り。 二次発酵で生じた二酸化炭素は保持される。</x:v>
      </x:c>
      <x:c r="N477" s="165" t="str">
        <x:v>誤り。 むしろ高い酸を持つワインが多く、バランスが重要である。</x:v>
      </x:c>
      <x:c r="O477" s="165" t="str">
        <x:v>誤り。 酒精強化とは無関係である。</x:v>
      </x:c>
      <x:c r="P477" s="165" t="str">
        <x:v>正しい。 ドザージュによる甘味がないため、酸の質、果実濃度、熟成由来の複雑性が不足すると厳しく感じられる。</x:v>
      </x:c>
      <x:c r="Q477" s="165" t="str">
        <x:v>スタイル</x:v>
      </x:c>
      <x:c r="R477" s="165" t="str">
        <x:v>ドザージュ</x:v>
      </x:c>
      <x:c r="S477" s="165" t="str">
        <x:v>発泡性ワイン</x:v>
      </x:c>
      <x:c r="T477" s="165"/>
      <x:c r="U477" s="165"/>
      <x:c r="V477" s="165"/>
      <x:c r="W477" s="165" t="str">
        <x:v>統合判断</x:v>
      </x:c>
      <x:c r="X477" s="171" t="str">
        <x:v>D3</x:v>
      </x:c>
      <x:c r="Y477" s="165" t="str">
        <x:v>ドザージュなしで脱泡; ゼロドザージュは低酸</x:v>
      </x:c>
      <x:c r="Z477" s="171" t="str">
        <x:v>N</x:v>
      </x:c>
      <x:c r="AA477" s="165"/>
      <x:c r="AB477" s="165" t="str">
        <x:v>オリジナル</x:v>
      </x:c>
      <x:c r="AC477" s="165" t="str">
        <x:v>公式Specificationの範囲＋ユーザー作成コーパスの論点を参考に独自作成</x:v>
      </x:c>
      <x:c r="AD477" s="171" t="str">
        <x:v>未レビュー</x:v>
      </x:c>
      <x:c r="AE477" s="171"/>
      <x:c r="AF477" s="171"/>
      <x:c r="AG477" s="312"/>
    </x:row>
    <x:row r="478" ht="84" customHeight="1">
      <x:c r="A478" s="311" t="str">
        <x:v>LO3-117</x:v>
      </x:c>
      <x:c r="B478" s="171" t="str">
        <x:v>LO3</x:v>
      </x:c>
      <x:c r="C478" s="165" t="str">
        <x:v>世界の主要な発泡性ワイン</x:v>
      </x:c>
      <x:c r="D478" s="165" t="str">
        <x:v>デゴルジュマン後熟成</x:v>
      </x:c>
      <x:c r="E478" s="165" t="str">
        <x:v>デゴルジュマン後の瓶熟成で起こりやすい変化はどれか。</x:v>
      </x:c>
      <x:c r="F478" s="165" t="str">
        <x:v>ドザージュとワインがなじみ、果実香が落ち着いて蜂蜜やナッツの熟成香が増える</x:v>
      </x:c>
      <x:c r="G478" s="165" t="str">
        <x:v>澱が増え続け、自己分解が急速に進む</x:v>
      </x:c>
      <x:c r="H478" s="165" t="str">
        <x:v>瓶内圧力が必ず毎年上昇する</x:v>
      </x:c>
      <x:c r="I478" s="165" t="str">
        <x:v>残糖が自然に大幅増加する</x:v>
      </x:c>
      <x:c r="J478" s="171" t="str">
        <x:v>A</x:v>
      </x:c>
      <x:c r="K478" s="165" t="str">
        <x:v>ドザージュとワインがなじみ、果実香が落ち着いて蜂蜜やナッツの熟成香が増える</x:v>
      </x:c>
      <x:c r="L478" s="165" t="str">
        <x:v>澱は除去されているため自己分解は増えないが、コルクを通じた穏やかな熟成で香味が統合される。</x:v>
      </x:c>
      <x:c r="M478" s="165" t="str">
        <x:v>正しい。 澱は除去されているため自己分解は増えないが、コルクを通じた穏やかな熟成で香味が統合される。</x:v>
      </x:c>
      <x:c r="N478" s="165" t="str">
        <x:v>誤り。 デゴルジュマンで澱は除去されている。</x:v>
      </x:c>
      <x:c r="O478" s="165" t="str">
        <x:v>誤り。 発酵が完了していれば圧力は増え続けない。</x:v>
      </x:c>
      <x:c r="P478" s="165" t="str">
        <x:v>誤り。 新たな糖は生成されない。</x:v>
      </x:c>
      <x:c r="Q478" s="165" t="str">
        <x:v>熟成</x:v>
      </x:c>
      <x:c r="R478" s="165" t="str">
        <x:v>デゴルジュマン後</x:v>
      </x:c>
      <x:c r="S478" s="165" t="str">
        <x:v>発泡性ワイン</x:v>
      </x:c>
      <x:c r="T478" s="165"/>
      <x:c r="U478" s="165"/>
      <x:c r="V478" s="165"/>
      <x:c r="W478" s="165" t="str">
        <x:v>比較</x:v>
      </x:c>
      <x:c r="X478" s="171" t="str">
        <x:v>D3</x:v>
      </x:c>
      <x:c r="Y478" s="165" t="str">
        <x:v>デゴルジュマン後も自己分解増加; 圧力上昇継続</x:v>
      </x:c>
      <x:c r="Z478" s="171" t="str">
        <x:v>N</x:v>
      </x:c>
      <x:c r="AA478" s="165"/>
      <x:c r="AB478" s="165" t="str">
        <x:v>オリジナル</x:v>
      </x:c>
      <x:c r="AC478" s="165" t="str">
        <x:v>公式Specificationの範囲＋ユーザー作成コーパスの論点を参考に独自作成</x:v>
      </x:c>
      <x:c r="AD478" s="171" t="str">
        <x:v>未レビュー</x:v>
      </x:c>
      <x:c r="AE478" s="171"/>
      <x:c r="AF478" s="171"/>
      <x:c r="AG478" s="312"/>
    </x:row>
    <x:row r="479" ht="84" customHeight="1">
      <x:c r="A479" s="311" t="str">
        <x:v>LO3-118</x:v>
      </x:c>
      <x:c r="B479" s="171" t="str">
        <x:v>LO3</x:v>
      </x:c>
      <x:c r="C479" s="165" t="str">
        <x:v>世界の主要な発泡性ワイン</x:v>
      </x:c>
      <x:c r="D479" s="165" t="str">
        <x:v>ライトストライク</x:v>
      </x:c>
      <x:c r="E479" s="165" t="str">
        <x:v>透明または淡色瓶の発泡性ワインを強い光にさらした場合に生じ得る問題はどれか。</x:v>
      </x:c>
      <x:c r="F479" s="165" t="str">
        <x:v>光で二酸化炭素が増え、泡が細かくなる</x:v>
      </x:c>
      <x:c r="G479" s="165" t="str">
        <x:v>光反応により、キャベツや濡れた羊毛を思わせる硫黄系の不快臭が生じる</x:v>
      </x:c>
      <x:c r="H479" s="165" t="str">
        <x:v>ワインが自然に甘くなる</x:v>
      </x:c>
      <x:c r="I479" s="165" t="str">
        <x:v>コルク汚染が必ず治る</x:v>
      </x:c>
      <x:c r="J479" s="171" t="str">
        <x:v>B</x:v>
      </x:c>
      <x:c r="K479" s="165" t="str">
        <x:v>光反応により、キャベツや濡れた羊毛を思わせる硫黄系の不快臭が生じる</x:v>
      </x:c>
      <x:c r="L479" s="165" t="str">
        <x:v>光がリボフラビンなどへ作用し、硫黄化合物を生成するため、暗所保管や色付き瓶が有効である。</x:v>
      </x:c>
      <x:c r="M479" s="165" t="str">
        <x:v>誤り。 光は品質向上ではなく劣化を引き起こす。</x:v>
      </x:c>
      <x:c r="N479" s="165" t="str">
        <x:v>正しい。 光がリボフラビンなどへ作用し、硫黄化合物を生成するため、暗所保管や色付き瓶が有効である。</x:v>
      </x:c>
      <x:c r="O479" s="165" t="str">
        <x:v>誤り。 光で残糖量は増えない。</x:v>
      </x:c>
      <x:c r="P479" s="165" t="str">
        <x:v>誤り。 光はTCAを除去しない。</x:v>
      </x:c>
      <x:c r="Q479" s="165" t="str">
        <x:v>欠陥</x:v>
      </x:c>
      <x:c r="R479" s="165" t="str">
        <x:v>光による劣化</x:v>
      </x:c>
      <x:c r="S479" s="165" t="str">
        <x:v>発泡性ワイン</x:v>
      </x:c>
      <x:c r="T479" s="165"/>
      <x:c r="U479" s="165"/>
      <x:c r="V479" s="165"/>
      <x:c r="W479" s="165" t="str">
        <x:v>因果説明</x:v>
      </x:c>
      <x:c r="X479" s="171" t="str">
        <x:v>D3</x:v>
      </x:c>
      <x:c r="Y479" s="165" t="str">
        <x:v>光で泡向上; 光で甘味増加</x:v>
      </x:c>
      <x:c r="Z479" s="171" t="str">
        <x:v>Y</x:v>
      </x:c>
      <x:c r="AA479" s="165" t="str">
        <x:v>ライトストライクの日本語官能表現を教材表現と最終照合推奨</x:v>
      </x:c>
      <x:c r="AB479" s="165" t="str">
        <x:v>オリジナル</x:v>
      </x:c>
      <x:c r="AC479" s="165" t="str">
        <x:v>公式Specificationの範囲＋ユーザー作成コーパスの論点を参考に独自作成</x:v>
      </x:c>
      <x:c r="AD479" s="171" t="str">
        <x:v>未レビュー</x:v>
      </x:c>
      <x:c r="AE479" s="171"/>
      <x:c r="AF479" s="171"/>
      <x:c r="AG479" s="312"/>
    </x:row>
    <x:row r="480" ht="84" customHeight="1">
      <x:c r="A480" s="311" t="str">
        <x:v>LO3-119</x:v>
      </x:c>
      <x:c r="B480" s="171" t="str">
        <x:v>LO3</x:v>
      </x:c>
      <x:c r="C480" s="165" t="str">
        <x:v>世界の主要な発泡性ワイン</x:v>
      </x:c>
      <x:c r="D480" s="165" t="str">
        <x:v>手動動瓶とジャイロパレット</x:v>
      </x:c>
      <x:c r="E480" s="165" t="str">
        <x:v>ジャイロパレットが手作業のルミュアージュより生産コストを下げやすい主な理由はどれか。</x:v>
      </x:c>
      <x:c r="F480" s="165" t="str">
        <x:v>二次発酵を不要にするため</x:v>
      </x:c>
      <x:c r="G480" s="165" t="str">
        <x:v>ドザージュを自動的に甘口へするため</x:v>
      </x:c>
      <x:c r="H480" s="165" t="str">
        <x:v>多数の瓶を機械で同時かつ短期間に回転・傾斜できる</x:v>
      </x:c>
      <x:c r="I480" s="165" t="str">
        <x:v>瓶内圧力を除去するため</x:v>
      </x:c>
      <x:c r="J480" s="171" t="str">
        <x:v>C</x:v>
      </x:c>
      <x:c r="K480" s="165" t="str">
        <x:v>多数の瓶を機械で同時かつ短期間に回転・傾斜できる</x:v>
      </x:c>
      <x:c r="L480" s="165" t="str">
        <x:v>人手と時間を大幅に減らしながら、澱を瓶口へ均一に集められる。</x:v>
      </x:c>
      <x:c r="M480" s="165" t="str">
        <x:v>誤り。 発酵後の澱処理を効率化する装置である。</x:v>
      </x:c>
      <x:c r="N480" s="165" t="str">
        <x:v>誤り。 甘味調整は別工程である。</x:v>
      </x:c>
      <x:c r="O480" s="165" t="str">
        <x:v>正しい。 人手と時間を大幅に減らしながら、澱を瓶口へ均一に集められる。</x:v>
      </x:c>
      <x:c r="P480" s="165" t="str">
        <x:v>誤り。 ルミュアージュ中も圧力は保持される。</x:v>
      </x:c>
      <x:c r="Q480" s="165" t="str">
        <x:v>商業・価格</x:v>
      </x:c>
      <x:c r="R480" s="165" t="str">
        <x:v>ルミュアージュ</x:v>
      </x:c>
      <x:c r="S480" s="165" t="str">
        <x:v>発泡性ワイン</x:v>
      </x:c>
      <x:c r="T480" s="165"/>
      <x:c r="U480" s="165"/>
      <x:c r="V480" s="165"/>
      <x:c r="W480" s="165" t="str">
        <x:v>統合判断</x:v>
      </x:c>
      <x:c r="X480" s="171" t="str">
        <x:v>D2</x:v>
      </x:c>
      <x:c r="Y480" s="165" t="str">
        <x:v>ジャイロで二次発酵不要; 圧力除去</x:v>
      </x:c>
      <x:c r="Z480" s="171" t="str">
        <x:v>N</x:v>
      </x:c>
      <x:c r="AA480" s="165"/>
      <x:c r="AB480" s="165" t="str">
        <x:v>オリジナル</x:v>
      </x:c>
      <x:c r="AC480" s="165" t="str">
        <x:v>公式Specificationの範囲＋ユーザー作成コーパスの論点を参考に独自作成</x:v>
      </x:c>
      <x:c r="AD480" s="171" t="str">
        <x:v>未レビュー</x:v>
      </x:c>
      <x:c r="AE480" s="171"/>
      <x:c r="AF480" s="171"/>
      <x:c r="AG480" s="312"/>
    </x:row>
    <x:row r="481" ht="84" customHeight="1">
      <x:c r="A481" s="311" t="str">
        <x:v>LO3-120</x:v>
      </x:c>
      <x:c r="B481" s="171" t="str">
        <x:v>LO3</x:v>
      </x:c>
      <x:c r="C481" s="165" t="str">
        <x:v>世界の主要な発泡性ワイン</x:v>
      </x:c>
      <x:c r="D481" s="165" t="str">
        <x:v>ヴィンテージとノン・ヴィンテージ</x:v>
      </x:c>
      <x:c r="E481" s="165" t="str">
        <x:v>ヴィンテージ発泡性ワインがノン・ヴィンテージより収穫年の特徴を表しやすい主な理由はどれか。</x:v>
      </x:c>
      <x:c r="F481" s="165" t="str">
        <x:v>必ず炭酸ガス注入方式を用いるため</x:v>
      </x:c>
      <x:c r="G481" s="165" t="str">
        <x:v>毎年同じ味になるよう多数年をブレンドするため</x:v>
      </x:c>
      <x:c r="H481" s="165" t="str">
        <x:v>残糖が必ず最も高いから</x:v>
      </x:c>
      <x:c r="I481" s="165" t="str">
        <x:v>原則として一つの収穫年のワインを中心に造り、他年のリザーヴワインで差を均さないため</x:v>
      </x:c>
      <x:c r="J481" s="171" t="str">
        <x:v>D</x:v>
      </x:c>
      <x:c r="K481" s="165" t="str">
        <x:v>原則として一つの収穫年のワインを中心に造り、他年のリザーヴワインで差を均さないため</x:v>
      </x:c>
      <x:c r="L481" s="165" t="str">
        <x:v>優良年の成熟度と酸の特徴を示し、長い熟成により年固有の複雑性を発展させる。</x:v>
      </x:c>
      <x:c r="M481" s="165" t="str">
        <x:v>誤り。 ヴィンテージ高級品は伝統的方式が一般的である。</x:v>
      </x:c>
      <x:c r="N481" s="165" t="str">
        <x:v>誤り。 これはノン・ヴィンテージの一貫性を作る考え方である。</x:v>
      </x:c>
      <x:c r="O481" s="165" t="str">
        <x:v>誤り。 甘味区分とヴィンテージ表示は別である。</x:v>
      </x:c>
      <x:c r="P481" s="165" t="str">
        <x:v>正しい。 優良年の成熟度と酸の特徴を示し、長い熟成により年固有の複雑性を発展させる。</x:v>
      </x:c>
      <x:c r="Q481" s="165" t="str">
        <x:v>商業・価格</x:v>
      </x:c>
      <x:c r="R481" s="165" t="str">
        <x:v>ヴィンテージ</x:v>
      </x:c>
      <x:c r="S481" s="165" t="str">
        <x:v>発泡性ワイン</x:v>
      </x:c>
      <x:c r="T481" s="165"/>
      <x:c r="U481" s="165"/>
      <x:c r="V481" s="165"/>
      <x:c r="W481" s="165" t="str">
        <x:v>比較</x:v>
      </x:c>
      <x:c r="X481" s="171" t="str">
        <x:v>D3</x:v>
      </x:c>
      <x:c r="Y481" s="165" t="str">
        <x:v>ヴィンテージは炭酸注入; 多年ブレンド</x:v>
      </x:c>
      <x:c r="Z481" s="171" t="str">
        <x:v>N</x:v>
      </x:c>
      <x:c r="AA481" s="165"/>
      <x:c r="AB481" s="165" t="str">
        <x:v>オリジナル</x:v>
      </x:c>
      <x:c r="AC481" s="165" t="str">
        <x:v>公式Specificationの範囲＋ユーザー作成コーパスの論点を参考に独自作成</x:v>
      </x:c>
      <x:c r="AD481" s="171" t="str">
        <x:v>未レビュー</x:v>
      </x:c>
      <x:c r="AE481" s="171"/>
      <x:c r="AF481" s="171"/>
      <x:c r="AG481" s="312"/>
    </x:row>
    <x:row r="482" ht="84" customHeight="1">
      <x:c r="A482" s="311" t="str">
        <x:v>LO4-061</x:v>
      </x:c>
      <x:c r="B482" s="171" t="str">
        <x:v>LO4</x:v>
      </x:c>
      <x:c r="C482" s="165" t="str">
        <x:v>世界の主要な酒精強化ワイン</x:v>
      </x:c>
      <x:c r="D482" s="165" t="str">
        <x:v>ホワイト・ポートの製造</x:v>
      </x:c>
      <x:c r="E482" s="165" t="str">
        <x:v>ホワイト・ポートの製造で、赤のルビー・ポートより果皮接触を短くする主な理由はどれか。</x:v>
      </x:c>
      <x:c r="F482" s="165" t="str">
        <x:v>白ブドウから淡い色と低いタンニンのスタイルを保つため</x:v>
      </x:c>
      <x:c r="G482" s="165" t="str">
        <x:v>果皮接触を長くして黒い色を得るため</x:v>
      </x:c>
      <x:c r="H482" s="165" t="str">
        <x:v>瓶内二次発酵を起こすため</x:v>
      </x:c>
      <x:c r="I482" s="165" t="str">
        <x:v>フロールを厚く形成するため</x:v>
      </x:c>
      <x:c r="J482" s="171" t="str">
        <x:v>A</x:v>
      </x:c>
      <x:c r="K482" s="165" t="str">
        <x:v>白ブドウから淡い色と低いタンニンのスタイルを保つため</x:v>
      </x:c>
      <x:c r="L482" s="165" t="str">
        <x:v>白品種を穏やかに圧搾し、果皮由来の色と苦味を抑えた果汁を発酵途中で酒精強化する。</x:v>
      </x:c>
      <x:c r="M482" s="165" t="str">
        <x:v>正しい。 白品種を穏やかに圧搾し、果皮由来の色と苦味を抑えた果汁を発酵途中で酒精強化する。</x:v>
      </x:c>
      <x:c r="N482" s="165" t="str">
        <x:v>誤り。 ホワイト・ポートでは淡い色と低タンニンを目指す。</x:v>
      </x:c>
      <x:c r="O482" s="165" t="str">
        <x:v>誤り。 発泡性ワインではなく、酒精強化ワインである。</x:v>
      </x:c>
      <x:c r="P482" s="165" t="str">
        <x:v>誤り。 フロール熟成はフィノやマンサニーリャに関係する。</x:v>
      </x:c>
      <x:c r="Q482" s="165" t="str">
        <x:v>酒精強化ワイン製法</x:v>
      </x:c>
      <x:c r="R482" s="165" t="str">
        <x:v>ポート</x:v>
      </x:c>
      <x:c r="S482" s="165" t="str">
        <x:v>酒精強化ワイン</x:v>
      </x:c>
      <x:c r="T482" s="165" t="str">
        <x:v>ポルトガル</x:v>
      </x:c>
      <x:c r="U482" s="165" t="str">
        <x:v>ドウロ</x:v>
      </x:c>
      <x:c r="V482" s="165" t="str">
        <x:v>白ブドウ品種</x:v>
      </x:c>
      <x:c r="W482" s="165" t="str">
        <x:v>因果説明</x:v>
      </x:c>
      <x:c r="X482" s="171" t="str">
        <x:v>D2</x:v>
      </x:c>
      <x:c r="Y482" s="165" t="str">
        <x:v>白ポートは長期果皮接触; フロール熟成</x:v>
      </x:c>
      <x:c r="Z482" s="171" t="str">
        <x:v>N</x:v>
      </x:c>
      <x:c r="AA482" s="165"/>
      <x:c r="AB482" s="165" t="str">
        <x:v>オリジナル</x:v>
      </x:c>
      <x:c r="AC482" s="165" t="str">
        <x:v>公式Specificationの範囲＋ユーザー作成コーパスの論点を参考に独自作成</x:v>
      </x:c>
      <x:c r="AD482" s="171" t="str">
        <x:v>未レビュー</x:v>
      </x:c>
      <x:c r="AE482" s="171"/>
      <x:c r="AF482" s="171"/>
      <x:c r="AG482" s="312"/>
    </x:row>
    <x:row r="483" ht="84" customHeight="1">
      <x:c r="A483" s="311" t="str">
        <x:v>LO4-062</x:v>
      </x:c>
      <x:c r="B483" s="171" t="str">
        <x:v>LO4</x:v>
      </x:c>
      <x:c r="C483" s="165" t="str">
        <x:v>世界の主要な酒精強化ワイン</x:v>
      </x:c>
      <x:c r="D483" s="165" t="str">
        <x:v>ホワイト・ポートの甘味</x:v>
      </x:c>
      <x:c r="E483" s="165" t="str">
        <x:v>ホワイト・ポートのスタイルについて最も適切な説明はどれか。</x:v>
      </x:c>
      <x:c r="F483" s="165" t="str">
        <x:v>必ず極辛口で、残糖を持てない</x:v>
      </x:c>
      <x:c r="G483" s="165" t="str">
        <x:v>辛口から甘口まで造られ、若いものは冷やして提供されることが多い</x:v>
      </x:c>
      <x:c r="H483" s="165" t="str">
        <x:v>必ず数十年瓶熟成してから販売する</x:v>
      </x:c>
      <x:c r="I483" s="165" t="str">
        <x:v>黒ブドウだけから造る</x:v>
      </x:c>
      <x:c r="J483" s="171" t="str">
        <x:v>B</x:v>
      </x:c>
      <x:c r="K483" s="165" t="str">
        <x:v>辛口から甘口まで造られ、若いものは冷やして提供されることが多い</x:v>
      </x:c>
      <x:c r="L483" s="165" t="str">
        <x:v>酒精強化のタイミングにより残糖を調整でき、柑橘、核果、ナッツなどの幅広いスタイルがある。</x:v>
      </x:c>
      <x:c r="M483" s="165" t="str">
        <x:v>誤り。 酒精強化時期により甘味のあるスタイルも造れる。</x:v>
      </x:c>
      <x:c r="N483" s="165" t="str">
        <x:v>正しい。 酒精強化のタイミングにより残糖を調整でき、柑橘、核果、ナッツなどの幅広いスタイルがある。</x:v>
      </x:c>
      <x:c r="O483" s="165" t="str">
        <x:v>誤り。 若く果実味のあるスタイルも一般的である。</x:v>
      </x:c>
      <x:c r="P483" s="165" t="str">
        <x:v>誤り。 白ブドウ品種を用いる。</x:v>
      </x:c>
      <x:c r="Q483" s="165" t="str">
        <x:v>スタイル</x:v>
      </x:c>
      <x:c r="R483" s="165" t="str">
        <x:v>ポート</x:v>
      </x:c>
      <x:c r="S483" s="165" t="str">
        <x:v>酒精強化ワイン</x:v>
      </x:c>
      <x:c r="T483" s="165" t="str">
        <x:v>ポルトガル</x:v>
      </x:c>
      <x:c r="U483" s="165" t="str">
        <x:v>ドウロ</x:v>
      </x:c>
      <x:c r="V483" s="165"/>
      <x:c r="W483" s="165" t="str">
        <x:v>知識確認</x:v>
      </x:c>
      <x:c r="X483" s="171" t="str">
        <x:v>D1</x:v>
      </x:c>
      <x:c r="Y483" s="165" t="str">
        <x:v>白ポートは必ず辛口; 黒ブドウ</x:v>
      </x:c>
      <x:c r="Z483" s="171" t="str">
        <x:v>N</x:v>
      </x:c>
      <x:c r="AA483" s="165"/>
      <x:c r="AB483" s="165" t="str">
        <x:v>オリジナル</x:v>
      </x:c>
      <x:c r="AC483" s="165" t="str">
        <x:v>公式Specificationの範囲＋ユーザー作成コーパスの論点を参考に独自作成</x:v>
      </x:c>
      <x:c r="AD483" s="171" t="str">
        <x:v>未レビュー</x:v>
      </x:c>
      <x:c r="AE483" s="171"/>
      <x:c r="AF483" s="171"/>
      <x:c r="AG483" s="312"/>
    </x:row>
    <x:row r="484" ht="84" customHeight="1">
      <x:c r="A484" s="311" t="str">
        <x:v>LO4-063</x:v>
      </x:c>
      <x:c r="B484" s="171" t="str">
        <x:v>LO4</x:v>
      </x:c>
      <x:c r="C484" s="165" t="str">
        <x:v>世界の主要な酒精強化ワイン</x:v>
      </x:c>
      <x:c r="D484" s="165" t="str">
        <x:v>ロゼ・ポート</x:v>
      </x:c>
      <x:c r="E484" s="165" t="str">
        <x:v>ロゼ・ポートがルビー・ポートより淡い色と軽い果実味を持つ主な理由はどれか。</x:v>
      </x:c>
      <x:c r="F484" s="165" t="str">
        <x:v>長期の小樽酸化熟成を行うため</x:v>
      </x:c>
      <x:c r="G484" s="165" t="str">
        <x:v>白ブドウだけから造るため</x:v>
      </x:c>
      <x:c r="H484" s="165" t="str">
        <x:v>黒ブドウの果皮接触を短くし、酸化を抑えて早期に瓶詰めするため</x:v>
      </x:c>
      <x:c r="I484" s="165" t="str">
        <x:v>フロール下で生物学的熟成するため</x:v>
      </x:c>
      <x:c r="J484" s="171" t="str">
        <x:v>C</x:v>
      </x:c>
      <x:c r="K484" s="165" t="str">
        <x:v>黒ブドウの果皮接触を短くし、酸化を抑えて早期に瓶詰めするため</x:v>
      </x:c>
      <x:c r="L484" s="165" t="str">
        <x:v>ロゼワインに似た短い浸漬で色を得て、低温発酵と保護的な取扱いにより新鮮な赤系果実を保つ。</x:v>
      </x:c>
      <x:c r="M484" s="165" t="str">
        <x:v>誤り。 これはトーニー・スタイルに近い。</x:v>
      </x:c>
      <x:c r="N484" s="165" t="str">
        <x:v>誤り。 黒ブドウの短い果皮接触で色を得る。</x:v>
      </x:c>
      <x:c r="O484" s="165" t="str">
        <x:v>正しい。 ロゼワインに似た短い浸漬で色を得て、低温発酵と保護的な取扱いにより新鮮な赤系果実を保つ。</x:v>
      </x:c>
      <x:c r="P484" s="165" t="str">
        <x:v>誤り。 シェリーの製法である。</x:v>
      </x:c>
      <x:c r="Q484" s="165" t="str">
        <x:v>醸造</x:v>
      </x:c>
      <x:c r="R484" s="165" t="str">
        <x:v>ポート</x:v>
      </x:c>
      <x:c r="S484" s="165" t="str">
        <x:v>ロゼ酒精強化ワイン</x:v>
      </x:c>
      <x:c r="T484" s="165" t="str">
        <x:v>ポルトガル</x:v>
      </x:c>
      <x:c r="U484" s="165" t="str">
        <x:v>ドウロ</x:v>
      </x:c>
      <x:c r="V484" s="165" t="str">
        <x:v>黒ブドウ品種</x:v>
      </x:c>
      <x:c r="W484" s="165" t="str">
        <x:v>因果説明</x:v>
      </x:c>
      <x:c r="X484" s="171" t="str">
        <x:v>D2</x:v>
      </x:c>
      <x:c r="Y484" s="165" t="str">
        <x:v>ロゼポートは長期酸化; 白ブドウ</x:v>
      </x:c>
      <x:c r="Z484" s="171" t="str">
        <x:v>N</x:v>
      </x:c>
      <x:c r="AA484" s="165"/>
      <x:c r="AB484" s="165" t="str">
        <x:v>オリジナル</x:v>
      </x:c>
      <x:c r="AC484" s="165" t="str">
        <x:v>公式Specificationの範囲＋ユーザー作成コーパスの論点を参考に独自作成</x:v>
      </x:c>
      <x:c r="AD484" s="171" t="str">
        <x:v>未レビュー</x:v>
      </x:c>
      <x:c r="AE484" s="171"/>
      <x:c r="AF484" s="171"/>
      <x:c r="AG484" s="312"/>
    </x:row>
    <x:row r="485" ht="84" customHeight="1">
      <x:c r="A485" s="311" t="str">
        <x:v>LO4-064</x:v>
      </x:c>
      <x:c r="B485" s="171" t="str">
        <x:v>LO4</x:v>
      </x:c>
      <x:c r="C485" s="165" t="str">
        <x:v>世界の主要な酒精強化ワイン</x:v>
      </x:c>
      <x:c r="D485" s="165" t="str">
        <x:v>クラステッド・ポート</x:v>
      </x:c>
      <x:c r="E485" s="165" t="str">
        <x:v>クラステッド・ポートの一般的な特徴はどれか。</x:v>
      </x:c>
      <x:c r="F485" s="165" t="str">
        <x:v>単一収穫年を小樽で数十年酸化熟成する</x:v>
      </x:c>
      <x:c r="G485" s="165" t="str">
        <x:v>白ブドウから造る軽い辛口</x:v>
      </x:c>
      <x:c r="H485" s="165" t="str">
        <x:v>必ず濾過して澱を完全に除く</x:v>
      </x:c>
      <x:c r="I485" s="165" t="str">
        <x:v>複数年の濃厚なルビー系ワインを無濾過で瓶詰めし、瓶熟成で澱を生じる</x:v>
      </x:c>
      <x:c r="J485" s="171" t="str">
        <x:v>D</x:v>
      </x:c>
      <x:c r="K485" s="165" t="str">
        <x:v>複数年の濃厚なルビー系ワインを無濾過で瓶詰めし、瓶熟成で澱を生じる</x:v>
      </x:c>
      <x:c r="L485" s="165" t="str">
        <x:v>単一年のヴィンテージ・ポートとは異なり、複数年をブレンドするが、瓶内で発展するためデカンティングが必要になることがある。</x:v>
      </x:c>
      <x:c r="M485" s="165" t="str">
        <x:v>誤り。 これはコルヘイタの特徴に近い。</x:v>
      </x:c>
      <x:c r="N485" s="165" t="str">
        <x:v>誤り。 濃厚な黒ブドウのルビー系スタイルである。</x:v>
      </x:c>
      <x:c r="O485" s="165" t="str">
        <x:v>誤り。 無濾過で瓶詰めされ、澱が形成される。</x:v>
      </x:c>
      <x:c r="P485" s="165" t="str">
        <x:v>正しい。 単一年のヴィンテージ・ポートとは異なり、複数年をブレンドするが、瓶内で発展するためデカンティングが必要になることがある。</x:v>
      </x:c>
      <x:c r="Q485" s="165" t="str">
        <x:v>スタイル</x:v>
      </x:c>
      <x:c r="R485" s="165" t="str">
        <x:v>ポート</x:v>
      </x:c>
      <x:c r="S485" s="165" t="str">
        <x:v>酒精強化ワイン</x:v>
      </x:c>
      <x:c r="T485" s="165" t="str">
        <x:v>ポルトガル</x:v>
      </x:c>
      <x:c r="U485" s="165" t="str">
        <x:v>ドウロ</x:v>
      </x:c>
      <x:c r="V485" s="165"/>
      <x:c r="W485" s="165" t="str">
        <x:v>比較</x:v>
      </x:c>
      <x:c r="X485" s="171" t="str">
        <x:v>D3</x:v>
      </x:c>
      <x:c r="Y485" s="165" t="str">
        <x:v>クラステッドは単一ヴィンテージ; 完全濾過</x:v>
      </x:c>
      <x:c r="Z485" s="171" t="str">
        <x:v>Y</x:v>
      </x:c>
      <x:c r="AA485" s="165" t="str">
        <x:v>クラステッド・ポートの表示・熟成要件は最新教材との最終照合を推奨</x:v>
      </x:c>
      <x:c r="AB485" s="165" t="str">
        <x:v>オリジナル</x:v>
      </x:c>
      <x:c r="AC485" s="165" t="str">
        <x:v>公式Specificationの範囲＋ユーザー作成コーパスの論点を参考に独自作成</x:v>
      </x:c>
      <x:c r="AD485" s="171" t="str">
        <x:v>未レビュー</x:v>
      </x:c>
      <x:c r="AE485" s="171"/>
      <x:c r="AF485" s="171"/>
      <x:c r="AG485" s="312"/>
    </x:row>
    <x:row r="486" ht="84" customHeight="1">
      <x:c r="A486" s="311" t="str">
        <x:v>LO4-065</x:v>
      </x:c>
      <x:c r="B486" s="171" t="str">
        <x:v>LO4</x:v>
      </x:c>
      <x:c r="C486" s="165" t="str">
        <x:v>世界の主要な酒精強化ワイン</x:v>
      </x:c>
      <x:c r="D486" s="165" t="str">
        <x:v>シングル・キンタ・ヴィンテージ</x:v>
      </x:c>
      <x:c r="E486" s="165" t="str">
        <x:v>シングル・キンタ・ヴィンテージ・ポートが一般的なヴィンテージ・ポートと異なる点はどれか。</x:v>
      </x:c>
      <x:c r="F486" s="165" t="str">
        <x:v>一つの農園のブドウから造り、主要な総合ヴィンテージ宣言年以外にも瓶詰めされることがある</x:v>
      </x:c>
      <x:c r="G486" s="165" t="str">
        <x:v>複数農園と複数年を必ずブレンドする</x:v>
      </x:c>
      <x:c r="H486" s="165" t="str">
        <x:v>小樽で酸化熟成してすぐ飲める淡色スタイルにする</x:v>
      </x:c>
      <x:c r="I486" s="165" t="str">
        <x:v>白ブドウから造る</x:v>
      </x:c>
      <x:c r="J486" s="171" t="str">
        <x:v>A</x:v>
      </x:c>
      <x:c r="K486" s="165" t="str">
        <x:v>一つの農園のブドウから造り、主要な総合ヴィンテージ宣言年以外にも瓶詰めされることがある</x:v>
      </x:c>
      <x:c r="L486" s="165" t="str">
        <x:v>単一キンタの個性を表し、濃厚なルビー系スタイルとして瓶熟成で発展する。</x:v>
      </x:c>
      <x:c r="M486" s="165" t="str">
        <x:v>正しい。 単一キンタの個性を表し、濃厚なルビー系スタイルとして瓶熟成で発展する。</x:v>
      </x:c>
      <x:c r="N486" s="165" t="str">
        <x:v>誤り。 単一農園・単一年が基本である。</x:v>
      </x:c>
      <x:c r="O486" s="165" t="str">
        <x:v>誤り。 瓶熟成型で、若いうちは濃色で高タンニンである。</x:v>
      </x:c>
      <x:c r="P486" s="165" t="str">
        <x:v>誤り。 通常はポート用黒品種を用いる。</x:v>
      </x:c>
      <x:c r="Q486" s="165" t="str">
        <x:v>法律・表示</x:v>
      </x:c>
      <x:c r="R486" s="165" t="str">
        <x:v>ポート</x:v>
      </x:c>
      <x:c r="S486" s="165" t="str">
        <x:v>酒精強化ワイン</x:v>
      </x:c>
      <x:c r="T486" s="165" t="str">
        <x:v>ポルトガル</x:v>
      </x:c>
      <x:c r="U486" s="165" t="str">
        <x:v>ドウロ</x:v>
      </x:c>
      <x:c r="V486" s="165"/>
      <x:c r="W486" s="165" t="str">
        <x:v>比較</x:v>
      </x:c>
      <x:c r="X486" s="171" t="str">
        <x:v>D3</x:v>
      </x:c>
      <x:c r="Y486" s="165" t="str">
        <x:v>シングルキンタは複数年; 小樽酸化</x:v>
      </x:c>
      <x:c r="Z486" s="171" t="str">
        <x:v>Y</x:v>
      </x:c>
      <x:c r="AA486" s="165" t="str">
        <x:v>Single Quinta Vintage Portの現行表示と宣言慣行を最新教材で確認推奨</x:v>
      </x:c>
      <x:c r="AB486" s="165" t="str">
        <x:v>オリジナル</x:v>
      </x:c>
      <x:c r="AC486" s="165" t="str">
        <x:v>公式Specificationの範囲＋ユーザー作成コーパスの論点を参考に独自作成</x:v>
      </x:c>
      <x:c r="AD486" s="171" t="str">
        <x:v>未レビュー</x:v>
      </x:c>
      <x:c r="AE486" s="171"/>
      <x:c r="AF486" s="171"/>
      <x:c r="AG486" s="312"/>
    </x:row>
    <x:row r="487" ht="84" customHeight="1">
      <x:c r="A487" s="311" t="str">
        <x:v>LO4-066</x:v>
      </x:c>
      <x:c r="B487" s="171" t="str">
        <x:v>LO4</x:v>
      </x:c>
      <x:c r="C487" s="165" t="str">
        <x:v>世界の主要な酒精強化ワイン</x:v>
      </x:c>
      <x:c r="D487" s="165" t="str">
        <x:v>コルヘイタ</x:v>
      </x:c>
      <x:c r="E487" s="165" t="str">
        <x:v>コルヘイタ・ポートの一般的な特徴はどれか。</x:v>
      </x:c>
      <x:c r="F487" s="165" t="str">
        <x:v>複数年の濃色ルビーを短期瓶熟成する</x:v>
      </x:c>
      <x:c r="G487" s="165" t="str">
        <x:v>単一収穫年のトーニー・スタイルで、長期間木樽熟成する</x:v>
      </x:c>
      <x:c r="H487" s="165" t="str">
        <x:v>瓶内のフロール下で熟成する</x:v>
      </x:c>
      <x:c r="I487" s="165" t="str">
        <x:v>ブドウを凍結収穫して造る</x:v>
      </x:c>
      <x:c r="J487" s="171" t="str">
        <x:v>B</x:v>
      </x:c>
      <x:c r="K487" s="165" t="str">
        <x:v>単一収穫年のトーニー・スタイルで、長期間木樽熟成する</x:v>
      </x:c>
      <x:c r="L487" s="165" t="str">
        <x:v>酸化熟成により琥珀色、ナッツ、ドライフルーツの香りを発達させ、瓶詰め時には飲み頃となる。</x:v>
      </x:c>
      <x:c r="M487" s="165" t="str">
        <x:v>誤り。 コルヘイタは単一収穫年で木樽熟成型である。</x:v>
      </x:c>
      <x:c r="N487" s="165" t="str">
        <x:v>正しい。 酸化熟成により琥珀色、ナッツ、ドライフルーツの香りを発達させ、瓶詰め時には飲み頃となる。</x:v>
      </x:c>
      <x:c r="O487" s="165" t="str">
        <x:v>誤り。 フロール熟成はシェリーに関係する。</x:v>
      </x:c>
      <x:c r="P487" s="165" t="str">
        <x:v>誤り。 アイスワインの製法ではない。</x:v>
      </x:c>
      <x:c r="Q487" s="165" t="str">
        <x:v>法律・表示</x:v>
      </x:c>
      <x:c r="R487" s="165" t="str">
        <x:v>ポート</x:v>
      </x:c>
      <x:c r="S487" s="165" t="str">
        <x:v>酒精強化ワイン</x:v>
      </x:c>
      <x:c r="T487" s="165" t="str">
        <x:v>ポルトガル</x:v>
      </x:c>
      <x:c r="U487" s="165" t="str">
        <x:v>ドウロ</x:v>
      </x:c>
      <x:c r="V487" s="165"/>
      <x:c r="W487" s="165" t="str">
        <x:v>知識確認</x:v>
      </x:c>
      <x:c r="X487" s="171" t="str">
        <x:v>D2</x:v>
      </x:c>
      <x:c r="Y487" s="165" t="str">
        <x:v>コルヘイタは複数年; フロール</x:v>
      </x:c>
      <x:c r="Z487" s="171" t="str">
        <x:v>Y</x:v>
      </x:c>
      <x:c r="AA487" s="165" t="str">
        <x:v>Colheita Portの最低樽熟成・表示要件を最新教材で最終確認推奨</x:v>
      </x:c>
      <x:c r="AB487" s="165" t="str">
        <x:v>オリジナル</x:v>
      </x:c>
      <x:c r="AC487" s="165" t="str">
        <x:v>公式Specificationの範囲＋ユーザー作成コーパスの論点を参考に独自作成</x:v>
      </x:c>
      <x:c r="AD487" s="171" t="str">
        <x:v>未レビュー</x:v>
      </x:c>
      <x:c r="AE487" s="171"/>
      <x:c r="AF487" s="171"/>
      <x:c r="AG487" s="312"/>
    </x:row>
    <x:row r="488" ht="84" customHeight="1">
      <x:c r="A488" s="311" t="str">
        <x:v>LO4-067</x:v>
      </x:c>
      <x:c r="B488" s="171" t="str">
        <x:v>LO4</x:v>
      </x:c>
      <x:c r="C488" s="165" t="str">
        <x:v>世界の主要な酒精強化ワイン</x:v>
      </x:c>
      <x:c r="D488" s="165" t="str">
        <x:v>瓶熟成型と樽熟成型ポート</x:v>
      </x:c>
      <x:c r="E488" s="165" t="str">
        <x:v>ヴィンテージ・ポートと年数表記トーニー・ポートの熟成経路の違いとして最も適切なものはどれか。</x:v>
      </x:c>
      <x:c r="F488" s="165" t="str">
        <x:v>両者とも必ず同じ期間をステンレスタンクで熟成する</x:v>
      </x:c>
      <x:c r="G488" s="165" t="str">
        <x:v>ヴィンテージだけが複数年ブレンドである</x:v>
      </x:c>
      <x:c r="H488" s="165" t="str">
        <x:v>ヴィンテージは短い樽熟成後に瓶で発展し、トーニーは長く小樽で酸化熟成する</x:v>
      </x:c>
      <x:c r="I488" s="165" t="str">
        <x:v>トーニーだけが瓶内二次発酵する</x:v>
      </x:c>
      <x:c r="J488" s="171" t="str">
        <x:v>C</x:v>
      </x:c>
      <x:c r="K488" s="165" t="str">
        <x:v>ヴィンテージは短い樽熟成後に瓶で発展し、トーニーは長く小樽で酸化熟成する</x:v>
      </x:c>
      <x:c r="L488" s="165" t="str">
        <x:v>瓶熟成型は濃色と果実味を保ち沈殿を生じ、樽熟成型は酸素と蒸発により色が淡くナッツ香が増える。</x:v>
      </x:c>
      <x:c r="M488" s="165" t="str">
        <x:v>誤り。 熟成容器と酸素接触が大きく異なる。</x:v>
      </x:c>
      <x:c r="N488" s="165" t="str">
        <x:v>誤り。 ヴィンテージは単一年、年数表記トーニーは複数年のブレンドである。</x:v>
      </x:c>
      <x:c r="O488" s="165" t="str">
        <x:v>正しい。 瓶熟成型は濃色と果実味を保ち沈殿を生じ、樽熟成型は酸素と蒸発により色が淡くナッツ香が増える。</x:v>
      </x:c>
      <x:c r="P488" s="165" t="str">
        <x:v>誤り。 いずれも発泡性ワインではない。</x:v>
      </x:c>
      <x:c r="Q488" s="165" t="str">
        <x:v>熟成</x:v>
      </x:c>
      <x:c r="R488" s="165" t="str">
        <x:v>ポート</x:v>
      </x:c>
      <x:c r="S488" s="165" t="str">
        <x:v>酒精強化ワイン</x:v>
      </x:c>
      <x:c r="T488" s="165" t="str">
        <x:v>ポルトガル</x:v>
      </x:c>
      <x:c r="U488" s="165" t="str">
        <x:v>ドウロ</x:v>
      </x:c>
      <x:c r="V488" s="165"/>
      <x:c r="W488" s="165" t="str">
        <x:v>比較</x:v>
      </x:c>
      <x:c r="X488" s="171" t="str">
        <x:v>D3</x:v>
      </x:c>
      <x:c r="Y488" s="165" t="str">
        <x:v>両者同じ熟成; ヴィンテージは複数年</x:v>
      </x:c>
      <x:c r="Z488" s="171" t="str">
        <x:v>N</x:v>
      </x:c>
      <x:c r="AA488" s="165"/>
      <x:c r="AB488" s="165" t="str">
        <x:v>オリジナル</x:v>
      </x:c>
      <x:c r="AC488" s="165" t="str">
        <x:v>公式Specificationの範囲＋ユーザー作成コーパスの論点を参考に独自作成</x:v>
      </x:c>
      <x:c r="AD488" s="171" t="str">
        <x:v>未レビュー</x:v>
      </x:c>
      <x:c r="AE488" s="171"/>
      <x:c r="AF488" s="171"/>
      <x:c r="AG488" s="312"/>
    </x:row>
    <x:row r="489" ht="84" customHeight="1">
      <x:c r="A489" s="311" t="str">
        <x:v>LO4-068</x:v>
      </x:c>
      <x:c r="B489" s="171" t="str">
        <x:v>LO4</x:v>
      </x:c>
      <x:c r="C489" s="165" t="str">
        <x:v>世界の主要な酒精強化ワイン</x:v>
      </x:c>
      <x:c r="D489" s="165" t="str">
        <x:v>ヴィンテージ・ポートのデカンティング</x:v>
      </x:c>
      <x:c r="E489" s="165" t="str">
        <x:v>熟成したヴィンテージ・ポートをデカンティングする主な目的はどれか。</x:v>
      </x:c>
      <x:c r="F489" s="165" t="str">
        <x:v>炭酸ガスを発生させる</x:v>
      </x:c>
      <x:c r="G489" s="165" t="str">
        <x:v>甘味を除去して辛口にする</x:v>
      </x:c>
      <x:c r="H489" s="165" t="str">
        <x:v>アルコール度を下げる</x:v>
      </x:c>
      <x:c r="I489" s="165" t="str">
        <x:v>瓶内熟成で生じた大量の澱をワインから分離する</x:v>
      </x:c>
      <x:c r="J489" s="171" t="str">
        <x:v>D</x:v>
      </x:c>
      <x:c r="K489" s="165" t="str">
        <x:v>瓶内熟成で生じた大量の澱をワインから分離する</x:v>
      </x:c>
      <x:c r="L489" s="165" t="str">
        <x:v>無濾過で瓶詰めされた色素とタンニンが沈殿するため、瓶を静置し、澱が入らないよう移す。</x:v>
      </x:c>
      <x:c r="M489" s="165" t="str">
        <x:v>誤り。 ヴィンテージ・ポートは非発泡性である。</x:v>
      </x:c>
      <x:c r="N489" s="165" t="str">
        <x:v>誤り。 デカンティングで残糖は変化しない。</x:v>
      </x:c>
      <x:c r="O489" s="165" t="str">
        <x:v>誤り。 短時間のデカンティングでアルコール度は実質的に変わらない。</x:v>
      </x:c>
      <x:c r="P489" s="165" t="str">
        <x:v>正しい。 無濾過で瓶詰めされた色素とタンニンが沈殿するため、瓶を静置し、澱が入らないよう移す。</x:v>
      </x:c>
      <x:c r="Q489" s="165" t="str">
        <x:v>サービス関連理論</x:v>
      </x:c>
      <x:c r="R489" s="165" t="str">
        <x:v>ポート</x:v>
      </x:c>
      <x:c r="S489" s="165" t="str">
        <x:v>酒精強化ワイン</x:v>
      </x:c>
      <x:c r="T489" s="165" t="str">
        <x:v>ポルトガル</x:v>
      </x:c>
      <x:c r="U489" s="165" t="str">
        <x:v>ドウロ</x:v>
      </x:c>
      <x:c r="V489" s="165"/>
      <x:c r="W489" s="165" t="str">
        <x:v>因果説明</x:v>
      </x:c>
      <x:c r="X489" s="171" t="str">
        <x:v>D1</x:v>
      </x:c>
      <x:c r="Y489" s="165" t="str">
        <x:v>デカントで発泡; デカントで残糖除去</x:v>
      </x:c>
      <x:c r="Z489" s="171" t="str">
        <x:v>N</x:v>
      </x:c>
      <x:c r="AA489" s="165"/>
      <x:c r="AB489" s="165" t="str">
        <x:v>オリジナル</x:v>
      </x:c>
      <x:c r="AC489" s="165" t="str">
        <x:v>公式Specificationの範囲＋ユーザー作成コーパスの論点を参考に独自作成</x:v>
      </x:c>
      <x:c r="AD489" s="171" t="str">
        <x:v>未レビュー</x:v>
      </x:c>
      <x:c r="AE489" s="171"/>
      <x:c r="AF489" s="171"/>
      <x:c r="AG489" s="312"/>
    </x:row>
    <x:row r="490" ht="84" customHeight="1">
      <x:c r="A490" s="311" t="str">
        <x:v>LO4-069</x:v>
      </x:c>
      <x:c r="B490" s="171" t="str">
        <x:v>LO4</x:v>
      </x:c>
      <x:c r="C490" s="165" t="str">
        <x:v>世界の主要な酒精強化ワイン</x:v>
      </x:c>
      <x:c r="D490" s="165" t="str">
        <x:v>LBVの熟成経路</x:v>
      </x:c>
      <x:c r="E490" s="165" t="str">
        <x:v>LBVポートがヴィンテージ・ポートより購入後すぐ飲みやすい主な理由はどれか。</x:v>
      </x:c>
      <x:c r="F490" s="165" t="str">
        <x:v>瓶詰め前に大容器でより長く熟成し、濾過された製品も多いため</x:v>
      </x:c>
      <x:c r="G490" s="165" t="str">
        <x:v>発酵前にアルコールを除去するため</x:v>
      </x:c>
      <x:c r="H490" s="165" t="str">
        <x:v>ブドウを白品種へ変えるため</x:v>
      </x:c>
      <x:c r="I490" s="165" t="str">
        <x:v>瓶内二次発酵で泡を付けるため</x:v>
      </x:c>
      <x:c r="J490" s="171" t="str">
        <x:v>A</x:v>
      </x:c>
      <x:c r="K490" s="165" t="str">
        <x:v>瓶詰め前に大容器でより長く熟成し、濾過された製品も多いため</x:v>
      </x:c>
      <x:c r="L490" s="165" t="str">
        <x:v>木樽またはタンクでタンニンが穏やかになり、果実味と熟成感が整った状態で販売される。</x:v>
      </x:c>
      <x:c r="M490" s="165" t="str">
        <x:v>正しい。 木樽またはタンクでタンニンが穏やかになり、果実味と熟成感が整った状態で販売される。</x:v>
      </x:c>
      <x:c r="N490" s="165" t="str">
        <x:v>誤り。 ポートは発酵途中に酒精強化してアルコールを高める。</x:v>
      </x:c>
      <x:c r="O490" s="165" t="str">
        <x:v>誤り。 品種は変わらず、熟成経路が異なる。</x:v>
      </x:c>
      <x:c r="P490" s="165" t="str">
        <x:v>誤り。 LBVは非発泡性である。</x:v>
      </x:c>
      <x:c r="Q490" s="165" t="str">
        <x:v>熟成</x:v>
      </x:c>
      <x:c r="R490" s="165" t="str">
        <x:v>ポート</x:v>
      </x:c>
      <x:c r="S490" s="165" t="str">
        <x:v>酒精強化ワイン</x:v>
      </x:c>
      <x:c r="T490" s="165" t="str">
        <x:v>ポルトガル</x:v>
      </x:c>
      <x:c r="U490" s="165" t="str">
        <x:v>ドウロ</x:v>
      </x:c>
      <x:c r="V490" s="165"/>
      <x:c r="W490" s="165" t="str">
        <x:v>比較</x:v>
      </x:c>
      <x:c r="X490" s="171" t="str">
        <x:v>D2</x:v>
      </x:c>
      <x:c r="Y490" s="165" t="str">
        <x:v>LBVは脱アルコール; 発泡性</x:v>
      </x:c>
      <x:c r="Z490" s="171" t="str">
        <x:v>N</x:v>
      </x:c>
      <x:c r="AA490" s="165"/>
      <x:c r="AB490" s="165" t="str">
        <x:v>オリジナル</x:v>
      </x:c>
      <x:c r="AC490" s="165" t="str">
        <x:v>公式Specificationの範囲＋ユーザー作成コーパスの論点を参考に独自作成</x:v>
      </x:c>
      <x:c r="AD490" s="171" t="str">
        <x:v>未レビュー</x:v>
      </x:c>
      <x:c r="AE490" s="171"/>
      <x:c r="AF490" s="171"/>
      <x:c r="AG490" s="312"/>
    </x:row>
    <x:row r="491" ht="84" customHeight="1">
      <x:c r="A491" s="311" t="str">
        <x:v>LO4-070</x:v>
      </x:c>
      <x:c r="B491" s="171" t="str">
        <x:v>LO4</x:v>
      </x:c>
      <x:c r="C491" s="165" t="str">
        <x:v>世界の主要な酒精強化ワイン</x:v>
      </x:c>
      <x:c r="D491" s="165" t="str">
        <x:v>ルビー・リザーヴの果実味</x:v>
      </x:c>
      <x:c r="E491" s="165" t="str">
        <x:v>ルビー・リザーヴで若々しい黒系果実を保つために用いられる熟成方法はどれか。</x:v>
      </x:c>
      <x:c r="F491" s="165" t="str">
        <x:v>小樽で数十年酸化熟成する</x:v>
      </x:c>
      <x:c r="G491" s="165" t="str">
        <x:v>酸素接触の少ない大型タンクや大樽で比較的短期間熟成する</x:v>
      </x:c>
      <x:c r="H491" s="165" t="str">
        <x:v>瓶を開放して空気へさらす</x:v>
      </x:c>
      <x:c r="I491" s="165" t="str">
        <x:v>フロール下で熟成する</x:v>
      </x:c>
      <x:c r="J491" s="171" t="str">
        <x:v>B</x:v>
      </x:c>
      <x:c r="K491" s="165" t="str">
        <x:v>酸素接触の少ない大型タンクや大樽で比較的短期間熟成する</x:v>
      </x:c>
      <x:c r="L491" s="165" t="str">
        <x:v>小樽での長期酸化を避け、濃い色と一次果実香を保持した複数年ブレンドにする。</x:v>
      </x:c>
      <x:c r="M491" s="165" t="str">
        <x:v>誤り。 これは年数表記トーニーに近い。</x:v>
      </x:c>
      <x:c r="N491" s="165" t="str">
        <x:v>正しい。 小樽での長期酸化を避け、濃い色と一次果実香を保持した複数年ブレンドにする。</x:v>
      </x:c>
      <x:c r="O491" s="165" t="str">
        <x:v>誤り。 酸化を抑えるため密閉度の高い容器を用いる。</x:v>
      </x:c>
      <x:c r="P491" s="165" t="str">
        <x:v>誤り。 シェリーの製法である。</x:v>
      </x:c>
      <x:c r="Q491" s="165" t="str">
        <x:v>熟成</x:v>
      </x:c>
      <x:c r="R491" s="165" t="str">
        <x:v>ポート</x:v>
      </x:c>
      <x:c r="S491" s="165" t="str">
        <x:v>酒精強化ワイン</x:v>
      </x:c>
      <x:c r="T491" s="165" t="str">
        <x:v>ポルトガル</x:v>
      </x:c>
      <x:c r="U491" s="165" t="str">
        <x:v>ドウロ</x:v>
      </x:c>
      <x:c r="V491" s="165"/>
      <x:c r="W491" s="165" t="str">
        <x:v>因果説明</x:v>
      </x:c>
      <x:c r="X491" s="171" t="str">
        <x:v>D2</x:v>
      </x:c>
      <x:c r="Y491" s="165" t="str">
        <x:v>ルビーリザーヴは長期酸化; フロール</x:v>
      </x:c>
      <x:c r="Z491" s="171" t="str">
        <x:v>N</x:v>
      </x:c>
      <x:c r="AA491" s="165"/>
      <x:c r="AB491" s="165" t="str">
        <x:v>オリジナル</x:v>
      </x:c>
      <x:c r="AC491" s="165" t="str">
        <x:v>公式Specificationの範囲＋ユーザー作成コーパスの論点を参考に独自作成</x:v>
      </x:c>
      <x:c r="AD491" s="171" t="str">
        <x:v>未レビュー</x:v>
      </x:c>
      <x:c r="AE491" s="171"/>
      <x:c r="AF491" s="171"/>
      <x:c r="AG491" s="312"/>
    </x:row>
    <x:row r="492" ht="84" customHeight="1">
      <x:c r="A492" s="311" t="str">
        <x:v>LO4-071</x:v>
      </x:c>
      <x:c r="B492" s="171" t="str">
        <x:v>LO4</x:v>
      </x:c>
      <x:c r="C492" s="165" t="str">
        <x:v>世界の主要な酒精強化ワイン</x:v>
      </x:c>
      <x:c r="D492" s="165" t="str">
        <x:v>トーニーのブレンド</x:v>
      </x:c>
      <x:c r="E492" s="165" t="str">
        <x:v>年数表記トーニー・ポートのハウス・スタイルを維持する上で、ブレンダーが行う重要な作業はどれか。</x:v>
      </x:c>
      <x:c r="F492" s="165" t="str">
        <x:v>単一樽を無調整で瓶詰めする</x:v>
      </x:c>
      <x:c r="G492" s="165" t="str">
        <x:v>瓶内二次発酵を行う</x:v>
      </x:c>
      <x:c r="H492" s="165" t="str">
        <x:v>異なる年齢と熟成段階の樽を組み合わせ、表示年数に期待される平均的な香味を再現する</x:v>
      </x:c>
      <x:c r="I492" s="165" t="str">
        <x:v>残糖を発酵で完全に除く</x:v>
      </x:c>
      <x:c r="J492" s="171" t="str">
        <x:v>C</x:v>
      </x:c>
      <x:c r="K492" s="165" t="str">
        <x:v>異なる年齢と熟成段階の樽を組み合わせ、表示年数に期待される平均的な香味を再現する</x:v>
      </x:c>
      <x:c r="L492" s="165" t="str">
        <x:v>若いワインの果実味と古いワインのナッツ、濃縮感を調整し、毎回一貫したスタイルにする。</x:v>
      </x:c>
      <x:c r="M492" s="165" t="str">
        <x:v>誤り。 年数表記トーニーは通常、複数樽・複数年のブレンドである。</x:v>
      </x:c>
      <x:c r="N492" s="165" t="str">
        <x:v>誤り。 発泡性ワインではない。</x:v>
      </x:c>
      <x:c r="O492" s="165" t="str">
        <x:v>正しい。 若いワインの果実味と古いワインのナッツ、濃縮感を調整し、毎回一貫したスタイルにする。</x:v>
      </x:c>
      <x:c r="P492" s="165" t="str">
        <x:v>誤り。 ポートは甘味を残す酒精強化ワインである。</x:v>
      </x:c>
      <x:c r="Q492" s="165" t="str">
        <x:v>ブレンド</x:v>
      </x:c>
      <x:c r="R492" s="165" t="str">
        <x:v>ポート</x:v>
      </x:c>
      <x:c r="S492" s="165" t="str">
        <x:v>酒精強化ワイン</x:v>
      </x:c>
      <x:c r="T492" s="165" t="str">
        <x:v>ポルトガル</x:v>
      </x:c>
      <x:c r="U492" s="165" t="str">
        <x:v>ドウロ</x:v>
      </x:c>
      <x:c r="V492" s="165"/>
      <x:c r="W492" s="165" t="str">
        <x:v>統合判断</x:v>
      </x:c>
      <x:c r="X492" s="171" t="str">
        <x:v>D3</x:v>
      </x:c>
      <x:c r="Y492" s="165" t="str">
        <x:v>年数表記は単一樽; 瓶内二次発酵</x:v>
      </x:c>
      <x:c r="Z492" s="171" t="str">
        <x:v>N</x:v>
      </x:c>
      <x:c r="AA492" s="165"/>
      <x:c r="AB492" s="165" t="str">
        <x:v>オリジナル</x:v>
      </x:c>
      <x:c r="AC492" s="165" t="str">
        <x:v>公式Specificationの範囲＋ユーザー作成コーパスの論点を参考に独自作成</x:v>
      </x:c>
      <x:c r="AD492" s="171" t="str">
        <x:v>未レビュー</x:v>
      </x:c>
      <x:c r="AE492" s="171"/>
      <x:c r="AF492" s="171"/>
      <x:c r="AG492" s="312"/>
    </x:row>
    <x:row r="493" ht="84" customHeight="1">
      <x:c r="A493" s="311" t="str">
        <x:v>LO4-072</x:v>
      </x:c>
      <x:c r="B493" s="171" t="str">
        <x:v>LO4</x:v>
      </x:c>
      <x:c r="C493" s="165" t="str">
        <x:v>世界の主要な酒精強化ワイン</x:v>
      </x:c>
      <x:c r="D493" s="165" t="str">
        <x:v>トーニーの色調変化</x:v>
      </x:c>
      <x:c r="E493" s="165" t="str">
        <x:v>ルビー色の若いポートが長期小樽熟成でトーニー色へ変化する主な理由はどれか。</x:v>
      </x:c>
      <x:c r="F493" s="165" t="str">
        <x:v>白ワインを加えて色を薄めることが必須だから</x:v>
      </x:c>
      <x:c r="G493" s="165" t="str">
        <x:v>光合成が樽内で続くため</x:v>
      </x:c>
      <x:c r="H493" s="165" t="str">
        <x:v>二酸化炭素が色素を作るため</x:v>
      </x:c>
      <x:c r="I493" s="165" t="str">
        <x:v>酸素接触により色素が重合・沈殿し、赤色が淡く褐色方向へ進むため</x:v>
      </x:c>
      <x:c r="J493" s="171" t="str">
        <x:v>D</x:v>
      </x:c>
      <x:c r="K493" s="165" t="str">
        <x:v>酸素接触により色素が重合・沈殿し、赤色が淡く褐色方向へ進むため</x:v>
      </x:c>
      <x:c r="L493" s="165" t="str">
        <x:v>小樽の表面積と蒸発により酸化が進み、赤い果実香がナッツやドライフルーツへ変化する。</x:v>
      </x:c>
      <x:c r="M493" s="165" t="str">
        <x:v>誤り。 色調変化の主因は長期酸化熟成である。</x:v>
      </x:c>
      <x:c r="N493" s="165" t="str">
        <x:v>誤り。 ワインは樽内で光合成しない。</x:v>
      </x:c>
      <x:c r="O493" s="165" t="str">
        <x:v>誤り。 CO2がトーニー色を生むわけではない。</x:v>
      </x:c>
      <x:c r="P493" s="165" t="str">
        <x:v>正しい。 小樽の表面積と蒸発により酸化が進み、赤い果実香がナッツやドライフルーツへ変化する。</x:v>
      </x:c>
      <x:c r="Q493" s="165" t="str">
        <x:v>熟成</x:v>
      </x:c>
      <x:c r="R493" s="165" t="str">
        <x:v>ポート</x:v>
      </x:c>
      <x:c r="S493" s="165" t="str">
        <x:v>酒精強化ワイン</x:v>
      </x:c>
      <x:c r="T493" s="165" t="str">
        <x:v>ポルトガル</x:v>
      </x:c>
      <x:c r="U493" s="165" t="str">
        <x:v>ドウロ</x:v>
      </x:c>
      <x:c r="V493" s="165"/>
      <x:c r="W493" s="165" t="str">
        <x:v>因果説明</x:v>
      </x:c>
      <x:c r="X493" s="171" t="str">
        <x:v>D2</x:v>
      </x:c>
      <x:c r="Y493" s="165" t="str">
        <x:v>白ワイン添加でトーニー色; 樽内光合成</x:v>
      </x:c>
      <x:c r="Z493" s="171" t="str">
        <x:v>N</x:v>
      </x:c>
      <x:c r="AA493" s="165"/>
      <x:c r="AB493" s="165" t="str">
        <x:v>オリジナル</x:v>
      </x:c>
      <x:c r="AC493" s="165" t="str">
        <x:v>公式Specificationの範囲＋ユーザー作成コーパスの論点を参考に独自作成</x:v>
      </x:c>
      <x:c r="AD493" s="171" t="str">
        <x:v>未レビュー</x:v>
      </x:c>
      <x:c r="AE493" s="171"/>
      <x:c r="AF493" s="171"/>
      <x:c r="AG493" s="312"/>
    </x:row>
    <x:row r="494" ht="84" customHeight="1">
      <x:c r="A494" s="311" t="str">
        <x:v>LO4-073</x:v>
      </x:c>
      <x:c r="B494" s="171" t="str">
        <x:v>LO4</x:v>
      </x:c>
      <x:c r="C494" s="165" t="str">
        <x:v>世界の主要な酒精強化ワイン</x:v>
      </x:c>
      <x:c r="D494" s="165" t="str">
        <x:v>ドウロの片岩</x:v>
      </x:c>
      <x:c r="E494" s="165" t="str">
        <x:v>ドウロの片岩質土壌が乾燥した急斜面のブドウ栽培に有利な主な理由はどれか。</x:v>
      </x:c>
      <x:c r="F494" s="165" t="str">
        <x:v>割れ目に根が入り込み、排水しながら深部の水分へ到達できる</x:v>
      </x:c>
      <x:c r="G494" s="165" t="str">
        <x:v>水を一切通さず、根を地表だけに保つ</x:v>
      </x:c>
      <x:c r="H494" s="165" t="str">
        <x:v>毎晩雨を発生させる</x:v>
      </x:c>
      <x:c r="I494" s="165" t="str">
        <x:v>果実を樹上で酒精強化する</x:v>
      </x:c>
      <x:c r="J494" s="171" t="str">
        <x:v>A</x:v>
      </x:c>
      <x:c r="K494" s="165" t="str">
        <x:v>割れ目に根が入り込み、排水しながら深部の水分へ到達できる</x:v>
      </x:c>
      <x:c r="L494" s="165" t="str">
        <x:v>片岩は薄く割れ、根が岩盤を通って深く伸びるため、表土の少ない畑でも干ばつを耐えやすい。</x:v>
      </x:c>
      <x:c r="M494" s="165" t="str">
        <x:v>正しい。 片岩は薄く割れ、根が岩盤を通って深く伸びるため、表土の少ない畑でも干ばつを耐えやすい。</x:v>
      </x:c>
      <x:c r="N494" s="165" t="str">
        <x:v>誤り。 片岩の亀裂が根の進入と排水を助ける。</x:v>
      </x:c>
      <x:c r="O494" s="165" t="str">
        <x:v>誤り。 土壌が降雨を生むわけではない。</x:v>
      </x:c>
      <x:c r="P494" s="165" t="str">
        <x:v>誤り。 酒精強化はワイナリーで行う。</x:v>
      </x:c>
      <x:c r="Q494" s="165" t="str">
        <x:v>自然要因</x:v>
      </x:c>
      <x:c r="R494" s="165" t="str">
        <x:v>ポート</x:v>
      </x:c>
      <x:c r="S494" s="165" t="str">
        <x:v>酒精強化ワイン</x:v>
      </x:c>
      <x:c r="T494" s="165" t="str">
        <x:v>ポルトガル</x:v>
      </x:c>
      <x:c r="U494" s="165" t="str">
        <x:v>ドウロ</x:v>
      </x:c>
      <x:c r="V494" s="165"/>
      <x:c r="W494" s="165" t="str">
        <x:v>因果説明</x:v>
      </x:c>
      <x:c r="X494" s="171" t="str">
        <x:v>D2</x:v>
      </x:c>
      <x:c r="Y494" s="165" t="str">
        <x:v>片岩は不透水; 土壌が雨を生む</x:v>
      </x:c>
      <x:c r="Z494" s="171" t="str">
        <x:v>N</x:v>
      </x:c>
      <x:c r="AA494" s="165"/>
      <x:c r="AB494" s="165" t="str">
        <x:v>オリジナル</x:v>
      </x:c>
      <x:c r="AC494" s="165" t="str">
        <x:v>公式Specificationの範囲＋ユーザー作成コーパスの論点を参考に独自作成</x:v>
      </x:c>
      <x:c r="AD494" s="171" t="str">
        <x:v>未レビュー</x:v>
      </x:c>
      <x:c r="AE494" s="171"/>
      <x:c r="AF494" s="171"/>
      <x:c r="AG494" s="312"/>
    </x:row>
    <x:row r="495" ht="84" customHeight="1">
      <x:c r="A495" s="311" t="str">
        <x:v>LO4-074</x:v>
      </x:c>
      <x:c r="B495" s="171" t="str">
        <x:v>LO4</x:v>
      </x:c>
      <x:c r="C495" s="165" t="str">
        <x:v>世界の主要な酒精強化ワイン</x:v>
      </x:c>
      <x:c r="D495" s="165" t="str">
        <x:v>ドウロ畑の格付け要因</x:v>
      </x:c>
      <x:c r="E495" s="165" t="str">
        <x:v>ドウロでポート用畑の品質評価に用いられる要因として最も適切なものはどれか。</x:v>
      </x:c>
      <x:c r="F495" s="165" t="str">
        <x:v>ボトルの色だけ</x:v>
      </x:c>
      <x:c r="G495" s="165" t="str">
        <x:v>標高、方角、傾斜、土壌、品種、樹齢などの組み合わせ</x:v>
      </x:c>
      <x:c r="H495" s="165" t="str">
        <x:v>ワイナリーの看板の大きさだけ</x:v>
      </x:c>
      <x:c r="I495" s="165" t="str">
        <x:v>瓶内圧力だけ</x:v>
      </x:c>
      <x:c r="J495" s="171" t="str">
        <x:v>B</x:v>
      </x:c>
      <x:c r="K495" s="165" t="str">
        <x:v>標高、方角、傾斜、土壌、品種、樹齢などの組み合わせ</x:v>
      </x:c>
      <x:c r="L495" s="165" t="str">
        <x:v>日照と水分条件、栽培難度、果実の成熟可能性を総合評価し、原料価値を判断する。</x:v>
      </x:c>
      <x:c r="M495" s="165" t="str">
        <x:v>誤り。 畑の評価は栽培条件と原料品質に基づく。</x:v>
      </x:c>
      <x:c r="N495" s="165" t="str">
        <x:v>正しい。 日照と水分条件、栽培難度、果実の成熟可能性を総合評価し、原料価値を判断する。</x:v>
      </x:c>
      <x:c r="O495" s="165" t="str">
        <x:v>誤り。 宣伝物は畑の自然条件を表さない。</x:v>
      </x:c>
      <x:c r="P495" s="165" t="str">
        <x:v>誤り。 ポートは非発泡性で、畑評価と圧力は無関係である。</x:v>
      </x:c>
      <x:c r="Q495" s="165" t="str">
        <x:v>法律・価格</x:v>
      </x:c>
      <x:c r="R495" s="165" t="str">
        <x:v>ポート</x:v>
      </x:c>
      <x:c r="S495" s="165" t="str">
        <x:v>酒精強化ワイン</x:v>
      </x:c>
      <x:c r="T495" s="165" t="str">
        <x:v>ポルトガル</x:v>
      </x:c>
      <x:c r="U495" s="165" t="str">
        <x:v>ドウロ</x:v>
      </x:c>
      <x:c r="V495" s="165"/>
      <x:c r="W495" s="165" t="str">
        <x:v>統合判断</x:v>
      </x:c>
      <x:c r="X495" s="171" t="str">
        <x:v>D3</x:v>
      </x:c>
      <x:c r="Y495" s="165" t="str">
        <x:v>畑評価は包装; 瓶内圧力</x:v>
      </x:c>
      <x:c r="Z495" s="171" t="str">
        <x:v>Y</x:v>
      </x:c>
      <x:c r="AA495" s="165" t="str">
        <x:v>ドウロ畑の現行分類制度と評価項目を最新教材で最終照合推奨</x:v>
      </x:c>
      <x:c r="AB495" s="165" t="str">
        <x:v>オリジナル</x:v>
      </x:c>
      <x:c r="AC495" s="165" t="str">
        <x:v>公式Specificationの範囲＋ユーザー作成コーパスの論点を参考に独自作成</x:v>
      </x:c>
      <x:c r="AD495" s="171" t="str">
        <x:v>未レビュー</x:v>
      </x:c>
      <x:c r="AE495" s="171"/>
      <x:c r="AF495" s="171"/>
      <x:c r="AG495" s="312"/>
    </x:row>
    <x:row r="496" ht="84" customHeight="1">
      <x:c r="A496" s="311" t="str">
        <x:v>LO4-075</x:v>
      </x:c>
      <x:c r="B496" s="171" t="str">
        <x:v>LO4</x:v>
      </x:c>
      <x:c r="C496" s="165" t="str">
        <x:v>世界の主要な酒精強化ワイン</x:v>
      </x:c>
      <x:c r="D496" s="165" t="str">
        <x:v>古木のフィールド・ブレンド</x:v>
      </x:c>
      <x:c r="E496" s="165" t="str">
        <x:v>ドウロの古い畑で複数品種が混植されるフィールド・ブレンドの潜在的な利点はどれか。</x:v>
      </x:c>
      <x:c r="F496" s="165" t="str">
        <x:v>すべての品種が同じ遺伝子になる</x:v>
      </x:c>
      <x:c r="G496" s="165" t="str">
        <x:v>毎年必ず同じ比率で収穫できる</x:v>
      </x:c>
      <x:c r="H496" s="165" t="str">
        <x:v>成熟時期と成分の異なる品種が互いを補い、複雑性とヴィンテージへの耐性を高める</x:v>
      </x:c>
      <x:c r="I496" s="165" t="str">
        <x:v>酒精強化が不要になる</x:v>
      </x:c>
      <x:c r="J496" s="171" t="str">
        <x:v>C</x:v>
      </x:c>
      <x:c r="K496" s="165" t="str">
        <x:v>成熟時期と成分の異なる品種が互いを補い、複雑性とヴィンテージへの耐性を高める</x:v>
      </x:c>
      <x:c r="L496" s="165" t="str">
        <x:v>糖、酸、色、タンニン、香りの異なる品種を同時に収穫・発酵し、バランスの取れた濃厚なワインを得る。</x:v>
      </x:c>
      <x:c r="M496" s="165" t="str">
        <x:v>誤り。 混植しても品種の遺伝的特徴は異なるままである。</x:v>
      </x:c>
      <x:c r="N496" s="165" t="str">
        <x:v>誤り。 品種ごとの収量と成熟は年によって変化する。</x:v>
      </x:c>
      <x:c r="O496" s="165" t="str">
        <x:v>正しい。 糖、酸、色、タンニン、香りの異なる品種を同時に収穫・発酵し、バランスの取れた濃厚なワインを得る。</x:v>
      </x:c>
      <x:c r="P496" s="165" t="str">
        <x:v>誤り。 ポートでは発酵途中の酒精強化が必要である。</x:v>
      </x:c>
      <x:c r="Q496" s="165" t="str">
        <x:v>栽培</x:v>
      </x:c>
      <x:c r="R496" s="165" t="str">
        <x:v>ポート</x:v>
      </x:c>
      <x:c r="S496" s="165" t="str">
        <x:v>酒精強化ワイン</x:v>
      </x:c>
      <x:c r="T496" s="165" t="str">
        <x:v>ポルトガル</x:v>
      </x:c>
      <x:c r="U496" s="165" t="str">
        <x:v>ドウロ</x:v>
      </x:c>
      <x:c r="V496" s="165" t="str">
        <x:v>複数の土着黒品種</x:v>
      </x:c>
      <x:c r="W496" s="165" t="str">
        <x:v>統合判断</x:v>
      </x:c>
      <x:c r="X496" s="171" t="str">
        <x:v>D3</x:v>
      </x:c>
      <x:c r="Y496" s="165" t="str">
        <x:v>混植で品種同一化; 酒精強化不要</x:v>
      </x:c>
      <x:c r="Z496" s="171" t="str">
        <x:v>N</x:v>
      </x:c>
      <x:c r="AA496" s="165"/>
      <x:c r="AB496" s="165" t="str">
        <x:v>オリジナル</x:v>
      </x:c>
      <x:c r="AC496" s="165" t="str">
        <x:v>公式Specificationの範囲＋ユーザー作成コーパスの論点を参考に独自作成</x:v>
      </x:c>
      <x:c r="AD496" s="171" t="str">
        <x:v>未レビュー</x:v>
      </x:c>
      <x:c r="AE496" s="171"/>
      <x:c r="AF496" s="171"/>
      <x:c r="AG496" s="312"/>
    </x:row>
    <x:row r="497" ht="84" customHeight="1">
      <x:c r="A497" s="311" t="str">
        <x:v>LO4-076</x:v>
      </x:c>
      <x:c r="B497" s="171" t="str">
        <x:v>LO4</x:v>
      </x:c>
      <x:c r="C497" s="165" t="str">
        <x:v>世界の主要な酒精強化ワイン</x:v>
      </x:c>
      <x:c r="D497" s="165" t="str">
        <x:v>酒精強化用スピリッツ</x:v>
      </x:c>
      <x:c r="E497" s="165" t="str">
        <x:v>ポートの酒精強化に用いるブドウ由来スピリッツの品質が重要な主な理由はどれか。</x:v>
      </x:c>
      <x:c r="F497" s="165" t="str">
        <x:v>スピリッツがワインの色を必ず白くするため</x:v>
      </x:c>
      <x:c r="G497" s="165" t="str">
        <x:v>スピリッツが二次発酵を開始するため</x:v>
      </x:c>
      <x:c r="H497" s="165" t="str">
        <x:v>スピリッツが残糖を除去するため</x:v>
      </x:c>
      <x:c r="I497" s="165" t="str">
        <x:v>添加量が多く、粗い香味が完成ワインの果実味とバランスを損なう可能性があるため</x:v>
      </x:c>
      <x:c r="J497" s="171" t="str">
        <x:v>D</x:v>
      </x:c>
      <x:c r="K497" s="165" t="str">
        <x:v>添加量が多く、粗い香味が完成ワインの果実味とバランスを損なう可能性があるため</x:v>
      </x:c>
      <x:c r="L497" s="165" t="str">
        <x:v>中性で清潔なスピリッツを用いることで、発酵を止めながらブドウの香りを保てる。</x:v>
      </x:c>
      <x:c r="M497" s="165" t="str">
        <x:v>誤り。 中性スピリッツは色を白へ変えるものではない。</x:v>
      </x:c>
      <x:c r="N497" s="165" t="str">
        <x:v>誤り。 高アルコールは酵母を停止させる。</x:v>
      </x:c>
      <x:c r="O497" s="165" t="str">
        <x:v>誤り。 発酵停止により残糖を保持する。</x:v>
      </x:c>
      <x:c r="P497" s="165" t="str">
        <x:v>正しい。 中性で清潔なスピリッツを用いることで、発酵を止めながらブドウの香りを保てる。</x:v>
      </x:c>
      <x:c r="Q497" s="165" t="str">
        <x:v>酒精強化ワイン製法</x:v>
      </x:c>
      <x:c r="R497" s="165" t="str">
        <x:v>ポート</x:v>
      </x:c>
      <x:c r="S497" s="165" t="str">
        <x:v>酒精強化ワイン</x:v>
      </x:c>
      <x:c r="T497" s="165" t="str">
        <x:v>ポルトガル</x:v>
      </x:c>
      <x:c r="U497" s="165" t="str">
        <x:v>ドウロ</x:v>
      </x:c>
      <x:c r="V497" s="165"/>
      <x:c r="W497" s="165" t="str">
        <x:v>因果説明</x:v>
      </x:c>
      <x:c r="X497" s="171" t="str">
        <x:v>D2</x:v>
      </x:c>
      <x:c r="Y497" s="165" t="str">
        <x:v>スピリッツで二次発酵; 残糖除去</x:v>
      </x:c>
      <x:c r="Z497" s="171" t="str">
        <x:v>N</x:v>
      </x:c>
      <x:c r="AA497" s="165"/>
      <x:c r="AB497" s="165" t="str">
        <x:v>オリジナル</x:v>
      </x:c>
      <x:c r="AC497" s="165" t="str">
        <x:v>公式Specificationの範囲＋ユーザー作成コーパスの論点を参考に独自作成</x:v>
      </x:c>
      <x:c r="AD497" s="171" t="str">
        <x:v>未レビュー</x:v>
      </x:c>
      <x:c r="AE497" s="171"/>
      <x:c r="AF497" s="171"/>
      <x:c r="AG497" s="312"/>
    </x:row>
    <x:row r="498" ht="84" customHeight="1">
      <x:c r="A498" s="311" t="str">
        <x:v>LO4-077</x:v>
      </x:c>
      <x:c r="B498" s="171" t="str">
        <x:v>LO4</x:v>
      </x:c>
      <x:c r="C498" s="165" t="str">
        <x:v>世界の主要な酒精強化ワイン</x:v>
      </x:c>
      <x:c r="D498" s="165" t="str">
        <x:v>ポートの短い発酵</x:v>
      </x:c>
      <x:c r="E498" s="165" t="str">
        <x:v>ポートの発酵期間が通常の辛口赤ワインより短い主な理由はどれか。</x:v>
      </x:c>
      <x:c r="F498" s="165" t="str">
        <x:v>残糖を残すため、糖がすべて発酵する前に酒精強化して酵母を止める</x:v>
      </x:c>
      <x:c r="G498" s="165" t="str">
        <x:v>ブドウに糖が含まれないため</x:v>
      </x:c>
      <x:c r="H498" s="165" t="str">
        <x:v>瓶内二次発酵へ移るため</x:v>
      </x:c>
      <x:c r="I498" s="165" t="str">
        <x:v>発酵前にアルコールが自然発生しているため</x:v>
      </x:c>
      <x:c r="J498" s="171" t="str">
        <x:v>A</x:v>
      </x:c>
      <x:c r="K498" s="165" t="str">
        <x:v>残糖を残すため、糖がすべて発酵する前に酒精強化して酵母を止める</x:v>
      </x:c>
      <x:c r="L498" s="165" t="str">
        <x:v>高アルコールのスピリッツを添加すると酵母が活動できなくなり、甘味が残る。</x:v>
      </x:c>
      <x:c r="M498" s="165" t="str">
        <x:v>正しい。 高アルコールのスピリッツを添加すると酵母が活動できなくなり、甘味が残る。</x:v>
      </x:c>
      <x:c r="N498" s="165" t="str">
        <x:v>誤り。 ポート用ブドウには高い糖がある。</x:v>
      </x:c>
      <x:c r="O498" s="165" t="str">
        <x:v>誤り。 ポートは発泡性ではない。</x:v>
      </x:c>
      <x:c r="P498" s="165" t="str">
        <x:v>誤り。 アルコールは発酵と添加で得る。</x:v>
      </x:c>
      <x:c r="Q498" s="165" t="str">
        <x:v>酒精強化ワイン製法</x:v>
      </x:c>
      <x:c r="R498" s="165" t="str">
        <x:v>ポート</x:v>
      </x:c>
      <x:c r="S498" s="165" t="str">
        <x:v>酒精強化ワイン</x:v>
      </x:c>
      <x:c r="T498" s="165" t="str">
        <x:v>ポルトガル</x:v>
      </x:c>
      <x:c r="U498" s="165" t="str">
        <x:v>ドウロ</x:v>
      </x:c>
      <x:c r="V498" s="165"/>
      <x:c r="W498" s="165" t="str">
        <x:v>因果説明</x:v>
      </x:c>
      <x:c r="X498" s="171" t="str">
        <x:v>D1</x:v>
      </x:c>
      <x:c r="Y498" s="165" t="str">
        <x:v>ポート用ブドウは無糖; 瓶内二次発酵</x:v>
      </x:c>
      <x:c r="Z498" s="171" t="str">
        <x:v>N</x:v>
      </x:c>
      <x:c r="AA498" s="165"/>
      <x:c r="AB498" s="165" t="str">
        <x:v>オリジナル</x:v>
      </x:c>
      <x:c r="AC498" s="165" t="str">
        <x:v>公式Specificationの範囲＋ユーザー作成コーパスの論点を参考に独自作成</x:v>
      </x:c>
      <x:c r="AD498" s="171" t="str">
        <x:v>未レビュー</x:v>
      </x:c>
      <x:c r="AE498" s="171"/>
      <x:c r="AF498" s="171"/>
      <x:c r="AG498" s="312"/>
    </x:row>
    <x:row r="499" ht="84" customHeight="1">
      <x:c r="A499" s="311" t="str">
        <x:v>LO4-078</x:v>
      </x:c>
      <x:c r="B499" s="171" t="str">
        <x:v>LO4</x:v>
      </x:c>
      <x:c r="C499" s="165" t="str">
        <x:v>世界の主要な酒精強化ワイン</x:v>
      </x:c>
      <x:c r="D499" s="165" t="str">
        <x:v>足踏み抽出</x:v>
      </x:c>
      <x:c r="E499" s="165" t="str">
        <x:v>ポート製造でラガールの足踏みが短い発酵期間でも十分な抽出を得やすい理由はどれか。</x:v>
      </x:c>
      <x:c r="F499" s="165" t="str">
        <x:v>足踏みでアルコールを直接添加できるため</x:v>
      </x:c>
      <x:c r="G499" s="165" t="str">
        <x:v>人の足が果皮を穏やかに広く圧迫し、種子を砕かずに色とタンニンを素早く抽出するため</x:v>
      </x:c>
      <x:c r="H499" s="165" t="str">
        <x:v>足踏みで発酵が不要になるため</x:v>
      </x:c>
      <x:c r="I499" s="165" t="str">
        <x:v>果皮を完全に除去するため</x:v>
      </x:c>
      <x:c r="J499" s="171" t="str">
        <x:v>B</x:v>
      </x:c>
      <x:c r="K499" s="165" t="str">
        <x:v>人の足が果皮を穏やかに広く圧迫し、種子を砕かずに色とタンニンを素早く抽出するため</x:v>
      </x:c>
      <x:c r="L499" s="165" t="str">
        <x:v>大きな接触面でキャップを繰り返し混ぜ、苦い種子タンニンを抑えながら強い抽出を行える。</x:v>
      </x:c>
      <x:c r="M499" s="165" t="str">
        <x:v>誤り。 酒精強化用スピリッツは別途添加する。</x:v>
      </x:c>
      <x:c r="N499" s="165" t="str">
        <x:v>正しい。 大きな接触面でキャップを繰り返し混ぜ、苦い種子タンニンを抑えながら強い抽出を行える。</x:v>
      </x:c>
      <x:c r="O499" s="165" t="str">
        <x:v>誤り。 短期間でも酵母発酵は行われる。</x:v>
      </x:c>
      <x:c r="P499" s="165" t="str">
        <x:v>誤り。 果皮を果汁へ接触させて抽出する。</x:v>
      </x:c>
      <x:c r="Q499" s="165" t="str">
        <x:v>酒精強化ワイン製法</x:v>
      </x:c>
      <x:c r="R499" s="165" t="str">
        <x:v>ポート</x:v>
      </x:c>
      <x:c r="S499" s="165" t="str">
        <x:v>酒精強化ワイン</x:v>
      </x:c>
      <x:c r="T499" s="165" t="str">
        <x:v>ポルトガル</x:v>
      </x:c>
      <x:c r="U499" s="165" t="str">
        <x:v>ドウロ</x:v>
      </x:c>
      <x:c r="V499" s="165"/>
      <x:c r="W499" s="165" t="str">
        <x:v>因果説明</x:v>
      </x:c>
      <x:c r="X499" s="171" t="str">
        <x:v>D3</x:v>
      </x:c>
      <x:c r="Y499" s="165" t="str">
        <x:v>足踏みで酒精強化; 足踏みは果皮除去</x:v>
      </x:c>
      <x:c r="Z499" s="171" t="str">
        <x:v>N</x:v>
      </x:c>
      <x:c r="AA499" s="165"/>
      <x:c r="AB499" s="165" t="str">
        <x:v>オリジナル</x:v>
      </x:c>
      <x:c r="AC499" s="165" t="str">
        <x:v>公式Specificationの範囲＋ユーザー作成コーパスの論点を参考に独自作成</x:v>
      </x:c>
      <x:c r="AD499" s="171" t="str">
        <x:v>未レビュー</x:v>
      </x:c>
      <x:c r="AE499" s="171"/>
      <x:c r="AF499" s="171"/>
      <x:c r="AG499" s="312"/>
    </x:row>
    <x:row r="500" ht="84" customHeight="1">
      <x:c r="A500" s="311" t="str">
        <x:v>LO4-079</x:v>
      </x:c>
      <x:c r="B500" s="171" t="str">
        <x:v>LO4</x:v>
      </x:c>
      <x:c r="C500" s="165" t="str">
        <x:v>世界の主要な酒精強化ワイン</x:v>
      </x:c>
      <x:c r="D500" s="165" t="str">
        <x:v>ポートの甘味調整</x:v>
      </x:c>
      <x:c r="E500" s="165" t="str">
        <x:v>同じブドウ果汁から、より甘いポートを造るための最も直接的な方法はどれか。</x:v>
      </x:c>
      <x:c r="F500" s="165" t="str">
        <x:v>発酵を完全に辛口まで進める</x:v>
      </x:c>
      <x:c r="G500" s="165" t="str">
        <x:v>酒精強化を行わず、酸化熟成だけする</x:v>
      </x:c>
      <x:c r="H500" s="165" t="str">
        <x:v>発酵の早い段階で酒精強化し、より多くの糖を残す</x:v>
      </x:c>
      <x:c r="I500" s="165" t="str">
        <x:v>瓶内の澱を除去する</x:v>
      </x:c>
      <x:c r="J500" s="171" t="str">
        <x:v>C</x:v>
      </x:c>
      <x:c r="K500" s="165" t="str">
        <x:v>発酵の早い段階で酒精強化し、より多くの糖を残す</x:v>
      </x:c>
      <x:c r="L500" s="165" t="str">
        <x:v>酵母が消費する前に発酵を止めるほど残糖が高くなり、アルコール添加量との調整で最終バランスを決める。</x:v>
      </x:c>
      <x:c r="M500" s="165" t="str">
        <x:v>誤り。 糖をすべて発酵すると甘味は残らない。</x:v>
      </x:c>
      <x:c r="N500" s="165" t="str">
        <x:v>誤り。 ポートの甘味保持には発酵停止が重要である。</x:v>
      </x:c>
      <x:c r="O500" s="165" t="str">
        <x:v>正しい。 酵母が消費する前に発酵を止めるほど残糖が高くなり、アルコール添加量との調整で最終バランスを決める。</x:v>
      </x:c>
      <x:c r="P500" s="165" t="str">
        <x:v>誤り。 澱除去は残糖を増やさない。</x:v>
      </x:c>
      <x:c r="Q500" s="165" t="str">
        <x:v>酒精強化ワイン製法</x:v>
      </x:c>
      <x:c r="R500" s="165" t="str">
        <x:v>ポート</x:v>
      </x:c>
      <x:c r="S500" s="165" t="str">
        <x:v>酒精強化ワイン</x:v>
      </x:c>
      <x:c r="T500" s="165" t="str">
        <x:v>ポルトガル</x:v>
      </x:c>
      <x:c r="U500" s="165" t="str">
        <x:v>ドウロ</x:v>
      </x:c>
      <x:c r="V500" s="165"/>
      <x:c r="W500" s="165" t="str">
        <x:v>適用</x:v>
      </x:c>
      <x:c r="X500" s="171" t="str">
        <x:v>D2</x:v>
      </x:c>
      <x:c r="Y500" s="165" t="str">
        <x:v>辛口まで発酵で甘くなる; 澱除去で甘味増加</x:v>
      </x:c>
      <x:c r="Z500" s="171" t="str">
        <x:v>N</x:v>
      </x:c>
      <x:c r="AA500" s="165"/>
      <x:c r="AB500" s="165" t="str">
        <x:v>オリジナル</x:v>
      </x:c>
      <x:c r="AC500" s="165" t="str">
        <x:v>公式Specificationの範囲＋ユーザー作成コーパスの論点を参考に独自作成</x:v>
      </x:c>
      <x:c r="AD500" s="171" t="str">
        <x:v>未レビュー</x:v>
      </x:c>
      <x:c r="AE500" s="171"/>
      <x:c r="AF500" s="171"/>
      <x:c r="AG500" s="312"/>
    </x:row>
    <x:row r="501" ht="84" customHeight="1">
      <x:c r="A501" s="311" t="str">
        <x:v>LO4-080</x:v>
      </x:c>
      <x:c r="B501" s="171" t="str">
        <x:v>LO4</x:v>
      </x:c>
      <x:c r="C501" s="165" t="str">
        <x:v>世界の主要な酒精強化ワイン</x:v>
      </x:c>
      <x:c r="D501" s="165" t="str">
        <x:v>ポートのハウス・ブレンド</x:v>
      </x:c>
      <x:c r="E501" s="165" t="str">
        <x:v>大手ポート生産者が多数の畑と品種のワインをブレンドする主な目的はどれか。</x:v>
      </x:c>
      <x:c r="F501" s="165" t="str">
        <x:v>すべてのワインを同一品種へ変える</x:v>
      </x:c>
      <x:c r="G501" s="165" t="str">
        <x:v>酒精強化を不要にする</x:v>
      </x:c>
      <x:c r="H501" s="165" t="str">
        <x:v>瓶内圧力を高める</x:v>
      </x:c>
      <x:c r="I501" s="165" t="str">
        <x:v>色、果実味、タンニン、甘味を調整し、一貫したブランド・スタイルを作る</x:v>
      </x:c>
      <x:c r="J501" s="171" t="str">
        <x:v>D</x:v>
      </x:c>
      <x:c r="K501" s="165" t="str">
        <x:v>色、果実味、タンニン、甘味を調整し、一貫したブランド・スタイルを作る</x:v>
      </x:c>
      <x:c r="L501" s="165" t="str">
        <x:v>ドウロの区画と品種の違いを組み合わせ、年ごとの変動を補いながら目的の品質と価格帯へ仕上げる。</x:v>
      </x:c>
      <x:c r="M501" s="165" t="str">
        <x:v>誤り。 ブレンドしても品種の成分が統合されるだけで、遺伝的に変わらない。</x:v>
      </x:c>
      <x:c r="N501" s="165" t="str">
        <x:v>誤り。 ポートの製造では発酵停止のため酒精強化が必要である。</x:v>
      </x:c>
      <x:c r="O501" s="165" t="str">
        <x:v>誤り。 非発泡性ワインのブレンドで圧力は目的としない。</x:v>
      </x:c>
      <x:c r="P501" s="165" t="str">
        <x:v>正しい。 ドウロの区画と品種の違いを組み合わせ、年ごとの変動を補いながら目的の品質と価格帯へ仕上げる。</x:v>
      </x:c>
      <x:c r="Q501" s="165" t="str">
        <x:v>ブレンド</x:v>
      </x:c>
      <x:c r="R501" s="165" t="str">
        <x:v>ポート</x:v>
      </x:c>
      <x:c r="S501" s="165" t="str">
        <x:v>酒精強化ワイン</x:v>
      </x:c>
      <x:c r="T501" s="165" t="str">
        <x:v>ポルトガル</x:v>
      </x:c>
      <x:c r="U501" s="165" t="str">
        <x:v>ドウロ</x:v>
      </x:c>
      <x:c r="V501" s="165"/>
      <x:c r="W501" s="165" t="str">
        <x:v>統合判断</x:v>
      </x:c>
      <x:c r="X501" s="171" t="str">
        <x:v>D3</x:v>
      </x:c>
      <x:c r="Y501" s="165" t="str">
        <x:v>ブレンドで品種変換; 酒精強化不要</x:v>
      </x:c>
      <x:c r="Z501" s="171" t="str">
        <x:v>N</x:v>
      </x:c>
      <x:c r="AA501" s="165"/>
      <x:c r="AB501" s="165" t="str">
        <x:v>オリジナル</x:v>
      </x:c>
      <x:c r="AC501" s="165" t="str">
        <x:v>公式Specificationの範囲＋ユーザー作成コーパスの論点を参考に独自作成</x:v>
      </x:c>
      <x:c r="AD501" s="171" t="str">
        <x:v>未レビュー</x:v>
      </x:c>
      <x:c r="AE501" s="171"/>
      <x:c r="AF501" s="171"/>
      <x:c r="AG501" s="312"/>
    </x:row>
    <x:row r="502" ht="84" customHeight="1">
      <x:c r="A502" s="311" t="str">
        <x:v>LO4-081</x:v>
      </x:c>
      <x:c r="B502" s="171" t="str">
        <x:v>LO4</x:v>
      </x:c>
      <x:c r="C502" s="165" t="str">
        <x:v>世界の主要な酒精強化ワイン</x:v>
      </x:c>
      <x:c r="D502" s="165" t="str">
        <x:v>ソブレタブラス</x:v>
      </x:c>
      <x:c r="E502" s="165" t="str">
        <x:v>シェリー製造で「ソブレタブラス」が指す段階はどれか。</x:v>
      </x:c>
      <x:c r="F502" s="165" t="str">
        <x:v>若いベースワインを酒精強化した後、ソレラへ入れる前に保管・再評価する段階</x:v>
      </x:c>
      <x:c r="G502" s="165" t="str">
        <x:v>ブドウを天日乾燥する段階</x:v>
      </x:c>
      <x:c r="H502" s="165" t="str">
        <x:v>瓶内二次発酵の段階</x:v>
      </x:c>
      <x:c r="I502" s="165" t="str">
        <x:v>デゴルジュマン後の甘味調整</x:v>
      </x:c>
      <x:c r="J502" s="171" t="str">
        <x:v>A</x:v>
      </x:c>
      <x:c r="K502" s="165" t="str">
        <x:v>若いベースワインを酒精強化した後、ソレラへ入れる前に保管・再評価する段階</x:v>
      </x:c>
      <x:c r="L502" s="165" t="str">
        <x:v>酒精強化したワインを数か月静置し、フロールの状態や香味を見て最終的な熟成経路を判断する。</x:v>
      </x:c>
      <x:c r="M502" s="165" t="str">
        <x:v>正しい。 酒精強化したワインを数か月静置し、フロールの状態や香味を見て最終的な熟成経路を判断する。</x:v>
      </x:c>
      <x:c r="N502" s="165" t="str">
        <x:v>誤り。 これは主にPXのアソレオである。</x:v>
      </x:c>
      <x:c r="O502" s="165" t="str">
        <x:v>誤り。 シェリーは発泡性ワインではない。</x:v>
      </x:c>
      <x:c r="P502" s="165" t="str">
        <x:v>誤り。 発泡性ワインの工程である。</x:v>
      </x:c>
      <x:c r="Q502" s="165" t="str">
        <x:v>酒精強化ワイン製法</x:v>
      </x:c>
      <x:c r="R502" s="165" t="str">
        <x:v>シェリー</x:v>
      </x:c>
      <x:c r="S502" s="165" t="str">
        <x:v>酒精強化ワイン</x:v>
      </x:c>
      <x:c r="T502" s="165" t="str">
        <x:v>スペイン</x:v>
      </x:c>
      <x:c r="U502" s="165" t="str">
        <x:v>ヘレス</x:v>
      </x:c>
      <x:c r="V502" s="165"/>
      <x:c r="W502" s="165" t="str">
        <x:v>知識確認</x:v>
      </x:c>
      <x:c r="X502" s="171" t="str">
        <x:v>D2</x:v>
      </x:c>
      <x:c r="Y502" s="165" t="str">
        <x:v>ソブレタブラスは天日乾燥; 二次発酵</x:v>
      </x:c>
      <x:c r="Z502" s="171" t="str">
        <x:v>N</x:v>
      </x:c>
      <x:c r="AA502" s="165"/>
      <x:c r="AB502" s="165" t="str">
        <x:v>オリジナル</x:v>
      </x:c>
      <x:c r="AC502" s="165" t="str">
        <x:v>公式Specificationの範囲＋ユーザー作成コーパスの論点を参考に独自作成</x:v>
      </x:c>
      <x:c r="AD502" s="171" t="str">
        <x:v>未レビュー</x:v>
      </x:c>
      <x:c r="AE502" s="171"/>
      <x:c r="AF502" s="171"/>
      <x:c r="AG502" s="312"/>
    </x:row>
    <x:row r="503" ht="84" customHeight="1">
      <x:c r="A503" s="311" t="str">
        <x:v>LO4-082</x:v>
      </x:c>
      <x:c r="B503" s="171" t="str">
        <x:v>LO4</x:v>
      </x:c>
      <x:c r="C503" s="165" t="str">
        <x:v>世界の主要な酒精強化ワイン</x:v>
      </x:c>
      <x:c r="D503" s="165" t="str">
        <x:v>フロール用の酒精強化</x:v>
      </x:c>
      <x:c r="E503" s="165" t="str">
        <x:v>フィノ用のベースワインを比較的低いアルコール度へ酒精強化する主な理由はどれか。</x:v>
      </x:c>
      <x:c r="F503" s="165" t="str">
        <x:v>酸化を最大限にするため</x:v>
      </x:c>
      <x:c r="G503" s="165" t="str">
        <x:v>フロール酵母が生存し、ワイン表面を覆える条件を保つため</x:v>
      </x:c>
      <x:c r="H503" s="165" t="str">
        <x:v>残糖を増やすため</x:v>
      </x:c>
      <x:c r="I503" s="165" t="str">
        <x:v>瓶内圧力を高めるため</x:v>
      </x:c>
      <x:c r="J503" s="171" t="str">
        <x:v>B</x:v>
      </x:c>
      <x:c r="K503" s="165" t="str">
        <x:v>フロール酵母が生存し、ワイン表面を覆える条件を保つため</x:v>
      </x:c>
      <x:c r="L503" s="165" t="str">
        <x:v>アルコールが高すぎるとフロールが活動できないため、生物学的熟成に適した水準へ調整する。</x:v>
      </x:c>
      <x:c r="M503" s="165" t="str">
        <x:v>誤り。 フロールはワインを酸素から保護する。</x:v>
      </x:c>
      <x:c r="N503" s="165" t="str">
        <x:v>正しい。 アルコールが高すぎるとフロールが活動できないため、生物学的熟成に適した水準へ調整する。</x:v>
      </x:c>
      <x:c r="O503" s="165" t="str">
        <x:v>誤り。 シェリーのベースワインは通常辛口まで発酵済みである。</x:v>
      </x:c>
      <x:c r="P503" s="165" t="str">
        <x:v>誤り。 酒精強化と発泡性は無関係である。</x:v>
      </x:c>
      <x:c r="Q503" s="165" t="str">
        <x:v>酒精強化ワイン製法</x:v>
      </x:c>
      <x:c r="R503" s="165" t="str">
        <x:v>シェリー</x:v>
      </x:c>
      <x:c r="S503" s="165" t="str">
        <x:v>酒精強化ワイン</x:v>
      </x:c>
      <x:c r="T503" s="165" t="str">
        <x:v>スペイン</x:v>
      </x:c>
      <x:c r="U503" s="165" t="str">
        <x:v>ヘレス</x:v>
      </x:c>
      <x:c r="V503" s="165" t="str">
        <x:v>パロミノ</x:v>
      </x:c>
      <x:c r="W503" s="165" t="str">
        <x:v>因果説明</x:v>
      </x:c>
      <x:c r="X503" s="171" t="str">
        <x:v>D2</x:v>
      </x:c>
      <x:c r="Y503" s="165" t="str">
        <x:v>低めの酒精強化は酸化用; 残糖増加</x:v>
      </x:c>
      <x:c r="Z503" s="171" t="str">
        <x:v>Y</x:v>
      </x:c>
      <x:c r="AA503" s="165" t="str">
        <x:v>フィノ用酒精強化度数の具体値を掲載する場合は最新教材と規定を照合推奨</x:v>
      </x:c>
      <x:c r="AB503" s="165" t="str">
        <x:v>オリジナル</x:v>
      </x:c>
      <x:c r="AC503" s="165" t="str">
        <x:v>公式Specificationの範囲＋ユーザー作成コーパスの論点を参考に独自作成</x:v>
      </x:c>
      <x:c r="AD503" s="171" t="str">
        <x:v>未レビュー</x:v>
      </x:c>
      <x:c r="AE503" s="171"/>
      <x:c r="AF503" s="171"/>
      <x:c r="AG503" s="312"/>
    </x:row>
    <x:row r="504" ht="84" customHeight="1">
      <x:c r="A504" s="311" t="str">
        <x:v>LO4-083</x:v>
      </x:c>
      <x:c r="B504" s="171" t="str">
        <x:v>LO4</x:v>
      </x:c>
      <x:c r="C504" s="165" t="str">
        <x:v>世界の主要な酒精強化ワイン</x:v>
      </x:c>
      <x:c r="D504" s="165" t="str">
        <x:v>酸化熟成用の酒精強化</x:v>
      </x:c>
      <x:c r="E504" s="165" t="str">
        <x:v>オロロソ用のベースワインをフィノより高いアルコール度へ酒精強化する主な理由はどれか。</x:v>
      </x:c>
      <x:c r="F504" s="165" t="str">
        <x:v>酵母を活発にして残糖を増やすため</x:v>
      </x:c>
      <x:c r="G504" s="165" t="str">
        <x:v>瓶内二次発酵を開始するため</x:v>
      </x:c>
      <x:c r="H504" s="165" t="str">
        <x:v>フロールの成長を防ぎ、ワインを直接酸化熟成させるため</x:v>
      </x:c>
      <x:c r="I504" s="165" t="str">
        <x:v>色を無色透明にするため</x:v>
      </x:c>
      <x:c r="J504" s="171" t="str">
        <x:v>C</x:v>
      </x:c>
      <x:c r="K504" s="165" t="str">
        <x:v>フロールの成長を防ぎ、ワインを直接酸化熟成させるため</x:v>
      </x:c>
      <x:c r="L504" s="165" t="str">
        <x:v>高いアルコール環境ではフロールが形成されず、樽内の空気との接触でナッツや革の風味が発達する。</x:v>
      </x:c>
      <x:c r="M504" s="165" t="str">
        <x:v>誤り。 高アルコールは酵母活動を抑え、ベースワインは既に辛口である。</x:v>
      </x:c>
      <x:c r="N504" s="165" t="str">
        <x:v>誤り。 オロロソは非発泡性である。</x:v>
      </x:c>
      <x:c r="O504" s="165" t="str">
        <x:v>正しい。 高いアルコール環境ではフロールが形成されず、樽内の空気との接触でナッツや革の風味が発達する。</x:v>
      </x:c>
      <x:c r="P504" s="165" t="str">
        <x:v>誤り。 酸化熟成で色はむしろ濃い琥珀色へ進む。</x:v>
      </x:c>
      <x:c r="Q504" s="165" t="str">
        <x:v>酒精強化ワイン製法</x:v>
      </x:c>
      <x:c r="R504" s="165" t="str">
        <x:v>シェリー</x:v>
      </x:c>
      <x:c r="S504" s="165" t="str">
        <x:v>酒精強化ワイン</x:v>
      </x:c>
      <x:c r="T504" s="165" t="str">
        <x:v>スペイン</x:v>
      </x:c>
      <x:c r="U504" s="165" t="str">
        <x:v>ヘレス</x:v>
      </x:c>
      <x:c r="V504" s="165" t="str">
        <x:v>パロミノ</x:v>
      </x:c>
      <x:c r="W504" s="165" t="str">
        <x:v>因果説明</x:v>
      </x:c>
      <x:c r="X504" s="171" t="str">
        <x:v>D2</x:v>
      </x:c>
      <x:c r="Y504" s="165" t="str">
        <x:v>高酒精強化で酵母活性; 酸化で無色</x:v>
      </x:c>
      <x:c r="Z504" s="171" t="str">
        <x:v>Y</x:v>
      </x:c>
      <x:c r="AA504" s="165" t="str">
        <x:v>オロロソ用酒精強化度数の具体値を掲載する場合は最新教材と規定を照合推奨</x:v>
      </x:c>
      <x:c r="AB504" s="165" t="str">
        <x:v>オリジナル</x:v>
      </x:c>
      <x:c r="AC504" s="165" t="str">
        <x:v>公式Specificationの範囲＋ユーザー作成コーパスの論点を参考に独自作成</x:v>
      </x:c>
      <x:c r="AD504" s="171" t="str">
        <x:v>未レビュー</x:v>
      </x:c>
      <x:c r="AE504" s="171"/>
      <x:c r="AF504" s="171"/>
      <x:c r="AG504" s="312"/>
    </x:row>
    <x:row r="505" ht="84" customHeight="1">
      <x:c r="A505" s="311" t="str">
        <x:v>LO4-084</x:v>
      </x:c>
      <x:c r="B505" s="171" t="str">
        <x:v>LO4</x:v>
      </x:c>
      <x:c r="C505" s="165" t="str">
        <x:v>世界の主要な酒精強化ワイン</x:v>
      </x:c>
      <x:c r="D505" s="165" t="str">
        <x:v>フロールと樽の空隙</x:v>
      </x:c>
      <x:c r="E505" s="165" t="str">
        <x:v>フィノの樽を満量にせず空隙を残す主な理由はどれか。</x:v>
      </x:c>
      <x:c r="F505" s="165" t="str">
        <x:v>蒸発を完全に止めるため</x:v>
      </x:c>
      <x:c r="G505" s="165" t="str">
        <x:v>二酸化炭素を高圧で閉じ込めるため</x:v>
      </x:c>
      <x:c r="H505" s="165" t="str">
        <x:v>ワインを甘口にするため</x:v>
      </x:c>
      <x:c r="I505" s="165" t="str">
        <x:v>フロールがワイン表面で酸素を利用して成長できるようにする</x:v>
      </x:c>
      <x:c r="J505" s="171" t="str">
        <x:v>D</x:v>
      </x:c>
      <x:c r="K505" s="165" t="str">
        <x:v>フロールがワイン表面で酸素を利用して成長できるようにする</x:v>
      </x:c>
      <x:c r="L505" s="165" t="str">
        <x:v>空気とワインの境界に酵母膜が形成され、酸素を消費しながら独特の香りを生み、ワインを酸化から守る。</x:v>
      </x:c>
      <x:c r="M505" s="165" t="str">
        <x:v>誤り。 空隙は蒸発を止めず、フロールの生育に必要である。</x:v>
      </x:c>
      <x:c r="N505" s="165" t="str">
        <x:v>誤り。 樽は発泡性を作る耐圧容器ではない。</x:v>
      </x:c>
      <x:c r="O505" s="165" t="str">
        <x:v>誤り。 空隙の有無が残糖を増やすわけではない。</x:v>
      </x:c>
      <x:c r="P505" s="165" t="str">
        <x:v>正しい。 空気とワインの境界に酵母膜が形成され、酸素を消費しながら独特の香りを生み、ワインを酸化から守る。</x:v>
      </x:c>
      <x:c r="Q505" s="165" t="str">
        <x:v>熟成</x:v>
      </x:c>
      <x:c r="R505" s="165" t="str">
        <x:v>シェリー</x:v>
      </x:c>
      <x:c r="S505" s="165" t="str">
        <x:v>酒精強化ワイン</x:v>
      </x:c>
      <x:c r="T505" s="165" t="str">
        <x:v>スペイン</x:v>
      </x:c>
      <x:c r="U505" s="165" t="str">
        <x:v>ヘレス</x:v>
      </x:c>
      <x:c r="V505" s="165"/>
      <x:c r="W505" s="165" t="str">
        <x:v>因果説明</x:v>
      </x:c>
      <x:c r="X505" s="171" t="str">
        <x:v>D2</x:v>
      </x:c>
      <x:c r="Y505" s="165" t="str">
        <x:v>樽空隙で脱蒸発; 高圧発泡</x:v>
      </x:c>
      <x:c r="Z505" s="171" t="str">
        <x:v>N</x:v>
      </x:c>
      <x:c r="AA505" s="165"/>
      <x:c r="AB505" s="165" t="str">
        <x:v>オリジナル</x:v>
      </x:c>
      <x:c r="AC505" s="165" t="str">
        <x:v>公式Specificationの範囲＋ユーザー作成コーパスの論点を参考に独自作成</x:v>
      </x:c>
      <x:c r="AD505" s="171" t="str">
        <x:v>未レビュー</x:v>
      </x:c>
      <x:c r="AE505" s="171"/>
      <x:c r="AF505" s="171"/>
      <x:c r="AG505" s="312"/>
    </x:row>
    <x:row r="506" ht="84" customHeight="1">
      <x:c r="A506" s="311" t="str">
        <x:v>LO4-085</x:v>
      </x:c>
      <x:c r="B506" s="171" t="str">
        <x:v>LO4</x:v>
      </x:c>
      <x:c r="C506" s="165" t="str">
        <x:v>世界の主要な酒精強化ワイン</x:v>
      </x:c>
      <x:c r="D506" s="165" t="str">
        <x:v>フロールの季節性</x:v>
      </x:c>
      <x:c r="E506" s="165" t="str">
        <x:v>フロールの活動が春と秋に活発になりやすい主な理由はどれか。</x:v>
      </x:c>
      <x:c r="F506" s="165" t="str">
        <x:v>極端な暑さや寒さを避けた温和な気温と湿度が得られるため</x:v>
      </x:c>
      <x:c r="G506" s="165" t="str">
        <x:v>日光が樽の中へ直接入り、光合成するため</x:v>
      </x:c>
      <x:c r="H506" s="165" t="str">
        <x:v>残糖が季節ごとに自然増加するため</x:v>
      </x:c>
      <x:c r="I506" s="165" t="str">
        <x:v>瓶内圧力が上がるため</x:v>
      </x:c>
      <x:c r="J506" s="171" t="str">
        <x:v>A</x:v>
      </x:c>
      <x:c r="K506" s="165" t="str">
        <x:v>極端な暑さや寒さを避けた温和な気温と湿度が得られるため</x:v>
      </x:c>
      <x:c r="L506" s="165" t="str">
        <x:v>フロール酵母は適度な温度と湿度で成長し、真夏の高温や冬の低温では活動が弱くなる。</x:v>
      </x:c>
      <x:c r="M506" s="165" t="str">
        <x:v>正しい。 フロール酵母は適度な温度と湿度で成長し、真夏の高温や冬の低温では活動が弱くなる。</x:v>
      </x:c>
      <x:c r="N506" s="165" t="str">
        <x:v>誤り。 酵母は光合成せず、ボデガ内で熟成する。</x:v>
      </x:c>
      <x:c r="O506" s="165" t="str">
        <x:v>誤り。 ベースワインは辛口で、糖の季節増加はない。</x:v>
      </x:c>
      <x:c r="P506" s="165" t="str">
        <x:v>誤り。 樽熟成で高圧を作る工程ではない。</x:v>
      </x:c>
      <x:c r="Q506" s="165" t="str">
        <x:v>自然要因</x:v>
      </x:c>
      <x:c r="R506" s="165" t="str">
        <x:v>シェリー</x:v>
      </x:c>
      <x:c r="S506" s="165" t="str">
        <x:v>酒精強化ワイン</x:v>
      </x:c>
      <x:c r="T506" s="165" t="str">
        <x:v>スペイン</x:v>
      </x:c>
      <x:c r="U506" s="165" t="str">
        <x:v>ヘレス</x:v>
      </x:c>
      <x:c r="V506" s="165"/>
      <x:c r="W506" s="165" t="str">
        <x:v>因果説明</x:v>
      </x:c>
      <x:c r="X506" s="171" t="str">
        <x:v>D3</x:v>
      </x:c>
      <x:c r="Y506" s="165" t="str">
        <x:v>フロールは光合成; 季節で残糖増加</x:v>
      </x:c>
      <x:c r="Z506" s="171" t="str">
        <x:v>N</x:v>
      </x:c>
      <x:c r="AA506" s="165"/>
      <x:c r="AB506" s="165" t="str">
        <x:v>オリジナル</x:v>
      </x:c>
      <x:c r="AC506" s="165" t="str">
        <x:v>公式Specificationの範囲＋ユーザー作成コーパスの論点を参考に独自作成</x:v>
      </x:c>
      <x:c r="AD506" s="171" t="str">
        <x:v>未レビュー</x:v>
      </x:c>
      <x:c r="AE506" s="171"/>
      <x:c r="AF506" s="171"/>
      <x:c r="AG506" s="312"/>
    </x:row>
    <x:row r="507" ht="84" customHeight="1">
      <x:c r="A507" s="311" t="str">
        <x:v>LO4-086</x:v>
      </x:c>
      <x:c r="B507" s="171" t="str">
        <x:v>LO4</x:v>
      </x:c>
      <x:c r="C507" s="165" t="str">
        <x:v>世界の主要な酒精強化ワイン</x:v>
      </x:c>
      <x:c r="D507" s="165" t="str">
        <x:v>ソレラのリフレッシュ</x:v>
      </x:c>
      <x:c r="E507" s="165" t="str">
        <x:v>ソレラからワインを取り出した後、上段の若いワインを補充する主な効果はどれか。</x:v>
      </x:c>
      <x:c r="F507" s="165" t="str">
        <x:v>最古のワインを毎回すべて取り出す</x:v>
      </x:c>
      <x:c r="G507" s="165" t="str">
        <x:v>各段階の平均年齢を保ちながら、栄養を供給し、スタイルを継続させる</x:v>
      </x:c>
      <x:c r="H507" s="165" t="str">
        <x:v>ワインを発泡性へ変える</x:v>
      </x:c>
      <x:c r="I507" s="165" t="str">
        <x:v>残糖を大幅に加える</x:v>
      </x:c>
      <x:c r="J507" s="171" t="str">
        <x:v>B</x:v>
      </x:c>
      <x:c r="K507" s="165" t="str">
        <x:v>各段階の平均年齢を保ちながら、栄養を供給し、スタイルを継続させる</x:v>
      </x:c>
      <x:c r="L507" s="165" t="str">
        <x:v>若いワインが古いワインと混ざり、フロールの活性や酸化熟成を維持しつつ、年ごとの差を平準化する。</x:v>
      </x:c>
      <x:c r="M507" s="165" t="str">
        <x:v>誤り。 通常は一部だけを抜き、システムを維持する。</x:v>
      </x:c>
      <x:c r="N507" s="165" t="str">
        <x:v>正しい。 若いワインが古いワインと混ざり、フロールの活性や酸化熟成を維持しつつ、年ごとの差を平準化する。</x:v>
      </x:c>
      <x:c r="O507" s="165" t="str">
        <x:v>誤り。 補充で瓶内圧力は生じない。</x:v>
      </x:c>
      <x:c r="P507" s="165" t="str">
        <x:v>誤り。 辛口シェリーの補充は甘味調整が主目的ではない。</x:v>
      </x:c>
      <x:c r="Q507" s="165" t="str">
        <x:v>熟成</x:v>
      </x:c>
      <x:c r="R507" s="165" t="str">
        <x:v>ソレラ</x:v>
      </x:c>
      <x:c r="S507" s="165" t="str">
        <x:v>酒精強化ワイン</x:v>
      </x:c>
      <x:c r="T507" s="165" t="str">
        <x:v>スペイン</x:v>
      </x:c>
      <x:c r="U507" s="165" t="str">
        <x:v>ヘレス</x:v>
      </x:c>
      <x:c r="V507" s="165"/>
      <x:c r="W507" s="165" t="str">
        <x:v>統合判断</x:v>
      </x:c>
      <x:c r="X507" s="171" t="str">
        <x:v>D3</x:v>
      </x:c>
      <x:c r="Y507" s="165" t="str">
        <x:v>ソレラ全量抜き; 補充で発泡</x:v>
      </x:c>
      <x:c r="Z507" s="171" t="str">
        <x:v>N</x:v>
      </x:c>
      <x:c r="AA507" s="165"/>
      <x:c r="AB507" s="165" t="str">
        <x:v>オリジナル</x:v>
      </x:c>
      <x:c r="AC507" s="165" t="str">
        <x:v>公式Specificationの範囲＋ユーザー作成コーパスの論点を参考に独自作成</x:v>
      </x:c>
      <x:c r="AD507" s="171" t="str">
        <x:v>未レビュー</x:v>
      </x:c>
      <x:c r="AE507" s="171"/>
      <x:c r="AF507" s="171"/>
      <x:c r="AG507" s="312"/>
    </x:row>
    <x:row r="508" ht="84" customHeight="1">
      <x:c r="A508" s="311" t="str">
        <x:v>LO4-087</x:v>
      </x:c>
      <x:c r="B508" s="171" t="str">
        <x:v>LO4</x:v>
      </x:c>
      <x:c r="C508" s="165" t="str">
        <x:v>世界の主要な酒精強化ワイン</x:v>
      </x:c>
      <x:c r="D508" s="165" t="str">
        <x:v>エン・ラマ</x:v>
      </x:c>
      <x:c r="E508" s="165" t="str">
        <x:v>「エン・ラマ」と表示されるフィノやマンサニーリャに一般的に期待される特徴はどれか。</x:v>
      </x:c>
      <x:c r="F508" s="165" t="str">
        <x:v>大量の糖を加えた甘口スタイル</x:v>
      </x:c>
      <x:c r="G508" s="165" t="str">
        <x:v>長期の完全酸化熟成</x:v>
      </x:c>
      <x:c r="H508" s="165" t="str">
        <x:v>清澄・濾過を最小限にし、フロール由来の強い香りと質感を保つ</x:v>
      </x:c>
      <x:c r="I508" s="165" t="str">
        <x:v>炭酸ガス注入による発泡性</x:v>
      </x:c>
      <x:c r="J508" s="171" t="str">
        <x:v>C</x:v>
      </x:c>
      <x:c r="K508" s="165" t="str">
        <x:v>清澄・濾過を最小限にし、フロール由来の強い香りと質感を保つ</x:v>
      </x:c>
      <x:c r="L508" s="165" t="str">
        <x:v>樽から取り出した状態に近く、酵母、パン生地、アーモンド、海風を思わせる風味が鮮明になりやすい。</x:v>
      </x:c>
      <x:c r="M508" s="165" t="str">
        <x:v>誤り。 通常は辛口である。</x:v>
      </x:c>
      <x:c r="N508" s="165" t="str">
        <x:v>誤り。 フィノやマンサニーリャの生物学的熟成を表す。</x:v>
      </x:c>
      <x:c r="O508" s="165" t="str">
        <x:v>正しい。 樽から取り出した状態に近く、酵母、パン生地、アーモンド、海風を思わせる風味が鮮明になりやすい。</x:v>
      </x:c>
      <x:c r="P508" s="165" t="str">
        <x:v>誤り。 非発泡性の酒精強化ワインである。</x:v>
      </x:c>
      <x:c r="Q508" s="165" t="str">
        <x:v>法律・表示</x:v>
      </x:c>
      <x:c r="R508" s="165" t="str">
        <x:v>シェリー</x:v>
      </x:c>
      <x:c r="S508" s="165" t="str">
        <x:v>酒精強化ワイン</x:v>
      </x:c>
      <x:c r="T508" s="165" t="str">
        <x:v>スペイン</x:v>
      </x:c>
      <x:c r="U508" s="165" t="str">
        <x:v>ヘレス／サンルーカル</x:v>
      </x:c>
      <x:c r="V508" s="165"/>
      <x:c r="W508" s="165" t="str">
        <x:v>知識確認</x:v>
      </x:c>
      <x:c r="X508" s="171" t="str">
        <x:v>D2</x:v>
      </x:c>
      <x:c r="Y508" s="165" t="str">
        <x:v>エンラマは甘口; 炭酸注入</x:v>
      </x:c>
      <x:c r="Z508" s="171" t="str">
        <x:v>Y</x:v>
      </x:c>
      <x:c r="AA508" s="165" t="str">
        <x:v>En Ramaの表示慣行と日本語表記を最新教材で最終照合推奨</x:v>
      </x:c>
      <x:c r="AB508" s="165" t="str">
        <x:v>オリジナル</x:v>
      </x:c>
      <x:c r="AC508" s="165" t="str">
        <x:v>公式Specificationの範囲＋ユーザー作成コーパスの論点を参考に独自作成</x:v>
      </x:c>
      <x:c r="AD508" s="171" t="str">
        <x:v>未レビュー</x:v>
      </x:c>
      <x:c r="AE508" s="171"/>
      <x:c r="AF508" s="171"/>
      <x:c r="AG508" s="312"/>
    </x:row>
    <x:row r="509" ht="84" customHeight="1">
      <x:c r="A509" s="311" t="str">
        <x:v>LO4-088</x:v>
      </x:c>
      <x:c r="B509" s="171" t="str">
        <x:v>LO4</x:v>
      </x:c>
      <x:c r="C509" s="165" t="str">
        <x:v>世界の主要な酒精強化ワイン</x:v>
      </x:c>
      <x:c r="D509" s="165" t="str">
        <x:v>フィノとマンサニーリャ</x:v>
      </x:c>
      <x:c r="E509" s="165" t="str">
        <x:v>マンサニーリャがフィノより特に繊細で塩味を思わせると表現されやすい主な理由はどれか。</x:v>
      </x:c>
      <x:c r="F509" s="165" t="str">
        <x:v>黒ブドウの長期マセレーションを行うため</x:v>
      </x:c>
      <x:c r="G509" s="165" t="str">
        <x:v>ペドロ・ヒメネスを大量に加えるため</x:v>
      </x:c>
      <x:c r="H509" s="165" t="str">
        <x:v>瓶内二次発酵を行うため</x:v>
      </x:c>
      <x:c r="I509" s="165" t="str">
        <x:v>サンルーカルの湿潤で温和な海洋性環境が、年間を通じて厚いフロールを維持しやすい</x:v>
      </x:c>
      <x:c r="J509" s="171" t="str">
        <x:v>D</x:v>
      </x:c>
      <x:c r="K509" s="165" t="str">
        <x:v>サンルーカルの湿潤で温和な海洋性環境が、年間を通じて厚いフロールを維持しやすい</x:v>
      </x:c>
      <x:c r="L509" s="165" t="str">
        <x:v>活発なフロールが酸化を強く防ぎ、軽やかで酵母、カモミール、塩味を思わせる風味を生む。</x:v>
      </x:c>
      <x:c r="M509" s="165" t="str">
        <x:v>誤り。 パロミノの白ワインを生物学的熟成する。</x:v>
      </x:c>
      <x:c r="N509" s="165" t="str">
        <x:v>誤り。 マンサニーリャは辛口である。</x:v>
      </x:c>
      <x:c r="O509" s="165" t="str">
        <x:v>誤り。 非発泡性の酒精強化ワインである。</x:v>
      </x:c>
      <x:c r="P509" s="165" t="str">
        <x:v>正しい。 活発なフロールが酸化を強く防ぎ、軽やかで酵母、カモミール、塩味を思わせる風味を生む。</x:v>
      </x:c>
      <x:c r="Q509" s="165" t="str">
        <x:v>自然要因</x:v>
      </x:c>
      <x:c r="R509" s="165" t="str">
        <x:v>シェリー</x:v>
      </x:c>
      <x:c r="S509" s="165" t="str">
        <x:v>酒精強化ワイン</x:v>
      </x:c>
      <x:c r="T509" s="165" t="str">
        <x:v>スペイン</x:v>
      </x:c>
      <x:c r="U509" s="165" t="str">
        <x:v>サンルーカル・デ・バラメダ</x:v>
      </x:c>
      <x:c r="V509" s="165" t="str">
        <x:v>パロミノ</x:v>
      </x:c>
      <x:c r="W509" s="165" t="str">
        <x:v>因果説明</x:v>
      </x:c>
      <x:c r="X509" s="171" t="str">
        <x:v>D3</x:v>
      </x:c>
      <x:c r="Y509" s="165" t="str">
        <x:v>マンサニーリャは黒ブドウ; PXで甘口</x:v>
      </x:c>
      <x:c r="Z509" s="171" t="str">
        <x:v>Y</x:v>
      </x:c>
      <x:c r="AA509" s="165" t="str">
        <x:v>塩味表現とフロール厚の説明を教材表現と最終照合推奨</x:v>
      </x:c>
      <x:c r="AB509" s="165" t="str">
        <x:v>オリジナル</x:v>
      </x:c>
      <x:c r="AC509" s="165" t="str">
        <x:v>公式Specificationの範囲＋ユーザー作成コーパスの論点を参考に独自作成</x:v>
      </x:c>
      <x:c r="AD509" s="171" t="str">
        <x:v>未レビュー</x:v>
      </x:c>
      <x:c r="AE509" s="171"/>
      <x:c r="AF509" s="171"/>
      <x:c r="AG509" s="312"/>
    </x:row>
    <x:row r="510" ht="84" customHeight="1">
      <x:c r="A510" s="311" t="str">
        <x:v>LO4-089</x:v>
      </x:c>
      <x:c r="B510" s="171" t="str">
        <x:v>LO4</x:v>
      </x:c>
      <x:c r="C510" s="165" t="str">
        <x:v>世界の主要な酒精強化ワイン</x:v>
      </x:c>
      <x:c r="D510" s="165" t="str">
        <x:v>アモンティリャードへの移行</x:v>
      </x:c>
      <x:c r="E510" s="165" t="str">
        <x:v>フィノがアモンティリャードへ移行する契機として最も適切なものはどれか。</x:v>
      </x:c>
      <x:c r="F510" s="165" t="str">
        <x:v>フロールが弱まるか除かれ、その後ワインが酸化熟成へ移る</x:v>
      </x:c>
      <x:c r="G510" s="165" t="str">
        <x:v>二次発酵で瓶内圧力を上げる</x:v>
      </x:c>
      <x:c r="H510" s="165" t="str">
        <x:v>残糖を大量に加える</x:v>
      </x:c>
      <x:c r="I510" s="165" t="str">
        <x:v>黒ブドウの果皮と長期浸漬する</x:v>
      </x:c>
      <x:c r="J510" s="171" t="str">
        <x:v>A</x:v>
      </x:c>
      <x:c r="K510" s="165" t="str">
        <x:v>フロールが弱まるか除かれ、その後ワインが酸化熟成へ移る</x:v>
      </x:c>
      <x:c r="L510" s="165" t="str">
        <x:v>初期の生物学的熟成によるアセトアルデヒド香に、後半の酸化熟成によるナッツと濃い色が加わる。</x:v>
      </x:c>
      <x:c r="M510" s="165" t="str">
        <x:v>正しい。 初期の生物学的熟成によるアセトアルデヒド香に、後半の酸化熟成によるナッツと濃い色が加わる。</x:v>
      </x:c>
      <x:c r="N510" s="165" t="str">
        <x:v>誤り。 アモンティリャードは非発泡性である。</x:v>
      </x:c>
      <x:c r="O510" s="165" t="str">
        <x:v>誤り。 アモンティリャードは通常辛口である。</x:v>
      </x:c>
      <x:c r="P510" s="165" t="str">
        <x:v>誤り。 パロミノ白ワインを熟成する。</x:v>
      </x:c>
      <x:c r="Q510" s="165" t="str">
        <x:v>熟成</x:v>
      </x:c>
      <x:c r="R510" s="165" t="str">
        <x:v>シェリー</x:v>
      </x:c>
      <x:c r="S510" s="165" t="str">
        <x:v>酒精強化ワイン</x:v>
      </x:c>
      <x:c r="T510" s="165" t="str">
        <x:v>スペイン</x:v>
      </x:c>
      <x:c r="U510" s="165" t="str">
        <x:v>ヘレス</x:v>
      </x:c>
      <x:c r="V510" s="165" t="str">
        <x:v>パロミノ</x:v>
      </x:c>
      <x:c r="W510" s="165" t="str">
        <x:v>因果説明</x:v>
      </x:c>
      <x:c r="X510" s="171" t="str">
        <x:v>D2</x:v>
      </x:c>
      <x:c r="Y510" s="165" t="str">
        <x:v>アモンティリャードは二次発酵; 甘口化</x:v>
      </x:c>
      <x:c r="Z510" s="171" t="str">
        <x:v>N</x:v>
      </x:c>
      <x:c r="AA510" s="165"/>
      <x:c r="AB510" s="165" t="str">
        <x:v>オリジナル</x:v>
      </x:c>
      <x:c r="AC510" s="165" t="str">
        <x:v>公式Specificationの範囲＋ユーザー作成コーパスの論点を参考に独自作成</x:v>
      </x:c>
      <x:c r="AD510" s="171" t="str">
        <x:v>未レビュー</x:v>
      </x:c>
      <x:c r="AE510" s="171"/>
      <x:c r="AF510" s="171"/>
      <x:c r="AG510" s="312"/>
    </x:row>
    <x:row r="511" ht="84" customHeight="1">
      <x:c r="A511" s="311" t="str">
        <x:v>LO4-090</x:v>
      </x:c>
      <x:c r="B511" s="171" t="str">
        <x:v>LO4</x:v>
      </x:c>
      <x:c r="C511" s="165" t="str">
        <x:v>世界の主要な酒精強化ワイン</x:v>
      </x:c>
      <x:c r="D511" s="165" t="str">
        <x:v>オロロソの濃縮</x:v>
      </x:c>
      <x:c r="E511" s="165" t="str">
        <x:v>オロロソが熟成とともに豊かなボディと濃い風味を持つ主な理由はどれか。</x:v>
      </x:c>
      <x:c r="F511" s="165" t="str">
        <x:v>酵母が残糖を大量に生成するため</x:v>
      </x:c>
      <x:c r="G511" s="165" t="str">
        <x:v>フロールなしで酸化し、樽からの水分蒸発によってワインが濃縮するため</x:v>
      </x:c>
      <x:c r="H511" s="165" t="str">
        <x:v>二酸化炭素を高圧で保持するため</x:v>
      </x:c>
      <x:c r="I511" s="165" t="str">
        <x:v>フロールが酸化を完全に防ぐため</x:v>
      </x:c>
      <x:c r="J511" s="171" t="str">
        <x:v>B</x:v>
      </x:c>
      <x:c r="K511" s="165" t="str">
        <x:v>フロールなしで酸化し、樽からの水分蒸発によってワインが濃縮するため</x:v>
      </x:c>
      <x:c r="L511" s="165" t="str">
        <x:v>長期の酸化熟成でクルミ、革、香辛料の風味が発達し、アルコールとグリセロールの感触が豊かになる。</x:v>
      </x:c>
      <x:c r="M511" s="165" t="str">
        <x:v>誤り。 ベースワインは辛口で、酵母が糖を生成するわけではない。</x:v>
      </x:c>
      <x:c r="N511" s="165" t="str">
        <x:v>正しい。 長期の酸化熟成でクルミ、革、香辛料の風味が発達し、アルコールとグリセロールの感触が豊かになる。</x:v>
      </x:c>
      <x:c r="O511" s="165" t="str">
        <x:v>誤り。 非発泡性である。</x:v>
      </x:c>
      <x:c r="P511" s="165" t="str">
        <x:v>誤り。 オロロソはフロールなしで酸化熟成する。</x:v>
      </x:c>
      <x:c r="Q511" s="165" t="str">
        <x:v>熟成</x:v>
      </x:c>
      <x:c r="R511" s="165" t="str">
        <x:v>シェリー</x:v>
      </x:c>
      <x:c r="S511" s="165" t="str">
        <x:v>酒精強化ワイン</x:v>
      </x:c>
      <x:c r="T511" s="165" t="str">
        <x:v>スペイン</x:v>
      </x:c>
      <x:c r="U511" s="165" t="str">
        <x:v>ヘレス</x:v>
      </x:c>
      <x:c r="V511" s="165"/>
      <x:c r="W511" s="165" t="str">
        <x:v>因果説明</x:v>
      </x:c>
      <x:c r="X511" s="171" t="str">
        <x:v>D2</x:v>
      </x:c>
      <x:c r="Y511" s="165" t="str">
        <x:v>オロロソは糖生成; フロール熟成</x:v>
      </x:c>
      <x:c r="Z511" s="171" t="str">
        <x:v>N</x:v>
      </x:c>
      <x:c r="AA511" s="165"/>
      <x:c r="AB511" s="165" t="str">
        <x:v>オリジナル</x:v>
      </x:c>
      <x:c r="AC511" s="165" t="str">
        <x:v>公式Specificationの範囲＋ユーザー作成コーパスの論点を参考に独自作成</x:v>
      </x:c>
      <x:c r="AD511" s="171" t="str">
        <x:v>未レビュー</x:v>
      </x:c>
      <x:c r="AE511" s="171"/>
      <x:c r="AF511" s="171"/>
      <x:c r="AG511" s="312"/>
    </x:row>
    <x:row r="512" ht="84" customHeight="1">
      <x:c r="A512" s="311" t="str">
        <x:v>LO4-091</x:v>
      </x:c>
      <x:c r="B512" s="171" t="str">
        <x:v>LO4</x:v>
      </x:c>
      <x:c r="C512" s="165" t="str">
        <x:v>世界の主要な酒精強化ワイン</x:v>
      </x:c>
      <x:c r="D512" s="165" t="str">
        <x:v>パロ・コルタドのスタイル</x:v>
      </x:c>
      <x:c r="E512" s="165" t="str">
        <x:v>パロ・コルタドの特徴として最も適切なものはどれか。</x:v>
      </x:c>
      <x:c r="F512" s="165" t="str">
        <x:v>極甘口のPXだけを指す</x:v>
      </x:c>
      <x:c r="G512" s="165" t="str">
        <x:v>低アルコールの発泡性白</x:v>
      </x:c>
      <x:c r="H512" s="165" t="str">
        <x:v>アモンティリャードのような香りの繊細さと、オロロソのような豊かなボディを併せ持つ辛口</x:v>
      </x:c>
      <x:c r="I512" s="165" t="str">
        <x:v>若い高タンニン赤</x:v>
      </x:c>
      <x:c r="J512" s="171" t="str">
        <x:v>C</x:v>
      </x:c>
      <x:c r="K512" s="165" t="str">
        <x:v>アモンティリャードのような香りの繊細さと、オロロソのような豊かなボディを併せ持つ辛口</x:v>
      </x:c>
      <x:c r="L512" s="165" t="str">
        <x:v>生産経路は生産者によって異なるが、酸化熟成による複雑性と洗練した香りで分類される。</x:v>
      </x:c>
      <x:c r="M512" s="165" t="str">
        <x:v>誤り。 パロ・コルタドは通常辛口である。</x:v>
      </x:c>
      <x:c r="N512" s="165" t="str">
        <x:v>誤り。 酒精強化された非発泡性ワインである。</x:v>
      </x:c>
      <x:c r="O512" s="165" t="str">
        <x:v>正しい。 生産経路は生産者によって異なるが、酸化熟成による複雑性と洗練した香りで分類される。</x:v>
      </x:c>
      <x:c r="P512" s="165" t="str">
        <x:v>誤り。 パロミノ白ワイン由来である。</x:v>
      </x:c>
      <x:c r="Q512" s="165" t="str">
        <x:v>スタイル</x:v>
      </x:c>
      <x:c r="R512" s="165" t="str">
        <x:v>シェリー</x:v>
      </x:c>
      <x:c r="S512" s="165" t="str">
        <x:v>酒精強化ワイン</x:v>
      </x:c>
      <x:c r="T512" s="165" t="str">
        <x:v>スペイン</x:v>
      </x:c>
      <x:c r="U512" s="165" t="str">
        <x:v>ヘレス</x:v>
      </x:c>
      <x:c r="V512" s="165" t="str">
        <x:v>パロミノ</x:v>
      </x:c>
      <x:c r="W512" s="165" t="str">
        <x:v>知識確認</x:v>
      </x:c>
      <x:c r="X512" s="171" t="str">
        <x:v>D2</x:v>
      </x:c>
      <x:c r="Y512" s="165" t="str">
        <x:v>パロコルタドはPX; 発泡性</x:v>
      </x:c>
      <x:c r="Z512" s="171" t="str">
        <x:v>Y</x:v>
      </x:c>
      <x:c r="AA512" s="165" t="str">
        <x:v>パロ・コルタドの生産経路は多様なため、スタイル中心の表現を最終確認推奨</x:v>
      </x:c>
      <x:c r="AB512" s="165" t="str">
        <x:v>オリジナル</x:v>
      </x:c>
      <x:c r="AC512" s="165" t="str">
        <x:v>公式Specificationの範囲＋ユーザー作成コーパスの論点を参考に独自作成</x:v>
      </x:c>
      <x:c r="AD512" s="171" t="str">
        <x:v>未レビュー</x:v>
      </x:c>
      <x:c r="AE512" s="171"/>
      <x:c r="AF512" s="171"/>
      <x:c r="AG512" s="312"/>
    </x:row>
    <x:row r="513" ht="84" customHeight="1">
      <x:c r="A513" s="311" t="str">
        <x:v>LO4-092</x:v>
      </x:c>
      <x:c r="B513" s="171" t="str">
        <x:v>LO4</x:v>
      </x:c>
      <x:c r="C513" s="165" t="str">
        <x:v>世界の主要な酒精強化ワイン</x:v>
      </x:c>
      <x:c r="D513" s="165" t="str">
        <x:v>ペール・クリーム</x:v>
      </x:c>
      <x:c r="E513" s="165" t="str">
        <x:v>ペール・クリーム・シェリーの一般的なスタイルはどれか。</x:v>
      </x:c>
      <x:c r="F513" s="165" t="str">
        <x:v>オロロソを長期酸化熟成した完全辛口</x:v>
      </x:c>
      <x:c r="G513" s="165" t="str">
        <x:v>黒ブドウの高タンニン赤</x:v>
      </x:c>
      <x:c r="H513" s="165" t="str">
        <x:v>タンク方式の発泡性ワイン</x:v>
      </x:c>
      <x:c r="I513" s="165" t="str">
        <x:v>淡い色で、フィノ系の軽い香りを保ちながら甘味を付けたシェリー</x:v>
      </x:c>
      <x:c r="J513" s="171" t="str">
        <x:v>D</x:v>
      </x:c>
      <x:c r="K513" s="165" t="str">
        <x:v>淡い色で、フィノ系の軽い香りを保ちながら甘味を付けたシェリー</x:v>
      </x:c>
      <x:c r="L513" s="165" t="str">
        <x:v>生物学的熟成した淡色ワインへ精製濃縮果汁などで甘味を加え、色を濃くしすぎずに仕上げる。</x:v>
      </x:c>
      <x:c r="M513" s="165" t="str">
        <x:v>誤り。 ペール・クリームは甘味のある淡色スタイルである。</x:v>
      </x:c>
      <x:c r="N513" s="165" t="str">
        <x:v>誤り。 パロミノの白ワインが基礎である。</x:v>
      </x:c>
      <x:c r="O513" s="165" t="str">
        <x:v>誤り。 非発泡性の酒精強化ワインである。</x:v>
      </x:c>
      <x:c r="P513" s="165" t="str">
        <x:v>正しい。 生物学的熟成した淡色ワインへ精製濃縮果汁などで甘味を加え、色を濃くしすぎずに仕上げる。</x:v>
      </x:c>
      <x:c r="Q513" s="165" t="str">
        <x:v>スタイル</x:v>
      </x:c>
      <x:c r="R513" s="165" t="str">
        <x:v>シェリー</x:v>
      </x:c>
      <x:c r="S513" s="165" t="str">
        <x:v>甘口酒精強化ワイン</x:v>
      </x:c>
      <x:c r="T513" s="165" t="str">
        <x:v>スペイン</x:v>
      </x:c>
      <x:c r="U513" s="165" t="str">
        <x:v>ヘレス</x:v>
      </x:c>
      <x:c r="V513" s="165"/>
      <x:c r="W513" s="165" t="str">
        <x:v>比較</x:v>
      </x:c>
      <x:c r="X513" s="171" t="str">
        <x:v>D2</x:v>
      </x:c>
      <x:c r="Y513" s="165" t="str">
        <x:v>ペールクリームは辛口オロロソ; 赤ワイン</x:v>
      </x:c>
      <x:c r="Z513" s="171" t="str">
        <x:v>Y</x:v>
      </x:c>
      <x:c r="AA513" s="165" t="str">
        <x:v>Pale Creamの甘味調整方法と表示区分を最新教材で最終照合推奨</x:v>
      </x:c>
      <x:c r="AB513" s="165" t="str">
        <x:v>オリジナル</x:v>
      </x:c>
      <x:c r="AC513" s="165" t="str">
        <x:v>公式Specificationの範囲＋ユーザー作成コーパスの論点を参考に独自作成</x:v>
      </x:c>
      <x:c r="AD513" s="171" t="str">
        <x:v>未レビュー</x:v>
      </x:c>
      <x:c r="AE513" s="171"/>
      <x:c r="AF513" s="171"/>
      <x:c r="AG513" s="312"/>
    </x:row>
    <x:row r="514" ht="84" customHeight="1">
      <x:c r="A514" s="311" t="str">
        <x:v>LO4-093</x:v>
      </x:c>
      <x:c r="B514" s="171" t="str">
        <x:v>LO4</x:v>
      </x:c>
      <x:c r="C514" s="165" t="str">
        <x:v>世界の主要な酒精強化ワイン</x:v>
      </x:c>
      <x:c r="D514" s="165" t="str">
        <x:v>モスカテル・シェリー</x:v>
      </x:c>
      <x:c r="E514" s="165" t="str">
        <x:v>モスカテルから造る甘口シェリーに典型的な香りはどれか。</x:v>
      </x:c>
      <x:c r="F514" s="165" t="str">
        <x:v>オレンジの花、ブドウ、乾燥した柑橘、レーズン</x:v>
      </x:c>
      <x:c r="G514" s="165" t="str">
        <x:v>黒胡椒と燻製肉だけ</x:v>
      </x:c>
      <x:c r="H514" s="165" t="str">
        <x:v>無香で塩味だけ</x:v>
      </x:c>
      <x:c r="I514" s="165" t="str">
        <x:v>青ピーマンと高タンニン</x:v>
      </x:c>
      <x:c r="J514" s="171" t="str">
        <x:v>A</x:v>
      </x:c>
      <x:c r="K514" s="165" t="str">
        <x:v>オレンジの花、ブドウ、乾燥した柑橘、レーズン</x:v>
      </x:c>
      <x:c r="L514" s="165" t="str">
        <x:v>芳香性のモスカテルを天日乾燥または濃縮して造るため、強い品種香と甘味を持つ。</x:v>
      </x:c>
      <x:c r="M514" s="165" t="str">
        <x:v>正しい。 芳香性のモスカテルを天日乾燥または濃縮して造るため、強い品種香と甘味を持つ。</x:v>
      </x:c>
      <x:c r="N514" s="165" t="str">
        <x:v>誤り。 これはシラーの典型香に近い。</x:v>
      </x:c>
      <x:c r="O514" s="165" t="str">
        <x:v>誤り。 モスカテルは強い芳香を持つ品種である。</x:v>
      </x:c>
      <x:c r="P514" s="165" t="str">
        <x:v>誤り。 カベルネ系赤の特徴に近い。</x:v>
      </x:c>
      <x:c r="Q514" s="165" t="str">
        <x:v>品種</x:v>
      </x:c>
      <x:c r="R514" s="165" t="str">
        <x:v>シェリー</x:v>
      </x:c>
      <x:c r="S514" s="165" t="str">
        <x:v>甘口酒精強化ワイン</x:v>
      </x:c>
      <x:c r="T514" s="165" t="str">
        <x:v>スペイン</x:v>
      </x:c>
      <x:c r="U514" s="165" t="str">
        <x:v>ヘレス／チピオナ</x:v>
      </x:c>
      <x:c r="V514" s="165" t="str">
        <x:v>モスカテル</x:v>
      </x:c>
      <x:c r="W514" s="165" t="str">
        <x:v>知識確認</x:v>
      </x:c>
      <x:c r="X514" s="171" t="str">
        <x:v>D1</x:v>
      </x:c>
      <x:c r="Y514" s="165" t="str">
        <x:v>モスカテルは無香; 黒品種高タンニン</x:v>
      </x:c>
      <x:c r="Z514" s="171" t="str">
        <x:v>N</x:v>
      </x:c>
      <x:c r="AA514" s="165"/>
      <x:c r="AB514" s="165" t="str">
        <x:v>オリジナル</x:v>
      </x:c>
      <x:c r="AC514" s="165" t="str">
        <x:v>公式Specificationの範囲＋ユーザー作成コーパスの論点を参考に独自作成</x:v>
      </x:c>
      <x:c r="AD514" s="171" t="str">
        <x:v>未レビュー</x:v>
      </x:c>
      <x:c r="AE514" s="171"/>
      <x:c r="AF514" s="171"/>
      <x:c r="AG514" s="312"/>
    </x:row>
    <x:row r="515" ht="84" customHeight="1">
      <x:c r="A515" s="311" t="str">
        <x:v>LO4-094</x:v>
      </x:c>
      <x:c r="B515" s="171" t="str">
        <x:v>LO4</x:v>
      </x:c>
      <x:c r="C515" s="165" t="str">
        <x:v>世界の主要な酒精強化ワイン</x:v>
      </x:c>
      <x:c r="D515" s="165" t="str">
        <x:v>PXの天日乾燥</x:v>
      </x:c>
      <x:c r="E515" s="165" t="str">
        <x:v>ペドロ・ヒメネスのブドウを天日乾燥する主な目的はどれか。</x:v>
      </x:c>
      <x:c r="F515" s="165" t="str">
        <x:v>酸を増やして辛口にする</x:v>
      </x:c>
      <x:c r="G515" s="165" t="str">
        <x:v>水分を蒸発させ、糖と風味を極度に濃縮する</x:v>
      </x:c>
      <x:c r="H515" s="165" t="str">
        <x:v>フロールを果皮上に形成する</x:v>
      </x:c>
      <x:c r="I515" s="165" t="str">
        <x:v>二酸化炭素を果粒へ注入する</x:v>
      </x:c>
      <x:c r="J515" s="171" t="str">
        <x:v>B</x:v>
      </x:c>
      <x:c r="K515" s="165" t="str">
        <x:v>水分を蒸発させ、糖と風味を極度に濃縮する</x:v>
      </x:c>
      <x:c r="L515" s="165" t="str">
        <x:v>レーズン状の果実を圧搾して非常に糖度の高い果汁を得るため、発酵は限定的で、濃厚な甘口になる。</x:v>
      </x:c>
      <x:c r="M515" s="165" t="str">
        <x:v>誤り。 天日乾燥は糖を濃縮し、酸は相対的に低く感じやすい。</x:v>
      </x:c>
      <x:c r="N515" s="165" t="str">
        <x:v>正しい。 レーズン状の果実を圧搾して非常に糖度の高い果汁を得るため、発酵は限定的で、濃厚な甘口になる。</x:v>
      </x:c>
      <x:c r="O515" s="165" t="str">
        <x:v>誤り。 フロールは酒精強化後のワイン表面に形成される。</x:v>
      </x:c>
      <x:c r="P515" s="165" t="str">
        <x:v>誤り。 炭酸ガス注入ではない。</x:v>
      </x:c>
      <x:c r="Q515" s="165" t="str">
        <x:v>酒精強化ワイン製法</x:v>
      </x:c>
      <x:c r="R515" s="165" t="str">
        <x:v>シェリー</x:v>
      </x:c>
      <x:c r="S515" s="165" t="str">
        <x:v>甘口酒精強化ワイン</x:v>
      </x:c>
      <x:c r="T515" s="165" t="str">
        <x:v>スペイン</x:v>
      </x:c>
      <x:c r="U515" s="165" t="str">
        <x:v>ヘレス／モンティーリャ・モリレス</x:v>
      </x:c>
      <x:c r="V515" s="165" t="str">
        <x:v>ペドロ・ヒメネス</x:v>
      </x:c>
      <x:c r="W515" s="165" t="str">
        <x:v>因果説明</x:v>
      </x:c>
      <x:c r="X515" s="171" t="str">
        <x:v>D2</x:v>
      </x:c>
      <x:c r="Y515" s="165" t="str">
        <x:v>天日乾燥で酸増加; 果皮フロール</x:v>
      </x:c>
      <x:c r="Z515" s="171" t="str">
        <x:v>N</x:v>
      </x:c>
      <x:c r="AA515" s="165"/>
      <x:c r="AB515" s="165" t="str">
        <x:v>オリジナル</x:v>
      </x:c>
      <x:c r="AC515" s="165" t="str">
        <x:v>公式Specificationの範囲＋ユーザー作成コーパスの論点を参考に独自作成</x:v>
      </x:c>
      <x:c r="AD515" s="171" t="str">
        <x:v>未レビュー</x:v>
      </x:c>
      <x:c r="AE515" s="171"/>
      <x:c r="AF515" s="171"/>
      <x:c r="AG515" s="312"/>
    </x:row>
    <x:row r="516" ht="84" customHeight="1">
      <x:c r="A516" s="311" t="str">
        <x:v>LO4-095</x:v>
      </x:c>
      <x:c r="B516" s="171" t="str">
        <x:v>LO4</x:v>
      </x:c>
      <x:c r="C516" s="165" t="str">
        <x:v>世界の主要な酒精強化ワイン</x:v>
      </x:c>
      <x:c r="D516" s="165" t="str">
        <x:v>VOS</x:v>
      </x:c>
      <x:c r="E516" s="165" t="str">
        <x:v>VOS表示のシェリーが示すものとして最も適切なものはどれか。</x:v>
      </x:c>
      <x:c r="F516" s="165" t="str">
        <x:v>単一収穫年の若いフィノ</x:v>
      </x:c>
      <x:c r="G516" s="165" t="str">
        <x:v>炭酸ガス注入した発泡性シェリー</x:v>
      </x:c>
      <x:c r="H516" s="165" t="str">
        <x:v>非常に長い平均熟成年数を持つ、認証された熟成シェリー</x:v>
      </x:c>
      <x:c r="I516" s="165" t="str">
        <x:v>アルコールを含まないワイン</x:v>
      </x:c>
      <x:c r="J516" s="171" t="str">
        <x:v>C</x:v>
      </x:c>
      <x:c r="K516" s="165" t="str">
        <x:v>非常に長い平均熟成年数を持つ、認証された熟成シェリー</x:v>
      </x:c>
      <x:c r="L516" s="165" t="str">
        <x:v>古いソレラのワインを官能・分析審査し、長期熟成による濃縮と複雑性を示す表示である。</x:v>
      </x:c>
      <x:c r="M516" s="165" t="str">
        <x:v>誤り。 VOSは長期熟成したワインの表示である。</x:v>
      </x:c>
      <x:c r="N516" s="165" t="str">
        <x:v>誤り。 シェリーは非発泡性である。</x:v>
      </x:c>
      <x:c r="O516" s="165" t="str">
        <x:v>正しい。 古いソレラのワインを官能・分析審査し、長期熟成による濃縮と複雑性を示す表示である。</x:v>
      </x:c>
      <x:c r="P516" s="165" t="str">
        <x:v>誤り。 酒精強化ワインである。</x:v>
      </x:c>
      <x:c r="Q516" s="165" t="str">
        <x:v>法律・表示</x:v>
      </x:c>
      <x:c r="R516" s="165" t="str">
        <x:v>シェリー</x:v>
      </x:c>
      <x:c r="S516" s="165" t="str">
        <x:v>酒精強化ワイン</x:v>
      </x:c>
      <x:c r="T516" s="165" t="str">
        <x:v>スペイン</x:v>
      </x:c>
      <x:c r="U516" s="165" t="str">
        <x:v>ヘレス</x:v>
      </x:c>
      <x:c r="V516" s="165"/>
      <x:c r="W516" s="165" t="str">
        <x:v>知識確認</x:v>
      </x:c>
      <x:c r="X516" s="171" t="str">
        <x:v>D2</x:v>
      </x:c>
      <x:c r="Y516" s="165" t="str">
        <x:v>VOSは若いフィノ; 発泡性</x:v>
      </x:c>
      <x:c r="Z516" s="171" t="str">
        <x:v>Y</x:v>
      </x:c>
      <x:c r="AA516" s="165" t="str">
        <x:v>VOSの認証条件・平均熟成年数を最新規定と教材で最終照合推奨</x:v>
      </x:c>
      <x:c r="AB516" s="165" t="str">
        <x:v>オリジナル</x:v>
      </x:c>
      <x:c r="AC516" s="165" t="str">
        <x:v>公式Specificationの範囲＋ユーザー作成コーパスの論点を参考に独自作成</x:v>
      </x:c>
      <x:c r="AD516" s="171" t="str">
        <x:v>未レビュー</x:v>
      </x:c>
      <x:c r="AE516" s="171"/>
      <x:c r="AF516" s="171"/>
      <x:c r="AG516" s="312"/>
    </x:row>
    <x:row r="517" ht="84" customHeight="1">
      <x:c r="A517" s="311" t="str">
        <x:v>LO4-096</x:v>
      </x:c>
      <x:c r="B517" s="171" t="str">
        <x:v>LO4</x:v>
      </x:c>
      <x:c r="C517" s="165" t="str">
        <x:v>世界の主要な酒精強化ワイン</x:v>
      </x:c>
      <x:c r="D517" s="165" t="str">
        <x:v>VORS</x:v>
      </x:c>
      <x:c r="E517" s="165" t="str">
        <x:v>VORS表示がVOSより一般に高い価格となる主な理由はどれか。</x:v>
      </x:c>
      <x:c r="F517" s="165" t="str">
        <x:v>VORSだけが発泡性だから</x:v>
      </x:c>
      <x:c r="G517" s="165" t="str">
        <x:v>VORSだけが無アルコールだから</x:v>
      </x:c>
      <x:c r="H517" s="165" t="str">
        <x:v>VORSは必ず高収量の若いブドウから造るから</x:v>
      </x:c>
      <x:c r="I517" s="165" t="str">
        <x:v>さらに長い平均熟成と大きな蒸発損失により、在庫費用と希少性が高い</x:v>
      </x:c>
      <x:c r="J517" s="171" t="str">
        <x:v>D</x:v>
      </x:c>
      <x:c r="K517" s="165" t="str">
        <x:v>さらに長い平均熟成と大きな蒸発損失により、在庫費用と希少性が高い</x:v>
      </x:c>
      <x:c r="L517" s="165" t="str">
        <x:v>長期樽熟成で濃縮と複雑性が増す一方、販売可能量が減り、資金が長期間拘束される。</x:v>
      </x:c>
      <x:c r="M517" s="165" t="str">
        <x:v>誤り。 いずれも非発泡性の熟成シェリーである。</x:v>
      </x:c>
      <x:c r="N517" s="165" t="str">
        <x:v>誤り。 酒精強化ワインである。</x:v>
      </x:c>
      <x:c r="O517" s="165" t="str">
        <x:v>誤り。 価格は長期熟成と希少性による。</x:v>
      </x:c>
      <x:c r="P517" s="165" t="str">
        <x:v>正しい。 長期樽熟成で濃縮と複雑性が増す一方、販売可能量が減り、資金が長期間拘束される。</x:v>
      </x:c>
      <x:c r="Q517" s="165" t="str">
        <x:v>商業・価格</x:v>
      </x:c>
      <x:c r="R517" s="165" t="str">
        <x:v>シェリー</x:v>
      </x:c>
      <x:c r="S517" s="165" t="str">
        <x:v>酒精強化ワイン</x:v>
      </x:c>
      <x:c r="T517" s="165" t="str">
        <x:v>スペイン</x:v>
      </x:c>
      <x:c r="U517" s="165" t="str">
        <x:v>ヘレス</x:v>
      </x:c>
      <x:c r="V517" s="165"/>
      <x:c r="W517" s="165" t="str">
        <x:v>統合判断</x:v>
      </x:c>
      <x:c r="X517" s="171" t="str">
        <x:v>D3</x:v>
      </x:c>
      <x:c r="Y517" s="165" t="str">
        <x:v>VORSは発泡性; 高収量若いワイン</x:v>
      </x:c>
      <x:c r="Z517" s="171" t="str">
        <x:v>Y</x:v>
      </x:c>
      <x:c r="AA517" s="165" t="str">
        <x:v>VORSの認証条件・平均熟成年数を最新規定と教材で最終照合推奨</x:v>
      </x:c>
      <x:c r="AB517" s="165" t="str">
        <x:v>オリジナル</x:v>
      </x:c>
      <x:c r="AC517" s="165" t="str">
        <x:v>公式Specificationの範囲＋ユーザー作成コーパスの論点を参考に独自作成</x:v>
      </x:c>
      <x:c r="AD517" s="171" t="str">
        <x:v>未レビュー</x:v>
      </x:c>
      <x:c r="AE517" s="171"/>
      <x:c r="AF517" s="171"/>
      <x:c r="AG517" s="312"/>
    </x:row>
    <x:row r="518" ht="84" customHeight="1">
      <x:c r="A518" s="311" t="str">
        <x:v>LO4-097</x:v>
      </x:c>
      <x:c r="B518" s="171" t="str">
        <x:v>LO4</x:v>
      </x:c>
      <x:c r="C518" s="165" t="str">
        <x:v>世界の主要な酒精強化ワイン</x:v>
      </x:c>
      <x:c r="D518" s="165" t="str">
        <x:v>生物学的熟成とアセトアルデヒド</x:v>
      </x:c>
      <x:c r="E518" s="165" t="str">
        <x:v>フィノの青リンゴ、カモミール、パン生地を思わせる特徴に強く関係する化合物はどれか。</x:v>
      </x:c>
      <x:c r="F518" s="165" t="str">
        <x:v>フロールの代謝で増えるアセトアルデヒド</x:v>
      </x:c>
      <x:c r="G518" s="165" t="str">
        <x:v>ジアセチルだけ</x:v>
      </x:c>
      <x:c r="H518" s="165" t="str">
        <x:v>メトキシピラジンだけ</x:v>
      </x:c>
      <x:c r="I518" s="165" t="str">
        <x:v>二酸化炭素だけ</x:v>
      </x:c>
      <x:c r="J518" s="171" t="str">
        <x:v>A</x:v>
      </x:c>
      <x:c r="K518" s="165" t="str">
        <x:v>フロールの代謝で増えるアセトアルデヒド</x:v>
      </x:c>
      <x:c r="L518" s="165" t="str">
        <x:v>フロールはアルコールを代謝してアセトアルデヒドを生み、フィノ特有の鋭く酵母的な香りを形成する。</x:v>
      </x:c>
      <x:c r="M518" s="165" t="str">
        <x:v>正しい。 フロールはアルコールを代謝してアセトアルデヒドを生み、フィノ特有の鋭く酵母的な香りを形成する。</x:v>
      </x:c>
      <x:c r="N518" s="165" t="str">
        <x:v>誤り。 ジアセチルはバター香に関係する。</x:v>
      </x:c>
      <x:c r="O518" s="165" t="str">
        <x:v>誤り。 青ピーマン香に関係する化合物である。</x:v>
      </x:c>
      <x:c r="P518" s="165" t="str">
        <x:v>誤り。 泡や刺激に関係し、フィノの香りの主因ではない。</x:v>
      </x:c>
      <x:c r="Q518" s="165" t="str">
        <x:v>熟成</x:v>
      </x:c>
      <x:c r="R518" s="165" t="str">
        <x:v>シェリー</x:v>
      </x:c>
      <x:c r="S518" s="165" t="str">
        <x:v>酒精強化ワイン</x:v>
      </x:c>
      <x:c r="T518" s="165" t="str">
        <x:v>スペイン</x:v>
      </x:c>
      <x:c r="U518" s="165" t="str">
        <x:v>ヘレス</x:v>
      </x:c>
      <x:c r="V518" s="165"/>
      <x:c r="W518" s="165" t="str">
        <x:v>知識確認</x:v>
      </x:c>
      <x:c r="X518" s="171" t="str">
        <x:v>D2</x:v>
      </x:c>
      <x:c r="Y518" s="165" t="str">
        <x:v>フィノ香はジアセチル; CO2</x:v>
      </x:c>
      <x:c r="Z518" s="171" t="str">
        <x:v>N</x:v>
      </x:c>
      <x:c r="AA518" s="165"/>
      <x:c r="AB518" s="165" t="str">
        <x:v>オリジナル</x:v>
      </x:c>
      <x:c r="AC518" s="165" t="str">
        <x:v>公式Specificationの範囲＋ユーザー作成コーパスの論点を参考に独自作成</x:v>
      </x:c>
      <x:c r="AD518" s="171" t="str">
        <x:v>未レビュー</x:v>
      </x:c>
      <x:c r="AE518" s="171"/>
      <x:c r="AF518" s="171"/>
      <x:c r="AG518" s="312"/>
    </x:row>
    <x:row r="519" ht="84" customHeight="1">
      <x:c r="A519" s="311" t="str">
        <x:v>LO4-098</x:v>
      </x:c>
      <x:c r="B519" s="171" t="str">
        <x:v>LO4</x:v>
      </x:c>
      <x:c r="C519" s="165" t="str">
        <x:v>世界の主要な酒精強化ワイン</x:v>
      </x:c>
      <x:c r="D519" s="165" t="str">
        <x:v>酸化熟成と口当たり</x:v>
      </x:c>
      <x:c r="E519" s="165" t="str">
        <x:v>オロロソがフィノより丸く豊かな口当たりを持ちやすい主な理由はどれか。</x:v>
      </x:c>
      <x:c r="F519" s="165" t="str">
        <x:v>二酸化炭素が大量に溶けているため</x:v>
      </x:c>
      <x:c r="G519" s="165" t="str">
        <x:v>フロールがグリセロールを消費せず、蒸発による濃縮も進むため</x:v>
      </x:c>
      <x:c r="H519" s="165" t="str">
        <x:v>残糖が必ず非常に高いため</x:v>
      </x:c>
      <x:c r="I519" s="165" t="str">
        <x:v>タンニンの高い黒ブドウを用いるため</x:v>
      </x:c>
      <x:c r="J519" s="171" t="str">
        <x:v>B</x:v>
      </x:c>
      <x:c r="K519" s="165" t="str">
        <x:v>フロールがグリセロールを消費せず、蒸発による濃縮も進むため</x:v>
      </x:c>
      <x:c r="L519" s="165" t="str">
        <x:v>酸化熟成ではグリセロールが保持され、アルコールと濃縮成分が厚みを与える。</x:v>
      </x:c>
      <x:c r="M519" s="165" t="str">
        <x:v>誤り。 非発泡性である。</x:v>
      </x:c>
      <x:c r="N519" s="165" t="str">
        <x:v>正しい。 酸化熟成ではグリセロールが保持され、アルコールと濃縮成分が厚みを与える。</x:v>
      </x:c>
      <x:c r="O519" s="165" t="str">
        <x:v>誤り。 オロロソは自然には辛口である。</x:v>
      </x:c>
      <x:c r="P519" s="165" t="str">
        <x:v>誤り。 主要品種は白のパロミノである。</x:v>
      </x:c>
      <x:c r="Q519" s="165" t="str">
        <x:v>熟成</x:v>
      </x:c>
      <x:c r="R519" s="165" t="str">
        <x:v>シェリー</x:v>
      </x:c>
      <x:c r="S519" s="165" t="str">
        <x:v>酒精強化ワイン</x:v>
      </x:c>
      <x:c r="T519" s="165" t="str">
        <x:v>スペイン</x:v>
      </x:c>
      <x:c r="U519" s="165" t="str">
        <x:v>ヘレス</x:v>
      </x:c>
      <x:c r="V519" s="165"/>
      <x:c r="W519" s="165" t="str">
        <x:v>比較</x:v>
      </x:c>
      <x:c r="X519" s="171" t="str">
        <x:v>D3</x:v>
      </x:c>
      <x:c r="Y519" s="165" t="str">
        <x:v>オロロソは発泡; 必ず甘口</x:v>
      </x:c>
      <x:c r="Z519" s="171" t="str">
        <x:v>N</x:v>
      </x:c>
      <x:c r="AA519" s="165"/>
      <x:c r="AB519" s="165" t="str">
        <x:v>オリジナル</x:v>
      </x:c>
      <x:c r="AC519" s="165" t="str">
        <x:v>公式Specificationの範囲＋ユーザー作成コーパスの論点を参考に独自作成</x:v>
      </x:c>
      <x:c r="AD519" s="171" t="str">
        <x:v>未レビュー</x:v>
      </x:c>
      <x:c r="AE519" s="171"/>
      <x:c r="AF519" s="171"/>
      <x:c r="AG519" s="312"/>
    </x:row>
    <x:row r="520" ht="84" customHeight="1">
      <x:c r="A520" s="311" t="str">
        <x:v>LO4-099</x:v>
      </x:c>
      <x:c r="B520" s="171" t="str">
        <x:v>LO4</x:v>
      </x:c>
      <x:c r="C520" s="165" t="str">
        <x:v>世界の主要な酒精強化ワイン</x:v>
      </x:c>
      <x:c r="D520" s="165" t="str">
        <x:v>シェリー樽の充填量</x:v>
      </x:c>
      <x:c r="E520" s="165" t="str">
        <x:v>シェリーのブットを完全に満たさず、空隙を残す理由として最も適切なものはどれか。</x:v>
      </x:c>
      <x:c r="F520" s="165" t="str">
        <x:v>瓶内圧力を高めるため</x:v>
      </x:c>
      <x:c r="G520" s="165" t="str">
        <x:v>甘味を増やすため</x:v>
      </x:c>
      <x:c r="H520" s="165" t="str">
        <x:v>フィノではフロールに酸素を与え、オロロソでは酸化熟成を可能にする</x:v>
      </x:c>
      <x:c r="I520" s="165" t="str">
        <x:v>ブドウの成熟を進めるため</x:v>
      </x:c>
      <x:c r="J520" s="171" t="str">
        <x:v>C</x:v>
      </x:c>
      <x:c r="K520" s="165" t="str">
        <x:v>フィノではフロールに酸素を与え、オロロソでは酸化熟成を可能にする</x:v>
      </x:c>
      <x:c r="L520" s="165" t="str">
        <x:v>同じ空隙でも、生物学的熟成では酵母膜が酸素を利用し、酸化熟成ではワインが直接空気と接触する。</x:v>
      </x:c>
      <x:c r="M520" s="165" t="str">
        <x:v>誤り。 樽は発泡性ワイン用の密閉耐圧容器ではない。</x:v>
      </x:c>
      <x:c r="N520" s="165" t="str">
        <x:v>誤り。 空隙は残糖を増やさない。</x:v>
      </x:c>
      <x:c r="O520" s="165" t="str">
        <x:v>正しい。 同じ空隙でも、生物学的熟成では酵母膜が酸素を利用し、酸化熟成ではワインが直接空気と接触する。</x:v>
      </x:c>
      <x:c r="P520" s="165" t="str">
        <x:v>誤り。 収穫後の熟成工程である。</x:v>
      </x:c>
      <x:c r="Q520" s="165" t="str">
        <x:v>熟成</x:v>
      </x:c>
      <x:c r="R520" s="165" t="str">
        <x:v>シェリー</x:v>
      </x:c>
      <x:c r="S520" s="165" t="str">
        <x:v>酒精強化ワイン</x:v>
      </x:c>
      <x:c r="T520" s="165" t="str">
        <x:v>スペイン</x:v>
      </x:c>
      <x:c r="U520" s="165" t="str">
        <x:v>ヘレス</x:v>
      </x:c>
      <x:c r="V520" s="165"/>
      <x:c r="W520" s="165" t="str">
        <x:v>比較</x:v>
      </x:c>
      <x:c r="X520" s="171" t="str">
        <x:v>D2</x:v>
      </x:c>
      <x:c r="Y520" s="165" t="str">
        <x:v>樽空隙で高圧; 甘味増加</x:v>
      </x:c>
      <x:c r="Z520" s="171" t="str">
        <x:v>N</x:v>
      </x:c>
      <x:c r="AA520" s="165"/>
      <x:c r="AB520" s="165" t="str">
        <x:v>オリジナル</x:v>
      </x:c>
      <x:c r="AC520" s="165" t="str">
        <x:v>公式Specificationの範囲＋ユーザー作成コーパスの論点を参考に独自作成</x:v>
      </x:c>
      <x:c r="AD520" s="171" t="str">
        <x:v>未レビュー</x:v>
      </x:c>
      <x:c r="AE520" s="171"/>
      <x:c r="AF520" s="171"/>
      <x:c r="AG520" s="312"/>
    </x:row>
    <x:row r="521" ht="84" customHeight="1">
      <x:c r="A521" s="311" t="str">
        <x:v>LO4-100</x:v>
      </x:c>
      <x:c r="B521" s="171" t="str">
        <x:v>LO4</x:v>
      </x:c>
      <x:c r="C521" s="165" t="str">
        <x:v>世界の主要な酒精強化ワイン</x:v>
      </x:c>
      <x:c r="D521" s="165" t="str">
        <x:v>ソレラの一貫性</x:v>
      </x:c>
      <x:c r="E521" s="165" t="str">
        <x:v>ソレラ・システムがヴィンテージ差を小さくする主な理由はどれか。</x:v>
      </x:c>
      <x:c r="F521" s="165" t="str">
        <x:v>毎年すべての樽を空にするため</x:v>
      </x:c>
      <x:c r="G521" s="165" t="str">
        <x:v>単一収穫年だけを瓶詰めするため</x:v>
      </x:c>
      <x:c r="H521" s="165" t="str">
        <x:v>二次発酵で味を均一にするため</x:v>
      </x:c>
      <x:c r="I521" s="165" t="str">
        <x:v>各年の若いワインを複数年代の古いワインへ少量ずつ混ぜ続けるため</x:v>
      </x:c>
      <x:c r="J521" s="171" t="str">
        <x:v>D</x:v>
      </x:c>
      <x:c r="K521" s="165" t="str">
        <x:v>各年の若いワインを複数年代の古いワインへ少量ずつ混ぜ続けるため</x:v>
      </x:c>
      <x:c r="L521" s="165" t="str">
        <x:v>多数年の成分が連続的に統合され、単一年の気候差が完成品に強く表れにくい。</x:v>
      </x:c>
      <x:c r="M521" s="165" t="str">
        <x:v>誤り。 一部だけを抜き、古いワインを残す。</x:v>
      </x:c>
      <x:c r="N521" s="165" t="str">
        <x:v>誤り。 複数年の動的ブレンドである。</x:v>
      </x:c>
      <x:c r="O521" s="165" t="str">
        <x:v>誤り。 発泡性ワインの工程ではない。</x:v>
      </x:c>
      <x:c r="P521" s="165" t="str">
        <x:v>正しい。 多数年の成分が連続的に統合され、単一年の気候差が完成品に強く表れにくい。</x:v>
      </x:c>
      <x:c r="Q521" s="165" t="str">
        <x:v>熟成</x:v>
      </x:c>
      <x:c r="R521" s="165" t="str">
        <x:v>ソレラ</x:v>
      </x:c>
      <x:c r="S521" s="165" t="str">
        <x:v>酒精強化ワイン</x:v>
      </x:c>
      <x:c r="T521" s="165" t="str">
        <x:v>スペイン</x:v>
      </x:c>
      <x:c r="U521" s="165" t="str">
        <x:v>ヘレス</x:v>
      </x:c>
      <x:c r="V521" s="165"/>
      <x:c r="W521" s="165" t="str">
        <x:v>因果説明</x:v>
      </x:c>
      <x:c r="X521" s="171" t="str">
        <x:v>D2</x:v>
      </x:c>
      <x:c r="Y521" s="165" t="str">
        <x:v>ソレラ全量更新; 単一ヴィンテージ</x:v>
      </x:c>
      <x:c r="Z521" s="171" t="str">
        <x:v>N</x:v>
      </x:c>
      <x:c r="AA521" s="165"/>
      <x:c r="AB521" s="165" t="str">
        <x:v>オリジナル</x:v>
      </x:c>
      <x:c r="AC521" s="165" t="str">
        <x:v>公式Specificationの範囲＋ユーザー作成コーパスの論点を参考に独自作成</x:v>
      </x:c>
      <x:c r="AD521" s="171" t="str">
        <x:v>未レビュー</x:v>
      </x:c>
      <x:c r="AE521" s="171"/>
      <x:c r="AF521" s="171"/>
      <x:c r="AG521" s="312"/>
    </x:row>
    <x:row r="522" ht="84" customHeight="1">
      <x:c r="A522" s="311" t="str">
        <x:v>LO4-101</x:v>
      </x:c>
      <x:c r="B522" s="171" t="str">
        <x:v>LO4</x:v>
      </x:c>
      <x:c r="C522" s="165" t="str">
        <x:v>世界の主要な酒精強化ワイン</x:v>
      </x:c>
      <x:c r="D522" s="165" t="str">
        <x:v>サカ</x:v>
      </x:c>
      <x:c r="E522" s="165" t="str">
        <x:v>ソレラの最下段から一度に取り出すワイン量を制限する主な理由はどれか。</x:v>
      </x:c>
      <x:c r="F522" s="165" t="str">
        <x:v>システム内に十分な古いワインを残し、平均年齢と一貫性を維持するため</x:v>
      </x:c>
      <x:c r="G522" s="165" t="str">
        <x:v>樽を毎回完全に空にして洗うため</x:v>
      </x:c>
      <x:c r="H522" s="165" t="str">
        <x:v>残糖を増やすため</x:v>
      </x:c>
      <x:c r="I522" s="165" t="str">
        <x:v>瓶内圧力を保つため</x:v>
      </x:c>
      <x:c r="J522" s="171" t="str">
        <x:v>A</x:v>
      </x:c>
      <x:c r="K522" s="165" t="str">
        <x:v>システム内に十分な古いワインを残し、平均年齢と一貫性を維持するため</x:v>
      </x:c>
      <x:c r="L522" s="165" t="str">
        <x:v>少量ずつ出荷し、上段から段階的に補充することで、熟成の連続性を保つ。</x:v>
      </x:c>
      <x:c r="M522" s="165" t="str">
        <x:v>正しい。 少量ずつ出荷し、上段から段階的に補充することで、熟成の連続性を保つ。</x:v>
      </x:c>
      <x:c r="N522" s="165" t="str">
        <x:v>誤り。 完全に空にするとソレラの連続性が失われる。</x:v>
      </x:c>
      <x:c r="O522" s="165" t="str">
        <x:v>誤り。 取り出す量は甘味調整ではない。</x:v>
      </x:c>
      <x:c r="P522" s="165" t="str">
        <x:v>誤り。 非発泡性である。</x:v>
      </x:c>
      <x:c r="Q522" s="165" t="str">
        <x:v>熟成</x:v>
      </x:c>
      <x:c r="R522" s="165" t="str">
        <x:v>ソレラ</x:v>
      </x:c>
      <x:c r="S522" s="165" t="str">
        <x:v>酒精強化ワイン</x:v>
      </x:c>
      <x:c r="T522" s="165" t="str">
        <x:v>スペイン</x:v>
      </x:c>
      <x:c r="U522" s="165" t="str">
        <x:v>ヘレス</x:v>
      </x:c>
      <x:c r="V522" s="165"/>
      <x:c r="W522" s="165" t="str">
        <x:v>因果説明</x:v>
      </x:c>
      <x:c r="X522" s="171" t="str">
        <x:v>D2</x:v>
      </x:c>
      <x:c r="Y522" s="165" t="str">
        <x:v>ソレラは全量出荷; サカで甘味調整</x:v>
      </x:c>
      <x:c r="Z522" s="171" t="str">
        <x:v>N</x:v>
      </x:c>
      <x:c r="AA522" s="165"/>
      <x:c r="AB522" s="165" t="str">
        <x:v>オリジナル</x:v>
      </x:c>
      <x:c r="AC522" s="165" t="str">
        <x:v>公式Specificationの範囲＋ユーザー作成コーパスの論点を参考に独自作成</x:v>
      </x:c>
      <x:c r="AD522" s="171" t="str">
        <x:v>未レビュー</x:v>
      </x:c>
      <x:c r="AE522" s="171"/>
      <x:c r="AF522" s="171"/>
      <x:c r="AG522" s="312"/>
    </x:row>
    <x:row r="523" ht="84" customHeight="1">
      <x:c r="A523" s="311" t="str">
        <x:v>LO4-102</x:v>
      </x:c>
      <x:c r="B523" s="171" t="str">
        <x:v>LO4</x:v>
      </x:c>
      <x:c r="C523" s="165" t="str">
        <x:v>世界の主要な酒精強化ワイン</x:v>
      </x:c>
      <x:c r="D523" s="165" t="str">
        <x:v>クリアデラの階層</x:v>
      </x:c>
      <x:c r="E523" s="165" t="str">
        <x:v>ソレラ・システムで最も若いワインが入る場所はどれか。</x:v>
      </x:c>
      <x:c r="F523" s="165" t="str">
        <x:v>最下段のソレラだけ</x:v>
      </x:c>
      <x:c r="G523" s="165" t="str">
        <x:v>最上段の若いクリアデラ</x:v>
      </x:c>
      <x:c r="H523" s="165" t="str">
        <x:v>瓶内の澱の中</x:v>
      </x:c>
      <x:c r="I523" s="165" t="str">
        <x:v>畑の収穫箱</x:v>
      </x:c>
      <x:c r="J523" s="171" t="str">
        <x:v>B</x:v>
      </x:c>
      <x:c r="K523" s="165" t="str">
        <x:v>最上段の若いクリアデラ</x:v>
      </x:c>
      <x:c r="L523" s="165" t="str">
        <x:v>新酒は上段へ入り、熟成するにつれて下のクリアデラへ移され、最後にソレラから出荷される。</x:v>
      </x:c>
      <x:c r="M523" s="165" t="str">
        <x:v>誤り。 最下段には最も古い平均年齢のワインが入る。</x:v>
      </x:c>
      <x:c r="N523" s="165" t="str">
        <x:v>正しい。 新酒は上段へ入り、熟成するにつれて下のクリアデラへ移され、最後にソレラから出荷される。</x:v>
      </x:c>
      <x:c r="O523" s="165" t="str">
        <x:v>誤り。 樽熟成の動的ブレンドである。</x:v>
      </x:c>
      <x:c r="P523" s="165" t="str">
        <x:v>誤り。 収穫後、発酵・酒精強化したワインを入れる。</x:v>
      </x:c>
      <x:c r="Q523" s="165" t="str">
        <x:v>熟成</x:v>
      </x:c>
      <x:c r="R523" s="165" t="str">
        <x:v>ソレラ</x:v>
      </x:c>
      <x:c r="S523" s="165" t="str">
        <x:v>酒精強化ワイン</x:v>
      </x:c>
      <x:c r="T523" s="165" t="str">
        <x:v>スペイン</x:v>
      </x:c>
      <x:c r="U523" s="165" t="str">
        <x:v>ヘレス</x:v>
      </x:c>
      <x:c r="V523" s="165"/>
      <x:c r="W523" s="165" t="str">
        <x:v>知識確認</x:v>
      </x:c>
      <x:c r="X523" s="171" t="str">
        <x:v>D1</x:v>
      </x:c>
      <x:c r="Y523" s="165" t="str">
        <x:v>新酒はソレラへ直接; 瓶熟成</x:v>
      </x:c>
      <x:c r="Z523" s="171" t="str">
        <x:v>N</x:v>
      </x:c>
      <x:c r="AA523" s="165"/>
      <x:c r="AB523" s="165" t="str">
        <x:v>オリジナル</x:v>
      </x:c>
      <x:c r="AC523" s="165" t="str">
        <x:v>公式Specificationの範囲＋ユーザー作成コーパスの論点を参考に独自作成</x:v>
      </x:c>
      <x:c r="AD523" s="171" t="str">
        <x:v>未レビュー</x:v>
      </x:c>
      <x:c r="AE523" s="171"/>
      <x:c r="AF523" s="171"/>
      <x:c r="AG523" s="312"/>
    </x:row>
    <x:row r="524" ht="84" customHeight="1">
      <x:c r="A524" s="311" t="str">
        <x:v>LO4-103</x:v>
      </x:c>
      <x:c r="B524" s="171" t="str">
        <x:v>LO4</x:v>
      </x:c>
      <x:c r="C524" s="165" t="str">
        <x:v>世界の主要な酒精強化ワイン</x:v>
      </x:c>
      <x:c r="D524" s="165" t="str">
        <x:v>ベースワインの分類</x:v>
      </x:c>
      <x:c r="E524" s="165" t="str">
        <x:v>パロミノの若いベースワインを試飲してフィノ向きとオロロソ向きに分類する際、フィノ向きに選ばれやすいものはどれか。</x:v>
      </x:c>
      <x:c r="F524" s="165" t="str">
        <x:v>最も重く粗いタンニンを持つ赤ワイン</x:v>
      </x:c>
      <x:c r="G524" s="165" t="str">
        <x:v>残糖が非常に高い未発酵果汁</x:v>
      </x:c>
      <x:c r="H524" s="165" t="str">
        <x:v>軽く繊細で、清潔な香りと高い鮮度を持つワイン</x:v>
      </x:c>
      <x:c r="I524" s="165" t="str">
        <x:v>瓶内で高圧になった発泡性ワイン</x:v>
      </x:c>
      <x:c r="J524" s="171" t="str">
        <x:v>C</x:v>
      </x:c>
      <x:c r="K524" s="165" t="str">
        <x:v>軽く繊細で、清潔な香りと高い鮮度を持つワイン</x:v>
      </x:c>
      <x:c r="L524" s="165" t="str">
        <x:v>フロール下で繊細さを発展させるため、上質で軽快なロットが低い度数へ酒精強化される。</x:v>
      </x:c>
      <x:c r="M524" s="165" t="str">
        <x:v>誤り。 パロミノの白ベースワインを分類する。</x:v>
      </x:c>
      <x:c r="N524" s="165" t="str">
        <x:v>誤り。 ベースワインは通常辛口まで発酵済みである。</x:v>
      </x:c>
      <x:c r="O524" s="165" t="str">
        <x:v>正しい。 フロール下で繊細さを発展させるため、上質で軽快なロットが低い度数へ酒精強化される。</x:v>
      </x:c>
      <x:c r="P524" s="165" t="str">
        <x:v>誤り。 非発泡性のベースワインである。</x:v>
      </x:c>
      <x:c r="Q524" s="165" t="str">
        <x:v>酒精強化ワイン製法</x:v>
      </x:c>
      <x:c r="R524" s="165" t="str">
        <x:v>シェリー</x:v>
      </x:c>
      <x:c r="S524" s="165" t="str">
        <x:v>酒精強化ワイン</x:v>
      </x:c>
      <x:c r="T524" s="165" t="str">
        <x:v>スペイン</x:v>
      </x:c>
      <x:c r="U524" s="165" t="str">
        <x:v>ヘレス</x:v>
      </x:c>
      <x:c r="V524" s="165" t="str">
        <x:v>パロミノ</x:v>
      </x:c>
      <x:c r="W524" s="165" t="str">
        <x:v>適用</x:v>
      </x:c>
      <x:c r="X524" s="171" t="str">
        <x:v>D3</x:v>
      </x:c>
      <x:c r="Y524" s="165" t="str">
        <x:v>フィノ向きは粗い赤; 未発酵甘口</x:v>
      </x:c>
      <x:c r="Z524" s="171" t="str">
        <x:v>N</x:v>
      </x:c>
      <x:c r="AA524" s="165"/>
      <x:c r="AB524" s="165" t="str">
        <x:v>オリジナル</x:v>
      </x:c>
      <x:c r="AC524" s="165" t="str">
        <x:v>公式Specificationの範囲＋ユーザー作成コーパスの論点を参考に独自作成</x:v>
      </x:c>
      <x:c r="AD524" s="171" t="str">
        <x:v>未レビュー</x:v>
      </x:c>
      <x:c r="AE524" s="171"/>
      <x:c r="AF524" s="171"/>
      <x:c r="AG524" s="312"/>
    </x:row>
    <x:row r="525" ht="84" customHeight="1">
      <x:c r="A525" s="311" t="str">
        <x:v>LO4-104</x:v>
      </x:c>
      <x:c r="B525" s="171" t="str">
        <x:v>LO4</x:v>
      </x:c>
      <x:c r="C525" s="165" t="str">
        <x:v>世界の主要な酒精強化ワイン</x:v>
      </x:c>
      <x:c r="D525" s="165" t="str">
        <x:v>パロミノの中立性</x:v>
      </x:c>
      <x:c r="E525" s="165" t="str">
        <x:v>パロミノがシェリーの主要品種として適する主な理由はどれか。</x:v>
      </x:c>
      <x:c r="F525" s="165" t="str">
        <x:v>非常に強いマスカット香を持つため</x:v>
      </x:c>
      <x:c r="G525" s="165" t="str">
        <x:v>極めて高いタンニンを持つ黒品種だから</x:v>
      </x:c>
      <x:c r="H525" s="165" t="str">
        <x:v>自然に高い残糖を持ち、発酵しないため</x:v>
      </x:c>
      <x:c r="I525" s="165" t="str">
        <x:v>品種香と酸が穏やかで、フロールや酸化熟成の風味を明確に表せる</x:v>
      </x:c>
      <x:c r="J525" s="171" t="str">
        <x:v>D</x:v>
      </x:c>
      <x:c r="K525" s="165" t="str">
        <x:v>品種香と酸が穏やかで、フロールや酸化熟成の風味を明確に表せる</x:v>
      </x:c>
      <x:c r="L525" s="165" t="str">
        <x:v>中立的なベースワインが、酵母、アセトアルデヒド、ナッツ、酸化など熟成工程の個性を受け止める。</x:v>
      </x:c>
      <x:c r="M525" s="165" t="str">
        <x:v>誤り。 パロミノは芳香性が比較的低い。</x:v>
      </x:c>
      <x:c r="N525" s="165" t="str">
        <x:v>誤り。 白品種でタンニンは低い。</x:v>
      </x:c>
      <x:c r="O525" s="165" t="str">
        <x:v>誤り。 通常辛口まで発酵する。</x:v>
      </x:c>
      <x:c r="P525" s="165" t="str">
        <x:v>正しい。 中立的なベースワインが、酵母、アセトアルデヒド、ナッツ、酸化など熟成工程の個性を受け止める。</x:v>
      </x:c>
      <x:c r="Q525" s="165" t="str">
        <x:v>品種</x:v>
      </x:c>
      <x:c r="R525" s="165" t="str">
        <x:v>シェリー</x:v>
      </x:c>
      <x:c r="S525" s="165" t="str">
        <x:v>酒精強化ワイン</x:v>
      </x:c>
      <x:c r="T525" s="165" t="str">
        <x:v>スペイン</x:v>
      </x:c>
      <x:c r="U525" s="165" t="str">
        <x:v>ヘレス</x:v>
      </x:c>
      <x:c r="V525" s="165" t="str">
        <x:v>パロミノ</x:v>
      </x:c>
      <x:c r="W525" s="165" t="str">
        <x:v>因果説明</x:v>
      </x:c>
      <x:c r="X525" s="171" t="str">
        <x:v>D2</x:v>
      </x:c>
      <x:c r="Y525" s="165" t="str">
        <x:v>パロミノは芳香性; 黒品種高タンニン</x:v>
      </x:c>
      <x:c r="Z525" s="171" t="str">
        <x:v>N</x:v>
      </x:c>
      <x:c r="AA525" s="165"/>
      <x:c r="AB525" s="165" t="str">
        <x:v>オリジナル</x:v>
      </x:c>
      <x:c r="AC525" s="165" t="str">
        <x:v>公式Specificationの範囲＋ユーザー作成コーパスの論点を参考に独自作成</x:v>
      </x:c>
      <x:c r="AD525" s="171" t="str">
        <x:v>未レビュー</x:v>
      </x:c>
      <x:c r="AE525" s="171"/>
      <x:c r="AF525" s="171"/>
      <x:c r="AG525" s="312"/>
    </x:row>
    <x:row r="526" ht="84" customHeight="1">
      <x:c r="A526" s="311" t="str">
        <x:v>LO4-105</x:v>
      </x:c>
      <x:c r="B526" s="171" t="str">
        <x:v>LO4</x:v>
      </x:c>
      <x:c r="C526" s="165" t="str">
        <x:v>世界の主要な酒精強化ワイン</x:v>
      </x:c>
      <x:c r="D526" s="165" t="str">
        <x:v>アルバリサの保水</x:v>
      </x:c>
      <x:c r="E526" s="165" t="str">
        <x:v>アルバリサ土壌が乾燥したヘレスでブドウ栽培を支える主な理由はどれか。</x:v>
      </x:c>
      <x:c r="F526" s="165" t="str">
        <x:v>冬の雨水を多孔質の石灰質土壌に蓄え、乾燥した夏に根へ供給する</x:v>
      </x:c>
      <x:c r="G526" s="165" t="str">
        <x:v>夏に毎日新しい雨を発生させる</x:v>
      </x:c>
      <x:c r="H526" s="165" t="str">
        <x:v>海水を果実へ直接吸収させる</x:v>
      </x:c>
      <x:c r="I526" s="165" t="str">
        <x:v>フロールを畑で形成する</x:v>
      </x:c>
      <x:c r="J526" s="171" t="str">
        <x:v>A</x:v>
      </x:c>
      <x:c r="K526" s="165" t="str">
        <x:v>冬の雨水を多孔質の石灰質土壌に蓄え、乾燥した夏に根へ供給する</x:v>
      </x:c>
      <x:c r="L526" s="165" t="str">
        <x:v>白い表面は日射を反射し、細かい石灰質粒子は水を保持して長い乾季を支える。</x:v>
      </x:c>
      <x:c r="M526" s="165" t="str">
        <x:v>正しい。 白い表面は日射を反射し、細かい石灰質粒子は水を保持して長い乾季を支える。</x:v>
      </x:c>
      <x:c r="N526" s="165" t="str">
        <x:v>誤り。 土壌は降雨を生まず、冬の水を貯える。</x:v>
      </x:c>
      <x:c r="O526" s="165" t="str">
        <x:v>誤り。 塩水灌漑が主因ではない。</x:v>
      </x:c>
      <x:c r="P526" s="165" t="str">
        <x:v>誤り。 フロールは酒精強化後のワイン表面で形成される。</x:v>
      </x:c>
      <x:c r="Q526" s="165" t="str">
        <x:v>自然要因</x:v>
      </x:c>
      <x:c r="R526" s="165" t="str">
        <x:v>シェリー</x:v>
      </x:c>
      <x:c r="S526" s="165" t="str">
        <x:v>酒精強化ワイン</x:v>
      </x:c>
      <x:c r="T526" s="165" t="str">
        <x:v>スペイン</x:v>
      </x:c>
      <x:c r="U526" s="165" t="str">
        <x:v>ヘレス</x:v>
      </x:c>
      <x:c r="V526" s="165" t="str">
        <x:v>パロミノ</x:v>
      </x:c>
      <x:c r="W526" s="165" t="str">
        <x:v>因果説明</x:v>
      </x:c>
      <x:c r="X526" s="171" t="str">
        <x:v>D2</x:v>
      </x:c>
      <x:c r="Y526" s="165" t="str">
        <x:v>土壌が雨を生む; 畑でフロール</x:v>
      </x:c>
      <x:c r="Z526" s="171" t="str">
        <x:v>N</x:v>
      </x:c>
      <x:c r="AA526" s="165"/>
      <x:c r="AB526" s="165" t="str">
        <x:v>オリジナル</x:v>
      </x:c>
      <x:c r="AC526" s="165" t="str">
        <x:v>公式Specificationの範囲＋ユーザー作成コーパスの論点を参考に独自作成</x:v>
      </x:c>
      <x:c r="AD526" s="171" t="str">
        <x:v>未レビュー</x:v>
      </x:c>
      <x:c r="AE526" s="171"/>
      <x:c r="AF526" s="171"/>
      <x:c r="AG526" s="312"/>
    </x:row>
    <x:row r="527" ht="84" customHeight="1">
      <x:c r="A527" s="311" t="str">
        <x:v>LO4-106</x:v>
      </x:c>
      <x:c r="B527" s="171" t="str">
        <x:v>LO4</x:v>
      </x:c>
      <x:c r="C527" s="165" t="str">
        <x:v>世界の主要な酒精強化ワイン</x:v>
      </x:c>
      <x:c r="D527" s="165" t="str">
        <x:v>ポニエンテとレバンテ</x:v>
      </x:c>
      <x:c r="E527" s="165" t="str">
        <x:v>ヘレスで湿ったポニエンテ風がフロールの活動に有利となる主な理由はどれか。</x:v>
      </x:c>
      <x:c r="F527" s="165" t="str">
        <x:v>風が樽へ糖を運ぶため</x:v>
      </x:c>
      <x:c r="G527" s="165" t="str">
        <x:v>大西洋から涼しく湿った空気を運び、ボデガ内を温和に保つため</x:v>
      </x:c>
      <x:c r="H527" s="165" t="str">
        <x:v>風が瓶内圧力を高めるため</x:v>
      </x:c>
      <x:c r="I527" s="165" t="str">
        <x:v>風がブドウを黒品種へ変えるため</x:v>
      </x:c>
      <x:c r="J527" s="171" t="str">
        <x:v>B</x:v>
      </x:c>
      <x:c r="K527" s="165" t="str">
        <x:v>大西洋から涼しく湿った空気を運び、ボデガ内を温和に保つため</x:v>
      </x:c>
      <x:c r="L527" s="165" t="str">
        <x:v>フロールは適度な湿度と温度で活発になりやすく、乾燥した熱風より生物学的熟成を支える。</x:v>
      </x:c>
      <x:c r="M527" s="165" t="str">
        <x:v>誤り。 風が残糖を供給するわけではない。</x:v>
      </x:c>
      <x:c r="N527" s="165" t="str">
        <x:v>正しい。 フロールは適度な湿度と温度で活発になりやすく、乾燥した熱風より生物学的熟成を支える。</x:v>
      </x:c>
      <x:c r="O527" s="165" t="str">
        <x:v>誤り。 樽熟成の非発泡性ワインである。</x:v>
      </x:c>
      <x:c r="P527" s="165" t="str">
        <x:v>誤り。 品種は変化しない。</x:v>
      </x:c>
      <x:c r="Q527" s="165" t="str">
        <x:v>自然要因</x:v>
      </x:c>
      <x:c r="R527" s="165" t="str">
        <x:v>シェリー</x:v>
      </x:c>
      <x:c r="S527" s="165" t="str">
        <x:v>酒精強化ワイン</x:v>
      </x:c>
      <x:c r="T527" s="165" t="str">
        <x:v>スペイン</x:v>
      </x:c>
      <x:c r="U527" s="165" t="str">
        <x:v>ヘレス</x:v>
      </x:c>
      <x:c r="V527" s="165"/>
      <x:c r="W527" s="165" t="str">
        <x:v>因果説明</x:v>
      </x:c>
      <x:c r="X527" s="171" t="str">
        <x:v>D3</x:v>
      </x:c>
      <x:c r="Y527" s="165" t="str">
        <x:v>風が糖供給; 風で品種変化</x:v>
      </x:c>
      <x:c r="Z527" s="171" t="str">
        <x:v>Y</x:v>
      </x:c>
      <x:c r="AA527" s="165" t="str">
        <x:v>ポニエンテ／レバンテの日本語表記と効果を教材表現で最終確認推奨</x:v>
      </x:c>
      <x:c r="AB527" s="165" t="str">
        <x:v>オリジナル</x:v>
      </x:c>
      <x:c r="AC527" s="165" t="str">
        <x:v>公式Specificationの範囲＋ユーザー作成コーパスの論点を参考に独自作成</x:v>
      </x:c>
      <x:c r="AD527" s="171" t="str">
        <x:v>未レビュー</x:v>
      </x:c>
      <x:c r="AE527" s="171"/>
      <x:c r="AF527" s="171"/>
      <x:c r="AG527" s="312"/>
    </x:row>
    <x:row r="528" ht="84" customHeight="1">
      <x:c r="A528" s="311" t="str">
        <x:v>LO4-107</x:v>
      </x:c>
      <x:c r="B528" s="171" t="str">
        <x:v>LO4</x:v>
      </x:c>
      <x:c r="C528" s="165" t="str">
        <x:v>世界の主要な酒精強化ワイン</x:v>
      </x:c>
      <x:c r="D528" s="165" t="str">
        <x:v>ラザグレンの酒精強化時期</x:v>
      </x:c>
      <x:c r="E528" s="165" t="str">
        <x:v>ラザグレン・マスカットで強い品種香と高い残糖を保つために行う操作はどれか。</x:v>
      </x:c>
      <x:c r="F528" s="165" t="str">
        <x:v>完全に辛口まで発酵してから水を加える</x:v>
      </x:c>
      <x:c r="G528" s="165" t="str">
        <x:v>瓶内二次発酵を行う</x:v>
      </x:c>
      <x:c r="H528" s="165" t="str">
        <x:v>発酵の早い段階で酒精強化し、酵母の活動を止める</x:v>
      </x:c>
      <x:c r="I528" s="165" t="str">
        <x:v>フロール下で熟成する</x:v>
      </x:c>
      <x:c r="J528" s="171" t="str">
        <x:v>C</x:v>
      </x:c>
      <x:c r="K528" s="165" t="str">
        <x:v>発酵の早い段階で酒精強化し、酵母の活動を止める</x:v>
      </x:c>
      <x:c r="L528" s="165" t="str">
        <x:v>モスカットのブドウ、バラ、オレンジの花の香りを残し、非常に甘く高アルコールのワインにする。</x:v>
      </x:c>
      <x:c r="M528" s="165" t="str">
        <x:v>誤り。 甘味は早期の発酵停止で残す。</x:v>
      </x:c>
      <x:c r="N528" s="165" t="str">
        <x:v>誤り。 非発泡性の酒精強化ワインである。</x:v>
      </x:c>
      <x:c r="O528" s="165" t="str">
        <x:v>正しい。 モスカットのブドウ、バラ、オレンジの花の香りを残し、非常に甘く高アルコールのワインにする。</x:v>
      </x:c>
      <x:c r="P528" s="165" t="str">
        <x:v>誤り。 酸化熟成を行い、フロールは用いない。</x:v>
      </x:c>
      <x:c r="Q528" s="165" t="str">
        <x:v>酒精強化ワイン製法</x:v>
      </x:c>
      <x:c r="R528" s="165" t="str">
        <x:v>ラザグレン</x:v>
      </x:c>
      <x:c r="S528" s="165" t="str">
        <x:v>甘口酒精強化ワイン</x:v>
      </x:c>
      <x:c r="T528" s="165" t="str">
        <x:v>オーストラリア</x:v>
      </x:c>
      <x:c r="U528" s="165" t="str">
        <x:v>ラザグレン</x:v>
      </x:c>
      <x:c r="V528" s="165" t="str">
        <x:v>マスカット・ア・プティ・グラン・ルージュ</x:v>
      </x:c>
      <x:c r="W528" s="165" t="str">
        <x:v>因果説明</x:v>
      </x:c>
      <x:c r="X528" s="171" t="str">
        <x:v>D2</x:v>
      </x:c>
      <x:c r="Y528" s="165" t="str">
        <x:v>辛口後に加水; フロール熟成</x:v>
      </x:c>
      <x:c r="Z528" s="171" t="str">
        <x:v>N</x:v>
      </x:c>
      <x:c r="AA528" s="165"/>
      <x:c r="AB528" s="165" t="str">
        <x:v>オリジナル</x:v>
      </x:c>
      <x:c r="AC528" s="165" t="str">
        <x:v>公式Specificationの範囲＋ユーザー作成コーパスの論点を参考に独自作成</x:v>
      </x:c>
      <x:c r="AD528" s="171" t="str">
        <x:v>未レビュー</x:v>
      </x:c>
      <x:c r="AE528" s="171"/>
      <x:c r="AF528" s="171"/>
      <x:c r="AG528" s="312"/>
    </x:row>
    <x:row r="529" ht="84" customHeight="1">
      <x:c r="A529" s="311" t="str">
        <x:v>LO4-108</x:v>
      </x:c>
      <x:c r="B529" s="171" t="str">
        <x:v>LO4</x:v>
      </x:c>
      <x:c r="C529" s="165" t="str">
        <x:v>世界の主要な酒精強化ワイン</x:v>
      </x:c>
      <x:c r="D529" s="165" t="str">
        <x:v>ラザグレンの古木</x:v>
      </x:c>
      <x:c r="E529" s="165" t="str">
        <x:v>ラザグレンの古木マスカットが凝縮したワインを生みやすい主な理由はどれか。</x:v>
      </x:c>
      <x:c r="F529" s="165" t="str">
        <x:v>古木ほど果粒が必ず巨大になるため</x:v>
      </x:c>
      <x:c r="G529" s="165" t="str">
        <x:v>古木は水を一切必要としないため</x:v>
      </x:c>
      <x:c r="H529" s="165" t="str">
        <x:v>古木では酒精強化が不要になるため</x:v>
      </x:c>
      <x:c r="I529" s="165" t="str">
        <x:v>古木の収量が低く、小粒で糖と香りの濃い果実を生むため</x:v>
      </x:c>
      <x:c r="J529" s="171" t="str">
        <x:v>D</x:v>
      </x:c>
      <x:c r="K529" s="165" t="str">
        <x:v>古木の収量が低く、小粒で糖と香りの濃い果実を生むため</x:v>
      </x:c>
      <x:c r="L529" s="165" t="str">
        <x:v>深い根と低収量が暑く乾燥した環境で果実を十分に成熟させ、濃厚な甘口ワインの原料となる。</x:v>
      </x:c>
      <x:c r="M529" s="165" t="str">
        <x:v>誤り。 一般に収量が低く、小粒で濃縮しやすい。</x:v>
      </x:c>
      <x:c r="N529" s="165" t="str">
        <x:v>誤り。 深根性でも水は必要である。</x:v>
      </x:c>
      <x:c r="O529" s="165" t="str">
        <x:v>誤り。 甘味保持には酒精強化が必要である。</x:v>
      </x:c>
      <x:c r="P529" s="165" t="str">
        <x:v>正しい。 深い根と低収量が暑く乾燥した環境で果実を十分に成熟させ、濃厚な甘口ワインの原料となる。</x:v>
      </x:c>
      <x:c r="Q529" s="165" t="str">
        <x:v>栽培</x:v>
      </x:c>
      <x:c r="R529" s="165" t="str">
        <x:v>ラザグレン</x:v>
      </x:c>
      <x:c r="S529" s="165" t="str">
        <x:v>甘口酒精強化ワイン</x:v>
      </x:c>
      <x:c r="T529" s="165" t="str">
        <x:v>オーストラリア</x:v>
      </x:c>
      <x:c r="U529" s="165" t="str">
        <x:v>ラザグレン</x:v>
      </x:c>
      <x:c r="V529" s="165" t="str">
        <x:v>マスカット</x:v>
      </x:c>
      <x:c r="W529" s="165" t="str">
        <x:v>因果説明</x:v>
      </x:c>
      <x:c r="X529" s="171" t="str">
        <x:v>D2</x:v>
      </x:c>
      <x:c r="Y529" s="165" t="str">
        <x:v>古木は巨大果粒; 古木で酒精強化不要</x:v>
      </x:c>
      <x:c r="Z529" s="171" t="str">
        <x:v>N</x:v>
      </x:c>
      <x:c r="AA529" s="165"/>
      <x:c r="AB529" s="165" t="str">
        <x:v>オリジナル</x:v>
      </x:c>
      <x:c r="AC529" s="165" t="str">
        <x:v>公式Specificationの範囲＋ユーザー作成コーパスの論点を参考に独自作成</x:v>
      </x:c>
      <x:c r="AD529" s="171" t="str">
        <x:v>未レビュー</x:v>
      </x:c>
      <x:c r="AE529" s="171"/>
      <x:c r="AF529" s="171"/>
      <x:c r="AG529" s="312"/>
    </x:row>
    <x:row r="530" ht="84" customHeight="1">
      <x:c r="A530" s="311" t="str">
        <x:v>LO4-109</x:v>
      </x:c>
      <x:c r="B530" s="171" t="str">
        <x:v>LO4</x:v>
      </x:c>
      <x:c r="C530" s="165" t="str">
        <x:v>世界の主要な酒精強化ワイン</x:v>
      </x:c>
      <x:c r="D530" s="165" t="str">
        <x:v>ラザグレンの気候</x:v>
      </x:c>
      <x:c r="E530" s="165" t="str">
        <x:v>ラザグレンのマスカットが非常に高い糖度まで成熟しやすい主な理由はどれか。</x:v>
      </x:c>
      <x:c r="F530" s="165" t="str">
        <x:v>暑く乾燥した大陸性気候と長い日照</x:v>
      </x:c>
      <x:c r="G530" s="165" t="str">
        <x:v>冷涼で多雨な海洋性気候だから</x:v>
      </x:c>
      <x:c r="H530" s="165" t="str">
        <x:v>収穫前に果実を凍結するから</x:v>
      </x:c>
      <x:c r="I530" s="165" t="str">
        <x:v>高緯度の極夜が続くから</x:v>
      </x:c>
      <x:c r="J530" s="171" t="str">
        <x:v>A</x:v>
      </x:c>
      <x:c r="K530" s="165" t="str">
        <x:v>暑く乾燥した大陸性気候と長い日照</x:v>
      </x:c>
      <x:c r="L530" s="165" t="str">
        <x:v>高温と乾燥により病害が少なく、果実を長く樹上に残して過熟・部分乾燥させられる。</x:v>
      </x:c>
      <x:c r="M530" s="165" t="str">
        <x:v>正しい。 高温と乾燥により病害が少なく、果実を長く樹上に残して過熟・部分乾燥させられる。</x:v>
      </x:c>
      <x:c r="N530" s="165" t="str">
        <x:v>誤り。 ラザグレンは内陸の温暖な地域である。</x:v>
      </x:c>
      <x:c r="O530" s="165" t="str">
        <x:v>誤り。 アイスワインの製法ではない。</x:v>
      </x:c>
      <x:c r="P530" s="165" t="str">
        <x:v>誤り。 十分な日照と暑さが成熟を支える。</x:v>
      </x:c>
      <x:c r="Q530" s="165" t="str">
        <x:v>自然要因</x:v>
      </x:c>
      <x:c r="R530" s="165" t="str">
        <x:v>ラザグレン</x:v>
      </x:c>
      <x:c r="S530" s="165" t="str">
        <x:v>甘口酒精強化ワイン</x:v>
      </x:c>
      <x:c r="T530" s="165" t="str">
        <x:v>オーストラリア</x:v>
      </x:c>
      <x:c r="U530" s="165" t="str">
        <x:v>ラザグレン</x:v>
      </x:c>
      <x:c r="V530" s="165" t="str">
        <x:v>マスカット</x:v>
      </x:c>
      <x:c r="W530" s="165" t="str">
        <x:v>因果説明</x:v>
      </x:c>
      <x:c r="X530" s="171" t="str">
        <x:v>D1</x:v>
      </x:c>
      <x:c r="Y530" s="165" t="str">
        <x:v>ラザグレンは冷涼多雨; 凍結収穫</x:v>
      </x:c>
      <x:c r="Z530" s="171" t="str">
        <x:v>N</x:v>
      </x:c>
      <x:c r="AA530" s="165"/>
      <x:c r="AB530" s="165" t="str">
        <x:v>オリジナル</x:v>
      </x:c>
      <x:c r="AC530" s="165" t="str">
        <x:v>公式Specificationの範囲＋ユーザー作成コーパスの論点を参考に独自作成</x:v>
      </x:c>
      <x:c r="AD530" s="171" t="str">
        <x:v>未レビュー</x:v>
      </x:c>
      <x:c r="AE530" s="171"/>
      <x:c r="AF530" s="171"/>
      <x:c r="AG530" s="312"/>
    </x:row>
    <x:row r="531" ht="84" customHeight="1">
      <x:c r="A531" s="311" t="str">
        <x:v>LO4-110</x:v>
      </x:c>
      <x:c r="B531" s="171" t="str">
        <x:v>LO4</x:v>
      </x:c>
      <x:c r="C531" s="165" t="str">
        <x:v>世界の主要な酒精強化ワイン</x:v>
      </x:c>
      <x:c r="D531" s="165" t="str">
        <x:v>ラザグレンの酸化熟成</x:v>
      </x:c>
      <x:c r="E531" s="165" t="str">
        <x:v>ラザグレン・マスカットの長期酸化熟成で発達しやすい風味はどれか。</x:v>
      </x:c>
      <x:c r="F531" s="165" t="str">
        <x:v>新鮮な青草と低アルコールだけ</x:v>
      </x:c>
      <x:c r="G531" s="165" t="str">
        <x:v>レーズン、キャラメル、コーヒー、ナッツ、モラセス</x:v>
      </x:c>
      <x:c r="H531" s="165" t="str">
        <x:v>ライムと白い花だけの軽い辛口</x:v>
      </x:c>
      <x:c r="I531" s="165" t="str">
        <x:v>強い炭酸ガスの泡</x:v>
      </x:c>
      <x:c r="J531" s="171" t="str">
        <x:v>B</x:v>
      </x:c>
      <x:c r="K531" s="165" t="str">
        <x:v>レーズン、キャラメル、コーヒー、ナッツ、モラセス</x:v>
      </x:c>
      <x:c r="L531" s="165" t="str">
        <x:v>樽の空隙、高温の熟成庫、蒸発による濃縮が、非常に濃く粘性のある複雑なスタイルを生む。</x:v>
      </x:c>
      <x:c r="M531" s="165" t="str">
        <x:v>誤り。 長期酸化で熟成香と高い濃縮感が発達する。</x:v>
      </x:c>
      <x:c r="N531" s="165" t="str">
        <x:v>正しい。 樽の空隙、高温の熟成庫、蒸発による濃縮が、非常に濃く粘性のある複雑なスタイルを生む。</x:v>
      </x:c>
      <x:c r="O531" s="165" t="str">
        <x:v>誤り。 若い芳香性白のスタイルではない。</x:v>
      </x:c>
      <x:c r="P531" s="165" t="str">
        <x:v>誤り。 非発泡性である。</x:v>
      </x:c>
      <x:c r="Q531" s="165" t="str">
        <x:v>熟成</x:v>
      </x:c>
      <x:c r="R531" s="165" t="str">
        <x:v>ラザグレン</x:v>
      </x:c>
      <x:c r="S531" s="165" t="str">
        <x:v>甘口酒精強化ワイン</x:v>
      </x:c>
      <x:c r="T531" s="165" t="str">
        <x:v>オーストラリア</x:v>
      </x:c>
      <x:c r="U531" s="165" t="str">
        <x:v>ラザグレン</x:v>
      </x:c>
      <x:c r="V531" s="165" t="str">
        <x:v>マスカット</x:v>
      </x:c>
      <x:c r="W531" s="165" t="str">
        <x:v>知識確認</x:v>
      </x:c>
      <x:c r="X531" s="171" t="str">
        <x:v>D2</x:v>
      </x:c>
      <x:c r="Y531" s="165" t="str">
        <x:v>ラザグレンは軽い青草; 発泡性</x:v>
      </x:c>
      <x:c r="Z531" s="171" t="str">
        <x:v>N</x:v>
      </x:c>
      <x:c r="AA531" s="165"/>
      <x:c r="AB531" s="165" t="str">
        <x:v>オリジナル</x:v>
      </x:c>
      <x:c r="AC531" s="165" t="str">
        <x:v>公式Specificationの範囲＋ユーザー作成コーパスの論点を参考に独自作成</x:v>
      </x:c>
      <x:c r="AD531" s="171" t="str">
        <x:v>未レビュー</x:v>
      </x:c>
      <x:c r="AE531" s="171"/>
      <x:c r="AF531" s="171"/>
      <x:c r="AG531" s="312"/>
    </x:row>
    <x:row r="532" ht="84" customHeight="1">
      <x:c r="A532" s="311" t="str">
        <x:v>LO4-111</x:v>
      </x:c>
      <x:c r="B532" s="171" t="str">
        <x:v>LO4</x:v>
      </x:c>
      <x:c r="C532" s="165" t="str">
        <x:v>世界の主要な酒精強化ワイン</x:v>
      </x:c>
      <x:c r="D532" s="165" t="str">
        <x:v>ラザグレンの分類</x:v>
      </x:c>
      <x:c r="E532" s="165" t="str">
        <x:v>ラザグレン・マスカットの「Rutherglen」「Classic」「Grand」「Rare」という区分が主に表すものはどれか。</x:v>
      </x:c>
      <x:c r="F532" s="165" t="str">
        <x:v>発泡性の圧力区分</x:v>
      </x:c>
      <x:c r="G532" s="165" t="str">
        <x:v>ブドウ果皮の色だけ</x:v>
      </x:c>
      <x:c r="H532" s="165" t="str">
        <x:v>熟成度、濃縮度、複雑性の段階</x:v>
      </x:c>
      <x:c r="I532" s="165" t="str">
        <x:v>アルコールを含むかどうか</x:v>
      </x:c>
      <x:c r="J532" s="171" t="str">
        <x:v>C</x:v>
      </x:c>
      <x:c r="K532" s="165" t="str">
        <x:v>熟成度、濃縮度、複雑性の段階</x:v>
      </x:c>
      <x:c r="L532" s="165" t="str">
        <x:v>上位区分ほど一般に古い原酒を多く含み、酸化熟成と蒸発による濃縮が強く、価格も高くなる。</x:v>
      </x:c>
      <x:c r="M532" s="165" t="str">
        <x:v>誤り。 非発泡性の酒精強化ワインである。</x:v>
      </x:c>
      <x:c r="N532" s="165" t="str">
        <x:v>誤り。 熟成スタイルと品質の階層を示す。</x:v>
      </x:c>
      <x:c r="O532" s="165" t="str">
        <x:v>正しい。 上位区分ほど一般に古い原酒を多く含み、酸化熟成と蒸発による濃縮が強く、価格も高くなる。</x:v>
      </x:c>
      <x:c r="P532" s="165" t="str">
        <x:v>誤り。 いずれも酒精強化ワインである。</x:v>
      </x:c>
      <x:c r="Q532" s="165" t="str">
        <x:v>法律・表示</x:v>
      </x:c>
      <x:c r="R532" s="165" t="str">
        <x:v>ラザグレン</x:v>
      </x:c>
      <x:c r="S532" s="165" t="str">
        <x:v>甘口酒精強化ワイン</x:v>
      </x:c>
      <x:c r="T532" s="165" t="str">
        <x:v>オーストラリア</x:v>
      </x:c>
      <x:c r="U532" s="165" t="str">
        <x:v>ラザグレン</x:v>
      </x:c>
      <x:c r="V532" s="165"/>
      <x:c r="W532" s="165" t="str">
        <x:v>知識確認</x:v>
      </x:c>
      <x:c r="X532" s="171" t="str">
        <x:v>D2</x:v>
      </x:c>
      <x:c r="Y532" s="165" t="str">
        <x:v>分類は瓶内圧力; 果皮色のみ</x:v>
      </x:c>
      <x:c r="Z532" s="171" t="str">
        <x:v>Y</x:v>
      </x:c>
      <x:c r="AA532" s="165" t="str">
        <x:v>ラザグレンの分類名称・官能基準を最新教材と生産者団体基準で最終照合推奨</x:v>
      </x:c>
      <x:c r="AB532" s="165" t="str">
        <x:v>オリジナル</x:v>
      </x:c>
      <x:c r="AC532" s="165" t="str">
        <x:v>公式Specificationの範囲＋ユーザー作成コーパスの論点を参考に独自作成</x:v>
      </x:c>
      <x:c r="AD532" s="171" t="str">
        <x:v>未レビュー</x:v>
      </x:c>
      <x:c r="AE532" s="171"/>
      <x:c r="AF532" s="171"/>
      <x:c r="AG532" s="312"/>
    </x:row>
    <x:row r="533" ht="84" customHeight="1">
      <x:c r="A533" s="311" t="str">
        <x:v>LO4-112</x:v>
      </x:c>
      <x:c r="B533" s="171" t="str">
        <x:v>LO4</x:v>
      </x:c>
      <x:c r="C533" s="165" t="str">
        <x:v>世界の主要な酒精強化ワイン</x:v>
      </x:c>
      <x:c r="D533" s="165" t="str">
        <x:v>Rutherglen区分のスタイル</x:v>
      </x:c>
      <x:c r="E533" s="165" t="str">
        <x:v>最も若い「Rutherglen」区分のマスカットに期待される特徴はどれか。</x:v>
      </x:c>
      <x:c r="F533" s="165" t="str">
        <x:v>最も濃厚で黒く、数十年の熟成香だけ</x:v>
      </x:c>
      <x:c r="G533" s="165" t="str">
        <x:v>完全辛口で無香</x:v>
      </x:c>
      <x:c r="H533" s="165" t="str">
        <x:v>瓶内二次発酵の強い泡</x:v>
      </x:c>
      <x:c r="I533" s="165" t="str">
        <x:v>ブドウとレーズンの一次果実香が明瞭で、上位区分より軽快</x:v>
      </x:c>
      <x:c r="J533" s="171" t="str">
        <x:v>D</x:v>
      </x:c>
      <x:c r="K533" s="165" t="str">
        <x:v>ブドウとレーズンの一次果実香が明瞭で、上位区分より軽快</x:v>
      </x:c>
      <x:c r="L533" s="165" t="str">
        <x:v>若い原酒を中心にし、酸化熟成香よりモスカットの芳香と新鮮な甘味を重視する。</x:v>
      </x:c>
      <x:c r="M533" s="165" t="str">
        <x:v>誤り。 これはGrandやRareに近い。</x:v>
      </x:c>
      <x:c r="N533" s="165" t="str">
        <x:v>誤り。 甘口で芳香性が高い。</x:v>
      </x:c>
      <x:c r="O533" s="165" t="str">
        <x:v>誤り。 非発泡性である。</x:v>
      </x:c>
      <x:c r="P533" s="165" t="str">
        <x:v>正しい。 若い原酒を中心にし、酸化熟成香よりモスカットの芳香と新鮮な甘味を重視する。</x:v>
      </x:c>
      <x:c r="Q533" s="165" t="str">
        <x:v>スタイル</x:v>
      </x:c>
      <x:c r="R533" s="165" t="str">
        <x:v>ラザグレン</x:v>
      </x:c>
      <x:c r="S533" s="165" t="str">
        <x:v>甘口酒精強化ワイン</x:v>
      </x:c>
      <x:c r="T533" s="165" t="str">
        <x:v>オーストラリア</x:v>
      </x:c>
      <x:c r="U533" s="165" t="str">
        <x:v>ラザグレン</x:v>
      </x:c>
      <x:c r="V533" s="165"/>
      <x:c r="W533" s="165" t="str">
        <x:v>比較</x:v>
      </x:c>
      <x:c r="X533" s="171" t="str">
        <x:v>D2</x:v>
      </x:c>
      <x:c r="Y533" s="165" t="str">
        <x:v>Rutherglen区分は最古; 完全辛口</x:v>
      </x:c>
      <x:c r="Z533" s="171" t="str">
        <x:v>Y</x:v>
      </x:c>
      <x:c r="AA533" s="165" t="str">
        <x:v>区分ごとの官能表現は最新分類基準と最終照合推奨</x:v>
      </x:c>
      <x:c r="AB533" s="165" t="str">
        <x:v>オリジナル</x:v>
      </x:c>
      <x:c r="AC533" s="165" t="str">
        <x:v>公式Specificationの範囲＋ユーザー作成コーパスの論点を参考に独自作成</x:v>
      </x:c>
      <x:c r="AD533" s="171" t="str">
        <x:v>未レビュー</x:v>
      </x:c>
      <x:c r="AE533" s="171"/>
      <x:c r="AF533" s="171"/>
      <x:c r="AG533" s="312"/>
    </x:row>
    <x:row r="534" ht="84" customHeight="1">
      <x:c r="A534" s="311" t="str">
        <x:v>LO4-113</x:v>
      </x:c>
      <x:c r="B534" s="171" t="str">
        <x:v>LO4</x:v>
      </x:c>
      <x:c r="C534" s="165" t="str">
        <x:v>世界の主要な酒精強化ワイン</x:v>
      </x:c>
      <x:c r="D534" s="165" t="str">
        <x:v>Classic区分</x:v>
      </x:c>
      <x:c r="E534" s="165" t="str">
        <x:v>「Classic Rutherglen Muscat」が基本のRutherglen区分より複雑になりやすい主な理由はどれか。</x:v>
      </x:c>
      <x:c r="F534" s="165" t="str">
        <x:v>より長く熟成した原酒を多く含み、果実香にキャラメルやナッツ香が加わる</x:v>
      </x:c>
      <x:c r="G534" s="165" t="str">
        <x:v>炭酸ガスを追加するため</x:v>
      </x:c>
      <x:c r="H534" s="165" t="str">
        <x:v>残糖を完全に発酵させるため</x:v>
      </x:c>
      <x:c r="I534" s="165" t="str">
        <x:v>白品種を黒品種へ変えるため</x:v>
      </x:c>
      <x:c r="J534" s="171" t="str">
        <x:v>A</x:v>
      </x:c>
      <x:c r="K534" s="165" t="str">
        <x:v>より長く熟成した原酒を多く含み、果実香にキャラメルやナッツ香が加わる</x:v>
      </x:c>
      <x:c r="L534" s="165" t="str">
        <x:v>酸化熟成とブレンドによる濃縮が進み、甘味、アルコール、熟成香の均衡が高まる。</x:v>
      </x:c>
      <x:c r="M534" s="165" t="str">
        <x:v>正しい。 酸化熟成とブレンドによる濃縮が進み、甘味、アルコール、熟成香の均衡が高まる。</x:v>
      </x:c>
      <x:c r="N534" s="165" t="str">
        <x:v>誤り。 非発泡性である。</x:v>
      </x:c>
      <x:c r="O534" s="165" t="str">
        <x:v>誤り。 甘口スタイルを保つ。</x:v>
      </x:c>
      <x:c r="P534" s="165" t="str">
        <x:v>誤り。 品種の遺伝的性質は変わらない。</x:v>
      </x:c>
      <x:c r="Q534" s="165" t="str">
        <x:v>熟成</x:v>
      </x:c>
      <x:c r="R534" s="165" t="str">
        <x:v>ラザグレン</x:v>
      </x:c>
      <x:c r="S534" s="165" t="str">
        <x:v>甘口酒精強化ワイン</x:v>
      </x:c>
      <x:c r="T534" s="165" t="str">
        <x:v>オーストラリア</x:v>
      </x:c>
      <x:c r="U534" s="165" t="str">
        <x:v>ラザグレン</x:v>
      </x:c>
      <x:c r="V534" s="165"/>
      <x:c r="W534" s="165" t="str">
        <x:v>因果説明</x:v>
      </x:c>
      <x:c r="X534" s="171" t="str">
        <x:v>D2</x:v>
      </x:c>
      <x:c r="Y534" s="165" t="str">
        <x:v>Classicは炭酸化; 辛口化</x:v>
      </x:c>
      <x:c r="Z534" s="171" t="str">
        <x:v>Y</x:v>
      </x:c>
      <x:c r="AA534" s="165" t="str">
        <x:v>区分ごとの官能表現は最新分類基準と最終照合推奨</x:v>
      </x:c>
      <x:c r="AB534" s="165" t="str">
        <x:v>オリジナル</x:v>
      </x:c>
      <x:c r="AC534" s="165" t="str">
        <x:v>公式Specificationの範囲＋ユーザー作成コーパスの論点を参考に独自作成</x:v>
      </x:c>
      <x:c r="AD534" s="171" t="str">
        <x:v>未レビュー</x:v>
      </x:c>
      <x:c r="AE534" s="171"/>
      <x:c r="AF534" s="171"/>
      <x:c r="AG534" s="312"/>
    </x:row>
    <x:row r="535" ht="84" customHeight="1">
      <x:c r="A535" s="311" t="str">
        <x:v>LO4-114</x:v>
      </x:c>
      <x:c r="B535" s="171" t="str">
        <x:v>LO4</x:v>
      </x:c>
      <x:c r="C535" s="165" t="str">
        <x:v>世界の主要な酒精強化ワイン</x:v>
      </x:c>
      <x:c r="D535" s="165" t="str">
        <x:v>GrandとRare</x:v>
      </x:c>
      <x:c r="E535" s="165" t="str">
        <x:v>GrandまたはRare Rutherglen Muscatが非常に高価になりやすい主な理由はどれか。</x:v>
      </x:c>
      <x:c r="F535" s="165" t="str">
        <x:v>最も高収量の若い畑だけを使う</x:v>
      </x:c>
      <x:c r="G535" s="165" t="str">
        <x:v>非常に古く濃縮した原酒を少量用い、長期熟成中の蒸発損失が大きい</x:v>
      </x:c>
      <x:c r="H535" s="165" t="str">
        <x:v>炭酸ガス注入で大量生産する</x:v>
      </x:c>
      <x:c r="I535" s="165" t="str">
        <x:v>アルコールを除去して無酒精にする</x:v>
      </x:c>
      <x:c r="J535" s="171" t="str">
        <x:v>B</x:v>
      </x:c>
      <x:c r="K535" s="165" t="str">
        <x:v>非常に古く濃縮した原酒を少量用い、長期熟成中の蒸発損失が大きい</x:v>
      </x:c>
      <x:c r="L535" s="165" t="str">
        <x:v>在庫を長期間保有し、古い樽からごく少量しか得られないため、希少性と熟成コストが高い。</x:v>
      </x:c>
      <x:c r="M535" s="165" t="str">
        <x:v>誤り。 低い販売量と古い原酒が価格を高める。</x:v>
      </x:c>
      <x:c r="N535" s="165" t="str">
        <x:v>正しい。 在庫を長期間保有し、古い樽からごく少量しか得られないため、希少性と熟成コストが高い。</x:v>
      </x:c>
      <x:c r="O535" s="165" t="str">
        <x:v>誤り。 長期酸化熟成の少量生産である。</x:v>
      </x:c>
      <x:c r="P535" s="165" t="str">
        <x:v>誤り。 高アルコールの酒精強化ワインである。</x:v>
      </x:c>
      <x:c r="Q535" s="165" t="str">
        <x:v>商業・価格</x:v>
      </x:c>
      <x:c r="R535" s="165" t="str">
        <x:v>ラザグレン</x:v>
      </x:c>
      <x:c r="S535" s="165" t="str">
        <x:v>甘口酒精強化ワイン</x:v>
      </x:c>
      <x:c r="T535" s="165" t="str">
        <x:v>オーストラリア</x:v>
      </x:c>
      <x:c r="U535" s="165" t="str">
        <x:v>ラザグレン</x:v>
      </x:c>
      <x:c r="V535" s="165"/>
      <x:c r="W535" s="165" t="str">
        <x:v>統合判断</x:v>
      </x:c>
      <x:c r="X535" s="171" t="str">
        <x:v>D3</x:v>
      </x:c>
      <x:c r="Y535" s="165" t="str">
        <x:v>Grandは高収量; 大量炭酸化</x:v>
      </x:c>
      <x:c r="Z535" s="171" t="str">
        <x:v>Y</x:v>
      </x:c>
      <x:c r="AA535" s="165" t="str">
        <x:v>Grand／Rareの分類基準・平均熟成イメージを最新基準と照合推奨</x:v>
      </x:c>
      <x:c r="AB535" s="165" t="str">
        <x:v>オリジナル</x:v>
      </x:c>
      <x:c r="AC535" s="165" t="str">
        <x:v>公式Specificationの範囲＋ユーザー作成コーパスの論点を参考に独自作成</x:v>
      </x:c>
      <x:c r="AD535" s="171" t="str">
        <x:v>未レビュー</x:v>
      </x:c>
      <x:c r="AE535" s="171"/>
      <x:c r="AF535" s="171"/>
      <x:c r="AG535" s="312"/>
    </x:row>
    <x:row r="536" ht="84" customHeight="1">
      <x:c r="A536" s="311" t="str">
        <x:v>LO4-115</x:v>
      </x:c>
      <x:c r="B536" s="171" t="str">
        <x:v>LO4</x:v>
      </x:c>
      <x:c r="C536" s="165" t="str">
        <x:v>世界の主要な酒精強化ワイン</x:v>
      </x:c>
      <x:c r="D536" s="165" t="str">
        <x:v>ラザグレンの年代ブレンド</x:v>
      </x:c>
      <x:c r="E536" s="165" t="str">
        <x:v>ラザグレンの生産者が異なる年齢の原酒をブレンドする主な目的はどれか。</x:v>
      </x:c>
      <x:c r="F536" s="165" t="str">
        <x:v>毎年単一収穫年だけを表現する</x:v>
      </x:c>
      <x:c r="G536" s="165" t="str">
        <x:v>酒精強化を不要にする</x:v>
      </x:c>
      <x:c r="H536" s="165" t="str">
        <x:v>若い原酒の品種香と古い原酒の濃縮した熟成香を調和させ、一定のスタイルを作る</x:v>
      </x:c>
      <x:c r="I536" s="165" t="str">
        <x:v>瓶内圧力を高める</x:v>
      </x:c>
      <x:c r="J536" s="171" t="str">
        <x:v>C</x:v>
      </x:c>
      <x:c r="K536" s="165" t="str">
        <x:v>若い原酒の品種香と古い原酒の濃縮した熟成香を調和させ、一定のスタイルを作る</x:v>
      </x:c>
      <x:c r="L536" s="165" t="str">
        <x:v>複数年を組み合わせることで、ヴィンテージ差をならし、甘味、酸、アルコール、酸化香を均衡させる。</x:v>
      </x:c>
      <x:c r="M536" s="165" t="str">
        <x:v>誤り。 ブレンドは年ごとの差を小さくする。</x:v>
      </x:c>
      <x:c r="N536" s="165" t="str">
        <x:v>誤り。 発酵停止のため酒精強化が必要である。</x:v>
      </x:c>
      <x:c r="O536" s="165" t="str">
        <x:v>正しい。 複数年を組み合わせることで、ヴィンテージ差をならし、甘味、酸、アルコール、酸化香を均衡させる。</x:v>
      </x:c>
      <x:c r="P536" s="165" t="str">
        <x:v>誤り。 非発泡性である。</x:v>
      </x:c>
      <x:c r="Q536" s="165" t="str">
        <x:v>ブレンド</x:v>
      </x:c>
      <x:c r="R536" s="165" t="str">
        <x:v>ラザグレン</x:v>
      </x:c>
      <x:c r="S536" s="165" t="str">
        <x:v>甘口酒精強化ワイン</x:v>
      </x:c>
      <x:c r="T536" s="165" t="str">
        <x:v>オーストラリア</x:v>
      </x:c>
      <x:c r="U536" s="165" t="str">
        <x:v>ラザグレン</x:v>
      </x:c>
      <x:c r="V536" s="165"/>
      <x:c r="W536" s="165" t="str">
        <x:v>統合判断</x:v>
      </x:c>
      <x:c r="X536" s="171" t="str">
        <x:v>D3</x:v>
      </x:c>
      <x:c r="Y536" s="165" t="str">
        <x:v>年代ブレンドは単一ヴィンテージ; 発泡化</x:v>
      </x:c>
      <x:c r="Z536" s="171" t="str">
        <x:v>N</x:v>
      </x:c>
      <x:c r="AA536" s="165"/>
      <x:c r="AB536" s="165" t="str">
        <x:v>オリジナル</x:v>
      </x:c>
      <x:c r="AC536" s="165" t="str">
        <x:v>公式Specificationの範囲＋ユーザー作成コーパスの論点を参考に独自作成</x:v>
      </x:c>
      <x:c r="AD536" s="171" t="str">
        <x:v>未レビュー</x:v>
      </x:c>
      <x:c r="AE536" s="171"/>
      <x:c r="AF536" s="171"/>
      <x:c r="AG536" s="312"/>
    </x:row>
    <x:row r="537" ht="84" customHeight="1">
      <x:c r="A537" s="311" t="str">
        <x:v>LO4-116</x:v>
      </x:c>
      <x:c r="B537" s="171" t="str">
        <x:v>LO4</x:v>
      </x:c>
      <x:c r="C537" s="165" t="str">
        <x:v>世界の主要な酒精強化ワイン</x:v>
      </x:c>
      <x:c r="D537" s="165" t="str">
        <x:v>樹上での濃縮</x:v>
      </x:c>
      <x:c r="E537" s="165" t="str">
        <x:v>ラザグレンのマスカットを十分に熟すまで樹上に残す主な効果はどれか。</x:v>
      </x:c>
      <x:c r="F537" s="165" t="str">
        <x:v>酸と糖が完全に消失する</x:v>
      </x:c>
      <x:c r="G537" s="165" t="str">
        <x:v>ブドウが自然に発泡する</x:v>
      </x:c>
      <x:c r="H537" s="165" t="str">
        <x:v>果皮が白から黒へ必ず変わる</x:v>
      </x:c>
      <x:c r="I537" s="165" t="str">
        <x:v>糖と品種香が高まり、一部の果粒がしなびてさらに濃縮する</x:v>
      </x:c>
      <x:c r="J537" s="171" t="str">
        <x:v>D</x:v>
      </x:c>
      <x:c r="K537" s="165" t="str">
        <x:v>糖と品種香が高まり、一部の果粒がしなびてさらに濃縮する</x:v>
      </x:c>
      <x:c r="L537" s="165" t="str">
        <x:v>暑く乾燥した条件で過熟させることで、酒精強化後にも強いブドウ、レーズン、花の風味が残る。</x:v>
      </x:c>
      <x:c r="M537" s="165" t="str">
        <x:v>誤り。 糖は増加・濃縮し、酸は相対的に低下することがある。</x:v>
      </x:c>
      <x:c r="N537" s="165" t="str">
        <x:v>誤り。 発泡性は生じない。</x:v>
      </x:c>
      <x:c r="O537" s="165" t="str">
        <x:v>誤り。 品種の果皮色が成熟で別品種へ変わるわけではない。</x:v>
      </x:c>
      <x:c r="P537" s="165" t="str">
        <x:v>正しい。 暑く乾燥した条件で過熟させることで、酒精強化後にも強いブドウ、レーズン、花の風味が残る。</x:v>
      </x:c>
      <x:c r="Q537" s="165" t="str">
        <x:v>栽培</x:v>
      </x:c>
      <x:c r="R537" s="165" t="str">
        <x:v>ラザグレン</x:v>
      </x:c>
      <x:c r="S537" s="165" t="str">
        <x:v>甘口酒精強化ワイン</x:v>
      </x:c>
      <x:c r="T537" s="165" t="str">
        <x:v>オーストラリア</x:v>
      </x:c>
      <x:c r="U537" s="165" t="str">
        <x:v>ラザグレン</x:v>
      </x:c>
      <x:c r="V537" s="165" t="str">
        <x:v>マスカット</x:v>
      </x:c>
      <x:c r="W537" s="165" t="str">
        <x:v>因果説明</x:v>
      </x:c>
      <x:c r="X537" s="171" t="str">
        <x:v>D2</x:v>
      </x:c>
      <x:c r="Y537" s="165" t="str">
        <x:v>過熟で糖消失; 自然発泡</x:v>
      </x:c>
      <x:c r="Z537" s="171" t="str">
        <x:v>N</x:v>
      </x:c>
      <x:c r="AA537" s="165"/>
      <x:c r="AB537" s="165" t="str">
        <x:v>オリジナル</x:v>
      </x:c>
      <x:c r="AC537" s="165" t="str">
        <x:v>公式Specificationの範囲＋ユーザー作成コーパスの論点を参考に独自作成</x:v>
      </x:c>
      <x:c r="AD537" s="171" t="str">
        <x:v>未レビュー</x:v>
      </x:c>
      <x:c r="AE537" s="171"/>
      <x:c r="AF537" s="171"/>
      <x:c r="AG537" s="312"/>
    </x:row>
    <x:row r="538" ht="84" customHeight="1">
      <x:c r="A538" s="311" t="str">
        <x:v>LO4-117</x:v>
      </x:c>
      <x:c r="B538" s="171" t="str">
        <x:v>LO4</x:v>
      </x:c>
      <x:c r="C538" s="165" t="str">
        <x:v>世界の主要な酒精強化ワイン</x:v>
      </x:c>
      <x:c r="D538" s="165" t="str">
        <x:v>ミュスカ・ド・ボーム・ド・ヴニーズの品種</x:v>
      </x:c>
      <x:c r="E538" s="165" t="str">
        <x:v>ミュスカ・ド・ボーム・ド・ヴニーズの強いブドウと花の香りの主な由来はどれか。</x:v>
      </x:c>
      <x:c r="F538" s="165" t="str">
        <x:v>マスカット・ブラン・ア・プティ・グランの芳香性</x:v>
      </x:c>
      <x:c r="G538" s="165" t="str">
        <x:v>パロミノの中立性</x:v>
      </x:c>
      <x:c r="H538" s="165" t="str">
        <x:v>ネッビオーロの高タンニン</x:v>
      </x:c>
      <x:c r="I538" s="165" t="str">
        <x:v>グレーラのタンク方式だけ</x:v>
      </x:c>
      <x:c r="J538" s="171" t="str">
        <x:v>A</x:v>
      </x:c>
      <x:c r="K538" s="165" t="str">
        <x:v>マスカット・ブラン・ア・プティ・グランの芳香性</x:v>
      </x:c>
      <x:c r="L538" s="165" t="str">
        <x:v>品種由来のテルペンが、ブドウ、バラ、オレンジの花、桃を思わせる香りを与える。</x:v>
      </x:c>
      <x:c r="M538" s="165" t="str">
        <x:v>正しい。 品種由来のテルペンが、ブドウ、バラ、オレンジの花、桃を思わせる香りを与える。</x:v>
      </x:c>
      <x:c r="N538" s="165" t="str">
        <x:v>誤り。 パロミノはシェリーの主要品種で、芳香性は低い。</x:v>
      </x:c>
      <x:c r="O538" s="165" t="str">
        <x:v>誤り。 ネッビオーロは黒品種で、スタイルが異なる。</x:v>
      </x:c>
      <x:c r="P538" s="165" t="str">
        <x:v>誤り。 グレーラはプロセッコの主要品種である。</x:v>
      </x:c>
      <x:c r="Q538" s="165" t="str">
        <x:v>品種</x:v>
      </x:c>
      <x:c r="R538" s="165" t="str">
        <x:v>南ローヌ</x:v>
      </x:c>
      <x:c r="S538" s="165" t="str">
        <x:v>甘口酒精強化ワイン</x:v>
      </x:c>
      <x:c r="T538" s="165" t="str">
        <x:v>フランス</x:v>
      </x:c>
      <x:c r="U538" s="165" t="str">
        <x:v>ボーム・ド・ヴニーズ</x:v>
      </x:c>
      <x:c r="V538" s="165" t="str">
        <x:v>マスカット・ブラン・ア・プティ・グラン</x:v>
      </x:c>
      <x:c r="W538" s="165" t="str">
        <x:v>知識確認</x:v>
      </x:c>
      <x:c r="X538" s="171" t="str">
        <x:v>D1</x:v>
      </x:c>
      <x:c r="Y538" s="165" t="str">
        <x:v>主要品種はパロミノ; ネッビオーロ</x:v>
      </x:c>
      <x:c r="Z538" s="171" t="str">
        <x:v>N</x:v>
      </x:c>
      <x:c r="AA538" s="165"/>
      <x:c r="AB538" s="165" t="str">
        <x:v>オリジナル</x:v>
      </x:c>
      <x:c r="AC538" s="165" t="str">
        <x:v>公式Specificationの範囲＋ユーザー作成コーパスの論点を参考に独自作成</x:v>
      </x:c>
      <x:c r="AD538" s="171" t="str">
        <x:v>未レビュー</x:v>
      </x:c>
      <x:c r="AE538" s="171"/>
      <x:c r="AF538" s="171"/>
      <x:c r="AG538" s="312"/>
    </x:row>
    <x:row r="539" ht="84" customHeight="1">
      <x:c r="A539" s="311" t="str">
        <x:v>LO4-118</x:v>
      </x:c>
      <x:c r="B539" s="171" t="str">
        <x:v>LO4</x:v>
      </x:c>
      <x:c r="C539" s="165" t="str">
        <x:v>世界の主要な酒精強化ワイン</x:v>
      </x:c>
      <x:c r="D539" s="165" t="str">
        <x:v>早期酒精強化と芳香</x:v>
      </x:c>
      <x:c r="E539" s="165" t="str">
        <x:v>ミュスカ・ド・ボーム・ド・ヴニーズで発酵を早期に酒精強化して止める主な利点はどれか。</x:v>
      </x:c>
      <x:c r="F539" s="165" t="str">
        <x:v>酸化を最大限にしてナッツ香だけにする</x:v>
      </x:c>
      <x:c r="G539" s="165" t="str">
        <x:v>残糖と揮発性の品種香を高い水準で保つ</x:v>
      </x:c>
      <x:c r="H539" s="165" t="str">
        <x:v>瓶内二次発酵を起こす</x:v>
      </x:c>
      <x:c r="I539" s="165" t="str">
        <x:v>タンニンを最大限に抽出する</x:v>
      </x:c>
      <x:c r="J539" s="171" t="str">
        <x:v>B</x:v>
      </x:c>
      <x:c r="K539" s="165" t="str">
        <x:v>残糖と揮発性の品種香を高い水準で保つ</x:v>
      </x:c>
      <x:c r="L539" s="165" t="str">
        <x:v>糖が完全に発酵する前に酵母を停止し、低温管理と組み合わせて新鮮なマスカット香を残す。</x:v>
      </x:c>
      <x:c r="M539" s="165" t="str">
        <x:v>誤り。 若々しい品種香を重視するスタイルが一般的である。</x:v>
      </x:c>
      <x:c r="N539" s="165" t="str">
        <x:v>正しい。 糖が完全に発酵する前に酵母を停止し、低温管理と組み合わせて新鮮なマスカット香を残す。</x:v>
      </x:c>
      <x:c r="O539" s="165" t="str">
        <x:v>誤り。 非発泡性の酒精強化ワインである。</x:v>
      </x:c>
      <x:c r="P539" s="165" t="str">
        <x:v>誤り。 白品種の芳香と甘味が中心である。</x:v>
      </x:c>
      <x:c r="Q539" s="165" t="str">
        <x:v>酒精強化ワイン製法</x:v>
      </x:c>
      <x:c r="R539" s="165" t="str">
        <x:v>南ローヌ</x:v>
      </x:c>
      <x:c r="S539" s="165" t="str">
        <x:v>甘口酒精強化ワイン</x:v>
      </x:c>
      <x:c r="T539" s="165" t="str">
        <x:v>フランス</x:v>
      </x:c>
      <x:c r="U539" s="165" t="str">
        <x:v>ボーム・ド・ヴニーズ</x:v>
      </x:c>
      <x:c r="V539" s="165" t="str">
        <x:v>マスカット</x:v>
      </x:c>
      <x:c r="W539" s="165" t="str">
        <x:v>因果説明</x:v>
      </x:c>
      <x:c r="X539" s="171" t="str">
        <x:v>D2</x:v>
      </x:c>
      <x:c r="Y539" s="165" t="str">
        <x:v>早期強化で酸化最大化; 二次発酵</x:v>
      </x:c>
      <x:c r="Z539" s="171" t="str">
        <x:v>N</x:v>
      </x:c>
      <x:c r="AA539" s="165"/>
      <x:c r="AB539" s="165" t="str">
        <x:v>オリジナル</x:v>
      </x:c>
      <x:c r="AC539" s="165" t="str">
        <x:v>公式Specificationの範囲＋ユーザー作成コーパスの論点を参考に独自作成</x:v>
      </x:c>
      <x:c r="AD539" s="171" t="str">
        <x:v>未レビュー</x:v>
      </x:c>
      <x:c r="AE539" s="171"/>
      <x:c r="AF539" s="171"/>
      <x:c r="AG539" s="312"/>
    </x:row>
    <x:row r="540" ht="84" customHeight="1">
      <x:c r="A540" s="311" t="str">
        <x:v>LO4-119</x:v>
      </x:c>
      <x:c r="B540" s="171" t="str">
        <x:v>LO4</x:v>
      </x:c>
      <x:c r="C540" s="165" t="str">
        <x:v>世界の主要な酒精強化ワイン</x:v>
      </x:c>
      <x:c r="D540" s="165" t="str">
        <x:v>ボーム・ド・ヴニーズの畑</x:v>
      </x:c>
      <x:c r="E540" s="165" t="str">
        <x:v>ボーム・ド・ヴニーズの痩せた石灰質斜面が高品質マスカットに有利な主な理由はどれか。</x:v>
      </x:c>
      <x:c r="F540" s="165" t="str">
        <x:v>土壌が水を無制限に供給し、果粒を巨大化する</x:v>
      </x:c>
      <x:c r="G540" s="165" t="str">
        <x:v>日照を完全に遮る</x:v>
      </x:c>
      <x:c r="H540" s="165" t="str">
        <x:v>排水がよく樹勢と収量を抑え、日照を受けた凝縮果を得やすい</x:v>
      </x:c>
      <x:c r="I540" s="165" t="str">
        <x:v>フロールを畑で育てる</x:v>
      </x:c>
      <x:c r="J540" s="171" t="str">
        <x:v>C</x:v>
      </x:c>
      <x:c r="K540" s="165" t="str">
        <x:v>排水がよく樹勢と収量を抑え、日照を受けた凝縮果を得やすい</x:v>
      </x:c>
      <x:c r="L540" s="165" t="str">
        <x:v>斜面の風通しと地中海性の日照が成熟を促し、過剰な葉や大粒果を抑える。</x:v>
      </x:c>
      <x:c r="M540" s="165" t="str">
        <x:v>誤り。 痩せた排水性のよい畑は樹勢を抑える。</x:v>
      </x:c>
      <x:c r="N540" s="165" t="str">
        <x:v>誤り。 斜面は日照を受けやすい。</x:v>
      </x:c>
      <x:c r="O540" s="165" t="str">
        <x:v>正しい。 斜面の風通しと地中海性の日照が成熟を促し、過剰な葉や大粒果を抑える。</x:v>
      </x:c>
      <x:c r="P540" s="165" t="str">
        <x:v>誤り。 フロールはワイン表面の酵母膜である。</x:v>
      </x:c>
      <x:c r="Q540" s="165" t="str">
        <x:v>自然要因</x:v>
      </x:c>
      <x:c r="R540" s="165" t="str">
        <x:v>南ローヌ</x:v>
      </x:c>
      <x:c r="S540" s="165" t="str">
        <x:v>甘口酒精強化ワイン</x:v>
      </x:c>
      <x:c r="T540" s="165" t="str">
        <x:v>フランス</x:v>
      </x:c>
      <x:c r="U540" s="165" t="str">
        <x:v>ボーム・ド・ヴニーズ</x:v>
      </x:c>
      <x:c r="V540" s="165" t="str">
        <x:v>マスカット</x:v>
      </x:c>
      <x:c r="W540" s="165" t="str">
        <x:v>因果説明</x:v>
      </x:c>
      <x:c r="X540" s="171" t="str">
        <x:v>D2</x:v>
      </x:c>
      <x:c r="Y540" s="165" t="str">
        <x:v>痩せた土壌は巨大果; 畑でフロール</x:v>
      </x:c>
      <x:c r="Z540" s="171" t="str">
        <x:v>N</x:v>
      </x:c>
      <x:c r="AA540" s="165"/>
      <x:c r="AB540" s="165" t="str">
        <x:v>オリジナル</x:v>
      </x:c>
      <x:c r="AC540" s="165" t="str">
        <x:v>公式Specificationの範囲＋ユーザー作成コーパスの論点を参考に独自作成</x:v>
      </x:c>
      <x:c r="AD540" s="171" t="str">
        <x:v>未レビュー</x:v>
      </x:c>
      <x:c r="AE540" s="171"/>
      <x:c r="AF540" s="171"/>
      <x:c r="AG540" s="312"/>
    </x:row>
    <x:row r="541" ht="84" customHeight="1">
      <x:c r="A541" s="311" t="str">
        <x:v>LO4-120</x:v>
      </x:c>
      <x:c r="B541" s="171" t="str">
        <x:v>LO4</x:v>
      </x:c>
      <x:c r="C541" s="165" t="str">
        <x:v>世界の主要な酒精強化ワイン</x:v>
      </x:c>
      <x:c r="D541" s="165" t="str">
        <x:v>若い型と熟成型の酒精強化マスカット</x:v>
      </x:c>
      <x:c r="E541" s="165" t="str">
        <x:v>若く瓶詰めする酒精強化マスカットと、長期酸化熟成するラザグレン型の最も大きなスタイル差はどれか。</x:v>
      </x:c>
      <x:c r="F541" s="165" t="str">
        <x:v>若い型だけが甘口で、熟成型は必ず辛口</x:v>
      </x:c>
      <x:c r="G541" s="165" t="str">
        <x:v>熟成型だけがアルコールを含む</x:v>
      </x:c>
      <x:c r="H541" s="165" t="str">
        <x:v>若い型だけがブドウから造られる</x:v>
      </x:c>
      <x:c r="I541" s="165" t="str">
        <x:v>若い型は新鮮なブドウと花の香り、熟成型はレーズン、キャラメル、ナッツの香りが中心</x:v>
      </x:c>
      <x:c r="J541" s="171" t="str">
        <x:v>D</x:v>
      </x:c>
      <x:c r="K541" s="165" t="str">
        <x:v>若い型は新鮮なブドウと花の香り、熟成型はレーズン、キャラメル、ナッツの香りが中心</x:v>
      </x:c>
      <x:c r="L541" s="165" t="str">
        <x:v>酸素接触と蒸発の量が、一次品種香を保つか、濃縮した熟成香へ発展させるかを決める。</x:v>
      </x:c>
      <x:c r="M541" s="165" t="str">
        <x:v>誤り。 どちらも甘口になり得る。</x:v>
      </x:c>
      <x:c r="N541" s="165" t="str">
        <x:v>誤り。 いずれも酒精強化ワインである。</x:v>
      </x:c>
      <x:c r="O541" s="165" t="str">
        <x:v>誤り。 いずれもブドウ由来である。</x:v>
      </x:c>
      <x:c r="P541" s="165" t="str">
        <x:v>正しい。 酸素接触と蒸発の量が、一次品種香を保つか、濃縮した熟成香へ発展させるかを決める。</x:v>
      </x:c>
      <x:c r="Q541" s="165" t="str">
        <x:v>熟成</x:v>
      </x:c>
      <x:c r="R541" s="165" t="str">
        <x:v>酒精強化マスカット</x:v>
      </x:c>
      <x:c r="S541" s="165" t="str">
        <x:v>甘口酒精強化ワイン</x:v>
      </x:c>
      <x:c r="T541" s="165"/>
      <x:c r="U541" s="165"/>
      <x:c r="V541" s="165"/>
      <x:c r="W541" s="165" t="str">
        <x:v>比較</x:v>
      </x:c>
      <x:c r="X541" s="171" t="str">
        <x:v>D3</x:v>
      </x:c>
      <x:c r="Y541" s="165" t="str">
        <x:v>熟成型は辛口; 若い型は無酒精</x:v>
      </x:c>
      <x:c r="Z541" s="171" t="str">
        <x:v>N</x:v>
      </x:c>
      <x:c r="AA541" s="165"/>
      <x:c r="AB541" s="165" t="str">
        <x:v>オリジナル</x:v>
      </x:c>
      <x:c r="AC541" s="165" t="str">
        <x:v>公式Specificationの範囲＋ユーザー作成コーパスの論点を参考に独自作成</x:v>
      </x:c>
      <x:c r="AD541" s="171" t="str">
        <x:v>未レビュー</x:v>
      </x:c>
      <x:c r="AE541" s="171"/>
      <x:c r="AF541" s="171"/>
      <x:c r="AG541" s="312"/>
    </x:row>
    <x:row r="542" ht="84" customHeight="1">
      <x:c r="A542" s="311" t="str">
        <x:v>LO5-061</x:v>
      </x:c>
      <x:c r="B542" s="171" t="str">
        <x:v>LO5</x:v>
      </x:c>
      <x:c r="C542" s="165" t="str">
        <x:v>情報提供・推奨・保管・サービス</x:v>
      </x:c>
      <x:c r="D542" s="165" t="str">
        <x:v>ワインリストのヴィンテージ</x:v>
      </x:c>
      <x:c r="E542" s="165" t="str">
        <x:v>ワインリストにヴィンテージを正確に記載することが重要な主な理由はどれか。</x:v>
      </x:c>
      <x:c r="F542" s="165" t="str">
        <x:v>収穫年により熟成段階、スタイル、価格が異なる可能性があるため</x:v>
      </x:c>
      <x:c r="G542" s="165" t="str">
        <x:v>ヴィンテージがワインのアルコールを自動的に変更するため</x:v>
      </x:c>
      <x:c r="H542" s="165" t="str">
        <x:v>すべてのワインは毎年完全に同じだから</x:v>
      </x:c>
      <x:c r="I542" s="165" t="str">
        <x:v>ヴィンテージを記載するとコルク汚染を防げるため</x:v>
      </x:c>
      <x:c r="J542" s="171" t="str">
        <x:v>A</x:v>
      </x:c>
      <x:c r="K542" s="165" t="str">
        <x:v>収穫年により熟成段階、スタイル、価格が異なる可能性があるため</x:v>
      </x:c>
      <x:c r="L542" s="165" t="str">
        <x:v>同じ生産者と銘柄でも、天候と瓶熟成期間により果実味、構造、飲み頃が変わり、顧客の選択へ影響する。</x:v>
      </x:c>
      <x:c r="M542" s="165" t="str">
        <x:v>正しい。 同じ生産者と銘柄でも、天候と瓶熟成期間により果実味、構造、飲み頃が変わり、顧客の選択へ影響する。</x:v>
      </x:c>
      <x:c r="N542" s="165" t="str">
        <x:v>誤り。 収穫年は情報であり、記載によって成分が変わらない。</x:v>
      </x:c>
      <x:c r="O542" s="165" t="str">
        <x:v>誤り。 ヴィンテージ差があるため正確な表示が必要である。</x:v>
      </x:c>
      <x:c r="P542" s="165" t="str">
        <x:v>誤り。 表示はTCA汚染を防止しない。</x:v>
      </x:c>
      <x:c r="Q542" s="165" t="str">
        <x:v>情報提供</x:v>
      </x:c>
      <x:c r="R542" s="165" t="str">
        <x:v>ワインリスト</x:v>
      </x:c>
      <x:c r="S542" s="165" t="str">
        <x:v>全般</x:v>
      </x:c>
      <x:c r="T542" s="165"/>
      <x:c r="U542" s="165"/>
      <x:c r="V542" s="165"/>
      <x:c r="W542" s="165" t="str">
        <x:v>因果説明</x:v>
      </x:c>
      <x:c r="X542" s="171" t="str">
        <x:v>D2</x:v>
      </x:c>
      <x:c r="Y542" s="165" t="str">
        <x:v>ヴィンテージ差なし; 表示でTCA防止</x:v>
      </x:c>
      <x:c r="Z542" s="171" t="str">
        <x:v>N</x:v>
      </x:c>
      <x:c r="AA542" s="165"/>
      <x:c r="AB542" s="165" t="str">
        <x:v>オリジナル</x:v>
      </x:c>
      <x:c r="AC542" s="165" t="str">
        <x:v>公式Specificationの範囲＋ユーザー作成コーパスの論点を参考に独自作成</x:v>
      </x:c>
      <x:c r="AD542" s="171" t="str">
        <x:v>未レビュー</x:v>
      </x:c>
      <x:c r="AE542" s="171"/>
      <x:c r="AF542" s="171"/>
      <x:c r="AG542" s="312"/>
    </x:row>
    <x:row r="543" ht="84" customHeight="1">
      <x:c r="A543" s="311" t="str">
        <x:v>LO5-062</x:v>
      </x:c>
      <x:c r="B543" s="171" t="str">
        <x:v>LO5</x:v>
      </x:c>
      <x:c r="C543" s="165" t="str">
        <x:v>情報提供・推奨・保管・サービス</x:v>
      </x:c>
      <x:c r="D543" s="165" t="str">
        <x:v>生産者と原産地の情報</x:v>
      </x:c>
      <x:c r="E543" s="165" t="str">
        <x:v>顧客へワインを説明する際、生産者名と原産地を確認する主な理由はどれか。</x:v>
      </x:c>
      <x:c r="F543" s="165" t="str">
        <x:v>品種名だけで世界中のワインが同じ味になるため</x:v>
      </x:c>
      <x:c r="G543" s="165" t="str">
        <x:v>同じ品種でも栽培地と生産者の判断によりスタイル、品質、価格が大きく変わるため</x:v>
      </x:c>
      <x:c r="H543" s="165" t="str">
        <x:v>原産地を知ると残糖が必ずゼロになるため</x:v>
      </x:c>
      <x:c r="I543" s="165" t="str">
        <x:v>生産者名が瓶内圧力を決める唯一の要因だから</x:v>
      </x:c>
      <x:c r="J543" s="171" t="str">
        <x:v>B</x:v>
      </x:c>
      <x:c r="K543" s="165" t="str">
        <x:v>同じ品種でも栽培地と生産者の判断によりスタイル、品質、価格が大きく変わるため</x:v>
      </x:c>
      <x:c r="L543" s="165" t="str">
        <x:v>気候、畑、収量、醸造、熟成、ブランド評価を理解すると、期待できる味と価格を具体的に説明できる。</x:v>
      </x:c>
      <x:c r="M543" s="165" t="str">
        <x:v>誤り。 品種以外の要因が大きく影響する。</x:v>
      </x:c>
      <x:c r="N543" s="165" t="str">
        <x:v>正しい。 気候、畑、収量、醸造、熟成、ブランド評価を理解すると、期待できる味と価格を具体的に説明できる。</x:v>
      </x:c>
      <x:c r="O543" s="165" t="str">
        <x:v>誤り。 情報確認でワインの成分は変わらない。</x:v>
      </x:c>
      <x:c r="P543" s="165" t="str">
        <x:v>誤り。 発泡性は製法にもよる。</x:v>
      </x:c>
      <x:c r="Q543" s="165" t="str">
        <x:v>情報提供</x:v>
      </x:c>
      <x:c r="R543" s="165" t="str">
        <x:v>推奨</x:v>
      </x:c>
      <x:c r="S543" s="165" t="str">
        <x:v>全般</x:v>
      </x:c>
      <x:c r="T543" s="165"/>
      <x:c r="U543" s="165"/>
      <x:c r="V543" s="165"/>
      <x:c r="W543" s="165" t="str">
        <x:v>統合判断</x:v>
      </x:c>
      <x:c r="X543" s="171" t="str">
        <x:v>D2</x:v>
      </x:c>
      <x:c r="Y543" s="165" t="str">
        <x:v>品種だけでスタイル決定; 情報で成分変化</x:v>
      </x:c>
      <x:c r="Z543" s="171" t="str">
        <x:v>N</x:v>
      </x:c>
      <x:c r="AA543" s="165"/>
      <x:c r="AB543" s="165" t="str">
        <x:v>オリジナル</x:v>
      </x:c>
      <x:c r="AC543" s="165" t="str">
        <x:v>公式Specificationの範囲＋ユーザー作成コーパスの論点を参考に独自作成</x:v>
      </x:c>
      <x:c r="AD543" s="171" t="str">
        <x:v>未レビュー</x:v>
      </x:c>
      <x:c r="AE543" s="171"/>
      <x:c r="AF543" s="171"/>
      <x:c r="AG543" s="312"/>
    </x:row>
    <x:row r="544" ht="84" customHeight="1">
      <x:c r="A544" s="311" t="str">
        <x:v>LO5-063</x:v>
      </x:c>
      <x:c r="B544" s="171" t="str">
        <x:v>LO5</x:v>
      </x:c>
      <x:c r="C544" s="165" t="str">
        <x:v>情報提供・推奨・保管・サービス</x:v>
      </x:c>
      <x:c r="D544" s="165" t="str">
        <x:v>亜硫酸塩に関する案内</x:v>
      </x:c>
      <x:c r="E544" s="165" t="str">
        <x:v>亜硫酸塩への感受性を申し出た顧客への対応として最も適切なものはどれか。</x:v>
      </x:c>
      <x:c r="F544" s="165" t="str">
        <x:v>赤ワインには亜硫酸塩が絶対に存在しないと伝える</x:v>
      </x:c>
      <x:c r="G544" s="165" t="str">
        <x:v>デカンティングすればすべての亜硫酸塩が消えると伝える</x:v>
      </x:c>
      <x:c r="H544" s="165" t="str">
        <x:v>ラベルや商品情報を確認し、断定的な医療助言を避け、必要なら摂取しない選択肢を案内する</x:v>
      </x:c>
      <x:c r="I544" s="165" t="str">
        <x:v>高価なワインなら必ず安全と断言する</x:v>
      </x:c>
      <x:c r="J544" s="171" t="str">
        <x:v>C</x:v>
      </x:c>
      <x:c r="K544" s="165" t="str">
        <x:v>ラベルや商品情報を確認し、断定的な医療助言を避け、必要なら摂取しない選択肢を案内する</x:v>
      </x:c>
      <x:c r="L544" s="165" t="str">
        <x:v>ワインには発酵由来を含む亜硫酸塩が存在し得るため、正確な表示情報を伝え、健康判断は本人や医療専門家へ委ねる。</x:v>
      </x:c>
      <x:c r="M544" s="165" t="str">
        <x:v>誤り。 赤白を問わず亜硫酸塩を含み得る。</x:v>
      </x:c>
      <x:c r="N544" s="165" t="str">
        <x:v>誤り。 空気接触で一部の刺激が弱まる場合はあっても、完全除去にはならない。</x:v>
      </x:c>
      <x:c r="O544" s="165" t="str">
        <x:v>正しい。 ワインには発酵由来を含む亜硫酸塩が存在し得るため、正確な表示情報を伝え、健康判断は本人や医療専門家へ委ねる。</x:v>
      </x:c>
      <x:c r="P544" s="165" t="str">
        <x:v>誤り。 価格は個人の感受性や含有の有無を保証しない。</x:v>
      </x:c>
      <x:c r="Q544" s="165" t="str">
        <x:v>情報提供</x:v>
      </x:c>
      <x:c r="R544" s="165" t="str">
        <x:v>健康・表示</x:v>
      </x:c>
      <x:c r="S544" s="165" t="str">
        <x:v>全般</x:v>
      </x:c>
      <x:c r="T544" s="165"/>
      <x:c r="U544" s="165"/>
      <x:c r="V544" s="165"/>
      <x:c r="W544" s="165" t="str">
        <x:v>判断</x:v>
      </x:c>
      <x:c r="X544" s="171" t="str">
        <x:v>D3</x:v>
      </x:c>
      <x:c r="Y544" s="165" t="str">
        <x:v>赤には亜硫酸なし; デカントで完全除去</x:v>
      </x:c>
      <x:c r="Z544" s="171" t="str">
        <x:v>Y</x:v>
      </x:c>
      <x:c r="AA544" s="165" t="str">
        <x:v>アレルゲン・表示・健康関連のため、地域別法規と表現を法務・専門家確認推奨</x:v>
      </x:c>
      <x:c r="AB544" s="165" t="str">
        <x:v>オリジナル</x:v>
      </x:c>
      <x:c r="AC544" s="165" t="str">
        <x:v>公式Specificationの範囲＋ユーザー作成コーパスの論点を参考に独自作成</x:v>
      </x:c>
      <x:c r="AD544" s="171" t="str">
        <x:v>未レビュー</x:v>
      </x:c>
      <x:c r="AE544" s="171"/>
      <x:c r="AF544" s="171"/>
      <x:c r="AG544" s="312"/>
    </x:row>
    <x:row r="545" ht="84" customHeight="1">
      <x:c r="A545" s="311" t="str">
        <x:v>LO5-064</x:v>
      </x:c>
      <x:c r="B545" s="171" t="str">
        <x:v>LO5</x:v>
      </x:c>
      <x:c r="C545" s="165" t="str">
        <x:v>情報提供・推奨・保管・サービス</x:v>
      </x:c>
      <x:c r="D545" s="165" t="str">
        <x:v>不活性ガスによる開栓後保存</x:v>
      </x:c>
      <x:c r="E545" s="165" t="str">
        <x:v>開栓した非発泡性ワインを不活性ガスで保存する主な利点はどれか。</x:v>
      </x:c>
      <x:c r="F545" s="165" t="str">
        <x:v>ワインを再発酵させて泡を付ける</x:v>
      </x:c>
      <x:c r="G545" s="165" t="str">
        <x:v>残糖を完全に除去する</x:v>
      </x:c>
      <x:c r="H545" s="165" t="str">
        <x:v>コルク汚染を治療する</x:v>
      </x:c>
      <x:c r="I545" s="165" t="str">
        <x:v>瓶内の酸素を置換し、酸化速度を遅らせる</x:v>
      </x:c>
      <x:c r="J545" s="171" t="str">
        <x:v>D</x:v>
      </x:c>
      <x:c r="K545" s="165" t="str">
        <x:v>瓶内の酸素を置換し、酸化速度を遅らせる</x:v>
      </x:c>
      <x:c r="L545" s="165" t="str">
        <x:v>窒素やアルゴンなどがワイン表面を覆い、果実香の低下と褐変を抑える。</x:v>
      </x:c>
      <x:c r="M545" s="165" t="str">
        <x:v>誤り。 不活性ガスは酵母の発酵を起こさない。</x:v>
      </x:c>
      <x:c r="N545" s="165" t="str">
        <x:v>誤り。 ガス置換で糖は変化しない。</x:v>
      </x:c>
      <x:c r="O545" s="165" t="str">
        <x:v>誤り。 TCAを除去する方法ではない。</x:v>
      </x:c>
      <x:c r="P545" s="165" t="str">
        <x:v>正しい。 窒素やアルゴンなどがワイン表面を覆い、果実香の低下と褐変を抑える。</x:v>
      </x:c>
      <x:c r="Q545" s="165" t="str">
        <x:v>保管</x:v>
      </x:c>
      <x:c r="R545" s="165" t="str">
        <x:v>開栓後保存</x:v>
      </x:c>
      <x:c r="S545" s="165" t="str">
        <x:v>非発泡性ワイン</x:v>
      </x:c>
      <x:c r="T545" s="165"/>
      <x:c r="U545" s="165"/>
      <x:c r="V545" s="165"/>
      <x:c r="W545" s="165" t="str">
        <x:v>因果説明</x:v>
      </x:c>
      <x:c r="X545" s="171" t="str">
        <x:v>D2</x:v>
      </x:c>
      <x:c r="Y545" s="165" t="str">
        <x:v>不活性ガスで再発酵; TCA除去</x:v>
      </x:c>
      <x:c r="Z545" s="171" t="str">
        <x:v>N</x:v>
      </x:c>
      <x:c r="AA545" s="165"/>
      <x:c r="AB545" s="165" t="str">
        <x:v>オリジナル</x:v>
      </x:c>
      <x:c r="AC545" s="165" t="str">
        <x:v>公式Specificationの範囲＋ユーザー作成コーパスの論点を参考に独自作成</x:v>
      </x:c>
      <x:c r="AD545" s="171" t="str">
        <x:v>未レビュー</x:v>
      </x:c>
      <x:c r="AE545" s="171"/>
      <x:c r="AF545" s="171"/>
      <x:c r="AG545" s="312"/>
    </x:row>
    <x:row r="546" ht="84" customHeight="1">
      <x:c r="A546" s="311" t="str">
        <x:v>LO5-065</x:v>
      </x:c>
      <x:c r="B546" s="171" t="str">
        <x:v>LO5</x:v>
      </x:c>
      <x:c r="C546" s="165" t="str">
        <x:v>情報提供・推奨・保管・サービス</x:v>
      </x:c>
      <x:c r="D546" s="165" t="str">
        <x:v>真空ポンプの限界</x:v>
      </x:c>
      <x:c r="E546" s="165" t="str">
        <x:v>開栓ワイン用の真空ポンプの限界として最も適切なものはどれか。</x:v>
      </x:c>
      <x:c r="F546" s="165" t="str">
        <x:v>酸素を完全には除去できず、揮発性の香りや発泡性ワインの炭酸ガスも失わせる可能性がある</x:v>
      </x:c>
      <x:c r="G546" s="165" t="str">
        <x:v>ワインを永久に新鮮なまま保つ</x:v>
      </x:c>
      <x:c r="H546" s="165" t="str">
        <x:v>残糖を増やす</x:v>
      </x:c>
      <x:c r="I546" s="165" t="str">
        <x:v>コルクを再生してTCAを除く</x:v>
      </x:c>
      <x:c r="J546" s="171" t="str">
        <x:v>A</x:v>
      </x:c>
      <x:c r="K546" s="165" t="str">
        <x:v>酸素を完全には除去できず、揮発性の香りや発泡性ワインの炭酸ガスも失わせる可能性がある</x:v>
      </x:c>
      <x:c r="L546" s="165" t="str">
        <x:v>空気量を減らして酸化を遅らせるが、完全な真空にはならず、長期保存を保証しない。</x:v>
      </x:c>
      <x:c r="M546" s="165" t="str">
        <x:v>正しい。 空気量を減らして酸化を遅らせるが、完全な真空にはならず、長期保存を保証しない。</x:v>
      </x:c>
      <x:c r="N546" s="165" t="str">
        <x:v>誤り。 酸化は遅くなるだけで、停止しない。</x:v>
      </x:c>
      <x:c r="O546" s="165" t="str">
        <x:v>誤り。 ポンプは糖量を変えない。</x:v>
      </x:c>
      <x:c r="P546" s="165" t="str">
        <x:v>誤り。 栓の汚染を治す機能はない。</x:v>
      </x:c>
      <x:c r="Q546" s="165" t="str">
        <x:v>保管</x:v>
      </x:c>
      <x:c r="R546" s="165" t="str">
        <x:v>開栓後保存</x:v>
      </x:c>
      <x:c r="S546" s="165" t="str">
        <x:v>非発泡性ワイン</x:v>
      </x:c>
      <x:c r="T546" s="165"/>
      <x:c r="U546" s="165"/>
      <x:c r="V546" s="165"/>
      <x:c r="W546" s="165" t="str">
        <x:v>比較</x:v>
      </x:c>
      <x:c r="X546" s="171" t="str">
        <x:v>D2</x:v>
      </x:c>
      <x:c r="Y546" s="165" t="str">
        <x:v>真空で永久保存; TCA除去</x:v>
      </x:c>
      <x:c r="Z546" s="171" t="str">
        <x:v>N</x:v>
      </x:c>
      <x:c r="AA546" s="165"/>
      <x:c r="AB546" s="165" t="str">
        <x:v>オリジナル</x:v>
      </x:c>
      <x:c r="AC546" s="165" t="str">
        <x:v>公式Specificationの範囲＋ユーザー作成コーパスの論点を参考に独自作成</x:v>
      </x:c>
      <x:c r="AD546" s="171" t="str">
        <x:v>未レビュー</x:v>
      </x:c>
      <x:c r="AE546" s="171"/>
      <x:c r="AF546" s="171"/>
      <x:c r="AG546" s="312"/>
    </x:row>
    <x:row r="547" ht="84" customHeight="1">
      <x:c r="A547" s="311" t="str">
        <x:v>LO5-066</x:v>
      </x:c>
      <x:c r="B547" s="171" t="str">
        <x:v>LO5</x:v>
      </x:c>
      <x:c r="C547" s="165" t="str">
        <x:v>情報提供・推奨・保管・サービス</x:v>
      </x:c>
      <x:c r="D547" s="165" t="str">
        <x:v>針と不活性ガスの保存</x:v>
      </x:c>
      <x:c r="E547" s="165" t="str">
        <x:v>天然コルクを抜かずに針を通してワインを注ぎ、不活性ガスで置換する保存方式の主な利点はどれか。</x:v>
      </x:c>
      <x:c r="F547" s="165" t="str">
        <x:v>スクリューキャップにのみ使用できる</x:v>
      </x:c>
      <x:c r="G547" s="165" t="str">
        <x:v>残りのワインを酸素へほとんど触れさせず、長期間に分けて提供できる</x:v>
      </x:c>
      <x:c r="H547" s="165" t="str">
        <x:v>ワインのアルコールを除去する</x:v>
      </x:c>
      <x:c r="I547" s="165" t="str">
        <x:v>瓶内二次発酵を開始する</x:v>
      </x:c>
      <x:c r="J547" s="171" t="str">
        <x:v>B</x:v>
      </x:c>
      <x:c r="K547" s="165" t="str">
        <x:v>残りのワインを酸素へほとんど触れさせず、長期間に分けて提供できる</x:v>
      </x:c>
      <x:c r="L547" s="165" t="str">
        <x:v>コルクが針穴を再び塞ぎ、アルゴンなどが減った液量を置換するため、高価な瓶のグラス提供に適する。</x:v>
      </x:c>
      <x:c r="M547" s="165" t="str">
        <x:v>誤り。 主に弾力のある天然コルクなどを対象とする。</x:v>
      </x:c>
      <x:c r="N547" s="165" t="str">
        <x:v>正しい。 コルクが針穴を再び塞ぎ、アルゴンなどが減った液量を置換するため、高価な瓶のグラス提供に適する。</x:v>
      </x:c>
      <x:c r="O547" s="165" t="str">
        <x:v>誤り。 保存方式でアルコール度は変わらない。</x:v>
      </x:c>
      <x:c r="P547" s="165" t="str">
        <x:v>誤り。 保存用の不活性ガスで発酵は起こらない。</x:v>
      </x:c>
      <x:c r="Q547" s="165" t="str">
        <x:v>保管</x:v>
      </x:c>
      <x:c r="R547" s="165" t="str">
        <x:v>開栓後保存</x:v>
      </x:c>
      <x:c r="S547" s="165" t="str">
        <x:v>非発泡性ワイン</x:v>
      </x:c>
      <x:c r="T547" s="165"/>
      <x:c r="U547" s="165"/>
      <x:c r="V547" s="165"/>
      <x:c r="W547" s="165" t="str">
        <x:v>因果説明</x:v>
      </x:c>
      <x:c r="X547" s="171" t="str">
        <x:v>D2</x:v>
      </x:c>
      <x:c r="Y547" s="165" t="str">
        <x:v>針方式はスクリュー専用; 脱アルコール</x:v>
      </x:c>
      <x:c r="Z547" s="171" t="str">
        <x:v>N</x:v>
      </x:c>
      <x:c r="AA547" s="165"/>
      <x:c r="AB547" s="165" t="str">
        <x:v>オリジナル</x:v>
      </x:c>
      <x:c r="AC547" s="165" t="str">
        <x:v>公式Specificationの範囲＋ユーザー作成コーパスの論点を参考に独自作成</x:v>
      </x:c>
      <x:c r="AD547" s="171" t="str">
        <x:v>未レビュー</x:v>
      </x:c>
      <x:c r="AE547" s="171"/>
      <x:c r="AF547" s="171"/>
      <x:c r="AG547" s="312"/>
    </x:row>
    <x:row r="548" ht="84" customHeight="1">
      <x:c r="A548" s="311" t="str">
        <x:v>LO5-067</x:v>
      </x:c>
      <x:c r="B548" s="171" t="str">
        <x:v>LO5</x:v>
      </x:c>
      <x:c r="C548" s="165" t="str">
        <x:v>情報提供・推奨・保管・サービス</x:v>
      </x:c>
      <x:c r="D548" s="165" t="str">
        <x:v>脆いコルクの開栓</x:v>
      </x:c>
      <x:c r="E548" s="165" t="str">
        <x:v>長期熟成ワインのコルクが脆いと予想される場合、最も適切な対応はどれか。</x:v>
      </x:c>
      <x:c r="F548" s="165" t="str">
        <x:v>瓶を強く振ってコルクを浮かせる</x:v>
      </x:c>
      <x:c r="G548" s="165" t="str">
        <x:v>コルクを瓶内へ押し込み、そのまま提供する</x:v>
      </x:c>
      <x:c r="H548" s="165" t="str">
        <x:v>瓶を立てて澱を落ち着かせ、二枚刃式などコルクを崩しにくい器具を用いる</x:v>
      </x:c>
      <x:c r="I548" s="165" t="str">
        <x:v>発泡性ワインのようにコルクを飛ばす</x:v>
      </x:c>
      <x:c r="J548" s="171" t="str">
        <x:v>C</x:v>
      </x:c>
      <x:c r="K548" s="165" t="str">
        <x:v>瓶を立てて澱を落ち着かせ、二枚刃式などコルクを崩しにくい器具を用いる</x:v>
      </x:c>
      <x:c r="L548" s="165" t="str">
        <x:v>古いコルクは乾燥・軟化して折れやすいため、側面から挟む器具や専用オープナーで慎重に抜く。</x:v>
      </x:c>
      <x:c r="M548" s="165" t="str">
        <x:v>誤り。 澱が舞い、コルクも崩れやすくなる。</x:v>
      </x:c>
      <x:c r="N548" s="165" t="str">
        <x:v>誤り。 破片と衛生・外観の問題が生じる。</x:v>
      </x:c>
      <x:c r="O548" s="165" t="str">
        <x:v>正しい。 古いコルクは乾燥・軟化して折れやすいため、側面から挟む器具や専用オープナーで慎重に抜く。</x:v>
      </x:c>
      <x:c r="P548" s="165" t="str">
        <x:v>誤り。 熟成非発泡性ワインでは危険で不適切である。</x:v>
      </x:c>
      <x:c r="Q548" s="165" t="str">
        <x:v>サービス</x:v>
      </x:c>
      <x:c r="R548" s="165" t="str">
        <x:v>熟成ワイン</x:v>
      </x:c>
      <x:c r="S548" s="165" t="str">
        <x:v>非発泡性ワイン</x:v>
      </x:c>
      <x:c r="T548" s="165"/>
      <x:c r="U548" s="165"/>
      <x:c r="V548" s="165"/>
      <x:c r="W548" s="165" t="str">
        <x:v>適用</x:v>
      </x:c>
      <x:c r="X548" s="171" t="str">
        <x:v>D3</x:v>
      </x:c>
      <x:c r="Y548" s="165" t="str">
        <x:v>古酒は振る; コルクを飛ばす</x:v>
      </x:c>
      <x:c r="Z548" s="171" t="str">
        <x:v>N</x:v>
      </x:c>
      <x:c r="AA548" s="165"/>
      <x:c r="AB548" s="165" t="str">
        <x:v>オリジナル</x:v>
      </x:c>
      <x:c r="AC548" s="165" t="str">
        <x:v>公式Specificationの範囲＋ユーザー作成コーパスの論点を参考に独自作成</x:v>
      </x:c>
      <x:c r="AD548" s="171" t="str">
        <x:v>未レビュー</x:v>
      </x:c>
      <x:c r="AE548" s="171"/>
      <x:c r="AF548" s="171"/>
      <x:c r="AG548" s="312"/>
    </x:row>
    <x:row r="549" ht="84" customHeight="1">
      <x:c r="A549" s="311" t="str">
        <x:v>LO5-068</x:v>
      </x:c>
      <x:c r="B549" s="171" t="str">
        <x:v>LO5</x:v>
      </x:c>
      <x:c r="C549" s="165" t="str">
        <x:v>情報提供・推奨・保管・サービス</x:v>
      </x:c>
      <x:c r="D549" s="165" t="str">
        <x:v>二枚刃式オープナー</x:v>
      </x:c>
      <x:c r="E549" s="165" t="str">
        <x:v>二枚刃式のコルク抜きが古いワインに適する主な理由はどれか。</x:v>
      </x:c>
      <x:c r="F549" s="165" t="str">
        <x:v>コルクを粉砕して濾過しやすくする</x:v>
      </x:c>
      <x:c r="G549" s="165" t="str">
        <x:v>瓶内圧力を高める</x:v>
      </x:c>
      <x:c r="H549" s="165" t="str">
        <x:v>ワインを冷却する</x:v>
      </x:c>
      <x:c r="I549" s="165" t="str">
        <x:v>コルクへねじを刺さず、瓶口との間から挟んで抜ける</x:v>
      </x:c>
      <x:c r="J549" s="171" t="str">
        <x:v>D</x:v>
      </x:c>
      <x:c r="K549" s="165" t="str">
        <x:v>コルクへねじを刺さず、瓶口との間から挟んで抜ける</x:v>
      </x:c>
      <x:c r="L549" s="165" t="str">
        <x:v>脆いコルクの中心を破壊しにくく、全体を支えながらゆっくり引き上げられる。</x:v>
      </x:c>
      <x:c r="M549" s="165" t="str">
        <x:v>誤り。 目的は崩さずに抜くことである。</x:v>
      </x:c>
      <x:c r="N549" s="165" t="str">
        <x:v>誤り。 開栓器具は圧力を高めない。</x:v>
      </x:c>
      <x:c r="O549" s="165" t="str">
        <x:v>誤り。 温度調整機能はない。</x:v>
      </x:c>
      <x:c r="P549" s="165" t="str">
        <x:v>正しい。 脆いコルクの中心を破壊しにくく、全体を支えながらゆっくり引き上げられる。</x:v>
      </x:c>
      <x:c r="Q549" s="165" t="str">
        <x:v>サービス</x:v>
      </x:c>
      <x:c r="R549" s="165" t="str">
        <x:v>開栓器具</x:v>
      </x:c>
      <x:c r="S549" s="165" t="str">
        <x:v>非発泡性ワイン</x:v>
      </x:c>
      <x:c r="T549" s="165"/>
      <x:c r="U549" s="165"/>
      <x:c r="V549" s="165"/>
      <x:c r="W549" s="165" t="str">
        <x:v>因果説明</x:v>
      </x:c>
      <x:c r="X549" s="171" t="str">
        <x:v>D1</x:v>
      </x:c>
      <x:c r="Y549" s="165" t="str">
        <x:v>二枚刃でコルク粉砕; 加圧</x:v>
      </x:c>
      <x:c r="Z549" s="171" t="str">
        <x:v>N</x:v>
      </x:c>
      <x:c r="AA549" s="165"/>
      <x:c r="AB549" s="165" t="str">
        <x:v>オリジナル</x:v>
      </x:c>
      <x:c r="AC549" s="165" t="str">
        <x:v>公式Specificationの範囲＋ユーザー作成コーパスの論点を参考に独自作成</x:v>
      </x:c>
      <x:c r="AD549" s="171" t="str">
        <x:v>未レビュー</x:v>
      </x:c>
      <x:c r="AE549" s="171"/>
      <x:c r="AF549" s="171"/>
      <x:c r="AG549" s="312"/>
    </x:row>
    <x:row r="550" ht="84" customHeight="1">
      <x:c r="A550" s="311" t="str">
        <x:v>LO5-069</x:v>
      </x:c>
      <x:c r="B550" s="171" t="str">
        <x:v>LO5</x:v>
      </x:c>
      <x:c r="C550" s="165" t="str">
        <x:v>情報提供・推奨・保管・サービス</x:v>
      </x:c>
      <x:c r="D550" s="165" t="str">
        <x:v>澱を沈める静置</x:v>
      </x:c>
      <x:c r="E550" s="165" t="str">
        <x:v>熟成した赤ワインを提供前に立てて静置する主な目的はどれか。</x:v>
      </x:c>
      <x:c r="F550" s="165" t="str">
        <x:v>瓶内の澱を底へ沈め、デカンティング時に分離しやすくする</x:v>
      </x:c>
      <x:c r="G550" s="165" t="str">
        <x:v>酸化を最大限に進める</x:v>
      </x:c>
      <x:c r="H550" s="165" t="str">
        <x:v>残糖を減らす</x:v>
      </x:c>
      <x:c r="I550" s="165" t="str">
        <x:v>瓶内圧力を発生させる</x:v>
      </x:c>
      <x:c r="J550" s="171" t="str">
        <x:v>A</x:v>
      </x:c>
      <x:c r="K550" s="165" t="str">
        <x:v>瓶内の澱を底へ沈め、デカンティング時に分離しやすくする</x:v>
      </x:c>
      <x:c r="L550" s="165" t="str">
        <x:v>輸送や横置きで広がった色素・タンニンの沈殿を一か所へ集める。</x:v>
      </x:c>
      <x:c r="M550" s="165" t="str">
        <x:v>正しい。 輸送や横置きで広がった色素・タンニンの沈殿を一か所へ集める。</x:v>
      </x:c>
      <x:c r="N550" s="165" t="str">
        <x:v>誤り。 未開栓の静置は澱を沈めるためである。</x:v>
      </x:c>
      <x:c r="O550" s="165" t="str">
        <x:v>誤り。 静置で糖は変化しない。</x:v>
      </x:c>
      <x:c r="P550" s="165" t="str">
        <x:v>誤り。 非発泡性ワインである。</x:v>
      </x:c>
      <x:c r="Q550" s="165" t="str">
        <x:v>サービス</x:v>
      </x:c>
      <x:c r="R550" s="165" t="str">
        <x:v>デカンティング</x:v>
      </x:c>
      <x:c r="S550" s="165" t="str">
        <x:v>赤ワイン</x:v>
      </x:c>
      <x:c r="T550" s="165"/>
      <x:c r="U550" s="165"/>
      <x:c r="V550" s="165"/>
      <x:c r="W550" s="165" t="str">
        <x:v>因果説明</x:v>
      </x:c>
      <x:c r="X550" s="171" t="str">
        <x:v>D1</x:v>
      </x:c>
      <x:c r="Y550" s="165" t="str">
        <x:v>静置で酸化; 静置で発泡</x:v>
      </x:c>
      <x:c r="Z550" s="171" t="str">
        <x:v>N</x:v>
      </x:c>
      <x:c r="AA550" s="165"/>
      <x:c r="AB550" s="165" t="str">
        <x:v>オリジナル</x:v>
      </x:c>
      <x:c r="AC550" s="165" t="str">
        <x:v>公式Specificationの範囲＋ユーザー作成コーパスの論点を参考に独自作成</x:v>
      </x:c>
      <x:c r="AD550" s="171" t="str">
        <x:v>未レビュー</x:v>
      </x:c>
      <x:c r="AE550" s="171"/>
      <x:c r="AF550" s="171"/>
      <x:c r="AG550" s="312"/>
    </x:row>
    <x:row r="551" ht="84" customHeight="1">
      <x:c r="A551" s="311" t="str">
        <x:v>LO5-070</x:v>
      </x:c>
      <x:c r="B551" s="171" t="str">
        <x:v>LO5</x:v>
      </x:c>
      <x:c r="C551" s="165" t="str">
        <x:v>情報提供・推奨・保管・サービス</x:v>
      </x:c>
      <x:c r="D551" s="165" t="str">
        <x:v>ダブル・デカンティング</x:v>
      </x:c>
      <x:c r="E551" s="165" t="str">
        <x:v>ダブル・デカンティングを行う主な理由はどれか。</x:v>
      </x:c>
      <x:c r="F551" s="165" t="str">
        <x:v>残糖を二倍にする</x:v>
      </x:c>
      <x:c r="G551" s="165" t="str">
        <x:v>ワインを澱から分離して空気へ触れさせた後、元の瓶へ戻して提供しやすくする</x:v>
      </x:c>
      <x:c r="H551" s="165" t="str">
        <x:v>アルコール度を二倍にする</x:v>
      </x:c>
      <x:c r="I551" s="165" t="str">
        <x:v>瓶内二次発酵を二回行う</x:v>
      </x:c>
      <x:c r="J551" s="171" t="str">
        <x:v>B</x:v>
      </x:c>
      <x:c r="K551" s="165" t="str">
        <x:v>ワインを澱から分離して空気へ触れさせた後、元の瓶へ戻して提供しやすくする</x:v>
      </x:c>
      <x:c r="L551" s="165" t="str">
        <x:v>大きなデキャンタを置けない場合や、元のボトルを見せたいサービスで、澱除去とエアレーションを両立する。</x:v>
      </x:c>
      <x:c r="M551" s="165" t="str">
        <x:v>誤り。 容器移動で糖は増えない。</x:v>
      </x:c>
      <x:c r="N551" s="165" t="str">
        <x:v>正しい。 大きなデキャンタを置けない場合や、元のボトルを見せたいサービスで、澱除去とエアレーションを両立する。</x:v>
      </x:c>
      <x:c r="O551" s="165" t="str">
        <x:v>誤り。 短時間の移し替えでアルコール度は変わらない。</x:v>
      </x:c>
      <x:c r="P551" s="165" t="str">
        <x:v>誤り。 発酵工程ではない。</x:v>
      </x:c>
      <x:c r="Q551" s="165" t="str">
        <x:v>サービス</x:v>
      </x:c>
      <x:c r="R551" s="165" t="str">
        <x:v>デカンティング</x:v>
      </x:c>
      <x:c r="S551" s="165" t="str">
        <x:v>赤ワイン</x:v>
      </x:c>
      <x:c r="T551" s="165"/>
      <x:c r="U551" s="165"/>
      <x:c r="V551" s="165"/>
      <x:c r="W551" s="165" t="str">
        <x:v>適用</x:v>
      </x:c>
      <x:c r="X551" s="171" t="str">
        <x:v>D2</x:v>
      </x:c>
      <x:c r="Y551" s="165" t="str">
        <x:v>ダブルデカントで糖倍増; 二次発酵</x:v>
      </x:c>
      <x:c r="Z551" s="171" t="str">
        <x:v>N</x:v>
      </x:c>
      <x:c r="AA551" s="165"/>
      <x:c r="AB551" s="165" t="str">
        <x:v>オリジナル</x:v>
      </x:c>
      <x:c r="AC551" s="165" t="str">
        <x:v>公式Specificationの範囲＋ユーザー作成コーパスの論点を参考に独自作成</x:v>
      </x:c>
      <x:c r="AD551" s="171" t="str">
        <x:v>未レビュー</x:v>
      </x:c>
      <x:c r="AE551" s="171"/>
      <x:c r="AF551" s="171"/>
      <x:c r="AG551" s="312"/>
    </x:row>
    <x:row r="552" ht="84" customHeight="1">
      <x:c r="A552" s="311" t="str">
        <x:v>LO5-071</x:v>
      </x:c>
      <x:c r="B552" s="171" t="str">
        <x:v>LO5</x:v>
      </x:c>
      <x:c r="C552" s="165" t="str">
        <x:v>情報提供・推奨・保管・サービス</x:v>
      </x:c>
      <x:c r="D552" s="165" t="str">
        <x:v>熟成白ワインの提供温度</x:v>
      </x:c>
      <x:c r="E552" s="165" t="str">
        <x:v>複雑な熟成白ワインを若い軽快な白よりやや高い温度で提供する主な理由はどれか。</x:v>
      </x:c>
      <x:c r="F552" s="165" t="str">
        <x:v>温度を上げると残糖が増えるため</x:v>
      </x:c>
      <x:c r="G552" s="165" t="str">
        <x:v>高温で酸化を直ちに完了させるため</x:v>
      </x:c>
      <x:c r="H552" s="165" t="str">
        <x:v>低温で閉じやすい熟成香と質感を十分に感じられるようにする</x:v>
      </x:c>
      <x:c r="I552" s="165" t="str">
        <x:v>白ワインを赤ワインへ変えるため</x:v>
      </x:c>
      <x:c r="J552" s="171" t="str">
        <x:v>C</x:v>
      </x:c>
      <x:c r="K552" s="165" t="str">
        <x:v>低温で閉じやすい熟成香と質感を十分に感じられるようにする</x:v>
      </x:c>
      <x:c r="L552" s="165" t="str">
        <x:v>過度に冷やすと香りとボディが弱く感じられるため、適度な温度で蜂蜜、ナッツ、オークなどを表現させる。</x:v>
      </x:c>
      <x:c r="M552" s="165" t="str">
        <x:v>誤り。 知覚は変わるが糖量は変化しない。</x:v>
      </x:c>
      <x:c r="N552" s="165" t="str">
        <x:v>誤り。 提供温度は香味表現のためで、劣化を促す目的ではない。</x:v>
      </x:c>
      <x:c r="O552" s="165" t="str">
        <x:v>正しい。 過度に冷やすと香りとボディが弱く感じられるため、適度な温度で蜂蜜、ナッツ、オークなどを表現させる。</x:v>
      </x:c>
      <x:c r="P552" s="165" t="str">
        <x:v>誤り。 色とカテゴリーは変わらない。</x:v>
      </x:c>
      <x:c r="Q552" s="165" t="str">
        <x:v>サービス</x:v>
      </x:c>
      <x:c r="R552" s="165" t="str">
        <x:v>提供温度</x:v>
      </x:c>
      <x:c r="S552" s="165" t="str">
        <x:v>白ワイン</x:v>
      </x:c>
      <x:c r="T552" s="165"/>
      <x:c r="U552" s="165"/>
      <x:c r="V552" s="165"/>
      <x:c r="W552" s="165" t="str">
        <x:v>因果説明</x:v>
      </x:c>
      <x:c r="X552" s="171" t="str">
        <x:v>D2</x:v>
      </x:c>
      <x:c r="Y552" s="165" t="str">
        <x:v>温度で残糖増加; 白が赤へ変化</x:v>
      </x:c>
      <x:c r="Z552" s="171" t="str">
        <x:v>N</x:v>
      </x:c>
      <x:c r="AA552" s="165"/>
      <x:c r="AB552" s="165" t="str">
        <x:v>オリジナル</x:v>
      </x:c>
      <x:c r="AC552" s="165" t="str">
        <x:v>公式Specificationの範囲＋ユーザー作成コーパスの論点を参考に独自作成</x:v>
      </x:c>
      <x:c r="AD552" s="171" t="str">
        <x:v>未レビュー</x:v>
      </x:c>
      <x:c r="AE552" s="171"/>
      <x:c r="AF552" s="171"/>
      <x:c r="AG552" s="312"/>
    </x:row>
    <x:row r="553" ht="84" customHeight="1">
      <x:c r="A553" s="311" t="str">
        <x:v>LO5-072</x:v>
      </x:c>
      <x:c r="B553" s="171" t="str">
        <x:v>LO5</x:v>
      </x:c>
      <x:c r="C553" s="165" t="str">
        <x:v>情報提供・推奨・保管・サービス</x:v>
      </x:c>
      <x:c r="D553" s="165" t="str">
        <x:v>甘口ワインの提供温度</x:v>
      </x:c>
      <x:c r="E553" s="165" t="str">
        <x:v>甘口白ワインを冷やして提供する主な利点はどれか。</x:v>
      </x:c>
      <x:c r="F553" s="165" t="str">
        <x:v>残糖を物理的に除去する</x:v>
      </x:c>
      <x:c r="G553" s="165" t="str">
        <x:v>ワインを辛口へ化学変化させる</x:v>
      </x:c>
      <x:c r="H553" s="165" t="str">
        <x:v>瓶内圧力を必ず高める</x:v>
      </x:c>
      <x:c r="I553" s="165" t="str">
        <x:v>甘味の重さを抑え、酸と香りのバランスを爽やかに感じさせる</x:v>
      </x:c>
      <x:c r="J553" s="171" t="str">
        <x:v>D</x:v>
      </x:c>
      <x:c r="K553" s="165" t="str">
        <x:v>甘味の重さを抑え、酸と香りのバランスを爽やかに感じさせる</x:v>
      </x:c>
      <x:c r="L553" s="165" t="str">
        <x:v>低温は甘味とアルコールの知覚を穏やかにし、高い酸と芳香を際立たせる。</x:v>
      </x:c>
      <x:c r="M553" s="165" t="str">
        <x:v>誤り。 冷却しても糖量は変わらない。</x:v>
      </x:c>
      <x:c r="N553" s="165" t="str">
        <x:v>誤り。 甘味の知覚は変わるが、辛口にはならない。</x:v>
      </x:c>
      <x:c r="O553" s="165" t="str">
        <x:v>誤り。 温度低下で圧力はむしろ低くなる。</x:v>
      </x:c>
      <x:c r="P553" s="165" t="str">
        <x:v>正しい。 低温は甘味とアルコールの知覚を穏やかにし、高い酸と芳香を際立たせる。</x:v>
      </x:c>
      <x:c r="Q553" s="165" t="str">
        <x:v>サービス</x:v>
      </x:c>
      <x:c r="R553" s="165" t="str">
        <x:v>提供温度</x:v>
      </x:c>
      <x:c r="S553" s="165" t="str">
        <x:v>甘口ワイン</x:v>
      </x:c>
      <x:c r="T553" s="165"/>
      <x:c r="U553" s="165"/>
      <x:c r="V553" s="165"/>
      <x:c r="W553" s="165" t="str">
        <x:v>因果説明</x:v>
      </x:c>
      <x:c r="X553" s="171" t="str">
        <x:v>D2</x:v>
      </x:c>
      <x:c r="Y553" s="165" t="str">
        <x:v>冷却で糖除去; 冷却で辛口化</x:v>
      </x:c>
      <x:c r="Z553" s="171" t="str">
        <x:v>N</x:v>
      </x:c>
      <x:c r="AA553" s="165"/>
      <x:c r="AB553" s="165" t="str">
        <x:v>オリジナル</x:v>
      </x:c>
      <x:c r="AC553" s="165" t="str">
        <x:v>公式Specificationの範囲＋ユーザー作成コーパスの論点を参考に独自作成</x:v>
      </x:c>
      <x:c r="AD553" s="171" t="str">
        <x:v>未レビュー</x:v>
      </x:c>
      <x:c r="AE553" s="171"/>
      <x:c r="AF553" s="171"/>
      <x:c r="AG553" s="312"/>
    </x:row>
    <x:row r="554" ht="84" customHeight="1">
      <x:c r="A554" s="311" t="str">
        <x:v>LO5-073</x:v>
      </x:c>
      <x:c r="B554" s="171" t="str">
        <x:v>LO5</x:v>
      </x:c>
      <x:c r="C554" s="165" t="str">
        <x:v>情報提供・推奨・保管・サービス</x:v>
      </x:c>
      <x:c r="D554" s="165" t="str">
        <x:v>酒精強化ワインの提供温度</x:v>
      </x:c>
      <x:c r="E554" s="165" t="str">
        <x:v>若いフィノと熟成したオロロソで、適切な提供温度が異なる主な理由はどれか。</x:v>
      </x:c>
      <x:c r="F554" s="165" t="str">
        <x:v>フィノは冷やして鮮度を強調し、オロロソはやや高い温度で複雑な香りを開かせるため</x:v>
      </x:c>
      <x:c r="G554" s="165" t="str">
        <x:v>フィノは発泡性で、オロロソは無アルコールだから</x:v>
      </x:c>
      <x:c r="H554" s="165" t="str">
        <x:v>温度で甘味区分が法的に変わるから</x:v>
      </x:c>
      <x:c r="I554" s="165" t="str">
        <x:v>オロロソは必ず冷凍して提供するから</x:v>
      </x:c>
      <x:c r="J554" s="171" t="str">
        <x:v>A</x:v>
      </x:c>
      <x:c r="K554" s="165" t="str">
        <x:v>フィノは冷やして鮮度を強調し、オロロソはやや高い温度で複雑な香りを開かせるため</x:v>
      </x:c>
      <x:c r="L554" s="165" t="str">
        <x:v>軽く繊細な生物学的熟成香と、豊かで酸化的な熟成香では、香味が最も表れる温度が異なる。</x:v>
      </x:c>
      <x:c r="M554" s="165" t="str">
        <x:v>正しい。 軽く繊細な生物学的熟成香と、豊かで酸化的な熟成香では、香味が最も表れる温度が異なる。</x:v>
      </x:c>
      <x:c r="N554" s="165" t="str">
        <x:v>誤り。 どちらも非発泡性の酒精強化ワインである。</x:v>
      </x:c>
      <x:c r="O554" s="165" t="str">
        <x:v>誤り。 温度は表示区分を変えない。</x:v>
      </x:c>
      <x:c r="P554" s="165" t="str">
        <x:v>誤り。 凍結は香りを閉じ、適切でない。</x:v>
      </x:c>
      <x:c r="Q554" s="165" t="str">
        <x:v>サービス</x:v>
      </x:c>
      <x:c r="R554" s="165" t="str">
        <x:v>提供温度</x:v>
      </x:c>
      <x:c r="S554" s="165" t="str">
        <x:v>酒精強化ワイン</x:v>
      </x:c>
      <x:c r="T554" s="165"/>
      <x:c r="U554" s="165"/>
      <x:c r="V554" s="165"/>
      <x:c r="W554" s="165" t="str">
        <x:v>比較</x:v>
      </x:c>
      <x:c r="X554" s="171" t="str">
        <x:v>D2</x:v>
      </x:c>
      <x:c r="Y554" s="165" t="str">
        <x:v>フィノは発泡性; 温度で法的区分変更</x:v>
      </x:c>
      <x:c r="Z554" s="171" t="str">
        <x:v>N</x:v>
      </x:c>
      <x:c r="AA554" s="165"/>
      <x:c r="AB554" s="165" t="str">
        <x:v>オリジナル</x:v>
      </x:c>
      <x:c r="AC554" s="165" t="str">
        <x:v>公式Specificationの範囲＋ユーザー作成コーパスの論点を参考に独自作成</x:v>
      </x:c>
      <x:c r="AD554" s="171" t="str">
        <x:v>未レビュー</x:v>
      </x:c>
      <x:c r="AE554" s="171"/>
      <x:c r="AF554" s="171"/>
      <x:c r="AG554" s="312"/>
    </x:row>
    <x:row r="555" ht="84" customHeight="1">
      <x:c r="A555" s="311" t="str">
        <x:v>LO5-074</x:v>
      </x:c>
      <x:c r="B555" s="171" t="str">
        <x:v>LO5</x:v>
      </x:c>
      <x:c r="C555" s="165" t="str">
        <x:v>情報提供・推奨・保管・サービス</x:v>
      </x:c>
      <x:c r="D555" s="165" t="str">
        <x:v>グラスへの注量</x:v>
      </x:c>
      <x:c r="E555" s="165" t="str">
        <x:v>テイスティングや上質なサービスでグラスを満杯にしない主な理由はどれか。</x:v>
      </x:c>
      <x:c r="F555" s="165" t="str">
        <x:v>少量にするとアルコール度が下がる</x:v>
      </x:c>
      <x:c r="G555" s="165" t="str">
        <x:v>ワインを回す空間と香りが集まる空間を残すため</x:v>
      </x:c>
      <x:c r="H555" s="165" t="str">
        <x:v>グラスを満たすと残糖が増える</x:v>
      </x:c>
      <x:c r="I555" s="165" t="str">
        <x:v>空間があるとワインが発泡性へ変わる</x:v>
      </x:c>
      <x:c r="J555" s="171" t="str">
        <x:v>B</x:v>
      </x:c>
      <x:c r="K555" s="165" t="str">
        <x:v>ワインを回す空間と香りが集まる空間を残すため</x:v>
      </x:c>
      <x:c r="L555" s="165" t="str">
        <x:v>適量を注ぐことで液面を広げて香りを揮発させ、こぼさずにスワリングできる。</x:v>
      </x:c>
      <x:c r="M555" s="165" t="str">
        <x:v>誤り。 注ぐ量でワインのアルコール濃度は変わらない。</x:v>
      </x:c>
      <x:c r="N555" s="165" t="str">
        <x:v>正しい。 適量を注ぐことで液面を広げて香りを揮発させ、こぼさずにスワリングできる。</x:v>
      </x:c>
      <x:c r="O555" s="165" t="str">
        <x:v>誤り。 残糖は量に比例するが濃度は変わらない。</x:v>
      </x:c>
      <x:c r="P555" s="165" t="str">
        <x:v>誤り。 非発泡性ワインが自然に発泡するわけではない。</x:v>
      </x:c>
      <x:c r="Q555" s="165" t="str">
        <x:v>サービス</x:v>
      </x:c>
      <x:c r="R555" s="165" t="str">
        <x:v>グラス</x:v>
      </x:c>
      <x:c r="S555" s="165" t="str">
        <x:v>全般</x:v>
      </x:c>
      <x:c r="T555" s="165"/>
      <x:c r="U555" s="165"/>
      <x:c r="V555" s="165"/>
      <x:c r="W555" s="165" t="str">
        <x:v>因果説明</x:v>
      </x:c>
      <x:c r="X555" s="171" t="str">
        <x:v>D1</x:v>
      </x:c>
      <x:c r="Y555" s="165" t="str">
        <x:v>少量で低アルコール; 空間で発泡</x:v>
      </x:c>
      <x:c r="Z555" s="171" t="str">
        <x:v>N</x:v>
      </x:c>
      <x:c r="AA555" s="165"/>
      <x:c r="AB555" s="165" t="str">
        <x:v>オリジナル</x:v>
      </x:c>
      <x:c r="AC555" s="165" t="str">
        <x:v>公式Specificationの範囲＋ユーザー作成コーパスの論点を参考に独自作成</x:v>
      </x:c>
      <x:c r="AD555" s="171" t="str">
        <x:v>未レビュー</x:v>
      </x:c>
      <x:c r="AE555" s="171"/>
      <x:c r="AF555" s="171"/>
      <x:c r="AG555" s="312"/>
    </x:row>
    <x:row r="556" ht="84" customHeight="1">
      <x:c r="A556" s="311" t="str">
        <x:v>LO5-075</x:v>
      </x:c>
      <x:c r="B556" s="171" t="str">
        <x:v>LO5</x:v>
      </x:c>
      <x:c r="C556" s="165" t="str">
        <x:v>情報提供・推奨・保管・サービス</x:v>
      </x:c>
      <x:c r="D556" s="165" t="str">
        <x:v>グラスの磨き方</x:v>
      </x:c>
      <x:c r="E556" s="165" t="str">
        <x:v>ワイングラスを無臭の清潔な布で磨く主な理由はどれか。</x:v>
      </x:c>
      <x:c r="F556" s="165" t="str">
        <x:v>布の香料をグラスへ残すため</x:v>
      </x:c>
      <x:c r="G556" s="165" t="str">
        <x:v>グラスへ油膜を作り、泡を消すため</x:v>
      </x:c>
      <x:c r="H556" s="165" t="str">
        <x:v>水滴、指紋、洗剤臭、糸くずが外観と香りの評価を妨げるのを防ぐ</x:v>
      </x:c>
      <x:c r="I556" s="165" t="str">
        <x:v>ワインの残糖を増やすため</x:v>
      </x:c>
      <x:c r="J556" s="171" t="str">
        <x:v>C</x:v>
      </x:c>
      <x:c r="K556" s="165" t="str">
        <x:v>水滴、指紋、洗剤臭、糸くずが外観と香りの評価を妨げるのを防ぐ</x:v>
      </x:c>
      <x:c r="L556" s="165" t="str">
        <x:v>透明で無臭のグラスは色と香りを正確に示し、泡の形成にも余計な影響を与えない。</x:v>
      </x:c>
      <x:c r="M556" s="165" t="str">
        <x:v>誤り。 香り付き洗剤や布はワインの香りを妨げる。</x:v>
      </x:c>
      <x:c r="N556" s="165" t="str">
        <x:v>誤り。 油脂は泡を損なうため避ける。</x:v>
      </x:c>
      <x:c r="O556" s="165" t="str">
        <x:v>正しい。 透明で無臭のグラスは色と香りを正確に示し、泡の形成にも余計な影響を与えない。</x:v>
      </x:c>
      <x:c r="P556" s="165" t="str">
        <x:v>誤り。 グラスの清潔さは糖量を変えない。</x:v>
      </x:c>
      <x:c r="Q556" s="165" t="str">
        <x:v>サービス</x:v>
      </x:c>
      <x:c r="R556" s="165" t="str">
        <x:v>グラス管理</x:v>
      </x:c>
      <x:c r="S556" s="165" t="str">
        <x:v>全般</x:v>
      </x:c>
      <x:c r="T556" s="165"/>
      <x:c r="U556" s="165"/>
      <x:c r="V556" s="165"/>
      <x:c r="W556" s="165" t="str">
        <x:v>因果説明</x:v>
      </x:c>
      <x:c r="X556" s="171" t="str">
        <x:v>D1</x:v>
      </x:c>
      <x:c r="Y556" s="165" t="str">
        <x:v>香料を残す; 油膜で品質向上</x:v>
      </x:c>
      <x:c r="Z556" s="171" t="str">
        <x:v>N</x:v>
      </x:c>
      <x:c r="AA556" s="165"/>
      <x:c r="AB556" s="165" t="str">
        <x:v>オリジナル</x:v>
      </x:c>
      <x:c r="AC556" s="165" t="str">
        <x:v>公式Specificationの範囲＋ユーザー作成コーパスの論点を参考に独自作成</x:v>
      </x:c>
      <x:c r="AD556" s="171" t="str">
        <x:v>未レビュー</x:v>
      </x:c>
      <x:c r="AE556" s="171"/>
      <x:c r="AF556" s="171"/>
      <x:c r="AG556" s="312"/>
    </x:row>
    <x:row r="557" ht="84" customHeight="1">
      <x:c r="A557" s="311" t="str">
        <x:v>LO5-076</x:v>
      </x:c>
      <x:c r="B557" s="171" t="str">
        <x:v>LO5</x:v>
      </x:c>
      <x:c r="C557" s="165" t="str">
        <x:v>情報提供・推奨・保管・サービス</x:v>
      </x:c>
      <x:c r="D557" s="165" t="str">
        <x:v>発泡性ワインのグラス形状</x:v>
      </x:c>
      <x:c r="E557" s="165" t="str">
        <x:v>高品質発泡性ワインに、細長すぎないチューリップ形グラスが適する主な理由はどれか。</x:v>
      </x:c>
      <x:c r="F557" s="165" t="str">
        <x:v>広い平皿形ほど炭酸ガスを長く保持する</x:v>
      </x:c>
      <x:c r="G557" s="165" t="str">
        <x:v>どの形でも香りと泡は完全に同じ</x:v>
      </x:c>
      <x:c r="H557" s="165" t="str">
        <x:v>グラス形状が残糖を変える</x:v>
      </x:c>
      <x:c r="I557" s="165" t="str">
        <x:v>泡を保持しつつ、上部のふくらみで香りを集められる</x:v>
      </x:c>
      <x:c r="J557" s="171" t="str">
        <x:v>D</x:v>
      </x:c>
      <x:c r="K557" s="165" t="str">
        <x:v>泡を保持しつつ、上部のふくらみで香りを集められる</x:v>
      </x:c>
      <x:c r="L557" s="165" t="str">
        <x:v>細い底部は泡の流れを見せ、適度なボウル幅が果実香と自己分解香を表現する。</x:v>
      </x:c>
      <x:c r="M557" s="165" t="str">
        <x:v>誤り。 広い表面では炭酸ガスが抜けやすい。</x:v>
      </x:c>
      <x:c r="N557" s="165" t="str">
        <x:v>誤り。 表面積と開口部が香りと気体保持に影響する。</x:v>
      </x:c>
      <x:c r="O557" s="165" t="str">
        <x:v>誤り。 知覚は変わっても糖量は変化しない。</x:v>
      </x:c>
      <x:c r="P557" s="165" t="str">
        <x:v>正しい。 細い底部は泡の流れを見せ、適度なボウル幅が果実香と自己分解香を表現する。</x:v>
      </x:c>
      <x:c r="Q557" s="165" t="str">
        <x:v>サービス</x:v>
      </x:c>
      <x:c r="R557" s="165" t="str">
        <x:v>グラス</x:v>
      </x:c>
      <x:c r="S557" s="165" t="str">
        <x:v>発泡性ワイン</x:v>
      </x:c>
      <x:c r="T557" s="165"/>
      <x:c r="U557" s="165"/>
      <x:c r="V557" s="165"/>
      <x:c r="W557" s="165" t="str">
        <x:v>比較</x:v>
      </x:c>
      <x:c r="X557" s="171" t="str">
        <x:v>D2</x:v>
      </x:c>
      <x:c r="Y557" s="165" t="str">
        <x:v>クープが最も泡保持; 形状差なし</x:v>
      </x:c>
      <x:c r="Z557" s="171" t="str">
        <x:v>N</x:v>
      </x:c>
      <x:c r="AA557" s="165"/>
      <x:c r="AB557" s="165" t="str">
        <x:v>オリジナル</x:v>
      </x:c>
      <x:c r="AC557" s="165" t="str">
        <x:v>公式Specificationの範囲＋ユーザー作成コーパスの論点を参考に独自作成</x:v>
      </x:c>
      <x:c r="AD557" s="171" t="str">
        <x:v>未レビュー</x:v>
      </x:c>
      <x:c r="AE557" s="171"/>
      <x:c r="AF557" s="171"/>
      <x:c r="AG557" s="312"/>
    </x:row>
    <x:row r="558" ht="84" customHeight="1">
      <x:c r="A558" s="311" t="str">
        <x:v>LO5-077</x:v>
      </x:c>
      <x:c r="B558" s="171" t="str">
        <x:v>LO5</x:v>
      </x:c>
      <x:c r="C558" s="165" t="str">
        <x:v>情報提供・推奨・保管・サービス</x:v>
      </x:c>
      <x:c r="D558" s="165" t="str">
        <x:v>デキャンタの表面積</x:v>
      </x:c>
      <x:c r="E558" s="165" t="str">
        <x:v>若いタンニンの強い赤ワインを広いデキャンタへ移す主な理由はどれか。</x:v>
      </x:c>
      <x:c r="F558" s="165" t="str">
        <x:v>空気との接触面積を増やし、香りを開かせ、タンニンの知覚を和らげる</x:v>
      </x:c>
      <x:c r="G558" s="165" t="str">
        <x:v>タンニンを濾過して物理的にすべて除く</x:v>
      </x:c>
      <x:c r="H558" s="165" t="str">
        <x:v>残糖を増やす</x:v>
      </x:c>
      <x:c r="I558" s="165" t="str">
        <x:v>ワインを冷凍する</x:v>
      </x:c>
      <x:c r="J558" s="171" t="str">
        <x:v>A</x:v>
      </x:c>
      <x:c r="K558" s="165" t="str">
        <x:v>空気との接触面積を増やし、香りを開かせ、タンニンの知覚を和らげる</x:v>
      </x:c>
      <x:c r="L558" s="165" t="str">
        <x:v>広い液面が酸素との接触を促し、還元的な香りを飛ばし、果実とオークの香りを表現しやすくする。</x:v>
      </x:c>
      <x:c r="M558" s="165" t="str">
        <x:v>正しい。 広い液面が酸素との接触を促し、還元的な香りを飛ばし、果実とオークの香りを表現しやすくする。</x:v>
      </x:c>
      <x:c r="N558" s="165" t="str">
        <x:v>誤り。 デカンティングはタンニンを完全除去しない。</x:v>
      </x:c>
      <x:c r="O558" s="165" t="str">
        <x:v>誤り。 空気接触で糖は増えない。</x:v>
      </x:c>
      <x:c r="P558" s="165" t="str">
        <x:v>誤り。 デキャンタは冷凍器具ではない。</x:v>
      </x:c>
      <x:c r="Q558" s="165" t="str">
        <x:v>サービス</x:v>
      </x:c>
      <x:c r="R558" s="165" t="str">
        <x:v>デカンティング</x:v>
      </x:c>
      <x:c r="S558" s="165" t="str">
        <x:v>赤ワイン</x:v>
      </x:c>
      <x:c r="T558" s="165"/>
      <x:c r="U558" s="165"/>
      <x:c r="V558" s="165"/>
      <x:c r="W558" s="165" t="str">
        <x:v>因果説明</x:v>
      </x:c>
      <x:c r="X558" s="171" t="str">
        <x:v>D2</x:v>
      </x:c>
      <x:c r="Y558" s="165" t="str">
        <x:v>デカントでタンニン完全除去; 残糖増加</x:v>
      </x:c>
      <x:c r="Z558" s="171" t="str">
        <x:v>N</x:v>
      </x:c>
      <x:c r="AA558" s="165"/>
      <x:c r="AB558" s="165" t="str">
        <x:v>オリジナル</x:v>
      </x:c>
      <x:c r="AC558" s="165" t="str">
        <x:v>公式Specificationの範囲＋ユーザー作成コーパスの論点を参考に独自作成</x:v>
      </x:c>
      <x:c r="AD558" s="171" t="str">
        <x:v>未レビュー</x:v>
      </x:c>
      <x:c r="AE558" s="171"/>
      <x:c r="AF558" s="171"/>
      <x:c r="AG558" s="312"/>
    </x:row>
    <x:row r="559" ht="84" customHeight="1">
      <x:c r="A559" s="311" t="str">
        <x:v>LO5-078</x:v>
      </x:c>
      <x:c r="B559" s="171" t="str">
        <x:v>LO5</x:v>
      </x:c>
      <x:c r="C559" s="165" t="str">
        <x:v>情報提供・推奨・保管・サービス</x:v>
      </x:c>
      <x:c r="D559" s="165" t="str">
        <x:v>冷やしすぎた赤ワイン</x:v>
      </x:c>
      <x:c r="E559" s="165" t="str">
        <x:v>冷やしすぎた赤ワインを適温へ戻す最も適切な方法はどれか。</x:v>
      </x:c>
      <x:c r="F559" s="165" t="str">
        <x:v>電子レンジで急速に加熱する</x:v>
      </x:c>
      <x:c r="G559" s="165" t="str">
        <x:v>室温の環境でゆっくり温度を上げ、グラスの中でも変化を確認する</x:v>
      </x:c>
      <x:c r="H559" s="165" t="str">
        <x:v>直火へかける</x:v>
      </x:c>
      <x:c r="I559" s="165" t="str">
        <x:v>沸騰した湯へ長時間浸す</x:v>
      </x:c>
      <x:c r="J559" s="171" t="str">
        <x:v>B</x:v>
      </x:c>
      <x:c r="K559" s="165" t="str">
        <x:v>室温の環境でゆっくり温度を上げ、グラスの中でも変化を確認する</x:v>
      </x:c>
      <x:c r="L559" s="165" t="str">
        <x:v>急激な加熱を避け、香りと構造が開くまで自然に温度を上げる。</x:v>
      </x:c>
      <x:c r="M559" s="165" t="str">
        <x:v>誤り。 局所的な過熱と品質劣化のリスクがある。</x:v>
      </x:c>
      <x:c r="N559" s="165" t="str">
        <x:v>正しい。 急激な加熱を避け、香りと構造が開くまで自然に温度を上げる。</x:v>
      </x:c>
      <x:c r="O559" s="165" t="str">
        <x:v>誤り。 危険で、ワインを損なう。</x:v>
      </x:c>
      <x:c r="P559" s="165" t="str">
        <x:v>誤り。 過度な熱で香りと鮮度を失う。</x:v>
      </x:c>
      <x:c r="Q559" s="165" t="str">
        <x:v>サービス</x:v>
      </x:c>
      <x:c r="R559" s="165" t="str">
        <x:v>温度調整</x:v>
      </x:c>
      <x:c r="S559" s="165" t="str">
        <x:v>赤ワイン</x:v>
      </x:c>
      <x:c r="T559" s="165"/>
      <x:c r="U559" s="165"/>
      <x:c r="V559" s="165"/>
      <x:c r="W559" s="165" t="str">
        <x:v>適用</x:v>
      </x:c>
      <x:c r="X559" s="171" t="str">
        <x:v>D1</x:v>
      </x:c>
      <x:c r="Y559" s="165" t="str">
        <x:v>電子レンジで加熱; 直火</x:v>
      </x:c>
      <x:c r="Z559" s="171" t="str">
        <x:v>N</x:v>
      </x:c>
      <x:c r="AA559" s="165"/>
      <x:c r="AB559" s="165" t="str">
        <x:v>オリジナル</x:v>
      </x:c>
      <x:c r="AC559" s="165" t="str">
        <x:v>公式Specificationの範囲＋ユーザー作成コーパスの論点を参考に独自作成</x:v>
      </x:c>
      <x:c r="AD559" s="171" t="str">
        <x:v>未レビュー</x:v>
      </x:c>
      <x:c r="AE559" s="171"/>
      <x:c r="AF559" s="171"/>
      <x:c r="AG559" s="312"/>
    </x:row>
    <x:row r="560" ht="84" customHeight="1">
      <x:c r="A560" s="311" t="str">
        <x:v>LO5-079</x:v>
      </x:c>
      <x:c r="B560" s="171" t="str">
        <x:v>LO5</x:v>
      </x:c>
      <x:c r="C560" s="165" t="str">
        <x:v>情報提供・推奨・保管・サービス</x:v>
      </x:c>
      <x:c r="D560" s="165" t="str">
        <x:v>急速冷却</x:v>
      </x:c>
      <x:c r="E560" s="165" t="str">
        <x:v>ボトルを氷だけでなく氷水へ入れる方が速く冷える主な理由はどれか。</x:v>
      </x:c>
      <x:c r="F560" s="165" t="str">
        <x:v>水がワインの中へ入り、直接薄めるため</x:v>
      </x:c>
      <x:c r="G560" s="165" t="str">
        <x:v>氷水でアルコールが蒸発するため</x:v>
      </x:c>
      <x:c r="H560" s="165" t="str">
        <x:v>水がボトル表面全体へ接触し、氷とボトルの間の熱移動を効率化する</x:v>
      </x:c>
      <x:c r="I560" s="165" t="str">
        <x:v>水が残糖を減らすため</x:v>
      </x:c>
      <x:c r="J560" s="171" t="str">
        <x:v>C</x:v>
      </x:c>
      <x:c r="K560" s="165" t="str">
        <x:v>水がボトル表面全体へ接触し、氷とボトルの間の熱移動を効率化する</x:v>
      </x:c>
      <x:c r="L560" s="165" t="str">
        <x:v>氷水は空気の隙間を埋め、液体の対流で熱を速く奪う。塩を加えるとさらに低温にできる。</x:v>
      </x:c>
      <x:c r="M560" s="165" t="str">
        <x:v>誤り。 密閉ボトル内へ水は入らない。</x:v>
      </x:c>
      <x:c r="N560" s="165" t="str">
        <x:v>誤り。 冷却ではアルコール蒸発は進まない。</x:v>
      </x:c>
      <x:c r="O560" s="165" t="str">
        <x:v>正しい。 氷水は空気の隙間を埋め、液体の対流で熱を速く奪う。塩を加えるとさらに低温にできる。</x:v>
      </x:c>
      <x:c r="P560" s="165" t="str">
        <x:v>誤り。 ボトル外の水はワイン成分を変えない。</x:v>
      </x:c>
      <x:c r="Q560" s="165" t="str">
        <x:v>サービス</x:v>
      </x:c>
      <x:c r="R560" s="165" t="str">
        <x:v>温度調整</x:v>
      </x:c>
      <x:c r="S560" s="165" t="str">
        <x:v>全般</x:v>
      </x:c>
      <x:c r="T560" s="165"/>
      <x:c r="U560" s="165"/>
      <x:c r="V560" s="165"/>
      <x:c r="W560" s="165" t="str">
        <x:v>因果説明</x:v>
      </x:c>
      <x:c r="X560" s="171" t="str">
        <x:v>D2</x:v>
      </x:c>
      <x:c r="Y560" s="165" t="str">
        <x:v>氷水がワインを希釈; 冷却でアルコール蒸発</x:v>
      </x:c>
      <x:c r="Z560" s="171" t="str">
        <x:v>N</x:v>
      </x:c>
      <x:c r="AA560" s="165"/>
      <x:c r="AB560" s="165" t="str">
        <x:v>オリジナル</x:v>
      </x:c>
      <x:c r="AC560" s="165" t="str">
        <x:v>公式Specificationの範囲＋ユーザー作成コーパスの論点を参考に独自作成</x:v>
      </x:c>
      <x:c r="AD560" s="171" t="str">
        <x:v>未レビュー</x:v>
      </x:c>
      <x:c r="AE560" s="171"/>
      <x:c r="AF560" s="171"/>
      <x:c r="AG560" s="312"/>
    </x:row>
    <x:row r="561" ht="84" customHeight="1">
      <x:c r="A561" s="311" t="str">
        <x:v>LO5-080</x:v>
      </x:c>
      <x:c r="B561" s="171" t="str">
        <x:v>LO5</x:v>
      </x:c>
      <x:c r="C561" s="165" t="str">
        <x:v>情報提供・推奨・保管・サービス</x:v>
      </x:c>
      <x:c r="D561" s="165" t="str">
        <x:v>瓶口の清掃</x:v>
      </x:c>
      <x:c r="E561" s="165" t="str">
        <x:v>ワインを開栓した後、瓶口を清潔な布で拭く主な理由はどれか。</x:v>
      </x:c>
      <x:c r="F561" s="165" t="str">
        <x:v>瓶内のコルク汚染を治す</x:v>
      </x:c>
      <x:c r="G561" s="165" t="str">
        <x:v>残糖を増やす</x:v>
      </x:c>
      <x:c r="H561" s="165" t="str">
        <x:v>ワインを発泡性へする</x:v>
      </x:c>
      <x:c r="I561" s="165" t="str">
        <x:v>カプセルの破片、埃、カビなどがグラスへ入るのを防ぐ</x:v>
      </x:c>
      <x:c r="J561" s="171" t="str">
        <x:v>D</x:v>
      </x:c>
      <x:c r="K561" s="165" t="str">
        <x:v>カプセルの破片、埃、カビなどがグラスへ入るのを防ぐ</x:v>
      </x:c>
      <x:c r="L561" s="165" t="str">
        <x:v>外側の汚れとワインの接触を避け、衛生的で見た目のよいサービスにする。</x:v>
      </x:c>
      <x:c r="M561" s="165" t="str">
        <x:v>誤り。 瓶口を拭いてもワイン中のTCAは除去できない。</x:v>
      </x:c>
      <x:c r="N561" s="165" t="str">
        <x:v>誤り。 清掃で成分は変わらない。</x:v>
      </x:c>
      <x:c r="O561" s="165" t="str">
        <x:v>誤り。 瓶口を拭いても二酸化炭素は生じない。</x:v>
      </x:c>
      <x:c r="P561" s="165" t="str">
        <x:v>正しい。 外側の汚れとワインの接触を避け、衛生的で見た目のよいサービスにする。</x:v>
      </x:c>
      <x:c r="Q561" s="165" t="str">
        <x:v>サービス</x:v>
      </x:c>
      <x:c r="R561" s="165" t="str">
        <x:v>開栓手順</x:v>
      </x:c>
      <x:c r="S561" s="165" t="str">
        <x:v>全般</x:v>
      </x:c>
      <x:c r="T561" s="165"/>
      <x:c r="U561" s="165"/>
      <x:c r="V561" s="165"/>
      <x:c r="W561" s="165" t="str">
        <x:v>知識確認</x:v>
      </x:c>
      <x:c r="X561" s="171" t="str">
        <x:v>D1</x:v>
      </x:c>
      <x:c r="Y561" s="165" t="str">
        <x:v>瓶口清掃でTCA除去; 発泡化</x:v>
      </x:c>
      <x:c r="Z561" s="171" t="str">
        <x:v>N</x:v>
      </x:c>
      <x:c r="AA561" s="165"/>
      <x:c r="AB561" s="165" t="str">
        <x:v>オリジナル</x:v>
      </x:c>
      <x:c r="AC561" s="165" t="str">
        <x:v>公式Specificationの範囲＋ユーザー作成コーパスの論点を参考に独自作成</x:v>
      </x:c>
      <x:c r="AD561" s="171" t="str">
        <x:v>未レビュー</x:v>
      </x:c>
      <x:c r="AE561" s="171"/>
      <x:c r="AF561" s="171"/>
      <x:c r="AG561" s="312"/>
    </x:row>
    <x:row r="562" ht="84" customHeight="1">
      <x:c r="A562" s="311" t="str">
        <x:v>LO5-081</x:v>
      </x:c>
      <x:c r="B562" s="171" t="str">
        <x:v>LO5</x:v>
      </x:c>
      <x:c r="C562" s="165" t="str">
        <x:v>情報提供・推奨・保管・サービス</x:v>
      </x:c>
      <x:c r="D562" s="165" t="str">
        <x:v>軽いワインから重いワイン</x:v>
      </x:c>
      <x:c r="E562" s="165" t="str">
        <x:v>複数のワインを試飲する際、一般に軽いワインを力強いワインより先に出す理由はどれか。</x:v>
      </x:c>
      <x:c r="F562" s="165" t="str">
        <x:v>強いアルコール、タンニン、香りが繊細なワインの知覚を覆うのを防ぐ</x:v>
      </x:c>
      <x:c r="G562" s="165" t="str">
        <x:v>軽いワインにはアルコールが一切ないため</x:v>
      </x:c>
      <x:c r="H562" s="165" t="str">
        <x:v>重いワインを後にすると残糖が増えるため</x:v>
      </x:c>
      <x:c r="I562" s="165" t="str">
        <x:v>軽いワインだけが白色だから</x:v>
      </x:c>
      <x:c r="J562" s="171" t="str">
        <x:v>A</x:v>
      </x:c>
      <x:c r="K562" s="165" t="str">
        <x:v>強いアルコール、タンニン、香りが繊細なワインの知覚を覆うのを防ぐ</x:v>
      </x:c>
      <x:c r="L562" s="165" t="str">
        <x:v>味覚と嗅覚の順応を抑え、各ワインの微妙な香りと構造を評価しやすくする。</x:v>
      </x:c>
      <x:c r="M562" s="165" t="str">
        <x:v>正しい。 味覚と嗅覚の順応を抑え、各ワインの微妙な香りと構造を評価しやすくする。</x:v>
      </x:c>
      <x:c r="N562" s="165" t="str">
        <x:v>誤り。 軽いスタイルでもアルコールを含む。</x:v>
      </x:c>
      <x:c r="O562" s="165" t="str">
        <x:v>誤り。 順序で成分は変わらない。</x:v>
      </x:c>
      <x:c r="P562" s="165" t="str">
        <x:v>誤り。 赤白いずれにも軽い・重いスタイルがある。</x:v>
      </x:c>
      <x:c r="Q562" s="165" t="str">
        <x:v>サービス</x:v>
      </x:c>
      <x:c r="R562" s="165" t="str">
        <x:v>提供順序</x:v>
      </x:c>
      <x:c r="S562" s="165" t="str">
        <x:v>全般</x:v>
      </x:c>
      <x:c r="T562" s="165"/>
      <x:c r="U562" s="165"/>
      <x:c r="V562" s="165"/>
      <x:c r="W562" s="165" t="str">
        <x:v>因果説明</x:v>
      </x:c>
      <x:c r="X562" s="171" t="str">
        <x:v>D2</x:v>
      </x:c>
      <x:c r="Y562" s="165" t="str">
        <x:v>軽いワインは無酒精; 軽重は色だけ</x:v>
      </x:c>
      <x:c r="Z562" s="171" t="str">
        <x:v>N</x:v>
      </x:c>
      <x:c r="AA562" s="165"/>
      <x:c r="AB562" s="165" t="str">
        <x:v>オリジナル</x:v>
      </x:c>
      <x:c r="AC562" s="165" t="str">
        <x:v>公式Specificationの範囲＋ユーザー作成コーパスの論点を参考に独自作成</x:v>
      </x:c>
      <x:c r="AD562" s="171" t="str">
        <x:v>未レビュー</x:v>
      </x:c>
      <x:c r="AE562" s="171"/>
      <x:c r="AF562" s="171"/>
      <x:c r="AG562" s="312"/>
    </x:row>
    <x:row r="563" ht="84" customHeight="1">
      <x:c r="A563" s="311" t="str">
        <x:v>LO5-082</x:v>
      </x:c>
      <x:c r="B563" s="171" t="str">
        <x:v>LO5</x:v>
      </x:c>
      <x:c r="C563" s="165" t="str">
        <x:v>情報提供・推奨・保管・サービス</x:v>
      </x:c>
      <x:c r="D563" s="165" t="str">
        <x:v>辛口から甘口</x:v>
      </x:c>
      <x:c r="E563" s="165" t="str">
        <x:v>複数ワインの試飲で甘口ワインを辛口ワインより後に出す主な理由はどれか。</x:v>
      </x:c>
      <x:c r="F563" s="165" t="str">
        <x:v>甘口ワインは必ずアルコールが高いから</x:v>
      </x:c>
      <x:c r="G563" s="165" t="str">
        <x:v>強い甘味が残ると、その後の辛口ワインが過度に酸っぱく薄く感じられるため</x:v>
      </x:c>
      <x:c r="H563" s="165" t="str">
        <x:v>辛口ワインには酸が存在しないから</x:v>
      </x:c>
      <x:c r="I563" s="165" t="str">
        <x:v>順序により残糖量が変化するから</x:v>
      </x:c>
      <x:c r="J563" s="171" t="str">
        <x:v>B</x:v>
      </x:c>
      <x:c r="K563" s="165" t="str">
        <x:v>強い甘味が残ると、その後の辛口ワインが過度に酸っぱく薄く感じられるため</x:v>
      </x:c>
      <x:c r="L563" s="165" t="str">
        <x:v>甘味は口中に残りやすく、後続ワインの果実味とバランスの知覚を妨げる。</x:v>
      </x:c>
      <x:c r="M563" s="165" t="str">
        <x:v>誤り。 甘口でも低アルコールのワインがある。</x:v>
      </x:c>
      <x:c r="N563" s="165" t="str">
        <x:v>正しい。 甘味は口中に残りやすく、後続ワインの果実味とバランスの知覚を妨げる。</x:v>
      </x:c>
      <x:c r="O563" s="165" t="str">
        <x:v>誤り。 辛口ワインにも酸がある。</x:v>
      </x:c>
      <x:c r="P563" s="165" t="str">
        <x:v>誤り。 成分ではなく知覚の問題である。</x:v>
      </x:c>
      <x:c r="Q563" s="165" t="str">
        <x:v>サービス</x:v>
      </x:c>
      <x:c r="R563" s="165" t="str">
        <x:v>提供順序</x:v>
      </x:c>
      <x:c r="S563" s="165" t="str">
        <x:v>全般</x:v>
      </x:c>
      <x:c r="T563" s="165"/>
      <x:c r="U563" s="165"/>
      <x:c r="V563" s="165"/>
      <x:c r="W563" s="165" t="str">
        <x:v>因果説明</x:v>
      </x:c>
      <x:c r="X563" s="171" t="str">
        <x:v>D2</x:v>
      </x:c>
      <x:c r="Y563" s="165" t="str">
        <x:v>甘口は必ず高アルコール; 辛口は無酸</x:v>
      </x:c>
      <x:c r="Z563" s="171" t="str">
        <x:v>N</x:v>
      </x:c>
      <x:c r="AA563" s="165"/>
      <x:c r="AB563" s="165" t="str">
        <x:v>オリジナル</x:v>
      </x:c>
      <x:c r="AC563" s="165" t="str">
        <x:v>公式Specificationの範囲＋ユーザー作成コーパスの論点を参考に独自作成</x:v>
      </x:c>
      <x:c r="AD563" s="171" t="str">
        <x:v>未レビュー</x:v>
      </x:c>
      <x:c r="AE563" s="171"/>
      <x:c r="AF563" s="171"/>
      <x:c r="AG563" s="312"/>
    </x:row>
    <x:row r="564" ht="84" customHeight="1">
      <x:c r="A564" s="311" t="str">
        <x:v>LO5-083</x:v>
      </x:c>
      <x:c r="B564" s="171" t="str">
        <x:v>LO5</x:v>
      </x:c>
      <x:c r="C564" s="165" t="str">
        <x:v>情報提供・推奨・保管・サービス</x:v>
      </x:c>
      <x:c r="D564" s="165" t="str">
        <x:v>繊細な香りから強い香り</x:v>
      </x:c>
      <x:c r="E564" s="165" t="str">
        <x:v>香りの繊細なワインを、非常に樽香や品種香の強いワインより先に試す主な理由はどれか。</x:v>
      </x:c>
      <x:c r="F564" s="165" t="str">
        <x:v>繊細なワインは必ず無香だから</x:v>
      </x:c>
      <x:c r="G564" s="165" t="str">
        <x:v>強い香りのワインがグラスを物理的に着色するから</x:v>
      </x:c>
      <x:c r="H564" s="165" t="str">
        <x:v>強い香りへの嗅覚順応で、繊細な香りを感じにくくなるのを防ぐ</x:v>
      </x:c>
      <x:c r="I564" s="165" t="str">
        <x:v>順序でアルコールが消えるから</x:v>
      </x:c>
      <x:c r="J564" s="171" t="str">
        <x:v>C</x:v>
      </x:c>
      <x:c r="K564" s="165" t="str">
        <x:v>強い香りへの嗅覚順応で、繊細な香りを感じにくくなるのを防ぐ</x:v>
      </x:c>
      <x:c r="L564" s="165" t="str">
        <x:v>強度の低いワインから進めると、香りの細部を比較しやすい。</x:v>
      </x:c>
      <x:c r="M564" s="165" t="str">
        <x:v>誤り。 香りがないのではなく、強度が穏やかである。</x:v>
      </x:c>
      <x:c r="N564" s="165" t="str">
        <x:v>誤り。 提供順序の主因は感覚の順応である。</x:v>
      </x:c>
      <x:c r="O564" s="165" t="str">
        <x:v>正しい。 強度の低いワインから進めると、香りの細部を比較しやすい。</x:v>
      </x:c>
      <x:c r="P564" s="165" t="str">
        <x:v>誤り。 成分は変化しない。</x:v>
      </x:c>
      <x:c r="Q564" s="165" t="str">
        <x:v>サービス</x:v>
      </x:c>
      <x:c r="R564" s="165" t="str">
        <x:v>提供順序</x:v>
      </x:c>
      <x:c r="S564" s="165" t="str">
        <x:v>全般</x:v>
      </x:c>
      <x:c r="T564" s="165"/>
      <x:c r="U564" s="165"/>
      <x:c r="V564" s="165"/>
      <x:c r="W564" s="165" t="str">
        <x:v>因果説明</x:v>
      </x:c>
      <x:c r="X564" s="171" t="str">
        <x:v>D1</x:v>
      </x:c>
      <x:c r="Y564" s="165" t="str">
        <x:v>繊細は無香; 順序でアルコール消失</x:v>
      </x:c>
      <x:c r="Z564" s="171" t="str">
        <x:v>N</x:v>
      </x:c>
      <x:c r="AA564" s="165"/>
      <x:c r="AB564" s="165" t="str">
        <x:v>オリジナル</x:v>
      </x:c>
      <x:c r="AC564" s="165" t="str">
        <x:v>公式Specificationの範囲＋ユーザー作成コーパスの論点を参考に独自作成</x:v>
      </x:c>
      <x:c r="AD564" s="171" t="str">
        <x:v>未レビュー</x:v>
      </x:c>
      <x:c r="AE564" s="171"/>
      <x:c r="AF564" s="171"/>
      <x:c r="AG564" s="312"/>
    </x:row>
    <x:row r="565" ht="84" customHeight="1">
      <x:c r="A565" s="311" t="str">
        <x:v>LO5-084</x:v>
      </x:c>
      <x:c r="B565" s="171" t="str">
        <x:v>LO5</x:v>
      </x:c>
      <x:c r="C565" s="165" t="str">
        <x:v>情報提供・推奨・保管・サービス</x:v>
      </x:c>
      <x:c r="D565" s="165" t="str">
        <x:v>ホストへの少量試飲</x:v>
      </x:c>
      <x:c r="E565" s="165" t="str">
        <x:v>レストランで最初にホストへ少量を注ぐ主な目的はどれか。</x:v>
      </x:c>
      <x:c r="F565" s="165" t="str">
        <x:v>ホストが残糖を調整するため</x:v>
      </x:c>
      <x:c r="G565" s="165" t="str">
        <x:v>アルコール度を測定するため</x:v>
      </x:c>
      <x:c r="H565" s="165" t="str">
        <x:v>価格交渉を始めるため</x:v>
      </x:c>
      <x:c r="I565" s="165" t="str">
        <x:v>注文したワインであることと、コルク汚染などの状態不良がないことを確認してもらう</x:v>
      </x:c>
      <x:c r="J565" s="171" t="str">
        <x:v>D</x:v>
      </x:c>
      <x:c r="K565" s="165" t="str">
        <x:v>注文したワインであることと、コルク汚染などの状態不良がないことを確認してもらう</x:v>
      </x:c>
      <x:c r="L565" s="165" t="str">
        <x:v>個人的な好みを再審査する儀式ではなく、銘柄・ヴィンテージ・状態の確認が中心である。</x:v>
      </x:c>
      <x:c r="M565" s="165" t="str">
        <x:v>誤り。 甘味を変える工程ではない。</x:v>
      </x:c>
      <x:c r="N565" s="165" t="str">
        <x:v>誤り。 少量試飲だけで正確な分析を行わない。</x:v>
      </x:c>
      <x:c r="O565" s="165" t="str">
        <x:v>誤り。 注文内容と状態の確認である。</x:v>
      </x:c>
      <x:c r="P565" s="165" t="str">
        <x:v>正しい。 個人的な好みを再審査する儀式ではなく、銘柄・ヴィンテージ・状態の確認が中心である。</x:v>
      </x:c>
      <x:c r="Q565" s="165" t="str">
        <x:v>サービス</x:v>
      </x:c>
      <x:c r="R565" s="165" t="str">
        <x:v>ボトルサービス</x:v>
      </x:c>
      <x:c r="S565" s="165" t="str">
        <x:v>全般</x:v>
      </x:c>
      <x:c r="T565" s="165"/>
      <x:c r="U565" s="165"/>
      <x:c r="V565" s="165"/>
      <x:c r="W565" s="165" t="str">
        <x:v>知識確認</x:v>
      </x:c>
      <x:c r="X565" s="171" t="str">
        <x:v>D1</x:v>
      </x:c>
      <x:c r="Y565" s="165" t="str">
        <x:v>ホスト試飲は好みだけ; 残糖調整</x:v>
      </x:c>
      <x:c r="Z565" s="171" t="str">
        <x:v>N</x:v>
      </x:c>
      <x:c r="AA565" s="165"/>
      <x:c r="AB565" s="165" t="str">
        <x:v>オリジナル</x:v>
      </x:c>
      <x:c r="AC565" s="165" t="str">
        <x:v>公式Specificationの範囲＋ユーザー作成コーパスの論点を参考に独自作成</x:v>
      </x:c>
      <x:c r="AD565" s="171" t="str">
        <x:v>未レビュー</x:v>
      </x:c>
      <x:c r="AE565" s="171"/>
      <x:c r="AF565" s="171"/>
      <x:c r="AG565" s="312"/>
    </x:row>
    <x:row r="566" ht="84" customHeight="1">
      <x:c r="A566" s="311" t="str">
        <x:v>LO5-085</x:v>
      </x:c>
      <x:c r="B566" s="171" t="str">
        <x:v>LO5</x:v>
      </x:c>
      <x:c r="C566" s="165" t="str">
        <x:v>情報提供・推奨・保管・サービス</x:v>
      </x:c>
      <x:c r="D566" s="165" t="str">
        <x:v>ボトル差</x:v>
      </x:c>
      <x:c r="E566" s="165" t="str">
        <x:v>同じワイン、同じヴィンテージでもボトルごとに状態が異なる可能性がある主な理由はどれか。</x:v>
      </x:c>
      <x:c r="F566" s="165" t="str">
        <x:v>栓の密閉性、保管履歴、微量の酸素侵入、汚染に差があるため</x:v>
      </x:c>
      <x:c r="G566" s="165" t="str">
        <x:v>ラベルの色が違うとワインの化学成分が変わるため</x:v>
      </x:c>
      <x:c r="H566" s="165" t="str">
        <x:v>同じロットなら絶対に差が生じない</x:v>
      </x:c>
      <x:c r="I566" s="165" t="str">
        <x:v>ボトルの順番で残糖が変わるため</x:v>
      </x:c>
      <x:c r="J566" s="171" t="str">
        <x:v>A</x:v>
      </x:c>
      <x:c r="K566" s="165" t="str">
        <x:v>栓の密閉性、保管履歴、微量の酸素侵入、汚染に差があるため</x:v>
      </x:c>
      <x:c r="L566" s="165" t="str">
        <x:v>特に熟成ワインでは天然コルクの個体差と輸送・保管条件が熟成速度や欠陥の有無へ影響する。</x:v>
      </x:c>
      <x:c r="M566" s="165" t="str">
        <x:v>正しい。 特に熟成ワインでは天然コルクの個体差と輸送・保管条件が熟成速度や欠陥の有無へ影響する。</x:v>
      </x:c>
      <x:c r="N566" s="165" t="str">
        <x:v>誤り。 ラベル色は内容物を変えない。</x:v>
      </x:c>
      <x:c r="O566" s="165" t="str">
        <x:v>誤り。 ボトル単位の栓と保管差があり得る。</x:v>
      </x:c>
      <x:c r="P566" s="165" t="str">
        <x:v>誤り。 充填順が残糖を変えるとは限らない。</x:v>
      </x:c>
      <x:c r="Q566" s="165" t="str">
        <x:v>保管</x:v>
      </x:c>
      <x:c r="R566" s="165" t="str">
        <x:v>ボトル差</x:v>
      </x:c>
      <x:c r="S566" s="165" t="str">
        <x:v>全般</x:v>
      </x:c>
      <x:c r="T566" s="165"/>
      <x:c r="U566" s="165"/>
      <x:c r="V566" s="165"/>
      <x:c r="W566" s="165" t="str">
        <x:v>因果説明</x:v>
      </x:c>
      <x:c r="X566" s="171" t="str">
        <x:v>D2</x:v>
      </x:c>
      <x:c r="Y566" s="165" t="str">
        <x:v>同一ロットは完全同一; ラベル色で成分変化</x:v>
      </x:c>
      <x:c r="Z566" s="171" t="str">
        <x:v>N</x:v>
      </x:c>
      <x:c r="AA566" s="165"/>
      <x:c r="AB566" s="165" t="str">
        <x:v>オリジナル</x:v>
      </x:c>
      <x:c r="AC566" s="165" t="str">
        <x:v>公式Specificationの範囲＋ユーザー作成コーパスの論点を参考に独自作成</x:v>
      </x:c>
      <x:c r="AD566" s="171" t="str">
        <x:v>未レビュー</x:v>
      </x:c>
      <x:c r="AE566" s="171"/>
      <x:c r="AF566" s="171"/>
      <x:c r="AG566" s="312"/>
    </x:row>
    <x:row r="567" ht="84" customHeight="1">
      <x:c r="A567" s="311" t="str">
        <x:v>LO5-086</x:v>
      </x:c>
      <x:c r="B567" s="171" t="str">
        <x:v>LO5</x:v>
      </x:c>
      <x:c r="C567" s="165" t="str">
        <x:v>情報提供・推奨・保管・サービス</x:v>
      </x:c>
      <x:c r="D567" s="165" t="str">
        <x:v>TCAの知覚差</x:v>
      </x:c>
      <x:c r="E567" s="165" t="str">
        <x:v>同じコルク汚染ワインでも、人によって不快臭の感じ方が異なる主な理由はどれか。</x:v>
      </x:c>
      <x:c r="F567" s="165" t="str">
        <x:v>TCAが飲む人ごとに濃度を変えるため</x:v>
      </x:c>
      <x:c r="G567" s="165" t="str">
        <x:v>TCAへの感覚閾値と経験に個人差があるため</x:v>
      </x:c>
      <x:c r="H567" s="165" t="str">
        <x:v>高価なワインではTCAが香水に変わるため</x:v>
      </x:c>
      <x:c r="I567" s="165" t="str">
        <x:v>デカンティングで必ず完全消失するため</x:v>
      </x:c>
      <x:c r="J567" s="171" t="str">
        <x:v>B</x:v>
      </x:c>
      <x:c r="K567" s="165" t="str">
        <x:v>TCAへの感覚閾値と経験に個人差があるため</x:v>
      </x:c>
      <x:c r="L567" s="165" t="str">
        <x:v>低濃度では果実香の抑制として現れ、感受性の高い人は湿った段ボール香を早く識別できる。</x:v>
      </x:c>
      <x:c r="M567" s="165" t="str">
        <x:v>誤り。 ワイン中の濃度は同じでも知覚閾値が異なる。</x:v>
      </x:c>
      <x:c r="N567" s="165" t="str">
        <x:v>正しい。 低濃度では果実香の抑制として現れ、感受性の高い人は湿った段ボール香を早く識別できる。</x:v>
      </x:c>
      <x:c r="O567" s="165" t="str">
        <x:v>誤り。 価格にかかわらず欠陥である。</x:v>
      </x:c>
      <x:c r="P567" s="165" t="str">
        <x:v>誤り。 空気接触で治る欠陥ではない。</x:v>
      </x:c>
      <x:c r="Q567" s="165" t="str">
        <x:v>欠陥</x:v>
      </x:c>
      <x:c r="R567" s="165" t="str">
        <x:v>コルク汚染</x:v>
      </x:c>
      <x:c r="S567" s="165" t="str">
        <x:v>全般</x:v>
      </x:c>
      <x:c r="T567" s="165"/>
      <x:c r="U567" s="165"/>
      <x:c r="V567" s="165"/>
      <x:c r="W567" s="165" t="str">
        <x:v>因果説明</x:v>
      </x:c>
      <x:c r="X567" s="171" t="str">
        <x:v>D2</x:v>
      </x:c>
      <x:c r="Y567" s="165" t="str">
        <x:v>TCA濃度が人で変化; デカントで治癒</x:v>
      </x:c>
      <x:c r="Z567" s="171" t="str">
        <x:v>N</x:v>
      </x:c>
      <x:c r="AA567" s="165"/>
      <x:c r="AB567" s="165" t="str">
        <x:v>オリジナル</x:v>
      </x:c>
      <x:c r="AC567" s="165" t="str">
        <x:v>公式Specificationの範囲＋ユーザー作成コーパスの論点を参考に独自作成</x:v>
      </x:c>
      <x:c r="AD567" s="171" t="str">
        <x:v>未レビュー</x:v>
      </x:c>
      <x:c r="AE567" s="171"/>
      <x:c r="AF567" s="171"/>
      <x:c r="AG567" s="312"/>
    </x:row>
    <x:row r="568" ht="84" customHeight="1">
      <x:c r="A568" s="311" t="str">
        <x:v>LO5-087</x:v>
      </x:c>
      <x:c r="B568" s="171" t="str">
        <x:v>LO5</x:v>
      </x:c>
      <x:c r="C568" s="165" t="str">
        <x:v>情報提供・推奨・保管・サービス</x:v>
      </x:c>
      <x:c r="D568" s="165" t="str">
        <x:v>ライトストライクへの対応</x:v>
      </x:c>
      <x:c r="E568" s="165" t="str">
        <x:v>透明瓶の白または発泡性ワインにキャベツを思わせる光劣化臭がある場合、最も適切な対応はどれか。</x:v>
      </x:c>
      <x:c r="F568" s="165" t="str">
        <x:v>直射日光へさらに当てて香りを消す</x:v>
      </x:c>
      <x:c r="G568" s="165" t="str">
        <x:v>砂糖を加えて欠陥を除去する</x:v>
      </x:c>
      <x:c r="H568" s="165" t="str">
        <x:v>欠陥の可能性を確認し、顧客へ提供せず代替ボトルを用意する</x:v>
      </x:c>
      <x:c r="I568" s="165" t="str">
        <x:v>高温で煮沸する</x:v>
      </x:c>
      <x:c r="J568" s="171" t="str">
        <x:v>C</x:v>
      </x:c>
      <x:c r="K568" s="165" t="str">
        <x:v>欠陥の可能性を確認し、顧客へ提供せず代替ボトルを用意する</x:v>
      </x:c>
      <x:c r="L568" s="165" t="str">
        <x:v>光による硫黄系化合物の発生は空気接触で確実に治るとは限らず、状態不良として扱う。</x:v>
      </x:c>
      <x:c r="M568" s="165" t="str">
        <x:v>誤り。 光曝露は劣化を悪化させる。</x:v>
      </x:c>
      <x:c r="N568" s="165" t="str">
        <x:v>誤り。 甘味で化合物は消えない。</x:v>
      </x:c>
      <x:c r="O568" s="165" t="str">
        <x:v>正しい。 光による硫黄系化合物の発生は空気接触で確実に治るとは限らず、状態不良として扱う。</x:v>
      </x:c>
      <x:c r="P568" s="165" t="str">
        <x:v>誤り。 品質をさらに損ない、サービスとして不適切である。</x:v>
      </x:c>
      <x:c r="Q568" s="165" t="str">
        <x:v>欠陥</x:v>
      </x:c>
      <x:c r="R568" s="165" t="str">
        <x:v>光による劣化</x:v>
      </x:c>
      <x:c r="S568" s="165" t="str">
        <x:v>白・発泡性ワイン</x:v>
      </x:c>
      <x:c r="T568" s="165"/>
      <x:c r="U568" s="165"/>
      <x:c r="V568" s="165"/>
      <x:c r="W568" s="165" t="str">
        <x:v>判断</x:v>
      </x:c>
      <x:c r="X568" s="171" t="str">
        <x:v>D3</x:v>
      </x:c>
      <x:c r="Y568" s="165" t="str">
        <x:v>光で光劣化を治す; 糖で欠陥除去</x:v>
      </x:c>
      <x:c r="Z568" s="171" t="str">
        <x:v>N</x:v>
      </x:c>
      <x:c r="AA568" s="165"/>
      <x:c r="AB568" s="165" t="str">
        <x:v>オリジナル</x:v>
      </x:c>
      <x:c r="AC568" s="165" t="str">
        <x:v>公式Specificationの範囲＋ユーザー作成コーパスの論点を参考に独自作成</x:v>
      </x:c>
      <x:c r="AD568" s="171" t="str">
        <x:v>未レビュー</x:v>
      </x:c>
      <x:c r="AE568" s="171"/>
      <x:c r="AF568" s="171"/>
      <x:c r="AG568" s="312"/>
    </x:row>
    <x:row r="569" ht="84" customHeight="1">
      <x:c r="A569" s="311" t="str">
        <x:v>LO5-088</x:v>
      </x:c>
      <x:c r="B569" s="171" t="str">
        <x:v>LO5</x:v>
      </x:c>
      <x:c r="C569" s="165" t="str">
        <x:v>情報提供・推奨・保管・サービス</x:v>
      </x:c>
      <x:c r="D569" s="165" t="str">
        <x:v>熱損傷の徴候</x:v>
      </x:c>
      <x:c r="E569" s="165" t="str">
        <x:v>ボトルが高温にさらされた可能性を示す徴候として最も適切なものはどれか。</x:v>
      </x:c>
      <x:c r="F569" s="165" t="str">
        <x:v>ラベルが青色であることだけ</x:v>
      </x:c>
      <x:c r="G569" s="165" t="str">
        <x:v>酒石酸結晶があることだけ</x:v>
      </x:c>
      <x:c r="H569" s="165" t="str">
        <x:v>天然コルクを使用していることだけ</x:v>
      </x:c>
      <x:c r="I569" s="165" t="str">
        <x:v>栓の押し上がり、液漏れ、低い液面、加熱した果実や酸化を思わせる風味</x:v>
      </x:c>
      <x:c r="J569" s="171" t="str">
        <x:v>D</x:v>
      </x:c>
      <x:c r="K569" s="165" t="str">
        <x:v>栓の押し上がり、液漏れ、低い液面、加熱した果実や酸化を思わせる風味</x:v>
      </x:c>
      <x:c r="L569" s="165" t="str">
        <x:v>熱で液体と気体が膨張し、栓から漏れたり、熟成反応が急速に進んだりする。</x:v>
      </x:c>
      <x:c r="M569" s="165" t="str">
        <x:v>誤り。 ラベル色は熱損傷の証拠ではない。</x:v>
      </x:c>
      <x:c r="N569" s="165" t="str">
        <x:v>誤り。 酒石は低温で生じる無害な結晶である。</x:v>
      </x:c>
      <x:c r="O569" s="165" t="str">
        <x:v>誤り。 栓の種類だけでは熱損傷を示さない。</x:v>
      </x:c>
      <x:c r="P569" s="165" t="str">
        <x:v>正しい。 熱で液体と気体が膨張し、栓から漏れたり、熟成反応が急速に進んだりする。</x:v>
      </x:c>
      <x:c r="Q569" s="165" t="str">
        <x:v>欠陥</x:v>
      </x:c>
      <x:c r="R569" s="165" t="str">
        <x:v>熱による劣化</x:v>
      </x:c>
      <x:c r="S569" s="165" t="str">
        <x:v>全般</x:v>
      </x:c>
      <x:c r="T569" s="165"/>
      <x:c r="U569" s="165"/>
      <x:c r="V569" s="165"/>
      <x:c r="W569" s="165" t="str">
        <x:v>統合判断</x:v>
      </x:c>
      <x:c r="X569" s="171" t="str">
        <x:v>D2</x:v>
      </x:c>
      <x:c r="Y569" s="165" t="str">
        <x:v>ラベル色が熱損傷; 酒石は熱害</x:v>
      </x:c>
      <x:c r="Z569" s="171" t="str">
        <x:v>N</x:v>
      </x:c>
      <x:c r="AA569" s="165"/>
      <x:c r="AB569" s="165" t="str">
        <x:v>オリジナル</x:v>
      </x:c>
      <x:c r="AC569" s="165" t="str">
        <x:v>公式Specificationの範囲＋ユーザー作成コーパスの論点を参考に独自作成</x:v>
      </x:c>
      <x:c r="AD569" s="171" t="str">
        <x:v>未レビュー</x:v>
      </x:c>
      <x:c r="AE569" s="171"/>
      <x:c r="AF569" s="171"/>
      <x:c r="AG569" s="312"/>
    </x:row>
    <x:row r="570" ht="84" customHeight="1">
      <x:c r="A570" s="311" t="str">
        <x:v>LO5-089</x:v>
      </x:c>
      <x:c r="B570" s="171" t="str">
        <x:v>LO5</x:v>
      </x:c>
      <x:c r="C570" s="165" t="str">
        <x:v>情報提供・推奨・保管・サービス</x:v>
      </x:c>
      <x:c r="D570" s="165" t="str">
        <x:v>瓶内再発酵</x:v>
      </x:c>
      <x:c r="E570" s="165" t="str">
        <x:v>辛口の非発泡性ワインに予期しない泡、濁り、酵母臭がある場合に考えられる問題はどれか。</x:v>
      </x:c>
      <x:c r="F570" s="165" t="str">
        <x:v>残糖と生きた酵母による瓶内再発酵</x:v>
      </x:c>
      <x:c r="G570" s="165" t="str">
        <x:v>正常な瓶熟成で必ず起こる変化</x:v>
      </x:c>
      <x:c r="H570" s="165" t="str">
        <x:v>酒石酸結晶だけ</x:v>
      </x:c>
      <x:c r="I570" s="165" t="str">
        <x:v>コルク汚染だけ</x:v>
      </x:c>
      <x:c r="J570" s="171" t="str">
        <x:v>A</x:v>
      </x:c>
      <x:c r="K570" s="165" t="str">
        <x:v>残糖と生きた酵母による瓶内再発酵</x:v>
      </x:c>
      <x:c r="L570" s="165" t="str">
        <x:v>微生物安定化が不十分だと瓶内で発酵が再開し、二酸化炭素、沈殿、風味変化が生じる。</x:v>
      </x:c>
      <x:c r="M570" s="165" t="str">
        <x:v>正しい。 微生物安定化が不十分だと瓶内で発酵が再開し、二酸化炭素、沈殿、風味変化が生じる。</x:v>
      </x:c>
      <x:c r="N570" s="165" t="str">
        <x:v>誤り。 非発泡性辛口ワインの予期しない発泡は通常、問題である。</x:v>
      </x:c>
      <x:c r="O570" s="165" t="str">
        <x:v>誤り。 酒石は泡と酵母臭を生じない。</x:v>
      </x:c>
      <x:c r="P570" s="165" t="str">
        <x:v>誤り。 TCAは湿った段ボール臭を与えるが、泡を生じない。</x:v>
      </x:c>
      <x:c r="Q570" s="165" t="str">
        <x:v>欠陥</x:v>
      </x:c>
      <x:c r="R570" s="165" t="str">
        <x:v>再発酵</x:v>
      </x:c>
      <x:c r="S570" s="165" t="str">
        <x:v>非発泡性ワイン</x:v>
      </x:c>
      <x:c r="T570" s="165"/>
      <x:c r="U570" s="165"/>
      <x:c r="V570" s="165"/>
      <x:c r="W570" s="165" t="str">
        <x:v>因果説明</x:v>
      </x:c>
      <x:c r="X570" s="171" t="str">
        <x:v>D2</x:v>
      </x:c>
      <x:c r="Y570" s="165" t="str">
        <x:v>再発酵は正常熟成; 酒石で泡</x:v>
      </x:c>
      <x:c r="Z570" s="171" t="str">
        <x:v>N</x:v>
      </x:c>
      <x:c r="AA570" s="165"/>
      <x:c r="AB570" s="165" t="str">
        <x:v>オリジナル</x:v>
      </x:c>
      <x:c r="AC570" s="165" t="str">
        <x:v>公式Specificationの範囲＋ユーザー作成コーパスの論点を参考に独自作成</x:v>
      </x:c>
      <x:c r="AD570" s="171" t="str">
        <x:v>未レビュー</x:v>
      </x:c>
      <x:c r="AE570" s="171"/>
      <x:c r="AF570" s="171"/>
      <x:c r="AG570" s="312"/>
    </x:row>
    <x:row r="571" ht="84" customHeight="1">
      <x:c r="A571" s="311" t="str">
        <x:v>LO5-090</x:v>
      </x:c>
      <x:c r="B571" s="171" t="str">
        <x:v>LO5</x:v>
      </x:c>
      <x:c r="C571" s="165" t="str">
        <x:v>情報提供・推奨・保管・サービス</x:v>
      </x:c>
      <x:c r="D571" s="165" t="str">
        <x:v>酒石酸結晶</x:v>
      </x:c>
      <x:c r="E571" s="165" t="str">
        <x:v>白ワインの瓶底やコルクに無色の結晶が見られる場合、最も適切な説明はどれか。</x:v>
      </x:c>
      <x:c r="F571" s="165" t="str">
        <x:v>必ず危険なガラス片である</x:v>
      </x:c>
      <x:c r="G571" s="165" t="str">
        <x:v>低温で析出した酒石酸塩で、通常は無害で味の欠陥ではない</x:v>
      </x:c>
      <x:c r="H571" s="165" t="str">
        <x:v>コルク汚染の原因物質である</x:v>
      </x:c>
      <x:c r="I571" s="165" t="str">
        <x:v>瓶内再発酵の酵母である</x:v>
      </x:c>
      <x:c r="J571" s="171" t="str">
        <x:v>B</x:v>
      </x:c>
      <x:c r="K571" s="165" t="str">
        <x:v>低温で析出した酒石酸塩で、通常は無害で味の欠陥ではない</x:v>
      </x:c>
      <x:c r="L571" s="165" t="str">
        <x:v>ガラス片のように見えることがあるが、ブドウ由来の酸とカリウムが結晶化したものである。</x:v>
      </x:c>
      <x:c r="M571" s="165" t="str">
        <x:v>誤り。 形を確認する必要はあるが、ワインでは酒石酸塩が一般的である。</x:v>
      </x:c>
      <x:c r="N571" s="165" t="str">
        <x:v>正しい。 ガラス片のように見えることがあるが、ブドウ由来の酸とカリウムが結晶化したものである。</x:v>
      </x:c>
      <x:c r="O571" s="165" t="str">
        <x:v>誤り。 TCAとは異なる。</x:v>
      </x:c>
      <x:c r="P571" s="165" t="str">
        <x:v>誤り。 結晶であり、酵母澱とは外観が異なる。</x:v>
      </x:c>
      <x:c r="Q571" s="165" t="str">
        <x:v>品質判断</x:v>
      </x:c>
      <x:c r="R571" s="165" t="str">
        <x:v>酒石酸塩</x:v>
      </x:c>
      <x:c r="S571" s="165" t="str">
        <x:v>白ワイン</x:v>
      </x:c>
      <x:c r="T571" s="165"/>
      <x:c r="U571" s="165"/>
      <x:c r="V571" s="165"/>
      <x:c r="W571" s="165" t="str">
        <x:v>知識確認</x:v>
      </x:c>
      <x:c r="X571" s="171" t="str">
        <x:v>D1</x:v>
      </x:c>
      <x:c r="Y571" s="165" t="str">
        <x:v>酒石はガラス; 酒石はTCA</x:v>
      </x:c>
      <x:c r="Z571" s="171" t="str">
        <x:v>N</x:v>
      </x:c>
      <x:c r="AA571" s="165"/>
      <x:c r="AB571" s="165" t="str">
        <x:v>オリジナル</x:v>
      </x:c>
      <x:c r="AC571" s="165" t="str">
        <x:v>公式Specificationの範囲＋ユーザー作成コーパスの論点を参考に独自作成</x:v>
      </x:c>
      <x:c r="AD571" s="171" t="str">
        <x:v>未レビュー</x:v>
      </x:c>
      <x:c r="AE571" s="171"/>
      <x:c r="AF571" s="171"/>
      <x:c r="AG571" s="312"/>
    </x:row>
    <x:row r="572" ht="84" customHeight="1">
      <x:c r="A572" s="311" t="str">
        <x:v>LO5-091</x:v>
      </x:c>
      <x:c r="B572" s="171" t="str">
        <x:v>LO5</x:v>
      </x:c>
      <x:c r="C572" s="165" t="str">
        <x:v>情報提供・推奨・保管・サービス</x:v>
      </x:c>
      <x:c r="D572" s="165" t="str">
        <x:v>熟成赤の澱</x:v>
      </x:c>
      <x:c r="E572" s="165" t="str">
        <x:v>熟成した赤ワインの瓶底に細かな黒褐色の澱がある場合、最も適切な判断はどれか。</x:v>
      </x:c>
      <x:c r="F572" s="165" t="str">
        <x:v>必ず微生物汚染で廃棄が必要</x:v>
      </x:c>
      <x:c r="G572" s="165" t="str">
        <x:v>残糖が結晶化したもの</x:v>
      </x:c>
      <x:c r="H572" s="165" t="str">
        <x:v>色素とタンニンが熟成中に重合して沈殿した可能性が高く、必ずしも欠陥ではない</x:v>
      </x:c>
      <x:c r="I572" s="165" t="str">
        <x:v>二酸化炭素が固体化したもの</x:v>
      </x:c>
      <x:c r="J572" s="171" t="str">
        <x:v>C</x:v>
      </x:c>
      <x:c r="K572" s="165" t="str">
        <x:v>色素とタンニンが熟成中に重合して沈殿した可能性が高く、必ずしも欠陥ではない</x:v>
      </x:c>
      <x:c r="L572" s="165" t="str">
        <x:v>瓶を静置し、必要に応じてデカンティングすれば、澄んだワインを提供できる。</x:v>
      </x:c>
      <x:c r="M572" s="165" t="str">
        <x:v>誤り。 熟成赤の澱は自然な現象であることが多い。</x:v>
      </x:c>
      <x:c r="N572" s="165" t="str">
        <x:v>誤り。 主に色素とタンニンの沈殿である。</x:v>
      </x:c>
      <x:c r="O572" s="165" t="str">
        <x:v>正しい。 瓶を静置し、必要に応じてデカンティングすれば、澄んだワインを提供できる。</x:v>
      </x:c>
      <x:c r="P572" s="165" t="str">
        <x:v>誤り。 CO2は通常この形で沈殿しない。</x:v>
      </x:c>
      <x:c r="Q572" s="165" t="str">
        <x:v>品質判断</x:v>
      </x:c>
      <x:c r="R572" s="165" t="str">
        <x:v>沈殿</x:v>
      </x:c>
      <x:c r="S572" s="165" t="str">
        <x:v>赤ワイン</x:v>
      </x:c>
      <x:c r="T572" s="165"/>
      <x:c r="U572" s="165"/>
      <x:c r="V572" s="165"/>
      <x:c r="W572" s="165" t="str">
        <x:v>判断</x:v>
      </x:c>
      <x:c r="X572" s="171" t="str">
        <x:v>D1</x:v>
      </x:c>
      <x:c r="Y572" s="165" t="str">
        <x:v>熟成澱は必ず汚染; CO2結晶</x:v>
      </x:c>
      <x:c r="Z572" s="171" t="str">
        <x:v>N</x:v>
      </x:c>
      <x:c r="AA572" s="165"/>
      <x:c r="AB572" s="165" t="str">
        <x:v>オリジナル</x:v>
      </x:c>
      <x:c r="AC572" s="165" t="str">
        <x:v>公式Specificationの範囲＋ユーザー作成コーパスの論点を参考に独自作成</x:v>
      </x:c>
      <x:c r="AD572" s="171" t="str">
        <x:v>未レビュー</x:v>
      </x:c>
      <x:c r="AE572" s="171"/>
      <x:c r="AF572" s="171"/>
      <x:c r="AG572" s="312"/>
    </x:row>
    <x:row r="573" ht="84" customHeight="1">
      <x:c r="A573" s="311" t="str">
        <x:v>LO5-092</x:v>
      </x:c>
      <x:c r="B573" s="171" t="str">
        <x:v>LO5</x:v>
      </x:c>
      <x:c r="C573" s="165" t="str">
        <x:v>情報提供・推奨・保管・サービス</x:v>
      </x:c>
      <x:c r="D573" s="165" t="str">
        <x:v>タンパク質混濁</x:v>
      </x:c>
      <x:c r="E573" s="165" t="str">
        <x:v>白ワインが温かい場所で白い霞のように濁った場合に考えられる原因はどれか。</x:v>
      </x:c>
      <x:c r="F573" s="165" t="str">
        <x:v>タンニンが黒く結晶化した</x:v>
      </x:c>
      <x:c r="G573" s="165" t="str">
        <x:v>二酸化炭素が固体化した</x:v>
      </x:c>
      <x:c r="H573" s="165" t="str">
        <x:v>ラベルのインクがワインへ溶けた</x:v>
      </x:c>
      <x:c r="I573" s="165" t="str">
        <x:v>不安定なタンパク質が熱で凝集した</x:v>
      </x:c>
      <x:c r="J573" s="171" t="str">
        <x:v>D</x:v>
      </x:c>
      <x:c r="K573" s="165" t="str">
        <x:v>不安定なタンパク質が熱で凝集した</x:v>
      </x:c>
      <x:c r="L573" s="165" t="str">
        <x:v>瓶詰め前のタンパク質安定化が不十分だと、温度上昇でタンパク質が可視化する。</x:v>
      </x:c>
      <x:c r="M573" s="165" t="str">
        <x:v>誤り。 白い霞はタンパク質混濁の可能性がある。</x:v>
      </x:c>
      <x:c r="N573" s="165" t="str">
        <x:v>誤り。 CO2は白い霞として沈殿しない。</x:v>
      </x:c>
      <x:c r="O573" s="165" t="str">
        <x:v>誤り。 密閉瓶内の混濁を通常説明しない。</x:v>
      </x:c>
      <x:c r="P573" s="165" t="str">
        <x:v>正しい。 瓶詰め前のタンパク質安定化が不十分だと、温度上昇でタンパク質が可視化する。</x:v>
      </x:c>
      <x:c r="Q573" s="165" t="str">
        <x:v>欠陥</x:v>
      </x:c>
      <x:c r="R573" s="165" t="str">
        <x:v>混濁</x:v>
      </x:c>
      <x:c r="S573" s="165" t="str">
        <x:v>白ワイン</x:v>
      </x:c>
      <x:c r="T573" s="165"/>
      <x:c r="U573" s="165"/>
      <x:c r="V573" s="165"/>
      <x:c r="W573" s="165" t="str">
        <x:v>因果説明</x:v>
      </x:c>
      <x:c r="X573" s="171" t="str">
        <x:v>D2</x:v>
      </x:c>
      <x:c r="Y573" s="165" t="str">
        <x:v>タンパク混濁はCO2; ラベルインク</x:v>
      </x:c>
      <x:c r="Z573" s="171" t="str">
        <x:v>N</x:v>
      </x:c>
      <x:c r="AA573" s="165"/>
      <x:c r="AB573" s="165" t="str">
        <x:v>オリジナル</x:v>
      </x:c>
      <x:c r="AC573" s="165" t="str">
        <x:v>公式Specificationの範囲＋ユーザー作成コーパスの論点を参考に独自作成</x:v>
      </x:c>
      <x:c r="AD573" s="171" t="str">
        <x:v>未レビュー</x:v>
      </x:c>
      <x:c r="AE573" s="171"/>
      <x:c r="AF573" s="171"/>
      <x:c r="AG573" s="312"/>
    </x:row>
    <x:row r="574" ht="84" customHeight="1">
      <x:c r="A574" s="311" t="str">
        <x:v>LO5-093</x:v>
      </x:c>
      <x:c r="B574" s="171" t="str">
        <x:v>LO5</x:v>
      </x:c>
      <x:c r="C574" s="165" t="str">
        <x:v>情報提供・推奨・保管・サービス</x:v>
      </x:c>
      <x:c r="D574" s="165" t="str">
        <x:v>意図的な酸化スタイル</x:v>
      </x:c>
      <x:c r="E574" s="165" t="str">
        <x:v>ナッツ香があるワインを直ちに酸化欠陥と判断すべきでない理由はどれか。</x:v>
      </x:c>
      <x:c r="F574" s="165" t="str">
        <x:v>オロロソ、年数表記トーニー、一部の熟成白などでは酸化的な香りが意図したスタイルだから</x:v>
      </x:c>
      <x:c r="G574" s="165" t="str">
        <x:v>酸化はすべてのワインで高品質の証拠だから</x:v>
      </x:c>
      <x:c r="H574" s="165" t="str">
        <x:v>ナッツ香は残糖だけから生じるから</x:v>
      </x:c>
      <x:c r="I574" s="165" t="str">
        <x:v>価格が高ければ欠陥にならないから</x:v>
      </x:c>
      <x:c r="J574" s="171" t="str">
        <x:v>A</x:v>
      </x:c>
      <x:c r="K574" s="165" t="str">
        <x:v>オロロソ、年数表記トーニー、一部の熟成白などでは酸化的な香りが意図したスタイルだから</x:v>
      </x:c>
      <x:c r="L574" s="165" t="str">
        <x:v>欠陥判断にはワインの種類、色、鮮度、果実の状態を考慮し、期待される製法と比較する必要がある。</x:v>
      </x:c>
      <x:c r="M574" s="165" t="str">
        <x:v>正しい。 欠陥判断にはワインの種類、色、鮮度、果実の状態を考慮し、期待される製法と比較する必要がある。</x:v>
      </x:c>
      <x:c r="N574" s="165" t="str">
        <x:v>誤り。 フレッシュなワインでは欠陥となる。</x:v>
      </x:c>
      <x:c r="O574" s="165" t="str">
        <x:v>誤り。 熟成と酸素接触が主な要因である。</x:v>
      </x:c>
      <x:c r="P574" s="165" t="str">
        <x:v>誤り。 価格ではなく意図したスタイルかどうかで判断する。</x:v>
      </x:c>
      <x:c r="Q574" s="165" t="str">
        <x:v>品質判断</x:v>
      </x:c>
      <x:c r="R574" s="165" t="str">
        <x:v>酸化</x:v>
      </x:c>
      <x:c r="S574" s="165" t="str">
        <x:v>全般</x:v>
      </x:c>
      <x:c r="T574" s="165"/>
      <x:c r="U574" s="165"/>
      <x:c r="V574" s="165"/>
      <x:c r="W574" s="165" t="str">
        <x:v>適用</x:v>
      </x:c>
      <x:c r="X574" s="171" t="str">
        <x:v>D3</x:v>
      </x:c>
      <x:c r="Y574" s="165" t="str">
        <x:v>酸化は常に欠陥; 高価格なら欠陥なし</x:v>
      </x:c>
      <x:c r="Z574" s="171" t="str">
        <x:v>N</x:v>
      </x:c>
      <x:c r="AA574" s="165"/>
      <x:c r="AB574" s="165" t="str">
        <x:v>オリジナル</x:v>
      </x:c>
      <x:c r="AC574" s="165" t="str">
        <x:v>公式Specificationの範囲＋ユーザー作成コーパスの論点を参考に独自作成</x:v>
      </x:c>
      <x:c r="AD574" s="171" t="str">
        <x:v>未レビュー</x:v>
      </x:c>
      <x:c r="AE574" s="171"/>
      <x:c r="AF574" s="171"/>
      <x:c r="AG574" s="312"/>
    </x:row>
    <x:row r="575" ht="84" customHeight="1">
      <x:c r="A575" s="311" t="str">
        <x:v>LO5-094</x:v>
      </x:c>
      <x:c r="B575" s="171" t="str">
        <x:v>LO5</x:v>
      </x:c>
      <x:c r="C575" s="165" t="str">
        <x:v>情報提供・推奨・保管・サービス</x:v>
      </x:c>
      <x:c r="D575" s="165" t="str">
        <x:v>還元臭の変化</x:v>
      </x:c>
      <x:c r="E575" s="165" t="str">
        <x:v>開栓直後に軽い硫化水素やマッチを思わせる還元臭があるワインへの最初の対応として適切なものはどれか。</x:v>
      </x:c>
      <x:c r="F575" s="165" t="str">
        <x:v>砂糖を加える</x:v>
      </x:c>
      <x:c r="G575" s="165" t="str">
        <x:v>グラスやデキャンタで空気に触れさせ、香りが弱まるか確認する</x:v>
      </x:c>
      <x:c r="H575" s="165" t="str">
        <x:v>直射日光へ長時間置く</x:v>
      </x:c>
      <x:c r="I575" s="165" t="str">
        <x:v>必ずコルク汚染と断定する</x:v>
      </x:c>
      <x:c r="J575" s="171" t="str">
        <x:v>B</x:v>
      </x:c>
      <x:c r="K575" s="165" t="str">
        <x:v>グラスやデキャンタで空気に触れさせ、香りが弱まるか確認する</x:v>
      </x:c>
      <x:c r="L575" s="165" t="str">
        <x:v>揮発性の軽い還元臭は酸素接触で消える場合があるが、強く残る場合は状態不良として扱う。</x:v>
      </x:c>
      <x:c r="M575" s="165" t="str">
        <x:v>誤り。 糖で還元化合物は除去されない。</x:v>
      </x:c>
      <x:c r="N575" s="165" t="str">
        <x:v>正しい。 揮発性の軽い還元臭は酸素接触で消える場合があるが、強く残る場合は状態不良として扱う。</x:v>
      </x:c>
      <x:c r="O575" s="165" t="str">
        <x:v>誤り。 光と熱でワインを損なう。</x:v>
      </x:c>
      <x:c r="P575" s="165" t="str">
        <x:v>誤り。 TCAとは異なる香りである。</x:v>
      </x:c>
      <x:c r="Q575" s="165" t="str">
        <x:v>品質判断</x:v>
      </x:c>
      <x:c r="R575" s="165" t="str">
        <x:v>還元</x:v>
      </x:c>
      <x:c r="S575" s="165" t="str">
        <x:v>全般</x:v>
      </x:c>
      <x:c r="T575" s="165"/>
      <x:c r="U575" s="165"/>
      <x:c r="V575" s="165"/>
      <x:c r="W575" s="165" t="str">
        <x:v>判断</x:v>
      </x:c>
      <x:c r="X575" s="171" t="str">
        <x:v>D2</x:v>
      </x:c>
      <x:c r="Y575" s="165" t="str">
        <x:v>還元は糖で治る; 還元とTCA同一</x:v>
      </x:c>
      <x:c r="Z575" s="171" t="str">
        <x:v>N</x:v>
      </x:c>
      <x:c r="AA575" s="165"/>
      <x:c r="AB575" s="165" t="str">
        <x:v>オリジナル</x:v>
      </x:c>
      <x:c r="AC575" s="165" t="str">
        <x:v>公式Specificationの範囲＋ユーザー作成コーパスの論点を参考に独自作成</x:v>
      </x:c>
      <x:c r="AD575" s="171" t="str">
        <x:v>未レビュー</x:v>
      </x:c>
      <x:c r="AE575" s="171"/>
      <x:c r="AF575" s="171"/>
      <x:c r="AG575" s="312"/>
    </x:row>
    <x:row r="576" ht="84" customHeight="1">
      <x:c r="A576" s="311" t="str">
        <x:v>LO5-095</x:v>
      </x:c>
      <x:c r="B576" s="171" t="str">
        <x:v>LO5</x:v>
      </x:c>
      <x:c r="C576" s="165" t="str">
        <x:v>情報提供・推奨・保管・サービス</x:v>
      </x:c>
      <x:c r="D576" s="165" t="str">
        <x:v>ブレタノマイセスの判断</x:v>
      </x:c>
      <x:c r="E576" s="165" t="str">
        <x:v>ブレタノマイセス由来の動物的・薬品的な香りについて最も適切な判断はどれか。</x:v>
      </x:c>
      <x:c r="F576" s="165" t="str">
        <x:v>すべてのワインに必須の高品質香である</x:v>
      </x:c>
      <x:c r="G576" s="165" t="str">
        <x:v>デカンティングで必ず完全消失する</x:v>
      </x:c>
      <x:c r="H576" s="165" t="str">
        <x:v>低濃度を複雑性と捉える人もいるが、果実を覆う高濃度では一般に欠陥と判断される</x:v>
      </x:c>
      <x:c r="I576" s="165" t="str">
        <x:v>白ワインには絶対に存在しない</x:v>
      </x:c>
      <x:c r="J576" s="171" t="str">
        <x:v>C</x:v>
      </x:c>
      <x:c r="K576" s="165" t="str">
        <x:v>低濃度を複雑性と捉える人もいるが、果実を覆う高濃度では一般に欠陥と判断される</x:v>
      </x:c>
      <x:c r="L576" s="165" t="str">
        <x:v>感覚閾値とスタイルにより評価が分かれるため、強度とワイン全体のバランスを確認する。</x:v>
      </x:c>
      <x:c r="M576" s="165" t="str">
        <x:v>誤り。 高濃度では果実香を損ない、衛生上の問題を示す。</x:v>
      </x:c>
      <x:c r="N576" s="165" t="str">
        <x:v>誤り。 揮発しにくい化合物もあり、確実に治らない。</x:v>
      </x:c>
      <x:c r="O576" s="165" t="str">
        <x:v>正しい。 感覚閾値とスタイルにより評価が分かれるため、強度とワイン全体のバランスを確認する。</x:v>
      </x:c>
      <x:c r="P576" s="165" t="str">
        <x:v>誤り。 頻度は異なるが、微生物汚染はカテゴリーだけで完全排除できない。</x:v>
      </x:c>
      <x:c r="Q576" s="165" t="str">
        <x:v>品質判断</x:v>
      </x:c>
      <x:c r="R576" s="165" t="str">
        <x:v>ブレタノマイセス</x:v>
      </x:c>
      <x:c r="S576" s="165" t="str">
        <x:v>全般</x:v>
      </x:c>
      <x:c r="T576" s="165"/>
      <x:c r="U576" s="165"/>
      <x:c r="V576" s="165"/>
      <x:c r="W576" s="165" t="str">
        <x:v>判断</x:v>
      </x:c>
      <x:c r="X576" s="171" t="str">
        <x:v>D3</x:v>
      </x:c>
      <x:c r="Y576" s="165" t="str">
        <x:v>Brettは常に高品質; デカントで完全消失</x:v>
      </x:c>
      <x:c r="Z576" s="171" t="str">
        <x:v>Y</x:v>
      </x:c>
      <x:c r="AA576" s="165" t="str">
        <x:v>ブレタノマイセスの許容度は官能評価上の議論があるため、断定表現を専門家確認推奨</x:v>
      </x:c>
      <x:c r="AB576" s="165" t="str">
        <x:v>オリジナル</x:v>
      </x:c>
      <x:c r="AC576" s="165" t="str">
        <x:v>公式Specificationの範囲＋ユーザー作成コーパスの論点を参考に独自作成</x:v>
      </x:c>
      <x:c r="AD576" s="171" t="str">
        <x:v>未レビュー</x:v>
      </x:c>
      <x:c r="AE576" s="171"/>
      <x:c r="AF576" s="171"/>
      <x:c r="AG576" s="312"/>
    </x:row>
    <x:row r="577" ht="84" customHeight="1">
      <x:c r="A577" s="311" t="str">
        <x:v>LO5-096</x:v>
      </x:c>
      <x:c r="B577" s="171" t="str">
        <x:v>LO5</x:v>
      </x:c>
      <x:c r="C577" s="165" t="str">
        <x:v>情報提供・推奨・保管・サービス</x:v>
      </x:c>
      <x:c r="D577" s="165" t="str">
        <x:v>デザートとワインの甘味</x:v>
      </x:c>
      <x:c r="E577" s="165" t="str">
        <x:v>甘いデザートに合わせるワインの基本原則として最も適切なものはどれか。</x:v>
      </x:c>
      <x:c r="F577" s="165" t="str">
        <x:v>必ず完全辛口の高タンニン赤を選ぶ</x:v>
      </x:c>
      <x:c r="G577" s="165" t="str">
        <x:v>ワインの甘味は料理との相性に影響しない</x:v>
      </x:c>
      <x:c r="H577" s="165" t="str">
        <x:v>甘い料理には酸を持つワインを避ける</x:v>
      </x:c>
      <x:c r="I577" s="165" t="str">
        <x:v>ワインをデザートと同程度以上に甘くする</x:v>
      </x:c>
      <x:c r="J577" s="171" t="str">
        <x:v>D</x:v>
      </x:c>
      <x:c r="K577" s="165" t="str">
        <x:v>ワインをデザートと同程度以上に甘くする</x:v>
      </x:c>
      <x:c r="L577" s="165" t="str">
        <x:v>料理の方が甘いと、ワインが酸っぱく、苦く、果実味の乏しい印象になりやすい。</x:v>
      </x:c>
      <x:c r="M577" s="165" t="str">
        <x:v>誤り。 甘味との対比で渋味と酸が強調されやすい。</x:v>
      </x:c>
      <x:c r="N577" s="165" t="str">
        <x:v>誤り。 甘味の相対関係は知覚へ大きく影響する。</x:v>
      </x:c>
      <x:c r="O577" s="165" t="str">
        <x:v>誤り。 酸は甘味を支え、重さを抑える。</x:v>
      </x:c>
      <x:c r="P577" s="165" t="str">
        <x:v>正しい。 料理の方が甘いと、ワインが酸っぱく、苦く、果実味の乏しい印象になりやすい。</x:v>
      </x:c>
      <x:c r="Q577" s="165" t="str">
        <x:v>料理との組み合わせ</x:v>
      </x:c>
      <x:c r="R577" s="165" t="str">
        <x:v>甘味</x:v>
      </x:c>
      <x:c r="S577" s="165" t="str">
        <x:v>全般</x:v>
      </x:c>
      <x:c r="T577" s="165"/>
      <x:c r="U577" s="165"/>
      <x:c r="V577" s="165"/>
      <x:c r="W577" s="165" t="str">
        <x:v>判断</x:v>
      </x:c>
      <x:c r="X577" s="171" t="str">
        <x:v>D2</x:v>
      </x:c>
      <x:c r="Y577" s="165" t="str">
        <x:v>デザートには辛口; 酸は不要</x:v>
      </x:c>
      <x:c r="Z577" s="171" t="str">
        <x:v>N</x:v>
      </x:c>
      <x:c r="AA577" s="165"/>
      <x:c r="AB577" s="165" t="str">
        <x:v>オリジナル</x:v>
      </x:c>
      <x:c r="AC577" s="165" t="str">
        <x:v>公式Specificationの範囲＋ユーザー作成コーパスの論点を参考に独自作成</x:v>
      </x:c>
      <x:c r="AD577" s="171" t="str">
        <x:v>未レビュー</x:v>
      </x:c>
      <x:c r="AE577" s="171"/>
      <x:c r="AF577" s="171"/>
      <x:c r="AG577" s="312"/>
    </x:row>
    <x:row r="578" ht="84" customHeight="1">
      <x:c r="A578" s="311" t="str">
        <x:v>LO5-097</x:v>
      </x:c>
      <x:c r="B578" s="171" t="str">
        <x:v>LO5</x:v>
      </x:c>
      <x:c r="C578" s="165" t="str">
        <x:v>情報提供・推奨・保管・サービス</x:v>
      </x:c>
      <x:c r="D578" s="165" t="str">
        <x:v>ブルーチーズと甘口ワイン</x:v>
      </x:c>
      <x:c r="E578" s="165" t="str">
        <x:v>塩味と強い風味を持つブルーチーズに甘口ワインが合いやすい主な理由はどれか。</x:v>
      </x:c>
      <x:c r="F578" s="165" t="str">
        <x:v>ワインの甘味が塩味と刺激を和らげ、双方の強い風味が釣り合う</x:v>
      </x:c>
      <x:c r="G578" s="165" t="str">
        <x:v>甘味がチーズの塩分を化学的に除去する</x:v>
      </x:c>
      <x:c r="H578" s="165" t="str">
        <x:v>ブルーチーズには必ず低酸の軽い白だけが合う</x:v>
      </x:c>
      <x:c r="I578" s="165" t="str">
        <x:v>高タンニン赤ほど苦味が必ず減る</x:v>
      </x:c>
      <x:c r="J578" s="171" t="str">
        <x:v>A</x:v>
      </x:c>
      <x:c r="K578" s="165" t="str">
        <x:v>ワインの甘味が塩味と刺激を和らげ、双方の強い風味が釣り合う</x:v>
      </x:c>
      <x:c r="L578" s="165" t="str">
        <x:v>高い酸を持つ甘口ワインなら、チーズの脂肪も切り、コントラストとバランスを作れる。</x:v>
      </x:c>
      <x:c r="M578" s="165" t="str">
        <x:v>正しい。 高い酸を持つ甘口ワインなら、チーズの脂肪も切り、コントラストとバランスを作れる。</x:v>
      </x:c>
      <x:c r="N578" s="165" t="str">
        <x:v>誤り。 知覚を和らげるが、塩分量は変わらない。</x:v>
      </x:c>
      <x:c r="O578" s="165" t="str">
        <x:v>誤り。 強度に負けやすく、甘味との対比が有効である。</x:v>
      </x:c>
      <x:c r="P578" s="165" t="str">
        <x:v>誤り。 塩味やうま味でタンニンが厳しく感じられる場合がある。</x:v>
      </x:c>
      <x:c r="Q578" s="165" t="str">
        <x:v>料理との組み合わせ</x:v>
      </x:c>
      <x:c r="R578" s="165" t="str">
        <x:v>チーズ</x:v>
      </x:c>
      <x:c r="S578" s="165" t="str">
        <x:v>甘口ワイン</x:v>
      </x:c>
      <x:c r="T578" s="165"/>
      <x:c r="U578" s="165"/>
      <x:c r="V578" s="165"/>
      <x:c r="W578" s="165" t="str">
        <x:v>因果説明</x:v>
      </x:c>
      <x:c r="X578" s="171" t="str">
        <x:v>D2</x:v>
      </x:c>
      <x:c r="Y578" s="165" t="str">
        <x:v>甘味が塩分除去; 高タンニンが必須</x:v>
      </x:c>
      <x:c r="Z578" s="171" t="str">
        <x:v>N</x:v>
      </x:c>
      <x:c r="AA578" s="165"/>
      <x:c r="AB578" s="165" t="str">
        <x:v>オリジナル</x:v>
      </x:c>
      <x:c r="AC578" s="165" t="str">
        <x:v>公式Specificationの範囲＋ユーザー作成コーパスの論点を参考に独自作成</x:v>
      </x:c>
      <x:c r="AD578" s="171" t="str">
        <x:v>未レビュー</x:v>
      </x:c>
      <x:c r="AE578" s="171"/>
      <x:c r="AF578" s="171"/>
      <x:c r="AG578" s="312"/>
    </x:row>
    <x:row r="579" ht="84" customHeight="1">
      <x:c r="A579" s="311" t="str">
        <x:v>LO5-098</x:v>
      </x:c>
      <x:c r="B579" s="171" t="str">
        <x:v>LO5</x:v>
      </x:c>
      <x:c r="C579" s="165" t="str">
        <x:v>情報提供・推奨・保管・サービス</x:v>
      </x:c>
      <x:c r="D579" s="165" t="str">
        <x:v>トマトソース</x:v>
      </x:c>
      <x:c r="E579" s="165" t="str">
        <x:v>酸味の強いトマトソース料理に高酸のワインが合いやすい主な理由はどれか。</x:v>
      </x:c>
      <x:c r="F579" s="165" t="str">
        <x:v>料理の酸がワインの酸を完全に中和する</x:v>
      </x:c>
      <x:c r="G579" s="165" t="str">
        <x:v>料理の酸に負けず、ワインが平坦でぼやけて感じられるのを防ぐ</x:v>
      </x:c>
      <x:c r="H579" s="165" t="str">
        <x:v>低酸ワインほど必ず爽やかに感じる</x:v>
      </x:c>
      <x:c r="I579" s="165" t="str">
        <x:v>高い残糖だけが必要である</x:v>
      </x:c>
      <x:c r="J579" s="171" t="str">
        <x:v>B</x:v>
      </x:c>
      <x:c r="K579" s="165" t="str">
        <x:v>料理の酸に負けず、ワインが平坦でぼやけて感じられるのを防ぐ</x:v>
      </x:c>
      <x:c r="L579" s="165" t="str">
        <x:v>サンジョヴェーゼなど高酸のワインは、トマトの酸味と並んでも果実と鮮度を保ちやすい。</x:v>
      </x:c>
      <x:c r="M579" s="165" t="str">
        <x:v>誤り。 知覚は変わるが、化学的にすべて中和されない。</x:v>
      </x:c>
      <x:c r="N579" s="165" t="str">
        <x:v>正しい。 サンジョヴェーゼなど高酸のワインは、トマトの酸味と並んでも果実と鮮度を保ちやすい。</x:v>
      </x:c>
      <x:c r="O579" s="165" t="str">
        <x:v>誤り。 料理の酸により低酸ワインは平坦に感じやすい。</x:v>
      </x:c>
      <x:c r="P579" s="165" t="str">
        <x:v>誤り。 甘味が必須ではなく、酸の釣り合いが重要である。</x:v>
      </x:c>
      <x:c r="Q579" s="165" t="str">
        <x:v>料理との組み合わせ</x:v>
      </x:c>
      <x:c r="R579" s="165" t="str">
        <x:v>酸味</x:v>
      </x:c>
      <x:c r="S579" s="165" t="str">
        <x:v>全般</x:v>
      </x:c>
      <x:c r="T579" s="165"/>
      <x:c r="U579" s="165"/>
      <x:c r="V579" s="165"/>
      <x:c r="W579" s="165" t="str">
        <x:v>因果説明</x:v>
      </x:c>
      <x:c r="X579" s="171" t="str">
        <x:v>D2</x:v>
      </x:c>
      <x:c r="Y579" s="165" t="str">
        <x:v>酸同士は完全中和; 低酸が最適</x:v>
      </x:c>
      <x:c r="Z579" s="171" t="str">
        <x:v>N</x:v>
      </x:c>
      <x:c r="AA579" s="165"/>
      <x:c r="AB579" s="165" t="str">
        <x:v>オリジナル</x:v>
      </x:c>
      <x:c r="AC579" s="165" t="str">
        <x:v>公式Specificationの範囲＋ユーザー作成コーパスの論点を参考に独自作成</x:v>
      </x:c>
      <x:c r="AD579" s="171" t="str">
        <x:v>未レビュー</x:v>
      </x:c>
      <x:c r="AE579" s="171"/>
      <x:c r="AF579" s="171"/>
      <x:c r="AG579" s="312"/>
    </x:row>
    <x:row r="580" ht="84" customHeight="1">
      <x:c r="A580" s="311" t="str">
        <x:v>LO5-099</x:v>
      </x:c>
      <x:c r="B580" s="171" t="str">
        <x:v>LO5</x:v>
      </x:c>
      <x:c r="C580" s="165" t="str">
        <x:v>情報提供・推奨・保管・サービス</x:v>
      </x:c>
      <x:c r="D580" s="165" t="str">
        <x:v>クリームソース</x:v>
      </x:c>
      <x:c r="E580" s="165" t="str">
        <x:v>脂肪分の高いクリームソースに高い酸を持つワインが合いやすい主な理由はどれか。</x:v>
      </x:c>
      <x:c r="F580" s="165" t="str">
        <x:v>酸が脂肪を化学的にゼロにする</x:v>
      </x:c>
      <x:c r="G580" s="165" t="str">
        <x:v>低酸で高アルコールほど必ず軽く感じる</x:v>
      </x:c>
      <x:c r="H580" s="165" t="str">
        <x:v>酸が口中を爽やかにし、料理の重さを軽く感じさせる</x:v>
      </x:c>
      <x:c r="I580" s="165" t="str">
        <x:v>ワインの色だけが相性を決める</x:v>
      </x:c>
      <x:c r="J580" s="171" t="str">
        <x:v>C</x:v>
      </x:c>
      <x:c r="K580" s="165" t="str">
        <x:v>酸が口中を爽やかにし、料理の重さを軽く感じさせる</x:v>
      </x:c>
      <x:c r="L580" s="165" t="str">
        <x:v>酸味が脂肪のコクと対照を作り、次の一口でもワインと料理の風味を明瞭にする。</x:v>
      </x:c>
      <x:c r="M580" s="165" t="str">
        <x:v>誤り。 知覚を切るが、脂肪量を除去しない。</x:v>
      </x:c>
      <x:c r="N580" s="165" t="str">
        <x:v>誤り。 重さと熱感が増すことがある。</x:v>
      </x:c>
      <x:c r="O580" s="165" t="str">
        <x:v>正しい。 酸味が脂肪のコクと対照を作り、次の一口でもワインと料理の風味を明瞭にする。</x:v>
      </x:c>
      <x:c r="P580" s="165" t="str">
        <x:v>誤り。 構造と風味が重要で、色だけでは決まらない。</x:v>
      </x:c>
      <x:c r="Q580" s="165" t="str">
        <x:v>料理との組み合わせ</x:v>
      </x:c>
      <x:c r="R580" s="165" t="str">
        <x:v>脂肪</x:v>
      </x:c>
      <x:c r="S580" s="165" t="str">
        <x:v>全般</x:v>
      </x:c>
      <x:c r="T580" s="165"/>
      <x:c r="U580" s="165"/>
      <x:c r="V580" s="165"/>
      <x:c r="W580" s="165" t="str">
        <x:v>因果説明</x:v>
      </x:c>
      <x:c r="X580" s="171" t="str">
        <x:v>D2</x:v>
      </x:c>
      <x:c r="Y580" s="165" t="str">
        <x:v>酸が脂肪除去; 色だけで相性</x:v>
      </x:c>
      <x:c r="Z580" s="171" t="str">
        <x:v>N</x:v>
      </x:c>
      <x:c r="AA580" s="165"/>
      <x:c r="AB580" s="165" t="str">
        <x:v>オリジナル</x:v>
      </x:c>
      <x:c r="AC580" s="165" t="str">
        <x:v>公式Specificationの範囲＋ユーザー作成コーパスの論点を参考に独自作成</x:v>
      </x:c>
      <x:c r="AD580" s="171" t="str">
        <x:v>未レビュー</x:v>
      </x:c>
      <x:c r="AE580" s="171"/>
      <x:c r="AF580" s="171"/>
      <x:c r="AG580" s="312"/>
    </x:row>
    <x:row r="581" ht="84" customHeight="1">
      <x:c r="A581" s="311" t="str">
        <x:v>LO5-100</x:v>
      </x:c>
      <x:c r="B581" s="171" t="str">
        <x:v>LO5</x:v>
      </x:c>
      <x:c r="C581" s="165" t="str">
        <x:v>情報提供・推奨・保管・サービス</x:v>
      </x:c>
      <x:c r="D581" s="165" t="str">
        <x:v>脂の多い魚とタンニン</x:v>
      </x:c>
      <x:c r="E581" s="165" t="str">
        <x:v>脂の多い魚に高タンニンの赤ワインを合わせると不快な金属味が出ることがある理由はどれか。</x:v>
      </x:c>
      <x:c r="F581" s="165" t="str">
        <x:v>タンニンが魚を発泡させるため</x:v>
      </x:c>
      <x:c r="G581" s="165" t="str">
        <x:v>魚の脂がワインのアルコールを増やすため</x:v>
      </x:c>
      <x:c r="H581" s="165" t="str">
        <x:v>赤ワインは必ず魚と合わないため</x:v>
      </x:c>
      <x:c r="I581" s="165" t="str">
        <x:v>魚の油脂やうま味とタンニンが組み合わさり、苦味や金属的な知覚を強めるため</x:v>
      </x:c>
      <x:c r="J581" s="171" t="str">
        <x:v>D</x:v>
      </x:c>
      <x:c r="K581" s="165" t="str">
        <x:v>魚の油脂やうま味とタンニンが組み合わさり、苦味や金属的な知覚を強めるため</x:v>
      </x:c>
      <x:c r="L581" s="165" t="str">
        <x:v>低タンニンで高酸の白や軽い赤の方が、魚の脂を爽やかにしながら繊細な風味を保ちやすい。</x:v>
      </x:c>
      <x:c r="M581" s="165" t="str">
        <x:v>誤り。 化学的に泡を生じるわけではない。</x:v>
      </x:c>
      <x:c r="N581" s="165" t="str">
        <x:v>誤り。 アルコール度は変わらない。</x:v>
      </x:c>
      <x:c r="O581" s="165" t="str">
        <x:v>誤り。 低タンニンの赤など、料理と調理法によっては合わせられる。</x:v>
      </x:c>
      <x:c r="P581" s="165" t="str">
        <x:v>正しい。 低タンニンで高酸の白や軽い赤の方が、魚の脂を爽やかにしながら繊細な風味を保ちやすい。</x:v>
      </x:c>
      <x:c r="Q581" s="165" t="str">
        <x:v>料理との組み合わせ</x:v>
      </x:c>
      <x:c r="R581" s="165" t="str">
        <x:v>魚とタンニン</x:v>
      </x:c>
      <x:c r="S581" s="165" t="str">
        <x:v>赤ワイン</x:v>
      </x:c>
      <x:c r="T581" s="165"/>
      <x:c r="U581" s="165"/>
      <x:c r="V581" s="165"/>
      <x:c r="W581" s="165" t="str">
        <x:v>因果説明</x:v>
      </x:c>
      <x:c r="X581" s="171" t="str">
        <x:v>D3</x:v>
      </x:c>
      <x:c r="Y581" s="165" t="str">
        <x:v>タンニンで魚が発泡; 赤は魚に絶対不可</x:v>
      </x:c>
      <x:c r="Z581" s="171" t="str">
        <x:v>N</x:v>
      </x:c>
      <x:c r="AA581" s="165"/>
      <x:c r="AB581" s="165" t="str">
        <x:v>オリジナル</x:v>
      </x:c>
      <x:c r="AC581" s="165" t="str">
        <x:v>公式Specificationの範囲＋ユーザー作成コーパスの論点を参考に独自作成</x:v>
      </x:c>
      <x:c r="AD581" s="171" t="str">
        <x:v>未レビュー</x:v>
      </x:c>
      <x:c r="AE581" s="171"/>
      <x:c r="AF581" s="171"/>
      <x:c r="AG581" s="312"/>
    </x:row>
    <x:row r="582" ht="84" customHeight="1">
      <x:c r="A582" s="311" t="str">
        <x:v>LO5-101</x:v>
      </x:c>
      <x:c r="B582" s="171" t="str">
        <x:v>LO5</x:v>
      </x:c>
      <x:c r="C582" s="165" t="str">
        <x:v>情報提供・推奨・保管・サービス</x:v>
      </x:c>
      <x:c r="D582" s="165" t="str">
        <x:v>繊細な貝料理</x:v>
      </x:c>
      <x:c r="E582" s="165" t="str">
        <x:v>生牡蠣や繊細な貝料理に合わせやすいワインの特徴はどれか。</x:v>
      </x:c>
      <x:c r="F582" s="165" t="str">
        <x:v>高い酸、低いタンニン、控えめなオーク香、軽いボディ</x:v>
      </x:c>
      <x:c r="G582" s="165" t="str">
        <x:v>非常に高いタンニンと強い新樽香</x:v>
      </x:c>
      <x:c r="H582" s="165" t="str">
        <x:v>低酸で高アルコールの濃厚赤</x:v>
      </x:c>
      <x:c r="I582" s="165" t="str">
        <x:v>極甘口で酸のないワインだけ</x:v>
      </x:c>
      <x:c r="J582" s="171" t="str">
        <x:v>A</x:v>
      </x:c>
      <x:c r="K582" s="165" t="str">
        <x:v>高い酸、低いタンニン、控えめなオーク香、軽いボディ</x:v>
      </x:c>
      <x:c r="L582" s="165" t="str">
        <x:v>爽やかな酸と塩味を思わせる風味が貝の繊細さを生かし、強い樽香やアルコールが覆うのを防ぐ。</x:v>
      </x:c>
      <x:c r="M582" s="165" t="str">
        <x:v>正しい。 爽やかな酸と塩味を思わせる風味が貝の繊細さを生かし、強い樽香やアルコールが覆うのを防ぐ。</x:v>
      </x:c>
      <x:c r="N582" s="165" t="str">
        <x:v>誤り。 繊細な海産物を圧倒し、苦味が出やすい。</x:v>
      </x:c>
      <x:c r="O582" s="165" t="str">
        <x:v>誤り。 重さと熱感が料理に勝ちやすい。</x:v>
      </x:c>
      <x:c r="P582" s="165" t="str">
        <x:v>誤り。 甘味が必須ではなく、酸と軽さが重要である。</x:v>
      </x:c>
      <x:c r="Q582" s="165" t="str">
        <x:v>料理との組み合わせ</x:v>
      </x:c>
      <x:c r="R582" s="165" t="str">
        <x:v>貝料理</x:v>
      </x:c>
      <x:c r="S582" s="165" t="str">
        <x:v>白ワイン</x:v>
      </x:c>
      <x:c r="T582" s="165"/>
      <x:c r="U582" s="165"/>
      <x:c r="V582" s="165"/>
      <x:c r="W582" s="165" t="str">
        <x:v>判断</x:v>
      </x:c>
      <x:c r="X582" s="171" t="str">
        <x:v>D2</x:v>
      </x:c>
      <x:c r="Y582" s="165" t="str">
        <x:v>牡蠣には高タンニン; 低酸濃厚</x:v>
      </x:c>
      <x:c r="Z582" s="171" t="str">
        <x:v>N</x:v>
      </x:c>
      <x:c r="AA582" s="165"/>
      <x:c r="AB582" s="165" t="str">
        <x:v>オリジナル</x:v>
      </x:c>
      <x:c r="AC582" s="165" t="str">
        <x:v>公式Specificationの範囲＋ユーザー作成コーパスの論点を参考に独自作成</x:v>
      </x:c>
      <x:c r="AD582" s="171" t="str">
        <x:v>未レビュー</x:v>
      </x:c>
      <x:c r="AE582" s="171"/>
      <x:c r="AF582" s="171"/>
      <x:c r="AG582" s="312"/>
    </x:row>
    <x:row r="583" ht="84" customHeight="1">
      <x:c r="A583" s="311" t="str">
        <x:v>LO5-102</x:v>
      </x:c>
      <x:c r="B583" s="171" t="str">
        <x:v>LO5</x:v>
      </x:c>
      <x:c r="C583" s="165" t="str">
        <x:v>情報提供・推奨・保管・サービス</x:v>
      </x:c>
      <x:c r="D583" s="165" t="str">
        <x:v>燻製料理とオーク</x:v>
      </x:c>
      <x:c r="E583" s="165" t="str">
        <x:v>燻製した魚や肉に、適度なオーク香を持つワインが合うことがある主な理由はどれか。</x:v>
      </x:c>
      <x:c r="F583" s="165" t="str">
        <x:v>オーク香が料理の煙を化学的に除去する</x:v>
      </x:c>
      <x:c r="G583" s="165" t="str">
        <x:v>樽由来のトーストや煙の香りが料理の燻製香と風味の橋渡しをする</x:v>
      </x:c>
      <x:c r="H583" s="165" t="str">
        <x:v>新樽香が強いほど必ずすべての燻製料理に合う</x:v>
      </x:c>
      <x:c r="I583" s="165" t="str">
        <x:v>燻製料理には酸が不要である</x:v>
      </x:c>
      <x:c r="J583" s="171" t="str">
        <x:v>B</x:v>
      </x:c>
      <x:c r="K583" s="165" t="str">
        <x:v>樽由来のトーストや煙の香りが料理の燻製香と風味の橋渡しをする</x:v>
      </x:c>
      <x:c r="L583" s="165" t="str">
        <x:v>同系統の香りを共有しながら、ワインの酸や果実味が塩味と脂肪を整える。</x:v>
      </x:c>
      <x:c r="M583" s="165" t="str">
        <x:v>誤り。 香りの調和であり、煙成分を除去しない。</x:v>
      </x:c>
      <x:c r="N583" s="165" t="str">
        <x:v>正しい。 同系統の香りを共有しながら、ワインの酸や果実味が塩味と脂肪を整える。</x:v>
      </x:c>
      <x:c r="O583" s="165" t="str">
        <x:v>誤り。 過度な樽香は繊細な料理を覆う。</x:v>
      </x:c>
      <x:c r="P583" s="165" t="str">
        <x:v>誤り。 酸は脂肪と塩味のバランスに役立つ。</x:v>
      </x:c>
      <x:c r="Q583" s="165" t="str">
        <x:v>料理との組み合わせ</x:v>
      </x:c>
      <x:c r="R583" s="165" t="str">
        <x:v>燻製</x:v>
      </x:c>
      <x:c r="S583" s="165" t="str">
        <x:v>全般</x:v>
      </x:c>
      <x:c r="T583" s="165"/>
      <x:c r="U583" s="165"/>
      <x:c r="V583" s="165"/>
      <x:c r="W583" s="165" t="str">
        <x:v>因果説明</x:v>
      </x:c>
      <x:c r="X583" s="171" t="str">
        <x:v>D2</x:v>
      </x:c>
      <x:c r="Y583" s="165" t="str">
        <x:v>オークが煙を除去; 新樽は常に最適</x:v>
      </x:c>
      <x:c r="Z583" s="171" t="str">
        <x:v>N</x:v>
      </x:c>
      <x:c r="AA583" s="165"/>
      <x:c r="AB583" s="165" t="str">
        <x:v>オリジナル</x:v>
      </x:c>
      <x:c r="AC583" s="165" t="str">
        <x:v>公式Specificationの範囲＋ユーザー作成コーパスの論点を参考に独自作成</x:v>
      </x:c>
      <x:c r="AD583" s="171" t="str">
        <x:v>未レビュー</x:v>
      </x:c>
      <x:c r="AE583" s="171"/>
      <x:c r="AF583" s="171"/>
      <x:c r="AG583" s="312"/>
    </x:row>
    <x:row r="584" ht="84" customHeight="1">
      <x:c r="A584" s="311" t="str">
        <x:v>LO5-103</x:v>
      </x:c>
      <x:c r="B584" s="171" t="str">
        <x:v>LO5</x:v>
      </x:c>
      <x:c r="C584" s="165" t="str">
        <x:v>情報提供・推奨・保管・サービス</x:v>
      </x:c>
      <x:c r="D584" s="165" t="str">
        <x:v>炭火焼き肉</x:v>
      </x:c>
      <x:c r="E584" s="165" t="str">
        <x:v>炭火焼きの赤身肉に、タンニンと熟した果実味を持つ赤ワインが合いやすい主な理由はどれか。</x:v>
      </x:c>
      <x:c r="F584" s="165" t="str">
        <x:v>タンニンが肉の脂肪を完全に溶かす</x:v>
      </x:c>
      <x:c r="G584" s="165" t="str">
        <x:v>軽い甘口白だけが必要</x:v>
      </x:c>
      <x:c r="H584" s="165" t="str">
        <x:v>肉のタンパク質と脂肪がタンニンの収れん性を和らげ、炭火香と熟した風味が調和する</x:v>
      </x:c>
      <x:c r="I584" s="165" t="str">
        <x:v>肉料理では酸が必ず不快になる</x:v>
      </x:c>
      <x:c r="J584" s="171" t="str">
        <x:v>C</x:v>
      </x:c>
      <x:c r="K584" s="165" t="str">
        <x:v>肉のタンパク質と脂肪がタンニンの収れん性を和らげ、炭火香と熟した風味が調和する</x:v>
      </x:c>
      <x:c r="L584" s="165" t="str">
        <x:v>カベルネやシラーの構造は料理の強度に負けず、果実味が焦げの苦味を支える。</x:v>
      </x:c>
      <x:c r="M584" s="165" t="str">
        <x:v>誤り。 知覚を整えるが、脂肪を化学的に除去しない。</x:v>
      </x:c>
      <x:c r="N584" s="165" t="str">
        <x:v>誤り。 料理の強度に負けやすい場合がある。</x:v>
      </x:c>
      <x:c r="O584" s="165" t="str">
        <x:v>正しい。 カベルネやシラーの構造は料理の強度に負けず、果実味が焦げの苦味を支える。</x:v>
      </x:c>
      <x:c r="P584" s="165" t="str">
        <x:v>誤り。 酸は脂肪と濃厚さを切る役割もある。</x:v>
      </x:c>
      <x:c r="Q584" s="165" t="str">
        <x:v>料理との組み合わせ</x:v>
      </x:c>
      <x:c r="R584" s="165" t="str">
        <x:v>肉料理</x:v>
      </x:c>
      <x:c r="S584" s="165" t="str">
        <x:v>赤ワイン</x:v>
      </x:c>
      <x:c r="T584" s="165"/>
      <x:c r="U584" s="165"/>
      <x:c r="V584" s="165"/>
      <x:c r="W584" s="165" t="str">
        <x:v>因果説明</x:v>
      </x:c>
      <x:c r="X584" s="171" t="str">
        <x:v>D2</x:v>
      </x:c>
      <x:c r="Y584" s="165" t="str">
        <x:v>タンニンが脂肪溶解; 肉に酸不要</x:v>
      </x:c>
      <x:c r="Z584" s="171" t="str">
        <x:v>N</x:v>
      </x:c>
      <x:c r="AA584" s="165"/>
      <x:c r="AB584" s="165" t="str">
        <x:v>オリジナル</x:v>
      </x:c>
      <x:c r="AC584" s="165" t="str">
        <x:v>公式Specificationの範囲＋ユーザー作成コーパスの論点を参考に独自作成</x:v>
      </x:c>
      <x:c r="AD584" s="171" t="str">
        <x:v>未レビュー</x:v>
      </x:c>
      <x:c r="AE584" s="171"/>
      <x:c r="AF584" s="171"/>
      <x:c r="AG584" s="312"/>
    </x:row>
    <x:row r="585" ht="84" customHeight="1">
      <x:c r="A585" s="311" t="str">
        <x:v>LO5-104</x:v>
      </x:c>
      <x:c r="B585" s="171" t="str">
        <x:v>LO5</x:v>
      </x:c>
      <x:c r="C585" s="165" t="str">
        <x:v>情報提供・推奨・保管・サービス</x:v>
      </x:c>
      <x:c r="D585" s="165" t="str">
        <x:v>苦味のある野菜</x:v>
      </x:c>
      <x:c r="E585" s="165" t="str">
        <x:v>ルッコラやチコリなど苦味のある野菜に高タンニン赤を合わせる際のリスクはどれか。</x:v>
      </x:c>
      <x:c r="F585" s="165" t="str">
        <x:v>苦味同士が必ず完全に消える</x:v>
      </x:c>
      <x:c r="G585" s="165" t="str">
        <x:v>タンニンが野菜を甘く変える</x:v>
      </x:c>
      <x:c r="H585" s="165" t="str">
        <x:v>野菜料理にはワインの構造が一切影響しない</x:v>
      </x:c>
      <x:c r="I585" s="165" t="str">
        <x:v>料理とワインの苦味・収れん性が相互に強調される</x:v>
      </x:c>
      <x:c r="J585" s="171" t="str">
        <x:v>D</x:v>
      </x:c>
      <x:c r="K585" s="165" t="str">
        <x:v>料理とワインの苦味・収れん性が相互に強調される</x:v>
      </x:c>
      <x:c r="L585" s="165" t="str">
        <x:v>低タンニンで果実味のあるワインや、酸と少量の残糖を持つワインの方が調和しやすい。</x:v>
      </x:c>
      <x:c r="M585" s="165" t="str">
        <x:v>誤り。 相加的に強く感じられることが多い。</x:v>
      </x:c>
      <x:c r="N585" s="165" t="str">
        <x:v>誤り。 化学的に甘味へ変換しない。</x:v>
      </x:c>
      <x:c r="O585" s="165" t="str">
        <x:v>誤り。 苦味、酸、うま味が知覚へ影響する。</x:v>
      </x:c>
      <x:c r="P585" s="165" t="str">
        <x:v>正しい。 低タンニンで果実味のあるワインや、酸と少量の残糖を持つワインの方が調和しやすい。</x:v>
      </x:c>
      <x:c r="Q585" s="165" t="str">
        <x:v>料理との組み合わせ</x:v>
      </x:c>
      <x:c r="R585" s="165" t="str">
        <x:v>苦味</x:v>
      </x:c>
      <x:c r="S585" s="165" t="str">
        <x:v>赤ワイン</x:v>
      </x:c>
      <x:c r="T585" s="165"/>
      <x:c r="U585" s="165"/>
      <x:c r="V585" s="165"/>
      <x:c r="W585" s="165" t="str">
        <x:v>因果説明</x:v>
      </x:c>
      <x:c r="X585" s="171" t="str">
        <x:v>D2</x:v>
      </x:c>
      <x:c r="Y585" s="165" t="str">
        <x:v>苦味同士で相殺; タンニンが甘味化</x:v>
      </x:c>
      <x:c r="Z585" s="171" t="str">
        <x:v>N</x:v>
      </x:c>
      <x:c r="AA585" s="165"/>
      <x:c r="AB585" s="165" t="str">
        <x:v>オリジナル</x:v>
      </x:c>
      <x:c r="AC585" s="165" t="str">
        <x:v>公式Specificationの範囲＋ユーザー作成コーパスの論点を参考に独自作成</x:v>
      </x:c>
      <x:c r="AD585" s="171" t="str">
        <x:v>未レビュー</x:v>
      </x:c>
      <x:c r="AE585" s="171"/>
      <x:c r="AF585" s="171"/>
      <x:c r="AG585" s="312"/>
    </x:row>
    <x:row r="586" ht="84" customHeight="1">
      <x:c r="A586" s="311" t="str">
        <x:v>LO5-105</x:v>
      </x:c>
      <x:c r="B586" s="171" t="str">
        <x:v>LO5</x:v>
      </x:c>
      <x:c r="C586" s="165" t="str">
        <x:v>情報提供・推奨・保管・サービス</x:v>
      </x:c>
      <x:c r="D586" s="165" t="str">
        <x:v>酢のドレッシング</x:v>
      </x:c>
      <x:c r="E586" s="165" t="str">
        <x:v>酢を多く使ったサラダにワインを合わせにくい主な理由はどれか。</x:v>
      </x:c>
      <x:c r="F586" s="165" t="str">
        <x:v>料理の強い酸がワインを平坦で苦く、果実味の乏しい印象にしやすい</x:v>
      </x:c>
      <x:c r="G586" s="165" t="str">
        <x:v>酢がワインのアルコールを直ちに増やす</x:v>
      </x:c>
      <x:c r="H586" s="165" t="str">
        <x:v>酢がワインを発泡性へ変える</x:v>
      </x:c>
      <x:c r="I586" s="165" t="str">
        <x:v>高タンニンほど酸味が消える</x:v>
      </x:c>
      <x:c r="J586" s="171" t="str">
        <x:v>A</x:v>
      </x:c>
      <x:c r="K586" s="165" t="str">
        <x:v>料理の強い酸がワインを平坦で苦く、果実味の乏しい印象にしやすい</x:v>
      </x:c>
      <x:c r="L586" s="165" t="str">
        <x:v>ドレッシングの酸を控えるか、高酸で果実味があり低タンニンのワインを選ぶと改善しやすい。</x:v>
      </x:c>
      <x:c r="M586" s="165" t="str">
        <x:v>正しい。 ドレッシングの酸を控えるか、高酸で果実味があり低タンニンのワインを選ぶと改善しやすい。</x:v>
      </x:c>
      <x:c r="N586" s="165" t="str">
        <x:v>誤り。 アルコール度は変わらない。</x:v>
      </x:c>
      <x:c r="O586" s="165" t="str">
        <x:v>誤り。 二酸化炭素は生じない。</x:v>
      </x:c>
      <x:c r="P586" s="165" t="str">
        <x:v>誤り。 酸とタンニンがともに厳しく感じられる場合がある。</x:v>
      </x:c>
      <x:c r="Q586" s="165" t="str">
        <x:v>料理との組み合わせ</x:v>
      </x:c>
      <x:c r="R586" s="165" t="str">
        <x:v>酸味</x:v>
      </x:c>
      <x:c r="S586" s="165" t="str">
        <x:v>全般</x:v>
      </x:c>
      <x:c r="T586" s="165"/>
      <x:c r="U586" s="165"/>
      <x:c r="V586" s="165"/>
      <x:c r="W586" s="165" t="str">
        <x:v>因果説明</x:v>
      </x:c>
      <x:c r="X586" s="171" t="str">
        <x:v>D3</x:v>
      </x:c>
      <x:c r="Y586" s="165" t="str">
        <x:v>酢でアルコール増加; 高タンニンで酸消失</x:v>
      </x:c>
      <x:c r="Z586" s="171" t="str">
        <x:v>N</x:v>
      </x:c>
      <x:c r="AA586" s="165"/>
      <x:c r="AB586" s="165" t="str">
        <x:v>オリジナル</x:v>
      </x:c>
      <x:c r="AC586" s="165" t="str">
        <x:v>公式Specificationの範囲＋ユーザー作成コーパスの論点を参考に独自作成</x:v>
      </x:c>
      <x:c r="AD586" s="171" t="str">
        <x:v>未レビュー</x:v>
      </x:c>
      <x:c r="AE586" s="171"/>
      <x:c r="AF586" s="171"/>
      <x:c r="AG586" s="312"/>
    </x:row>
    <x:row r="587" ht="84" customHeight="1">
      <x:c r="A587" s="311" t="str">
        <x:v>LO5-106</x:v>
      </x:c>
      <x:c r="B587" s="171" t="str">
        <x:v>LO5</x:v>
      </x:c>
      <x:c r="C587" s="165" t="str">
        <x:v>情報提供・推奨・保管・サービス</x:v>
      </x:c>
      <x:c r="D587" s="165" t="str">
        <x:v>辛い料理とオフドライ</x:v>
      </x:c>
      <x:c r="E587" s="165" t="str">
        <x:v>トウガラシの辛味が強い料理に、低アルコールでオフドライのワインが合いやすい主な理由はどれか。</x:v>
      </x:c>
      <x:c r="F587" s="165" t="str">
        <x:v>高アルコールほど辛味を必ず弱める</x:v>
      </x:c>
      <x:c r="G587" s="165" t="str">
        <x:v>少量の甘味が辛味を和らげ、低いアルコールが熱感の増幅を抑える</x:v>
      </x:c>
      <x:c r="H587" s="165" t="str">
        <x:v>高タンニンほど舌を冷やす</x:v>
      </x:c>
      <x:c r="I587" s="165" t="str">
        <x:v>残糖がカプサイシンを化学的に消滅させる</x:v>
      </x:c>
      <x:c r="J587" s="171" t="str">
        <x:v>B</x:v>
      </x:c>
      <x:c r="K587" s="165" t="str">
        <x:v>少量の甘味が辛味を和らげ、低いアルコールが熱感の増幅を抑える</x:v>
      </x:c>
      <x:c r="L587" s="165" t="str">
        <x:v>芳香性と高い酸を持つワインなら、料理の香りに負けず爽やかさも保てる。</x:v>
      </x:c>
      <x:c r="M587" s="165" t="str">
        <x:v>誤り。 アルコールの刺激が辛味を強く感じさせることがある。</x:v>
      </x:c>
      <x:c r="N587" s="165" t="str">
        <x:v>正しい。 芳香性と高い酸を持つワインなら、料理の香りに負けず爽やかさも保てる。</x:v>
      </x:c>
      <x:c r="O587" s="165" t="str">
        <x:v>誤り。 タンニンの苦渋味も強調されやすい。</x:v>
      </x:c>
      <x:c r="P587" s="165" t="str">
        <x:v>誤り。 知覚を和らげるが、成分を除去しない。</x:v>
      </x:c>
      <x:c r="Q587" s="165" t="str">
        <x:v>料理との組み合わせ</x:v>
      </x:c>
      <x:c r="R587" s="165" t="str">
        <x:v>辛味</x:v>
      </x:c>
      <x:c r="S587" s="165" t="str">
        <x:v>白ワイン</x:v>
      </x:c>
      <x:c r="T587" s="165"/>
      <x:c r="U587" s="165"/>
      <x:c r="V587" s="165"/>
      <x:c r="W587" s="165" t="str">
        <x:v>因果説明</x:v>
      </x:c>
      <x:c r="X587" s="171" t="str">
        <x:v>D2</x:v>
      </x:c>
      <x:c r="Y587" s="165" t="str">
        <x:v>高アルコールで辛味減少; 糖がカプサイシン除去</x:v>
      </x:c>
      <x:c r="Z587" s="171" t="str">
        <x:v>N</x:v>
      </x:c>
      <x:c r="AA587" s="165"/>
      <x:c r="AB587" s="165" t="str">
        <x:v>オリジナル</x:v>
      </x:c>
      <x:c r="AC587" s="165" t="str">
        <x:v>公式Specificationの範囲＋ユーザー作成コーパスの論点を参考に独自作成</x:v>
      </x:c>
      <x:c r="AD587" s="171" t="str">
        <x:v>未レビュー</x:v>
      </x:c>
      <x:c r="AE587" s="171"/>
      <x:c r="AF587" s="171"/>
      <x:c r="AG587" s="312"/>
    </x:row>
    <x:row r="588" ht="84" customHeight="1">
      <x:c r="A588" s="311" t="str">
        <x:v>LO5-107</x:v>
      </x:c>
      <x:c r="B588" s="171" t="str">
        <x:v>LO5</x:v>
      </x:c>
      <x:c r="C588" s="165" t="str">
        <x:v>情報提供・推奨・保管・サービス</x:v>
      </x:c>
      <x:c r="D588" s="165" t="str">
        <x:v>香り高いカレー</x:v>
      </x:c>
      <x:c r="E588" s="165" t="str">
        <x:v>香辛料を多く使った香り高いカレーに合わせやすいワインの特徴はどれか。</x:v>
      </x:c>
      <x:c r="F588" s="165" t="str">
        <x:v>無香で高タンニンの赤だけ</x:v>
      </x:c>
      <x:c r="G588" s="165" t="str">
        <x:v>極端に高アルコールのワイン</x:v>
      </x:c>
      <x:c r="H588" s="165" t="str">
        <x:v>品種香が強く、酸が高く、タンニンとアルコールが過度でない</x:v>
      </x:c>
      <x:c r="I588" s="165" t="str">
        <x:v>酸が全くないワイン</x:v>
      </x:c>
      <x:c r="J588" s="171" t="str">
        <x:v>C</x:v>
      </x:c>
      <x:c r="K588" s="165" t="str">
        <x:v>品種香が強く、酸が高く、タンニンとアルコールが過度でない</x:v>
      </x:c>
      <x:c r="L588" s="165" t="str">
        <x:v>リースリング、ゲヴュルツトラミネールなどの芳香が料理の強度に釣り合い、少量の甘味も辛味を整える。</x:v>
      </x:c>
      <x:c r="M588" s="165" t="str">
        <x:v>誤り。 香りに負け、辛味でタンニンが厳しくなりやすい。</x:v>
      </x:c>
      <x:c r="N588" s="165" t="str">
        <x:v>誤り。 熱感を強めることがある。</x:v>
      </x:c>
      <x:c r="O588" s="165" t="str">
        <x:v>正しい。 リースリング、ゲヴュルツトラミネールなどの芳香が料理の強度に釣り合い、少量の甘味も辛味を整える。</x:v>
      </x:c>
      <x:c r="P588" s="165" t="str">
        <x:v>誤り。 重くぼやけ、料理の脂肪を切りにくい。</x:v>
      </x:c>
      <x:c r="Q588" s="165" t="str">
        <x:v>料理との組み合わせ</x:v>
      </x:c>
      <x:c r="R588" s="165" t="str">
        <x:v>香辛料</x:v>
      </x:c>
      <x:c r="S588" s="165" t="str">
        <x:v>全般</x:v>
      </x:c>
      <x:c r="T588" s="165"/>
      <x:c r="U588" s="165"/>
      <x:c r="V588" s="165"/>
      <x:c r="W588" s="165" t="str">
        <x:v>判断</x:v>
      </x:c>
      <x:c r="X588" s="171" t="str">
        <x:v>D2</x:v>
      </x:c>
      <x:c r="Y588" s="165" t="str">
        <x:v>カレーには高タンニン; 高アルコール必須</x:v>
      </x:c>
      <x:c r="Z588" s="171" t="str">
        <x:v>N</x:v>
      </x:c>
      <x:c r="AA588" s="165"/>
      <x:c r="AB588" s="165" t="str">
        <x:v>オリジナル</x:v>
      </x:c>
      <x:c r="AC588" s="165" t="str">
        <x:v>公式Specificationの範囲＋ユーザー作成コーパスの論点を参考に独自作成</x:v>
      </x:c>
      <x:c r="AD588" s="171" t="str">
        <x:v>未レビュー</x:v>
      </x:c>
      <x:c r="AE588" s="171"/>
      <x:c r="AF588" s="171"/>
      <x:c r="AG588" s="312"/>
    </x:row>
    <x:row r="589" ht="84" customHeight="1">
      <x:c r="A589" s="311" t="str">
        <x:v>LO5-108</x:v>
      </x:c>
      <x:c r="B589" s="171" t="str">
        <x:v>LO5</x:v>
      </x:c>
      <x:c r="C589" s="165" t="str">
        <x:v>情報提供・推奨・保管・サービス</x:v>
      </x:c>
      <x:c r="D589" s="165" t="str">
        <x:v>塩味と甘口</x:v>
      </x:c>
      <x:c r="E589" s="165" t="str">
        <x:v>塩味の強い料理に甘口ワインが合うことがある主な理由はどれか。</x:v>
      </x:c>
      <x:c r="F589" s="165" t="str">
        <x:v>塩がワインの糖を化学的に増やす</x:v>
      </x:c>
      <x:c r="G589" s="165" t="str">
        <x:v>塩味料理には酸が不要</x:v>
      </x:c>
      <x:c r="H589" s="165" t="str">
        <x:v>高タンニンだけが塩味を和らげる</x:v>
      </x:c>
      <x:c r="I589" s="165" t="str">
        <x:v>塩味がワインの甘味と果実味を引き立て、甘味が料理の塩辛さを和らげる</x:v>
      </x:c>
      <x:c r="J589" s="171" t="str">
        <x:v>D</x:v>
      </x:c>
      <x:c r="K589" s="165" t="str">
        <x:v>塩味がワインの甘味と果実味を引き立て、甘味が料理の塩辛さを和らげる</x:v>
      </x:c>
      <x:c r="L589" s="165" t="str">
        <x:v>甘味と塩味の対照が心地よく、酸を持つ甘口ワインなら重さも抑えられる。</x:v>
      </x:c>
      <x:c r="M589" s="165" t="str">
        <x:v>誤り。 知覚が強まるが糖量は変わらない。</x:v>
      </x:c>
      <x:c r="N589" s="165" t="str">
        <x:v>誤り。 酸は甘味と脂肪のバランスに重要である。</x:v>
      </x:c>
      <x:c r="O589" s="165" t="str">
        <x:v>誤り。 塩とうま味でタンニンが目立つことがある。</x:v>
      </x:c>
      <x:c r="P589" s="165" t="str">
        <x:v>正しい。 甘味と塩味の対照が心地よく、酸を持つ甘口ワインなら重さも抑えられる。</x:v>
      </x:c>
      <x:c r="Q589" s="165" t="str">
        <x:v>料理との組み合わせ</x:v>
      </x:c>
      <x:c r="R589" s="165" t="str">
        <x:v>塩味</x:v>
      </x:c>
      <x:c r="S589" s="165" t="str">
        <x:v>甘口ワイン</x:v>
      </x:c>
      <x:c r="T589" s="165"/>
      <x:c r="U589" s="165"/>
      <x:c r="V589" s="165"/>
      <x:c r="W589" s="165" t="str">
        <x:v>因果説明</x:v>
      </x:c>
      <x:c r="X589" s="171" t="str">
        <x:v>D2</x:v>
      </x:c>
      <x:c r="Y589" s="165" t="str">
        <x:v>塩で糖増加; 高タンニン必須</x:v>
      </x:c>
      <x:c r="Z589" s="171" t="str">
        <x:v>N</x:v>
      </x:c>
      <x:c r="AA589" s="165"/>
      <x:c r="AB589" s="165" t="str">
        <x:v>オリジナル</x:v>
      </x:c>
      <x:c r="AC589" s="165" t="str">
        <x:v>公式Specificationの範囲＋ユーザー作成コーパスの論点を参考に独自作成</x:v>
      </x:c>
      <x:c r="AD589" s="171" t="str">
        <x:v>未レビュー</x:v>
      </x:c>
      <x:c r="AE589" s="171"/>
      <x:c r="AF589" s="171"/>
      <x:c r="AG589" s="312"/>
    </x:row>
    <x:row r="590" ht="84" customHeight="1">
      <x:c r="A590" s="311" t="str">
        <x:v>LO5-109</x:v>
      </x:c>
      <x:c r="B590" s="171" t="str">
        <x:v>LO5</x:v>
      </x:c>
      <x:c r="C590" s="165" t="str">
        <x:v>情報提供・推奨・保管・サービス</x:v>
      </x:c>
      <x:c r="D590" s="165" t="str">
        <x:v>うま味と成熟赤</x:v>
      </x:c>
      <x:c r="E590" s="165" t="str">
        <x:v>うま味の強いキノコや熟成チーズに、非常に若く高タンニンの赤より成熟した赤が合いやすい理由はどれか。</x:v>
      </x:c>
      <x:c r="F590" s="165" t="str">
        <x:v>熟成でタンニンが穏やかになり、土やキノコの熟成香が料理と調和するため</x:v>
      </x:c>
      <x:c r="G590" s="165" t="str">
        <x:v>成熟赤ではアルコールが完全に消える</x:v>
      </x:c>
      <x:c r="H590" s="165" t="str">
        <x:v>うま味がタンニンを化学的に除去する</x:v>
      </x:c>
      <x:c r="I590" s="165" t="str">
        <x:v>若い高タンニンほど必ず甘く感じる</x:v>
      </x:c>
      <x:c r="J590" s="171" t="str">
        <x:v>A</x:v>
      </x:c>
      <x:c r="K590" s="165" t="str">
        <x:v>熟成でタンニンが穏やかになり、土やキノコの熟成香が料理と調和するため</x:v>
      </x:c>
      <x:c r="L590" s="165" t="str">
        <x:v>うま味はタンニンと苦味を強調しやすいため、柔らかな構造と発展した香りが有利である。</x:v>
      </x:c>
      <x:c r="M590" s="165" t="str">
        <x:v>正しい。 うま味はタンニンと苦味を強調しやすいため、柔らかな構造と発展した香りが有利である。</x:v>
      </x:c>
      <x:c r="N590" s="165" t="str">
        <x:v>誤り。 熟成してもアルコールは残る。</x:v>
      </x:c>
      <x:c r="O590" s="165" t="str">
        <x:v>誤り。 知覚ではむしろ厳しく感じることがある。</x:v>
      </x:c>
      <x:c r="P590" s="165" t="str">
        <x:v>誤り。 うま味で果実味が弱まり、苦味が目立つ場合がある。</x:v>
      </x:c>
      <x:c r="Q590" s="165" t="str">
        <x:v>料理との組み合わせ</x:v>
      </x:c>
      <x:c r="R590" s="165" t="str">
        <x:v>うま味</x:v>
      </x:c>
      <x:c r="S590" s="165" t="str">
        <x:v>赤ワイン</x:v>
      </x:c>
      <x:c r="T590" s="165"/>
      <x:c r="U590" s="165"/>
      <x:c r="V590" s="165"/>
      <x:c r="W590" s="165" t="str">
        <x:v>比較</x:v>
      </x:c>
      <x:c r="X590" s="171" t="str">
        <x:v>D3</x:v>
      </x:c>
      <x:c r="Y590" s="165" t="str">
        <x:v>熟成で無アルコール; うま味がタンニン除去</x:v>
      </x:c>
      <x:c r="Z590" s="171" t="str">
        <x:v>N</x:v>
      </x:c>
      <x:c r="AA590" s="165"/>
      <x:c r="AB590" s="165" t="str">
        <x:v>オリジナル</x:v>
      </x:c>
      <x:c r="AC590" s="165" t="str">
        <x:v>公式Specificationの範囲＋ユーザー作成コーパスの論点を参考に独自作成</x:v>
      </x:c>
      <x:c r="AD590" s="171" t="str">
        <x:v>未レビュー</x:v>
      </x:c>
      <x:c r="AE590" s="171"/>
      <x:c r="AF590" s="171"/>
      <x:c r="AG590" s="312"/>
    </x:row>
    <x:row r="591" ht="84" customHeight="1">
      <x:c r="A591" s="311" t="str">
        <x:v>LO5-110</x:v>
      </x:c>
      <x:c r="B591" s="171" t="str">
        <x:v>LO5</x:v>
      </x:c>
      <x:c r="C591" s="165" t="str">
        <x:v>情報提供・推奨・保管・サービス</x:v>
      </x:c>
      <x:c r="D591" s="165" t="str">
        <x:v>チョコレートデザート</x:v>
      </x:c>
      <x:c r="E591" s="165" t="str">
        <x:v>濃厚なチョコレートデザートに合わせるワインの特徴として最も適切なものはどれか。</x:v>
      </x:c>
      <x:c r="F591" s="165" t="str">
        <x:v>軽い完全辛口の高酸白だけ</x:v>
      </x:c>
      <x:c r="G591" s="165" t="str">
        <x:v>デザート以上の甘味と、チョコレートに負けない濃い果実・熟成風味を持つ</x:v>
      </x:c>
      <x:c r="H591" s="165" t="str">
        <x:v>低果実味で高タンニンの若い赤</x:v>
      </x:c>
      <x:c r="I591" s="165" t="str">
        <x:v>ワインの甘味はデザートより低い方がよい</x:v>
      </x:c>
      <x:c r="J591" s="171" t="str">
        <x:v>B</x:v>
      </x:c>
      <x:c r="K591" s="165" t="str">
        <x:v>デザート以上の甘味と、チョコレートに負けない濃い果実・熟成風味を持つ</x:v>
      </x:c>
      <x:c r="L591" s="165" t="str">
        <x:v>ルビー系ポートや甘口酒精強化赤などは、黒系果実、アルコール、甘味の強度が料理に釣り合う。</x:v>
      </x:c>
      <x:c r="M591" s="165" t="str">
        <x:v>誤り。 料理の甘味でワインが薄く酸っぱく感じられやすい。</x:v>
      </x:c>
      <x:c r="N591" s="165" t="str">
        <x:v>正しい。 ルビー系ポートや甘口酒精強化赤などは、黒系果実、アルコール、甘味の強度が料理に釣り合う。</x:v>
      </x:c>
      <x:c r="O591" s="165" t="str">
        <x:v>誤り。 チョコレートの苦味とうま味で渋味が強調されることがある。</x:v>
      </x:c>
      <x:c r="P591" s="165" t="str">
        <x:v>誤り。 ワインが厳しく感じられやすい。</x:v>
      </x:c>
      <x:c r="Q591" s="165" t="str">
        <x:v>料理との組み合わせ</x:v>
      </x:c>
      <x:c r="R591" s="165" t="str">
        <x:v>デザート</x:v>
      </x:c>
      <x:c r="S591" s="165" t="str">
        <x:v>甘口酒精強化ワイン</x:v>
      </x:c>
      <x:c r="T591" s="165"/>
      <x:c r="U591" s="165"/>
      <x:c r="V591" s="165"/>
      <x:c r="W591" s="165" t="str">
        <x:v>判断</x:v>
      </x:c>
      <x:c r="X591" s="171" t="str">
        <x:v>D2</x:v>
      </x:c>
      <x:c r="Y591" s="165" t="str">
        <x:v>チョコに辛口白; ワインはデザートより甘くなくてよい</x:v>
      </x:c>
      <x:c r="Z591" s="171" t="str">
        <x:v>N</x:v>
      </x:c>
      <x:c r="AA591" s="165"/>
      <x:c r="AB591" s="165" t="str">
        <x:v>オリジナル</x:v>
      </x:c>
      <x:c r="AC591" s="165" t="str">
        <x:v>公式Specificationの範囲＋ユーザー作成コーパスの論点を参考に独自作成</x:v>
      </x:c>
      <x:c r="AD591" s="171" t="str">
        <x:v>未レビュー</x:v>
      </x:c>
      <x:c r="AE591" s="171"/>
      <x:c r="AF591" s="171"/>
      <x:c r="AG591" s="312"/>
    </x:row>
    <x:row r="592" ht="84" customHeight="1">
      <x:c r="A592" s="311" t="str">
        <x:v>LO5-111</x:v>
      </x:c>
      <x:c r="B592" s="171" t="str">
        <x:v>LO5</x:v>
      </x:c>
      <x:c r="C592" s="165" t="str">
        <x:v>情報提供・推奨・保管・サービス</x:v>
      </x:c>
      <x:c r="D592" s="165" t="str">
        <x:v>レモンデザート</x:v>
      </x:c>
      <x:c r="E592" s="165" t="str">
        <x:v>レモンタルトのように甘味と高い酸を持つデザートに適するワインはどれか。</x:v>
      </x:c>
      <x:c r="F592" s="165" t="str">
        <x:v>低酸の辛口赤</x:v>
      </x:c>
      <x:c r="G592" s="165" t="str">
        <x:v>高タンニンの若いカベルネだけ</x:v>
      </x:c>
      <x:c r="H592" s="165" t="str">
        <x:v>デザート以上の甘味と高い酸を持つ甘口白ワイン</x:v>
      </x:c>
      <x:c r="I592" s="165" t="str">
        <x:v>酸のない極辛口白</x:v>
      </x:c>
      <x:c r="J592" s="171" t="str">
        <x:v>C</x:v>
      </x:c>
      <x:c r="K592" s="165" t="str">
        <x:v>デザート以上の甘味と高い酸を持つ甘口白ワイン</x:v>
      </x:c>
      <x:c r="L592" s="165" t="str">
        <x:v>ワインの酸がレモンの鮮度に釣り合い、十分な甘味が辛く薄く感じるのを防ぐ。</x:v>
      </x:c>
      <x:c r="M592" s="165" t="str">
        <x:v>誤り。 酸味と甘味の双方に負けやすい。</x:v>
      </x:c>
      <x:c r="N592" s="165" t="str">
        <x:v>誤り。 タンニンが苦く、果実味が乏しく感じられやすい。</x:v>
      </x:c>
      <x:c r="O592" s="165" t="str">
        <x:v>正しい。 ワインの酸がレモンの鮮度に釣り合い、十分な甘味が辛く薄く感じるのを防ぐ。</x:v>
      </x:c>
      <x:c r="P592" s="165" t="str">
        <x:v>誤り。 料理の酸でさらに平坦に感じる。</x:v>
      </x:c>
      <x:c r="Q592" s="165" t="str">
        <x:v>料理との組み合わせ</x:v>
      </x:c>
      <x:c r="R592" s="165" t="str">
        <x:v>デザート</x:v>
      </x:c>
      <x:c r="S592" s="165" t="str">
        <x:v>甘口白ワイン</x:v>
      </x:c>
      <x:c r="T592" s="165"/>
      <x:c r="U592" s="165"/>
      <x:c r="V592" s="165"/>
      <x:c r="W592" s="165" t="str">
        <x:v>判断</x:v>
      </x:c>
      <x:c r="X592" s="171" t="str">
        <x:v>D2</x:v>
      </x:c>
      <x:c r="Y592" s="165" t="str">
        <x:v>酸味デザートに低酸; 高タンニン赤</x:v>
      </x:c>
      <x:c r="Z592" s="171" t="str">
        <x:v>N</x:v>
      </x:c>
      <x:c r="AA592" s="165"/>
      <x:c r="AB592" s="165" t="str">
        <x:v>オリジナル</x:v>
      </x:c>
      <x:c r="AC592" s="165" t="str">
        <x:v>公式Specificationの範囲＋ユーザー作成コーパスの論点を参考に独自作成</x:v>
      </x:c>
      <x:c r="AD592" s="171" t="str">
        <x:v>未レビュー</x:v>
      </x:c>
      <x:c r="AE592" s="171"/>
      <x:c r="AF592" s="171"/>
      <x:c r="AG592" s="312"/>
    </x:row>
    <x:row r="593" ht="84" customHeight="1">
      <x:c r="A593" s="311" t="str">
        <x:v>LO5-112</x:v>
      </x:c>
      <x:c r="B593" s="171" t="str">
        <x:v>LO5</x:v>
      </x:c>
      <x:c r="C593" s="165" t="str">
        <x:v>情報提供・推奨・保管・サービス</x:v>
      </x:c>
      <x:c r="D593" s="165" t="str">
        <x:v>チーズの強度</x:v>
      </x:c>
      <x:c r="E593" s="165" t="str">
        <x:v>ワインとチーズを合わせる際、チーズの風味強度を考慮する主な理由はどれか。</x:v>
      </x:c>
      <x:c r="F593" s="165" t="str">
        <x:v>すべてのチーズは同じ味だから</x:v>
      </x:c>
      <x:c r="G593" s="165" t="str">
        <x:v>ワインの色だけで相性が決まるから</x:v>
      </x:c>
      <x:c r="H593" s="165" t="str">
        <x:v>高価なワインは必ずすべてのチーズに合うから</x:v>
      </x:c>
      <x:c r="I593" s="165" t="str">
        <x:v>繊細なワインは強い熟成チーズに覆われ、力強いワインは軽いチーズを圧倒するため</x:v>
      </x:c>
      <x:c r="J593" s="171" t="str">
        <x:v>D</x:v>
      </x:c>
      <x:c r="K593" s="165" t="str">
        <x:v>繊細なワインは強い熟成チーズに覆われ、力強いワインは軽いチーズを圧倒するため</x:v>
      </x:c>
      <x:c r="L593" s="165" t="str">
        <x:v>風味の強さを合わせた上で、塩味、酸、脂肪、うま味との相互作用を調整する。</x:v>
      </x:c>
      <x:c r="M593" s="165" t="str">
        <x:v>誤り。 熟成度、乳種、製法で大きく異なる。</x:v>
      </x:c>
      <x:c r="N593" s="165" t="str">
        <x:v>誤り。 構造と香味の強さが重要である。</x:v>
      </x:c>
      <x:c r="O593" s="165" t="str">
        <x:v>誤り。 価格では相性は保証されない。</x:v>
      </x:c>
      <x:c r="P593" s="165" t="str">
        <x:v>正しい。 風味の強さを合わせた上で、塩味、酸、脂肪、うま味との相互作用を調整する。</x:v>
      </x:c>
      <x:c r="Q593" s="165" t="str">
        <x:v>料理との組み合わせ</x:v>
      </x:c>
      <x:c r="R593" s="165" t="str">
        <x:v>チーズ</x:v>
      </x:c>
      <x:c r="S593" s="165" t="str">
        <x:v>全般</x:v>
      </x:c>
      <x:c r="T593" s="165"/>
      <x:c r="U593" s="165"/>
      <x:c r="V593" s="165"/>
      <x:c r="W593" s="165" t="str">
        <x:v>統合判断</x:v>
      </x:c>
      <x:c r="X593" s="171" t="str">
        <x:v>D2</x:v>
      </x:c>
      <x:c r="Y593" s="165" t="str">
        <x:v>チーズは全て同じ; 価格で相性決定</x:v>
      </x:c>
      <x:c r="Z593" s="171" t="str">
        <x:v>N</x:v>
      </x:c>
      <x:c r="AA593" s="165"/>
      <x:c r="AB593" s="165" t="str">
        <x:v>オリジナル</x:v>
      </x:c>
      <x:c r="AC593" s="165" t="str">
        <x:v>公式Specificationの範囲＋ユーザー作成コーパスの論点を参考に独自作成</x:v>
      </x:c>
      <x:c r="AD593" s="171" t="str">
        <x:v>未レビュー</x:v>
      </x:c>
      <x:c r="AE593" s="171"/>
      <x:c r="AF593" s="171"/>
      <x:c r="AG593" s="312"/>
    </x:row>
    <x:row r="594" ht="84" customHeight="1">
      <x:c r="A594" s="311" t="str">
        <x:v>LO5-113</x:v>
      </x:c>
      <x:c r="B594" s="171" t="str">
        <x:v>LO5</x:v>
      </x:c>
      <x:c r="C594" s="165" t="str">
        <x:v>情報提供・推奨・保管・サービス</x:v>
      </x:c>
      <x:c r="D594" s="165" t="str">
        <x:v>植物性うま味料理</x:v>
      </x:c>
      <x:c r="E594" s="165" t="str">
        <x:v>キノコ、味噌、醤油などうま味の強い植物性料理に合わせる際、避けた方がよい傾向はどれか。</x:v>
      </x:c>
      <x:c r="F594" s="165" t="str">
        <x:v>非常に高いタンニンと高いアルコール</x:v>
      </x:c>
      <x:c r="G594" s="165" t="str">
        <x:v>高い酸と鮮度</x:v>
      </x:c>
      <x:c r="H594" s="165" t="str">
        <x:v>適度な果実味</x:v>
      </x:c>
      <x:c r="I594" s="165" t="str">
        <x:v>低いタンニン</x:v>
      </x:c>
      <x:c r="J594" s="171" t="str">
        <x:v>A</x:v>
      </x:c>
      <x:c r="K594" s="165" t="str">
        <x:v>非常に高いタンニンと高いアルコール</x:v>
      </x:c>
      <x:c r="L594" s="165" t="str">
        <x:v>うま味は苦味、酸、アルコールの刺激を強め、果実味を弱く感じさせるため、柔らかく果実味のあるワインが合わせやすい。</x:v>
      </x:c>
      <x:c r="M594" s="165" t="str">
        <x:v>正しい。 うま味は苦味、酸、アルコールの刺激を強め、果実味を弱く感じさせるため、柔らかく果実味のあるワインが合わせやすい。</x:v>
      </x:c>
      <x:c r="N594" s="165" t="str">
        <x:v>誤り。 料理の塩味や脂肪を整えるため有利な場合がある。</x:v>
      </x:c>
      <x:c r="O594" s="165" t="str">
        <x:v>誤り。 うま味で弱く感じられるため、十分な果実味は役立つ。</x:v>
      </x:c>
      <x:c r="P594" s="165" t="str">
        <x:v>誤り。 うま味による苦渋味の強調を避けやすい。</x:v>
      </x:c>
      <x:c r="Q594" s="165" t="str">
        <x:v>料理との組み合わせ</x:v>
      </x:c>
      <x:c r="R594" s="165" t="str">
        <x:v>うま味</x:v>
      </x:c>
      <x:c r="S594" s="165" t="str">
        <x:v>全般</x:v>
      </x:c>
      <x:c r="T594" s="165"/>
      <x:c r="U594" s="165"/>
      <x:c r="V594" s="165"/>
      <x:c r="W594" s="165" t="str">
        <x:v>判断</x:v>
      </x:c>
      <x:c r="X594" s="171" t="str">
        <x:v>D2</x:v>
      </x:c>
      <x:c r="Y594" s="165" t="str">
        <x:v>うま味には高タンニン必須; 植物性なら相互作用なし</x:v>
      </x:c>
      <x:c r="Z594" s="171" t="str">
        <x:v>N</x:v>
      </x:c>
      <x:c r="AA594" s="165"/>
      <x:c r="AB594" s="165" t="str">
        <x:v>オリジナル</x:v>
      </x:c>
      <x:c r="AC594" s="165" t="str">
        <x:v>公式Specificationの範囲＋ユーザー作成コーパスの論点を参考に独自作成</x:v>
      </x:c>
      <x:c r="AD594" s="171" t="str">
        <x:v>未レビュー</x:v>
      </x:c>
      <x:c r="AE594" s="171"/>
      <x:c r="AF594" s="171"/>
      <x:c r="AG594" s="312"/>
    </x:row>
    <x:row r="595" ht="84" customHeight="1">
      <x:c r="A595" s="311" t="str">
        <x:v>LO5-114</x:v>
      </x:c>
      <x:c r="B595" s="171" t="str">
        <x:v>LO5</x:v>
      </x:c>
      <x:c r="C595" s="165" t="str">
        <x:v>情報提供・推奨・保管・サービス</x:v>
      </x:c>
      <x:c r="D595" s="165" t="str">
        <x:v>予算内の代替提案</x:v>
      </x:c>
      <x:c r="E595" s="165" t="str">
        <x:v>希望銘柄が予算を超える場合の代替提案として最も適切な方法はどれか。</x:v>
      </x:c>
      <x:c r="F595" s="165" t="str">
        <x:v>理由を説明せず最安値のワインを出す</x:v>
      </x:c>
      <x:c r="G595" s="165" t="str">
        <x:v>好みの品種、気候、ボディ、オーク、熟成感を確認し、似たスタイルの別産地や格付けを提案する</x:v>
      </x:c>
      <x:c r="H595" s="165" t="str">
        <x:v>常に同じ国の最も高価なワインへ変更する</x:v>
      </x:c>
      <x:c r="I595" s="165" t="str">
        <x:v>品種とスタイルを確認する必要はない</x:v>
      </x:c>
      <x:c r="J595" s="171" t="str">
        <x:v>B</x:v>
      </x:c>
      <x:c r="K595" s="165" t="str">
        <x:v>好みの品種、気候、ボディ、オーク、熟成感を確認し、似たスタイルの別産地や格付けを提案する</x:v>
      </x:c>
      <x:c r="L595" s="165" t="str">
        <x:v>価格だけでなく顧客が重視する香味と構造を抽出すると、満足度の高い代替を選べる。</x:v>
      </x:c>
      <x:c r="M595" s="165" t="str">
        <x:v>誤り。 スタイルの好みと機会を無視している。</x:v>
      </x:c>
      <x:c r="N595" s="165" t="str">
        <x:v>正しい。 価格だけでなく顧客が重視する香味と構造を抽出すると、満足度の高い代替を選べる。</x:v>
      </x:c>
      <x:c r="O595" s="165" t="str">
        <x:v>誤り。 予算制約を満たさない。</x:v>
      </x:c>
      <x:c r="P595" s="165" t="str">
        <x:v>誤り。 代替の類似性を判断できない。</x:v>
      </x:c>
      <x:c r="Q595" s="165" t="str">
        <x:v>推奨</x:v>
      </x:c>
      <x:c r="R595" s="165" t="str">
        <x:v>予算</x:v>
      </x:c>
      <x:c r="S595" s="165" t="str">
        <x:v>全般</x:v>
      </x:c>
      <x:c r="T595" s="165"/>
      <x:c r="U595" s="165"/>
      <x:c r="V595" s="165"/>
      <x:c r="W595" s="165" t="str">
        <x:v>適用</x:v>
      </x:c>
      <x:c r="X595" s="171" t="str">
        <x:v>D3</x:v>
      </x:c>
      <x:c r="Y595" s="165" t="str">
        <x:v>代替は最安値のみ; スタイル確認不要</x:v>
      </x:c>
      <x:c r="Z595" s="171" t="str">
        <x:v>N</x:v>
      </x:c>
      <x:c r="AA595" s="165"/>
      <x:c r="AB595" s="165" t="str">
        <x:v>オリジナル</x:v>
      </x:c>
      <x:c r="AC595" s="165" t="str">
        <x:v>公式Specificationの範囲＋ユーザー作成コーパスの論点を参考に独自作成</x:v>
      </x:c>
      <x:c r="AD595" s="171" t="str">
        <x:v>未レビュー</x:v>
      </x:c>
      <x:c r="AE595" s="171"/>
      <x:c r="AF595" s="171"/>
      <x:c r="AG595" s="312"/>
    </x:row>
    <x:row r="596" ht="84" customHeight="1">
      <x:c r="A596" s="311" t="str">
        <x:v>LO5-115</x:v>
      </x:c>
      <x:c r="B596" s="171" t="str">
        <x:v>LO5</x:v>
      </x:c>
      <x:c r="C596" s="165" t="str">
        <x:v>情報提供・推奨・保管・サービス</x:v>
      </x:c>
      <x:c r="D596" s="165" t="str">
        <x:v>低アルコールの希望</x:v>
      </x:c>
      <x:c r="E596" s="165" t="str">
        <x:v>低アルコールのワインを希望する顧客へ確認すべき事項として最も適切なものはどれか。</x:v>
      </x:c>
      <x:c r="F596" s="165" t="str">
        <x:v>低アルコールならすべて甘口と決めつける</x:v>
      </x:c>
      <x:c r="G596" s="165" t="str">
        <x:v>価格だけを聞き、味の好みを無視する</x:v>
      </x:c>
      <x:c r="H596" s="165" t="str">
        <x:v>辛口か甘口か、発泡性の可否、好む酸と香り、希望する実際のアルコール度</x:v>
      </x:c>
      <x:c r="I596" s="165" t="str">
        <x:v>高アルコールのワインを冷やせば低アルコールになると説明する</x:v>
      </x:c>
      <x:c r="J596" s="171" t="str">
        <x:v>C</x:v>
      </x:c>
      <x:c r="K596" s="165" t="str">
        <x:v>辛口か甘口か、発泡性の可否、好む酸と香り、希望する実際のアルコール度</x:v>
      </x:c>
      <x:c r="L596" s="165" t="str">
        <x:v>低アルコールには早摘みの辛口、発酵停止した甘口、発泡性など異なるスタイルがあるため、好みを具体化する。</x:v>
      </x:c>
      <x:c r="M596" s="165" t="str">
        <x:v>誤り。 辛口の低アルコールワインもある。</x:v>
      </x:c>
      <x:c r="N596" s="165" t="str">
        <x:v>誤り。 満足度の高い提案にはスタイル確認が必要である。</x:v>
      </x:c>
      <x:c r="O596" s="165" t="str">
        <x:v>正しい。 低アルコールには早摘みの辛口、発酵停止した甘口、発泡性など異なるスタイルがあるため、好みを具体化する。</x:v>
      </x:c>
      <x:c r="P596" s="165" t="str">
        <x:v>誤り。 温度で実際のアルコール度は変わらない。</x:v>
      </x:c>
      <x:c r="Q596" s="165" t="str">
        <x:v>推奨</x:v>
      </x:c>
      <x:c r="R596" s="165" t="str">
        <x:v>顧客ニーズ</x:v>
      </x:c>
      <x:c r="S596" s="165" t="str">
        <x:v>全般</x:v>
      </x:c>
      <x:c r="T596" s="165"/>
      <x:c r="U596" s="165"/>
      <x:c r="V596" s="165"/>
      <x:c r="W596" s="165" t="str">
        <x:v>適用</x:v>
      </x:c>
      <x:c r="X596" s="171" t="str">
        <x:v>D3</x:v>
      </x:c>
      <x:c r="Y596" s="165" t="str">
        <x:v>低アルコールは全て甘口; 冷却で低アルコール</x:v>
      </x:c>
      <x:c r="Z596" s="171" t="str">
        <x:v>N</x:v>
      </x:c>
      <x:c r="AA596" s="165"/>
      <x:c r="AB596" s="165" t="str">
        <x:v>オリジナル</x:v>
      </x:c>
      <x:c r="AC596" s="165" t="str">
        <x:v>公式Specificationの範囲＋ユーザー作成コーパスの論点を参考に独自作成</x:v>
      </x:c>
      <x:c r="AD596" s="171" t="str">
        <x:v>未レビュー</x:v>
      </x:c>
      <x:c r="AE596" s="171"/>
      <x:c r="AF596" s="171"/>
      <x:c r="AG596" s="312"/>
    </x:row>
    <x:row r="597" ht="84" customHeight="1">
      <x:c r="A597" s="311" t="str">
        <x:v>LO5-116</x:v>
      </x:c>
      <x:c r="B597" s="171" t="str">
        <x:v>LO5</x:v>
      </x:c>
      <x:c r="C597" s="165" t="str">
        <x:v>情報提供・推奨・保管・サービス</x:v>
      </x:c>
      <x:c r="D597" s="165" t="str">
        <x:v>オーク香を避ける希望</x:v>
      </x:c>
      <x:c r="E597" s="165" t="str">
        <x:v>オーク香を好まない顧客へ提案しやすいワインの特徴はどれか。</x:v>
      </x:c>
      <x:c r="F597" s="165" t="str">
        <x:v>新樽100%で長期熟成したワイン</x:v>
      </x:c>
      <x:c r="G597" s="165" t="str">
        <x:v>高いトースト度の小樽だけで発酵したワイン</x:v>
      </x:c>
      <x:c r="H597" s="165" t="str">
        <x:v>生産方法は香りに影響しない</x:v>
      </x:c>
      <x:c r="I597" s="165" t="str">
        <x:v>ステンレス発酵・熟成で、若く果実味と酸を重視したスタイル</x:v>
      </x:c>
      <x:c r="J597" s="171" t="str">
        <x:v>D</x:v>
      </x:c>
      <x:c r="K597" s="165" t="str">
        <x:v>ステンレス発酵・熟成で、若く果実味と酸を重視したスタイル</x:v>
      </x:c>
      <x:c r="L597" s="165" t="str">
        <x:v>シャブリ、ミュスカデ、若いソーヴィニヨン・ブランなど、オークの使用が少ないワインを選びやすい。</x:v>
      </x:c>
      <x:c r="M597" s="165" t="str">
        <x:v>誤り。 ヴァニラ、トースト、木質香が強くなりやすい。</x:v>
      </x:c>
      <x:c r="N597" s="165" t="str">
        <x:v>誤り。 強いオーク香を避ける希望と逆である。</x:v>
      </x:c>
      <x:c r="O597" s="165" t="str">
        <x:v>誤り。 容器と熟成が香味へ大きく影響する。</x:v>
      </x:c>
      <x:c r="P597" s="165" t="str">
        <x:v>正しい。 シャブリ、ミュスカデ、若いソーヴィニヨン・ブランなど、オークの使用が少ないワインを選びやすい。</x:v>
      </x:c>
      <x:c r="Q597" s="165" t="str">
        <x:v>推奨</x:v>
      </x:c>
      <x:c r="R597" s="165" t="str">
        <x:v>顧客ニーズ</x:v>
      </x:c>
      <x:c r="S597" s="165" t="str">
        <x:v>全般</x:v>
      </x:c>
      <x:c r="T597" s="165"/>
      <x:c r="U597" s="165"/>
      <x:c r="V597" s="165"/>
      <x:c r="W597" s="165" t="str">
        <x:v>判断</x:v>
      </x:c>
      <x:c r="X597" s="171" t="str">
        <x:v>D2</x:v>
      </x:c>
      <x:c r="Y597" s="165" t="str">
        <x:v>オーク嫌いに新樽; 製法は香りに無関係</x:v>
      </x:c>
      <x:c r="Z597" s="171" t="str">
        <x:v>N</x:v>
      </x:c>
      <x:c r="AA597" s="165"/>
      <x:c r="AB597" s="165" t="str">
        <x:v>オリジナル</x:v>
      </x:c>
      <x:c r="AC597" s="165" t="str">
        <x:v>公式Specificationの範囲＋ユーザー作成コーパスの論点を参考に独自作成</x:v>
      </x:c>
      <x:c r="AD597" s="171" t="str">
        <x:v>未レビュー</x:v>
      </x:c>
      <x:c r="AE597" s="171"/>
      <x:c r="AF597" s="171"/>
      <x:c r="AG597" s="312"/>
    </x:row>
    <x:row r="598" ht="84" customHeight="1">
      <x:c r="A598" s="311" t="str">
        <x:v>LO5-117</x:v>
      </x:c>
      <x:c r="B598" s="171" t="str">
        <x:v>LO5</x:v>
      </x:c>
      <x:c r="C598" s="165" t="str">
        <x:v>情報提供・推奨・保管・サービス</x:v>
      </x:c>
      <x:c r="D598" s="165" t="str">
        <x:v>古酒の提案リスク</x:v>
      </x:c>
      <x:c r="E598" s="165" t="str">
        <x:v>重要な機会に熟成した古いワインを提案する際、若いワインより注意すべき点はどれか。</x:v>
      </x:c>
      <x:c r="F598" s="165" t="str">
        <x:v>ボトル差、保管履歴、澱、脆いコルク、開栓後の短い飲み頃</x:v>
      </x:c>
      <x:c r="G598" s="165" t="str">
        <x:v>古いワインは必ず若いワインより高品質</x:v>
      </x:c>
      <x:c r="H598" s="165" t="str">
        <x:v>古いワインには澱が絶対にない</x:v>
      </x:c>
      <x:c r="I598" s="165" t="str">
        <x:v>開栓後に数週間必ず改善し続ける</x:v>
      </x:c>
      <x:c r="J598" s="171" t="str">
        <x:v>A</x:v>
      </x:c>
      <x:c r="K598" s="165" t="str">
        <x:v>ボトル差、保管履歴、澱、脆いコルク、開栓後の短い飲み頃</x:v>
      </x:c>
      <x:c r="L598" s="165" t="str">
        <x:v>熟成香の魅力がある一方、状態不良リスクとサービス難度が高いため、予備ボトルや慎重な準備が望ましい。</x:v>
      </x:c>
      <x:c r="M598" s="165" t="str">
        <x:v>正しい。 熟成香の魅力がある一方、状態不良リスクとサービス難度が高いため、予備ボトルや慎重な準備が望ましい。</x:v>
      </x:c>
      <x:c r="N598" s="165" t="str">
        <x:v>誤り。 熟成能力と保管状態によっては衰退している。</x:v>
      </x:c>
      <x:c r="O598" s="165" t="str">
        <x:v>誤り。 赤ワインでは澱が形成されやすい。</x:v>
      </x:c>
      <x:c r="P598" s="165" t="str">
        <x:v>誤り。 繊細な古酒は短時間で衰えることがある。</x:v>
      </x:c>
      <x:c r="Q598" s="165" t="str">
        <x:v>推奨</x:v>
      </x:c>
      <x:c r="R598" s="165" t="str">
        <x:v>熟成ワイン</x:v>
      </x:c>
      <x:c r="S598" s="165" t="str">
        <x:v>全般</x:v>
      </x:c>
      <x:c r="T598" s="165"/>
      <x:c r="U598" s="165"/>
      <x:c r="V598" s="165"/>
      <x:c r="W598" s="165" t="str">
        <x:v>統合判断</x:v>
      </x:c>
      <x:c r="X598" s="171" t="str">
        <x:v>D3</x:v>
      </x:c>
      <x:c r="Y598" s="165" t="str">
        <x:v>古いほど必ず高品質; 古酒は澱なし</x:v>
      </x:c>
      <x:c r="Z598" s="171" t="str">
        <x:v>N</x:v>
      </x:c>
      <x:c r="AA598" s="165"/>
      <x:c r="AB598" s="165" t="str">
        <x:v>オリジナル</x:v>
      </x:c>
      <x:c r="AC598" s="165" t="str">
        <x:v>公式Specificationの範囲＋ユーザー作成コーパスの論点を参考に独自作成</x:v>
      </x:c>
      <x:c r="AD598" s="171" t="str">
        <x:v>未レビュー</x:v>
      </x:c>
      <x:c r="AE598" s="171"/>
      <x:c r="AF598" s="171"/>
      <x:c r="AG598" s="312"/>
    </x:row>
    <x:row r="599" ht="84" customHeight="1">
      <x:c r="A599" s="311" t="str">
        <x:v>LO5-118</x:v>
      </x:c>
      <x:c r="B599" s="171" t="str">
        <x:v>LO5</x:v>
      </x:c>
      <x:c r="C599" s="165" t="str">
        <x:v>情報提供・推奨・保管・サービス</x:v>
      </x:c>
      <x:c r="D599" s="165" t="str">
        <x:v>責任ある提供ペース</x:v>
      </x:c>
      <x:c r="E599" s="165" t="str">
        <x:v>責任あるワインサービスで、提供ペースを管理する主な目的はどれか。</x:v>
      </x:c>
      <x:c r="F599" s="165" t="str">
        <x:v>ゆっくり飲めばアルコールが存在しなくなる</x:v>
      </x:c>
      <x:c r="G599" s="165" t="str">
        <x:v>短時間の過剰摂取を避け、顧客の状態を確認しながら安全に楽しめるようにする</x:v>
      </x:c>
      <x:c r="H599" s="165" t="str">
        <x:v>高価なワインなら提供量を管理しなくてよい</x:v>
      </x:c>
      <x:c r="I599" s="165" t="str">
        <x:v>顧客の状態を確認する必要はない</x:v>
      </x:c>
      <x:c r="J599" s="171" t="str">
        <x:v>B</x:v>
      </x:c>
      <x:c r="K599" s="165" t="str">
        <x:v>短時間の過剰摂取を避け、顧客の状態を確認しながら安全に楽しめるようにする</x:v>
      </x:c>
      <x:c r="L599" s="165" t="str">
        <x:v>量と速度の双方が酩酊へ影響するため、水や料理の案内、追加提供の判断と組み合わせる。</x:v>
      </x:c>
      <x:c r="M599" s="165" t="str">
        <x:v>誤り。 体内へ入る総量は残り、時間をかけても無害にはならない。</x:v>
      </x:c>
      <x:c r="N599" s="165" t="str">
        <x:v>正しい。 量と速度の双方が酩酊へ影響するため、水や料理の案内、追加提供の判断と組み合わせる。</x:v>
      </x:c>
      <x:c r="O599" s="165" t="str">
        <x:v>誤り。 価格にかかわらずアルコールを含む。</x:v>
      </x:c>
      <x:c r="P599" s="165" t="str">
        <x:v>誤り。 安全なサービスには観察と判断が必要である。</x:v>
      </x:c>
      <x:c r="Q599" s="165" t="str">
        <x:v>責任ある飲酒</x:v>
      </x:c>
      <x:c r="R599" s="165" t="str">
        <x:v>サービス</x:v>
      </x:c>
      <x:c r="S599" s="165" t="str">
        <x:v>全般</x:v>
      </x:c>
      <x:c r="T599" s="165"/>
      <x:c r="U599" s="165"/>
      <x:c r="V599" s="165"/>
      <x:c r="W599" s="165" t="str">
        <x:v>判断</x:v>
      </x:c>
      <x:c r="X599" s="171" t="str">
        <x:v>D2</x:v>
      </x:c>
      <x:c r="Y599" s="165" t="str">
        <x:v>ゆっくりなら無害; 高価なら量無制限</x:v>
      </x:c>
      <x:c r="Z599" s="171" t="str">
        <x:v>Y</x:v>
      </x:c>
      <x:c r="AA599" s="165" t="str">
        <x:v>責任ある提供と地域法規に関わるため、運用地域の法令・社内方針との照合を推奨</x:v>
      </x:c>
      <x:c r="AB599" s="165" t="str">
        <x:v>オリジナル</x:v>
      </x:c>
      <x:c r="AC599" s="165" t="str">
        <x:v>公式Specificationの範囲＋ユーザー作成コーパスの論点を参考に独自作成</x:v>
      </x:c>
      <x:c r="AD599" s="171" t="str">
        <x:v>未レビュー</x:v>
      </x:c>
      <x:c r="AE599" s="171"/>
      <x:c r="AF599" s="171"/>
      <x:c r="AG599" s="312"/>
    </x:row>
    <x:row r="600" ht="84" customHeight="1">
      <x:c r="A600" s="311" t="str">
        <x:v>LO5-119</x:v>
      </x:c>
      <x:c r="B600" s="171" t="str">
        <x:v>LO5</x:v>
      </x:c>
      <x:c r="C600" s="165" t="str">
        <x:v>情報提供・推奨・保管・サービス</x:v>
      </x:c>
      <x:c r="D600" s="165" t="str">
        <x:v>水と食事の役割</x:v>
      </x:c>
      <x:c r="E600" s="165" t="str">
        <x:v>飲酒中に水と食事を取ることについて最も適切な説明はどれか。</x:v>
      </x:c>
      <x:c r="F600" s="165" t="str">
        <x:v>水を飲めばどれだけ飲酒しても直ちに運転できる</x:v>
      </x:c>
      <x:c r="G600" s="165" t="str">
        <x:v>食事をすればアルコールが体内へ一切入らない</x:v>
      </x:c>
      <x:c r="H600" s="165" t="str">
        <x:v>脱水や急速な吸収を緩和する助けにはなるが、摂取したアルコールを無効にはしない</x:v>
      </x:c>
      <x:c r="I600" s="165" t="str">
        <x:v>コーヒーと同様にアルコールを化学的に分解する</x:v>
      </x:c>
      <x:c r="J600" s="171" t="str">
        <x:v>C</x:v>
      </x:c>
      <x:c r="K600" s="165" t="str">
        <x:v>脱水や急速な吸収を緩和する助けにはなるが、摂取したアルコールを無効にはしない</x:v>
      </x:c>
      <x:c r="L600" s="165" t="str">
        <x:v>食事は吸収速度を遅らせ、水は水分補給に役立つが、体内アルコールの代謝には時間が必要である。</x:v>
      </x:c>
      <x:c r="M600" s="165" t="str">
        <x:v>誤り。 水は血中アルコールを直ちに除去しない。</x:v>
      </x:c>
      <x:c r="N600" s="165" t="str">
        <x:v>誤り。 吸収は遅くなるが、総量は吸収される。</x:v>
      </x:c>
      <x:c r="O600" s="165" t="str">
        <x:v>正しい。 食事は吸収速度を遅らせ、水は水分補給に役立つが、体内アルコールの代謝には時間が必要である。</x:v>
      </x:c>
      <x:c r="P600" s="165" t="str">
        <x:v>誤り。 代謝速度を急激に上げるものではない。</x:v>
      </x:c>
      <x:c r="Q600" s="165" t="str">
        <x:v>責任ある飲酒</x:v>
      </x:c>
      <x:c r="R600" s="165" t="str">
        <x:v>健康情報</x:v>
      </x:c>
      <x:c r="S600" s="165" t="str">
        <x:v>全般</x:v>
      </x:c>
      <x:c r="T600" s="165"/>
      <x:c r="U600" s="165"/>
      <x:c r="V600" s="165"/>
      <x:c r="W600" s="165" t="str">
        <x:v>知識確認</x:v>
      </x:c>
      <x:c r="X600" s="171" t="str">
        <x:v>D2</x:v>
      </x:c>
      <x:c r="Y600" s="165" t="str">
        <x:v>水で即座に酔い解消; 食事で吸収ゼロ</x:v>
      </x:c>
      <x:c r="Z600" s="171" t="str">
        <x:v>Y</x:v>
      </x:c>
      <x:c r="AA600" s="165" t="str">
        <x:v>健康関連の一般情報として扱い、医療助言や地域別運転基準の代替にしないことを確認推奨</x:v>
      </x:c>
      <x:c r="AB600" s="165" t="str">
        <x:v>オリジナル</x:v>
      </x:c>
      <x:c r="AC600" s="165" t="str">
        <x:v>公式Specificationの範囲＋ユーザー作成コーパスの論点を参考に独自作成</x:v>
      </x:c>
      <x:c r="AD600" s="171" t="str">
        <x:v>未レビュー</x:v>
      </x:c>
      <x:c r="AE600" s="171"/>
      <x:c r="AF600" s="171"/>
      <x:c r="AG600" s="312"/>
    </x:row>
    <x:row r="601" ht="84" customHeight="1">
      <x:c r="A601" s="313" t="str">
        <x:v>LO5-120</x:v>
      </x:c>
      <x:c r="B601" s="317" t="str">
        <x:v>LO5</x:v>
      </x:c>
      <x:c r="C601" s="314" t="str">
        <x:v>情報提供・推奨・保管・サービス</x:v>
      </x:c>
      <x:c r="D601" s="314" t="str">
        <x:v>運転者への提案</x:v>
      </x:c>
      <x:c r="E601" s="314" t="str">
        <x:v>車を運転する予定の顧客への最も適切な提案はどれか。</x:v>
      </x:c>
      <x:c r="F601" s="314" t="str">
        <x:v>少量なら必ず法的にも安全と断言する</x:v>
      </x:c>
      <x:c r="G601" s="314" t="str">
        <x:v>コーヒーを飲めばすぐ運転できると案内する</x:v>
      </x:c>
      <x:c r="H601" s="314" t="str">
        <x:v>高品質ワインなら運転へ影響しないと説明する</x:v>
      </x:c>
      <x:c r="I601" s="314" t="str">
        <x:v>アルコールを提供せず、ノンアルコール飲料や安全な帰宅手段を案内する</x:v>
      </x:c>
      <x:c r="J601" s="317" t="str">
        <x:v>D</x:v>
      </x:c>
      <x:c r="K601" s="314" t="str">
        <x:v>アルコールを提供せず、ノンアルコール飲料や安全な帰宅手段を案内する</x:v>
      </x:c>
      <x:c r="L601" s="314" t="str">
        <x:v>飲酒量や時間から運転可能性を推測せず、安全を最優先にする。</x:v>
      </x:c>
      <x:c r="M601" s="314" t="str">
        <x:v>誤り。 個人差と地域法があり、安全を保証できない。</x:v>
      </x:c>
      <x:c r="N601" s="314" t="str">
        <x:v>誤り。 覚醒感が変わっても血中アルコールは直ちに下がらない。</x:v>
      </x:c>
      <x:c r="O601" s="314" t="str">
        <x:v>誤り。 品質にかかわらずアルコールを含む。</x:v>
      </x:c>
      <x:c r="P601" s="314" t="str">
        <x:v>正しい。 飲酒量や時間から運転可能性を推測せず、安全を最優先にする。</x:v>
      </x:c>
      <x:c r="Q601" s="314" t="str">
        <x:v>責任ある飲酒</x:v>
      </x:c>
      <x:c r="R601" s="314" t="str">
        <x:v>安全</x:v>
      </x:c>
      <x:c r="S601" s="314" t="str">
        <x:v>全般</x:v>
      </x:c>
      <x:c r="T601" s="314"/>
      <x:c r="U601" s="314"/>
      <x:c r="V601" s="314"/>
      <x:c r="W601" s="314" t="str">
        <x:v>判断</x:v>
      </x:c>
      <x:c r="X601" s="317" t="str">
        <x:v>D2</x:v>
      </x:c>
      <x:c r="Y601" s="314" t="str">
        <x:v>少量なら必ず運転可; コーヒーで即回復</x:v>
      </x:c>
      <x:c r="Z601" s="317" t="str">
        <x:v>Y</x:v>
      </x:c>
      <x:c r="AA601" s="314" t="str">
        <x:v>地域ごとの飲酒運転法規に関わるため、具体的な基準値を示さず安全優先の一般表現として確認推奨</x:v>
      </x:c>
      <x:c r="AB601" s="314" t="str">
        <x:v>オリジナル</x:v>
      </x:c>
      <x:c r="AC601" s="314" t="str">
        <x:v>公式Specificationの範囲＋ユーザー作成コーパスの論点を参考に独自作成</x:v>
      </x:c>
      <x:c r="AD601" s="317" t="str">
        <x:v>未レビュー</x:v>
      </x:c>
      <x:c r="AE601" s="317"/>
      <x:c r="AF601" s="317"/>
      <x:c r="AG601" s="315"/>
    </x:row>
  </x:sheetData>
  <x:conditionalFormatting sqref="A2:AG101">
    <x:cfRule type="expression" dxfId="0" priority="1">
      <x:formula>$B2="LO1"</x:formula>
    </x:cfRule>
    <x:cfRule type="expression" dxfId="1" priority="2">
      <x:formula>$B2="LO2"</x:formula>
    </x:cfRule>
    <x:cfRule type="expression" dxfId="2" priority="3">
      <x:formula>$B2="LO3"</x:formula>
    </x:cfRule>
    <x:cfRule type="expression" dxfId="3" priority="4">
      <x:formula>$B2="LO4"</x:formula>
    </x:cfRule>
    <x:cfRule type="expression" dxfId="4" priority="5">
      <x:formula>$B2="LO5"</x:formula>
    </x:cfRule>
  </x:conditionalFormatting>
  <x:conditionalFormatting sqref="Z2:Z101">
    <x:cfRule type="expression" dxfId="5" priority="6">
      <x:formula>$Z2="Y"</x:formula>
    </x:cfRule>
  </x:conditionalFormatting>
  <x:conditionalFormatting sqref="AD2:AD101">
    <x:cfRule type="expression" dxfId="6" priority="7">
      <x:formula>$AD2="承認"</x:formula>
    </x:cfRule>
    <x:cfRule type="expression" dxfId="7" priority="8">
      <x:formula>$AD2="修正要"</x:formula>
    </x:cfRule>
  </x:conditionalFormatting>
  <x:conditionalFormatting sqref="A102:AG301">
    <x:cfRule type="expression" dxfId="8" priority="9">
      <x:formula>$B102="LO1"</x:formula>
    </x:cfRule>
    <x:cfRule type="expression" dxfId="9" priority="10">
      <x:formula>$B102="LO2"</x:formula>
    </x:cfRule>
    <x:cfRule type="expression" dxfId="10" priority="11">
      <x:formula>$B102="LO3"</x:formula>
    </x:cfRule>
    <x:cfRule type="expression" dxfId="11" priority="12">
      <x:formula>$B102="LO4"</x:formula>
    </x:cfRule>
    <x:cfRule type="expression" dxfId="12" priority="13">
      <x:formula>$B102="LO5"</x:formula>
    </x:cfRule>
  </x:conditionalFormatting>
  <x:conditionalFormatting sqref="Z102:Z301">
    <x:cfRule type="expression" dxfId="13" priority="14">
      <x:formula>$Z102="Y"</x:formula>
    </x:cfRule>
  </x:conditionalFormatting>
  <x:conditionalFormatting sqref="AD102:AD301">
    <x:cfRule type="expression" dxfId="14" priority="15">
      <x:formula>$AD102="承認"</x:formula>
    </x:cfRule>
    <x:cfRule type="expression" dxfId="15" priority="16">
      <x:formula>$AD102="修正要"</x:formula>
    </x:cfRule>
  </x:conditionalFormatting>
  <x:conditionalFormatting sqref="A302:AG601">
    <x:cfRule type="expression" dxfId="16" priority="17">
      <x:formula>$B302="LO1"</x:formula>
    </x:cfRule>
    <x:cfRule type="expression" dxfId="17" priority="18">
      <x:formula>$B302="LO2"</x:formula>
    </x:cfRule>
    <x:cfRule type="expression" dxfId="18" priority="19">
      <x:formula>$B302="LO3"</x:formula>
    </x:cfRule>
    <x:cfRule type="expression" dxfId="19" priority="20">
      <x:formula>$B302="LO4"</x:formula>
    </x:cfRule>
    <x:cfRule type="expression" dxfId="20" priority="21">
      <x:formula>$B302="LO5"</x:formula>
    </x:cfRule>
  </x:conditionalFormatting>
  <x:conditionalFormatting sqref="Z302:Z601">
    <x:cfRule type="expression" dxfId="21" priority="22">
      <x:formula>$Z302="Y"</x:formula>
    </x:cfRule>
  </x:conditionalFormatting>
  <x:conditionalFormatting sqref="AD302:AD601">
    <x:cfRule type="expression" dxfId="22" priority="23">
      <x:formula>$AD302="承認"</x:formula>
    </x:cfRule>
    <x:cfRule type="expression" dxfId="23" priority="24">
      <x:formula>$AD302="修正要"</x:formula>
    </x:cfRule>
  </x:conditionalFormatting>
  <x:dataValidations count="3">
    <x:dataValidation type="list" sqref="AD2:AD101">
      <x:formula1>"未レビュー,確認中,修正要,承認,却下"</x:formula1>
    </x:dataValidation>
    <x:dataValidation type="list" sqref="AD2:AD301">
      <x:formula1>"未レビュー,確認中,修正要,承認,却下"</x:formula1>
    </x:dataValidation>
    <x:dataValidation type="list" sqref="AD2:AD601">
      <x:formula1>"未レビュー,確認中,修正要,承認,却下"</x:formula1>
    </x:dataValidation>
  </x:dataValidations>
  <x:pageMargins left="0.7" right="0.7" top="0.75" bottom="0.75" header="0.3" footer="0.3"/>
  <x:tableParts count="1">
    <x:tablePart xmlns:r="http://schemas.openxmlformats.org/officeDocument/2006/relationships" r:id="R579403f8892c4772"/>
  </x:tableParts>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24"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2" customHeight="1">
      <x:c r="A1" s="59" t="str">
        <x:v>WSET Level 3 オリジナルMCQ 600問 — カバレッジ</x:v>
      </x:c>
      <x:c r="B1" s="59"/>
      <x:c r="C1" s="59"/>
      <x:c r="D1" s="59"/>
      <x:c r="E1" s="59"/>
      <x:c r="F1" s="59"/>
      <x:c r="G1" s="59"/>
      <x:c r="H1" s="59"/>
      <x:c r="I1" s="59"/>
      <x:c r="J1" s="59"/>
      <x:c r="K1" s="59"/>
    </x:row>
    <x:row r="3" ht="34" customHeight="1">
      <x:c r="A3" s="67" t="str">
        <x:v>総問題数</x:v>
      </x:c>
      <x:c r="B3" s="67" t="str">
        <x:v>要レビュー</x:v>
      </x:c>
      <x:c r="C3" s="67" t="str">
        <x:v>承認済み</x:v>
      </x:c>
      <x:c r="D3" s="67" t="str">
        <x:v>正答A</x:v>
      </x:c>
      <x:c r="E3" s="67" t="str">
        <x:v>正答B</x:v>
      </x:c>
      <x:c r="F3" s="67" t="str">
        <x:v>正答C</x:v>
      </x:c>
      <x:c r="G3" s="67" t="str">
        <x:v>正答D</x:v>
      </x:c>
    </x:row>
    <x:row r="4" ht="28" customHeight="1">
      <x:c r="A4" s="81" t="n">
        <x:f>COUNTA('問題集'!A2:A601)</x:f>
        <x:v>600</x:v>
      </x:c>
      <x:c r="B4" s="82" t="n">
        <x:f>COUNTIF('問題集'!Z2:Z601,"Y")</x:f>
        <x:v>46</x:v>
      </x:c>
      <x:c r="C4" s="82" t="n">
        <x:f>COUNTIF('問題集'!AD2:AD601,"承認")</x:f>
        <x:v>0</x:v>
      </x:c>
      <x:c r="D4" s="82" t="n">
        <x:f>COUNTIF('問題集'!J2:J601,"A")</x:f>
        <x:v>150</x:v>
      </x:c>
      <x:c r="E4" s="82" t="n">
        <x:f>COUNTIF('問題集'!J2:J601,"B")</x:f>
        <x:v>150</x:v>
      </x:c>
      <x:c r="F4" s="82" t="n">
        <x:f>COUNTIF('問題集'!J2:J601,"C")</x:f>
        <x:v>150</x:v>
      </x:c>
      <x:c r="G4" s="83" t="n">
        <x:f>COUNTIF('問題集'!J2:J601,"D")</x:f>
        <x:v>150</x:v>
      </x:c>
    </x:row>
    <x:row r="7">
      <x:c r="A7" s="6" t="str">
        <x:v>LO</x:v>
      </x:c>
      <x:c r="B7" s="6" t="str">
        <x:v>問題数</x:v>
      </x:c>
      <x:c r="D7" s="318" t="str">
        <x:v>国・地域</x:v>
      </x:c>
      <x:c r="E7" s="318" t="str">
        <x:v>問題数</x:v>
      </x:c>
      <x:c r="F7" s="279"/>
    </x:row>
    <x:row r="8">
      <x:c r="A8" s="95" t="str">
        <x:v>LO1</x:v>
      </x:c>
      <x:c r="B8" s="96" t="n">
        <x:f>COUNTIF('問題集'!B2:B601,A8)</x:f>
        <x:v>120</x:v>
      </x:c>
      <x:c r="D8" s="319" t="str">
        <x:v>アルゼンチン</x:v>
      </x:c>
      <x:c r="E8" s="320" t="n">
        <x:f>COUNTIF('問題集'!T2:T601,D8)</x:f>
        <x:v>5</x:v>
      </x:c>
      <x:c r="F8" s="279"/>
    </x:row>
    <x:row r="9">
      <x:c r="A9" s="15" t="str">
        <x:v>LO2</x:v>
      </x:c>
      <x:c r="B9" s="17" t="n">
        <x:f>COUNTIF('問題集'!B2:B601,A9)</x:f>
        <x:v>120</x:v>
      </x:c>
      <x:c r="D9" s="321" t="str">
        <x:v>イタリア</x:v>
      </x:c>
      <x:c r="E9" s="322" t="n">
        <x:f>COUNTIF('問題集'!T2:T601,D9)</x:f>
        <x:v>27</x:v>
      </x:c>
      <x:c r="F9" s="279"/>
    </x:row>
    <x:row r="10">
      <x:c r="A10" s="15" t="str">
        <x:v>LO3</x:v>
      </x:c>
      <x:c r="B10" s="17" t="n">
        <x:f>COUNTIF('問題集'!B2:B601,A10)</x:f>
        <x:v>120</x:v>
      </x:c>
      <x:c r="D10" s="321" t="str">
        <x:v>オーストラリア</x:v>
      </x:c>
      <x:c r="E10" s="322" t="n">
        <x:f>COUNTIF('問題集'!T2:T601,D10)</x:f>
        <x:v>27</x:v>
      </x:c>
      <x:c r="F10" s="279"/>
    </x:row>
    <x:row r="11">
      <x:c r="A11" s="15" t="str">
        <x:v>LO4</x:v>
      </x:c>
      <x:c r="B11" s="17" t="n">
        <x:f>COUNTIF('問題集'!B2:B601,A11)</x:f>
        <x:v>120</x:v>
      </x:c>
      <x:c r="D11" s="321" t="str">
        <x:v>オーストラリア／ニュージーランド</x:v>
      </x:c>
      <x:c r="E11" s="322" t="n">
        <x:f>COUNTIF('問題集'!T2:T601,D11)</x:f>
        <x:v>1</x:v>
      </x:c>
      <x:c r="F11" s="279"/>
    </x:row>
    <x:row r="12">
      <x:c r="A12" s="18" t="str">
        <x:v>LO5</x:v>
      </x:c>
      <x:c r="B12" s="20" t="n">
        <x:f>COUNTIF('問題集'!B2:B601,A12)</x:f>
        <x:v>120</x:v>
      </x:c>
      <x:c r="D12" s="321" t="str">
        <x:v>オーストリア</x:v>
      </x:c>
      <x:c r="E12" s="322" t="n">
        <x:f>COUNTIF('問題集'!T2:T601,D12)</x:f>
        <x:v>5</x:v>
      </x:c>
      <x:c r="F12" s="279"/>
    </x:row>
    <x:row r="13">
      <x:c r="D13" s="321" t="str">
        <x:v>カナダ</x:v>
      </x:c>
      <x:c r="E13" s="322" t="n">
        <x:f>COUNTIF('問題集'!T2:T601,D13)</x:f>
        <x:v>4</x:v>
      </x:c>
      <x:c r="F13" s="279"/>
    </x:row>
    <x:row r="14">
      <x:c r="D14" s="321" t="str">
        <x:v>ギリシャ</x:v>
      </x:c>
      <x:c r="E14" s="322" t="n">
        <x:f>COUNTIF('問題集'!T2:T601,D14)</x:f>
        <x:v>2</x:v>
      </x:c>
      <x:c r="F14" s="279"/>
    </x:row>
    <x:row r="15">
      <x:c r="D15" s="321" t="str">
        <x:v>スペイン</x:v>
      </x:c>
      <x:c r="E15" s="322" t="n">
        <x:f>COUNTIF('問題集'!T2:T601,D15)</x:f>
        <x:v>66</x:v>
      </x:c>
      <x:c r="F15" s="279"/>
    </x:row>
    <x:row r="16">
      <x:c r="A16" s="6" t="str">
        <x:v>難易度</x:v>
      </x:c>
      <x:c r="B16" s="6" t="str">
        <x:v>問題数</x:v>
      </x:c>
      <x:c r="D16" s="321" t="str">
        <x:v>チリ</x:v>
      </x:c>
      <x:c r="E16" s="322" t="n">
        <x:f>COUNTIF('問題集'!T2:T601,D16)</x:f>
        <x:v>7</x:v>
      </x:c>
      <x:c r="F16" s="279"/>
    </x:row>
    <x:row r="17">
      <x:c r="A17" s="95" t="str">
        <x:v>D1</x:v>
      </x:c>
      <x:c r="B17" s="96" t="n">
        <x:f>COUNTIF('問題集'!X2:X601,A17)</x:f>
        <x:v>148</x:v>
      </x:c>
      <x:c r="D17" s="321" t="str">
        <x:v>ドイツ</x:v>
      </x:c>
      <x:c r="E17" s="322" t="n">
        <x:f>COUNTIF('問題集'!T2:T601,D17)</x:f>
        <x:v>9</x:v>
      </x:c>
      <x:c r="F17" s="279"/>
    </x:row>
    <x:row r="18">
      <x:c r="A18" s="15" t="str">
        <x:v>D2</x:v>
      </x:c>
      <x:c r="B18" s="17" t="n">
        <x:f>COUNTIF('問題集'!X2:X601,A18)</x:f>
        <x:v>341</x:v>
      </x:c>
      <x:c r="D18" s="321" t="str">
        <x:v>ニュージーランド</x:v>
      </x:c>
      <x:c r="E18" s="322" t="n">
        <x:f>COUNTIF('問題集'!T2:T601,D18)</x:f>
        <x:v>6</x:v>
      </x:c>
      <x:c r="F18" s="279"/>
    </x:row>
    <x:row r="19">
      <x:c r="A19" s="18" t="str">
        <x:v>D3</x:v>
      </x:c>
      <x:c r="B19" s="20" t="n">
        <x:f>COUNTIF('問題集'!X2:X601,A19)</x:f>
        <x:v>111</x:v>
      </x:c>
      <x:c r="D19" s="321" t="str">
        <x:v>ハンガリー</x:v>
      </x:c>
      <x:c r="E19" s="322" t="n">
        <x:f>COUNTIF('問題集'!T2:T601,D19)</x:f>
        <x:v>1</x:v>
      </x:c>
      <x:c r="F19" s="279"/>
    </x:row>
    <x:row r="20">
      <x:c r="D20" s="321" t="str">
        <x:v>フランス</x:v>
      </x:c>
      <x:c r="E20" s="322" t="n">
        <x:f>COUNTIF('問題集'!T2:T601,D20)</x:f>
        <x:v>64</x:v>
      </x:c>
      <x:c r="F20" s="279"/>
    </x:row>
    <x:row r="21">
      <x:c r="D21" s="321" t="str">
        <x:v>ポルトガル</x:v>
      </x:c>
      <x:c r="E21" s="322" t="n">
        <x:f>COUNTIF('問題集'!T2:T601,D21)</x:f>
        <x:v>49</x:v>
      </x:c>
      <x:c r="F21" s="279"/>
    </x:row>
    <x:row r="22">
      <x:c r="D22" s="321" t="str">
        <x:v>ポルトガル／スペイン</x:v>
      </x:c>
      <x:c r="E22" s="322" t="n">
        <x:f>COUNTIF('問題集'!T2:T601,D22)</x:f>
        <x:v>1</x:v>
      </x:c>
      <x:c r="F22" s="279"/>
    </x:row>
    <x:row r="23">
      <x:c r="A23" s="6" t="str">
        <x:v>思考スキル</x:v>
      </x:c>
      <x:c r="B23" s="6" t="str">
        <x:v>問題数</x:v>
      </x:c>
      <x:c r="D23" s="323" t="str">
        <x:v>南アフリカ</x:v>
      </x:c>
      <x:c r="E23" s="324" t="n">
        <x:f>COUNTIF('問題集'!T2:T601,D23)</x:f>
        <x:v>9</x:v>
      </x:c>
      <x:c r="F23" s="280"/>
    </x:row>
    <x:row r="24">
      <x:c r="A24" s="95" t="str">
        <x:v>知識確認</x:v>
      </x:c>
      <x:c r="B24" s="96" t="n">
        <x:f>COUNTIF('問題集'!W2:W601,A24)</x:f>
        <x:v>122</x:v>
      </x:c>
      <x:c r="D24" s="325" t="str">
        <x:v>米国</x:v>
      </x:c>
      <x:c r="E24" s="326" t="n">
        <x:f>COUNTIF('問題集'!T2:T601,D24)</x:f>
        <x:v>15</x:v>
      </x:c>
      <x:c r="F24" s="281"/>
    </x:row>
    <x:row r="25">
      <x:c r="A25" s="15" t="str">
        <x:v>因果説明</x:v>
      </x:c>
      <x:c r="B25" s="17" t="n">
        <x:f>COUNTIF('問題集'!W2:W601,A25)</x:f>
        <x:v>302</x:v>
      </x:c>
      <x:c r="D25" s="327" t="str">
        <x:v>英国</x:v>
      </x:c>
      <x:c r="E25" s="328" t="n">
        <x:f>COUNTIF('問題集'!T2:T601,D25)</x:f>
        <x:v>1</x:v>
      </x:c>
      <x:c r="F25" s="282"/>
    </x:row>
    <x:row r="26">
      <x:c r="A26" s="15" t="str">
        <x:v>適用</x:v>
      </x:c>
      <x:c r="B26" s="17" t="n">
        <x:f>COUNTIF('問題集'!W2:W601,A26)</x:f>
        <x:v>52</x:v>
      </x:c>
      <x:c r="D26" s="15"/>
      <x:c r="E26" s="16"/>
      <x:c r="F26" s="282"/>
    </x:row>
    <x:row r="27">
      <x:c r="A27" s="15" t="str">
        <x:v>比較</x:v>
      </x:c>
      <x:c r="B27" s="17" t="n">
        <x:f>COUNTIF('問題集'!W2:W601,A27)</x:f>
        <x:v>42</x:v>
      </x:c>
      <x:c r="D27" s="15"/>
      <x:c r="E27" s="16"/>
      <x:c r="F27" s="282"/>
    </x:row>
    <x:row r="28">
      <x:c r="A28" s="15" t="str">
        <x:v>判断</x:v>
      </x:c>
      <x:c r="B28" s="17" t="n">
        <x:f>COUNTIF('問題集'!W2:W601,A28)</x:f>
        <x:v>19</x:v>
      </x:c>
      <x:c r="D28" s="18"/>
      <x:c r="E28" s="19"/>
      <x:c r="F28" s="283"/>
    </x:row>
    <x:row r="29">
      <x:c r="A29" s="18" t="str">
        <x:v>統合判断</x:v>
      </x:c>
      <x:c r="B29" s="20" t="n">
        <x:f>COUNTIF('問題集'!W2:W601,A29)</x:f>
        <x:v>63</x:v>
      </x:c>
      <x:c r="D29" s="318" t="str">
        <x:v>LO</x:v>
      </x:c>
      <x:c r="E29" s="318" t="str">
        <x:v>要レビュー</x:v>
      </x:c>
      <x:c r="F29" s="318" t="str">
        <x:v>未レビュー</x:v>
      </x:c>
    </x:row>
    <x:row r="30">
      <x:c r="D30" s="319" t="str">
        <x:v>LO1</x:v>
      </x:c>
      <x:c r="E30" s="329" t="n">
        <x:f>COUNTIFS('問題集'!B2:B601,D30,'問題集'!Z2:Z601,"Y")</x:f>
        <x:v>2</x:v>
      </x:c>
      <x:c r="F30" s="320" t="n">
        <x:f>COUNTIFS('問題集'!B2:B601,D30,'問題集'!AD2:AD601,"未レビュー")</x:f>
        <x:v>120</x:v>
      </x:c>
    </x:row>
    <x:row r="31">
      <x:c r="D31" s="321" t="str">
        <x:v>LO2</x:v>
      </x:c>
      <x:c r="E31" s="270" t="n">
        <x:f>COUNTIFS('問題集'!B2:B601,D31,'問題集'!Z2:Z601,"Y")</x:f>
        <x:v>1</x:v>
      </x:c>
      <x:c r="F31" s="322" t="n">
        <x:f>COUNTIFS('問題集'!B2:B601,D31,'問題集'!AD2:AD601,"未レビュー")</x:f>
        <x:v>120</x:v>
      </x:c>
    </x:row>
    <x:row r="32" ht="32" customHeight="1">
      <x:c r="A32" s="252"/>
      <x:c r="B32" s="252"/>
      <x:c r="C32" s="252"/>
      <x:c r="D32" s="330" t="str">
        <x:v>LO3</x:v>
      </x:c>
      <x:c r="E32" s="271" t="n">
        <x:f>COUNTIFS('問題集'!B2:B601,D32,'問題集'!Z2:Z601,"Y")</x:f>
        <x:v>10</x:v>
      </x:c>
      <x:c r="F32" s="331" t="n">
        <x:f>COUNTIFS('問題集'!B2:B601,D32,'問題集'!AD2:AD601,"未レビュー")</x:f>
        <x:v>120</x:v>
      </x:c>
      <x:c r="G32" s="252"/>
      <x:c r="H32" s="252"/>
      <x:c r="I32" s="252"/>
      <x:c r="J32" s="252"/>
      <x:c r="K32" s="252"/>
    </x:row>
    <x:row r="33">
      <x:c r="A33"/>
      <x:c r="B33"/>
      <x:c r="C33"/>
      <x:c r="D33" s="321" t="str">
        <x:v>LO4</x:v>
      </x:c>
      <x:c r="E33" s="270" t="n">
        <x:f>COUNTIFS('問題集'!B2:B601,D33,'問題集'!Z2:Z601,"Y")</x:f>
        <x:v>24</x:v>
      </x:c>
      <x:c r="F33" s="322" t="n">
        <x:f>COUNTIFS('問題集'!B2:B601,D33,'問題集'!AD2:AD601,"未レビュー")</x:f>
        <x:v>120</x:v>
      </x:c>
      <x:c r="G33"/>
      <x:c r="H33"/>
      <x:c r="I33"/>
      <x:c r="J33"/>
      <x:c r="K33"/>
    </x:row>
    <x:row r="34">
      <x:c r="A34"/>
      <x:c r="B34"/>
      <x:c r="C34"/>
      <x:c r="D34" s="332" t="str">
        <x:v>LO5</x:v>
      </x:c>
      <x:c r="E34" s="333" t="n">
        <x:f>COUNTIFS('問題集'!B2:B601,D34,'問題集'!Z2:Z601,"Y")</x:f>
        <x:v>9</x:v>
      </x:c>
      <x:c r="F34" s="334" t="n">
        <x:f>COUNTIFS('問題集'!B2:B601,D34,'問題集'!AD2:AD601,"未レビュー")</x:f>
        <x:v>120</x:v>
      </x:c>
      <x:c r="G34"/>
      <x:c r="H34"/>
      <x:c r="I34"/>
      <x:c r="J34"/>
      <x:c r="K34"/>
    </x:row>
    <x:row r="35">
      <x:c r="A35"/>
      <x:c r="B35"/>
      <x:c r="C35"/>
      <x:c r="D35"/>
      <x:c r="E35"/>
      <x:c r="F35"/>
      <x:c r="G35"/>
      <x:c r="H35"/>
      <x:c r="I35"/>
      <x:c r="J35"/>
      <x:c r="K35"/>
    </x:row>
    <x:row r="36">
      <x:c r="A36"/>
      <x:c r="B36"/>
      <x:c r="C36"/>
      <x:c r="D36"/>
      <x:c r="E36"/>
      <x:c r="F36"/>
      <x:c r="G36"/>
      <x:c r="H36"/>
      <x:c r="I36"/>
      <x:c r="J36"/>
      <x:c r="K36"/>
    </x:row>
    <x:row r="37">
      <x:c r="A37"/>
      <x:c r="B37"/>
      <x:c r="C37"/>
      <x:c r="D37"/>
      <x:c r="E37"/>
      <x:c r="F37"/>
      <x:c r="G37"/>
      <x:c r="H37"/>
      <x:c r="I37"/>
      <x:c r="J37"/>
      <x:c r="K37"/>
    </x:row>
    <x:row r="38" ht="28" customHeight="1">
      <x:c r="A38" s="335" t="str">
        <x:v>設計上の固定条件：LO1〜LO5を各120問、正答位置A〜Dを各150問。その他のタグは問題の性質とカバレッジを可視化するために付与。</x:v>
      </x:c>
      <x:c r="B38" s="335"/>
      <x:c r="C38" s="335"/>
      <x:c r="D38" s="335"/>
      <x:c r="E38" s="335"/>
      <x:c r="F38" s="335"/>
      <x:c r="G38" s="335"/>
      <x:c r="H38" s="335"/>
      <x:c r="I38" s="335"/>
      <x:c r="J38" s="335"/>
      <x:c r="K38" s="335"/>
    </x:row>
    <x:row r="39" ht="28" customHeight="1">
      <x:c r="A39" s="335"/>
      <x:c r="B39" s="335"/>
      <x:c r="C39" s="335"/>
      <x:c r="D39" s="335"/>
      <x:c r="E39" s="335"/>
      <x:c r="F39" s="335"/>
      <x:c r="G39" s="335"/>
      <x:c r="H39" s="335"/>
      <x:c r="I39" s="335"/>
      <x:c r="J39" s="335"/>
      <x:c r="K39" s="335"/>
    </x:row>
    <x:row r="40">
      <x:c r="A40"/>
      <x:c r="B40"/>
      <x:c r="C40"/>
      <x:c r="D40"/>
      <x:c r="E40"/>
      <x:c r="F40"/>
      <x:c r="G40"/>
      <x:c r="H40"/>
      <x:c r="I40"/>
      <x:c r="J40"/>
      <x:c r="K40"/>
    </x:row>
  </x:sheetData>
  <x:mergeCells>
    <x:mergeCell ref="A1:K1"/>
    <x:mergeCell ref="A38:K39"/>
  </x:mergeCells>
  <x:pageMargins left="0.7" right="0.7" top="0.75" bottom="0.75" header="0.3" footer="0.3"/>
  <x:drawing xmlns:r="http://schemas.openxmlformats.org/officeDocument/2006/relationships" r:id="Rd5d9981669c846e2"/>
</x:worksheet>
</file>

<file path=xl/worksheets/sheet3.xml><?xml version="1.0" encoding="utf-8"?>
<x:worksheet xmlns:x="http://schemas.openxmlformats.org/spreadsheetml/2006/main">
  <x:sheetFormatPr defaultRowHeight="15"/>
  <x:cols>
    <x:col min="1" max="1" width="13" hidden="0" customWidth="1"/>
    <x:col min="2" max="2" width="8" hidden="0" customWidth="1"/>
    <x:col min="3" max="3" width="26" hidden="0" customWidth="1"/>
    <x:col min="4" max="4" width="48" hidden="0" customWidth="1"/>
    <x:col min="5" max="5" width="38" hidden="0" customWidth="1"/>
    <x:col min="6" max="6" width="38" hidden="0" customWidth="1"/>
    <x:col min="7" max="7" width="38" hidden="0" customWidth="1"/>
    <x:col min="8" max="8" width="38" hidden="0" customWidth="1"/>
    <x:col min="9" max="9" width="8" hidden="0" customWidth="1"/>
    <x:col min="10" max="10" width="48" hidden="0" customWidth="1"/>
    <x:col min="11" max="11" width="38" hidden="0" customWidth="1"/>
    <x:col min="12" max="12" width="14" hidden="0" customWidth="1"/>
    <x:col min="13" max="13" width="42" hidden="0" customWidth="1"/>
  </x:cols>
  <x:sheetData>
    <x:row r="1">
      <x:c r="A1" s="339" t="str">
        <x:v>問題ID</x:v>
      </x:c>
      <x:c r="B1" s="340" t="str">
        <x:v>LO</x:v>
      </x:c>
      <x:c r="C1" s="340" t="str">
        <x:v>トピック</x:v>
      </x:c>
      <x:c r="D1" s="340" t="str">
        <x:v>問題文</x:v>
      </x:c>
      <x:c r="E1" s="340" t="str">
        <x:v>選択肢A</x:v>
      </x:c>
      <x:c r="F1" s="340" t="str">
        <x:v>選択肢B</x:v>
      </x:c>
      <x:c r="G1" s="340" t="str">
        <x:v>選択肢C</x:v>
      </x:c>
      <x:c r="H1" s="340" t="str">
        <x:v>選択肢D</x:v>
      </x:c>
      <x:c r="I1" s="340" t="str">
        <x:v>正答</x:v>
      </x:c>
      <x:c r="J1" s="340" t="str">
        <x:v>正答解説</x:v>
      </x:c>
      <x:c r="K1" s="340" t="str">
        <x:v>レビュー理由</x:v>
      </x:c>
      <x:c r="L1" s="340" t="str">
        <x:v>レビュー状態</x:v>
      </x:c>
      <x:c r="M1" s="341" t="str">
        <x:v>レビューコメント</x:v>
      </x:c>
    </x:row>
    <x:row r="2" ht="110" customHeight="1">
      <x:c r="A2" s="311" t="str">
        <x:v>LO4-008</x:v>
      </x:c>
      <x:c r="B2" s="165" t="str">
        <x:v>LO4</x:v>
      </x:c>
      <x:c r="C2" s="165" t="str">
        <x:v>年数表記トーニー</x:v>
      </x:c>
      <x:c r="D2" s="165" t="str">
        <x:v>年数表記トーニー・ポートの表示年数が示すものとして最も適切なものはどれか。</x:v>
      </x:c>
      <x:c r="E2" s="165" t="str">
        <x:v>ブレンド中の最も若いワインの正確な年齢</x:v>
      </x:c>
      <x:c r="F2" s="165" t="str">
        <x:v>単一ヴィンテージのワインを、その年数だけ樽熟成したこと</x:v>
      </x:c>
      <x:c r="G2" s="165" t="str">
        <x:v>ボトルに詰めてから熟成させた年数</x:v>
      </x:c>
      <x:c r="H2" s="165" t="str">
        <x:v>ブレンド全体が示す平均的な熟成特性のスタイル</x:v>
      </x:c>
      <x:c r="I2" s="165" t="str">
        <x:v>D</x:v>
      </x:c>
      <x:c r="J2" s="165" t="str">
        <x:v>10年、20年などの表示は、官能的に期待される平均的な熟成スタイルを示す。</x:v>
      </x:c>
      <x:c r="K2" s="165" t="str">
        <x:v>年数表示の説明表現を日本語教材と照合推奨</x:v>
      </x:c>
      <x:c r="L2" s="165" t="str">
        <x:v>未レビュー</x:v>
      </x:c>
      <x:c r="M2" s="312"/>
    </x:row>
    <x:row r="3" ht="110" customHeight="1">
      <x:c r="A3" s="311" t="str">
        <x:v>LO4-013</x:v>
      </x:c>
      <x:c r="B3" s="165" t="str">
        <x:v>LO4</x:v>
      </x:c>
      <x:c r="C3" s="165" t="str">
        <x:v>マンサニーリャ</x:v>
      </x:c>
      <x:c r="D3" s="165" t="str">
        <x:v>マンサニーリャがフィノと似た生物学的熟成の特徴を持ちながら、しばしば特に繊細で塩味を思わせると表現される理由はどれか。</x:v>
      </x:c>
      <x:c r="E3" s="165" t="str">
        <x:v>サンルーカル・デ・バラメダの湿潤で温和な海洋環境がフロールを厚く維持しやすいから</x:v>
      </x:c>
      <x:c r="F3" s="165" t="str">
        <x:v>黒ブドウを全房発酵させ、果皮由来のタンニンを加えるから</x:v>
      </x:c>
      <x:c r="G3" s="165" t="str">
        <x:v>ペドロ・ヒメネスを加え、甘味と濃厚さを高めるから</x:v>
      </x:c>
      <x:c r="H3" s="165" t="str">
        <x:v>瓶内二次発酵によって、塩味を生む炭酸ガスを保持するから</x:v>
      </x:c>
      <x:c r="I3" s="165" t="str">
        <x:v>A</x:v>
      </x:c>
      <x:c r="J3" s="165" t="str">
        <x:v>海に近い環境が年間を通じたフロールの活動を支え、軽快で独特の風味を生む。</x:v>
      </x:c>
      <x:c r="K3" s="165" t="str">
        <x:v>塩味表現は官能表現として扱い、直接的な塩分説明を避けているか確認推奨</x:v>
      </x:c>
      <x:c r="L3" s="165" t="str">
        <x:v>未レビュー</x:v>
      </x:c>
      <x:c r="M3" s="312"/>
    </x:row>
    <x:row r="4" ht="110" customHeight="1">
      <x:c r="A4" s="311" t="str">
        <x:v>LO1-042</x:v>
      </x:c>
      <x:c r="B4" s="165" t="str">
        <x:v>LO1</x:v>
      </x:c>
      <x:c r="C4" s="165" t="str">
        <x:v>有機栽培とビオディナミ</x:v>
      </x:c>
      <x:c r="D4" s="165" t="str">
        <x:v>ビオディナミ農法を有機栽培と比較した説明として最も適切なものはどれか。</x:v>
      </x:c>
      <x:c r="E4" s="165" t="str">
        <x:v>合成除草剤と殺虫剤を必ず多量に使用する方式である</x:v>
      </x:c>
      <x:c r="F4" s="165" t="str">
        <x:v>有機栽培の考え方に加え、農場を一つの生態系として扱い、調合剤や暦を用いることがある</x:v>
      </x:c>
      <x:c r="G4" s="165" t="str">
        <x:v>畑での作業をやめ、自然任せにする方式である</x:v>
      </x:c>
      <x:c r="H4" s="165" t="str">
        <x:v>ワイナリーでの発酵方法だけを定め、畑の管理には関係しない</x:v>
      </x:c>
      <x:c r="I4" s="165" t="str">
        <x:v>B</x:v>
      </x:c>
      <x:c r="J4" s="165" t="str">
        <x:v>ビオディナミは一般に有機栽培の制限を基礎としつつ、農場全体の循環、特定の調合剤、天体暦など独自の実践を加える。</x:v>
      </x:c>
      <x:c r="K4" s="165" t="str">
        <x:v>有機・ビオディナミの認証制度や用語表現は地域差があるため、教材表現との最終照合を推奨</x:v>
      </x:c>
      <x:c r="L4" s="165" t="str">
        <x:v>未レビュー</x:v>
      </x:c>
      <x:c r="M4" s="312"/>
    </x:row>
    <x:row r="5" ht="110" customHeight="1">
      <x:c r="A5" s="311" t="str">
        <x:v>LO2-035</x:v>
      </x:c>
      <x:c r="B5" s="165" t="str">
        <x:v>LO2</x:v>
      </x:c>
      <x:c r="C5" s="165" t="str">
        <x:v>ソアーヴェ・クラッシコ</x:v>
      </x:c>
      <x:c r="D5" s="165" t="str">
        <x:v>ソアーヴェ・クラッシコが一般的な平地産ソアーヴェより高い品質を持ちやすい理由はどれか。</x:v>
      </x:c>
      <x:c r="E5" s="165" t="str">
        <x:v>黒ブドウだけを使い、長期果皮浸漬で高タンニン赤を造る</x:v>
      </x:c>
      <x:c r="F5" s="165" t="str">
        <x:v>すべてのブドウを凍結し、甘口にする</x:v>
      </x:c>
      <x:c r="G5" s="165" t="str">
        <x:v>歴史的な丘陵地帯で、排水と日照に恵まれ、収量を抑えたガルガーネガを得やすい</x:v>
      </x:c>
      <x:c r="H5" s="165" t="str">
        <x:v>平地の肥沃な畑で最大収量を得ることが、クラッシコ表示の条件である</x:v>
      </x:c>
      <x:c r="I5" s="165" t="str">
        <x:v>C</x:v>
      </x:c>
      <x:c r="J5" s="165" t="str">
        <x:v>クラッシコ地区の丘陵畑は平地より排水性と日照に恵まれ、凝縮したガルガーネガから、より風味と酸のあるワインを造りやすい。</x:v>
      </x:c>
      <x:c r="K5" s="165" t="str">
        <x:v>Classico表示の説明は現行の産地規定と日本語教材表現の最終照合を推奨</x:v>
      </x:c>
      <x:c r="L5" s="165" t="str">
        <x:v>未レビュー</x:v>
      </x:c>
      <x:c r="M5" s="312"/>
    </x:row>
    <x:row r="6" ht="110" customHeight="1">
      <x:c r="A6" s="311" t="str">
        <x:v>LO3-031</x:v>
      </x:c>
      <x:c r="B6" s="165" t="str">
        <x:v>LO3</x:v>
      </x:c>
      <x:c r="C6" s="165" t="str">
        <x:v>甘味表示</x:v>
      </x:c>
      <x:c r="D6" s="165" t="str">
        <x:v>EUの発泡性ワインの甘味表示で、一般に最も辛口の区分はどれか。</x:v>
      </x:c>
      <x:c r="E6" s="165" t="str">
        <x:v>デミ・セック</x:v>
      </x:c>
      <x:c r="F6" s="165" t="str">
        <x:v>ドゥー</x:v>
      </x:c>
      <x:c r="G6" s="165" t="str">
        <x:v>ブリュット・ナチュール</x:v>
      </x:c>
      <x:c r="H6" s="165" t="str">
        <x:v>クリーム</x:v>
      </x:c>
      <x:c r="I6" s="165" t="str">
        <x:v>C</x:v>
      </x:c>
      <x:c r="J6" s="165" t="str">
        <x:v>ブリュット・ナチュールはドザージュが非常に少ない、または行われない最辛口区分で、ブリュットやデミ・セックより残糖が低い。</x:v>
      </x:c>
      <x:c r="K6" s="165" t="str">
        <x:v>甘味区分の残糖範囲は最新EU規定および日本語教材との最終照合を推奨</x:v>
      </x:c>
      <x:c r="L6" s="165" t="str">
        <x:v>未レビュー</x:v>
      </x:c>
      <x:c r="M6" s="312"/>
    </x:row>
    <x:row r="7" ht="110" customHeight="1">
      <x:c r="A7" s="311" t="str">
        <x:v>LO3-037</x:v>
      </x:c>
      <x:c r="B7" s="165" t="str">
        <x:v>LO3</x:v>
      </x:c>
      <x:c r="C7" s="165" t="str">
        <x:v>ロゼ・シャンパーニュ</x:v>
      </x:c>
      <x:c r="D7" s="165" t="str">
        <x:v>ロゼ・シャンパーニュの色を得る方法として認められる代表的な方法はどれか。</x:v>
      </x:c>
      <x:c r="E7" s="165" t="str">
        <x:v>白ワインに少量の赤ワインをブレンドする、または黒ブドウを短時間醸す</x:v>
      </x:c>
      <x:c r="F7" s="165" t="str">
        <x:v>完成した白シャンパーニュへ人工着色料を加える</x:v>
      </x:c>
      <x:c r="G7" s="165" t="str">
        <x:v>白ブドウを海水へ浸し、サーモン色にする</x:v>
      </x:c>
      <x:c r="H7" s="165" t="str">
        <x:v>瓶内の澱を長く残すだけで、必ずピンク色になる</x:v>
      </x:c>
      <x:c r="I7" s="165" t="str">
        <x:v>A</x:v>
      </x:c>
      <x:c r="J7" s="165" t="str">
        <x:v>シャンパーニュでは赤の非発泡性ワインを白ベースへブレンドする方法と、セニエなど短い果皮接触で色を得る方法が用いられる。</x:v>
      </x:c>
      <x:c r="K7" s="165" t="str">
        <x:v>ロゼ・シャンパーニュの許容製法に関する表現を最新規定と教材で最終照合推奨</x:v>
      </x:c>
      <x:c r="L7" s="165" t="str">
        <x:v>未レビュー</x:v>
      </x:c>
      <x:c r="M7" s="312"/>
    </x:row>
    <x:row r="8" ht="110" customHeight="1">
      <x:c r="A8" s="311" t="str">
        <x:v>LO3-049</x:v>
      </x:c>
      <x:c r="B8" s="165" t="str">
        <x:v>LO3</x:v>
      </x:c>
      <x:c r="C8" s="165" t="str">
        <x:v>ドイチャー・ゼクト</x:v>
      </x:c>
      <x:c r="D8" s="165" t="str">
        <x:v>ドイチャー・ゼクト（Deutscher Sekt）の表示が示すものとして最も適切なものはどれか。</x:v>
      </x:c>
      <x:c r="E8" s="165" t="str">
        <x:v>ベースとなるブドウがドイツ産である発泡性ワイン</x:v>
      </x:c>
      <x:c r="F8" s="165" t="str">
        <x:v>シャンパーニュ地方で造られたドイツ向けワイン</x:v>
      </x:c>
      <x:c r="G8" s="165" t="str">
        <x:v>必ず伝統的方式で10年以上熟成した最高格付け</x:v>
      </x:c>
      <x:c r="H8" s="165" t="str">
        <x:v>発酵途中で酒精強化した甘口ワイン</x:v>
      </x:c>
      <x:c r="I8" s="165" t="str">
        <x:v>A</x:v>
      </x:c>
      <x:c r="J8" s="165" t="str">
        <x:v>Deutscher Sektはドイツ産ブドウを用いることを示し、単にドイツで発泡化した輸入ベースワインのSektと区別される。</x:v>
      </x:c>
      <x:c r="K8" s="165" t="str">
        <x:v>SektおよびDeutscher Sektの現行表示規定を最新教材と照合推奨</x:v>
      </x:c>
      <x:c r="L8" s="165" t="str">
        <x:v>未レビュー</x:v>
      </x:c>
      <x:c r="M8" s="312"/>
    </x:row>
    <x:row r="9" ht="110" customHeight="1">
      <x:c r="A9" s="311" t="str">
        <x:v>LO4-033</x:v>
      </x:c>
      <x:c r="B9" s="165" t="str">
        <x:v>LO4</x:v>
      </x:c>
      <x:c r="C9" s="165" t="str">
        <x:v>ルビー・リザーヴ</x:v>
      </x:c>
      <x:c r="D9" s="165" t="str">
        <x:v>ルビー・リザーヴが基本的なルビー・ポートより豊かなスタイルになりやすい理由はどれか。</x:v>
      </x:c>
      <x:c r="E9" s="165" t="str">
        <x:v>より品質の高い、色と果実味の強い複数ロットを選んでブレンドする</x:v>
      </x:c>
      <x:c r="F9" s="165" t="str">
        <x:v>数十年の小樽酸化熟成で色を褐色にする</x:v>
      </x:c>
      <x:c r="G9" s="165" t="str">
        <x:v>フロールの下で生物学的熟成する</x:v>
      </x:c>
      <x:c r="H9" s="165" t="str">
        <x:v>発酵を完全に辛口まで進め、酒精強化しない</x:v>
      </x:c>
      <x:c r="I9" s="165" t="str">
        <x:v>A</x:v>
      </x:c>
      <x:c r="J9" s="165" t="str">
        <x:v>ルビー・リザーヴは果実味を保つ比較的短い熟成を行いながら、より凝縮したワインを選別してブレンドするため、豊かなスタイルになる。</x:v>
      </x:c>
      <x:c r="K9" s="165" t="str">
        <x:v>Reserve表示の現行要件と日本語教材での名称表記を最終照合推奨</x:v>
      </x:c>
      <x:c r="L9" s="165" t="str">
        <x:v>未レビュー</x:v>
      </x:c>
      <x:c r="M9" s="312"/>
    </x:row>
    <x:row r="10" ht="110" customHeight="1">
      <x:c r="A10" s="311" t="str">
        <x:v>LO4-035</x:v>
      </x:c>
      <x:c r="B10" s="165" t="str">
        <x:v>LO4</x:v>
      </x:c>
      <x:c r="C10" s="165" t="str">
        <x:v>無濾過LBV</x:v>
      </x:c>
      <x:c r="D10" s="165" t="str">
        <x:v>無濾過のLBVポートをサービスする際に、濾過済みLBVより注意が必要な点はどれか。</x:v>
      </x:c>
      <x:c r="E10" s="165" t="str">
        <x:v>炭酸ガスが強いため、ミュズレを外さず開ける</x:v>
      </x:c>
      <x:c r="F10" s="165" t="str">
        <x:v>フロールを壊さないよう、樽から直接注ぐ</x:v>
      </x:c>
      <x:c r="G10" s="165" t="str">
        <x:v>瓶内で沈殿が生じ得るため、必要に応じてデカンティングする</x:v>
      </x:c>
      <x:c r="H10" s="165" t="str">
        <x:v>酸が高すぎるため、水で必ず希釈する</x:v>
      </x:c>
      <x:c r="I10" s="165" t="str">
        <x:v>C</x:v>
      </x:c>
      <x:c r="J10" s="165" t="str">
        <x:v>無濾過LBVは瓶内で熟成を続け、色素やタンニンが沈殿することがあるため、静置して澱を分けて注ぐ場合がある。</x:v>
      </x:c>
      <x:c r="K10" s="165" t="str">
        <x:v>濾過済み／無濾過LBVの表示とサービス説明を最新教材で最終照合推奨</x:v>
      </x:c>
      <x:c r="L10" s="165" t="str">
        <x:v>未レビュー</x:v>
      </x:c>
      <x:c r="M10" s="312"/>
    </x:row>
    <x:row r="11" ht="110" customHeight="1">
      <x:c r="A11" s="311" t="str">
        <x:v>LO4-047</x:v>
      </x:c>
      <x:c r="B11" s="165" t="str">
        <x:v>LO4</x:v>
      </x:c>
      <x:c r="C11" s="165" t="str">
        <x:v>パロ・コルタド</x:v>
      </x:c>
      <x:c r="D11" s="165" t="str">
        <x:v>パロ・コルタドの一般的なスタイルを最も適切に説明しているものはどれか。</x:v>
      </x:c>
      <x:c r="E11" s="165" t="str">
        <x:v>非常に甘く濃厚なPXだけを指す</x:v>
      </x:c>
      <x:c r="F11" s="165" t="str">
        <x:v>強い泡を持つ低アルコール発泡性ワイン</x:v>
      </x:c>
      <x:c r="G11" s="165" t="str">
        <x:v>アモンティリャードを思わせる繊細な香りと、オロロソのような豊かなボディを併せ持つ辛口</x:v>
      </x:c>
      <x:c r="H11" s="165" t="str">
        <x:v>若い紫色の高タンニン赤ワイン</x:v>
      </x:c>
      <x:c r="I11" s="165" t="str">
        <x:v>C</x:v>
      </x:c>
      <x:c r="J11" s="165" t="str">
        <x:v>パロ・コルタドは香りの繊細さと酸化熟成による豊かさを併せ持つ希少な辛口シェリーとして説明される。</x:v>
      </x:c>
      <x:c r="K11" s="165" t="str">
        <x:v>パロ・コルタドの生産経路は生産者差が大きいため、スタイル中心の表現を教材と最終照合推奨</x:v>
      </x:c>
      <x:c r="L11" s="165" t="str">
        <x:v>未レビュー</x:v>
      </x:c>
      <x:c r="M11" s="312"/>
    </x:row>
    <x:row r="12" ht="110" customHeight="1">
      <x:c r="A12" s="311" t="str">
        <x:v>LO4-051</x:v>
      </x:c>
      <x:c r="B12" s="165" t="str">
        <x:v>LO4</x:v>
      </x:c>
      <x:c r="C12" s="165" t="str">
        <x:v>ミディアムとクリーム</x:v>
      </x:c>
      <x:c r="D12" s="165" t="str">
        <x:v>ミディアム・シェリーとクリーム・シェリーの一般的な違いとして最も適切なものはどれか。</x:v>
      </x:c>
      <x:c r="E12" s="165" t="str">
        <x:v>ミディアムは必ず発泡性、クリームは必ず非発泡性</x:v>
      </x:c>
      <x:c r="F12" s="165" t="str">
        <x:v>ミディアムは黒ブドウ、クリームは白ブドウからしか造れない</x:v>
      </x:c>
      <x:c r="G12" s="165" t="str">
        <x:v>ミディアムはアモンティリャード系、クリームはオロロソ系の辛口シェリーを甘味調整することが多い</x:v>
      </x:c>
      <x:c r="H12" s="165" t="str">
        <x:v>どちらも糖を加えず、完全な辛口だけを指す</x:v>
      </x:c>
      <x:c r="I12" s="165" t="str">
        <x:v>C</x:v>
      </x:c>
      <x:c r="J12" s="165" t="str">
        <x:v>いずれも辛口シェリーへPXなどの甘味成分をブレンドして造るが、基礎となる辛口スタイルの違いが香りとボディに影響する。</x:v>
      </x:c>
      <x:c r="K12" s="165" t="str">
        <x:v>Medium／Creamの甘味調整方法と表示区分を最新教材・規定と照合推奨</x:v>
      </x:c>
      <x:c r="L12" s="165" t="str">
        <x:v>未レビュー</x:v>
      </x:c>
      <x:c r="M12" s="312"/>
    </x:row>
    <x:row r="13" ht="110" customHeight="1">
      <x:c r="A13" s="311" t="str">
        <x:v>LO4-052</x:v>
      </x:c>
      <x:c r="B13" s="165" t="str">
        <x:v>LO4</x:v>
      </x:c>
      <x:c r="C13" s="165" t="str">
        <x:v>マンサニーリャの原産地</x:v>
      </x:c>
      <x:c r="D13" s="165" t="str">
        <x:v>マンサニーリャの名称を使用できる辛口シェリーが熟成される場所はどこか。</x:v>
      </x:c>
      <x:c r="E13" s="165" t="str">
        <x:v>ドウロ・スペリオール</x:v>
      </x:c>
      <x:c r="F13" s="165" t="str">
        <x:v>ラザグレン</x:v>
      </x:c>
      <x:c r="G13" s="165" t="str">
        <x:v>シャンパーニュ</x:v>
      </x:c>
      <x:c r="H13" s="165" t="str">
        <x:v>サンルーカル・デ・バラメダ</x:v>
      </x:c>
      <x:c r="I13" s="165" t="str">
        <x:v>D</x:v>
      </x:c>
      <x:c r="J13" s="165" t="str">
        <x:v>マンサニーリャはサンルーカル・デ・バラメダでフロール下に熟成される生物学的熟成の辛口シェリーである。</x:v>
      </x:c>
      <x:c r="K13" s="165" t="str">
        <x:v>Manzanillaの原産地表示に関する現行規定を最終照合推奨</x:v>
      </x:c>
      <x:c r="L13" s="165" t="str">
        <x:v>未レビュー</x:v>
      </x:c>
      <x:c r="M13" s="312"/>
    </x:row>
    <x:row r="14" ht="110" customHeight="1">
      <x:c r="A14" s="311" t="str">
        <x:v>LO5-040</x:v>
      </x:c>
      <x:c r="B14" s="165" t="str">
        <x:v>LO5</x:v>
      </x:c>
      <x:c r="C14" s="165" t="str">
        <x:v>個人の好みと感受性</x:v>
      </x:c>
      <x:c r="D14" s="165" t="str">
        <x:v>ワインを推奨する前に、顧客の個人的な好みや感受性を確認する理由として最も適切なものはどれか。</x:v>
      </x:c>
      <x:c r="E14" s="165" t="str">
        <x:v>好みを聞けばワインの法律上の格付けを変更できるため</x:v>
      </x:c>
      <x:c r="F14" s="165" t="str">
        <x:v>すべての顧客は同じ味を好むため、確認を省略できる</x:v>
      </x:c>
      <x:c r="G14" s="165" t="str">
        <x:v>好みは価格と常に完全一致するため</x:v>
      </x:c>
      <x:c r="H14" s="165" t="str">
        <x:v>同じ品質のワインでも、甘味、酸、タンニン、香りなどへの好みや反応が人によって異なるため</x:v>
      </x:c>
      <x:c r="I14" s="165" t="str">
        <x:v>D</x:v>
      </x:c>
      <x:c r="J14" s="165" t="str">
        <x:v>良い推奨は客観的品質だけでなく、顧客が好むスタイルや避けたい特徴を反映する必要がある。</x:v>
      </x:c>
      <x:c r="K14" s="165" t="str">
        <x:v>「感受性」の具体例をアプリ実装時に過度な医療助言へ広げないよう表現確認推奨</x:v>
      </x:c>
      <x:c r="L14" s="165" t="str">
        <x:v>未レビュー</x:v>
      </x:c>
      <x:c r="M14" s="312"/>
    </x:row>
    <x:row r="15" ht="110" customHeight="1">
      <x:c r="A15" s="311" t="str">
        <x:v>LO5-048</x:v>
      </x:c>
      <x:c r="B15" s="165" t="str">
        <x:v>LO5</x:v>
      </x:c>
      <x:c r="C15" s="165" t="str">
        <x:v>高濃度亜硫酸と空気</x:v>
      </x:c>
      <x:c r="D15" s="165" t="str">
        <x:v>開栓直後に過剰な亜硫酸を思わせる刺激臭があるワインについて、最も適切な判断はどれか。</x:v>
      </x:c>
      <x:c r="E15" s="165" t="str">
        <x:v>刺激臭は常に最高品質の証拠なので、そのまま提供する</x:v>
      </x:c>
      <x:c r="F15" s="165" t="str">
        <x:v>砂糖を加えれば亜硫酸が水へ変わる</x:v>
      </x:c>
      <x:c r="G15" s="165" t="str">
        <x:v>冷凍すれば法的表示が不要になる</x:v>
      </x:c>
      <x:c r="H15" s="165" t="str">
        <x:v>空気に触れさせると弱まる場合もあるが、強く残るなら状態を再確認し提供を避ける</x:v>
      </x:c>
      <x:c r="I15" s="165" t="str">
        <x:v>D</x:v>
      </x:c>
      <x:c r="J15" s="165" t="str">
        <x:v>一部の遊離亜硫酸由来の刺激は時間と空気接触で弱まる可能性があるが、顧客へ不快な状態で提供すべきではない。</x:v>
      </x:c>
      <x:c r="K15" s="165" t="str">
        <x:v>高濃度亜硫酸の官能表現とサービス対応を日本語教材の説明へ最終照合推奨</x:v>
      </x:c>
      <x:c r="L15" s="165" t="str">
        <x:v>未レビュー</x:v>
      </x:c>
      <x:c r="M15" s="312"/>
    </x:row>
    <x:row r="16" ht="110" customHeight="1">
      <x:c r="A16" s="311" t="str">
        <x:v>LO5-059</x:v>
      </x:c>
      <x:c r="B16" s="165" t="str">
        <x:v>LO5</x:v>
      </x:c>
      <x:c r="C16" s="165" t="str">
        <x:v>過剰摂取と短期的影響</x:v>
      </x:c>
      <x:c r="D16" s="165" t="str">
        <x:v>ワインの過剰摂取によって短期的に生じ得る社会的・健康上の問題として最も適切なものはどれか。</x:v>
      </x:c>
      <x:c r="E16" s="165" t="str">
        <x:v>判断力と反応速度が必ず向上する</x:v>
      </x:c>
      <x:c r="F16" s="165" t="str">
        <x:v>どれだけ飲んでも行動や健康に影響しない</x:v>
      </x:c>
      <x:c r="G16" s="165" t="str">
        <x:v>判断力や協調運動の低下により、事故や不適切な行動のリスクが高まる</x:v>
      </x:c>
      <x:c r="H16" s="165" t="str">
        <x:v>アルコールが直ちに水へ変わるため問題はない</x:v>
      </x:c>
      <x:c r="I16" s="165" t="str">
        <x:v>C</x:v>
      </x:c>
      <x:c r="J16" s="165" t="str">
        <x:v>過剰な飲酒は認知と運動機能を損ない、本人と周囲の安全、社会的行動へ悪影響を与え得る。</x:v>
      </x:c>
      <x:c r="K16" s="165" t="str">
        <x:v>健康関連表現は一般的説明に限定し、地域別の医療・法的助言として使用しないことを確認推奨</x:v>
      </x:c>
      <x:c r="L16" s="165" t="str">
        <x:v>未レビュー</x:v>
      </x:c>
      <x:c r="M16" s="312"/>
    </x:row>
    <x:row r="17" ht="110" customHeight="1">
      <x:c r="A17" s="342" t="str">
        <x:v>LO5-060</x:v>
      </x:c>
      <x:c r="B17" s="168" t="str">
        <x:v>LO5</x:v>
      </x:c>
      <x:c r="C17" s="168" t="str">
        <x:v>酔いを早く覚ますという誤解</x:v>
      </x:c>
      <x:c r="D17" s="168" t="str">
        <x:v>過剰に飲酒した人について、最も適切な助言はどれか。</x:v>
      </x:c>
      <x:c r="E17" s="168" t="str">
        <x:v>濃いコーヒーを飲めばすぐ安全に運転できる</x:v>
      </x:c>
      <x:c r="F17" s="168" t="str">
        <x:v>冷水シャワーでアルコールが皮膚から排出される</x:v>
      </x:c>
      <x:c r="G17" s="168" t="str">
        <x:v>さらにワインを飲めば代謝が加速する</x:v>
      </x:c>
      <x:c r="H17" s="168" t="str">
        <x:v>コーヒーや冷水シャワーでアルコールの代謝が急に速くなるとは考えず、追加飲酒や運転を避ける</x:v>
      </x:c>
      <x:c r="I17" s="168" t="str">
        <x:v>D</x:v>
      </x:c>
      <x:c r="J17" s="168" t="str">
        <x:v>覚醒感が一時的に変わっても、体内のアルコールが直ちに除去されるわけではない。安全を優先し、時間をかけて回復する必要がある。</x:v>
      </x:c>
      <x:c r="K17" s="168" t="str">
        <x:v>健康・安全に関する一般論として扱い、医療判断や地域別法規の代替にしないことを確認推奨</x:v>
      </x:c>
      <x:c r="L17" s="168" t="str">
        <x:v>未レビュー</x:v>
      </x:c>
      <x:c r="M17" s="343"/>
    </x:row>
    <x:row r="18" ht="110" customHeight="1">
      <x:c r="A18" s="311" t="str">
        <x:v>LO1-120</x:v>
      </x:c>
      <x:c r="B18" s="165" t="str">
        <x:v>LO1</x:v>
      </x:c>
      <x:c r="C18" s="165" t="str">
        <x:v>合成コルク</x:v>
      </x:c>
      <x:c r="D18" s="165" t="str">
        <x:v>合成コルク栓の一般的な利点として最も適切なものはどれか。</x:v>
      </x:c>
      <x:c r="E18" s="165" t="str">
        <x:v>長期熟成ワインに必ず最適で、酸素を完全に遮断する</x:v>
      </x:c>
      <x:c r="F18" s="165" t="str">
        <x:v>ワインへ天然コルク香を意図的に付ける</x:v>
      </x:c>
      <x:c r="G18" s="165" t="str">
        <x:v>開栓後のワインを自動的に再発酵させる</x:v>
      </x:c>
      <x:c r="H18" s="165" t="str">
        <x:v>天然コルク由来のTCAリスクを避け、比較的一貫した密閉性を得やすい</x:v>
      </x:c>
      <x:c r="I18" s="165" t="str">
        <x:v>D</x:v>
      </x:c>
      <x:c r="J18" s="165" t="str">
        <x:v>合成素材は天然コルクの個体差とTCA汚染を回避しやすいが、製品によって酸素透過性や長期熟成適性は異なる。</x:v>
      </x:c>
      <x:c r="K18" s="165" t="str">
        <x:v>合成栓の長期熟成適性は製品差が大きいため、アプリ掲載時に表現確認推奨</x:v>
      </x:c>
      <x:c r="L18" s="165" t="str">
        <x:v>未レビュー</x:v>
      </x:c>
      <x:c r="M18" s="312"/>
    </x:row>
    <x:row r="19" ht="110" customHeight="1">
      <x:c r="A19" s="311" t="str">
        <x:v>LO3-083</x:v>
      </x:c>
      <x:c r="B19" s="165" t="str">
        <x:v>LO3</x:v>
      </x:c>
      <x:c r="C19" s="165" t="str">
        <x:v>カバ・レセルバ</x:v>
      </x:c>
      <x:c r="D19" s="165" t="str">
        <x:v>一般にカバ・レセルバが若いカバより複雑になりやすい主な理由はどれか。</x:v>
      </x:c>
      <x:c r="E19" s="165" t="str">
        <x:v>炭酸ガス注入だけで短時間に造るため</x:v>
      </x:c>
      <x:c r="F19" s="165" t="str">
        <x:v>ブドウをすべて乾燥させるため</x:v>
      </x:c>
      <x:c r="G19" s="165" t="str">
        <x:v>瓶内でより長く澱熟成し、自己分解由来の風味が増えるため</x:v>
      </x:c>
      <x:c r="H19" s="165" t="str">
        <x:v>発酵途中で酒精強化するため</x:v>
      </x:c>
      <x:c r="I19" s="165" t="str">
        <x:v>C</x:v>
      </x:c>
      <x:c r="J19" s="165" t="str">
        <x:v>長い熟成によりパン、ビスケット、ナッツの香りと滑らかな泡が発達する。</x:v>
      </x:c>
      <x:c r="K19" s="165" t="str">
        <x:v>カバの熟成区分・表示規定は改定され得るため、最新教材との最終照合を推奨</x:v>
      </x:c>
      <x:c r="L19" s="165" t="str">
        <x:v>未レビュー</x:v>
      </x:c>
      <x:c r="M19" s="312"/>
    </x:row>
    <x:row r="20" ht="110" customHeight="1">
      <x:c r="A20" s="311" t="str">
        <x:v>LO3-085</x:v>
      </x:c>
      <x:c r="B20" s="165" t="str">
        <x:v>LO3</x:v>
      </x:c>
      <x:c r="C20" s="165" t="str">
        <x:v>プロセッコDOCGの丘陵</x:v>
      </x:c>
      <x:c r="D20" s="165" t="str">
        <x:v>コネリアーノ・ヴァルドッビアーデネの丘陵産プロセッコが平地の大量生産品より高価格になりやすい主な理由はどれか。</x:v>
      </x:c>
      <x:c r="E20" s="165" t="str">
        <x:v>急斜面で手作業が必要になりやすく、収量を抑えた香りの濃いブドウを得るため</x:v>
      </x:c>
      <x:c r="F20" s="165" t="str">
        <x:v>すべてのワインを瓶内で数十年熟成するため</x:v>
      </x:c>
      <x:c r="G20" s="165" t="str">
        <x:v>グレーラを酒精強化するため</x:v>
      </x:c>
      <x:c r="H20" s="165" t="str">
        <x:v>平地より収穫が完全自動化されるため</x:v>
      </x:c>
      <x:c r="I20" s="165" t="str">
        <x:v>A</x:v>
      </x:c>
      <x:c r="J20" s="165" t="str">
        <x:v>斜面の日照と排水が品質を高める一方、機械化が難しく生産コストが上がる。</x:v>
      </x:c>
      <x:c r="K20" s="165" t="str">
        <x:v>プロセッコの現行DOC/DOCG表記・収量規定は最新教材との最終照合を推奨</x:v>
      </x:c>
      <x:c r="L20" s="165" t="str">
        <x:v>未レビュー</x:v>
      </x:c>
      <x:c r="M20" s="312"/>
    </x:row>
    <x:row r="21" ht="110" customHeight="1">
      <x:c r="A21" s="311" t="str">
        <x:v>LO3-087</x:v>
      </x:c>
      <x:c r="B21" s="165" t="str">
        <x:v>LO3</x:v>
      </x:c>
      <x:c r="C21" s="165" t="str">
        <x:v>エクストラ・ドライ</x:v>
      </x:c>
      <x:c r="D21" s="165" t="str">
        <x:v>プロセッコの「エクストラ・ドライ」が「ブリュット」より一般に甘く感じられる理由はどれか。</x:v>
      </x:c>
      <x:c r="E21" s="165" t="str">
        <x:v>エクストラ・ドライは必ずアルコール度がゼロだから</x:v>
      </x:c>
      <x:c r="F21" s="165" t="str">
        <x:v>ブリュットには糖を一切加えられないから</x:v>
      </x:c>
      <x:c r="G21" s="165" t="str">
        <x:v>発泡性ワインの甘味表示では、エクストラ・ドライの許容残糖がブリュットより高いから</x:v>
      </x:c>
      <x:c r="H21" s="165" t="str">
        <x:v>エクストラ・ドライは赤ワインだから</x:v>
      </x:c>
      <x:c r="I21" s="165" t="str">
        <x:v>C</x:v>
      </x:c>
      <x:c r="J21" s="165" t="str">
        <x:v>日常語の「より辛口」とは逆に、規定上エクストラ・ドライはブリュットよりやや多い残糖を持つ。</x:v>
      </x:c>
      <x:c r="K21" s="165" t="str">
        <x:v>発泡性ワインの残糖区分は最新EU規定・教材との最終照合を推奨</x:v>
      </x:c>
      <x:c r="L21" s="165" t="str">
        <x:v>未レビュー</x:v>
      </x:c>
      <x:c r="M21" s="312"/>
    </x:row>
    <x:row r="22" ht="110" customHeight="1">
      <x:c r="A22" s="311" t="str">
        <x:v>LO3-094</x:v>
      </x:c>
      <x:c r="B22" s="165" t="str">
        <x:v>LO3</x:v>
      </x:c>
      <x:c r="C22" s="165" t="str">
        <x:v>フランチャコルタ</x:v>
      </x:c>
      <x:c r="D22" s="165" t="str">
        <x:v>フランチャコルタの一般的な生産方法とスタイルはどれか。</x:v>
      </x:c>
      <x:c r="E22" s="165" t="str">
        <x:v>グレーラをタンク方式で短期間発泡させる</x:v>
      </x:c>
      <x:c r="F22" s="165" t="str">
        <x:v>シャルドネやピノ・ネロを用いる伝統的方式で、長い澱熟成を行う高品質発泡性ワイン</x:v>
      </x:c>
      <x:c r="G22" s="165" t="str">
        <x:v>モスカートを発酵途中で止める甘口</x:v>
      </x:c>
      <x:c r="H22" s="165" t="str">
        <x:v>パロミノを酒精強化してフロール熟成する</x:v>
      </x:c>
      <x:c r="I22" s="165" t="str">
        <x:v>B</x:v>
      </x:c>
      <x:c r="J22" s="165" t="str">
        <x:v>北イタリアの湖周辺の温和な気候で高品質なベースワインを造り、瓶内二次発酵で複雑性を高める。</x:v>
      </x:c>
      <x:c r="K22" s="165" t="str">
        <x:v>WSET Level 3現行Specificationでの扱いと最新産地規定を最終確認推奨</x:v>
      </x:c>
      <x:c r="L22" s="165" t="str">
        <x:v>未レビュー</x:v>
      </x:c>
      <x:c r="M22" s="312"/>
    </x:row>
    <x:row r="23" ht="110" customHeight="1">
      <x:c r="A23" s="311" t="str">
        <x:v>LO3-095</x:v>
      </x:c>
      <x:c r="B23" s="165" t="str">
        <x:v>LO3</x:v>
      </x:c>
      <x:c r="C23" s="165" t="str">
        <x:v>トレントDOC</x:v>
      </x:c>
      <x:c r="D23" s="165" t="str">
        <x:v>トレントDOCの発泡性ワインが高い酸を持ちやすい主な理由はどれか。</x:v>
      </x:c>
      <x:c r="E23" s="165" t="str">
        <x:v>南イタリアの低地で極端に高温だから</x:v>
      </x:c>
      <x:c r="F23" s="165" t="str">
        <x:v>ブドウを樹上乾燥するから</x:v>
      </x:c>
      <x:c r="G23" s="165" t="str">
        <x:v>アルプスの高標高畑で夜間が冷涼になり、シャルドネやピノ・ノワールの酸が保持される</x:v>
      </x:c>
      <x:c r="H23" s="165" t="str">
        <x:v>フロール熟成を行うから</x:v>
      </x:c>
      <x:c r="I23" s="165" t="str">
        <x:v>C</x:v>
      </x:c>
      <x:c r="J23" s="165" t="str">
        <x:v>強い日照が成熟を進める一方、標高による冷却が伝統的方式に適した高酸のベースワインを生む。</x:v>
      </x:c>
      <x:c r="K23" s="165" t="str">
        <x:v>WSET Level 3現行Specificationでの扱いと最新産地規定を最終確認推奨</x:v>
      </x:c>
      <x:c r="L23" s="165" t="str">
        <x:v>未レビュー</x:v>
      </x:c>
      <x:c r="M23" s="312"/>
    </x:row>
    <x:row r="24" ht="110" customHeight="1">
      <x:c r="A24" s="311" t="str">
        <x:v>LO3-097</x:v>
      </x:c>
      <x:c r="B24" s="165" t="str">
        <x:v>LO3</x:v>
      </x:c>
      <x:c r="C24" s="165" t="str">
        <x:v>ヴィンツァーゼクト</x:v>
      </x:c>
      <x:c r="D24" s="165" t="str">
        <x:v>ヴィンツァーゼクトが一般的な大量生産ゼクトより産地と品種の個性を表しやすい主な理由はどれか。</x:v>
      </x:c>
      <x:c r="E24" s="165" t="str">
        <x:v>生産者自身のブドウを用い、単一品種や産地を明示して伝統的方式で造ることが多い</x:v>
      </x:c>
      <x:c r="F24" s="165" t="str">
        <x:v>必ず炭酸ガス注入だけで造る</x:v>
      </x:c>
      <x:c r="G24" s="165" t="str">
        <x:v>原料ブドウの産地を一切表示できない</x:v>
      </x:c>
      <x:c r="H24" s="165" t="str">
        <x:v>酒精強化が義務である</x:v>
      </x:c>
      <x:c r="I24" s="165" t="str">
        <x:v>A</x:v>
      </x:c>
      <x:c r="J24" s="165" t="str">
        <x:v>原料の出所を管理し、長い瓶内熟成を行うことで、輸入ベースワインを用いる大量生産品と差別化できる。</x:v>
      </x:c>
      <x:c r="K24" s="165" t="str">
        <x:v>Winzersektの現行表示要件と教材表現を最終照合推奨</x:v>
      </x:c>
      <x:c r="L24" s="165" t="str">
        <x:v>未レビュー</x:v>
      </x:c>
      <x:c r="M24" s="312"/>
    </x:row>
    <x:row r="25" ht="110" customHeight="1">
      <x:c r="A25" s="311" t="str">
        <x:v>LO3-118</x:v>
      </x:c>
      <x:c r="B25" s="165" t="str">
        <x:v>LO3</x:v>
      </x:c>
      <x:c r="C25" s="165" t="str">
        <x:v>ライトストライク</x:v>
      </x:c>
      <x:c r="D25" s="165" t="str">
        <x:v>透明または淡色瓶の発泡性ワインを強い光にさらした場合に生じ得る問題はどれか。</x:v>
      </x:c>
      <x:c r="E25" s="165" t="str">
        <x:v>光で二酸化炭素が増え、泡が細かくなる</x:v>
      </x:c>
      <x:c r="F25" s="165" t="str">
        <x:v>光反応により、キャベツや濡れた羊毛を思わせる硫黄系の不快臭が生じる</x:v>
      </x:c>
      <x:c r="G25" s="165" t="str">
        <x:v>ワインが自然に甘くなる</x:v>
      </x:c>
      <x:c r="H25" s="165" t="str">
        <x:v>コルク汚染が必ず治る</x:v>
      </x:c>
      <x:c r="I25" s="165" t="str">
        <x:v>B</x:v>
      </x:c>
      <x:c r="J25" s="165" t="str">
        <x:v>光がリボフラビンなどへ作用し、硫黄化合物を生成するため、暗所保管や色付き瓶が有効である。</x:v>
      </x:c>
      <x:c r="K25" s="165" t="str">
        <x:v>ライトストライクの日本語官能表現を教材表現と最終照合推奨</x:v>
      </x:c>
      <x:c r="L25" s="165" t="str">
        <x:v>未レビュー</x:v>
      </x:c>
      <x:c r="M25" s="312"/>
    </x:row>
    <x:row r="26" ht="110" customHeight="1">
      <x:c r="A26" s="311" t="str">
        <x:v>LO4-064</x:v>
      </x:c>
      <x:c r="B26" s="165" t="str">
        <x:v>LO4</x:v>
      </x:c>
      <x:c r="C26" s="165" t="str">
        <x:v>クラステッド・ポート</x:v>
      </x:c>
      <x:c r="D26" s="165" t="str">
        <x:v>クラステッド・ポートの一般的な特徴はどれか。</x:v>
      </x:c>
      <x:c r="E26" s="165" t="str">
        <x:v>単一収穫年を小樽で数十年酸化熟成する</x:v>
      </x:c>
      <x:c r="F26" s="165" t="str">
        <x:v>白ブドウから造る軽い辛口</x:v>
      </x:c>
      <x:c r="G26" s="165" t="str">
        <x:v>必ず濾過して澱を完全に除く</x:v>
      </x:c>
      <x:c r="H26" s="165" t="str">
        <x:v>複数年の濃厚なルビー系ワインを無濾過で瓶詰めし、瓶熟成で澱を生じる</x:v>
      </x:c>
      <x:c r="I26" s="165" t="str">
        <x:v>D</x:v>
      </x:c>
      <x:c r="J26" s="165" t="str">
        <x:v>単一年のヴィンテージ・ポートとは異なり、複数年をブレンドするが、瓶内で発展するためデカンティングが必要になることがある。</x:v>
      </x:c>
      <x:c r="K26" s="165" t="str">
        <x:v>クラステッド・ポートの表示・熟成要件は最新教材との最終照合を推奨</x:v>
      </x:c>
      <x:c r="L26" s="165" t="str">
        <x:v>未レビュー</x:v>
      </x:c>
      <x:c r="M26" s="312"/>
    </x:row>
    <x:row r="27" ht="110" customHeight="1">
      <x:c r="A27" s="311" t="str">
        <x:v>LO4-065</x:v>
      </x:c>
      <x:c r="B27" s="165" t="str">
        <x:v>LO4</x:v>
      </x:c>
      <x:c r="C27" s="165" t="str">
        <x:v>シングル・キンタ・ヴィンテージ</x:v>
      </x:c>
      <x:c r="D27" s="165" t="str">
        <x:v>シングル・キンタ・ヴィンテージ・ポートが一般的なヴィンテージ・ポートと異なる点はどれか。</x:v>
      </x:c>
      <x:c r="E27" s="165" t="str">
        <x:v>一つの農園のブドウから造り、主要な総合ヴィンテージ宣言年以外にも瓶詰めされることがある</x:v>
      </x:c>
      <x:c r="F27" s="165" t="str">
        <x:v>複数農園と複数年を必ずブレンドする</x:v>
      </x:c>
      <x:c r="G27" s="165" t="str">
        <x:v>小樽で酸化熟成してすぐ飲める淡色スタイルにする</x:v>
      </x:c>
      <x:c r="H27" s="165" t="str">
        <x:v>白ブドウから造る</x:v>
      </x:c>
      <x:c r="I27" s="165" t="str">
        <x:v>A</x:v>
      </x:c>
      <x:c r="J27" s="165" t="str">
        <x:v>単一キンタの個性を表し、濃厚なルビー系スタイルとして瓶熟成で発展する。</x:v>
      </x:c>
      <x:c r="K27" s="165" t="str">
        <x:v>Single Quinta Vintage Portの現行表示と宣言慣行を最新教材で確認推奨</x:v>
      </x:c>
      <x:c r="L27" s="165" t="str">
        <x:v>未レビュー</x:v>
      </x:c>
      <x:c r="M27" s="312"/>
    </x:row>
    <x:row r="28" ht="110" customHeight="1">
      <x:c r="A28" s="311" t="str">
        <x:v>LO4-066</x:v>
      </x:c>
      <x:c r="B28" s="165" t="str">
        <x:v>LO4</x:v>
      </x:c>
      <x:c r="C28" s="165" t="str">
        <x:v>コルヘイタ</x:v>
      </x:c>
      <x:c r="D28" s="165" t="str">
        <x:v>コルヘイタ・ポートの一般的な特徴はどれか。</x:v>
      </x:c>
      <x:c r="E28" s="165" t="str">
        <x:v>複数年の濃色ルビーを短期瓶熟成する</x:v>
      </x:c>
      <x:c r="F28" s="165" t="str">
        <x:v>単一収穫年のトーニー・スタイルで、長期間木樽熟成する</x:v>
      </x:c>
      <x:c r="G28" s="165" t="str">
        <x:v>瓶内のフロール下で熟成する</x:v>
      </x:c>
      <x:c r="H28" s="165" t="str">
        <x:v>ブドウを凍結収穫して造る</x:v>
      </x:c>
      <x:c r="I28" s="165" t="str">
        <x:v>B</x:v>
      </x:c>
      <x:c r="J28" s="165" t="str">
        <x:v>酸化熟成により琥珀色、ナッツ、ドライフルーツの香りを発達させ、瓶詰め時には飲み頃となる。</x:v>
      </x:c>
      <x:c r="K28" s="165" t="str">
        <x:v>Colheita Portの最低樽熟成・表示要件を最新教材で最終確認推奨</x:v>
      </x:c>
      <x:c r="L28" s="165" t="str">
        <x:v>未レビュー</x:v>
      </x:c>
      <x:c r="M28" s="312"/>
    </x:row>
    <x:row r="29" ht="110" customHeight="1">
      <x:c r="A29" s="311" t="str">
        <x:v>LO4-074</x:v>
      </x:c>
      <x:c r="B29" s="165" t="str">
        <x:v>LO4</x:v>
      </x:c>
      <x:c r="C29" s="165" t="str">
        <x:v>ドウロ畑の格付け要因</x:v>
      </x:c>
      <x:c r="D29" s="165" t="str">
        <x:v>ドウロでポート用畑の品質評価に用いられる要因として最も適切なものはどれか。</x:v>
      </x:c>
      <x:c r="E29" s="165" t="str">
        <x:v>ボトルの色だけ</x:v>
      </x:c>
      <x:c r="F29" s="165" t="str">
        <x:v>標高、方角、傾斜、土壌、品種、樹齢などの組み合わせ</x:v>
      </x:c>
      <x:c r="G29" s="165" t="str">
        <x:v>ワイナリーの看板の大きさだけ</x:v>
      </x:c>
      <x:c r="H29" s="165" t="str">
        <x:v>瓶内圧力だけ</x:v>
      </x:c>
      <x:c r="I29" s="165" t="str">
        <x:v>B</x:v>
      </x:c>
      <x:c r="J29" s="165" t="str">
        <x:v>日照と水分条件、栽培難度、果実の成熟可能性を総合評価し、原料価値を判断する。</x:v>
      </x:c>
      <x:c r="K29" s="165" t="str">
        <x:v>ドウロ畑の現行分類制度と評価項目を最新教材で最終照合推奨</x:v>
      </x:c>
      <x:c r="L29" s="165" t="str">
        <x:v>未レビュー</x:v>
      </x:c>
      <x:c r="M29" s="312"/>
    </x:row>
    <x:row r="30" ht="110" customHeight="1">
      <x:c r="A30" s="311" t="str">
        <x:v>LO4-082</x:v>
      </x:c>
      <x:c r="B30" s="165" t="str">
        <x:v>LO4</x:v>
      </x:c>
      <x:c r="C30" s="165" t="str">
        <x:v>フロール用の酒精強化</x:v>
      </x:c>
      <x:c r="D30" s="165" t="str">
        <x:v>フィノ用のベースワインを比較的低いアルコール度へ酒精強化する主な理由はどれか。</x:v>
      </x:c>
      <x:c r="E30" s="165" t="str">
        <x:v>酸化を最大限にするため</x:v>
      </x:c>
      <x:c r="F30" s="165" t="str">
        <x:v>フロール酵母が生存し、ワイン表面を覆える条件を保つため</x:v>
      </x:c>
      <x:c r="G30" s="165" t="str">
        <x:v>残糖を増やすため</x:v>
      </x:c>
      <x:c r="H30" s="165" t="str">
        <x:v>瓶内圧力を高めるため</x:v>
      </x:c>
      <x:c r="I30" s="165" t="str">
        <x:v>B</x:v>
      </x:c>
      <x:c r="J30" s="165" t="str">
        <x:v>アルコールが高すぎるとフロールが活動できないため、生物学的熟成に適した水準へ調整する。</x:v>
      </x:c>
      <x:c r="K30" s="165" t="str">
        <x:v>フィノ用酒精強化度数の具体値を掲載する場合は最新教材と規定を照合推奨</x:v>
      </x:c>
      <x:c r="L30" s="165" t="str">
        <x:v>未レビュー</x:v>
      </x:c>
      <x:c r="M30" s="312"/>
    </x:row>
    <x:row r="31" ht="110" customHeight="1">
      <x:c r="A31" s="311" t="str">
        <x:v>LO4-083</x:v>
      </x:c>
      <x:c r="B31" s="165" t="str">
        <x:v>LO4</x:v>
      </x:c>
      <x:c r="C31" s="165" t="str">
        <x:v>酸化熟成用の酒精強化</x:v>
      </x:c>
      <x:c r="D31" s="165" t="str">
        <x:v>オロロソ用のベースワインをフィノより高いアルコール度へ酒精強化する主な理由はどれか。</x:v>
      </x:c>
      <x:c r="E31" s="165" t="str">
        <x:v>酵母を活発にして残糖を増やすため</x:v>
      </x:c>
      <x:c r="F31" s="165" t="str">
        <x:v>瓶内二次発酵を開始するため</x:v>
      </x:c>
      <x:c r="G31" s="165" t="str">
        <x:v>フロールの成長を防ぎ、ワインを直接酸化熟成させるため</x:v>
      </x:c>
      <x:c r="H31" s="165" t="str">
        <x:v>色を無色透明にするため</x:v>
      </x:c>
      <x:c r="I31" s="165" t="str">
        <x:v>C</x:v>
      </x:c>
      <x:c r="J31" s="165" t="str">
        <x:v>高いアルコール環境ではフロールが形成されず、樽内の空気との接触でナッツや革の風味が発達する。</x:v>
      </x:c>
      <x:c r="K31" s="165" t="str">
        <x:v>オロロソ用酒精強化度数の具体値を掲載する場合は最新教材と規定を照合推奨</x:v>
      </x:c>
      <x:c r="L31" s="165" t="str">
        <x:v>未レビュー</x:v>
      </x:c>
      <x:c r="M31" s="312"/>
    </x:row>
    <x:row r="32" ht="110" customHeight="1">
      <x:c r="A32" s="311" t="str">
        <x:v>LO4-087</x:v>
      </x:c>
      <x:c r="B32" s="165" t="str">
        <x:v>LO4</x:v>
      </x:c>
      <x:c r="C32" s="165" t="str">
        <x:v>エン・ラマ</x:v>
      </x:c>
      <x:c r="D32" s="165" t="str">
        <x:v>「エン・ラマ」と表示されるフィノやマンサニーリャに一般的に期待される特徴はどれか。</x:v>
      </x:c>
      <x:c r="E32" s="165" t="str">
        <x:v>大量の糖を加えた甘口スタイル</x:v>
      </x:c>
      <x:c r="F32" s="165" t="str">
        <x:v>長期の完全酸化熟成</x:v>
      </x:c>
      <x:c r="G32" s="165" t="str">
        <x:v>清澄・濾過を最小限にし、フロール由来の強い香りと質感を保つ</x:v>
      </x:c>
      <x:c r="H32" s="165" t="str">
        <x:v>炭酸ガス注入による発泡性</x:v>
      </x:c>
      <x:c r="I32" s="165" t="str">
        <x:v>C</x:v>
      </x:c>
      <x:c r="J32" s="165" t="str">
        <x:v>樽から取り出した状態に近く、酵母、パン生地、アーモンド、海風を思わせる風味が鮮明になりやすい。</x:v>
      </x:c>
      <x:c r="K32" s="165" t="str">
        <x:v>En Ramaの表示慣行と日本語表記を最新教材で最終照合推奨</x:v>
      </x:c>
      <x:c r="L32" s="165" t="str">
        <x:v>未レビュー</x:v>
      </x:c>
      <x:c r="M32" s="312"/>
    </x:row>
    <x:row r="33" ht="110" customHeight="1">
      <x:c r="A33" s="311" t="str">
        <x:v>LO4-088</x:v>
      </x:c>
      <x:c r="B33" s="165" t="str">
        <x:v>LO4</x:v>
      </x:c>
      <x:c r="C33" s="165" t="str">
        <x:v>フィノとマンサニーリャ</x:v>
      </x:c>
      <x:c r="D33" s="165" t="str">
        <x:v>マンサニーリャがフィノより特に繊細で塩味を思わせると表現されやすい主な理由はどれか。</x:v>
      </x:c>
      <x:c r="E33" s="165" t="str">
        <x:v>黒ブドウの長期マセレーションを行うため</x:v>
      </x:c>
      <x:c r="F33" s="165" t="str">
        <x:v>ペドロ・ヒメネスを大量に加えるため</x:v>
      </x:c>
      <x:c r="G33" s="165" t="str">
        <x:v>瓶内二次発酵を行うため</x:v>
      </x:c>
      <x:c r="H33" s="165" t="str">
        <x:v>サンルーカルの湿潤で温和な海洋性環境が、年間を通じて厚いフロールを維持しやすい</x:v>
      </x:c>
      <x:c r="I33" s="165" t="str">
        <x:v>D</x:v>
      </x:c>
      <x:c r="J33" s="165" t="str">
        <x:v>活発なフロールが酸化を強く防ぎ、軽やかで酵母、カモミール、塩味を思わせる風味を生む。</x:v>
      </x:c>
      <x:c r="K33" s="165" t="str">
        <x:v>塩味表現とフロール厚の説明を教材表現と最終照合推奨</x:v>
      </x:c>
      <x:c r="L33" s="165" t="str">
        <x:v>未レビュー</x:v>
      </x:c>
      <x:c r="M33" s="312"/>
    </x:row>
    <x:row r="34" ht="110" customHeight="1">
      <x:c r="A34" s="311" t="str">
        <x:v>LO4-091</x:v>
      </x:c>
      <x:c r="B34" s="165" t="str">
        <x:v>LO4</x:v>
      </x:c>
      <x:c r="C34" s="165" t="str">
        <x:v>パロ・コルタドのスタイル</x:v>
      </x:c>
      <x:c r="D34" s="165" t="str">
        <x:v>パロ・コルタドの特徴として最も適切なものはどれか。</x:v>
      </x:c>
      <x:c r="E34" s="165" t="str">
        <x:v>極甘口のPXだけを指す</x:v>
      </x:c>
      <x:c r="F34" s="165" t="str">
        <x:v>低アルコールの発泡性白</x:v>
      </x:c>
      <x:c r="G34" s="165" t="str">
        <x:v>アモンティリャードのような香りの繊細さと、オロロソのような豊かなボディを併せ持つ辛口</x:v>
      </x:c>
      <x:c r="H34" s="165" t="str">
        <x:v>若い高タンニン赤</x:v>
      </x:c>
      <x:c r="I34" s="165" t="str">
        <x:v>C</x:v>
      </x:c>
      <x:c r="J34" s="165" t="str">
        <x:v>生産経路は生産者によって異なるが、酸化熟成による複雑性と洗練した香りで分類される。</x:v>
      </x:c>
      <x:c r="K34" s="165" t="str">
        <x:v>パロ・コルタドの生産経路は多様なため、スタイル中心の表現を最終確認推奨</x:v>
      </x:c>
      <x:c r="L34" s="165" t="str">
        <x:v>未レビュー</x:v>
      </x:c>
      <x:c r="M34" s="312"/>
    </x:row>
    <x:row r="35" ht="110" customHeight="1">
      <x:c r="A35" s="311" t="str">
        <x:v>LO4-092</x:v>
      </x:c>
      <x:c r="B35" s="165" t="str">
        <x:v>LO4</x:v>
      </x:c>
      <x:c r="C35" s="165" t="str">
        <x:v>ペール・クリーム</x:v>
      </x:c>
      <x:c r="D35" s="165" t="str">
        <x:v>ペール・クリーム・シェリーの一般的なスタイルはどれか。</x:v>
      </x:c>
      <x:c r="E35" s="165" t="str">
        <x:v>オロロソを長期酸化熟成した完全辛口</x:v>
      </x:c>
      <x:c r="F35" s="165" t="str">
        <x:v>黒ブドウの高タンニン赤</x:v>
      </x:c>
      <x:c r="G35" s="165" t="str">
        <x:v>タンク方式の発泡性ワイン</x:v>
      </x:c>
      <x:c r="H35" s="165" t="str">
        <x:v>淡い色で、フィノ系の軽い香りを保ちながら甘味を付けたシェリー</x:v>
      </x:c>
      <x:c r="I35" s="165" t="str">
        <x:v>D</x:v>
      </x:c>
      <x:c r="J35" s="165" t="str">
        <x:v>生物学的熟成した淡色ワインへ精製濃縮果汁などで甘味を加え、色を濃くしすぎずに仕上げる。</x:v>
      </x:c>
      <x:c r="K35" s="165" t="str">
        <x:v>Pale Creamの甘味調整方法と表示区分を最新教材で最終照合推奨</x:v>
      </x:c>
      <x:c r="L35" s="165" t="str">
        <x:v>未レビュー</x:v>
      </x:c>
      <x:c r="M35" s="312"/>
    </x:row>
    <x:row r="36" ht="110" customHeight="1">
      <x:c r="A36" s="311" t="str">
        <x:v>LO4-095</x:v>
      </x:c>
      <x:c r="B36" s="165" t="str">
        <x:v>LO4</x:v>
      </x:c>
      <x:c r="C36" s="165" t="str">
        <x:v>VOS</x:v>
      </x:c>
      <x:c r="D36" s="165" t="str">
        <x:v>VOS表示のシェリーが示すものとして最も適切なものはどれか。</x:v>
      </x:c>
      <x:c r="E36" s="165" t="str">
        <x:v>単一収穫年の若いフィノ</x:v>
      </x:c>
      <x:c r="F36" s="165" t="str">
        <x:v>炭酸ガス注入した発泡性シェリー</x:v>
      </x:c>
      <x:c r="G36" s="165" t="str">
        <x:v>非常に長い平均熟成年数を持つ、認証された熟成シェリー</x:v>
      </x:c>
      <x:c r="H36" s="165" t="str">
        <x:v>アルコールを含まないワイン</x:v>
      </x:c>
      <x:c r="I36" s="165" t="str">
        <x:v>C</x:v>
      </x:c>
      <x:c r="J36" s="165" t="str">
        <x:v>古いソレラのワインを官能・分析審査し、長期熟成による濃縮と複雑性を示す表示である。</x:v>
      </x:c>
      <x:c r="K36" s="165" t="str">
        <x:v>VOSの認証条件・平均熟成年数を最新規定と教材で最終照合推奨</x:v>
      </x:c>
      <x:c r="L36" s="165" t="str">
        <x:v>未レビュー</x:v>
      </x:c>
      <x:c r="M36" s="312"/>
    </x:row>
    <x:row r="37" ht="110" customHeight="1">
      <x:c r="A37" s="311" t="str">
        <x:v>LO4-096</x:v>
      </x:c>
      <x:c r="B37" s="165" t="str">
        <x:v>LO4</x:v>
      </x:c>
      <x:c r="C37" s="165" t="str">
        <x:v>VORS</x:v>
      </x:c>
      <x:c r="D37" s="165" t="str">
        <x:v>VORS表示がVOSより一般に高い価格となる主な理由はどれか。</x:v>
      </x:c>
      <x:c r="E37" s="165" t="str">
        <x:v>VORSだけが発泡性だから</x:v>
      </x:c>
      <x:c r="F37" s="165" t="str">
        <x:v>VORSだけが無アルコールだから</x:v>
      </x:c>
      <x:c r="G37" s="165" t="str">
        <x:v>VORSは必ず高収量の若いブドウから造るから</x:v>
      </x:c>
      <x:c r="H37" s="165" t="str">
        <x:v>さらに長い平均熟成と大きな蒸発損失により、在庫費用と希少性が高い</x:v>
      </x:c>
      <x:c r="I37" s="165" t="str">
        <x:v>D</x:v>
      </x:c>
      <x:c r="J37" s="165" t="str">
        <x:v>長期樽熟成で濃縮と複雑性が増す一方、販売可能量が減り、資金が長期間拘束される。</x:v>
      </x:c>
      <x:c r="K37" s="165" t="str">
        <x:v>VORSの認証条件・平均熟成年数を最新規定と教材で最終照合推奨</x:v>
      </x:c>
      <x:c r="L37" s="165" t="str">
        <x:v>未レビュー</x:v>
      </x:c>
      <x:c r="M37" s="312"/>
    </x:row>
    <x:row r="38" ht="110" customHeight="1">
      <x:c r="A38" s="311" t="str">
        <x:v>LO4-106</x:v>
      </x:c>
      <x:c r="B38" s="165" t="str">
        <x:v>LO4</x:v>
      </x:c>
      <x:c r="C38" s="165" t="str">
        <x:v>ポニエンテとレバンテ</x:v>
      </x:c>
      <x:c r="D38" s="165" t="str">
        <x:v>ヘレスで湿ったポニエンテ風がフロールの活動に有利となる主な理由はどれか。</x:v>
      </x:c>
      <x:c r="E38" s="165" t="str">
        <x:v>風が樽へ糖を運ぶため</x:v>
      </x:c>
      <x:c r="F38" s="165" t="str">
        <x:v>大西洋から涼しく湿った空気を運び、ボデガ内を温和に保つため</x:v>
      </x:c>
      <x:c r="G38" s="165" t="str">
        <x:v>風が瓶内圧力を高めるため</x:v>
      </x:c>
      <x:c r="H38" s="165" t="str">
        <x:v>風がブドウを黒品種へ変えるため</x:v>
      </x:c>
      <x:c r="I38" s="165" t="str">
        <x:v>B</x:v>
      </x:c>
      <x:c r="J38" s="165" t="str">
        <x:v>フロールは適度な湿度と温度で活発になりやすく、乾燥した熱風より生物学的熟成を支える。</x:v>
      </x:c>
      <x:c r="K38" s="165" t="str">
        <x:v>ポニエンテ／レバンテの日本語表記と効果を教材表現で最終確認推奨</x:v>
      </x:c>
      <x:c r="L38" s="165" t="str">
        <x:v>未レビュー</x:v>
      </x:c>
      <x:c r="M38" s="312"/>
    </x:row>
    <x:row r="39" ht="110" customHeight="1">
      <x:c r="A39" s="311" t="str">
        <x:v>LO4-111</x:v>
      </x:c>
      <x:c r="B39" s="165" t="str">
        <x:v>LO4</x:v>
      </x:c>
      <x:c r="C39" s="165" t="str">
        <x:v>ラザグレンの分類</x:v>
      </x:c>
      <x:c r="D39" s="165" t="str">
        <x:v>ラザグレン・マスカットの「Rutherglen」「Classic」「Grand」「Rare」という区分が主に表すものはどれか。</x:v>
      </x:c>
      <x:c r="E39" s="165" t="str">
        <x:v>発泡性の圧力区分</x:v>
      </x:c>
      <x:c r="F39" s="165" t="str">
        <x:v>ブドウ果皮の色だけ</x:v>
      </x:c>
      <x:c r="G39" s="165" t="str">
        <x:v>熟成度、濃縮度、複雑性の段階</x:v>
      </x:c>
      <x:c r="H39" s="165" t="str">
        <x:v>アルコールを含むかどうか</x:v>
      </x:c>
      <x:c r="I39" s="165" t="str">
        <x:v>C</x:v>
      </x:c>
      <x:c r="J39" s="165" t="str">
        <x:v>上位区分ほど一般に古い原酒を多く含み、酸化熟成と蒸発による濃縮が強く、価格も高くなる。</x:v>
      </x:c>
      <x:c r="K39" s="165" t="str">
        <x:v>ラザグレンの分類名称・官能基準を最新教材と生産者団体基準で最終照合推奨</x:v>
      </x:c>
      <x:c r="L39" s="165" t="str">
        <x:v>未レビュー</x:v>
      </x:c>
      <x:c r="M39" s="312"/>
    </x:row>
    <x:row r="40" ht="110" customHeight="1">
      <x:c r="A40" s="311" t="str">
        <x:v>LO4-112</x:v>
      </x:c>
      <x:c r="B40" s="165" t="str">
        <x:v>LO4</x:v>
      </x:c>
      <x:c r="C40" s="165" t="str">
        <x:v>Rutherglen区分のスタイル</x:v>
      </x:c>
      <x:c r="D40" s="165" t="str">
        <x:v>最も若い「Rutherglen」区分のマスカットに期待される特徴はどれか。</x:v>
      </x:c>
      <x:c r="E40" s="165" t="str">
        <x:v>最も濃厚で黒く、数十年の熟成香だけ</x:v>
      </x:c>
      <x:c r="F40" s="165" t="str">
        <x:v>完全辛口で無香</x:v>
      </x:c>
      <x:c r="G40" s="165" t="str">
        <x:v>瓶内二次発酵の強い泡</x:v>
      </x:c>
      <x:c r="H40" s="165" t="str">
        <x:v>ブドウとレーズンの一次果実香が明瞭で、上位区分より軽快</x:v>
      </x:c>
      <x:c r="I40" s="165" t="str">
        <x:v>D</x:v>
      </x:c>
      <x:c r="J40" s="165" t="str">
        <x:v>若い原酒を中心にし、酸化熟成香よりモスカットの芳香と新鮮な甘味を重視する。</x:v>
      </x:c>
      <x:c r="K40" s="165" t="str">
        <x:v>区分ごとの官能表現は最新分類基準と最終照合推奨</x:v>
      </x:c>
      <x:c r="L40" s="165" t="str">
        <x:v>未レビュー</x:v>
      </x:c>
      <x:c r="M40" s="312"/>
    </x:row>
    <x:row r="41" ht="110" customHeight="1">
      <x:c r="A41" s="311" t="str">
        <x:v>LO4-113</x:v>
      </x:c>
      <x:c r="B41" s="165" t="str">
        <x:v>LO4</x:v>
      </x:c>
      <x:c r="C41" s="165" t="str">
        <x:v>Classic区分</x:v>
      </x:c>
      <x:c r="D41" s="165" t="str">
        <x:v>「Classic Rutherglen Muscat」が基本のRutherglen区分より複雑になりやすい主な理由はどれか。</x:v>
      </x:c>
      <x:c r="E41" s="165" t="str">
        <x:v>より長く熟成した原酒を多く含み、果実香にキャラメルやナッツ香が加わる</x:v>
      </x:c>
      <x:c r="F41" s="165" t="str">
        <x:v>炭酸ガスを追加するため</x:v>
      </x:c>
      <x:c r="G41" s="165" t="str">
        <x:v>残糖を完全に発酵させるため</x:v>
      </x:c>
      <x:c r="H41" s="165" t="str">
        <x:v>白品種を黒品種へ変えるため</x:v>
      </x:c>
      <x:c r="I41" s="165" t="str">
        <x:v>A</x:v>
      </x:c>
      <x:c r="J41" s="165" t="str">
        <x:v>酸化熟成とブレンドによる濃縮が進み、甘味、アルコール、熟成香の均衡が高まる。</x:v>
      </x:c>
      <x:c r="K41" s="165" t="str">
        <x:v>区分ごとの官能表現は最新分類基準と最終照合推奨</x:v>
      </x:c>
      <x:c r="L41" s="165" t="str">
        <x:v>未レビュー</x:v>
      </x:c>
      <x:c r="M41" s="312"/>
    </x:row>
    <x:row r="42" ht="110" customHeight="1">
      <x:c r="A42" s="311" t="str">
        <x:v>LO4-114</x:v>
      </x:c>
      <x:c r="B42" s="165" t="str">
        <x:v>LO4</x:v>
      </x:c>
      <x:c r="C42" s="165" t="str">
        <x:v>GrandとRare</x:v>
      </x:c>
      <x:c r="D42" s="165" t="str">
        <x:v>GrandまたはRare Rutherglen Muscatが非常に高価になりやすい主な理由はどれか。</x:v>
      </x:c>
      <x:c r="E42" s="165" t="str">
        <x:v>最も高収量の若い畑だけを使う</x:v>
      </x:c>
      <x:c r="F42" s="165" t="str">
        <x:v>非常に古く濃縮した原酒を少量用い、長期熟成中の蒸発損失が大きい</x:v>
      </x:c>
      <x:c r="G42" s="165" t="str">
        <x:v>炭酸ガス注入で大量生産する</x:v>
      </x:c>
      <x:c r="H42" s="165" t="str">
        <x:v>アルコールを除去して無酒精にする</x:v>
      </x:c>
      <x:c r="I42" s="165" t="str">
        <x:v>B</x:v>
      </x:c>
      <x:c r="J42" s="165" t="str">
        <x:v>在庫を長期間保有し、古い樽からごく少量しか得られないため、希少性と熟成コストが高い。</x:v>
      </x:c>
      <x:c r="K42" s="165" t="str">
        <x:v>Grand／Rareの分類基準・平均熟成イメージを最新基準と照合推奨</x:v>
      </x:c>
      <x:c r="L42" s="165" t="str">
        <x:v>未レビュー</x:v>
      </x:c>
      <x:c r="M42" s="312"/>
    </x:row>
    <x:row r="43" ht="110" customHeight="1">
      <x:c r="A43" s="311" t="str">
        <x:v>LO5-063</x:v>
      </x:c>
      <x:c r="B43" s="165" t="str">
        <x:v>LO5</x:v>
      </x:c>
      <x:c r="C43" s="165" t="str">
        <x:v>亜硫酸塩に関する案内</x:v>
      </x:c>
      <x:c r="D43" s="165" t="str">
        <x:v>亜硫酸塩への感受性を申し出た顧客への対応として最も適切なものはどれか。</x:v>
      </x:c>
      <x:c r="E43" s="165" t="str">
        <x:v>赤ワインには亜硫酸塩が絶対に存在しないと伝える</x:v>
      </x:c>
      <x:c r="F43" s="165" t="str">
        <x:v>デカンティングすればすべての亜硫酸塩が消えると伝える</x:v>
      </x:c>
      <x:c r="G43" s="165" t="str">
        <x:v>ラベルや商品情報を確認し、断定的な医療助言を避け、必要なら摂取しない選択肢を案内する</x:v>
      </x:c>
      <x:c r="H43" s="165" t="str">
        <x:v>高価なワインなら必ず安全と断言する</x:v>
      </x:c>
      <x:c r="I43" s="165" t="str">
        <x:v>C</x:v>
      </x:c>
      <x:c r="J43" s="165" t="str">
        <x:v>ワインには発酵由来を含む亜硫酸塩が存在し得るため、正確な表示情報を伝え、健康判断は本人や医療専門家へ委ねる。</x:v>
      </x:c>
      <x:c r="K43" s="165" t="str">
        <x:v>アレルゲン・表示・健康関連のため、地域別法規と表現を法務・専門家確認推奨</x:v>
      </x:c>
      <x:c r="L43" s="165" t="str">
        <x:v>未レビュー</x:v>
      </x:c>
      <x:c r="M43" s="312"/>
    </x:row>
    <x:row r="44" ht="110" customHeight="1">
      <x:c r="A44" s="311" t="str">
        <x:v>LO5-095</x:v>
      </x:c>
      <x:c r="B44" s="165" t="str">
        <x:v>LO5</x:v>
      </x:c>
      <x:c r="C44" s="165" t="str">
        <x:v>ブレタノマイセスの判断</x:v>
      </x:c>
      <x:c r="D44" s="165" t="str">
        <x:v>ブレタノマイセス由来の動物的・薬品的な香りについて最も適切な判断はどれか。</x:v>
      </x:c>
      <x:c r="E44" s="165" t="str">
        <x:v>すべてのワインに必須の高品質香である</x:v>
      </x:c>
      <x:c r="F44" s="165" t="str">
        <x:v>デカンティングで必ず完全消失する</x:v>
      </x:c>
      <x:c r="G44" s="165" t="str">
        <x:v>低濃度を複雑性と捉える人もいるが、果実を覆う高濃度では一般に欠陥と判断される</x:v>
      </x:c>
      <x:c r="H44" s="165" t="str">
        <x:v>白ワインには絶対に存在しない</x:v>
      </x:c>
      <x:c r="I44" s="165" t="str">
        <x:v>C</x:v>
      </x:c>
      <x:c r="J44" s="165" t="str">
        <x:v>感覚閾値とスタイルにより評価が分かれるため、強度とワイン全体のバランスを確認する。</x:v>
      </x:c>
      <x:c r="K44" s="165" t="str">
        <x:v>ブレタノマイセスの許容度は官能評価上の議論があるため、断定表現を専門家確認推奨</x:v>
      </x:c>
      <x:c r="L44" s="165" t="str">
        <x:v>未レビュー</x:v>
      </x:c>
      <x:c r="M44" s="312"/>
    </x:row>
    <x:row r="45" ht="110" customHeight="1">
      <x:c r="A45" s="311" t="str">
        <x:v>LO5-118</x:v>
      </x:c>
      <x:c r="B45" s="165" t="str">
        <x:v>LO5</x:v>
      </x:c>
      <x:c r="C45" s="165" t="str">
        <x:v>責任ある提供ペース</x:v>
      </x:c>
      <x:c r="D45" s="165" t="str">
        <x:v>責任あるワインサービスで、提供ペースを管理する主な目的はどれか。</x:v>
      </x:c>
      <x:c r="E45" s="165" t="str">
        <x:v>ゆっくり飲めばアルコールが存在しなくなる</x:v>
      </x:c>
      <x:c r="F45" s="165" t="str">
        <x:v>短時間の過剰摂取を避け、顧客の状態を確認しながら安全に楽しめるようにする</x:v>
      </x:c>
      <x:c r="G45" s="165" t="str">
        <x:v>高価なワインなら提供量を管理しなくてよい</x:v>
      </x:c>
      <x:c r="H45" s="165" t="str">
        <x:v>顧客の状態を確認する必要はない</x:v>
      </x:c>
      <x:c r="I45" s="165" t="str">
        <x:v>B</x:v>
      </x:c>
      <x:c r="J45" s="165" t="str">
        <x:v>量と速度の双方が酩酊へ影響するため、水や料理の案内、追加提供の判断と組み合わせる。</x:v>
      </x:c>
      <x:c r="K45" s="165" t="str">
        <x:v>責任ある提供と地域法規に関わるため、運用地域の法令・社内方針との照合を推奨</x:v>
      </x:c>
      <x:c r="L45" s="165" t="str">
        <x:v>未レビュー</x:v>
      </x:c>
      <x:c r="M45" s="312"/>
    </x:row>
    <x:row r="46" ht="110" customHeight="1">
      <x:c r="A46" s="311" t="str">
        <x:v>LO5-119</x:v>
      </x:c>
      <x:c r="B46" s="165" t="str">
        <x:v>LO5</x:v>
      </x:c>
      <x:c r="C46" s="165" t="str">
        <x:v>水と食事の役割</x:v>
      </x:c>
      <x:c r="D46" s="165" t="str">
        <x:v>飲酒中に水と食事を取ることについて最も適切な説明はどれか。</x:v>
      </x:c>
      <x:c r="E46" s="165" t="str">
        <x:v>水を飲めばどれだけ飲酒しても直ちに運転できる</x:v>
      </x:c>
      <x:c r="F46" s="165" t="str">
        <x:v>食事をすればアルコールが体内へ一切入らない</x:v>
      </x:c>
      <x:c r="G46" s="165" t="str">
        <x:v>脱水や急速な吸収を緩和する助けにはなるが、摂取したアルコールを無効にはしない</x:v>
      </x:c>
      <x:c r="H46" s="165" t="str">
        <x:v>コーヒーと同様にアルコールを化学的に分解する</x:v>
      </x:c>
      <x:c r="I46" s="165" t="str">
        <x:v>C</x:v>
      </x:c>
      <x:c r="J46" s="165" t="str">
        <x:v>食事は吸収速度を遅らせ、水は水分補給に役立つが、体内アルコールの代謝には時間が必要である。</x:v>
      </x:c>
      <x:c r="K46" s="165" t="str">
        <x:v>健康関連の一般情報として扱い、医療助言や地域別運転基準の代替にしないことを確認推奨</x:v>
      </x:c>
      <x:c r="L46" s="165" t="str">
        <x:v>未レビュー</x:v>
      </x:c>
      <x:c r="M46" s="312"/>
    </x:row>
    <x:row r="47" ht="110" customHeight="1">
      <x:c r="A47" s="313" t="str">
        <x:v>LO5-120</x:v>
      </x:c>
      <x:c r="B47" s="314" t="str">
        <x:v>LO5</x:v>
      </x:c>
      <x:c r="C47" s="314" t="str">
        <x:v>運転者への提案</x:v>
      </x:c>
      <x:c r="D47" s="314" t="str">
        <x:v>車を運転する予定の顧客への最も適切な提案はどれか。</x:v>
      </x:c>
      <x:c r="E47" s="314" t="str">
        <x:v>少量なら必ず法的にも安全と断言する</x:v>
      </x:c>
      <x:c r="F47" s="314" t="str">
        <x:v>コーヒーを飲めばすぐ運転できると案内する</x:v>
      </x:c>
      <x:c r="G47" s="314" t="str">
        <x:v>高品質ワインなら運転へ影響しないと説明する</x:v>
      </x:c>
      <x:c r="H47" s="314" t="str">
        <x:v>アルコールを提供せず、ノンアルコール飲料や安全な帰宅手段を案内する</x:v>
      </x:c>
      <x:c r="I47" s="314" t="str">
        <x:v>D</x:v>
      </x:c>
      <x:c r="J47" s="314" t="str">
        <x:v>飲酒量や時間から運転可能性を推測せず、安全を最優先にする。</x:v>
      </x:c>
      <x:c r="K47" s="314" t="str">
        <x:v>地域ごとの飲酒運転法規に関わるため、具体的な基準値を示さず安全優先の一般表現として確認推奨</x:v>
      </x:c>
      <x:c r="L47" s="314" t="str">
        <x:v>未レビュー</x:v>
      </x:c>
      <x:c r="M47" s="315"/>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row r="61">
      <x:c r="A61"/>
      <x:c r="B61"/>
      <x:c r="C61"/>
      <x:c r="D61"/>
      <x:c r="E61"/>
      <x:c r="F61"/>
      <x:c r="G61"/>
      <x:c r="H61"/>
      <x:c r="I61"/>
      <x:c r="J61"/>
      <x:c r="K61"/>
      <x:c r="L61"/>
      <x:c r="M61"/>
    </x:row>
    <x:row r="62">
      <x:c r="A62"/>
      <x:c r="B62"/>
      <x:c r="C62"/>
      <x:c r="D62"/>
      <x:c r="E62"/>
      <x:c r="F62"/>
      <x:c r="G62"/>
      <x:c r="H62"/>
      <x:c r="I62"/>
      <x:c r="J62"/>
      <x:c r="K62"/>
      <x:c r="L62"/>
      <x:c r="M62"/>
    </x:row>
    <x:row r="63">
      <x:c r="A63"/>
      <x:c r="B63"/>
      <x:c r="C63"/>
      <x:c r="D63"/>
      <x:c r="E63"/>
      <x:c r="F63"/>
      <x:c r="G63"/>
      <x:c r="H63"/>
      <x:c r="I63"/>
      <x:c r="J63"/>
      <x:c r="K63"/>
      <x:c r="L63"/>
      <x:c r="M63"/>
    </x:row>
    <x:row r="64">
      <x:c r="A64"/>
      <x:c r="B64"/>
      <x:c r="C64"/>
      <x:c r="D64"/>
      <x:c r="E64"/>
      <x:c r="F64"/>
      <x:c r="G64"/>
      <x:c r="H64"/>
      <x:c r="I64"/>
      <x:c r="J64"/>
      <x:c r="K64"/>
      <x:c r="L64"/>
      <x:c r="M64"/>
    </x:row>
    <x:row r="65">
      <x:c r="A65"/>
      <x:c r="B65"/>
      <x:c r="C65"/>
      <x:c r="D65"/>
      <x:c r="E65"/>
      <x:c r="F65"/>
      <x:c r="G65"/>
      <x:c r="H65"/>
      <x:c r="I65"/>
      <x:c r="J65"/>
      <x:c r="K65"/>
      <x:c r="L65"/>
      <x:c r="M65"/>
    </x:row>
    <x:row r="66">
      <x:c r="A66"/>
      <x:c r="B66"/>
      <x:c r="C66"/>
      <x:c r="D66"/>
      <x:c r="E66"/>
      <x:c r="F66"/>
      <x:c r="G66"/>
      <x:c r="H66"/>
      <x:c r="I66"/>
      <x:c r="J66"/>
      <x:c r="K66"/>
      <x:c r="L66"/>
      <x:c r="M66"/>
    </x:row>
    <x:row r="67">
      <x:c r="A67"/>
      <x:c r="B67"/>
      <x:c r="C67"/>
      <x:c r="D67"/>
      <x:c r="E67"/>
      <x:c r="F67"/>
      <x:c r="G67"/>
      <x:c r="H67"/>
      <x:c r="I67"/>
      <x:c r="J67"/>
      <x:c r="K67"/>
      <x:c r="L67"/>
      <x:c r="M67"/>
    </x:row>
    <x:row r="68">
      <x:c r="A68"/>
      <x:c r="B68"/>
      <x:c r="C68"/>
      <x:c r="D68"/>
      <x:c r="E68"/>
      <x:c r="F68"/>
      <x:c r="G68"/>
      <x:c r="H68"/>
      <x:c r="I68"/>
      <x:c r="J68"/>
      <x:c r="K68"/>
      <x:c r="L68"/>
      <x:c r="M68"/>
    </x:row>
    <x:row r="69">
      <x:c r="A69"/>
      <x:c r="B69"/>
      <x:c r="C69"/>
      <x:c r="D69"/>
      <x:c r="E69"/>
      <x:c r="F69"/>
      <x:c r="G69"/>
      <x:c r="H69"/>
      <x:c r="I69"/>
      <x:c r="J69"/>
      <x:c r="K69"/>
      <x:c r="L69"/>
      <x:c r="M69"/>
    </x:row>
    <x:row r="70">
      <x:c r="A70"/>
      <x:c r="B70"/>
      <x:c r="C70"/>
      <x:c r="D70"/>
      <x:c r="E70"/>
      <x:c r="F70"/>
      <x:c r="G70"/>
      <x:c r="H70"/>
      <x:c r="I70"/>
      <x:c r="J70"/>
      <x:c r="K70"/>
      <x:c r="L70"/>
      <x:c r="M70"/>
    </x:row>
    <x:row r="71">
      <x:c r="A71"/>
      <x:c r="B71"/>
      <x:c r="C71"/>
      <x:c r="D71"/>
      <x:c r="E71"/>
      <x:c r="F71"/>
      <x:c r="G71"/>
      <x:c r="H71"/>
      <x:c r="I71"/>
      <x:c r="J71"/>
      <x:c r="K71"/>
      <x:c r="L71"/>
      <x:c r="M71"/>
    </x:row>
    <x:row r="72">
      <x:c r="A72"/>
      <x:c r="B72"/>
      <x:c r="C72"/>
      <x:c r="D72"/>
      <x:c r="E72"/>
      <x:c r="F72"/>
      <x:c r="G72"/>
      <x:c r="H72"/>
      <x:c r="I72"/>
      <x:c r="J72"/>
      <x:c r="K72"/>
      <x:c r="L72"/>
      <x:c r="M72"/>
    </x:row>
    <x:row r="73">
      <x:c r="A73"/>
      <x:c r="B73"/>
      <x:c r="C73"/>
      <x:c r="D73"/>
      <x:c r="E73"/>
      <x:c r="F73"/>
      <x:c r="G73"/>
      <x:c r="H73"/>
      <x:c r="I73"/>
      <x:c r="J73"/>
      <x:c r="K73"/>
      <x:c r="L73"/>
      <x:c r="M73"/>
    </x:row>
    <x:row r="74">
      <x:c r="A74"/>
      <x:c r="B74"/>
      <x:c r="C74"/>
      <x:c r="D74"/>
      <x:c r="E74"/>
      <x:c r="F74"/>
      <x:c r="G74"/>
      <x:c r="H74"/>
      <x:c r="I74"/>
      <x:c r="J74"/>
      <x:c r="K74"/>
      <x:c r="L74"/>
      <x:c r="M74"/>
    </x:row>
    <x:row r="75">
      <x:c r="A75"/>
      <x:c r="B75"/>
      <x:c r="C75"/>
      <x:c r="D75"/>
      <x:c r="E75"/>
      <x:c r="F75"/>
      <x:c r="G75"/>
      <x:c r="H75"/>
      <x:c r="I75"/>
      <x:c r="J75"/>
      <x:c r="K75"/>
      <x:c r="L75"/>
      <x:c r="M75"/>
    </x:row>
    <x:row r="76">
      <x:c r="A76"/>
      <x:c r="B76"/>
      <x:c r="C76"/>
      <x:c r="D76"/>
      <x:c r="E76"/>
      <x:c r="F76"/>
      <x:c r="G76"/>
      <x:c r="H76"/>
      <x:c r="I76"/>
      <x:c r="J76"/>
      <x:c r="K76"/>
      <x:c r="L76"/>
      <x:c r="M76"/>
    </x:row>
    <x:row r="77">
      <x:c r="A77"/>
      <x:c r="B77"/>
      <x:c r="C77"/>
      <x:c r="D77"/>
      <x:c r="E77"/>
      <x:c r="F77"/>
      <x:c r="G77"/>
      <x:c r="H77"/>
      <x:c r="I77"/>
      <x:c r="J77"/>
      <x:c r="K77"/>
      <x:c r="L77"/>
      <x:c r="M77"/>
    </x:row>
    <x:row r="78">
      <x:c r="A78"/>
      <x:c r="B78"/>
      <x:c r="C78"/>
      <x:c r="D78"/>
      <x:c r="E78"/>
      <x:c r="F78"/>
      <x:c r="G78"/>
      <x:c r="H78"/>
      <x:c r="I78"/>
      <x:c r="J78"/>
      <x:c r="K78"/>
      <x:c r="L78"/>
      <x:c r="M78"/>
    </x:row>
    <x:row r="79">
      <x:c r="A79"/>
      <x:c r="B79"/>
      <x:c r="C79"/>
      <x:c r="D79"/>
      <x:c r="E79"/>
      <x:c r="F79"/>
      <x:c r="G79"/>
      <x:c r="H79"/>
      <x:c r="I79"/>
      <x:c r="J79"/>
      <x:c r="K79"/>
      <x:c r="L79"/>
      <x:c r="M79"/>
    </x:row>
    <x:row r="80">
      <x:c r="A80"/>
      <x:c r="B80"/>
      <x:c r="C80"/>
      <x:c r="D80"/>
      <x:c r="E80"/>
      <x:c r="F80"/>
      <x:c r="G80"/>
      <x:c r="H80"/>
      <x:c r="I80"/>
      <x:c r="J80"/>
      <x:c r="K80"/>
      <x:c r="L80"/>
      <x:c r="M80"/>
    </x:row>
    <x:row r="81">
      <x:c r="A81"/>
      <x:c r="B81"/>
      <x:c r="C81"/>
      <x:c r="D81"/>
      <x:c r="E81"/>
      <x:c r="F81"/>
      <x:c r="G81"/>
      <x:c r="H81"/>
      <x:c r="I81"/>
      <x:c r="J81"/>
      <x:c r="K81"/>
      <x:c r="L81"/>
      <x:c r="M81"/>
    </x:row>
    <x:row r="82">
      <x:c r="A82"/>
      <x:c r="B82"/>
      <x:c r="C82"/>
      <x:c r="D82"/>
      <x:c r="E82"/>
      <x:c r="F82"/>
      <x:c r="G82"/>
      <x:c r="H82"/>
      <x:c r="I82"/>
      <x:c r="J82"/>
      <x:c r="K82"/>
      <x:c r="L82"/>
      <x:c r="M82"/>
    </x:row>
    <x:row r="83">
      <x:c r="A83"/>
      <x:c r="B83"/>
      <x:c r="C83"/>
      <x:c r="D83"/>
      <x:c r="E83"/>
      <x:c r="F83"/>
      <x:c r="G83"/>
      <x:c r="H83"/>
      <x:c r="I83"/>
      <x:c r="J83"/>
      <x:c r="K83"/>
      <x:c r="L83"/>
      <x:c r="M83"/>
    </x:row>
    <x:row r="84">
      <x:c r="A84"/>
      <x:c r="B84"/>
      <x:c r="C84"/>
      <x:c r="D84"/>
      <x:c r="E84"/>
      <x:c r="F84"/>
      <x:c r="G84"/>
      <x:c r="H84"/>
      <x:c r="I84"/>
      <x:c r="J84"/>
      <x:c r="K84"/>
      <x:c r="L84"/>
      <x:c r="M84"/>
    </x:row>
    <x:row r="85">
      <x:c r="A85"/>
      <x:c r="B85"/>
      <x:c r="C85"/>
      <x:c r="D85"/>
      <x:c r="E85"/>
      <x:c r="F85"/>
      <x:c r="G85"/>
      <x:c r="H85"/>
      <x:c r="I85"/>
      <x:c r="J85"/>
      <x:c r="K85"/>
      <x:c r="L85"/>
      <x:c r="M85"/>
    </x:row>
    <x:row r="86">
      <x:c r="A86"/>
      <x:c r="B86"/>
      <x:c r="C86"/>
      <x:c r="D86"/>
      <x:c r="E86"/>
      <x:c r="F86"/>
      <x:c r="G86"/>
      <x:c r="H86"/>
      <x:c r="I86"/>
      <x:c r="J86"/>
      <x:c r="K86"/>
      <x:c r="L86"/>
      <x:c r="M86"/>
    </x:row>
    <x:row r="87">
      <x:c r="A87"/>
      <x:c r="B87"/>
      <x:c r="C87"/>
      <x:c r="D87"/>
      <x:c r="E87"/>
      <x:c r="F87"/>
      <x:c r="G87"/>
      <x:c r="H87"/>
      <x:c r="I87"/>
      <x:c r="J87"/>
      <x:c r="K87"/>
      <x:c r="L87"/>
      <x:c r="M87"/>
    </x:row>
    <x:row r="88">
      <x:c r="A88"/>
      <x:c r="B88"/>
      <x:c r="C88"/>
      <x:c r="D88"/>
      <x:c r="E88"/>
      <x:c r="F88"/>
      <x:c r="G88"/>
      <x:c r="H88"/>
      <x:c r="I88"/>
      <x:c r="J88"/>
      <x:c r="K88"/>
      <x:c r="L88"/>
      <x:c r="M88"/>
    </x:row>
    <x:row r="89">
      <x:c r="A89"/>
      <x:c r="B89"/>
      <x:c r="C89"/>
      <x:c r="D89"/>
      <x:c r="E89"/>
      <x:c r="F89"/>
      <x:c r="G89"/>
      <x:c r="H89"/>
      <x:c r="I89"/>
      <x:c r="J89"/>
      <x:c r="K89"/>
      <x:c r="L89"/>
      <x:c r="M89"/>
    </x:row>
    <x:row r="90">
      <x:c r="A90"/>
      <x:c r="B90"/>
      <x:c r="C90"/>
      <x:c r="D90"/>
      <x:c r="E90"/>
      <x:c r="F90"/>
      <x:c r="G90"/>
      <x:c r="H90"/>
      <x:c r="I90"/>
      <x:c r="J90"/>
      <x:c r="K90"/>
      <x:c r="L90"/>
      <x:c r="M90"/>
    </x:row>
    <x:row r="91">
      <x:c r="A91"/>
      <x:c r="B91"/>
      <x:c r="C91"/>
      <x:c r="D91"/>
      <x:c r="E91"/>
      <x:c r="F91"/>
      <x:c r="G91"/>
      <x:c r="H91"/>
      <x:c r="I91"/>
      <x:c r="J91"/>
      <x:c r="K91"/>
      <x:c r="L91"/>
      <x:c r="M91"/>
    </x:row>
    <x:row r="92">
      <x:c r="A92"/>
      <x:c r="B92"/>
      <x:c r="C92"/>
      <x:c r="D92"/>
      <x:c r="E92"/>
      <x:c r="F92"/>
      <x:c r="G92"/>
      <x:c r="H92"/>
      <x:c r="I92"/>
      <x:c r="J92"/>
      <x:c r="K92"/>
      <x:c r="L92"/>
      <x:c r="M92"/>
    </x:row>
    <x:row r="93">
      <x:c r="A93"/>
      <x:c r="B93"/>
      <x:c r="C93"/>
      <x:c r="D93"/>
      <x:c r="E93"/>
      <x:c r="F93"/>
      <x:c r="G93"/>
      <x:c r="H93"/>
      <x:c r="I93"/>
      <x:c r="J93"/>
      <x:c r="K93"/>
      <x:c r="L93"/>
      <x:c r="M93"/>
    </x:row>
    <x:row r="94">
      <x:c r="A94"/>
      <x:c r="B94"/>
      <x:c r="C94"/>
      <x:c r="D94"/>
      <x:c r="E94"/>
      <x:c r="F94"/>
      <x:c r="G94"/>
      <x:c r="H94"/>
      <x:c r="I94"/>
      <x:c r="J94"/>
      <x:c r="K94"/>
      <x:c r="L94"/>
      <x:c r="M94"/>
    </x:row>
    <x:row r="95">
      <x:c r="A95"/>
      <x:c r="B95"/>
      <x:c r="C95"/>
      <x:c r="D95"/>
      <x:c r="E95"/>
      <x:c r="F95"/>
      <x:c r="G95"/>
      <x:c r="H95"/>
      <x:c r="I95"/>
      <x:c r="J95"/>
      <x:c r="K95"/>
      <x:c r="L95"/>
      <x:c r="M95"/>
    </x:row>
    <x:row r="96">
      <x:c r="A96"/>
      <x:c r="B96"/>
      <x:c r="C96"/>
      <x:c r="D96"/>
      <x:c r="E96"/>
      <x:c r="F96"/>
      <x:c r="G96"/>
      <x:c r="H96"/>
      <x:c r="I96"/>
      <x:c r="J96"/>
      <x:c r="K96"/>
      <x:c r="L96"/>
      <x:c r="M96"/>
    </x:row>
    <x:row r="97">
      <x:c r="A97"/>
      <x:c r="B97"/>
      <x:c r="C97"/>
      <x:c r="D97"/>
      <x:c r="E97"/>
      <x:c r="F97"/>
      <x:c r="G97"/>
      <x:c r="H97"/>
      <x:c r="I97"/>
      <x:c r="J97"/>
      <x:c r="K97"/>
      <x:c r="L97"/>
      <x:c r="M97"/>
    </x:row>
    <x:row r="98">
      <x:c r="A98"/>
      <x:c r="B98"/>
      <x:c r="C98"/>
      <x:c r="D98"/>
      <x:c r="E98"/>
      <x:c r="F98"/>
      <x:c r="G98"/>
      <x:c r="H98"/>
      <x:c r="I98"/>
      <x:c r="J98"/>
      <x:c r="K98"/>
      <x:c r="L98"/>
      <x:c r="M98"/>
    </x:row>
    <x:row r="99">
      <x:c r="A99"/>
      <x:c r="B99"/>
      <x:c r="C99"/>
      <x:c r="D99"/>
      <x:c r="E99"/>
      <x:c r="F99"/>
      <x:c r="G99"/>
      <x:c r="H99"/>
      <x:c r="I99"/>
      <x:c r="J99"/>
      <x:c r="K99"/>
      <x:c r="L99"/>
      <x:c r="M99"/>
    </x:row>
    <x:row r="100">
      <x:c r="A100"/>
      <x:c r="B100"/>
      <x:c r="C100"/>
      <x:c r="D100"/>
      <x:c r="E100"/>
      <x:c r="F100"/>
      <x:c r="G100"/>
      <x:c r="H100"/>
      <x:c r="I100"/>
      <x:c r="J100"/>
      <x:c r="K100"/>
      <x:c r="L100"/>
      <x:c r="M100"/>
    </x:row>
  </x:sheetData>
  <x:dataValidations count="3">
    <x:dataValidation type="list" sqref="L2:L3">
      <x:formula1>"未レビュー,確認中,修正要,承認,却下"</x:formula1>
    </x:dataValidation>
    <x:dataValidation type="list" sqref="L2:L17">
      <x:formula1>"未レビュー,確認中,修正要,承認,却下"</x:formula1>
    </x:dataValidation>
    <x:dataValidation type="list" sqref="L2:L47">
      <x:formula1>"未レビュー,確認中,修正要,承認,却下"</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42" hidden="0" customWidth="1"/>
    <x:col min="3" max="3" width="55" hidden="0" customWidth="1"/>
    <x:col min="4" max="4" width="16" hidden="0" customWidth="1"/>
    <x:col min="5" max="5" width="16" hidden="0" customWidth="1"/>
    <x:col min="6" max="6" width="16" hidden="0" customWidth="1"/>
  </x:cols>
  <x:sheetData>
    <x:row r="1">
      <x:c r="A1" s="117" t="str">
        <x:v>タグ定義・運用ルール</x:v>
      </x:c>
      <x:c r="B1" s="117"/>
      <x:c r="C1" s="117"/>
      <x:c r="D1" s="117"/>
      <x:c r="E1" s="117"/>
      <x:c r="F1" s="117"/>
    </x:row>
    <x:row r="2">
      <x:c r="A2" s="42"/>
      <x:c r="B2" s="42"/>
      <x:c r="C2" s="42"/>
      <x:c r="D2" s="42"/>
      <x:c r="E2" s="42"/>
      <x:c r="F2" s="42"/>
    </x:row>
    <x:row r="3">
      <x:c r="A3" s="118" t="str">
        <x:v>LO</x:v>
      </x:c>
      <x:c r="B3" s="118" t="str">
        <x:v>名称</x:v>
      </x:c>
      <x:c r="C3" s="118" t="str">
        <x:v>本ファイルでの扱い</x:v>
      </x:c>
      <x:c r="D3" s="42"/>
      <x:c r="E3" s="42"/>
      <x:c r="F3" s="42"/>
    </x:row>
    <x:row r="4">
      <x:c r="A4" s="119" t="str">
        <x:v>LO1</x:v>
      </x:c>
      <x:c r="B4" s="120" t="str">
        <x:v>ブドウ畑・ワイナリーの自然要因と人的要因</x:v>
      </x:c>
      <x:c r="C4" s="121" t="str">
        <x:v>地域横断の一般原則</x:v>
      </x:c>
      <x:c r="D4" s="42"/>
      <x:c r="E4" s="42"/>
      <x:c r="F4" s="42"/>
    </x:row>
    <x:row r="5">
      <x:c r="A5" s="41" t="str">
        <x:v>LO2</x:v>
      </x:c>
      <x:c r="B5" s="42" t="str">
        <x:v>世界の主要な非発泡性ワイン</x:v>
      </x:c>
      <x:c r="C5" s="43" t="str">
        <x:v>産地・品種・栽培・醸造・法律・商業</x:v>
      </x:c>
      <x:c r="D5" s="42"/>
      <x:c r="E5" s="42"/>
      <x:c r="F5" s="42"/>
    </x:row>
    <x:row r="6">
      <x:c r="A6" s="41" t="str">
        <x:v>LO3</x:v>
      </x:c>
      <x:c r="B6" s="42" t="str">
        <x:v>世界の主要な発泡性ワイン</x:v>
      </x:c>
      <x:c r="C6" s="43" t="str">
        <x:v>製法・産地・品種・法律・価格</x:v>
      </x:c>
      <x:c r="D6" s="42"/>
      <x:c r="E6" s="42"/>
      <x:c r="F6" s="42"/>
    </x:row>
    <x:row r="7">
      <x:c r="A7" s="41" t="str">
        <x:v>LO4</x:v>
      </x:c>
      <x:c r="B7" s="42" t="str">
        <x:v>世界の主要な酒精強化ワイン</x:v>
      </x:c>
      <x:c r="C7" s="43" t="str">
        <x:v>ポート、シェリー、酒精強化マスカット</x:v>
      </x:c>
      <x:c r="D7" s="42"/>
      <x:c r="E7" s="42"/>
      <x:c r="F7" s="42"/>
    </x:row>
    <x:row r="8">
      <x:c r="A8" s="44" t="str">
        <x:v>LO5</x:v>
      </x:c>
      <x:c r="B8" s="45" t="str">
        <x:v>情報提供・推奨・保管・サービス</x:v>
      </x:c>
      <x:c r="C8" s="46" t="str">
        <x:v>保管、サービス、欠陥、料理との組み合わせ、責任ある飲酒</x:v>
      </x:c>
      <x:c r="D8" s="42"/>
      <x:c r="E8" s="42"/>
      <x:c r="F8" s="42"/>
    </x:row>
    <x:row r="9">
      <x:c r="A9" s="42"/>
      <x:c r="B9" s="42"/>
      <x:c r="C9" s="42"/>
      <x:c r="D9" s="42"/>
      <x:c r="E9" s="42"/>
      <x:c r="F9" s="42"/>
    </x:row>
    <x:row r="10">
      <x:c r="A10" s="42"/>
      <x:c r="B10" s="42"/>
      <x:c r="C10" s="42"/>
      <x:c r="D10" s="42"/>
      <x:c r="E10" s="42"/>
      <x:c r="F10" s="42"/>
    </x:row>
    <x:row r="11">
      <x:c r="A11" s="118" t="str">
        <x:v>難易度</x:v>
      </x:c>
      <x:c r="B11" s="118" t="str">
        <x:v>定義</x:v>
      </x:c>
      <x:c r="C11" s="118" t="str">
        <x:v>典型例</x:v>
      </x:c>
      <x:c r="D11" s="42"/>
      <x:c r="E11" s="42"/>
      <x:c r="F11" s="42"/>
    </x:row>
    <x:row r="12">
      <x:c r="A12" s="119" t="str">
        <x:v>D1</x:v>
      </x:c>
      <x:c r="B12" s="120" t="str">
        <x:v>単一事実または一段階の知識確認</x:v>
      </x:c>
      <x:c r="C12" s="121" t="str">
        <x:v>品種、工程名、典型的特徴</x:v>
      </x:c>
      <x:c r="D12" s="42"/>
      <x:c r="E12" s="42"/>
      <x:c r="F12" s="42"/>
    </x:row>
    <x:row r="13">
      <x:c r="A13" s="41" t="str">
        <x:v>D2</x:v>
      </x:c>
      <x:c r="B13" s="42" t="str">
        <x:v>原因と結果、または知識の適用</x:v>
      </x:c>
      <x:c r="C13" s="43" t="str">
        <x:v>気候→成熟→スタイル</x:v>
      </x:c>
      <x:c r="D13" s="42"/>
      <x:c r="E13" s="42"/>
      <x:c r="F13" s="42"/>
    </x:row>
    <x:row r="14">
      <x:c r="A14" s="44" t="str">
        <x:v>D3</x:v>
      </x:c>
      <x:c r="B14" s="45" t="str">
        <x:v>複数要因の統合、比較、価格・品質判断</x:v>
      </x:c>
      <x:c r="C14" s="46" t="str">
        <x:v>産地内差、製法と商業要因の統合</x:v>
      </x:c>
      <x:c r="D14" s="42"/>
      <x:c r="E14" s="42"/>
      <x:c r="F14" s="42"/>
    </x:row>
    <x:row r="15">
      <x:c r="A15" s="42"/>
      <x:c r="B15" s="42"/>
      <x:c r="C15" s="42"/>
      <x:c r="D15" s="42"/>
      <x:c r="E15" s="42"/>
      <x:c r="F15" s="42"/>
    </x:row>
    <x:row r="16">
      <x:c r="A16" s="42"/>
      <x:c r="B16" s="42"/>
      <x:c r="C16" s="42"/>
      <x:c r="D16" s="42"/>
      <x:c r="E16" s="42"/>
      <x:c r="F16" s="42"/>
    </x:row>
    <x:row r="17">
      <x:c r="A17" s="118" t="str">
        <x:v>思考スキル</x:v>
      </x:c>
      <x:c r="B17" s="118" t="str">
        <x:v>意味</x:v>
      </x:c>
      <x:c r="C17" s="118" t="str">
        <x:v>設問の特徴</x:v>
      </x:c>
      <x:c r="D17" s="42"/>
      <x:c r="E17" s="42"/>
      <x:c r="F17" s="42"/>
    </x:row>
    <x:row r="18">
      <x:c r="A18" s="119" t="str">
        <x:v>知識確認</x:v>
      </x:c>
      <x:c r="B18" s="120" t="str">
        <x:v>名称・特徴を特定する</x:v>
      </x:c>
      <x:c r="C18" s="121" t="str">
        <x:v>一つの明確な事実</x:v>
      </x:c>
      <x:c r="D18" s="42"/>
      <x:c r="E18" s="42"/>
      <x:c r="F18" s="42"/>
    </x:row>
    <x:row r="19">
      <x:c r="A19" s="41" t="str">
        <x:v>因果説明</x:v>
      </x:c>
      <x:c r="B19" s="42" t="str">
        <x:v>要因と結果の関係を理解する</x:v>
      </x:c>
      <x:c r="C19" s="43" t="str">
        <x:v>「なぜ」「主な理由」</x:v>
      </x:c>
      <x:c r="D19" s="42"/>
      <x:c r="E19" s="42"/>
      <x:c r="F19" s="42"/>
    </x:row>
    <x:row r="20">
      <x:c r="A20" s="41" t="str">
        <x:v>適用</x:v>
      </x:c>
      <x:c r="B20" s="42" t="str">
        <x:v>一般原則を具体的状況へ使う</x:v>
      </x:c>
      <x:c r="C20" s="43" t="str">
        <x:v>畑・醸造・サービスの判断</x:v>
      </x:c>
      <x:c r="D20" s="42"/>
      <x:c r="E20" s="42"/>
      <x:c r="F20" s="42"/>
    </x:row>
    <x:row r="21">
      <x:c r="A21" s="41" t="str">
        <x:v>比較</x:v>
      </x:c>
      <x:c r="B21" s="42" t="str">
        <x:v>二つの方法・スタイルの差を識別する</x:v>
      </x:c>
      <x:c r="C21" s="43" t="str">
        <x:v>製法や熟成経路の比較</x:v>
      </x:c>
      <x:c r="D21" s="42"/>
      <x:c r="E21" s="42"/>
      <x:c r="F21" s="42"/>
    </x:row>
    <x:row r="22">
      <x:c r="A22" s="41" t="str">
        <x:v>判断</x:v>
      </x:c>
      <x:c r="B22" s="42" t="str">
        <x:v>顧客・料理・サービスに適切な選択をする</x:v>
      </x:c>
      <x:c r="C22" s="43" t="str">
        <x:v>推奨、順序、温度</x:v>
      </x:c>
      <x:c r="D22" s="42"/>
      <x:c r="E22" s="42"/>
      <x:c r="F22" s="42"/>
    </x:row>
    <x:row r="23">
      <x:c r="A23" s="44" t="str">
        <x:v>統合判断</x:v>
      </x:c>
      <x:c r="B23" s="45" t="str">
        <x:v>複数要因を結び、品質・価格を判断する</x:v>
      </x:c>
      <x:c r="C23" s="46" t="str">
        <x:v>自然・人的・商業要因</x:v>
      </x:c>
      <x:c r="D23" s="42"/>
      <x:c r="E23" s="42"/>
      <x:c r="F23" s="42"/>
    </x:row>
    <x:row r="24">
      <x:c r="A24" s="42"/>
      <x:c r="B24" s="42"/>
      <x:c r="C24" s="42"/>
      <x:c r="D24" s="42"/>
      <x:c r="E24" s="42"/>
      <x:c r="F24" s="42"/>
    </x:row>
    <x:row r="25">
      <x:c r="A25" s="42"/>
      <x:c r="B25" s="42"/>
      <x:c r="C25" s="42"/>
      <x:c r="D25" s="42"/>
      <x:c r="E25" s="42"/>
      <x:c r="F25" s="42"/>
    </x:row>
    <x:row r="26">
      <x:c r="A26" s="118" t="str">
        <x:v>レビュー状態</x:v>
      </x:c>
      <x:c r="B26" s="118" t="str">
        <x:v>意味</x:v>
      </x:c>
      <x:c r="C26" s="118" t="str">
        <x:v>運用</x:v>
      </x:c>
      <x:c r="D26" s="42"/>
      <x:c r="E26" s="42"/>
      <x:c r="F26" s="42"/>
    </x:row>
    <x:row r="27">
      <x:c r="A27" s="119" t="str">
        <x:v>未レビュー</x:v>
      </x:c>
      <x:c r="B27" s="120" t="str">
        <x:v>人手確認前</x:v>
      </x:c>
      <x:c r="C27" s="121" t="str">
        <x:v>初期値</x:v>
      </x:c>
      <x:c r="D27" s="42"/>
      <x:c r="E27" s="42"/>
      <x:c r="F27" s="42"/>
    </x:row>
    <x:row r="28">
      <x:c r="A28" s="41" t="str">
        <x:v>確認中</x:v>
      </x:c>
      <x:c r="B28" s="42" t="str">
        <x:v>教材・規定・表現を照合中</x:v>
      </x:c>
      <x:c r="C28" s="43" t="str">
        <x:v>担当者名を記録</x:v>
      </x:c>
      <x:c r="D28" s="42"/>
      <x:c r="E28" s="42"/>
      <x:c r="F28" s="42"/>
    </x:row>
    <x:row r="29">
      <x:c r="A29" s="41" t="str">
        <x:v>修正要</x:v>
      </x:c>
      <x:c r="B29" s="42" t="str">
        <x:v>事実・表現・選択肢に修正が必要</x:v>
      </x:c>
      <x:c r="C29" s="43" t="str">
        <x:v>コメント欄に理由を記録</x:v>
      </x:c>
      <x:c r="D29" s="42"/>
      <x:c r="E29" s="42"/>
      <x:c r="F29" s="42"/>
    </x:row>
    <x:row r="30">
      <x:c r="A30" s="41" t="str">
        <x:v>承認</x:v>
      </x:c>
      <x:c r="B30" s="42" t="str">
        <x:v>出題可能と判断</x:v>
      </x:c>
      <x:c r="C30" s="43" t="str">
        <x:v>レビュアーと日付を記録</x:v>
      </x:c>
      <x:c r="D30" s="42"/>
      <x:c r="E30" s="42"/>
      <x:c r="F30" s="42"/>
    </x:row>
    <x:row r="31">
      <x:c r="A31" s="44" t="str">
        <x:v>却下</x:v>
      </x:c>
      <x:c r="B31" s="45" t="str">
        <x:v>使用しない</x:v>
      </x:c>
      <x:c r="C31" s="46" t="str">
        <x:v>理由を記録</x:v>
      </x:c>
      <x:c r="D31" s="42"/>
      <x:c r="E31" s="42"/>
      <x:c r="F31" s="42"/>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9" t="str">
        <x:v>WSET Level 3 オリジナル問題600問 v3</x:v>
      </x:c>
      <x:c r="B1" s="59"/>
      <x:c r="C1" s="59"/>
      <x:c r="D1" s="59"/>
      <x:c r="E1" s="59"/>
      <x:c r="F1" s="59"/>
      <x:c r="G1" s="59"/>
      <x:c r="H1" s="59"/>
    </x:row>
    <x:row r="3">
      <x:c r="A3" s="130" t="str">
        <x:v>概要</x:v>
      </x:c>
      <x:c r="B3" s="130"/>
      <x:c r="C3" s="130"/>
      <x:c r="D3" s="130"/>
      <x:c r="E3" s="130"/>
      <x:c r="F3" s="130"/>
      <x:c r="G3" s="130"/>
      <x:c r="H3" s="130"/>
    </x:row>
    <x:row r="4" ht="32" customHeight="1">
      <x:c r="A4" s="137" t="str">
        <x:v>• 日本語の多肢選択式問題600問。LO1〜LO5を各120問ずつ収録。</x:v>
      </x:c>
      <x:c r="B4" s="137"/>
      <x:c r="C4" s="137"/>
      <x:c r="D4" s="137"/>
      <x:c r="E4" s="137"/>
      <x:c r="F4" s="137"/>
      <x:c r="G4" s="137"/>
      <x:c r="H4" s="137"/>
    </x:row>
    <x:row r="5" ht="32" customHeight="1">
      <x:c r="A5" s="137" t="str">
        <x:v>• 全問がオリジナル作成。ユーザー作成コーパスと問題例は、論点・出題形式・誤答設計の研究資料として参照。</x:v>
      </x:c>
      <x:c r="B5" s="137"/>
      <x:c r="C5" s="137"/>
      <x:c r="D5" s="137"/>
      <x:c r="E5" s="137"/>
      <x:c r="F5" s="137"/>
      <x:c r="G5" s="137"/>
      <x:c r="H5" s="137"/>
    </x:row>
    <x:row r="6" ht="32" customHeight="1">
      <x:c r="A6" s="137" t="str">
        <x:v>• 各問に正答、正答解説、3つの誤答が誤りである理由、分類タグ、要レビュー判定を付与。</x:v>
      </x:c>
      <x:c r="B6" s="137"/>
      <x:c r="C6" s="137"/>
      <x:c r="D6" s="137"/>
      <x:c r="E6" s="137"/>
      <x:c r="F6" s="137"/>
      <x:c r="G6" s="137"/>
      <x:c r="H6" s="137"/>
    </x:row>
    <x:row r="8">
      <x:c r="A8" s="130" t="str">
        <x:v>設問設計ルール</x:v>
      </x:c>
      <x:c r="B8" s="130"/>
      <x:c r="C8" s="130"/>
      <x:c r="D8" s="130"/>
      <x:c r="E8" s="130"/>
      <x:c r="F8" s="130"/>
      <x:c r="G8" s="130"/>
      <x:c r="H8" s="130"/>
    </x:row>
    <x:row r="9" ht="32" customHeight="1">
      <x:c r="A9" s="137" t="str">
        <x:v>• 1問につき中心論点は1つ。</x:v>
      </x:c>
      <x:c r="B9" s="137"/>
      <x:c r="C9" s="137"/>
      <x:c r="D9" s="137"/>
      <x:c r="E9" s="137"/>
      <x:c r="F9" s="137"/>
      <x:c r="G9" s="137"/>
      <x:c r="H9" s="137"/>
    </x:row>
    <x:row r="10" ht="32" customHeight="1">
      <x:c r="A10" s="137" t="str">
        <x:v>• 正答は一意。正答位置は全体・各LOともA〜Dを均等配置。</x:v>
      </x:c>
      <x:c r="B10" s="137"/>
      <x:c r="C10" s="137"/>
      <x:c r="D10" s="137"/>
      <x:c r="E10" s="137"/>
      <x:c r="F10" s="137"/>
      <x:c r="G10" s="137"/>
      <x:c r="H10" s="137"/>
    </x:row>
    <x:row r="11" ht="32" customHeight="1">
      <x:c r="A11" s="137" t="str">
        <x:v>• 誤答は関連知識との混同を狙い、無関係な選択肢や「必ず／絶対」だけで見破れる表現を避けた。</x:v>
      </x:c>
      <x:c r="B11" s="137"/>
      <x:c r="C11" s="137"/>
      <x:c r="D11" s="137"/>
      <x:c r="E11" s="137"/>
      <x:c r="F11" s="137"/>
      <x:c r="G11" s="137"/>
      <x:c r="H11" s="137"/>
    </x:row>
    <x:row r="12" ht="32" customHeight="1">
      <x:c r="A12" s="137" t="str">
        <x:v>• タグは問題の性質を記述するためのもので、LO以外は配分ノルマとして問題生成を拘束していない。</x:v>
      </x:c>
      <x:c r="B12" s="137"/>
      <x:c r="C12" s="137"/>
      <x:c r="D12" s="137"/>
      <x:c r="E12" s="137"/>
      <x:c r="F12" s="137"/>
      <x:c r="G12" s="137"/>
      <x:c r="H12" s="137"/>
    </x:row>
    <x:row r="14">
      <x:c r="A14" s="130" t="str">
        <x:v>日本語用語</x:v>
      </x:c>
      <x:c r="B14" s="130"/>
      <x:c r="C14" s="130"/>
      <x:c r="D14" s="130"/>
      <x:c r="E14" s="130"/>
      <x:c r="F14" s="130"/>
      <x:c r="G14" s="130"/>
      <x:c r="H14" s="130"/>
    </x:row>
    <x:row r="15" ht="32" customHeight="1">
      <x:c r="A15" s="137" t="str">
        <x:v>• 日本語表現は、公開されているWSET日本語版Specification（2017年版）の用語を主な基準とした。</x:v>
      </x:c>
      <x:c r="B15" s="137"/>
      <x:c r="C15" s="137"/>
      <x:c r="D15" s="137"/>
      <x:c r="E15" s="137"/>
      <x:c r="F15" s="137"/>
      <x:c r="G15" s="137"/>
      <x:c r="H15" s="137"/>
    </x:row>
    <x:row r="16" ht="32" customHeight="1">
      <x:c r="A16" s="137" t="str">
        <x:v>• 学習範囲はWSET Level 3 Award in Wines Specification Issue 2（2022年英語版）とも照合。</x:v>
      </x:c>
      <x:c r="B16" s="137"/>
      <x:c r="C16" s="137"/>
      <x:c r="D16" s="137"/>
      <x:c r="E16" s="137"/>
      <x:c r="F16" s="137"/>
      <x:c r="G16" s="137"/>
      <x:c r="H16" s="137"/>
    </x:row>
    <x:row r="17" ht="32" customHeight="1">
      <x:c r="A17" s="137" t="str">
        <x:v>• 例：非発泡性ワイン、発泡性ワイン、酒精強化ワイン、キャノピー・マネジメント、澱との接触、ルミュアージュ（動瓶）、デゴルジュマン（澱抜き）、マロラクティック発酵（MLF）。</x:v>
      </x:c>
      <x:c r="B17" s="137"/>
      <x:c r="C17" s="137"/>
      <x:c r="D17" s="137"/>
      <x:c r="E17" s="137"/>
      <x:c r="F17" s="137"/>
      <x:c r="G17" s="137"/>
      <x:c r="H17" s="137"/>
    </x:row>
    <x:row r="19">
      <x:c r="A19" s="130" t="str">
        <x:v>レビュー</x:v>
      </x:c>
      <x:c r="B19" s="130"/>
      <x:c r="C19" s="130"/>
      <x:c r="D19" s="130"/>
      <x:c r="E19" s="130"/>
      <x:c r="F19" s="130"/>
      <x:c r="G19" s="130"/>
      <x:c r="H19" s="130"/>
    </x:row>
    <x:row r="20" ht="32" customHeight="1">
      <x:c r="A20" s="137" t="str">
        <x:v>• 「要レビュー=Y」は、誤りを意味しない。法律・表示・官能表現など、教材との最終照合価値が高い設問を示す。</x:v>
      </x:c>
      <x:c r="B20" s="137"/>
      <x:c r="C20" s="137"/>
      <x:c r="D20" s="137"/>
      <x:c r="E20" s="137"/>
      <x:c r="F20" s="137"/>
      <x:c r="G20" s="137"/>
      <x:c r="H20" s="137"/>
    </x:row>
    <x:row r="21" ht="32" customHeight="1">
      <x:c r="A21" s="137" t="str">
        <x:v>• 問題集シートの「レビュー状態」「レビュアー」「レビュー日」「レビューコメント」を更新して運用する。</x:v>
      </x:c>
      <x:c r="B21" s="137"/>
      <x:c r="C21" s="137"/>
      <x:c r="D21" s="137"/>
      <x:c r="E21" s="137"/>
      <x:c r="F21" s="137"/>
      <x:c r="G21" s="137"/>
      <x:c r="H21" s="137"/>
    </x:row>
    <x:row r="23">
      <x:c r="A23" s="130" t="str">
        <x:v>著作権・商標</x:v>
      </x:c>
      <x:c r="B23" s="130"/>
      <x:c r="C23" s="130"/>
      <x:c r="D23" s="130"/>
      <x:c r="E23" s="130"/>
      <x:c r="F23" s="130"/>
      <x:c r="G23" s="130"/>
      <x:c r="H23" s="130"/>
    </x:row>
    <x:row r="24" ht="32" customHeight="1">
      <x:c r="A24" s="137" t="str">
        <x:v>• 本ファイルは非公式の学習用問題集であり、WSETの承認・推薦・監修を受けたものではない。</x:v>
      </x:c>
      <x:c r="B24" s="137"/>
      <x:c r="C24" s="137"/>
      <x:c r="D24" s="137"/>
      <x:c r="E24" s="137"/>
      <x:c r="F24" s="137"/>
      <x:c r="G24" s="137"/>
      <x:c r="H24" s="137"/>
    </x:row>
    <x:row r="25" ht="32" customHeight="1">
      <x:c r="A25" s="137" t="str">
        <x:v>• WSETおよび関連する名称・商標は各権利者に帰属する。</x:v>
      </x:c>
      <x:c r="B25" s="137"/>
      <x:c r="C25" s="137"/>
      <x:c r="D25" s="137"/>
      <x:c r="E25" s="137"/>
      <x:c r="F25" s="137"/>
      <x:c r="G25" s="137"/>
      <x:c r="H25" s="137"/>
    </x:row>
    <x:row r="26" ht="32" customHeight="1">
      <x:c r="A26" s="137" t="str">
        <x:v>• 第三者の問題文・選択肢・解説を転載せず、公開資料と私的コーパスから論点・構造のみを参考にして独自作成した。</x:v>
      </x:c>
      <x:c r="B26" s="137"/>
      <x:c r="C26" s="137"/>
      <x:c r="D26" s="137"/>
      <x:c r="E26" s="137"/>
      <x:c r="F26" s="137"/>
      <x:c r="G26" s="137"/>
      <x:c r="H26" s="137"/>
    </x:row>
    <x:row r="27" ht="32" customHeight="1">
      <x:c r="A27" s="137" t="str">
        <x:v>• 商用利用前には、全問題の専門家レビュー、最新法規の確認、商標表示の法務確認を行うこと。</x:v>
      </x:c>
      <x:c r="B27" s="137"/>
      <x:c r="C27" s="137"/>
      <x:c r="D27" s="137"/>
      <x:c r="E27" s="137"/>
      <x:c r="F27" s="137"/>
      <x:c r="G27" s="137"/>
      <x:c r="H27" s="137"/>
    </x:row>
    <x:row r="29">
      <x:c r="A29" s="130" t="str">
        <x:v>主な参照資料</x:v>
      </x:c>
      <x:c r="B29" s="130"/>
      <x:c r="C29" s="130"/>
      <x:c r="D29" s="130"/>
      <x:c r="E29" s="130"/>
      <x:c r="F29" s="130"/>
      <x:c r="G29" s="130"/>
      <x:c r="H29" s="130"/>
    </x:row>
    <x:row r="30" ht="48" customHeight="1">
      <x:c r="A30" s="137" t="str">
        <x:v>• WSET公式 日本語版Specification（2017）: https://www.wsetglobal.com/media/4724/wset_l3wines_specification_jp_aug2017.pdf</x:v>
      </x:c>
      <x:c r="B30" s="137"/>
      <x:c r="C30" s="137"/>
      <x:c r="D30" s="137"/>
      <x:c r="E30" s="137"/>
      <x:c r="F30" s="137"/>
      <x:c r="G30" s="137"/>
      <x:c r="H30" s="137"/>
    </x:row>
    <x:row r="31" ht="48" customHeight="1">
      <x:c r="A31" s="137" t="str">
        <x:v>• WSET公式 英語版Specification Issue 2（2022）: https://www.wsetglobal.com/media/11731/wset_l3wines_specification_en_highres_may2022_issue2.pdf</x:v>
      </x:c>
      <x:c r="B31" s="137"/>
      <x:c r="C31" s="137"/>
      <x:c r="D31" s="137"/>
      <x:c r="E31" s="137"/>
      <x:c r="F31" s="137"/>
      <x:c r="G31" s="137"/>
      <x:c r="H31" s="137"/>
    </x:row>
    <x:row r="32" ht="32" customHeight="1">
      <x:c r="A32" s="137" t="str">
        <x:v>• ユーザー作成コーパス: wset_l3_exam_nearest_sources_private(1).csv</x:v>
      </x:c>
      <x:c r="B32" s="137"/>
      <x:c r="C32" s="137"/>
      <x:c r="D32" s="137"/>
      <x:c r="E32" s="137"/>
      <x:c r="F32" s="137"/>
      <x:c r="G32" s="137"/>
      <x:c r="H32" s="137"/>
    </x:row>
    <x:row r="33" ht="32" customHeight="1">
      <x:c r="A33" s="137" t="str">
        <x:v>• ユーザー作成の問題・選択肢・解説例: 貼り付けたマークダウン（1）(4).md</x:v>
      </x:c>
      <x:c r="B33" s="137"/>
      <x:c r="C33" s="137"/>
      <x:c r="D33" s="137"/>
      <x:c r="E33" s="137"/>
      <x:c r="F33" s="137"/>
      <x:c r="G33" s="137"/>
      <x:c r="H33" s="137"/>
    </x:row>
    <x:row r="35">
      <x:c r="A35" s="202" t="str">
        <x:v>更新履歴</x:v>
      </x:c>
      <x:c r="B35" s="202"/>
      <x:c r="C35" s="202"/>
      <x:c r="D35" s="202"/>
      <x:c r="E35" s="202"/>
      <x:c r="F35" s="202"/>
      <x:c r="G35" s="202"/>
      <x:c r="H35" s="202"/>
    </x:row>
    <x:row r="36" ht="42" customHeight="1">
      <x:c r="A36" s="205" t="str">
        <x:v>• v2：オリジナル問題を200問追加。各LOを20問から60問へ拡張し、正答位置はA〜D各75問に均等化。</x:v>
      </x:c>
      <x:c r="B36" s="205"/>
      <x:c r="C36" s="205"/>
      <x:c r="D36" s="205"/>
      <x:c r="E36" s="205"/>
      <x:c r="F36" s="205"/>
      <x:c r="G36" s="205"/>
      <x:c r="H36" s="205"/>
    </x:row>
    <x:row r="37" ht="42" customHeight="1">
      <x:c r="A37" s="346" t="str">
        <x:v>• v3：オリジナル問題を300問追加。各LOを60問から120問へ拡張し、正答位置はA〜D各150問に均等化。</x:v>
      </x:c>
      <x:c r="B37" s="346"/>
      <x:c r="C37" s="346"/>
      <x:c r="D37" s="346"/>
      <x:c r="E37" s="346"/>
      <x:c r="F37" s="346"/>
      <x:c r="G37" s="346"/>
      <x:c r="H37" s="346"/>
    </x:row>
  </x:sheetData>
  <x:mergeCells>
    <x:mergeCell ref="A1:H1"/>
    <x:mergeCell ref="A3:H3"/>
    <x:mergeCell ref="A4:H4"/>
    <x:mergeCell ref="A5:H5"/>
    <x:mergeCell ref="A6:H6"/>
    <x:mergeCell ref="A8:H8"/>
    <x:mergeCell ref="A9:H9"/>
    <x:mergeCell ref="A10:H10"/>
    <x:mergeCell ref="A11:H11"/>
    <x:mergeCell ref="A12:H12"/>
    <x:mergeCell ref="A14:H14"/>
    <x:mergeCell ref="A15:H15"/>
    <x:mergeCell ref="A16:H16"/>
    <x:mergeCell ref="A17:H17"/>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5:H35"/>
    <x:mergeCell ref="A36:H36"/>
    <x:mergeCell ref="A37:H37"/>
  </x:mergeCells>
  <x:pageMargins left="0.7" right="0.7" top="0.75" bottom="0.75" header="0.3" footer="0.3"/>
</x:worksheet>
</file>