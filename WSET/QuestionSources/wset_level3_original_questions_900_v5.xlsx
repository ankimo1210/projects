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d64ddc413141b7" /></Relationships>
</file>

<file path=xl/workbook.xml><?xml version="1.0" encoding="utf-8"?>
<x:workbook xmlns:x="http://schemas.openxmlformats.org/spreadsheetml/2006/main">
  <x:sheets>
    <x:sheet xmlns:r="http://schemas.openxmlformats.org/officeDocument/2006/relationships" name="問題集" sheetId="1" r:id="R76aa3a1bc1e64b1e"/>
    <x:sheet xmlns:r="http://schemas.openxmlformats.org/officeDocument/2006/relationships" name="カバレッジ" sheetId="2" r:id="R1cc7493597654a21"/>
    <x:sheet xmlns:r="http://schemas.openxmlformats.org/officeDocument/2006/relationships" name="レビュー対象" sheetId="3" r:id="R82cd3d60d8e5481f"/>
    <x:sheet xmlns:r="http://schemas.openxmlformats.org/officeDocument/2006/relationships" name="タグ定義" sheetId="4" r:id="R26fcf717d213494c"/>
    <x:sheet xmlns:r="http://schemas.openxmlformats.org/officeDocument/2006/relationships" name="README" sheetId="5" r:id="R100203ec72444ca9"/>
    <x:sheet xmlns:r="http://schemas.openxmlformats.org/officeDocument/2006/relationships" name="誤答レビュー概要" sheetId="6" r:id="R5284bfaa394245e2"/>
    <x:sheet xmlns:r="http://schemas.openxmlformats.org/officeDocument/2006/relationships" name="ReviewData" sheetId="7" r:id="R092321892d4b4e0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1"/>
      <x:color rgb="FFFFFFFF"/>
      <x:name val="Carlito"/>
    </x:font>
    <x:font>
      <x:b/>
      <x:sz val="16"/>
      <x:color rgb="FFFFFFFF"/>
      <x:name val="Carlito"/>
    </x:font>
    <x:font>
      <x:b/>
      <x:sz val="11"/>
      <x:color rgb="FF3D1B28"/>
      <x:name val="Carlito"/>
    </x:font>
    <x:font>
      <x:b/>
      <x:sz val="14"/>
      <x:color rgb="FF6B1534"/>
      <x:name val="Carlito"/>
    </x:font>
    <x:font>
      <x:i/>
      <x:sz val="11"/>
      <x:color rgb="FF5B4A00"/>
      <x:name val="Carlito"/>
    </x:font>
    <x:font>
      <x:sz val="11"/>
      <x:color rgb="FF000000"/>
      <x:name val="Carlito"/>
    </x:font>
    <x:font>
      <x:i/>
      <x:sz val="11"/>
      <x:color rgb="FF000000"/>
      <x:name val="Carlito"/>
    </x:font>
  </x:fonts>
  <x:fills count="20">
    <x:fill>
      <x:patternFill patternType="none"/>
    </x:fill>
    <x:fill>
      <x:patternFill patternType="gray125"/>
    </x:fill>
    <x:fill>
      <x:patternFill patternType="solid">
        <x:fgColor rgb="FF6B1534"/>
      </x:patternFill>
    </x:fill>
    <x:fill>
      <x:patternFill patternType="solid">
        <x:fgColor rgb="FFEAD9DF"/>
      </x:patternFill>
    </x:fill>
    <x:fill>
      <x:patternFill patternType="solid">
        <x:fgColor rgb="FFF7F2F4"/>
      </x:patternFill>
    </x:fill>
    <x:fill>
      <x:patternFill patternType="solid">
        <x:fgColor rgb="FFFFF2CC"/>
      </x:patternFill>
    </x:fill>
    <x:fill>
      <x:patternFill patternType="solid">
        <x:fgColor rgb="FFD9B46D"/>
      </x:patternFill>
    </x:fill>
    <x:fill>
      <x:patternFill patternType="solid">
        <x:fgColor rgb="FF6B1534"/>
      </x:patternFill>
    </x:fill>
    <x:fill>
      <x:patternFill patternType="solid">
        <x:fgColor rgb="FFFFF2CC"/>
      </x:patternFill>
    </x:fill>
    <x:fill>
      <x:patternFill patternType="solid">
        <x:fgColor rgb="FFD9B46D"/>
      </x:patternFill>
    </x:fill>
    <x:fill>
      <x:patternFill patternType="solid">
        <x:fgColor rgb="FFFFFFFF"/>
      </x:patternFill>
    </x:fill>
    <x:fill>
      <x:patternFill patternType="solid">
        <x:fgColor rgb="FF6B1534"/>
      </x:patternFill>
    </x:fill>
    <x:fill>
      <x:patternFill patternType="solid">
        <x:fgColor rgb="FFFFF2CC"/>
      </x:patternFill>
    </x:fill>
    <x:fill>
      <x:patternFill patternType="solid">
        <x:fgColor rgb="FF6B1534"/>
      </x:patternFill>
    </x:fill>
    <x:fill>
      <x:patternFill patternType="solid">
        <x:fgColor rgb="FFFFF2CC"/>
      </x:patternFill>
    </x:fill>
    <x:fill>
      <x:patternFill patternType="solid">
        <x:fgColor rgb="FF6B1534"/>
      </x:patternFill>
    </x:fill>
    <x:fill>
      <x:patternFill patternType="solid">
        <x:fgColor rgb="FFEAD9DF"/>
      </x:patternFill>
    </x:fill>
    <x:fill>
      <x:patternFill patternType="solid">
        <x:fgColor rgb="FFD9B46D"/>
      </x:patternFill>
    </x:fill>
    <x:fill>
      <x:patternFill patternType="solid">
        <x:fgColor rgb="FFF3F1F2"/>
      </x:patternFill>
    </x:fill>
    <x:fill>
      <x:patternFill patternType="solid">
        <x:fgColor rgb="FF6B1534"/>
      </x:patternFill>
    </x:fill>
  </x:fills>
  <x:borders count="74">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49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18" xfId="0" applyNumberFormat="1" applyFont="1" applyFill="1" applyBorder="1"/>
    <x:xf numFmtId="0" fontId="4" fillId="4" borderId="19" xfId="0" applyNumberFormat="1" applyFont="1" applyFill="1" applyBorder="1"/>
    <x:xf numFmtId="0" fontId="4" fillId="4" borderId="20" xfId="0" applyNumberFormat="1" applyFont="1" applyFill="1" applyBorder="1"/>
    <x:xf numFmtId="0" fontId="4" fillId="4" borderId="18" xfId="0" applyNumberFormat="1" applyFont="1" applyFill="1" applyBorder="1" applyAlignment="1">
      <x:alignment horizontal="center"/>
    </x:xf>
    <x:xf numFmtId="0" fontId="4" fillId="4" borderId="19" xfId="0" applyNumberFormat="1" applyFont="1" applyFill="1" applyBorder="1" applyAlignment="1">
      <x:alignment horizontal="center"/>
    </x:xf>
    <x:xf numFmtId="0" fontId="4" fillId="4" borderId="20" xfId="0" applyNumberFormat="1" applyFont="1" applyFill="1" applyBorder="1" applyAlignment="1">
      <x:alignment horizontal="center"/>
    </x:xf>
    <x:xf numFmtId="0" fontId="4" fillId="4" borderId="18" xfId="0" applyNumberFormat="1" applyFont="1" applyFill="1" applyBorder="1" applyAlignment="1">
      <x:alignment horizontal="center" vertical="center"/>
    </x:xf>
    <x:xf numFmtId="0" fontId="4" fillId="4" borderId="19" xfId="0" applyNumberFormat="1" applyFont="1" applyFill="1" applyBorder="1" applyAlignment="1">
      <x:alignment horizontal="center" vertical="center"/>
    </x:xf>
    <x:xf numFmtId="0" fontId="4" fillId="4" borderId="20" xfId="0" applyNumberFormat="1" applyFont="1" applyFill="1" applyBorder="1" applyAlignment="1">
      <x:alignment horizontal="center" vertical="center"/>
    </x:xf>
    <x:xf numFmtId="0" fontId="0" fillId="4" borderId="1" xfId="0" applyNumberFormat="1" applyFont="1" applyFill="1" applyBorder="1"/>
    <x:xf numFmtId="0" fontId="4" fillId="4" borderId="1" xfId="0" applyNumberFormat="1" applyFont="1" applyFill="1" applyBorder="1"/>
    <x:xf numFmtId="0" fontId="4" fillId="4" borderId="21" xfId="0" applyNumberFormat="1" applyFont="1" applyFill="1" applyBorder="1"/>
    <x:xf numFmtId="0" fontId="4" fillId="4" borderId="22" xfId="0" applyNumberFormat="1" applyFont="1" applyFill="1" applyBorder="1"/>
    <x:xf numFmtId="0" fontId="4" fillId="4" borderId="23" xfId="0" applyNumberFormat="1" applyFont="1" applyFill="1" applyBorder="1"/>
    <x:xf numFmtId="0" fontId="4" fillId="4" borderId="21" xfId="0" applyNumberFormat="1" applyFont="1" applyFill="1" applyBorder="1" applyAlignment="1">
      <x:alignment horizontal="center"/>
    </x:xf>
    <x:xf numFmtId="0" fontId="4" fillId="4" borderId="22" xfId="0" applyNumberFormat="1" applyFont="1" applyFill="1" applyBorder="1" applyAlignment="1">
      <x:alignment horizontal="center"/>
    </x:xf>
    <x:xf numFmtId="0" fontId="4" fillId="4" borderId="23" xfId="0" applyNumberFormat="1" applyFont="1" applyFill="1" applyBorder="1" applyAlignment="1">
      <x:alignment horizontal="center"/>
    </x:xf>
    <x:xf numFmtId="0" fontId="4" fillId="4" borderId="21" xfId="0" applyNumberFormat="1" applyFont="1" applyFill="1" applyBorder="1" applyAlignment="1">
      <x:alignment horizontal="center" vertical="center"/>
    </x:xf>
    <x:xf numFmtId="0" fontId="4" fillId="4" borderId="22" xfId="0" applyNumberFormat="1" applyFont="1" applyFill="1" applyBorder="1" applyAlignment="1">
      <x:alignment horizontal="center" vertical="center"/>
    </x:xf>
    <x:xf numFmtId="0" fontId="4" fillId="4" borderId="23" xfId="0" applyNumberFormat="1" applyFont="1" applyFill="1" applyBorder="1" applyAlignment="1">
      <x:alignment horizontal="center" vertical="center"/>
    </x:xf>
    <x:xf numFmtId="0" fontId="0" fillId="0" borderId="2" xfId="0" applyNumberFormat="1" applyFont="1" applyFill="1" applyBorder="1"/>
    <x:xf numFmtId="0" fontId="0" fillId="0" borderId="4" xfId="0" applyNumberFormat="1" applyFont="1" applyFill="1" applyBorder="1"/>
    <x:xf numFmtId="0" fontId="0" fillId="0" borderId="10" xfId="0" applyNumberFormat="1" applyFont="1" applyFill="1" applyBorder="1"/>
    <x:xf numFmtId="0" fontId="0" fillId="0" borderId="12" xfId="0" applyNumberFormat="1" applyFont="1" applyFill="1" applyBorder="1"/>
    <x:xf numFmtId="0" fontId="0" fillId="0" borderId="3" xfId="0" applyNumberFormat="1" applyFont="1" applyFill="1" applyBorder="1"/>
    <x:xf numFmtId="0" fontId="0" fillId="0" borderId="1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2" fillId="2" borderId="1" xfId="0" applyNumberFormat="1" applyFont="1" applyFill="1" applyBorder="1" applyAlignment="1">
      <x:alignment horizontal="left" vertical="center"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2" fillId="2" borderId="0" xfId="0" applyNumberFormat="1" applyFont="1" applyFill="1" applyBorder="1" applyAlignment="1">
      <x:alignment horizontal="left" vertical="top" wrapText="1"/>
    </x:xf>
    <x:xf numFmtId="0" fontId="1" fillId="2" borderId="0"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2" fillId="2" borderId="1" xfId="0" applyNumberFormat="1" applyFont="1" applyFill="1" applyBorder="1" applyAlignment="1">
      <x:alignment horizontal="left" vertical="top" wrapText="1"/>
    </x:xf>
    <x:xf numFmtId="0" fontId="1" fillId="2" borderId="1" xfId="0" applyNumberFormat="1" applyFont="1" applyFill="1" applyBorder="1" applyAlignment="1">
      <x:alignment horizontal="center"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left"/>
    </x:xf>
    <x:xf numFmtId="0" fontId="3" fillId="6" borderId="0" xfId="0" applyNumberFormat="1" applyFont="1" applyFill="1" applyBorder="1" applyAlignment="1">
      <x:alignment horizontal="left" vertic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left"/>
    </x:xf>
    <x:xf numFmtId="0" fontId="3" fillId="6" borderId="1" xfId="0" applyNumberFormat="1" applyFont="1" applyFill="1" applyBorder="1" applyAlignment="1">
      <x:alignment horizontal="left" vertical="center"/>
    </x:xf>
    <x:xf numFmtId="0" fontId="0" fillId="0" borderId="24" xfId="0" applyNumberFormat="1" applyFont="1" applyFill="1" applyBorder="1"/>
    <x:xf numFmtId="0" fontId="0" fillId="0" borderId="24" xfId="0" applyNumberFormat="1" applyFont="1" applyFill="1" applyBorder="1" applyAlignment="1">
      <x:alignment wrapText="1"/>
    </x:xf>
    <x:xf numFmtId="0" fontId="0" fillId="0" borderId="24" xfId="0" applyNumberFormat="1" applyFont="1" applyFill="1" applyBorder="1" applyAlignment="1">
      <x:alignment vertical="top" wrapText="1"/>
    </x:xf>
    <x:xf numFmtId="0" fontId="0" fillId="0" borderId="25" xfId="0" applyNumberFormat="1" applyFont="1" applyFill="1" applyBorder="1"/>
    <x:xf numFmtId="0" fontId="0" fillId="0" borderId="25" xfId="0" applyNumberFormat="1" applyFont="1" applyFill="1" applyBorder="1" applyAlignment="1">
      <x:alignment wrapText="1"/>
    </x:xf>
    <x:xf numFmtId="0" fontId="0" fillId="0" borderId="25" xfId="0" applyNumberFormat="1" applyFont="1" applyFill="1" applyBorder="1" applyAlignment="1">
      <x:alignment vertical="top" wrapText="1"/>
    </x:xf>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xfId="0" applyNumberFormat="1" applyFont="1" applyFill="1" applyBorder="0"/>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3" xfId="0" applyNumberFormat="1" applyFont="1" applyFill="1" applyBorder="1"/>
    <x:xf numFmtId="0" fontId="0" fillId="0" borderId="26"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0" fillId="0" xfId="0" applyNumberFormat="1" applyFont="1" applyFill="1" applyBorder="0" applyAlignment="1">
      <x:alignment wrapText="1"/>
    </x:xf>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32" xfId="0" applyNumberFormat="1" applyFont="1" applyFill="1" applyBorder="1" applyAlignment="1">
      <x:alignment wrapText="1"/>
    </x:xf>
    <x:xf numFmtId="0" fontId="0" fillId="0" borderId="33" xfId="0" applyNumberFormat="1" applyFont="1" applyFill="1" applyBorder="1" applyAlignment="1">
      <x:alignment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27" xfId="0" applyNumberFormat="1" applyFont="1" applyFill="1" applyBorder="1" applyAlignment="1">
      <x:alignment horizontal="center" vertical="top" wrapText="1"/>
    </x:xf>
    <x:xf numFmtId="0" fontId="0" fillId="0" xfId="0" applyNumberFormat="1" applyFont="1" applyFill="1" applyBorder="0" applyAlignment="1">
      <x:alignment horizontal="center" vertical="top" wrapText="1"/>
    </x:xf>
    <x:xf numFmtId="0" fontId="0" fillId="0" borderId="32"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center" wrapText="1"/>
    </x:xf>
    <x:xf numFmtId="0" fontId="0" fillId="0" borderId="34" xfId="0" applyNumberFormat="1" applyFont="1" applyFill="1" applyBorder="1"/>
    <x:xf numFmtId="0" fontId="0" fillId="0" borderId="35" xfId="0" applyNumberFormat="1" applyFont="1" applyFill="1" applyBorder="1"/>
    <x:xf numFmtId="0" fontId="1" fillId="2" borderId="29" xfId="0" applyNumberFormat="1" applyFont="1" applyFill="1" applyBorder="1" applyAlignment="1">
      <x:alignment horizontal="center" vertical="center" wrapText="1"/>
    </x:xf>
    <x:xf numFmtId="0" fontId="1" fillId="2" borderId="30" xfId="0" applyNumberFormat="1" applyFont="1" applyFill="1" applyBorder="1" applyAlignment="1">
      <x:alignment horizontal="center" vertical="center" wrapText="1"/>
    </x:xf>
    <x:xf numFmtId="0" fontId="0" fillId="0" borderId="36" xfId="0" applyNumberFormat="1" applyFont="1" applyFill="1" applyBorder="1"/>
    <x:xf numFmtId="0" fontId="0" fillId="0" borderId="37"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5" fillId="5" borderId="29" xfId="0" applyNumberFormat="1" applyFont="1" applyFill="1" applyBorder="1" applyAlignment="1">
      <x:alignment vertical="center" wrapText="1"/>
    </x:xf>
    <x:xf numFmtId="0" fontId="5" fillId="5" xfId="0" applyNumberFormat="1" applyFont="1" applyFill="1" applyBorder="0" applyAlignment="1">
      <x:alignment vertical="center" wrapText="1"/>
    </x:xf>
    <x:xf numFmtId="0" fontId="5" fillId="5" borderId="30" xfId="0" applyNumberFormat="1" applyFont="1" applyFill="1" applyBorder="1" applyAlignment="1">
      <x:alignment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1" fillId="7" borderId="2" xfId="0" applyNumberFormat="1" applyFont="1" applyFill="1" applyBorder="1" applyAlignment="1">
      <x:alignment horizontal="center" vertical="center" wrapText="1"/>
    </x:xf>
    <x:xf numFmtId="0" fontId="1" fillId="7" borderId="3"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1" fillId="7" borderId="26" xfId="0" applyNumberFormat="1" applyFont="1" applyFill="1" applyBorder="1" applyAlignment="1">
      <x:alignment horizontal="center" vertical="center" wrapText="1"/>
    </x:xf>
    <x:xf numFmtId="0" fontId="1" fillId="7" borderId="27" xfId="0" applyNumberFormat="1" applyFont="1" applyFill="1" applyBorder="1" applyAlignment="1">
      <x:alignment horizontal="center" vertical="center" wrapText="1"/>
    </x:xf>
    <x:xf numFmtId="0" fontId="1" fillId="7" borderId="28" xfId="0" applyNumberFormat="1" applyFont="1" applyFill="1" applyBorder="1" applyAlignment="1">
      <x:alignment horizontal="center" vertical="center"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left"/>
    </x:xf>
    <x:xf numFmtId="0" fontId="3" fillId="9" borderId="0" xfId="0" applyNumberFormat="1" applyFont="1" applyFill="1" applyBorder="1" applyAlignment="1">
      <x:alignment horizontal="left" vertical="center"/>
    </x:xf>
    <x:xf numFmtId="0" fontId="0" fillId="0" borderId="38" xfId="0" applyNumberFormat="1" applyFont="1" applyFill="1" applyBorder="1"/>
    <x:xf numFmtId="0" fontId="0" fillId="0" borderId="38" xfId="0" applyNumberFormat="1" applyFont="1" applyFill="1" applyBorder="1" applyAlignment="1">
      <x:alignment wrapText="1"/>
    </x:xf>
    <x:xf numFmtId="0" fontId="0" fillId="0" borderId="38" xfId="0" applyNumberFormat="1" applyFont="1" applyFill="1" applyBorder="1" applyAlignment="1">
      <x:alignment vertical="top" wrapText="1"/>
    </x:xf>
    <x:xf numFmtId="0" fontId="0" fillId="10" borderId="26" xfId="0" applyNumberFormat="1" applyFont="1" applyFill="1" applyBorder="1"/>
    <x:xf numFmtId="0" fontId="0" fillId="10" borderId="28" xfId="0" applyNumberFormat="1" applyFont="1" applyFill="1" applyBorder="1"/>
    <x:xf numFmtId="0" fontId="0" fillId="10" borderId="29" xfId="0" applyNumberFormat="1" applyFont="1" applyFill="1" applyBorder="1"/>
    <x:xf numFmtId="0" fontId="0" fillId="10" borderId="30" xfId="0" applyNumberFormat="1" applyFont="1" applyFill="1" applyBorder="1"/>
    <x:xf numFmtId="0" fontId="0" fillId="10" borderId="34" xfId="0" applyNumberFormat="1" applyFont="1" applyFill="1" applyBorder="1"/>
    <x:xf numFmtId="0" fontId="0" fillId="10" borderId="35" xfId="0" applyNumberFormat="1" applyFont="1" applyFill="1" applyBorder="1"/>
    <x:xf numFmtId="0" fontId="1" fillId="10" borderId="29" xfId="0" applyNumberFormat="1" applyFont="1" applyFill="1" applyBorder="1" applyAlignment="1">
      <x:alignment horizontal="center" vertical="center" wrapText="1"/>
    </x:xf>
    <x:xf numFmtId="0" fontId="1" fillId="10" borderId="30" xfId="0" applyNumberFormat="1" applyFont="1" applyFill="1" applyBorder="1" applyAlignment="1">
      <x:alignment horizontal="center" vertical="center" wrapText="1"/>
    </x:xf>
    <x:xf numFmtId="0" fontId="0" fillId="10" borderId="36" xfId="0" applyNumberFormat="1" applyFont="1" applyFill="1" applyBorder="1"/>
    <x:xf numFmtId="0" fontId="0" fillId="10" borderId="37" xfId="0" applyNumberFormat="1" applyFont="1" applyFill="1" applyBorder="1"/>
    <x:xf numFmtId="0" fontId="6" fillId="10" borderId="26" xfId="0" applyNumberFormat="1" applyFont="1" applyFill="1" applyBorder="1"/>
    <x:xf numFmtId="0" fontId="6" fillId="10" borderId="28" xfId="0" applyNumberFormat="1" applyFont="1" applyFill="1" applyBorder="1"/>
    <x:xf numFmtId="0" fontId="6" fillId="10" borderId="29" xfId="0" applyNumberFormat="1" applyFont="1" applyFill="1" applyBorder="1"/>
    <x:xf numFmtId="0" fontId="6" fillId="10" borderId="30" xfId="0" applyNumberFormat="1" applyFont="1" applyFill="1" applyBorder="1"/>
    <x:xf numFmtId="0" fontId="6" fillId="10" borderId="34" xfId="0" applyNumberFormat="1" applyFont="1" applyFill="1" applyBorder="1"/>
    <x:xf numFmtId="0" fontId="6" fillId="10" borderId="35" xfId="0" applyNumberFormat="1" applyFont="1" applyFill="1" applyBorder="1"/>
    <x:xf numFmtId="0" fontId="6" fillId="10" borderId="29" xfId="0" applyNumberFormat="1" applyFont="1" applyFill="1" applyBorder="1" applyAlignment="1">
      <x:alignment horizontal="center" vertical="center" wrapText="1"/>
    </x:xf>
    <x:xf numFmtId="0" fontId="6" fillId="10" borderId="30" xfId="0" applyNumberFormat="1" applyFont="1" applyFill="1" applyBorder="1" applyAlignment="1">
      <x:alignment horizontal="center" vertical="center" wrapText="1"/>
    </x:xf>
    <x:xf numFmtId="0" fontId="6" fillId="10" borderId="36" xfId="0" applyNumberFormat="1" applyFont="1" applyFill="1" applyBorder="1"/>
    <x:xf numFmtId="0" fontId="6" fillId="10" borderId="37" xfId="0" applyNumberFormat="1" applyFont="1" applyFill="1" applyBorder="1"/>
    <x:xf numFmtId="0" fontId="6" fillId="10" borderId="26" xfId="0" applyNumberFormat="1" applyFont="1" applyFill="1" applyBorder="1" applyAlignment="1">
      <x:alignment vertical="center"/>
    </x:xf>
    <x:xf numFmtId="0" fontId="6" fillId="10" borderId="28" xfId="0" applyNumberFormat="1" applyFont="1" applyFill="1" applyBorder="1" applyAlignment="1">
      <x:alignment vertical="center"/>
    </x:xf>
    <x:xf numFmtId="0" fontId="6" fillId="10" borderId="29" xfId="0" applyNumberFormat="1" applyFont="1" applyFill="1" applyBorder="1" applyAlignment="1">
      <x:alignment vertical="center"/>
    </x:xf>
    <x:xf numFmtId="0" fontId="6" fillId="10" borderId="30" xfId="0" applyNumberFormat="1" applyFont="1" applyFill="1" applyBorder="1" applyAlignment="1">
      <x:alignment vertical="center"/>
    </x:xf>
    <x:xf numFmtId="0" fontId="6" fillId="10" borderId="34" xfId="0" applyNumberFormat="1" applyFont="1" applyFill="1" applyBorder="1" applyAlignment="1">
      <x:alignment vertical="center"/>
    </x:xf>
    <x:xf numFmtId="0" fontId="6" fillId="10" borderId="35" xfId="0" applyNumberFormat="1" applyFont="1" applyFill="1" applyBorder="1" applyAlignment="1">
      <x:alignment vertical="center"/>
    </x:xf>
    <x:xf numFmtId="0" fontId="6" fillId="10" borderId="36" xfId="0" applyNumberFormat="1" applyFont="1" applyFill="1" applyBorder="1" applyAlignment="1">
      <x:alignment vertical="center"/>
    </x:xf>
    <x:xf numFmtId="0" fontId="6" fillId="10" borderId="37" xfId="0" applyNumberFormat="1" applyFont="1" applyFill="1" applyBorder="1" applyAlignment="1">
      <x:alignment vertical="center"/>
    </x:xf>
    <x:xf numFmtId="0" fontId="0" fillId="10" borderId="31" xfId="0" applyNumberFormat="1" applyFont="1" applyFill="1" applyBorder="1"/>
    <x:xf numFmtId="0" fontId="0" fillId="10" borderId="33" xfId="0" applyNumberFormat="1" applyFont="1" applyFill="1" applyBorder="1"/>
    <x:xf numFmtId="0" fontId="6" fillId="10" borderId="31" xfId="0" applyNumberFormat="1" applyFont="1" applyFill="1" applyBorder="1"/>
    <x:xf numFmtId="0" fontId="6" fillId="10" borderId="33" xfId="0" applyNumberFormat="1" applyFont="1" applyFill="1" applyBorder="1"/>
    <x:xf numFmtId="0" fontId="6" fillId="10" borderId="31" xfId="0" applyNumberFormat="1" applyFont="1" applyFill="1" applyBorder="1" applyAlignment="1">
      <x:alignment vertical="center"/>
    </x:xf>
    <x:xf numFmtId="0" fontId="6" fillId="10" borderId="33" xfId="0" applyNumberFormat="1" applyFont="1" applyFill="1" applyBorder="1" applyAlignment="1">
      <x:alignment vertical="center"/>
    </x:xf>
    <x:xf numFmtId="0" fontId="6" fillId="10" borderId="26" xfId="0" applyNumberFormat="1" applyFont="1" applyFill="1" applyBorder="1" applyAlignment="1">
      <x:alignment horizontal="left" vertical="center"/>
    </x:xf>
    <x:xf numFmtId="0" fontId="6" fillId="10" borderId="29" xfId="0" applyNumberFormat="1" applyFont="1" applyFill="1" applyBorder="1" applyAlignment="1">
      <x:alignment horizontal="left" vertical="center"/>
    </x:xf>
    <x:xf numFmtId="0" fontId="6" fillId="10" borderId="34" xfId="0" applyNumberFormat="1" applyFont="1" applyFill="1" applyBorder="1" applyAlignment="1">
      <x:alignment horizontal="left" vertical="center"/>
    </x:xf>
    <x:xf numFmtId="0" fontId="6" fillId="10" borderId="29" xfId="0" applyNumberFormat="1" applyFont="1" applyFill="1" applyBorder="1" applyAlignment="1">
      <x:alignment horizontal="left" vertical="center" wrapText="1"/>
    </x:xf>
    <x:xf numFmtId="0" fontId="6" fillId="10" borderId="36" xfId="0" applyNumberFormat="1" applyFont="1" applyFill="1" applyBorder="1" applyAlignment="1">
      <x:alignment horizontal="left" vertical="center"/>
    </x:xf>
    <x:xf numFmtId="0" fontId="6" fillId="10" borderId="31" xfId="0" applyNumberFormat="1" applyFont="1" applyFill="1" applyBorder="1" applyAlignment="1">
      <x:alignment horizontal="left" vertical="center"/>
    </x:xf>
    <x:xf numFmtId="0" fontId="6" fillId="10" borderId="28" xfId="0" applyNumberFormat="1" applyFont="1" applyFill="1" applyBorder="1" applyAlignment="1">
      <x:alignment horizontal="right" vertical="center"/>
    </x:xf>
    <x:xf numFmtId="0" fontId="6" fillId="10" borderId="30" xfId="0" applyNumberFormat="1" applyFont="1" applyFill="1" applyBorder="1" applyAlignment="1">
      <x:alignment horizontal="right" vertical="center"/>
    </x:xf>
    <x:xf numFmtId="0" fontId="6" fillId="10" borderId="35" xfId="0" applyNumberFormat="1" applyFont="1" applyFill="1" applyBorder="1" applyAlignment="1">
      <x:alignment horizontal="right" vertical="center"/>
    </x:xf>
    <x:xf numFmtId="0" fontId="6" fillId="10" borderId="30" xfId="0" applyNumberFormat="1" applyFont="1" applyFill="1" applyBorder="1" applyAlignment="1">
      <x:alignment horizontal="right" vertical="center" wrapText="1"/>
    </x:xf>
    <x:xf numFmtId="0" fontId="6" fillId="10" borderId="37" xfId="0" applyNumberFormat="1" applyFont="1" applyFill="1" applyBorder="1" applyAlignment="1">
      <x:alignment horizontal="right" vertical="center"/>
    </x:xf>
    <x:xf numFmtId="0" fontId="6" fillId="10" borderId="33" xfId="0" applyNumberFormat="1" applyFont="1" applyFill="1" applyBorder="1" applyAlignment="1">
      <x:alignment horizontal="right" vertical="center"/>
    </x:xf>
    <x:xf numFmtId="0" fontId="5" fillId="10" borderId="0" xfId="0" applyNumberFormat="1" applyFont="1" applyFill="1" applyBorder="1" applyAlignment="1">
      <x:alignment vertical="center" wrapText="1"/>
    </x:xf>
    <x:xf numFmtId="0" fontId="5" fillId="10" borderId="29" xfId="0" applyNumberFormat="1" applyFont="1" applyFill="1" applyBorder="1" applyAlignment="1">
      <x:alignment vertical="center" wrapText="1"/>
    </x:xf>
    <x:xf numFmtId="0" fontId="5" fillId="10" xfId="0" applyNumberFormat="1" applyFont="1" applyFill="1" applyBorder="0" applyAlignment="1">
      <x:alignment vertical="center" wrapText="1"/>
    </x:xf>
    <x:xf numFmtId="0" fontId="5" fillId="10" borderId="30" xfId="0" applyNumberFormat="1" applyFont="1" applyFill="1" applyBorder="1" applyAlignment="1">
      <x:alignment vertical="center" wrapText="1"/>
    </x:xf>
    <x:xf numFmtId="0" fontId="0" fillId="10" borderId="27" xfId="0" applyNumberFormat="1" applyFont="1" applyFill="1" applyBorder="1"/>
    <x:xf numFmtId="0" fontId="0" fillId="10" xfId="0" applyNumberFormat="1" applyFont="1" applyFill="1" applyBorder="0"/>
    <x:xf numFmtId="0" fontId="0" fillId="10" borderId="32" xfId="0" applyNumberFormat="1" applyFont="1" applyFill="1" applyBorder="1"/>
    <x:xf numFmtId="0" fontId="6" fillId="10" borderId="27" xfId="0" applyNumberFormat="1" applyFont="1" applyFill="1" applyBorder="1"/>
    <x:xf numFmtId="0" fontId="6" fillId="10" xfId="0" applyNumberFormat="1" applyFont="1" applyFill="1" applyBorder="0"/>
    <x:xf numFmtId="0" fontId="7" fillId="10" borderId="29" xfId="0" applyNumberFormat="1" applyFont="1" applyFill="1" applyBorder="1" applyAlignment="1">
      <x:alignment vertical="center" wrapText="1"/>
    </x:xf>
    <x:xf numFmtId="0" fontId="7" fillId="10" xfId="0" applyNumberFormat="1" applyFont="1" applyFill="1" applyBorder="0" applyAlignment="1">
      <x:alignment vertical="center" wrapText="1"/>
    </x:xf>
    <x:xf numFmtId="0" fontId="7" fillId="10" borderId="30" xfId="0" applyNumberFormat="1" applyFont="1" applyFill="1" applyBorder="1" applyAlignment="1">
      <x:alignment vertical="center" wrapText="1"/>
    </x:xf>
    <x:xf numFmtId="0" fontId="6" fillId="10" borderId="32" xfId="0" applyNumberFormat="1" applyFont="1" applyFill="1" applyBorder="1"/>
    <x:xf numFmtId="0" fontId="6" fillId="10" borderId="27" xfId="0" applyNumberFormat="1" applyFont="1" applyFill="1" applyBorder="1" applyAlignment="1">
      <x:alignment vertical="center"/>
    </x:xf>
    <x:xf numFmtId="0" fontId="6" fillId="10" xfId="0" applyNumberFormat="1" applyFont="1" applyFill="1" applyBorder="0" applyAlignment="1">
      <x:alignment vertical="center"/>
    </x:xf>
    <x:xf numFmtId="0" fontId="6" fillId="10" borderId="32" xfId="0" applyNumberFormat="1" applyFont="1" applyFill="1" applyBorder="1" applyAlignment="1">
      <x:alignment vertical="center"/>
    </x:xf>
    <x:xf numFmtId="0" fontId="7" fillId="10" borderId="29" xfId="0" applyNumberFormat="1" applyFont="1" applyFill="1" applyBorder="1" applyAlignment="1">
      <x:alignment horizontal="left" vertical="center" wrapText="1"/>
    </x:xf>
    <x:xf numFmtId="0" fontId="6" fillId="10" borderId="27" xfId="0" applyNumberFormat="1" applyFont="1" applyFill="1" applyBorder="1" applyAlignment="1">
      <x:alignment horizontal="right" vertical="center"/>
    </x:xf>
    <x:xf numFmtId="0" fontId="6" fillId="10" xfId="0" applyNumberFormat="1" applyFont="1" applyFill="1" applyBorder="0" applyAlignment="1">
      <x:alignment horizontal="right" vertical="center"/>
    </x:xf>
    <x:xf numFmtId="0" fontId="7" fillId="10" xfId="0" applyNumberFormat="1" applyFont="1" applyFill="1" applyBorder="0" applyAlignment="1">
      <x:alignment horizontal="right" vertical="center" wrapText="1"/>
    </x:xf>
    <x:xf numFmtId="0" fontId="7" fillId="10" borderId="30" xfId="0" applyNumberFormat="1" applyFont="1" applyFill="1" applyBorder="1" applyAlignment="1">
      <x:alignment horizontal="right" vertical="center" wrapText="1"/>
    </x:xf>
    <x:xf numFmtId="0" fontId="6" fillId="10" borderId="32" xfId="0" applyNumberFormat="1" applyFont="1" applyFill="1" applyBorder="1" applyAlignment="1">
      <x:alignment horizontal="right" vertical="center"/>
    </x:xf>
    <x:xf numFmtId="0" fontId="0" fillId="10" borderId="0" xfId="0" applyNumberFormat="1" applyFont="1" applyFill="1" applyBorder="1"/>
    <x:xf numFmtId="0" fontId="1" fillId="10" borderId="0" xfId="0" applyNumberFormat="1" applyFont="1" applyFill="1" applyBorder="1" applyAlignment="1">
      <x:alignment horizontal="center" vertical="center" wrapText="1"/>
    </x:xf>
    <x:xf numFmtId="0" fontId="0" fillId="10" borderId="4" xfId="0" applyNumberFormat="1" applyFont="1" applyFill="1" applyBorder="1"/>
    <x:xf numFmtId="0" fontId="0" fillId="10" borderId="6" xfId="0" applyNumberFormat="1" applyFont="1" applyFill="1" applyBorder="1"/>
    <x:xf numFmtId="0" fontId="0" fillId="10" borderId="9"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horizontal="center" vertical="center" wrapText="1"/>
    </x:xf>
    <x:xf numFmtId="0" fontId="6" fillId="10" borderId="4" xfId="0" applyNumberFormat="1" applyFont="1" applyFill="1" applyBorder="1"/>
    <x:xf numFmtId="0" fontId="6" fillId="10" borderId="6" xfId="0" applyNumberFormat="1" applyFont="1" applyFill="1" applyBorder="1"/>
    <x:xf numFmtId="0" fontId="6" fillId="10" borderId="9" xfId="0" applyNumberFormat="1" applyFont="1" applyFill="1" applyBorder="1"/>
    <x:xf numFmtId="0" fontId="6" fillId="10" borderId="0" xfId="0" applyNumberFormat="1" applyFont="1" applyFill="1" applyBorder="1" applyAlignment="1">
      <x:alignment vertical="center"/>
    </x:xf>
    <x:xf numFmtId="0" fontId="6" fillId="10" borderId="0" xfId="0" applyNumberFormat="1" applyFont="1" applyFill="1" applyBorder="1" applyAlignment="1">
      <x:alignment horizontal="left" vertical="center"/>
    </x:xf>
    <x:xf numFmtId="0" fontId="6" fillId="10" borderId="0" xfId="0" applyNumberFormat="1" applyFont="1" applyFill="1" applyBorder="1" applyAlignment="1">
      <x:alignment horizontal="left" vertical="center" wrapText="1"/>
    </x:xf>
    <x:xf numFmtId="0" fontId="6" fillId="10" borderId="0" xfId="0" applyNumberFormat="1" applyFont="1" applyFill="1" applyBorder="1" applyAlignment="1">
      <x:alignment horizontal="right" vertical="center"/>
    </x:xf>
    <x:xf numFmtId="0" fontId="6" fillId="10" borderId="0" xfId="0" applyNumberFormat="1" applyFont="1" applyFill="1" applyBorder="1" applyAlignment="1">
      <x:alignment horizontal="right" vertical="center" wrapText="1"/>
    </x:xf>
    <x:xf numFmtId="0" fontId="7" fillId="10" borderId="0" xfId="0" applyNumberFormat="1" applyFont="1" applyFill="1" applyBorder="1" applyAlignment="1">
      <x:alignment vertical="center" wrapText="1"/>
    </x:xf>
    <x:xf numFmtId="0" fontId="7" fillId="10" borderId="0" xfId="0" applyNumberFormat="1" applyFont="1" applyFill="1" applyBorder="1" applyAlignment="1">
      <x:alignment horizontal="left" vertical="center" wrapText="1"/>
    </x:xf>
    <x:xf numFmtId="0" fontId="7" fillId="10" borderId="0" xfId="0" applyNumberFormat="1" applyFont="1" applyFill="1" applyBorder="1" applyAlignment="1">
      <x:alignment horizontal="right" vertical="center" wrapText="1"/>
    </x:xf>
    <x:xf numFmtId="0" fontId="0" fillId="0" borderId="39"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0" fillId="0" borderId="45" xfId="0" applyNumberFormat="1" applyFont="1" applyFill="1" applyBorder="1"/>
    <x:xf numFmtId="0" fontId="0" fillId="0" borderId="46" xfId="0" applyNumberFormat="1" applyFont="1" applyFill="1" applyBorder="1"/>
    <x:xf numFmtId="0" fontId="0" fillId="0" borderId="39"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0" fillId="0" borderId="45" xfId="0" applyNumberFormat="1" applyFont="1" applyFill="1" applyBorder="1" applyAlignment="1">
      <x:alignment wrapText="1"/>
    </x:xf>
    <x:xf numFmtId="0" fontId="0" fillId="0" borderId="46" xfId="0" applyNumberFormat="1" applyFont="1" applyFill="1" applyBorder="1" applyAlignment="1">
      <x:alignment wrapText="1"/>
    </x:xf>
    <x:xf numFmtId="0" fontId="0" fillId="0" borderId="39" xfId="0" applyNumberFormat="1" applyFont="1" applyFill="1" applyBorder="1" applyAlignment="1">
      <x:alignment vertical="top" wrapText="1"/>
    </x:xf>
    <x:xf numFmtId="0" fontId="0" fillId="0" borderId="40"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0" fillId="0" borderId="45" xfId="0" applyNumberFormat="1" applyFont="1" applyFill="1" applyBorder="1" applyAlignment="1">
      <x:alignment vertical="top" wrapText="1"/>
    </x:xf>
    <x:xf numFmtId="0" fontId="0" fillId="0" borderId="46" xfId="0" applyNumberFormat="1" applyFont="1" applyFill="1" applyBorder="1" applyAlignment="1">
      <x:alignment vertical="top" wrapText="1"/>
    </x:xf>
    <x:xf numFmtId="0" fontId="0" fillId="0" borderId="40"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top" wrapText="1"/>
    </x:xf>
    <x:xf numFmtId="0" fontId="1" fillId="11" borderId="0" xfId="0" applyNumberFormat="1" applyFont="1" applyFill="1" applyBorder="1" applyAlignment="1">
      <x:alignment horizontal="center" vertical="center" wrapText="1"/>
    </x:xf>
    <x:xf numFmtId="0" fontId="6" fillId="10" borderId="39" xfId="0" applyNumberFormat="1" applyFont="1" applyFill="1" applyBorder="1" applyAlignment="1">
      <x:alignment horizontal="left" vertical="center"/>
    </x:xf>
    <x:xf numFmtId="0" fontId="6" fillId="10" borderId="41" xfId="0" applyNumberFormat="1" applyFont="1" applyFill="1" applyBorder="1" applyAlignment="1">
      <x:alignment horizontal="right" vertical="center"/>
    </x:xf>
    <x:xf numFmtId="0" fontId="6" fillId="10" borderId="42" xfId="0" applyNumberFormat="1" applyFont="1" applyFill="1" applyBorder="1" applyAlignment="1">
      <x:alignment horizontal="left" vertical="center"/>
    </x:xf>
    <x:xf numFmtId="0" fontId="6" fillId="10" borderId="43" xfId="0" applyNumberFormat="1" applyFont="1" applyFill="1" applyBorder="1" applyAlignment="1">
      <x:alignment horizontal="right" vertical="center"/>
    </x:xf>
    <x:xf numFmtId="0" fontId="6" fillId="10" borderId="42" xfId="0" applyNumberFormat="1" applyFont="1" applyFill="1" applyBorder="1" applyAlignment="1">
      <x:alignment horizontal="left" vertical="center" wrapText="1"/>
    </x:xf>
    <x:xf numFmtId="0" fontId="6" fillId="10" borderId="43" xfId="0" applyNumberFormat="1" applyFont="1" applyFill="1" applyBorder="1" applyAlignment="1">
      <x:alignment horizontal="right" vertical="center" wrapText="1"/>
    </x:xf>
    <x:xf numFmtId="0" fontId="6" fillId="10" borderId="47" xfId="0" applyNumberFormat="1" applyFont="1" applyFill="1" applyBorder="1" applyAlignment="1">
      <x:alignment horizontal="left" vertical="center"/>
    </x:xf>
    <x:xf numFmtId="0" fontId="6" fillId="10" borderId="48" xfId="0" applyNumberFormat="1" applyFont="1" applyFill="1" applyBorder="1" applyAlignment="1">
      <x:alignment horizontal="right" vertical="center"/>
    </x:xf>
    <x:xf numFmtId="0" fontId="0" fillId="0" borderId="44" xfId="0" applyNumberFormat="1" applyFont="1" applyFill="1" applyBorder="1" applyAlignment="1">
      <x:alignment horizontal="left"/>
    </x:xf>
    <x:xf numFmtId="0" fontId="0" fillId="0" borderId="46" xfId="0" applyNumberFormat="1" applyFont="1" applyFill="1" applyBorder="1" applyAlignment="1">
      <x:alignment horizontal="right"/>
    </x:xf>
    <x:xf numFmtId="0" fontId="6" fillId="10" borderId="40" xfId="0" applyNumberFormat="1" applyFont="1" applyFill="1" applyBorder="1" applyAlignment="1">
      <x:alignment horizontal="right" vertical="center"/>
    </x:xf>
    <x:xf numFmtId="0" fontId="7" fillId="10" borderId="42" xfId="0" applyNumberFormat="1" applyFont="1" applyFill="1" applyBorder="1" applyAlignment="1">
      <x:alignment horizontal="left" vertical="center" wrapText="1"/>
    </x:xf>
    <x:xf numFmtId="0" fontId="7" fillId="10" borderId="43" xfId="0" applyNumberFormat="1" applyFont="1" applyFill="1" applyBorder="1" applyAlignment="1">
      <x:alignment horizontal="right" vertical="center" wrapText="1"/>
    </x:xf>
    <x:xf numFmtId="0" fontId="6" fillId="10" borderId="44" xfId="0" applyNumberFormat="1" applyFont="1" applyFill="1" applyBorder="1" applyAlignment="1">
      <x:alignment horizontal="left" vertical="center"/>
    </x:xf>
    <x:xf numFmtId="0" fontId="6" fillId="10" borderId="45" xfId="0" applyNumberFormat="1" applyFont="1" applyFill="1" applyBorder="1" applyAlignment="1">
      <x:alignment horizontal="right" vertical="center"/>
    </x:xf>
    <x:xf numFmtId="0" fontId="6" fillId="10" borderId="46" xfId="0" applyNumberFormat="1" applyFont="1" applyFill="1" applyBorder="1" applyAlignment="1">
      <x:alignment horizontal="right" vertical="center"/>
    </x:xf>
    <x:xf numFmtId="0" fontId="5" fillId="12" borderId="0" xfId="0" applyNumberFormat="1" applyFont="1" applyFill="1" applyBorder="1" applyAlignment="1">
      <x:alignment vertical="center" wrapText="1"/>
    </x:xf>
    <x:xf numFmtId="0" fontId="1" fillId="11" borderId="26" xfId="0" applyNumberFormat="1" applyFont="1" applyFill="1" applyBorder="1" applyAlignment="1">
      <x:alignment horizontal="center" vertical="center" wrapText="1"/>
    </x:xf>
    <x:xf numFmtId="0" fontId="1" fillId="11" borderId="27" xfId="0" applyNumberFormat="1" applyFont="1" applyFill="1" applyBorder="1" applyAlignment="1">
      <x:alignment horizontal="center" vertical="center" wrapText="1"/>
    </x:xf>
    <x:xf numFmtId="0" fontId="1" fillId="11" borderId="28" xfId="0" applyNumberFormat="1" applyFont="1" applyFill="1" applyBorder="1" applyAlignment="1">
      <x:alignment horizontal="center" vertical="center" wrapText="1"/>
    </x:xf>
    <x:xf numFmtId="0" fontId="1" fillId="11" borderId="39" xfId="0" applyNumberFormat="1" applyFont="1" applyFill="1" applyBorder="1" applyAlignment="1">
      <x:alignment horizontal="center" vertical="center" wrapText="1"/>
    </x:xf>
    <x:xf numFmtId="0" fontId="1" fillId="11" borderId="40" xfId="0" applyNumberFormat="1" applyFont="1" applyFill="1" applyBorder="1" applyAlignment="1">
      <x:alignment horizontal="center" vertical="center" wrapText="1"/>
    </x:xf>
    <x:xf numFmtId="0" fontId="1" fillId="11" borderId="41" xfId="0" applyNumberFormat="1" applyFont="1" applyFill="1" applyBorder="1" applyAlignment="1">
      <x:alignment horizontal="center" vertical="center" wrapText="1"/>
    </x:xf>
    <x:xf numFmtId="0" fontId="0" fillId="0" borderId="47" xfId="0" applyNumberFormat="1" applyFont="1" applyFill="1" applyBorder="1" applyAlignment="1">
      <x:alignment vertical="top" wrapText="1"/>
    </x:xf>
    <x:xf numFmtId="0" fontId="0" fillId="0" borderId="48" xfId="0" applyNumberFormat="1" applyFont="1" applyFill="1" applyBorder="1" applyAlignment="1">
      <x:alignment vertical="top" wrapText="1"/>
    </x:xf>
    <x:xf numFmtId="0" fontId="0" fillId="0" borderId="49" xfId="0" applyNumberFormat="1" applyFont="1" applyFill="1" applyBorder="1"/>
    <x:xf numFmtId="0" fontId="0" fillId="0" borderId="49" xfId="0" applyNumberFormat="1" applyFont="1" applyFill="1" applyBorder="1" applyAlignment="1">
      <x:alignment wrapText="1"/>
    </x:xf>
    <x:xf numFmtId="0" fontId="0" fillId="0" borderId="49" xfId="0" applyNumberFormat="1" applyFont="1" applyFill="1" applyBorder="1" applyAlignment="1">
      <x:alignment vertical="top" wrapText="1"/>
    </x:xf>
    <x:xf numFmtId="0" fontId="0" fillId="0" borderId="0" xfId="0" applyNumberFormat="1" applyFont="1" applyFill="1" applyBorder="1" applyAlignment="1">
      <x:alignment horizontal="left"/>
    </x:xf>
    <x:xf numFmtId="0" fontId="0" fillId="0" borderId="0" xfId="0" applyNumberFormat="1" applyFont="1" applyFill="1" applyBorder="1" applyAlignment="1">
      <x:alignment horizontal="right"/>
    </x:xf>
    <x:xf numFmtId="0" fontId="0" fillId="0" borderId="50" xfId="0" applyNumberFormat="1" applyFont="1" applyFill="1" applyBorder="1"/>
    <x:xf numFmtId="0" fontId="0" fillId="0" borderId="51" xfId="0" applyNumberFormat="1" applyFont="1" applyFill="1" applyBorder="1"/>
    <x:xf numFmtId="0" fontId="0" fillId="0" borderId="52" xfId="0" applyNumberFormat="1" applyFont="1" applyFill="1" applyBorder="1"/>
    <x:xf numFmtId="0" fontId="0" fillId="0" borderId="53" xfId="0" applyNumberFormat="1" applyFont="1" applyFill="1" applyBorder="1"/>
    <x:xf numFmtId="0" fontId="0" fillId="0" borderId="54" xfId="0" applyNumberFormat="1" applyFont="1" applyFill="1" applyBorder="1"/>
    <x:xf numFmtId="0" fontId="0" fillId="0" borderId="55" xfId="0" applyNumberFormat="1" applyFont="1" applyFill="1" applyBorder="1"/>
    <x:xf numFmtId="0" fontId="0" fillId="0" borderId="56" xfId="0" applyNumberFormat="1" applyFont="1" applyFill="1" applyBorder="1"/>
    <x:xf numFmtId="0" fontId="0" fillId="0" borderId="57" xfId="0" applyNumberFormat="1" applyFont="1" applyFill="1" applyBorder="1"/>
    <x:xf numFmtId="0" fontId="0" fillId="0" borderId="50" xfId="0" applyNumberFormat="1" applyFont="1" applyFill="1" applyBorder="1" applyAlignment="1">
      <x:alignment wrapText="1"/>
    </x:xf>
    <x:xf numFmtId="0" fontId="0" fillId="0" borderId="51" xfId="0" applyNumberFormat="1" applyFont="1" applyFill="1" applyBorder="1" applyAlignment="1">
      <x:alignment wrapText="1"/>
    </x:xf>
    <x:xf numFmtId="0" fontId="0" fillId="0" borderId="52" xfId="0" applyNumberFormat="1" applyFont="1" applyFill="1" applyBorder="1" applyAlignment="1">
      <x:alignment wrapText="1"/>
    </x:xf>
    <x:xf numFmtId="0" fontId="0" fillId="0" borderId="53" xfId="0" applyNumberFormat="1" applyFont="1" applyFill="1" applyBorder="1" applyAlignment="1">
      <x:alignment wrapText="1"/>
    </x:xf>
    <x:xf numFmtId="0" fontId="0" fillId="0" borderId="54" xfId="0" applyNumberFormat="1" applyFont="1" applyFill="1" applyBorder="1" applyAlignment="1">
      <x:alignment wrapText="1"/>
    </x:xf>
    <x:xf numFmtId="0" fontId="0" fillId="0" borderId="55" xfId="0" applyNumberFormat="1" applyFont="1" applyFill="1" applyBorder="1" applyAlignment="1">
      <x:alignment wrapText="1"/>
    </x:xf>
    <x:xf numFmtId="0" fontId="0" fillId="0" borderId="56" xfId="0" applyNumberFormat="1" applyFont="1" applyFill="1" applyBorder="1" applyAlignment="1">
      <x:alignment wrapText="1"/>
    </x:xf>
    <x:xf numFmtId="0" fontId="0" fillId="0" borderId="57" xfId="0" applyNumberFormat="1" applyFont="1" applyFill="1" applyBorder="1" applyAlignment="1">
      <x:alignment wrapText="1"/>
    </x:xf>
    <x:xf numFmtId="0" fontId="0" fillId="0" borderId="50" xfId="0" applyNumberFormat="1" applyFont="1" applyFill="1" applyBorder="1" applyAlignment="1">
      <x:alignment vertical="top" wrapText="1"/>
    </x:xf>
    <x:xf numFmtId="0" fontId="0" fillId="0" borderId="51" xfId="0" applyNumberFormat="1" applyFont="1" applyFill="1" applyBorder="1" applyAlignment="1">
      <x:alignment vertical="top" wrapText="1"/>
    </x:xf>
    <x:xf numFmtId="0" fontId="0" fillId="0" borderId="52" xfId="0" applyNumberFormat="1" applyFont="1" applyFill="1" applyBorder="1" applyAlignment="1">
      <x:alignment vertical="top" wrapText="1"/>
    </x:xf>
    <x:xf numFmtId="0" fontId="0" fillId="0" borderId="53" xfId="0" applyNumberFormat="1" applyFont="1" applyFill="1" applyBorder="1" applyAlignment="1">
      <x:alignment vertical="top" wrapText="1"/>
    </x:xf>
    <x:xf numFmtId="0" fontId="0" fillId="0" borderId="54" xfId="0" applyNumberFormat="1" applyFont="1" applyFill="1" applyBorder="1" applyAlignment="1">
      <x:alignment vertical="top" wrapText="1"/>
    </x:xf>
    <x:xf numFmtId="0" fontId="0" fillId="0" borderId="55" xfId="0" applyNumberFormat="1" applyFont="1" applyFill="1" applyBorder="1" applyAlignment="1">
      <x:alignment vertical="top" wrapText="1"/>
    </x:xf>
    <x:xf numFmtId="0" fontId="0" fillId="0" borderId="56" xfId="0" applyNumberFormat="1" applyFont="1" applyFill="1" applyBorder="1" applyAlignment="1">
      <x:alignment vertical="top" wrapText="1"/>
    </x:xf>
    <x:xf numFmtId="0" fontId="0" fillId="0" borderId="57" xfId="0" applyNumberFormat="1" applyFont="1" applyFill="1" applyBorder="1" applyAlignment="1">
      <x:alignment vertical="top" wrapText="1"/>
    </x:xf>
    <x:xf numFmtId="0" fontId="0" fillId="0" borderId="51" xfId="0" applyNumberFormat="1" applyFont="1" applyFill="1" applyBorder="1" applyAlignment="1">
      <x:alignment horizontal="center" vertical="top" wrapText="1"/>
    </x:xf>
    <x:xf numFmtId="0" fontId="0" fillId="0" borderId="56" xfId="0" applyNumberFormat="1" applyFont="1" applyFill="1" applyBorder="1" applyAlignment="1">
      <x:alignment horizontal="center" vertical="top" wrapText="1"/>
    </x:xf>
    <x:xf numFmtId="0" fontId="1" fillId="13" borderId="0" xfId="0" applyNumberFormat="1" applyFont="1" applyFill="1" applyBorder="1" applyAlignment="1">
      <x:alignment horizontal="center" vertical="center" wrapText="1"/>
    </x:xf>
    <x:xf numFmtId="0" fontId="6" fillId="10" borderId="50" xfId="0" applyNumberFormat="1" applyFont="1" applyFill="1" applyBorder="1" applyAlignment="1">
      <x:alignment horizontal="left" vertical="center"/>
    </x:xf>
    <x:xf numFmtId="0" fontId="6" fillId="10" borderId="52" xfId="0" applyNumberFormat="1" applyFont="1" applyFill="1" applyBorder="1" applyAlignment="1">
      <x:alignment horizontal="right" vertical="center"/>
    </x:xf>
    <x:xf numFmtId="0" fontId="6" fillId="10" borderId="53" xfId="0" applyNumberFormat="1" applyFont="1" applyFill="1" applyBorder="1" applyAlignment="1">
      <x:alignment horizontal="left" vertical="center"/>
    </x:xf>
    <x:xf numFmtId="0" fontId="6" fillId="10" borderId="54" xfId="0" applyNumberFormat="1" applyFont="1" applyFill="1" applyBorder="1" applyAlignment="1">
      <x:alignment horizontal="right" vertical="center"/>
    </x:xf>
    <x:xf numFmtId="0" fontId="6" fillId="10" borderId="53" xfId="0" applyNumberFormat="1" applyFont="1" applyFill="1" applyBorder="1" applyAlignment="1">
      <x:alignment horizontal="left" vertical="center" wrapText="1"/>
    </x:xf>
    <x:xf numFmtId="0" fontId="6" fillId="10" borderId="54" xfId="0" applyNumberFormat="1" applyFont="1" applyFill="1" applyBorder="1" applyAlignment="1">
      <x:alignment horizontal="right" vertical="center" wrapText="1"/>
    </x:xf>
    <x:xf numFmtId="0" fontId="0" fillId="0" borderId="55" xfId="0" applyNumberFormat="1" applyFont="1" applyFill="1" applyBorder="1" applyAlignment="1">
      <x:alignment horizontal="left"/>
    </x:xf>
    <x:xf numFmtId="0" fontId="0" fillId="0" borderId="57" xfId="0" applyNumberFormat="1" applyFont="1" applyFill="1" applyBorder="1" applyAlignment="1">
      <x:alignment horizontal="right"/>
    </x:xf>
    <x:xf numFmtId="0" fontId="6" fillId="10" borderId="51" xfId="0" applyNumberFormat="1" applyFont="1" applyFill="1" applyBorder="1" applyAlignment="1">
      <x:alignment horizontal="right" vertical="center"/>
    </x:xf>
    <x:xf numFmtId="0" fontId="7" fillId="10" borderId="53" xfId="0" applyNumberFormat="1" applyFont="1" applyFill="1" applyBorder="1" applyAlignment="1">
      <x:alignment horizontal="left" vertical="center" wrapText="1"/>
    </x:xf>
    <x:xf numFmtId="0" fontId="7" fillId="10" borderId="54" xfId="0" applyNumberFormat="1" applyFont="1" applyFill="1" applyBorder="1" applyAlignment="1">
      <x:alignment horizontal="right" vertical="center" wrapText="1"/>
    </x:xf>
    <x:xf numFmtId="0" fontId="6" fillId="10" borderId="55" xfId="0" applyNumberFormat="1" applyFont="1" applyFill="1" applyBorder="1" applyAlignment="1">
      <x:alignment horizontal="left" vertical="center"/>
    </x:xf>
    <x:xf numFmtId="0" fontId="6" fillId="10" borderId="56" xfId="0" applyNumberFormat="1" applyFont="1" applyFill="1" applyBorder="1" applyAlignment="1">
      <x:alignment horizontal="right" vertical="center"/>
    </x:xf>
    <x:xf numFmtId="0" fontId="6" fillId="10" borderId="57" xfId="0" applyNumberFormat="1" applyFont="1" applyFill="1" applyBorder="1" applyAlignment="1">
      <x:alignment horizontal="right" vertical="center"/>
    </x:xf>
    <x:xf numFmtId="0" fontId="5" fillId="14" borderId="0" xfId="0" applyNumberFormat="1" applyFont="1" applyFill="1" applyBorder="1" applyAlignment="1">
      <x:alignment vertical="center" wrapText="1"/>
    </x:xf>
    <x:xf numFmtId="0" fontId="1" fillId="13" borderId="39" xfId="0" applyNumberFormat="1" applyFont="1" applyFill="1" applyBorder="1" applyAlignment="1">
      <x:alignment horizontal="center" vertical="center" wrapText="1"/>
    </x:xf>
    <x:xf numFmtId="0" fontId="1" fillId="13" borderId="40" xfId="0" applyNumberFormat="1" applyFont="1" applyFill="1" applyBorder="1" applyAlignment="1">
      <x:alignment horizontal="center" vertical="center" wrapText="1"/>
    </x:xf>
    <x:xf numFmtId="0" fontId="1" fillId="13" borderId="41" xfId="0" applyNumberFormat="1" applyFont="1" applyFill="1" applyBorder="1" applyAlignment="1">
      <x:alignment horizontal="center" vertical="center" wrapText="1"/>
    </x:xf>
    <x:xf numFmtId="0" fontId="1" fillId="13" borderId="50" xfId="0" applyNumberFormat="1" applyFont="1" applyFill="1" applyBorder="1" applyAlignment="1">
      <x:alignment horizontal="center" vertical="center" wrapText="1"/>
    </x:xf>
    <x:xf numFmtId="0" fontId="1" fillId="13" borderId="51" xfId="0" applyNumberFormat="1" applyFont="1" applyFill="1" applyBorder="1" applyAlignment="1">
      <x:alignment horizontal="center" vertical="center" wrapText="1"/>
    </x:xf>
    <x:xf numFmtId="0" fontId="1" fillId="13" borderId="52" xfId="0" applyNumberFormat="1" applyFont="1" applyFill="1" applyBorder="1" applyAlignment="1">
      <x:alignment horizontal="center" vertical="center" wrapText="1"/>
    </x:xf>
    <x:xf numFmtId="0" fontId="0" fillId="0" borderId="58" xfId="0" applyNumberFormat="1" applyFont="1" applyFill="1" applyBorder="1" applyAlignment="1">
      <x:alignment vertical="top" wrapText="1"/>
    </x:xf>
    <x:xf numFmtId="0" fontId="0" fillId="0" borderId="59" xfId="0" applyNumberFormat="1" applyFont="1" applyFill="1" applyBorder="1" applyAlignment="1">
      <x:alignment vertical="top" wrapText="1"/>
    </x:xf>
    <x:xf numFmtId="0" fontId="0" fillId="0" borderId="60" xfId="0" applyNumberFormat="1" applyFont="1" applyFill="1" applyBorder="1"/>
    <x:xf numFmtId="0" fontId="0" fillId="0" borderId="60" xfId="0" applyNumberFormat="1" applyFont="1" applyFill="1" applyBorder="1" applyAlignment="1">
      <x:alignment wrapText="1"/>
    </x:xf>
    <x:xf numFmtId="0" fontId="0" fillId="0" borderId="60" xfId="0" applyNumberFormat="1" applyFont="1" applyFill="1" applyBorder="1" applyAlignment="1">
      <x:alignment vertical="top" wrapText="1"/>
    </x:xf>
    <x:xf numFmtId="0" fontId="1" fillId="15" borderId="50" xfId="0" applyNumberFormat="1" applyFont="1" applyFill="1" applyBorder="1" applyAlignment="1">
      <x:alignment horizontal="center" vertical="center" wrapText="1"/>
    </x:xf>
    <x:xf numFmtId="0" fontId="1" fillId="15" borderId="51" xfId="0" applyNumberFormat="1" applyFont="1" applyFill="1" applyBorder="1" applyAlignment="1">
      <x:alignment horizontal="center" vertical="center" wrapText="1"/>
    </x:xf>
    <x:xf numFmtId="0" fontId="1" fillId="15" borderId="52" xfId="0" applyNumberFormat="1" applyFont="1" applyFill="1" applyBorder="1" applyAlignment="1">
      <x:alignment horizontal="center" vertical="center"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wrapText="1"/>
    </x:xf>
    <x:xf numFmtId="0" fontId="1" fillId="15" borderId="0" xfId="0" applyNumberFormat="1" applyFont="1" applyFill="1" applyBorder="1" applyAlignment="1">
      <x:alignment horizontal="center" wrapText="1"/>
    </x:xf>
    <x:xf numFmtId="0" fontId="1" fillId="15" borderId="0" xfId="0" applyNumberFormat="1" applyFont="1" applyFill="1" applyBorder="1" applyAlignment="1">
      <x:alignment horizontal="center" vertical="center" wrapText="1"/>
    </x:xf>
    <x:xf numFmtId="0" fontId="1" fillId="15" borderId="61" xfId="0" applyNumberFormat="1" applyFont="1" applyFill="1" applyBorder="1" applyAlignment="1">
      <x:alignment horizontal="center" vertical="center" wrapText="1"/>
    </x:xf>
    <x:xf numFmtId="0" fontId="1" fillId="15" borderId="62" xfId="0" applyNumberFormat="1" applyFont="1" applyFill="1" applyBorder="1" applyAlignment="1">
      <x:alignment horizontal="center" vertical="center" wrapText="1"/>
    </x:xf>
    <x:xf numFmtId="0" fontId="1" fillId="15" borderId="63" xfId="0" applyNumberFormat="1" applyFont="1" applyFill="1" applyBorder="1" applyAlignment="1">
      <x:alignment horizontal="center" vertical="center" wrapText="1"/>
    </x:xf>
    <x:xf numFmtId="0" fontId="1" fillId="15" borderId="64" xfId="0" applyNumberFormat="1" applyFont="1" applyFill="1" applyBorder="1" applyAlignment="1">
      <x:alignment horizontal="center" vertical="center" wrapText="1"/>
    </x:xf>
    <x:xf numFmtId="0" fontId="0" fillId="0" borderId="65" xfId="0" applyNumberFormat="1" applyFont="1" applyFill="1" applyBorder="1" applyAlignment="1">
      <x:alignment vertical="top" wrapText="1"/>
    </x:xf>
    <x:xf numFmtId="0" fontId="0" fillId="0" borderId="66" xfId="0" applyNumberFormat="1" applyFont="1" applyFill="1" applyBorder="1" applyAlignment="1">
      <x:alignment wrapText="1"/>
    </x:xf>
    <x:xf numFmtId="0" fontId="0" fillId="0" borderId="67" xfId="0" applyNumberFormat="1" applyFont="1" applyFill="1" applyBorder="1" applyAlignment="1">
      <x:alignment vertical="top" wrapText="1"/>
    </x:xf>
    <x:xf numFmtId="0" fontId="0" fillId="0" borderId="68" xfId="0" applyNumberFormat="1" applyFont="1" applyFill="1" applyBorder="1" applyAlignment="1">
      <x:alignment vertical="top" wrapText="1"/>
    </x:xf>
    <x:xf numFmtId="0" fontId="0" fillId="0" borderId="69" xfId="0" applyNumberFormat="1" applyFont="1" applyFill="1" applyBorder="1" applyAlignment="1">
      <x:alignment vertical="top" wrapText="1"/>
    </x:xf>
    <x:xf numFmtId="0" fontId="0" fillId="0" borderId="70" xfId="0" applyNumberFormat="1" applyFont="1" applyFill="1" applyBorder="1" applyAlignment="1">
      <x:alignment wrapText="1"/>
    </x:xf>
    <x:xf numFmtId="0" fontId="2" fillId="15" borderId="0" xfId="0" applyNumberFormat="1" applyFont="1" applyFill="1" applyBorder="1"/>
    <x:xf numFmtId="0" fontId="2" fillId="15" borderId="0" xfId="0" applyNumberFormat="1" applyFont="1" applyFill="1" applyBorder="1" applyAlignment="1">
      <x:alignment horizontal="left"/>
    </x:xf>
    <x:xf numFmtId="0" fontId="2" fillId="15" borderId="0" xfId="0" applyNumberFormat="1" applyFont="1" applyFill="1" applyBorder="1" applyAlignment="1">
      <x:alignment horizontal="left" vertical="center"/>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3" fillId="16" borderId="0" xfId="0" applyNumberFormat="1" applyFont="1" applyFill="1" applyBorder="1" applyAlignment="1">
      <x:alignment horizontal="center" wrapText="1"/>
    </x:xf>
    <x:xf numFmtId="0" fontId="3" fillId="16"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71" xfId="0" applyNumberFormat="1" applyFont="1" applyFill="1" applyBorder="1"/>
    <x:xf numFmtId="0" fontId="4" fillId="0" borderId="72" xfId="0" applyNumberFormat="1" applyFont="1" applyFill="1" applyBorder="1"/>
    <x:xf numFmtId="0" fontId="4" fillId="0" borderId="73" xfId="0" applyNumberFormat="1" applyFont="1" applyFill="1" applyBorder="1"/>
    <x:xf numFmtId="200" fontId="4" fillId="0" borderId="71" xfId="0" applyNumberFormat="1" applyFont="1" applyFill="1" applyBorder="1"/>
    <x:xf numFmtId="200" fontId="4" fillId="0" borderId="72" xfId="0" applyNumberFormat="1" applyFont="1" applyFill="1" applyBorder="1"/>
    <x:xf numFmtId="200" fontId="4" fillId="0" borderId="73" xfId="0" applyNumberFormat="1" applyFont="1" applyFill="1" applyBorder="1"/>
    <x:xf numFmtId="200" fontId="4" fillId="0" borderId="71" xfId="0" applyNumberFormat="1" applyFont="1" applyFill="1" applyBorder="1" applyAlignment="1">
      <x:alignment horizontal="center"/>
    </x:xf>
    <x:xf numFmtId="200" fontId="4" fillId="0" borderId="72" xfId="0" applyNumberFormat="1" applyFont="1" applyFill="1" applyBorder="1" applyAlignment="1">
      <x:alignment horizontal="center"/>
    </x:xf>
    <x:xf numFmtId="200" fontId="4" fillId="0" borderId="73" xfId="0" applyNumberFormat="1" applyFont="1" applyFill="1" applyBorder="1" applyAlignment="1">
      <x:alignment horizontal="center"/>
    </x:xf>
    <x:xf numFmtId="200" fontId="4" fillId="0" borderId="71" xfId="0" applyNumberFormat="1" applyFont="1" applyFill="1" applyBorder="1" applyAlignment="1">
      <x:alignment horizontal="center" vertical="center"/>
    </x:xf>
    <x:xf numFmtId="200" fontId="4" fillId="0" borderId="72" xfId="0" applyNumberFormat="1" applyFont="1" applyFill="1" applyBorder="1" applyAlignment="1">
      <x:alignment horizontal="center" vertical="center"/>
    </x:xf>
    <x:xf numFmtId="200" fontId="4" fillId="0" borderId="73" xfId="0" applyNumberFormat="1" applyFont="1" applyFill="1" applyBorder="1" applyAlignment="1">
      <x:alignment horizontal="center" vertical="center"/>
    </x:xf>
    <x:xf numFmtId="0" fontId="1" fillId="15" borderId="0" xfId="0" applyNumberFormat="1" applyFont="1" applyFill="1" applyBorder="1" applyAlignment="1">
      <x:alignment horizontal="center"/>
    </x:xf>
    <x:xf numFmtId="0" fontId="0" fillId="0" borderId="61" xfId="0" applyNumberFormat="1" applyFont="1" applyFill="1" applyBorder="1"/>
    <x:xf numFmtId="0" fontId="0" fillId="0" borderId="62" xfId="0" applyNumberFormat="1" applyFont="1" applyFill="1" applyBorder="1"/>
    <x:xf numFmtId="0" fontId="0" fillId="0" borderId="64" xfId="0" applyNumberFormat="1" applyFont="1" applyFill="1" applyBorder="1"/>
    <x:xf numFmtId="0" fontId="0" fillId="0" borderId="65" xfId="0" applyNumberFormat="1" applyFont="1" applyFill="1" applyBorder="1"/>
    <x:xf numFmtId="0" fontId="0" fillId="0" borderId="66" xfId="0" applyNumberFormat="1" applyFont="1" applyFill="1" applyBorder="1"/>
    <x:xf numFmtId="0" fontId="0" fillId="0" borderId="67" xfId="0" applyNumberFormat="1" applyFont="1" applyFill="1" applyBorder="1"/>
    <x:xf numFmtId="0" fontId="0" fillId="0" borderId="68" xfId="0" applyNumberFormat="1" applyFont="1" applyFill="1" applyBorder="1"/>
    <x:xf numFmtId="0" fontId="0" fillId="0" borderId="70" xfId="0" applyNumberFormat="1" applyFont="1" applyFill="1" applyBorder="1"/>
    <x:xf numFmtId="0" fontId="0" fillId="0" borderId="62" xfId="0" applyNumberFormat="1" applyFont="1" applyFill="1" applyBorder="1" applyAlignment="1">
      <x:alignment horizontal="center"/>
    </x:xf>
    <x:xf numFmtId="0" fontId="0" fillId="0" borderId="64" xfId="0" applyNumberFormat="1" applyFont="1" applyFill="1" applyBorder="1" applyAlignment="1">
      <x:alignment horizontal="center"/>
    </x:xf>
    <x:xf numFmtId="0" fontId="0" fillId="0" xfId="0" applyNumberFormat="1" applyFont="1" applyFill="1" applyBorder="0" applyAlignment="1">
      <x:alignment horizontal="center"/>
    </x:xf>
    <x:xf numFmtId="0" fontId="0" fillId="0" borderId="66" xfId="0" applyNumberFormat="1" applyFont="1" applyFill="1" applyBorder="1" applyAlignment="1">
      <x:alignment horizontal="center"/>
    </x:xf>
    <x:xf numFmtId="0" fontId="0" fillId="0" borderId="68" xfId="0" applyNumberFormat="1" applyFont="1" applyFill="1" applyBorder="1" applyAlignment="1">
      <x:alignment horizontal="center"/>
    </x:xf>
    <x:xf numFmtId="0" fontId="0" fillId="0" borderId="70" xfId="0" applyNumberFormat="1" applyFont="1" applyFill="1" applyBorder="1" applyAlignment="1">
      <x:alignment horizontal="center"/>
    </x:xf>
    <x:xf numFmtId="0" fontId="0" fillId="17" borderId="0" xfId="0" applyNumberFormat="1" applyFont="1" applyFill="1" applyBorder="1"/>
    <x:xf numFmtId="0" fontId="3" fillId="17" borderId="0" xfId="0" applyNumberFormat="1" applyFont="1" applyFill="1" applyBorder="1"/>
    <x:xf numFmtId="0" fontId="0" fillId="18" borderId="0" xfId="0" applyNumberFormat="1" applyFont="1" applyFill="1" applyBorder="1"/>
    <x:xf numFmtId="0" fontId="0" fillId="18" borderId="61" xfId="0" applyNumberFormat="1" applyFont="1" applyFill="1" applyBorder="1"/>
    <x:xf numFmtId="0" fontId="0" fillId="18" borderId="62" xfId="0" applyNumberFormat="1" applyFont="1" applyFill="1" applyBorder="1"/>
    <x:xf numFmtId="0" fontId="0" fillId="18" borderId="64" xfId="0" applyNumberFormat="1" applyFont="1" applyFill="1" applyBorder="1"/>
    <x:xf numFmtId="0" fontId="0" fillId="18" borderId="65" xfId="0" applyNumberFormat="1" applyFont="1" applyFill="1" applyBorder="1"/>
    <x:xf numFmtId="0" fontId="0" fillId="18" xfId="0" applyNumberFormat="1" applyFont="1" applyFill="1" applyBorder="0"/>
    <x:xf numFmtId="0" fontId="0" fillId="18" borderId="66" xfId="0" applyNumberFormat="1" applyFont="1" applyFill="1" applyBorder="1"/>
    <x:xf numFmtId="0" fontId="0" fillId="18" borderId="67" xfId="0" applyNumberFormat="1" applyFont="1" applyFill="1" applyBorder="1"/>
    <x:xf numFmtId="0" fontId="0" fillId="18" borderId="68" xfId="0" applyNumberFormat="1" applyFont="1" applyFill="1" applyBorder="1"/>
    <x:xf numFmtId="0" fontId="0" fillId="18" borderId="70" xfId="0" applyNumberFormat="1" applyFont="1" applyFill="1" applyBorder="1"/>
    <x:xf numFmtId="0" fontId="0" fillId="18" borderId="61" xfId="0" applyNumberFormat="1" applyFont="1" applyFill="1" applyBorder="1" applyAlignment="1">
      <x:alignment wrapText="1"/>
    </x:xf>
    <x:xf numFmtId="0" fontId="0" fillId="18" borderId="62" xfId="0" applyNumberFormat="1" applyFont="1" applyFill="1" applyBorder="1" applyAlignment="1">
      <x:alignment wrapText="1"/>
    </x:xf>
    <x:xf numFmtId="0" fontId="0" fillId="18" borderId="64" xfId="0" applyNumberFormat="1" applyFont="1" applyFill="1" applyBorder="1" applyAlignment="1">
      <x:alignment wrapText="1"/>
    </x:xf>
    <x:xf numFmtId="0" fontId="0" fillId="18" borderId="65" xfId="0" applyNumberFormat="1" applyFont="1" applyFill="1" applyBorder="1" applyAlignment="1">
      <x:alignment wrapText="1"/>
    </x:xf>
    <x:xf numFmtId="0" fontId="0" fillId="18" xfId="0" applyNumberFormat="1" applyFont="1" applyFill="1" applyBorder="0" applyAlignment="1">
      <x:alignment wrapText="1"/>
    </x:xf>
    <x:xf numFmtId="0" fontId="0" fillId="18" borderId="66" xfId="0" applyNumberFormat="1" applyFont="1" applyFill="1" applyBorder="1" applyAlignment="1">
      <x:alignment wrapText="1"/>
    </x:xf>
    <x:xf numFmtId="0" fontId="0" fillId="18" borderId="67" xfId="0" applyNumberFormat="1" applyFont="1" applyFill="1" applyBorder="1" applyAlignment="1">
      <x:alignment wrapText="1"/>
    </x:xf>
    <x:xf numFmtId="0" fontId="0" fillId="18" borderId="68" xfId="0" applyNumberFormat="1" applyFont="1" applyFill="1" applyBorder="1" applyAlignment="1">
      <x:alignment wrapText="1"/>
    </x:xf>
    <x:xf numFmtId="0" fontId="0" fillId="18" borderId="70" xfId="0" applyNumberFormat="1" applyFont="1" applyFill="1" applyBorder="1" applyAlignment="1">
      <x:alignment wrapText="1"/>
    </x:xf>
    <x:xf numFmtId="0" fontId="0" fillId="18" borderId="61" xfId="0" applyNumberFormat="1" applyFont="1" applyFill="1" applyBorder="1" applyAlignment="1">
      <x:alignment vertical="top" wrapText="1"/>
    </x:xf>
    <x:xf numFmtId="0" fontId="0" fillId="18" borderId="62" xfId="0" applyNumberFormat="1" applyFont="1" applyFill="1" applyBorder="1" applyAlignment="1">
      <x:alignment vertical="top" wrapText="1"/>
    </x:xf>
    <x:xf numFmtId="0" fontId="0" fillId="18" borderId="64" xfId="0" applyNumberFormat="1" applyFont="1" applyFill="1" applyBorder="1" applyAlignment="1">
      <x:alignment vertical="top" wrapText="1"/>
    </x:xf>
    <x:xf numFmtId="0" fontId="0" fillId="18" borderId="65" xfId="0" applyNumberFormat="1" applyFont="1" applyFill="1" applyBorder="1" applyAlignment="1">
      <x:alignment vertical="top" wrapText="1"/>
    </x:xf>
    <x:xf numFmtId="0" fontId="0" fillId="18" xfId="0" applyNumberFormat="1" applyFont="1" applyFill="1" applyBorder="0" applyAlignment="1">
      <x:alignment vertical="top" wrapText="1"/>
    </x:xf>
    <x:xf numFmtId="0" fontId="0" fillId="18" borderId="66" xfId="0" applyNumberFormat="1" applyFont="1" applyFill="1" applyBorder="1" applyAlignment="1">
      <x:alignment vertical="top" wrapText="1"/>
    </x:xf>
    <x:xf numFmtId="0" fontId="0" fillId="18" borderId="67" xfId="0" applyNumberFormat="1" applyFont="1" applyFill="1" applyBorder="1" applyAlignment="1">
      <x:alignment vertical="top" wrapText="1"/>
    </x:xf>
    <x:xf numFmtId="0" fontId="0" fillId="18" borderId="68" xfId="0" applyNumberFormat="1" applyFont="1" applyFill="1" applyBorder="1" applyAlignment="1">
      <x:alignment vertical="top" wrapText="1"/>
    </x:xf>
    <x:xf numFmtId="0" fontId="0" fillId="18" borderId="70" xfId="0" applyNumberFormat="1" applyFont="1" applyFill="1" applyBorder="1" applyAlignment="1">
      <x:alignment vertical="top" wrapText="1"/>
    </x:xf>
    <x:xf numFmtId="200" fontId="4" fillId="0" borderId="0" xfId="0" applyNumberFormat="1" applyFont="1" applyFill="1" applyBorder="1"/>
    <x:xf numFmtId="200" fontId="4" fillId="0" borderId="0" xfId="0" applyNumberFormat="1" applyFont="1" applyFill="1" applyBorder="1" applyAlignment="1">
      <x:alignment horizontal="center"/>
    </x:xf>
    <x:xf numFmtId="200" fontId="4" fillId="0" borderId="0" xfId="0" applyNumberFormat="1" applyFont="1" applyFill="1" applyBorder="1" applyAlignment="1">
      <x:alignment horizontal="center" vertical="center"/>
    </x:xf>
    <x:xf numFmtId="0" fontId="1" fillId="2" borderId="0"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18" borderId="0" xfId="0" applyNumberFormat="1" applyFont="1" applyFill="1" applyBorder="1" applyAlignment="1">
      <x:alignment wrapText="1"/>
    </x:xf>
    <x:xf numFmtId="0" fontId="0" fillId="18" borderId="0" xfId="0" applyNumberFormat="1" applyFont="1" applyFill="1" applyBorder="1" applyAlignment="1">
      <x:alignment vertical="top" wrapText="1"/>
    </x:xf>
    <x:xf numFmtId="0" fontId="0" fillId="19" borderId="0" xfId="0" applyNumberFormat="1" applyFont="1" applyFill="1" applyBorder="1"/>
    <x:xf numFmtId="0" fontId="1" fillId="19" borderId="0" xfId="0" applyNumberFormat="1" applyFont="1" applyFill="1" applyBorder="1"/>
  </x:cellXfs>
  <x:cellStyles count="1">
    <x:cellStyle name="Normal" xfId="0"/>
  </x:cellStyles>
  <x:dxfs count="32">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07ceef4993477f" /><Relationship Type="http://schemas.openxmlformats.org/officeDocument/2006/relationships/theme" Target="/xl/theme/theme1.xml" Id="Ra5b0c401feea48c6" /><Relationship Type="http://schemas.openxmlformats.org/officeDocument/2006/relationships/sharedStrings" Target="/xl/sharedStrings.xml" Id="Rfe0d79ffa4f6434e" /><Relationship Type="http://schemas.openxmlformats.org/officeDocument/2006/relationships/worksheet" Target="/xl/worksheets/sheet1.xml" Id="R76aa3a1bc1e64b1e" /><Relationship Type="http://schemas.openxmlformats.org/officeDocument/2006/relationships/worksheet" Target="/xl/worksheets/sheet2.xml" Id="R1cc7493597654a21" /><Relationship Type="http://schemas.openxmlformats.org/officeDocument/2006/relationships/worksheet" Target="/xl/worksheets/sheet3.xml" Id="R82cd3d60d8e5481f" /><Relationship Type="http://schemas.openxmlformats.org/officeDocument/2006/relationships/worksheet" Target="/xl/worksheets/sheet4.xml" Id="R26fcf717d213494c" /><Relationship Type="http://schemas.openxmlformats.org/officeDocument/2006/relationships/worksheet" Target="/xl/worksheets/sheet5.xml" Id="R100203ec72444ca9" /><Relationship Type="http://schemas.openxmlformats.org/officeDocument/2006/relationships/worksheet" Target="/xl/worksheets/sheet6.xml" Id="R5284bfaa394245e2" /><Relationship Type="http://schemas.openxmlformats.org/officeDocument/2006/relationships/worksheet" Target="/xl/worksheets/sheet7.xml" Id="R092321892d4b4e08" /></Relationships>
</file>

<file path=xl/drawings/_rels/drawing1.xml.rels>&#65279;<?xml version="1.0" encoding="utf-8"?><Relationships xmlns="http://schemas.openxmlformats.org/package/2006/relationships"><Relationship Type="http://schemas.openxmlformats.org/officeDocument/2006/relationships/chart" Target="/xl/drawings/charts/chart1.xml" Id="Ra215da7ade384b35" /><Relationship Type="http://schemas.openxmlformats.org/officeDocument/2006/relationships/chart" Target="/xl/drawings/charts/chart2.xml" Id="R95b03219bae64712" /></Relationships>
</file>

<file path=xl/drawings/_rels/drawing2.xml.rels>&#65279;<?xml version="1.0" encoding="utf-8"?><Relationships xmlns="http://schemas.openxmlformats.org/package/2006/relationships"><Relationship Type="http://schemas.openxmlformats.org/officeDocument/2006/relationships/chart" Target="/xl/drawings/charts/chart3.xml" Id="R6996a92cc3154d7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LO別問題数</a:t>
            </a:r>
          </a:p>
        </c:rich>
      </c:tx>
    </c:title>
    <c:autoTitleDeleted val="0"/>
    <c:plotArea>
      <c:barChart>
        <c:barDir val="col"/>
        <c:varyColors val="0"/>
        <c:ser>
          <c:idx val="0"/>
          <c:order val="0"/>
          <c:tx>
            <c:v>問題数</c:v>
          </c:tx>
          <c:cat>
            <c:strRef>
              <c:f>'カバレッジ'!$A$8:$A$12</c:f>
              <c:strCache>
                <c:ptCount val="0"/>
              </c:strCache>
            </c:strRef>
          </c:cat>
          <c:val>
            <c:numRef>
              <c:f>'カバレッジ'!$B$8:$B$12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難易度分布</a:t>
            </a:r>
          </a:p>
        </c:rich>
      </c:tx>
    </c:title>
    <c:autoTitleDeleted val="0"/>
    <c:plotArea>
      <c:barChart>
        <c:barDir val="col"/>
        <c:varyColors val="0"/>
        <c:ser>
          <c:idx val="0"/>
          <c:order val="0"/>
          <c:tx>
            <c:v>問題数</c:v>
          </c:tx>
          <c:cat>
            <c:strRef>
              <c:f>'カバレッジ'!$A$17:$A$19</c:f>
              <c:strCache>
                <c:ptCount val="0"/>
              </c:strCache>
            </c:strRef>
          </c:cat>
          <c:val>
            <c:numRef>
              <c:f>'カバレッジ'!$B$17:$B$19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レビュー進捗</a:t>
            </a:r>
          </a:p>
        </c:rich>
      </c:tx>
    </c:title>
    <c:autoTitleDeleted val="0"/>
    <c:plotArea>
      <c:lineChart>
        <c:grouping val="standard"/>
        <c:varyColors val="0"/>
        <c:ser>
          <c:idx val="0"/>
          <c:order val="0"/>
          <c:tx>
            <c:v>問題数</c:v>
          </c:tx>
          <c:marker>
            <c:symbol val="none"/>
          </c:marker>
          <c:cat>
            <c:strRef>
              <c:f>'誤答レビュー概要'!$F$8:$F$13</c:f>
              <c:strCache>
                <c:ptCount val="0"/>
              </c:strCache>
            </c:strRef>
          </c:cat>
          <c:val>
            <c:numRef>
              <c:f>'誤答レビュー概要'!$G$8:$G$13</c:f>
              <c:numCache>
                <c:formatCode>General</c:formatCode>
                <c:ptCount val="0"/>
              </c:numCache>
            </c:numRef>
          </c:val>
        </c:ser>
        <c:ser>
          <c:idx val="1"/>
          <c:order val="1"/>
          <c:tx>
            <c:v>累計</c:v>
          </c:tx>
          <c:marker>
            <c:symbol val="none"/>
          </c:marker>
          <c:cat>
            <c:strRef>
              <c:f>'誤答レビュー概要'!$F$8:$F$13</c:f>
              <c:strCache>
                <c:ptCount val="0"/>
              </c:strCache>
            </c:strRef>
          </c:cat>
          <c:val>
            <c:numRef>
              <c:f>'誤答レビュー概要'!$H$8:$H$13</c:f>
              <c:numCache>
                <c:formatCode>General</c:formatCode>
                <c:ptCount val="0"/>
              </c:numCache>
            </c:numRef>
          </c:val>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6</xdr:row>
      <xdr:rowOff>0</xdr:rowOff>
    </xdr:from>
    <xdr:to>
      <xdr:col>11</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15da7ade384b35"/>
        </a:graphicData>
      </a:graphic>
    </xdr:graphicFrame>
    <xdr:clientData/>
  </xdr:twoCellAnchor>
  <xdr:twoCellAnchor>
    <xdr:from>
      <xdr:col>6</xdr:col>
      <xdr:colOff>0</xdr:colOff>
      <xdr:row>19</xdr:row>
      <xdr:rowOff>0</xdr:rowOff>
    </xdr:from>
    <xdr:to>
      <xdr:col>11</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b03219bae64712"/>
        </a:graphicData>
      </a:graphic>
    </xdr:graphicFrame>
    <xdr:clientData/>
  </xdr:twoCellAnchor>
</xdr:wsDr>
</file>

<file path=xl/drawings/drawing2.xml><?xml version="1.0" encoding="utf-8"?>
<xdr:wsDr xmlns:xdr="http://schemas.openxmlformats.org/drawingml/2006/spreadsheetDrawing">
  <xdr:twoCellAnchor>
    <xdr:from>
      <xdr:col>10</xdr:col>
      <xdr:colOff>0</xdr:colOff>
      <xdr:row>2</xdr:row>
      <xdr:rowOff>0</xdr:rowOff>
    </xdr:from>
    <xdr:to>
      <xdr:col>17</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96a92cc3154d76"/>
        </a:graphicData>
      </a:graphic>
    </xdr:graphicFrame>
    <xdr:clientData/>
  </xdr:twoCellAnchor>
</xdr:wsDr>
</file>

<file path=xl/tables/table1.xml><?xml version="1.0" encoding="utf-8"?>
<x:table xmlns:x="http://schemas.openxmlformats.org/spreadsheetml/2006/main" id="1" name="QuestionsTable" displayName="QuestionsTable" ref="A1:AG901" headerRowCount="1">
  <x:tableColumns count="33">
    <x:tableColumn id="1" name="問題ID"/>
    <x:tableColumn id="2" name="LO"/>
    <x:tableColumn id="3" name="LO名称"/>
    <x:tableColumn id="4" name="トピック"/>
    <x:tableColumn id="5" name="問題文"/>
    <x:tableColumn id="6" name="選択肢A"/>
    <x:tableColumn id="7" name="選択肢B"/>
    <x:tableColumn id="8" name="選択肢C"/>
    <x:tableColumn id="9" name="選択肢D"/>
    <x:tableColumn id="10" name="正答"/>
    <x:tableColumn id="11" name="正答本文"/>
    <x:tableColumn id="12" name="正答解説"/>
    <x:tableColumn id="13" name="A解説"/>
    <x:tableColumn id="14" name="B解説"/>
    <x:tableColumn id="15" name="C解説"/>
    <x:tableColumn id="16" name="D解説"/>
    <x:tableColumn id="17" name="知識領域"/>
    <x:tableColumn id="18" name="小分類"/>
    <x:tableColumn id="19" name="ワイン区分"/>
    <x:tableColumn id="20" name="国"/>
    <x:tableColumn id="21" name="産地"/>
    <x:tableColumn id="22" name="主要品種"/>
    <x:tableColumn id="23" name="思考スキル"/>
    <x:tableColumn id="24" name="難易度"/>
    <x:tableColumn id="25" name="誤概念タグ"/>
    <x:tableColumn id="26" name="要レビュー"/>
    <x:tableColumn id="27" name="レビュー理由"/>
    <x:tableColumn id="28" name="作成区分"/>
    <x:tableColumn id="29" name="作成根拠"/>
    <x:tableColumn id="30" name="レビュー状態"/>
    <x:tableColumn id="31" name="レビュアー"/>
    <x:tableColumn id="32" name="レビュー日"/>
    <x:tableColumn id="33" name="レビューコメント"/>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435e78a9c2948b3" /></Relationships>
</file>

<file path=xl/worksheets/_rels/sheet2.xml.rels>&#65279;<?xml version="1.0" encoding="utf-8"?><Relationships xmlns="http://schemas.openxmlformats.org/package/2006/relationships"><Relationship Type="http://schemas.openxmlformats.org/officeDocument/2006/relationships/drawing" Target="/xl/drawings/drawing1.xml" Id="R7058ef03d1f04c94" /></Relationships>
</file>

<file path=xl/worksheets/_rels/sheet6.xml.rels>&#65279;<?xml version="1.0" encoding="utf-8"?><Relationships xmlns="http://schemas.openxmlformats.org/package/2006/relationships"><Relationship Type="http://schemas.openxmlformats.org/officeDocument/2006/relationships/drawing" Target="/xl/drawings/drawing2.xml" Id="Re2a34755a1a44ef4" /></Relationships>
</file>

<file path=xl/worksheets/sheet1.xml><?xml version="1.0" encoding="utf-8"?>
<x:worksheet xmlns:x="http://schemas.openxmlformats.org/spreadsheetml/2006/main">
  <x:sheetFormatPr defaultRowHeight="15"/>
  <x:cols>
    <x:col min="1" max="1" width="13" hidden="0" customWidth="1"/>
    <x:col min="2" max="2" width="7" hidden="0" customWidth="1"/>
    <x:col min="3" max="3" width="28" hidden="0" customWidth="1"/>
    <x:col min="4" max="4" width="25" hidden="0" customWidth="1"/>
    <x:col min="5" max="5" width="48" hidden="0" customWidth="1"/>
    <x:col min="6" max="6" width="38" hidden="0" customWidth="1"/>
    <x:col min="7" max="7" width="38" hidden="0" customWidth="1"/>
    <x:col min="8" max="8" width="38" hidden="0" customWidth="1"/>
    <x:col min="9" max="9" width="38" hidden="0" customWidth="1"/>
    <x:col min="10" max="10" width="7" hidden="0" customWidth="1"/>
    <x:col min="11" max="11" width="38" hidden="0" customWidth="1"/>
    <x:col min="12" max="12" width="48" hidden="0" customWidth="1"/>
    <x:col min="13" max="13" width="48" hidden="0" customWidth="1"/>
    <x:col min="14" max="14" width="48" hidden="0" customWidth="1"/>
    <x:col min="15" max="15" width="48" hidden="0" customWidth="1"/>
    <x:col min="16" max="16" width="48" hidden="0" customWidth="1"/>
    <x:col min="17" max="17" width="24" hidden="0" customWidth="1"/>
    <x:col min="18" max="18" width="25" hidden="0" customWidth="1"/>
    <x:col min="19" max="19" width="23" hidden="0" customWidth="1"/>
    <x:col min="20" max="20" width="18" hidden="0" customWidth="1"/>
    <x:col min="21" max="21" width="28" hidden="0" customWidth="1"/>
    <x:col min="22" max="22" width="28" hidden="0" customWidth="1"/>
    <x:col min="23" max="23" width="15" hidden="0" customWidth="1"/>
    <x:col min="24" max="24" width="10" hidden="0" customWidth="1"/>
    <x:col min="25" max="25" width="32" hidden="0" customWidth="1"/>
    <x:col min="26" max="26" width="11" hidden="0" customWidth="1"/>
    <x:col min="27" max="27" width="34" hidden="0" customWidth="1"/>
    <x:col min="28" max="28" width="14" hidden="0" customWidth="1"/>
    <x:col min="29" max="29" width="42" hidden="0" customWidth="1"/>
    <x:col min="30" max="30" width="14" hidden="0" customWidth="1"/>
    <x:col min="31" max="31" width="16" hidden="0" customWidth="1"/>
    <x:col min="32" max="32" width="14" hidden="0" customWidth="1"/>
    <x:col min="33" max="33" width="38" hidden="0" customWidth="1"/>
  </x:cols>
  <x:sheetData>
    <x:row r="1" ht="40" customHeight="1">
      <x:c r="A1" s="12" t="str">
        <x:v>問題ID</x:v>
      </x:c>
      <x:c r="B1" s="13" t="str">
        <x:v>LO</x:v>
      </x:c>
      <x:c r="C1" s="13" t="str">
        <x:v>LO名称</x:v>
      </x:c>
      <x:c r="D1" s="13" t="str">
        <x:v>トピック</x:v>
      </x:c>
      <x:c r="E1" s="13" t="str">
        <x:v>問題文</x:v>
      </x:c>
      <x:c r="F1" s="13" t="str">
        <x:v>選択肢A</x:v>
      </x:c>
      <x:c r="G1" s="13" t="str">
        <x:v>選択肢B</x:v>
      </x:c>
      <x:c r="H1" s="13" t="str">
        <x:v>選択肢C</x:v>
      </x:c>
      <x:c r="I1" s="13" t="str">
        <x:v>選択肢D</x:v>
      </x:c>
      <x:c r="J1" s="13" t="str">
        <x:v>正答</x:v>
      </x:c>
      <x:c r="K1" s="13" t="str">
        <x:v>正答本文</x:v>
      </x:c>
      <x:c r="L1" s="13" t="str">
        <x:v>正答解説</x:v>
      </x:c>
      <x:c r="M1" s="13" t="str">
        <x:v>A解説</x:v>
      </x:c>
      <x:c r="N1" s="13" t="str">
        <x:v>B解説</x:v>
      </x:c>
      <x:c r="O1" s="13" t="str">
        <x:v>C解説</x:v>
      </x:c>
      <x:c r="P1" s="13" t="str">
        <x:v>D解説</x:v>
      </x:c>
      <x:c r="Q1" s="13" t="str">
        <x:v>知識領域</x:v>
      </x:c>
      <x:c r="R1" s="13" t="str">
        <x:v>小分類</x:v>
      </x:c>
      <x:c r="S1" s="13" t="str">
        <x:v>ワイン区分</x:v>
      </x:c>
      <x:c r="T1" s="13" t="str">
        <x:v>国</x:v>
      </x:c>
      <x:c r="U1" s="13" t="str">
        <x:v>産地</x:v>
      </x:c>
      <x:c r="V1" s="13" t="str">
        <x:v>主要品種</x:v>
      </x:c>
      <x:c r="W1" s="13" t="str">
        <x:v>思考スキル</x:v>
      </x:c>
      <x:c r="X1" s="13" t="str">
        <x:v>難易度</x:v>
      </x:c>
      <x:c r="Y1" s="13" t="str">
        <x:v>誤概念タグ</x:v>
      </x:c>
      <x:c r="Z1" s="13" t="str">
        <x:v>要レビュー</x:v>
      </x:c>
      <x:c r="AA1" s="13" t="str">
        <x:v>レビュー理由</x:v>
      </x:c>
      <x:c r="AB1" s="13" t="str">
        <x:v>作成区分</x:v>
      </x:c>
      <x:c r="AC1" s="13" t="str">
        <x:v>作成根拠</x:v>
      </x:c>
      <x:c r="AD1" s="13" t="str">
        <x:v>レビュー状態</x:v>
      </x:c>
      <x:c r="AE1" s="13" t="str">
        <x:v>レビュアー</x:v>
      </x:c>
      <x:c r="AF1" s="13" t="str">
        <x:v>レビュー日</x:v>
      </x:c>
      <x:c r="AG1" s="14" t="str">
        <x:v>レビューコメント</x:v>
      </x:c>
    </x:row>
    <x:row r="2" ht="84" customHeight="1">
      <x:c r="A2" s="41" t="str">
        <x:v>LO1-001</x:v>
      </x:c>
      <x:c r="B2" s="53" t="str">
        <x:v>LO1</x:v>
      </x:c>
      <x:c r="C2" s="42" t="str">
        <x:v>ブドウ畑・ワイナリーの自然要因と人的要因</x:v>
      </x:c>
      <x:c r="D2" s="42" t="str">
        <x:v>気候と成熟</x:v>
      </x:c>
      <x:c r="E2" s="42" t="str">
        <x:v>冷涼な気候で栽培されたブドウに最も起こりやすい特徴はどれか。</x:v>
      </x:c>
      <x:c r="F2" s="42" t="str">
        <x:v>糖度の上昇が遅く、酸が保持されやすい</x:v>
      </x:c>
      <x:c r="G2" s="42" t="str">
        <x:v>糖度が急速に上がり、酸が急速に減少する</x:v>
      </x:c>
      <x:c r="H2" s="42" t="str">
        <x:v>果皮のタンニンが早期に成熟し、酸より先に減少する</x:v>
      </x:c>
      <x:c r="I2" s="42" t="str">
        <x:v>ブドウの収量が気温だけで低くなり、他の栽培判断の影響を受けない</x:v>
      </x:c>
      <x:c r="J2" s="53" t="str">
        <x:v>A</x:v>
      </x:c>
      <x:c r="K2" s="42" t="str">
        <x:v>糖度の上昇が遅く、酸が保持されやすい</x:v>
      </x:c>
      <x:c r="L2" s="42" t="str">
        <x:v>正しい。気温が低いと成熟が緩やかに進み、呼吸による酸の減少も遅くなるため、収穫時に酸が高く残りやすい。</x:v>
      </x:c>
      <x:c r="M2" s="42" t="str">
        <x:v>正しい。気温が低いと成熟が緩やかに進み、呼吸による酸の減少も遅くなるため、収穫時に酸が高く残りやすい。</x:v>
      </x:c>
      <x:c r="N2" s="42" t="str">
        <x:v>誤り。これは一般に温暖または高温な条件で起こりやすく、冷涼な気候の典型ではない。</x:v>
      </x:c>
      <x:c r="O2" s="42" t="str">
        <x:v>誤り。冷涼な条件ではフェノール類の成熟が遅れることがあり、タンニンが早期に成熟して減少するという説明は適切でない。</x:v>
      </x:c>
      <x:c r="P2" s="42" t="str">
        <x:v>誤り。収量は剪定、結実、病害、土壌、水分などにも左右され、気温だけで決まらない。</x:v>
      </x:c>
      <x:c r="Q2" s="42" t="str">
        <x:v>自然要因</x:v>
      </x:c>
      <x:c r="R2" s="42" t="str">
        <x:v>気候</x:v>
      </x:c>
      <x:c r="S2" s="42" t="str">
        <x:v>非発泡性ワイン</x:v>
      </x:c>
      <x:c r="T2" s="42" t="str"/>
      <x:c r="U2" s="42" t="str"/>
      <x:c r="V2" s="42" t="str"/>
      <x:c r="W2" s="42" t="str">
        <x:v>因果説明</x:v>
      </x:c>
      <x:c r="X2" s="53" t="str">
        <x:v>D1</x:v>
      </x:c>
      <x:c r="Y2" s="42" t="str">
        <x:v>気候と成熟に関する別の特徴・要因と混同; 気候と成熟に関する別の特徴・要因と混同; 気候と成熟に関する別の特徴・要因と混同</x:v>
      </x:c>
      <x:c r="Z2" s="53" t="str">
        <x:v>N</x:v>
      </x:c>
      <x:c r="AA2" s="42"/>
      <x:c r="AB2" s="42" t="str">
        <x:v>オリジナル</x:v>
      </x:c>
      <x:c r="AC2" s="42" t="str">
        <x:v>公式Specificationの範囲＋ユーザー作成コーパスの論点を参考に独自作成</x:v>
      </x:c>
      <x:c r="AD2" s="53" t="str">
        <x:v>改稿済み・専門家未承認</x:v>
      </x:c>
      <x:c r="AE2" s="53" t="str">
        <x:v>AI誤答レビュー</x:v>
      </x:c>
      <x:c r="AF2" s="53" t="str">
        <x:v>2026-07-12</x:v>
      </x:c>
      <x:c r="AG2" s="43" t="str">
        <x:v>最終バッチ：有効な誤答を維持し、絶対語・物理的不可能な誤答のみ置換。正答位置は維持。</x:v>
      </x:c>
    </x:row>
    <x:row r="3" ht="84" customHeight="1">
      <x:c r="A3" s="41" t="str">
        <x:v>LO1-002</x:v>
      </x:c>
      <x:c r="B3" s="53" t="str">
        <x:v>LO1</x:v>
      </x:c>
      <x:c r="C3" s="42" t="str">
        <x:v>ブドウ畑・ワイナリーの自然要因と人的要因</x:v>
      </x:c>
      <x:c r="D3" s="42" t="str">
        <x:v>標高</x:v>
      </x:c>
      <x:c r="E3" s="42" t="str">
        <x:v>一般に、標高の高い畑が温暖な地域で酸の保持に役立つ主な理由はどれか。</x:v>
      </x:c>
      <x:c r="F3" s="42" t="str">
        <x:v>標高の上昇に伴って降水量が増えるため、酸が希釈されにくい</x:v>
      </x:c>
      <x:c r="G3" s="42" t="str">
        <x:v>標高の上昇に伴って気温が低下し、特に夜間の冷却が強まる</x:v>
      </x:c>
      <x:c r="H3" s="42" t="str">
        <x:v>標高が高いほど紫外線が弱くなる</x:v>
      </x:c>
      <x:c r="I3" s="42" t="str">
        <x:v>標高の上昇に伴って日照時間が短くなり、糖の蓄積が抑えられる</x:v>
      </x:c>
      <x:c r="J3" s="53" t="str">
        <x:v>B</x:v>
      </x:c>
      <x:c r="K3" s="42" t="str">
        <x:v>標高の上昇に伴って気温が低下し、特に夜間の冷却が強まる</x:v>
      </x:c>
      <x:c r="L3" s="42" t="str">
        <x:v>正しい。低い気温は成熟を遅らせ、呼吸による酸の減少を抑えるため、酸が保持されやすい。</x:v>
      </x:c>
      <x:c r="M3" s="42" t="str">
        <x:v>誤り。降水量は地形や気象条件に左右され、酸の保持を最も直接的に説明するのは気温低下である。</x:v>
      </x:c>
      <x:c r="N3" s="42" t="str">
        <x:v>正しい。低い気温は成熟を遅らせ、呼吸による酸の減少を抑えるため、酸が保持されやすい。</x:v>
      </x:c>
      <x:c r="O3" s="42" t="str">
        <x:v>誤り。一般に紫外線は標高とともに強くなるため、説明が逆である。</x:v>
      </x:c>
      <x:c r="P3" s="42" t="str">
        <x:v>誤り。日照時間は雲量、方角、地形などに左右され、標高と単純に反比例しない。</x:v>
      </x:c>
      <x:c r="Q3" s="42" t="str">
        <x:v>自然要因</x:v>
      </x:c>
      <x:c r="R3" s="42" t="str">
        <x:v>標高・日較差</x:v>
      </x:c>
      <x:c r="S3" s="42" t="str">
        <x:v>非発泡性ワイン</x:v>
      </x:c>
      <x:c r="T3" s="42" t="str"/>
      <x:c r="U3" s="42" t="str"/>
      <x:c r="V3" s="42" t="str"/>
      <x:c r="W3" s="42" t="str">
        <x:v>因果説明</x:v>
      </x:c>
      <x:c r="X3" s="53" t="str">
        <x:v>D2</x:v>
      </x:c>
      <x:c r="Y3" s="42" t="str">
        <x:v>標高に関する別の特徴・要因と混同; 標高に関する別の特徴・要因と混同; 標高に関する別の特徴・要因と混同</x:v>
      </x:c>
      <x:c r="Z3" s="53" t="str">
        <x:v>N</x:v>
      </x:c>
      <x:c r="AA3" s="42"/>
      <x:c r="AB3" s="42" t="str">
        <x:v>オリジナル</x:v>
      </x:c>
      <x:c r="AC3" s="42" t="str">
        <x:v>公式Specificationの範囲＋ユーザー作成コーパスの論点を参考に独自作成</x:v>
      </x:c>
      <x:c r="AD3" s="53" t="str">
        <x:v>改稿済み・専門家未承認</x:v>
      </x:c>
      <x:c r="AE3" s="53" t="str">
        <x:v>AI誤答レビュー</x:v>
      </x:c>
      <x:c r="AF3" s="53" t="str">
        <x:v>2026-07-12</x:v>
      </x:c>
      <x:c r="AG3" s="43" t="str">
        <x:v>最終バッチ：有効な誤答を維持し、絶対語・物理的不可能な誤答のみ置換。正答位置は維持。</x:v>
      </x:c>
    </x:row>
    <x:row r="4" ht="84" customHeight="1">
      <x:c r="A4" s="41" t="str">
        <x:v>LO1-003</x:v>
      </x:c>
      <x:c r="B4" s="53" t="str">
        <x:v>LO1</x:v>
      </x:c>
      <x:c r="C4" s="42" t="str">
        <x:v>ブドウ畑・ワイナリーの自然要因と人的要因</x:v>
      </x:c>
      <x:c r="D4" s="42" t="str">
        <x:v>方角</x:v>
      </x:c>
      <x:c r="E4" s="42" t="str">
        <x:v>北半球の冷涼な地域で、南向き斜面がブドウの成熟を助ける最も直接的な理由はどれか。</x:v>
      </x:c>
      <x:c r="F4" s="42" t="str">
        <x:v>標高の上昇に伴って気温が低下し、特に夜間の冷却が強まる</x:v>
      </x:c>
      <x:c r="G4" s="42" t="str">
        <x:v>南向き斜面では夜間の気温も高くなり、酸が急速に減少するから</x:v>
      </x:c>
      <x:c r="H4" s="42" t="str">
        <x:v>斜面が日射をより直接受け、日照時間と果房温度を高めやすいから</x:v>
      </x:c>
      <x:c r="I4" s="42" t="str">
        <x:v>斜面が大西洋からの降雨を増やし、光合成を促進するから</x:v>
      </x:c>
      <x:c r="J4" s="53" t="str">
        <x:v>C</x:v>
      </x:c>
      <x:c r="K4" s="42" t="str">
        <x:v>斜面が日射をより直接受け、日照時間と果房温度を高めやすいから</x:v>
      </x:c>
      <x:c r="L4" s="42" t="str">
        <x:v>正しい。太陽高度の低い冷涼地で、南向きは放射を効率よく受け、成熟を促す。</x:v>
      </x:c>
      <x:c r="M4" s="42" t="str">
        <x:v>誤り。これは同じ知識領域の「標高」に当てはまる説明で、設問の「方角」を最も適切に説明しない。</x:v>
      </x:c>
      <x:c r="N4" s="42" t="str">
        <x:v>誤り。成熟促進の主因は日射で、夜温が必ず高いわけではない。</x:v>
      </x:c>
      <x:c r="O4" s="42" t="str">
        <x:v>正しい。太陽高度の低い冷涼地で、南向きは放射を効率よく受け、成熟を促す。</x:v>
      </x:c>
      <x:c r="P4" s="42" t="str">
        <x:v>誤り。方角が降雨量を増やすことが主要因ではない。</x:v>
      </x:c>
      <x:c r="Q4" s="42" t="str">
        <x:v>自然要因</x:v>
      </x:c>
      <x:c r="R4" s="42" t="str">
        <x:v>方角・日照</x:v>
      </x:c>
      <x:c r="S4" s="42" t="str">
        <x:v>非発泡性ワイン</x:v>
      </x:c>
      <x:c r="T4" s="42" t="str"/>
      <x:c r="U4" s="42" t="str"/>
      <x:c r="V4" s="42" t="str"/>
      <x:c r="W4" s="42" t="str">
        <x:v>因果説明</x:v>
      </x:c>
      <x:c r="X4" s="53" t="str">
        <x:v>D1</x:v>
      </x:c>
      <x:c r="Y4" s="42" t="str">
        <x:v>方角を標高の特徴と混同; 南向き斜面の利点は高い夜温; 南向き斜面で降雨が増える</x:v>
      </x:c>
      <x:c r="Z4" s="53" t="str">
        <x:v>N</x:v>
      </x:c>
      <x:c r="AA4" s="42"/>
      <x:c r="AB4" s="42" t="str">
        <x:v>オリジナル</x:v>
      </x:c>
      <x:c r="AC4" s="42" t="str">
        <x:v>公式Specificationの範囲＋ユーザー作成コーパスの論点を参考に独自作成</x:v>
      </x:c>
      <x:c r="AD4" s="53" t="str">
        <x:v>改稿済み・専門家未承認</x:v>
      </x:c>
      <x:c r="AE4" s="53" t="str">
        <x:v>AI誤答レビュー</x:v>
      </x:c>
      <x:c r="AF4" s="53" t="str">
        <x:v>2026-07-12</x:v>
      </x:c>
      <x:c r="AG4" s="43" t="str">
        <x:v>第4バッチ：同一論点内の典型的誤概念へ置換。正答位置は維持。</x:v>
      </x:c>
    </x:row>
    <x:row r="5" ht="84" customHeight="1">
      <x:c r="A5" s="41" t="str">
        <x:v>LO1-004</x:v>
      </x:c>
      <x:c r="B5" s="53" t="str">
        <x:v>LO1</x:v>
      </x:c>
      <x:c r="C5" s="42" t="str">
        <x:v>ブドウ畑・ワイナリーの自然要因と人的要因</x:v>
      </x:c>
      <x:c r="D5" s="42" t="str">
        <x:v>日較差</x:v>
      </x:c>
      <x:c r="E5" s="42" t="str">
        <x:v>大きな日較差がブドウの品質に有利となる場合、その効果を最も適切に説明しているものはどれか。</x:v>
      </x:c>
      <x:c r="F5" s="42" t="str">
        <x:v>暖かい夜が酸の保持を促し、涼しい昼が糖の蓄積を促す</x:v>
      </x:c>
      <x:c r="G5" s="42" t="str">
        <x:v>昼夜とも高温になるため、成熟が均一に停止する</x:v>
      </x:c>
      <x:c r="H5" s="42" t="str">
        <x:v>夜間だけ光合成が活発になり、糖分が増加する</x:v>
      </x:c>
      <x:c r="I5" s="42" t="str">
        <x:v>暖かい昼が成熟を進め、涼しい夜が酸と香りの保持に役立つ</x:v>
      </x:c>
      <x:c r="J5" s="53" t="str">
        <x:v>D</x:v>
      </x:c>
      <x:c r="K5" s="42" t="str">
        <x:v>暖かい昼が成熟を進め、涼しい夜が酸と香りの保持に役立つ</x:v>
      </x:c>
      <x:c r="L5" s="42" t="str">
        <x:v>正しい。昼の暖かさは糖と風味の成熟を支え、夜の低温は呼吸を遅らせて酸や香りを保持しやすくする。</x:v>
      </x:c>
      <x:c r="M5" s="42" t="str">
        <x:v>誤り。昼夜の効果が逆である。一般には暖かい昼が成熟を促し、涼しい夜が酸の保持に役立つ。</x:v>
      </x:c>
      <x:c r="N5" s="42" t="str">
        <x:v>誤り。大きな日較差とは昼夜の気温差が大きいことであり、昼夜とも高温という意味ではない。</x:v>
      </x:c>
      <x:c r="O5" s="42" t="str">
        <x:v>誤り。光合成には日光が必要であり、夜間だけ活発になるわけではない。</x:v>
      </x:c>
      <x:c r="P5" s="42" t="str">
        <x:v>正しい。昼の暖かさは糖と風味の成熟を支え、夜の低温は呼吸を遅らせて酸や香りを保持しやすくする。</x:v>
      </x:c>
      <x:c r="Q5" s="42" t="str">
        <x:v>自然要因</x:v>
      </x:c>
      <x:c r="R5" s="42" t="str">
        <x:v>日較差</x:v>
      </x:c>
      <x:c r="S5" s="42" t="str">
        <x:v>非発泡性ワイン</x:v>
      </x:c>
      <x:c r="T5" s="42" t="str"/>
      <x:c r="U5" s="42" t="str"/>
      <x:c r="V5" s="42" t="str"/>
      <x:c r="W5" s="42" t="str">
        <x:v>因果説明</x:v>
      </x:c>
      <x:c r="X5" s="53" t="str">
        <x:v>D2</x:v>
      </x:c>
      <x:c r="Y5" s="42" t="str">
        <x:v>日較差に関する別の特徴・要因と混同; 日較差に関する別の特徴・要因と混同; 日較差に関する別の特徴・要因と混同</x:v>
      </x:c>
      <x:c r="Z5" s="53" t="str">
        <x:v>N</x:v>
      </x:c>
      <x:c r="AA5" s="42"/>
      <x:c r="AB5" s="42" t="str">
        <x:v>オリジナル</x:v>
      </x:c>
      <x:c r="AC5" s="42" t="str">
        <x:v>公式Specificationの範囲＋ユーザー作成コーパスの論点を参考に独自作成</x:v>
      </x:c>
      <x:c r="AD5" s="53" t="str">
        <x:v>改稿済み・専門家未承認</x:v>
      </x:c>
      <x:c r="AE5" s="53" t="str">
        <x:v>AI誤答レビュー</x:v>
      </x:c>
      <x:c r="AF5" s="53" t="str">
        <x:v>2026-07-12</x:v>
      </x:c>
      <x:c r="AG5" s="43" t="str">
        <x:v>最終バッチ：有効な誤答を維持し、絶対語・物理的不可能な誤答のみ置換。正答位置は維持。</x:v>
      </x:c>
    </x:row>
    <x:row r="6" ht="84" customHeight="1">
      <x:c r="A6" s="41" t="str">
        <x:v>LO1-005</x:v>
      </x:c>
      <x:c r="B6" s="53" t="str">
        <x:v>LO1</x:v>
      </x:c>
      <x:c r="C6" s="42" t="str">
        <x:v>ブドウ畑・ワイナリーの自然要因と人的要因</x:v>
      </x:c>
      <x:c r="D6" s="42" t="str">
        <x:v>水分供給</x:v>
      </x:c>
      <x:c r="E6" s="42" t="str">
        <x:v>ブドウ樹に軽度の水不足によるストレスが生じた場合に期待される影響として、最も適切なものはどれか。</x:v>
      </x:c>
      <x:c r="F6" s="42" t="str">
        <x:v>新梢の成長が抑えられ、果実の成熟へ資源が向かいやすくなる</x:v>
      </x:c>
      <x:c r="G6" s="42" t="str">
        <x:v>光合成が大きく低下し、糖と風味の成熟が止まる</x:v>
      </x:c>
      <x:c r="H6" s="42" t="str">
        <x:v>果粒が大きくなり、果汁が希釈される</x:v>
      </x:c>
      <x:c r="I6" s="42" t="str">
        <x:v>葉が密になり、果房周辺の湿度が上昇する</x:v>
      </x:c>
      <x:c r="J6" s="53" t="str">
        <x:v>A</x:v>
      </x:c>
      <x:c r="K6" s="42" t="str">
        <x:v>新梢の成長が抑えられ、果実の成熟へ資源が向かいやすくなる</x:v>
      </x:c>
      <x:c r="L6" s="42" t="str">
        <x:v>正しい。適度な水不足は過剰な栄養成長を抑え、果実とキャノピーのバランス改善に役立つ場合がある。</x:v>
      </x:c>
      <x:c r="M6" s="42" t="str">
        <x:v>正しい。適度な水不足は過剰な栄養成長を抑え、果実とキャノピーのバランス改善に役立つ場合がある。</x:v>
      </x:c>
      <x:c r="N6" s="42" t="str">
        <x:v>誤り。これは重度の水不足で起こり得るが、軽度のストレスの典型的な効果ではない。</x:v>
      </x:c>
      <x:c r="O6" s="42" t="str">
        <x:v>誤り。十分すぎる水分供給で起こりやすい影響であり、軽度の水不足では果粒が小さくなりやすい。</x:v>
      </x:c>
      <x:c r="P6" s="42" t="str">
        <x:v>誤り。軽度の水不足はむしろ新梢成長を抑えることがあり、葉が密になるという説明は逆である。</x:v>
      </x:c>
      <x:c r="Q6" s="42" t="str">
        <x:v>自然要因</x:v>
      </x:c>
      <x:c r="R6" s="42" t="str">
        <x:v>水分・水不足ストレス</x:v>
      </x:c>
      <x:c r="S6" s="42" t="str">
        <x:v>非発泡性ワイン</x:v>
      </x:c>
      <x:c r="T6" s="42" t="str"/>
      <x:c r="U6" s="42" t="str"/>
      <x:c r="V6" s="42" t="str"/>
      <x:c r="W6" s="42" t="str">
        <x:v>適用</x:v>
      </x:c>
      <x:c r="X6" s="53" t="str">
        <x:v>D2</x:v>
      </x:c>
      <x:c r="Y6" s="42" t="str">
        <x:v>水分供給に関する別の特徴・要因と混同; 水分供給に関する別の特徴・要因と混同; 水分供給に関する別の特徴・要因と混同</x:v>
      </x:c>
      <x:c r="Z6" s="53" t="str">
        <x:v>N</x:v>
      </x:c>
      <x:c r="AA6" s="42"/>
      <x:c r="AB6" s="42" t="str">
        <x:v>オリジナル</x:v>
      </x:c>
      <x:c r="AC6" s="42" t="str">
        <x:v>公式Specificationの範囲＋ユーザー作成コーパスの論点を参考に独自作成</x:v>
      </x:c>
      <x:c r="AD6" s="53" t="str">
        <x:v>改稿済み・専門家未承認</x:v>
      </x:c>
      <x:c r="AE6" s="53" t="str">
        <x:v>AI誤答レビュー</x:v>
      </x:c>
      <x:c r="AF6" s="53" t="str">
        <x:v>2026-07-12</x:v>
      </x:c>
      <x:c r="AG6" s="43" t="str">
        <x:v>最終バッチ：有効な誤答を維持し、絶対語・物理的不可能な誤答のみ置換。正答位置は維持。</x:v>
      </x:c>
    </x:row>
    <x:row r="7" ht="84" customHeight="1">
      <x:c r="A7" s="41" t="str">
        <x:v>LO1-006</x:v>
      </x:c>
      <x:c r="B7" s="53" t="str">
        <x:v>LO1</x:v>
      </x:c>
      <x:c r="C7" s="42" t="str">
        <x:v>ブドウ畑・ワイナリーの自然要因と人的要因</x:v>
      </x:c>
      <x:c r="D7" s="42" t="str">
        <x:v>春霜対策</x:v>
      </x:c>
      <x:c r="E7" s="42" t="str">
        <x:v>萌芽後の春霜から芽を守るため、スプリンクラーを使用する場合の原理はどれか。</x:v>
      </x:c>
      <x:c r="F7" s="42" t="str">
        <x:v>散水で芽の糖度を高め、凍結温度を下げる</x:v>
      </x:c>
      <x:c r="G7" s="42" t="str">
        <x:v>水が凍る際に放出する潜熱によって、芽の温度をおおむね0℃付近に保つ</x:v>
      </x:c>
      <x:c r="H7" s="42" t="str">
        <x:v>散水した水が放射冷却を遮る膜となり、芽を外気から断熱する</x:v>
      </x:c>
      <x:c r="I7" s="42" t="str">
        <x:v>散水により風速を上げ、冷気を畑の外へ押し出す</x:v>
      </x:c>
      <x:c r="J7" s="53" t="str">
        <x:v>B</x:v>
      </x:c>
      <x:c r="K7" s="42" t="str">
        <x:v>水が凍る際に放出する潜熱によって、芽の温度をおおむね0℃付近に保つ</x:v>
      </x:c>
      <x:c r="L7" s="42" t="str">
        <x:v>正しい。散水を継続して氷が形成される間、放出される熱が芽の温度低下を抑える。</x:v>
      </x:c>
      <x:c r="M7" s="42" t="str">
        <x:v>誤り。散水は芽の糖度を直接高めるために行うものではない。</x:v>
      </x:c>
      <x:c r="N7" s="42" t="str">
        <x:v>正しい。散水を継続して氷が形成される間、放出される熱が芽の温度低下を抑える。</x:v>
      </x:c>
      <x:c r="O7" s="42" t="str">
        <x:v>誤り。保護の主な原理は水が凍る際の潜熱であり、単なる断熱膜ではない。</x:v>
      </x:c>
      <x:c r="P7" s="42" t="str">
        <x:v>誤り。風速を上げるのは送風機の役割であり、スプリンクラーの主要原理ではない。</x:v>
      </x:c>
      <x:c r="Q7" s="42" t="str">
        <x:v>人的要因（畑）</x:v>
      </x:c>
      <x:c r="R7" s="42" t="str">
        <x:v>霜害管理</x:v>
      </x:c>
      <x:c r="S7" s="42" t="str">
        <x:v>非発泡性ワイン</x:v>
      </x:c>
      <x:c r="T7" s="42" t="str"/>
      <x:c r="U7" s="42" t="str"/>
      <x:c r="V7" s="42" t="str"/>
      <x:c r="W7" s="42" t="str">
        <x:v>因果説明</x:v>
      </x:c>
      <x:c r="X7" s="53" t="str">
        <x:v>D3</x:v>
      </x:c>
      <x:c r="Y7" s="42" t="str">
        <x:v>春霜対策に関する別の特徴・要因と混同; 春霜対策に関する別の特徴・要因と混同; 春霜対策に関する別の特徴・要因と混同</x:v>
      </x:c>
      <x:c r="Z7" s="53" t="str">
        <x:v>N</x:v>
      </x:c>
      <x:c r="AA7" s="42"/>
      <x:c r="AB7" s="42" t="str">
        <x:v>オリジナル</x:v>
      </x:c>
      <x:c r="AC7" s="42" t="str">
        <x:v>公式Specificationの範囲＋ユーザー作成コーパスの論点を参考に独自作成</x:v>
      </x:c>
      <x:c r="AD7" s="53" t="str">
        <x:v>改稿済み・専門家未承認</x:v>
      </x:c>
      <x:c r="AE7" s="53" t="str">
        <x:v>AI誤答レビュー</x:v>
      </x:c>
      <x:c r="AF7" s="53" t="str">
        <x:v>2026-07-12</x:v>
      </x:c>
      <x:c r="AG7" s="43" t="str">
        <x:v>最終バッチ：有効な誤答を維持し、絶対語・物理的不可能な誤答のみ置換。正答位置は維持。</x:v>
      </x:c>
    </x:row>
    <x:row r="8" ht="84" customHeight="1">
      <x:c r="A8" s="41" t="str">
        <x:v>LO1-007</x:v>
      </x:c>
      <x:c r="B8" s="53" t="str">
        <x:v>LO1</x:v>
      </x:c>
      <x:c r="C8" s="42" t="str">
        <x:v>ブドウ畑・ワイナリーの自然要因と人的要因</x:v>
      </x:c>
      <x:c r="D8" s="42" t="str">
        <x:v>キャノピー・マネジメント</x:v>
      </x:c>
      <x:c r="E8" s="42" t="str">
        <x:v>湿度の高い畑でキャノピーを開くことが菌類病のリスク低下につながる主な理由はどれか。</x:v>
      </x:c>
      <x:c r="F8" s="42" t="str">
        <x:v>果房の糖度を直接下げるため</x:v>
      </x:c>
      <x:c r="G8" s="42" t="str">
        <x:v>土壌のpHを下げるため</x:v>
      </x:c>
      <x:c r="H8" s="42" t="str">
        <x:v>通風と日照が改善し、葉や果房が乾きやすくなるため</x:v>
      </x:c>
      <x:c r="I8" s="42" t="str">
        <x:v>フィロキセラが地上部へ移動するため</x:v>
      </x:c>
      <x:c r="J8" s="53" t="str">
        <x:v>C</x:v>
      </x:c>
      <x:c r="K8" s="42" t="str">
        <x:v>通風と日照が改善し、葉や果房が乾きやすくなるため</x:v>
      </x:c>
      <x:c r="L8" s="42" t="str">
        <x:v>正しい。湿った状態が続く時間を短くし、菌類病が発生しやすい環境を抑える。</x:v>
      </x:c>
      <x:c r="M8" s="42" t="str">
        <x:v>誤り。キャノピーを開く主目的は微気候の改善であり、糖度を直接下げることではない。</x:v>
      </x:c>
      <x:c r="N8" s="42" t="str">
        <x:v>誤り。キャノピー管理は土壌pHを直接変化させない。</x:v>
      </x:c>
      <x:c r="O8" s="42" t="str">
        <x:v>正しい。湿った状態が続く時間を短くし、菌類病が発生しやすい環境を抑える。</x:v>
      </x:c>
      <x:c r="P8" s="42" t="str">
        <x:v>誤り。フィロキセラ対策の中心は抵抗性台木であり、キャノピーを開くこととは関係がない。</x:v>
      </x:c>
      <x:c r="Q8" s="42" t="str">
        <x:v>人的要因（畑）</x:v>
      </x:c>
      <x:c r="R8" s="42" t="str">
        <x:v>キャノピー・マネジメント</x:v>
      </x:c>
      <x:c r="S8" s="42" t="str">
        <x:v>非発泡性ワイン</x:v>
      </x:c>
      <x:c r="T8" s="42" t="str"/>
      <x:c r="U8" s="42" t="str"/>
      <x:c r="V8" s="42" t="str"/>
      <x:c r="W8" s="42" t="str">
        <x:v>因果説明</x:v>
      </x:c>
      <x:c r="X8" s="53" t="str">
        <x:v>D2</x:v>
      </x:c>
      <x:c r="Y8" s="42" t="str">
        <x:v>キャノピー・マネジメントに関する別の特徴・要因と混同; キャノピー・マネジメントに関する別の特徴・要因と混同; キャノピー・マネジメントに関する別の特徴・要因と混同</x:v>
      </x:c>
      <x:c r="Z8" s="53" t="str">
        <x:v>N</x:v>
      </x:c>
      <x:c r="AA8" s="42"/>
      <x:c r="AB8" s="42" t="str">
        <x:v>オリジナル</x:v>
      </x:c>
      <x:c r="AC8" s="42" t="str">
        <x:v>公式Specificationの範囲＋ユーザー作成コーパスの論点を参考に独自作成</x:v>
      </x:c>
      <x:c r="AD8" s="53" t="str">
        <x:v>改稿済み・専門家未承認</x:v>
      </x:c>
      <x:c r="AE8" s="53" t="str">
        <x:v>AI誤答レビュー</x:v>
      </x:c>
      <x:c r="AF8" s="53" t="str">
        <x:v>2026-07-12</x:v>
      </x:c>
      <x:c r="AG8" s="43" t="str">
        <x:v>最終バッチ：有効な誤答を維持し、絶対語・物理的不可能な誤答のみ置換。正答位置は維持。</x:v>
      </x:c>
    </x:row>
    <x:row r="9" ht="84" customHeight="1">
      <x:c r="A9" s="41" t="str">
        <x:v>LO1-008</x:v>
      </x:c>
      <x:c r="B9" s="53" t="str">
        <x:v>LO1</x:v>
      </x:c>
      <x:c r="C9" s="42" t="str">
        <x:v>ブドウ畑・ワイナリーの自然要因と人的要因</x:v>
      </x:c>
      <x:c r="D9" s="42" t="str">
        <x:v>収穫方法</x:v>
      </x:c>
      <x:c r="E9" s="42" t="str">
        <x:v>手摘みが機械収穫より特に有利となる状況はどれか。</x:v>
      </x:c>
      <x:c r="F9" s="42" t="str">
        <x:v>広く平坦な畑で、短時間に大量のブドウを低コストで収穫したい場合</x:v>
      </x:c>
      <x:c r="G9" s="42" t="str">
        <x:v>夜間に収穫し、冷たい果実をすぐワイナリーへ運びたい場合</x:v>
      </x:c>
      <x:c r="H9" s="42" t="str">
        <x:v>広い畑で成熟度が均一な果実を一度に収穫する場合</x:v>
      </x:c>
      <x:c r="I9" s="42" t="str">
        <x:v>貴腐化した粒だけを複数回に分けて選別収穫する場合</x:v>
      </x:c>
      <x:c r="J9" s="53" t="str">
        <x:v>D</x:v>
      </x:c>
      <x:c r="K9" s="42" t="str">
        <x:v>貴腐化した粒だけを複数回に分けて選別収穫する場合</x:v>
      </x:c>
      <x:c r="L9" s="42" t="str">
        <x:v>正しい。粒や房を選びながら何度も収穫するには人の判断が必要で、手摘みが不可欠に近い。</x:v>
      </x:c>
      <x:c r="M9" s="42" t="str">
        <x:v>誤り。この条件では一般に機械収穫の方が速度とコスト面で有利である。</x:v>
      </x:c>
      <x:c r="N9" s="42" t="str">
        <x:v>誤り。機械収穫でも夜間収穫が可能であり、手摘み固有の利点ではない。</x:v>
      </x:c>
      <x:c r="O9" s="42" t="str">
        <x:v>誤り。成熟が均一で一斉収穫するなら機械収穫が効率的で、手摘みの特別な優位性は小さい。</x:v>
      </x:c>
      <x:c r="P9" s="42" t="str">
        <x:v>正しい。粒や房を選びながら何度も収穫するには人の判断が必要で、手摘みが不可欠に近い。</x:v>
      </x:c>
      <x:c r="Q9" s="42" t="str">
        <x:v>人的要因（畑）</x:v>
      </x:c>
      <x:c r="R9" s="42" t="str">
        <x:v>手摘み・選別収穫</x:v>
      </x:c>
      <x:c r="S9" s="42" t="str">
        <x:v>甘口非発泡性ワイン</x:v>
      </x:c>
      <x:c r="T9" s="42" t="str"/>
      <x:c r="U9" s="42" t="str"/>
      <x:c r="V9" s="42" t="str"/>
      <x:c r="W9" s="42" t="str">
        <x:v>適用</x:v>
      </x:c>
      <x:c r="X9" s="53" t="str">
        <x:v>D2</x:v>
      </x:c>
      <x:c r="Y9" s="42" t="str">
        <x:v>収穫方法に関する別の特徴・要因と混同; 収穫方法に関する別の特徴・要因と混同; 収穫方法に関する別の特徴・要因と混同</x:v>
      </x:c>
      <x:c r="Z9" s="53" t="str">
        <x:v>N</x:v>
      </x:c>
      <x:c r="AA9" s="42"/>
      <x:c r="AB9" s="42" t="str">
        <x:v>オリジナル</x:v>
      </x:c>
      <x:c r="AC9" s="42" t="str">
        <x:v>公式Specificationの範囲＋ユーザー作成コーパスの論点を参考に独自作成</x:v>
      </x:c>
      <x:c r="AD9" s="53" t="str">
        <x:v>改稿済み・専門家未承認</x:v>
      </x:c>
      <x:c r="AE9" s="53" t="str">
        <x:v>AI誤答レビュー</x:v>
      </x:c>
      <x:c r="AF9" s="53" t="str">
        <x:v>2026-07-12</x:v>
      </x:c>
      <x:c r="AG9" s="43" t="str">
        <x:v>最終バッチ：有効な誤答を維持し、絶対語・物理的不可能な誤答のみ置換。正答位置は維持。</x:v>
      </x:c>
    </x:row>
    <x:row r="10" ht="84" customHeight="1">
      <x:c r="A10" s="41" t="str">
        <x:v>LO1-009</x:v>
      </x:c>
      <x:c r="B10" s="53" t="str">
        <x:v>LO1</x:v>
      </x:c>
      <x:c r="C10" s="42" t="str">
        <x:v>ブドウ畑・ワイナリーの自然要因と人的要因</x:v>
      </x:c>
      <x:c r="D10" s="42" t="str">
        <x:v>収穫時期</x:v>
      </x:c>
      <x:c r="E10" s="42" t="str">
        <x:v>収穫を遅らせることで一般に期待される変化はどれか。</x:v>
      </x:c>
      <x:c r="F10" s="42" t="str">
        <x:v>糖度が高まり、酸が低下し、より熟した果実風味になりやすい</x:v>
      </x:c>
      <x:c r="G10" s="42" t="str">
        <x:v>糖度が低下し、酸が高まり、青い風味が強くなる</x:v>
      </x:c>
      <x:c r="H10" s="42" t="str">
        <x:v>糖度が上がる一方、発酵後のアルコール度は低くなる</x:v>
      </x:c>
      <x:c r="I10" s="42" t="str">
        <x:v>樹上で果粒が膨らみ続けるため、収量が増加する</x:v>
      </x:c>
      <x:c r="J10" s="53" t="str">
        <x:v>A</x:v>
      </x:c>
      <x:c r="K10" s="42" t="str">
        <x:v>糖度が高まり、酸が低下し、より熟した果実風味になりやすい</x:v>
      </x:c>
      <x:c r="L10" s="42" t="str">
        <x:v>正しい。成熟の進行により糖が蓄積し、酸が減少し、果実風味も熟した方向へ変化しやすい。</x:v>
      </x:c>
      <x:c r="M10" s="42" t="str">
        <x:v>正しい。成熟の進行により糖が蓄積し、酸が減少し、果実風味も熟した方向へ変化しやすい。</x:v>
      </x:c>
      <x:c r="N10" s="42" t="str">
        <x:v>誤り。これは早すぎる収穫の特徴に近く、遅摘みの一般的な結果ではない。</x:v>
      </x:c>
      <x:c r="O10" s="42" t="str">
        <x:v>誤り。糖度が高いほど、完全発酵した場合の潜在アルコール度は高くなる。</x:v>
      </x:c>
      <x:c r="P10" s="42" t="str">
        <x:v>誤り。遅摘みでは水分蒸散や病害、鳥害などで収量が減ることが多く、果粒が膨らみ続けるとは限らない。</x:v>
      </x:c>
      <x:c r="Q10" s="42" t="str">
        <x:v>人的要因（畑）</x:v>
      </x:c>
      <x:c r="R10" s="42" t="str">
        <x:v>収穫時期</x:v>
      </x:c>
      <x:c r="S10" s="42" t="str">
        <x:v>非発泡性ワイン</x:v>
      </x:c>
      <x:c r="T10" s="42" t="str"/>
      <x:c r="U10" s="42" t="str"/>
      <x:c r="V10" s="42" t="str"/>
      <x:c r="W10" s="42" t="str">
        <x:v>因果説明</x:v>
      </x:c>
      <x:c r="X10" s="53" t="str">
        <x:v>D1</x:v>
      </x:c>
      <x:c r="Y10" s="42" t="str">
        <x:v>収穫時期に関する別の特徴・要因と混同; 収穫時期に関する別の特徴・要因と混同; 収穫時期に関する別の特徴・要因と混同</x:v>
      </x:c>
      <x:c r="Z10" s="53" t="str">
        <x:v>N</x:v>
      </x:c>
      <x:c r="AA10" s="42"/>
      <x:c r="AB10" s="42" t="str">
        <x:v>オリジナル</x:v>
      </x:c>
      <x:c r="AC10" s="42" t="str">
        <x:v>公式Specificationの範囲＋ユーザー作成コーパスの論点を参考に独自作成</x:v>
      </x:c>
      <x:c r="AD10" s="53" t="str">
        <x:v>改稿済み・専門家未承認</x:v>
      </x:c>
      <x:c r="AE10" s="53" t="str">
        <x:v>AI誤答レビュー</x:v>
      </x:c>
      <x:c r="AF10" s="53" t="str">
        <x:v>2026-07-12</x:v>
      </x:c>
      <x:c r="AG10" s="43" t="str">
        <x:v>最終バッチ：有効な誤答を維持し、絶対語・物理的不可能な誤答のみ置換。正答位置は維持。</x:v>
      </x:c>
    </x:row>
    <x:row r="11" ht="84" customHeight="1">
      <x:c r="A11" s="41" t="str">
        <x:v>LO1-010</x:v>
      </x:c>
      <x:c r="B11" s="53" t="str">
        <x:v>LO1</x:v>
      </x:c>
      <x:c r="C11" s="42" t="str">
        <x:v>ブドウ畑・ワイナリーの自然要因と人的要因</x:v>
      </x:c>
      <x:c r="D11" s="42" t="str">
        <x:v>貴腐</x:v>
      </x:c>
      <x:c r="E11" s="42" t="str">
        <x:v>貴腐が健全に進行したブドウで、糖分と風味が濃縮される主な仕組みはどれか。</x:v>
      </x:c>
      <x:c r="F11" s="42" t="str">
        <x:v>菌が果実内で糖を新たに合成し、糖度を高める</x:v>
      </x:c>
      <x:c r="G11" s="42" t="str">
        <x:v>菌糸が果皮に微細な孔を作り、水分を蒸発させる</x:v>
      </x:c>
      <x:c r="H11" s="42" t="str">
        <x:v>菌が果実内で糖を新たに合成し、酸を大きく減らす</x:v>
      </x:c>
      <x:c r="I11" s="42" t="str">
        <x:v>果皮が厚くなり、果汁量が増えることで香りが濃縮する</x:v>
      </x:c>
      <x:c r="J11" s="53" t="str">
        <x:v>B</x:v>
      </x:c>
      <x:c r="K11" s="42" t="str">
        <x:v>菌糸が果皮に微細な孔を作り、水分を蒸発させる</x:v>
      </x:c>
      <x:c r="L11" s="42" t="str">
        <x:v>正しい。水分損失によって糖、酸、香味成分が濃縮される。</x:v>
      </x:c>
      <x:c r="M11" s="42" t="str">
        <x:v>誤り。貴腐は糖を作るのではなく、水分蒸発によって既存の糖・酸・香味を濃縮する。</x:v>
      </x:c>
      <x:c r="N11" s="42" t="str">
        <x:v>正しい。水分損失によって糖、酸、香味成分が濃縮される。</x:v>
      </x:c>
      <x:c r="O11" s="42" t="str">
        <x:v>誤り。貴腐は水分を失わせて濃縮し、糖を新規合成しない。</x:v>
      </x:c>
      <x:c r="P11" s="42" t="str">
        <x:v>誤り。果汁量は減少し、果皮厚化が主因ではない。</x:v>
      </x:c>
      <x:c r="Q11" s="42" t="str">
        <x:v>自然・人的要因</x:v>
      </x:c>
      <x:c r="R11" s="42" t="str">
        <x:v>貴腐・糖分濃縮</x:v>
      </x:c>
      <x:c r="S11" s="42" t="str">
        <x:v>甘口非発泡性ワイン</x:v>
      </x:c>
      <x:c r="T11" s="42" t="str"/>
      <x:c r="U11" s="42" t="str"/>
      <x:c r="V11" s="42" t="str"/>
      <x:c r="W11" s="42" t="str">
        <x:v>因果説明</x:v>
      </x:c>
      <x:c r="X11" s="53" t="str">
        <x:v>D2</x:v>
      </x:c>
      <x:c r="Y11" s="42" t="str">
        <x:v>貴腐菌が糖を新規生成する; 貴腐菌が糖を生成・酸を除去; 貴腐で果汁量増加</x:v>
      </x:c>
      <x:c r="Z11" s="53" t="str">
        <x:v>N</x:v>
      </x:c>
      <x:c r="AA11" s="42"/>
      <x:c r="AB11" s="42" t="str">
        <x:v>オリジナル</x:v>
      </x:c>
      <x:c r="AC11" s="42" t="str">
        <x:v>公式Specificationの範囲＋ユーザー作成コーパスの論点を参考に独自作成</x:v>
      </x:c>
      <x:c r="AD11" s="53" t="str">
        <x:v>改稿済み・専門家未承認</x:v>
      </x:c>
      <x:c r="AE11" s="53" t="str">
        <x:v>AI誤答レビュー</x:v>
      </x:c>
      <x:c r="AF11" s="53" t="str">
        <x:v>2026-07-12</x:v>
      </x:c>
      <x:c r="AG11" s="43" t="str">
        <x:v>第4バッチ：同一論点内の典型的誤概念へ置換。正答位置は維持。</x:v>
      </x:c>
    </x:row>
    <x:row r="12" ht="84" customHeight="1">
      <x:c r="A12" s="41" t="str">
        <x:v>LO1-011</x:v>
      </x:c>
      <x:c r="B12" s="53" t="str">
        <x:v>LO1</x:v>
      </x:c>
      <x:c r="C12" s="42" t="str">
        <x:v>ブドウ畑・ワイナリーの自然要因と人的要因</x:v>
      </x:c>
      <x:c r="D12" s="42" t="str">
        <x:v>亜硫酸</x:v>
      </x:c>
      <x:c r="E12" s="42" t="str">
        <x:v>ワイン醸造で亜硫酸を使用する主な目的の組み合わせはどれか。</x:v>
      </x:c>
      <x:c r="F12" s="42" t="str">
        <x:v>アルコール度を高め、酸を低下させる</x:v>
      </x:c>
      <x:c r="G12" s="42" t="str">
        <x:v>タンニンを増やし、色を濃くする</x:v>
      </x:c>
      <x:c r="H12" s="42" t="str">
        <x:v>酸化を抑え、望ましくない微生物の活動を抑制する</x:v>
      </x:c>
      <x:c r="I12" s="42" t="str">
        <x:v>酒石酸塩を除去し、瓶内圧を高める</x:v>
      </x:c>
      <x:c r="J12" s="53" t="str">
        <x:v>C</x:v>
      </x:c>
      <x:c r="K12" s="42" t="str">
        <x:v>酸化を抑え、望ましくない微生物の活動を抑制する</x:v>
      </x:c>
      <x:c r="L12" s="42" t="str">
        <x:v>正しい。亜硫酸は抗酸化作用と抗菌作用を持ち、果汁やワインの保護に用いられる。</x:v>
      </x:c>
      <x:c r="M12" s="42" t="str">
        <x:v>誤り。亜硫酸は糖をアルコールに変えるものでも、酸を直接下げるものでもない。</x:v>
      </x:c>
      <x:c r="N12" s="42" t="str">
        <x:v>誤り。亜硫酸の主目的は酸化と微生物の管理であり、タンニンを増加させることではない。</x:v>
      </x:c>
      <x:c r="O12" s="42" t="str">
        <x:v>正しい。亜硫酸は抗酸化作用と抗菌作用を持ち、果汁やワインの保護に用いられる。</x:v>
      </x:c>
      <x:c r="P12" s="42" t="str">
        <x:v>誤り。酒石酸安定化や発泡性ワインの加圧は亜硫酸の役割ではない。</x:v>
      </x:c>
      <x:c r="Q12" s="42" t="str">
        <x:v>人的要因（ワイナリー）</x:v>
      </x:c>
      <x:c r="R12" s="42" t="str">
        <x:v>亜硫酸・酸素管理</x:v>
      </x:c>
      <x:c r="S12" s="42" t="str">
        <x:v>全般</x:v>
      </x:c>
      <x:c r="T12" s="42" t="str"/>
      <x:c r="U12" s="42" t="str"/>
      <x:c r="V12" s="42" t="str"/>
      <x:c r="W12" s="42" t="str">
        <x:v>知識確認</x:v>
      </x:c>
      <x:c r="X12" s="53" t="str">
        <x:v>D1</x:v>
      </x:c>
      <x:c r="Y12" s="42" t="str">
        <x:v>亜硫酸に関する別の特徴・要因と混同; 亜硫酸に関する別の特徴・要因と混同; 亜硫酸に関する別の特徴・要因と混同</x:v>
      </x:c>
      <x:c r="Z12" s="53" t="str">
        <x:v>N</x:v>
      </x:c>
      <x:c r="AA12" s="42"/>
      <x:c r="AB12" s="42" t="str">
        <x:v>オリジナル</x:v>
      </x:c>
      <x:c r="AC12" s="42" t="str">
        <x:v>公式Specificationの範囲＋ユーザー作成コーパスの論点を参考に独自作成</x:v>
      </x:c>
      <x:c r="AD12" s="53" t="str">
        <x:v>改稿済み・専門家未承認</x:v>
      </x:c>
      <x:c r="AE12" s="53" t="str">
        <x:v>AI誤答レビュー</x:v>
      </x:c>
      <x:c r="AF12" s="53" t="str">
        <x:v>2026-07-12</x:v>
      </x:c>
      <x:c r="AG12" s="43" t="str">
        <x:v>最終バッチ：有効な誤答を維持し、絶対語・物理的不可能な誤答のみ置換。正答位置は維持。</x:v>
      </x:c>
    </x:row>
    <x:row r="13" ht="84" customHeight="1">
      <x:c r="A13" s="41" t="str">
        <x:v>LO1-012</x:v>
      </x:c>
      <x:c r="B13" s="53" t="str">
        <x:v>LO1</x:v>
      </x:c>
      <x:c r="C13" s="42" t="str">
        <x:v>ブドウ畑・ワイナリーの自然要因と人的要因</x:v>
      </x:c>
      <x:c r="D13" s="42" t="str">
        <x:v>マロラクティック発酵</x:v>
      </x:c>
      <x:c r="E13" s="42" t="str">
        <x:v>マロラクティック発酵（MLF）がワインに与える典型的な影響はどれか。</x:v>
      </x:c>
      <x:c r="F13" s="42" t="str">
        <x:v>果皮から色素を抽出し、赤ワインの色を濃くする</x:v>
      </x:c>
      <x:c r="G13" s="42" t="str">
        <x:v>アルコールを酢酸に変え、酢のような香りを生じさせる</x:v>
      </x:c>
      <x:c r="H13" s="42" t="str">
        <x:v>酒石酸を乳酸へ変え、pHを下げて酸味を強くする</x:v>
      </x:c>
      <x:c r="I13" s="42" t="str">
        <x:v>リンゴ酸を乳酸に変え、酸味を柔らかくし、場合によりバター様の香りを加える</x:v>
      </x:c>
      <x:c r="J13" s="53" t="str">
        <x:v>D</x:v>
      </x:c>
      <x:c r="K13" s="42" t="str">
        <x:v>リンゴ酸を乳酸に変え、酸味を柔らかくし、場合によりバター様の香りを加える</x:v>
      </x:c>
      <x:c r="L13" s="42" t="str">
        <x:v>正しい。乳酸はリンゴ酸より穏やかで、ジアセチルによりバター様の香りが生じる場合がある。</x:v>
      </x:c>
      <x:c r="M13" s="42" t="str">
        <x:v>誤り。色素抽出は主にマセラシオンや発酵中の抽出による。</x:v>
      </x:c>
      <x:c r="N13" s="42" t="str">
        <x:v>誤り。これは酢酸菌などによる望ましくない変化に近く、正常なMLFの説明ではない。</x:v>
      </x:c>
      <x:c r="O13" s="42" t="str">
        <x:v>誤り。MLFはリンゴ酸を乳酸へ変え、一般に酸味を和らげpHを上げる。</x:v>
      </x:c>
      <x:c r="P13" s="42" t="str">
        <x:v>正しい。乳酸はリンゴ酸より穏やかで、ジアセチルによりバター様の香りが生じる場合がある。</x:v>
      </x:c>
      <x:c r="Q13" s="42" t="str">
        <x:v>人的要因（ワイナリー）</x:v>
      </x:c>
      <x:c r="R13" s="42" t="str">
        <x:v>マロラクティック発酵</x:v>
      </x:c>
      <x:c r="S13" s="42" t="str">
        <x:v>全般</x:v>
      </x:c>
      <x:c r="T13" s="42" t="str"/>
      <x:c r="U13" s="42" t="str"/>
      <x:c r="V13" s="42" t="str"/>
      <x:c r="W13" s="42" t="str">
        <x:v>因果説明</x:v>
      </x:c>
      <x:c r="X13" s="53" t="str">
        <x:v>D1</x:v>
      </x:c>
      <x:c r="Y13" s="42" t="str">
        <x:v>マロラクティック発酵について関連要因を主因とみなす; マロラクティック発酵について関連要因を主因とみなす; MLFは酒石酸を乳酸へ変えて酸を強める</x:v>
      </x:c>
      <x:c r="Z13" s="53" t="str">
        <x:v>N</x:v>
      </x:c>
      <x:c r="AA13" s="42"/>
      <x:c r="AB13" s="42" t="str">
        <x:v>オリジナル</x:v>
      </x:c>
      <x:c r="AC13" s="42" t="str">
        <x:v>公式Specificationの範囲＋ユーザー作成コーパスの論点を参考に独自作成</x:v>
      </x:c>
      <x:c r="AD13" s="53" t="str">
        <x:v>改稿済み・専門家未承認</x:v>
      </x:c>
      <x:c r="AE13" s="53" t="str">
        <x:v>AI誤答レビュー</x:v>
      </x:c>
      <x:c r="AF13" s="53" t="str">
        <x:v>2026-07-12</x:v>
      </x:c>
      <x:c r="AG13" s="43" t="str">
        <x:v>第5バッチ：使用可能な誤答を維持し、弱い誤答を因果逆転・隣接概念へ置換。正答位置は維持。</x:v>
      </x:c>
    </x:row>
    <x:row r="14" ht="84" customHeight="1">
      <x:c r="A14" s="41" t="str">
        <x:v>LO1-013</x:v>
      </x:c>
      <x:c r="B14" s="53" t="str">
        <x:v>LO1</x:v>
      </x:c>
      <x:c r="C14" s="42" t="str">
        <x:v>ブドウ畑・ワイナリーの自然要因と人的要因</x:v>
      </x:c>
      <x:c r="D14" s="42" t="str">
        <x:v>オーク樽</x:v>
      </x:c>
      <x:c r="E14" s="42" t="str">
        <x:v>同じ期間熟成する場合、小型のオーク樽が大型の古樽よりワインへ強い影響を与えやすい主な理由はどれか。</x:v>
      </x:c>
      <x:c r="F14" s="42" t="str">
        <x:v>ワイン量に対する木材表面積の比率が大きいから</x:v>
      </x:c>
      <x:c r="G14" s="42" t="str">
        <x:v>小樽では酸素が遮断され、アルコール発酵が再開するから</x:v>
      </x:c>
      <x:c r="H14" s="42" t="str">
        <x:v>小樽には新しい木材が使われ、大型樽には香りを与えない木材が使われるから</x:v>
      </x:c>
      <x:c r="I14" s="42" t="str">
        <x:v>小樽の内部で酒石酸塩がより速く溶解するから</x:v>
      </x:c>
      <x:c r="J14" s="53" t="str">
        <x:v>A</x:v>
      </x:c>
      <x:c r="K14" s="42" t="str">
        <x:v>ワイン量に対する木材表面積の比率が大きいから</x:v>
      </x:c>
      <x:c r="L14" s="42" t="str">
        <x:v>正しい。小樽ではワインが接する木材面積が相対的に大きく、オーク由来の風味や酸素の影響を受けやすい。</x:v>
      </x:c>
      <x:c r="M14" s="42" t="str">
        <x:v>正しい。小樽ではワインが接する木材面積が相対的に大きく、オーク由来の風味や酸素の影響を受けやすい。</x:v>
      </x:c>
      <x:c r="N14" s="42" t="str">
        <x:v>誤り。小樽は穏やかな酸素接触を与えることがあり、樽サイズが発酵再開を直接決めるわけではない。</x:v>
      </x:c>
      <x:c r="O14" s="42" t="str">
        <x:v>誤り。樽の新旧とサイズは別の要素であり、どちらのサイズにも新樽・古樽があり得る。</x:v>
      </x:c>
      <x:c r="P14" s="42" t="str">
        <x:v>誤り。酒石酸塩の安定性は温度などで管理され、樽サイズが主な説明ではない。</x:v>
      </x:c>
      <x:c r="Q14" s="42" t="str">
        <x:v>人的要因（ワイナリー）</x:v>
      </x:c>
      <x:c r="R14" s="42" t="str">
        <x:v>オーク熟成</x:v>
      </x:c>
      <x:c r="S14" s="42" t="str">
        <x:v>非発泡性ワイン</x:v>
      </x:c>
      <x:c r="T14" s="42" t="str"/>
      <x:c r="U14" s="42" t="str"/>
      <x:c r="V14" s="42" t="str"/>
      <x:c r="W14" s="42" t="str">
        <x:v>因果説明</x:v>
      </x:c>
      <x:c r="X14" s="53" t="str">
        <x:v>D2</x:v>
      </x:c>
      <x:c r="Y14" s="42" t="str">
        <x:v>オーク樽に関する別の特徴・要因と混同; オーク樽に関する別の特徴・要因と混同; オーク樽に関する別の特徴・要因と混同</x:v>
      </x:c>
      <x:c r="Z14" s="53" t="str">
        <x:v>N</x:v>
      </x:c>
      <x:c r="AA14" s="42"/>
      <x:c r="AB14" s="42" t="str">
        <x:v>オリジナル</x:v>
      </x:c>
      <x:c r="AC14" s="42" t="str">
        <x:v>公式Specificationの範囲＋ユーザー作成コーパスの論点を参考に独自作成</x:v>
      </x:c>
      <x:c r="AD14" s="53" t="str">
        <x:v>改稿済み・専門家未承認</x:v>
      </x:c>
      <x:c r="AE14" s="53" t="str">
        <x:v>AI誤答レビュー</x:v>
      </x:c>
      <x:c r="AF14" s="53" t="str">
        <x:v>2026-07-12</x:v>
      </x:c>
      <x:c r="AG14" s="43" t="str">
        <x:v>最終バッチ：有効な誤答を維持し、絶対語・物理的不可能な誤答のみ置換。正答位置は維持。</x:v>
      </x:c>
    </x:row>
    <x:row r="15" ht="84" customHeight="1">
      <x:c r="A15" s="41" t="str">
        <x:v>LO1-014</x:v>
      </x:c>
      <x:c r="B15" s="53" t="str">
        <x:v>LO1</x:v>
      </x:c>
      <x:c r="C15" s="42" t="str">
        <x:v>ブドウ畑・ワイナリーの自然要因と人的要因</x:v>
      </x:c>
      <x:c r="D15" s="42" t="str">
        <x:v>澱との接触</x:v>
      </x:c>
      <x:c r="E15" s="42" t="str">
        <x:v>白ワインを細かい澱と接触させて熟成することで期待される効果はどれか。</x:v>
      </x:c>
      <x:c r="F15" s="42" t="str">
        <x:v>果皮由来のタンニンと色素が増え、赤ワインに近い構造になる</x:v>
      </x:c>
      <x:c r="G15" s="42" t="str">
        <x:v>口当たりに厚みが加わり、パン生地やビスケットを思わせる風味が生じることがある</x:v>
      </x:c>
      <x:c r="H15" s="42" t="str">
        <x:v>澱がアルコールを吸収し、ワインのアルコール度を大きく下げる</x:v>
      </x:c>
      <x:c r="I15" s="42" t="str">
        <x:v>澱中の酵母が残糖を発酵し続け、辛口のスタイルを決める</x:v>
      </x:c>
      <x:c r="J15" s="53" t="str">
        <x:v>B</x:v>
      </x:c>
      <x:c r="K15" s="42" t="str">
        <x:v>口当たりに厚みが加わり、パン生地やビスケットを思わせる風味が生じることがある</x:v>
      </x:c>
      <x:c r="L15" s="42" t="str">
        <x:v>正しい。酵母の自己分解により多糖類や風味成分が放出され、質感と複雑さが増すことがある。</x:v>
      </x:c>
      <x:c r="M15" s="42" t="str">
        <x:v>誤り。澱との接触はタンニンや色素抽出を目的とする工程ではない。</x:v>
      </x:c>
      <x:c r="N15" s="42" t="str">
        <x:v>正しい。酵母の自己分解により多糖類や風味成分が放出され、質感と複雑さが増すことがある。</x:v>
      </x:c>
      <x:c r="O15" s="42" t="str">
        <x:v>誤り。澱との接触はアルコールを大幅に除去する工程ではない。</x:v>
      </x:c>
      <x:c r="P15" s="42" t="str">
        <x:v>誤り。澱との接触だけで再発酵が起こるわけではなく、残糖管理とは別である。</x:v>
      </x:c>
      <x:c r="Q15" s="42" t="str">
        <x:v>人的要因（ワイナリー）</x:v>
      </x:c>
      <x:c r="R15" s="42" t="str">
        <x:v>澱との接触</x:v>
      </x:c>
      <x:c r="S15" s="42" t="str">
        <x:v>白・発泡性ワイン</x:v>
      </x:c>
      <x:c r="T15" s="42" t="str"/>
      <x:c r="U15" s="42" t="str"/>
      <x:c r="V15" s="42" t="str"/>
      <x:c r="W15" s="42" t="str">
        <x:v>因果説明</x:v>
      </x:c>
      <x:c r="X15" s="53" t="str">
        <x:v>D2</x:v>
      </x:c>
      <x:c r="Y15" s="42" t="str">
        <x:v>澱との接触に関する別の特徴・要因と混同; 澱との接触に関する別の特徴・要因と混同; 澱との接触に関する別の特徴・要因と混同</x:v>
      </x:c>
      <x:c r="Z15" s="53" t="str">
        <x:v>N</x:v>
      </x:c>
      <x:c r="AA15" s="42"/>
      <x:c r="AB15" s="42" t="str">
        <x:v>オリジナル</x:v>
      </x:c>
      <x:c r="AC15" s="42" t="str">
        <x:v>公式Specificationの範囲＋ユーザー作成コーパスの論点を参考に独自作成</x:v>
      </x:c>
      <x:c r="AD15" s="53" t="str">
        <x:v>改稿済み・専門家未承認</x:v>
      </x:c>
      <x:c r="AE15" s="53" t="str">
        <x:v>AI誤答レビュー</x:v>
      </x:c>
      <x:c r="AF15" s="53" t="str">
        <x:v>2026-07-12</x:v>
      </x:c>
      <x:c r="AG15" s="43" t="str">
        <x:v>最終バッチ：有効な誤答を維持し、絶対語・物理的不可能な誤答のみ置換。正答位置は維持。</x:v>
      </x:c>
    </x:row>
    <x:row r="16" ht="84" customHeight="1">
      <x:c r="A16" s="41" t="str">
        <x:v>LO1-015</x:v>
      </x:c>
      <x:c r="B16" s="53" t="str">
        <x:v>LO1</x:v>
      </x:c>
      <x:c r="C16" s="42" t="str">
        <x:v>ブドウ畑・ワイナリーの自然要因と人的要因</x:v>
      </x:c>
      <x:c r="D16" s="42" t="str">
        <x:v>炭酸ガス浸漬法</x:v>
      </x:c>
      <x:c r="E16" s="42" t="str">
        <x:v>炭酸ガス浸漬法で造られた赤ワインに、最も典型的な特徴はどれか。</x:v>
      </x:c>
      <x:c r="F16" s="42" t="str">
        <x:v>濃い色、高いタンニン、種子由来の苦味を持つ長期熟成型</x:v>
      </x:c>
      <x:c r="G16" s="42" t="str">
        <x:v>低い果実香、強い新樽香、酸化的な熟成香が中心</x:v>
      </x:c>
      <x:c r="H16" s="42" t="str">
        <x:v>鮮やかな果実香、低めのタンニン、早飲みのスタイル</x:v>
      </x:c>
      <x:c r="I16" s="42" t="str">
        <x:v>高い残糖と低い酸を持つ甘口赤ワイン</x:v>
      </x:c>
      <x:c r="J16" s="53" t="str">
        <x:v>C</x:v>
      </x:c>
      <x:c r="K16" s="42" t="str">
        <x:v>鮮やかな果実香、低めのタンニン、早飲みのスタイル</x:v>
      </x:c>
      <x:c r="L16" s="42" t="str">
        <x:v>正しい。バナナ、キャンディ、赤系果実の香りを持つ軽快なスタイルになりやすい。</x:v>
      </x:c>
      <x:c r="M16" s="42" t="str">
        <x:v>誤り。細胞内発酵では強い種子抽出を避けるため、通常は低タンニンで早飲みとなる。</x:v>
      </x:c>
      <x:c r="N16" s="42" t="str">
        <x:v>誤り。品種由来の果実香を強調する方法で、新樽や酸化熟成を必須としない。</x:v>
      </x:c>
      <x:c r="O16" s="42" t="str">
        <x:v>正しい。バナナ、キャンディ、赤系果実の香りを持つ軽快なスタイルになりやすい。</x:v>
      </x:c>
      <x:c r="P16" s="42" t="str">
        <x:v>誤り。炭酸ガス浸漬そのものが甘口や低酸を意味するわけではない。</x:v>
      </x:c>
      <x:c r="Q16" s="42" t="str">
        <x:v>人的要因（ワイナリー）</x:v>
      </x:c>
      <x:c r="R16" s="42" t="str">
        <x:v>炭酸ガス浸漬法</x:v>
      </x:c>
      <x:c r="S16" s="42" t="str">
        <x:v>赤非発泡性ワイン</x:v>
      </x:c>
      <x:c r="T16" s="42" t="str"/>
      <x:c r="U16" s="42" t="str"/>
      <x:c r="V16" s="42" t="str"/>
      <x:c r="W16" s="42" t="str">
        <x:v>知識確認</x:v>
      </x:c>
      <x:c r="X16" s="53" t="str">
        <x:v>D1</x:v>
      </x:c>
      <x:c r="Y16" s="42" t="str">
        <x:v>炭酸ガス浸漬は高タンニン長期熟成型; 炭酸ガス浸漬は果実香を抑え樽香中心; 炭酸ガス浸漬は甘口化する</x:v>
      </x:c>
      <x:c r="Z16" s="53" t="str">
        <x:v>N</x:v>
      </x:c>
      <x:c r="AA16" s="42"/>
      <x:c r="AB16" s="42" t="str">
        <x:v>オリジナル</x:v>
      </x:c>
      <x:c r="AC16" s="42" t="str">
        <x:v>公式Specificationの範囲＋ユーザー作成コーパスの論点を参考に独自作成</x:v>
      </x:c>
      <x:c r="AD16" s="53" t="str">
        <x:v>改稿済み・専門家未承認</x:v>
      </x:c>
      <x:c r="AE16" s="53" t="str">
        <x:v>AI誤答レビュー</x:v>
      </x:c>
      <x:c r="AF16" s="53" t="str">
        <x:v>2026-07-12</x:v>
      </x:c>
      <x:c r="AG16" s="43" t="str">
        <x:v>第3バッチ：同一論点内の典型的誤概念へ置換。正答位置は維持。</x:v>
      </x:c>
    </x:row>
    <x:row r="17" ht="84" customHeight="1">
      <x:c r="A17" s="41" t="str">
        <x:v>LO1-016</x:v>
      </x:c>
      <x:c r="B17" s="53" t="str">
        <x:v>LO1</x:v>
      </x:c>
      <x:c r="C17" s="42" t="str">
        <x:v>ブドウ畑・ワイナリーの自然要因と人的要因</x:v>
      </x:c>
      <x:c r="D17" s="42" t="str">
        <x:v>圧搾</x:v>
      </x:c>
      <x:c r="E17" s="42" t="str">
        <x:v>白ワイン醸造で強い圧力をかけて圧搾した果汁を別に扱うことがある主な理由はどれか。</x:v>
      </x:c>
      <x:c r="F17" s="42" t="str">
        <x:v>後半の強い圧搾では果皮・種子由来のフェノールや苦味が減りやすい</x:v>
      </x:c>
      <x:c r="G17" s="42" t="str">
        <x:v>強い圧搾果汁ほど酸が高く、最上級ワインへ適する</x:v>
      </x:c>
      <x:c r="H17" s="42" t="str">
        <x:v>最初の果汁だけに糖が含まれ、後半果汁は発酵できない</x:v>
      </x:c>
      <x:c r="I17" s="42" t="str">
        <x:v>後半の強い圧搾では果皮・種子由来のフェノールや苦味が増えやすい</x:v>
      </x:c>
      <x:c r="J17" s="53" t="str">
        <x:v>D</x:v>
      </x:c>
      <x:c r="K17" s="42" t="str">
        <x:v>後半の強い圧搾では果皮・種子由来のフェノールや苦味が増えやすい</x:v>
      </x:c>
      <x:c r="L17" s="42" t="str">
        <x:v>正しい。圧力を高めるほど果皮・種子・房軸由来成分が増えるため、別区分で評価する。</x:v>
      </x:c>
      <x:c r="M17" s="42" t="str">
        <x:v>誤り。正答では「増え」ことが重要であり、この選択肢は「減り」へ置き換えて関係を逆にしている。</x:v>
      </x:c>
      <x:c r="N17" s="42" t="str">
        <x:v>誤り。後半果汁はカリウムやフェノールが増え、酸が低い場合がある。</x:v>
      </x:c>
      <x:c r="O17" s="42" t="str">
        <x:v>誤り。後半果汁にも糖が含まれる。</x:v>
      </x:c>
      <x:c r="P17" s="42" t="str">
        <x:v>正しい。圧力を高めるほど果皮・種子・房軸由来成分が増えるため、別区分で評価する。</x:v>
      </x:c>
      <x:c r="Q17" s="42" t="str">
        <x:v>人的要因（ワイナリー）</x:v>
      </x:c>
      <x:c r="R17" s="42" t="str">
        <x:v>圧搾・果汁分画</x:v>
      </x:c>
      <x:c r="S17" s="42" t="str">
        <x:v>白非発泡性ワイン</x:v>
      </x:c>
      <x:c r="T17" s="42" t="str"/>
      <x:c r="U17" s="42" t="str"/>
      <x:c r="V17" s="42" t="str"/>
      <x:c r="W17" s="42" t="str">
        <x:v>因果説明</x:v>
      </x:c>
      <x:c r="X17" s="53" t="str">
        <x:v>D3</x:v>
      </x:c>
      <x:c r="Y17" s="42" t="str">
        <x:v>「増え」と「減り」の関係を逆転; 強圧搾果汁は高酸・高品質; 後半圧搾果汁は無糖</x:v>
      </x:c>
      <x:c r="Z17" s="53" t="str">
        <x:v>N</x:v>
      </x:c>
      <x:c r="AA17" s="42"/>
      <x:c r="AB17" s="42" t="str">
        <x:v>オリジナル</x:v>
      </x:c>
      <x:c r="AC17" s="42" t="str">
        <x:v>公式Specificationの範囲＋ユーザー作成コーパスの論点を参考に独自作成</x:v>
      </x:c>
      <x:c r="AD17" s="53" t="str">
        <x:v>改稿済み・専門家未承認</x:v>
      </x:c>
      <x:c r="AE17" s="53" t="str">
        <x:v>AI誤答レビュー</x:v>
      </x:c>
      <x:c r="AF17" s="53" t="str">
        <x:v>2026-07-12</x:v>
      </x:c>
      <x:c r="AG17" s="43" t="str">
        <x:v>第4バッチ：同一論点内の典型的誤概念へ置換。正答位置は維持。</x:v>
      </x:c>
    </x:row>
    <x:row r="18" ht="84" customHeight="1">
      <x:c r="A18" s="41" t="str">
        <x:v>LO1-017</x:v>
      </x:c>
      <x:c r="B18" s="53" t="str">
        <x:v>LO1</x:v>
      </x:c>
      <x:c r="C18" s="42" t="str">
        <x:v>ブドウ畑・ワイナリーの自然要因と人的要因</x:v>
      </x:c>
      <x:c r="D18" s="42" t="str">
        <x:v>清澄・濾過</x:v>
      </x:c>
      <x:c r="E18" s="42" t="str">
        <x:v>瓶詰め前に膜状濾過を行う主な目的として最も適切なものはどれか。</x:v>
      </x:c>
      <x:c r="F18" s="42" t="str">
        <x:v>酵母や細菌を除去し、微生物学的な安定性を高める</x:v>
      </x:c>
      <x:c r="G18" s="42" t="str">
        <x:v>ワインにオーク由来の風味を加える</x:v>
      </x:c>
      <x:c r="H18" s="42" t="str">
        <x:v>酸度を上げてpHを下げる</x:v>
      </x:c>
      <x:c r="I18" s="42" t="str">
        <x:v>果皮から色素とタンニンを抽出し、ワインの構造を強める</x:v>
      </x:c>
      <x:c r="J18" s="53" t="str">
        <x:v>A</x:v>
      </x:c>
      <x:c r="K18" s="42" t="str">
        <x:v>酵母や細菌を除去し、微生物学的な安定性を高める</x:v>
      </x:c>
      <x:c r="L18" s="42" t="str">
        <x:v>正しい。細かい孔径のフィルターは微生物を除去し、残糖のあるワインなどの再発酵リスクを下げる。</x:v>
      </x:c>
      <x:c r="M18" s="42" t="str">
        <x:v>正しい。細かい孔径のフィルターは微生物を除去し、残糖のあるワインなどの再発酵リスクを下げる。</x:v>
      </x:c>
      <x:c r="N18" s="42" t="str">
        <x:v>誤り。オーク風味は樽やオーク代用品から得られ、濾過の役割ではない。</x:v>
      </x:c>
      <x:c r="O18" s="42" t="str">
        <x:v>誤り。濾過は酸を添加する工程ではない。</x:v>
      </x:c>
      <x:c r="P18" s="42" t="str">
        <x:v>誤り。濾過は成分を加える工程ではなく、過度な濾過では一部成分が減る可能性がある。</x:v>
      </x:c>
      <x:c r="Q18" s="42" t="str">
        <x:v>人的要因（ワイナリー）</x:v>
      </x:c>
      <x:c r="R18" s="42" t="str">
        <x:v>濾過・微生物安定化</x:v>
      </x:c>
      <x:c r="S18" s="42" t="str">
        <x:v>全般</x:v>
      </x:c>
      <x:c r="T18" s="42" t="str"/>
      <x:c r="U18" s="42" t="str"/>
      <x:c r="V18" s="42" t="str"/>
      <x:c r="W18" s="42" t="str">
        <x:v>知識確認</x:v>
      </x:c>
      <x:c r="X18" s="53" t="str">
        <x:v>D2</x:v>
      </x:c>
      <x:c r="Y18" s="42" t="str">
        <x:v>清澄・濾過に関する別の特徴・要因と混同; 清澄・濾過に関する別の特徴・要因と混同; 清澄・濾過に関する別の特徴・要因と混同</x:v>
      </x:c>
      <x:c r="Z18" s="53" t="str">
        <x:v>N</x:v>
      </x:c>
      <x:c r="AA18" s="42"/>
      <x:c r="AB18" s="42" t="str">
        <x:v>オリジナル</x:v>
      </x:c>
      <x:c r="AC18" s="42" t="str">
        <x:v>公式Specificationの範囲＋ユーザー作成コーパスの論点を参考に独自作成</x:v>
      </x:c>
      <x:c r="AD18" s="53" t="str">
        <x:v>改稿済み・専門家未承認</x:v>
      </x:c>
      <x:c r="AE18" s="53" t="str">
        <x:v>AI誤答レビュー</x:v>
      </x:c>
      <x:c r="AF18" s="53" t="str">
        <x:v>2026-07-12</x:v>
      </x:c>
      <x:c r="AG18" s="43" t="str">
        <x:v>最終バッチ：有効な誤答を維持し、絶対語・物理的不可能な誤答のみ置換。正答位置は維持。</x:v>
      </x:c>
    </x:row>
    <x:row r="19" ht="84" customHeight="1">
      <x:c r="A19" s="41" t="str">
        <x:v>LO1-018</x:v>
      </x:c>
      <x:c r="B19" s="53" t="str">
        <x:v>LO1</x:v>
      </x:c>
      <x:c r="C19" s="42" t="str">
        <x:v>ブドウ畑・ワイナリーの自然要因と人的要因</x:v>
      </x:c>
      <x:c r="D19" s="42" t="str">
        <x:v>酒石酸安定化</x:v>
      </x:c>
      <x:c r="E19" s="42" t="str">
        <x:v>ワインを低温で保持して酒石酸塩の結晶を析出させる処理の目的はどれか。</x:v>
      </x:c>
      <x:c r="F19" s="42" t="str">
        <x:v>低温によってアルコールを蒸発させ、度数を下げる</x:v>
      </x:c>
      <x:c r="G19" s="42" t="str">
        <x:v>瓶詰め後に無害な結晶が生じ、消費者が異物と誤認するのを防ぐ</x:v>
      </x:c>
      <x:c r="H19" s="42" t="str">
        <x:v>コルク汚染の原因物質を結晶とともに沈殿させる</x:v>
      </x:c>
      <x:c r="I19" s="42" t="str">
        <x:v>二次発酵用の糖を析出させ、瓶内圧を高める</x:v>
      </x:c>
      <x:c r="J19" s="53" t="str">
        <x:v>B</x:v>
      </x:c>
      <x:c r="K19" s="42" t="str">
        <x:v>瓶詰め後に無害な結晶が生じ、消費者が異物と誤認するのを防ぐ</x:v>
      </x:c>
      <x:c r="L19" s="42" t="str">
        <x:v>正しい。瓶詰め前に結晶を析出・除去して、外観上の安定性を高める。</x:v>
      </x:c>
      <x:c r="M19" s="42" t="str">
        <x:v>誤り。低温安定化はアルコール除去を目的としない。</x:v>
      </x:c>
      <x:c r="N19" s="42" t="str">
        <x:v>正しい。瓶詰め前に結晶を析出・除去して、外観上の安定性を高める。</x:v>
      </x:c>
      <x:c r="O19" s="42" t="str">
        <x:v>誤り。コルク汚染は主にTCAに由来し、低温安定化では除去できない。</x:v>
      </x:c>
      <x:c r="P19" s="42" t="str">
        <x:v>誤り。瓶内圧は二次発酵などで生じ、酒石酸安定化とは関係がない。</x:v>
      </x:c>
      <x:c r="Q19" s="42" t="str">
        <x:v>人的要因（ワイナリー）</x:v>
      </x:c>
      <x:c r="R19" s="42" t="str">
        <x:v>酒石酸安定化</x:v>
      </x:c>
      <x:c r="S19" s="42" t="str">
        <x:v>全般</x:v>
      </x:c>
      <x:c r="T19" s="42" t="str"/>
      <x:c r="U19" s="42" t="str"/>
      <x:c r="V19" s="42" t="str"/>
      <x:c r="W19" s="42" t="str">
        <x:v>知識確認</x:v>
      </x:c>
      <x:c r="X19" s="53" t="str">
        <x:v>D1</x:v>
      </x:c>
      <x:c r="Y19" s="42" t="str">
        <x:v>酒石酸安定化に関する別の特徴・要因と混同; 酒石酸安定化に関する別の特徴・要因と混同; 酒石酸安定化に関する別の特徴・要因と混同</x:v>
      </x:c>
      <x:c r="Z19" s="53" t="str">
        <x:v>N</x:v>
      </x:c>
      <x:c r="AA19" s="42"/>
      <x:c r="AB19" s="42" t="str">
        <x:v>オリジナル</x:v>
      </x:c>
      <x:c r="AC19" s="42" t="str">
        <x:v>公式Specificationの範囲＋ユーザー作成コーパスの論点を参考に独自作成</x:v>
      </x:c>
      <x:c r="AD19" s="53" t="str">
        <x:v>改稿済み・専門家未承認</x:v>
      </x:c>
      <x:c r="AE19" s="53" t="str">
        <x:v>AI誤答レビュー</x:v>
      </x:c>
      <x:c r="AF19" s="53" t="str">
        <x:v>2026-07-12</x:v>
      </x:c>
      <x:c r="AG19" s="43" t="str">
        <x:v>最終バッチ：有効な誤答を維持し、絶対語・物理的不可能な誤答のみ置換。正答位置は維持。</x:v>
      </x:c>
    </x:row>
    <x:row r="20" ht="84" customHeight="1">
      <x:c r="A20" s="41" t="str">
        <x:v>LO1-019</x:v>
      </x:c>
      <x:c r="B20" s="53" t="str">
        <x:v>LO1</x:v>
      </x:c>
      <x:c r="C20" s="42" t="str">
        <x:v>ブドウ畑・ワイナリーの自然要因と人的要因</x:v>
      </x:c>
      <x:c r="D20" s="42" t="str">
        <x:v>ブレンド</x:v>
      </x:c>
      <x:c r="E20" s="42" t="str">
        <x:v>複数のロットをブレンドする生産者の目的として、最も適切なものはどれか。</x:v>
      </x:c>
      <x:c r="F20" s="42" t="str">
        <x:v>各ロットの違いを強調し、毎年まったく異なるスタイルにすることだけ</x:v>
      </x:c>
      <x:c r="G20" s="42" t="str">
        <x:v>異なる原産地のワインを混ぜ、表示規定を適用外にすること</x:v>
      </x:c>
      <x:c r="H20" s="42" t="str">
        <x:v>酸、果実味、タンニンなどを補完し、望むバランスと一貫したスタイルを作る</x:v>
      </x:c>
      <x:c r="I20" s="42" t="str">
        <x:v>辛口ワインに甘口ワインを加え、残糖だけでバランスを整えること</x:v>
      </x:c>
      <x:c r="J20" s="53" t="str">
        <x:v>C</x:v>
      </x:c>
      <x:c r="K20" s="42" t="str">
        <x:v>酸、果実味、タンニンなどを補完し、望むバランスと一貫したスタイルを作る</x:v>
      </x:c>
      <x:c r="L20" s="42" t="str">
        <x:v>正しい。異なる品種、畑、樽、ヴィンテージの特徴を組み合わせ、品質やハウススタイルを整える。</x:v>
      </x:c>
      <x:c r="M20" s="42" t="str">
        <x:v>誤り。ブレンドは違いを強調する場合もあるが、一般にバランスや一貫性の確保も重要な目的である。</x:v>
      </x:c>
      <x:c r="N20" s="42" t="str">
        <x:v>誤り。ブレンドは法律の範囲内で行われ、表示規定を適用外にすることが一般目的ではない。</x:v>
      </x:c>
      <x:c r="O20" s="42" t="str">
        <x:v>正しい。異なる品種、畑、樽、ヴィンテージの特徴を組み合わせ、品質やハウススタイルを整える。</x:v>
      </x:c>
      <x:c r="P20" s="42" t="str">
        <x:v>誤り。甘味調整に使われる場合もあるが、ブレンドの目的は酸、果実味、タンニン、スタイルなどより広い。</x:v>
      </x:c>
      <x:c r="Q20" s="42" t="str">
        <x:v>人的要因（ワイナリー）</x:v>
      </x:c>
      <x:c r="R20" s="42" t="str">
        <x:v>ブレンド</x:v>
      </x:c>
      <x:c r="S20" s="42" t="str">
        <x:v>全般</x:v>
      </x:c>
      <x:c r="T20" s="42" t="str"/>
      <x:c r="U20" s="42" t="str"/>
      <x:c r="V20" s="42" t="str"/>
      <x:c r="W20" s="42" t="str">
        <x:v>適用</x:v>
      </x:c>
      <x:c r="X20" s="53" t="str">
        <x:v>D2</x:v>
      </x:c>
      <x:c r="Y20" s="42" t="str">
        <x:v>ブレンドに関する別の特徴・要因と混同; ブレンドに関する別の特徴・要因と混同; ブレンドに関する別の特徴・要因と混同</x:v>
      </x:c>
      <x:c r="Z20" s="53" t="str">
        <x:v>N</x:v>
      </x:c>
      <x:c r="AA20" s="42"/>
      <x:c r="AB20" s="42" t="str">
        <x:v>オリジナル</x:v>
      </x:c>
      <x:c r="AC20" s="42" t="str">
        <x:v>公式Specificationの範囲＋ユーザー作成コーパスの論点を参考に独自作成</x:v>
      </x:c>
      <x:c r="AD20" s="53" t="str">
        <x:v>改稿済み・専門家未承認</x:v>
      </x:c>
      <x:c r="AE20" s="53" t="str">
        <x:v>AI誤答レビュー</x:v>
      </x:c>
      <x:c r="AF20" s="53" t="str">
        <x:v>2026-07-12</x:v>
      </x:c>
      <x:c r="AG20" s="43" t="str">
        <x:v>最終バッチ：有効な誤答を維持し、絶対語・物理的不可能な誤答のみ置換。正答位置は維持。</x:v>
      </x:c>
    </x:row>
    <x:row r="21" ht="84" customHeight="1">
      <x:c r="A21" s="41" t="str">
        <x:v>LO1-020</x:v>
      </x:c>
      <x:c r="B21" s="53" t="str">
        <x:v>LO1</x:v>
      </x:c>
      <x:c r="C21" s="42" t="str">
        <x:v>ブドウ畑・ワイナリーの自然要因と人的要因</x:v>
      </x:c>
      <x:c r="D21" s="42" t="str">
        <x:v>包装</x:v>
      </x:c>
      <x:c r="E21" s="42" t="str">
        <x:v>バッグ・イン・ボックスが、開封後のワインを比較的長く新鮮に保ちやすい主な理由はどれか。</x:v>
      </x:c>
      <x:c r="F21" s="42" t="str">
        <x:v>箱が光を遮ることだけで、開封後の酸素接触も防げる</x:v>
      </x:c>
      <x:c r="G21" s="42" t="str">
        <x:v>箱が透明でないため、開封後に酸素がワインへ溶けなくなる</x:v>
      </x:c>
      <x:c r="H21" s="42" t="str">
        <x:v>蛇口から二酸化炭素が入り、残りのワインを発泡性にする</x:v>
      </x:c>
      <x:c r="I21" s="42" t="str">
        <x:v>内袋が注ぐたびに縮み、残ったワインが空気に触れにくい</x:v>
      </x:c>
      <x:c r="J21" s="53" t="str">
        <x:v>D</x:v>
      </x:c>
      <x:c r="K21" s="42" t="str">
        <x:v>内袋が注ぐたびに縮み、残ったワインが空気に触れにくい</x:v>
      </x:c>
      <x:c r="L21" s="42" t="str">
        <x:v>正しい。液量減少分を空気で置換せず袋が縮むため、酸化速度を抑えられる。</x:v>
      </x:c>
      <x:c r="M21" s="42" t="str">
        <x:v>誤り。開封後保存の主因は内袋の収縮で、遮光だけでは酸素を防げない。</x:v>
      </x:c>
      <x:c r="N21" s="42" t="str">
        <x:v>誤り。遮光だけでは酸素接触を防げない。</x:v>
      </x:c>
      <x:c r="O21" s="42" t="str">
        <x:v>誤り。通常はガスを注入せず、袋の収縮で空気を排除する。</x:v>
      </x:c>
      <x:c r="P21" s="42" t="str">
        <x:v>正しい。液量減少分を空気で置換せず袋が縮むため、酸化速度を抑えられる。</x:v>
      </x:c>
      <x:c r="Q21" s="42" t="str">
        <x:v>人的要因（ワイナリー）</x:v>
      </x:c>
      <x:c r="R21" s="42" t="str">
        <x:v>包装・酸化管理</x:v>
      </x:c>
      <x:c r="S21" s="42" t="str">
        <x:v>全般</x:v>
      </x:c>
      <x:c r="T21" s="42" t="str"/>
      <x:c r="U21" s="42" t="str"/>
      <x:c r="V21" s="42" t="str"/>
      <x:c r="W21" s="42" t="str">
        <x:v>因果説明</x:v>
      </x:c>
      <x:c r="X21" s="53" t="str">
        <x:v>D2</x:v>
      </x:c>
      <x:c r="Y21" s="42" t="str">
        <x:v>バッグインボックスは遮光だけで酸化を防ぐ; 遮光で酸素溶解がなくなる; バッグインボックスはCO2を注入する</x:v>
      </x:c>
      <x:c r="Z21" s="53" t="str">
        <x:v>N</x:v>
      </x:c>
      <x:c r="AA21" s="42"/>
      <x:c r="AB21" s="42" t="str">
        <x:v>オリジナル</x:v>
      </x:c>
      <x:c r="AC21" s="42" t="str">
        <x:v>公式Specificationの範囲＋ユーザー作成コーパスの論点を参考に独自作成</x:v>
      </x:c>
      <x:c r="AD21" s="53" t="str">
        <x:v>改稿済み・専門家未承認</x:v>
      </x:c>
      <x:c r="AE21" s="53" t="str">
        <x:v>AI誤答レビュー</x:v>
      </x:c>
      <x:c r="AF21" s="53" t="str">
        <x:v>2026-07-12</x:v>
      </x:c>
      <x:c r="AG21" s="43" t="str">
        <x:v>第4バッチ：同一論点内の典型的誤概念へ置換。正答位置は維持。</x:v>
      </x:c>
    </x:row>
    <x:row r="22" ht="84" customHeight="1">
      <x:c r="A22" s="41" t="str">
        <x:v>LO2-001</x:v>
      </x:c>
      <x:c r="B22" s="53" t="str">
        <x:v>LO2</x:v>
      </x:c>
      <x:c r="C22" s="42" t="str">
        <x:v>世界の主要な非発泡性ワイン</x:v>
      </x:c>
      <x:c r="D22" s="42" t="str">
        <x:v>メドック</x:v>
      </x:c>
      <x:c r="E22" s="42" t="str">
        <x:v>メドックの上質赤ワインでカベルネ・ソーヴィニヨンが重要となる自然要因として、最も適切なものはどれか。</x:v>
      </x:c>
      <x:c r="F22" s="42" t="str">
        <x:v>砂利質土壌の水はけと蓄熱性が、晩熟な品種の成熟を助ける</x:v>
      </x:c>
      <x:c r="G22" s="42" t="str">
        <x:v>粘土質土壌の高い保水性が、晩熟なカベルネ・ソーヴィニヨンの成熟を早める</x:v>
      </x:c>
      <x:c r="H22" s="42" t="str">
        <x:v>冷涼な大陸性気候が生育期の降雨を少なくし、成熟を安定させる</x:v>
      </x:c>
      <x:c r="I22" s="42" t="str">
        <x:v>高標高による大きな日較差が主な成熟要因になる</x:v>
      </x:c>
      <x:c r="J22" s="53" t="str">
        <x:v>A</x:v>
      </x:c>
      <x:c r="K22" s="42" t="str">
        <x:v>砂利質土壌の水はけと蓄熱性が、晩熟な品種の成熟を助ける</x:v>
      </x:c>
      <x:c r="L22" s="42" t="str">
        <x:v>正しい。砂利は排水性が高く、日中の熱を蓄えて成熟を助けるため、カベルネ・ソーヴィニヨンに適する。</x:v>
      </x:c>
      <x:c r="M22" s="42" t="str">
        <x:v>正しい。砂利は排水性が高く、日中の熱を蓄えて成熟を助けるため、カベルネ・ソーヴィニヨンに適する。</x:v>
      </x:c>
      <x:c r="N22" s="42" t="str">
        <x:v>誤り。粘土の保水性は右岸のメルロと結びつきやすく、メドックのカベルネを最も直接的に説明しない。</x:v>
      </x:c>
      <x:c r="O22" s="42" t="str">
        <x:v>誤り。ボルドーは海洋性気候で、降雨は生育期や収穫期のリスクとなり得る。</x:v>
      </x:c>
      <x:c r="P22" s="42" t="str">
        <x:v>誤り。メドックは高標高地域ではなく、標高が主要な説明ではない。</x:v>
      </x:c>
      <x:c r="Q22" s="42" t="str">
        <x:v>自然要因・産地</x:v>
      </x:c>
      <x:c r="R22" s="42" t="str">
        <x:v>土壌と品種</x:v>
      </x:c>
      <x:c r="S22" s="42" t="str">
        <x:v>赤非発泡性ワイン</x:v>
      </x:c>
      <x:c r="T22" s="42" t="str">
        <x:v>フランス</x:v>
      </x:c>
      <x:c r="U22" s="42" t="str">
        <x:v>メドック</x:v>
      </x:c>
      <x:c r="V22" s="42" t="str">
        <x:v>カベルネ・ソーヴィニヨン</x:v>
      </x:c>
      <x:c r="W22" s="42" t="str">
        <x:v>因果説明</x:v>
      </x:c>
      <x:c r="X22" s="53" t="str">
        <x:v>D2</x:v>
      </x:c>
      <x:c r="Y22" s="42" t="str">
        <x:v>メドックに関する別の特徴・要因と混同; メドックに関する別の特徴・要因と混同; メドックに関する別の特徴・要因と混同</x:v>
      </x:c>
      <x:c r="Z22" s="53" t="str">
        <x:v>N</x:v>
      </x:c>
      <x:c r="AA22" s="42"/>
      <x:c r="AB22" s="42" t="str">
        <x:v>オリジナル</x:v>
      </x:c>
      <x:c r="AC22" s="42" t="str">
        <x:v>公式Specificationの範囲＋ユーザー作成コーパスの論点を参考に独自作成</x:v>
      </x:c>
      <x:c r="AD22" s="53" t="str">
        <x:v>改稿済み・専門家未承認</x:v>
      </x:c>
      <x:c r="AE22" s="53" t="str">
        <x:v>AI誤答レビュー</x:v>
      </x:c>
      <x:c r="AF22" s="53" t="str">
        <x:v>2026-07-12</x:v>
      </x:c>
      <x:c r="AG22" s="43" t="str">
        <x:v>最終バッチ：有効な誤答を維持し、絶対語・物理的不可能な誤答のみ置換。正答位置は維持。</x:v>
      </x:c>
    </x:row>
    <x:row r="23" ht="84" customHeight="1">
      <x:c r="A23" s="41" t="str">
        <x:v>LO2-002</x:v>
      </x:c>
      <x:c r="B23" s="53" t="str">
        <x:v>LO2</x:v>
      </x:c>
      <x:c r="C23" s="42" t="str">
        <x:v>世界の主要な非発泡性ワイン</x:v>
      </x:c>
      <x:c r="D23" s="42" t="str">
        <x:v>ポムロール</x:v>
      </x:c>
      <x:c r="E23" s="42" t="str">
        <x:v>ポムロールでメルロが主要品種となる理由として最も適切なものはどれか。</x:v>
      </x:c>
      <x:c r="F23" s="42" t="str">
        <x:v>メルロはカベルネ・ソーヴィニヨンより晩熟で、冷涼な年に有利だから</x:v>
      </x:c>
      <x:c r="G23" s="42" t="str">
        <x:v>粘土質土壌が水分を保持し、早熟なメルロの生育と成熟を支えるから</x:v>
      </x:c>
      <x:c r="H23" s="42" t="str">
        <x:v>海から最も遠いため、乾燥した地中海性気候になるから</x:v>
      </x:c>
      <x:c r="I23" s="42" t="str">
        <x:v>法律によりメルロ以外の黒ブドウが全面的に禁止されているから</x:v>
      </x:c>
      <x:c r="J23" s="53" t="str">
        <x:v>B</x:v>
      </x:c>
      <x:c r="K23" s="42" t="str">
        <x:v>粘土質土壌が水分を保持し、早熟なメルロの生育と成熟を支えるから</x:v>
      </x:c>
      <x:c r="L23" s="42" t="str">
        <x:v>正しい。ポムロールの粘土質土壌は水分保持力があり、メルロに適した条件を作る。</x:v>
      </x:c>
      <x:c r="M23" s="42" t="str">
        <x:v>誤り。メルロは一般にカベルネ・ソーヴィニヨンより早熟である。</x:v>
      </x:c>
      <x:c r="N23" s="42" t="str">
        <x:v>正しい。ポムロールの粘土質土壌は水分保持力があり、メルロに適した条件を作る。</x:v>
      </x:c>
      <x:c r="O23" s="42" t="str">
        <x:v>誤り。ポムロールもボルドーの海洋性気候の影響を受ける。</x:v>
      </x:c>
      <x:c r="P23" s="42" t="str">
        <x:v>誤り。他のボルドー品種も使用可能であり、メルロだけに限定されていない。</x:v>
      </x:c>
      <x:c r="Q23" s="42" t="str">
        <x:v>自然要因・産地</x:v>
      </x:c>
      <x:c r="R23" s="42" t="str">
        <x:v>土壌と品種</x:v>
      </x:c>
      <x:c r="S23" s="42" t="str">
        <x:v>赤非発泡性ワイン</x:v>
      </x:c>
      <x:c r="T23" s="42" t="str">
        <x:v>フランス</x:v>
      </x:c>
      <x:c r="U23" s="42" t="str">
        <x:v>ポムロール</x:v>
      </x:c>
      <x:c r="V23" s="42" t="str">
        <x:v>メルロ</x:v>
      </x:c>
      <x:c r="W23" s="42" t="str">
        <x:v>因果説明</x:v>
      </x:c>
      <x:c r="X23" s="53" t="str">
        <x:v>D2</x:v>
      </x:c>
      <x:c r="Y23" s="42" t="str">
        <x:v>ポムロールに関する別の特徴・要因と混同; ポムロールに関する別の特徴・要因と混同; ポムロールに関する別の特徴・要因と混同</x:v>
      </x:c>
      <x:c r="Z23" s="53" t="str">
        <x:v>N</x:v>
      </x:c>
      <x:c r="AA23" s="42"/>
      <x:c r="AB23" s="42" t="str">
        <x:v>オリジナル</x:v>
      </x:c>
      <x:c r="AC23" s="42" t="str">
        <x:v>公式Specificationの範囲＋ユーザー作成コーパスの論点を参考に独自作成</x:v>
      </x:c>
      <x:c r="AD23" s="53" t="str">
        <x:v>改稿済み・専門家未承認</x:v>
      </x:c>
      <x:c r="AE23" s="53" t="str">
        <x:v>AI誤答レビュー</x:v>
      </x:c>
      <x:c r="AF23" s="53" t="str">
        <x:v>2026-07-12</x:v>
      </x:c>
      <x:c r="AG23" s="43" t="str">
        <x:v>最終バッチ：有効な誤答を維持し、絶対語・物理的不可能な誤答のみ置換。正答位置は維持。</x:v>
      </x:c>
    </x:row>
    <x:row r="24" ht="84" customHeight="1">
      <x:c r="A24" s="41" t="str">
        <x:v>LO2-003</x:v>
      </x:c>
      <x:c r="B24" s="53" t="str">
        <x:v>LO2</x:v>
      </x:c>
      <x:c r="C24" s="42" t="str">
        <x:v>世界の主要な非発泡性ワイン</x:v>
      </x:c>
      <x:c r="D24" s="42" t="str">
        <x:v>ソーテルヌ</x:v>
      </x:c>
      <x:c r="E24" s="42" t="str">
        <x:v>ソーテルヌで複数回に分けた選別収穫が必要となる主な理由はどれか。</x:v>
      </x:c>
      <x:c r="F24" s="42" t="str">
        <x:v>貴腐化した果粒が房全体で同時に成熟するため</x:v>
      </x:c>
      <x:c r="G24" s="42" t="str">
        <x:v>法律が一日に収穫できる房数を制限しているため</x:v>
      </x:c>
      <x:c r="H24" s="42" t="str">
        <x:v>貴腐化の進み方が果粒ごとに異なり、適切な果粒だけを選ぶ必要があるため</x:v>
      </x:c>
      <x:c r="I24" s="42" t="str">
        <x:v>機械収穫が果粒の水分を増やし、糖度を下げるため</x:v>
      </x:c>
      <x:c r="J24" s="53" t="str">
        <x:v>C</x:v>
      </x:c>
      <x:c r="K24" s="42" t="str">
        <x:v>貴腐化の進み方が果粒ごとに異なり、適切な果粒だけを選ぶ必要があるため</x:v>
      </x:c>
      <x:c r="L24" s="42" t="str">
        <x:v>正しい。健全な貴腐果を選ぶために畑を何度も回り、収量と労働コストが大きくなる。</x:v>
      </x:c>
      <x:c r="M24" s="42" t="str">
        <x:v>誤り。貴腐の進行は果粒ごとに不均一であり、一度で均一に収穫できない。</x:v>
      </x:c>
      <x:c r="N24" s="42" t="str">
        <x:v>誤り。複数回収穫は法律上の日量制限が主因ではない。</x:v>
      </x:c>
      <x:c r="O24" s="42" t="str">
        <x:v>正しい。健全な貴腐果を選ぶために畑を何度も回り、収量と労働コストが大きくなる。</x:v>
      </x:c>
      <x:c r="P24" s="42" t="str">
        <x:v>誤り。主因は糖度低下ではなく、貴腐果を選別する精度が必要なことである。</x:v>
      </x:c>
      <x:c r="Q24" s="42" t="str">
        <x:v>人的要因（畑）</x:v>
      </x:c>
      <x:c r="R24" s="42" t="str">
        <x:v>選別収穫・価格</x:v>
      </x:c>
      <x:c r="S24" s="42" t="str">
        <x:v>甘口非発泡性ワイン</x:v>
      </x:c>
      <x:c r="T24" s="42" t="str">
        <x:v>フランス</x:v>
      </x:c>
      <x:c r="U24" s="42" t="str">
        <x:v>ソーテルヌ</x:v>
      </x:c>
      <x:c r="V24" s="42" t="str">
        <x:v>セミヨン、ソーヴィニヨン・ブラン</x:v>
      </x:c>
      <x:c r="W24" s="42" t="str">
        <x:v>因果説明</x:v>
      </x:c>
      <x:c r="X24" s="53" t="str">
        <x:v>D2</x:v>
      </x:c>
      <x:c r="Y24" s="42" t="str">
        <x:v>ソーテルヌに関する別の特徴・要因と混同; ソーテルヌに関する別の特徴・要因と混同; ソーテルヌに関する別の特徴・要因と混同</x:v>
      </x:c>
      <x:c r="Z24" s="53" t="str">
        <x:v>N</x:v>
      </x:c>
      <x:c r="AA24" s="42"/>
      <x:c r="AB24" s="42" t="str">
        <x:v>オリジナル</x:v>
      </x:c>
      <x:c r="AC24" s="42" t="str">
        <x:v>公式Specificationの範囲＋ユーザー作成コーパスの論点を参考に独自作成</x:v>
      </x:c>
      <x:c r="AD24" s="53" t="str">
        <x:v>改稿済み・専門家未承認</x:v>
      </x:c>
      <x:c r="AE24" s="53" t="str">
        <x:v>AI誤答レビュー</x:v>
      </x:c>
      <x:c r="AF24" s="53" t="str">
        <x:v>2026-07-12</x:v>
      </x:c>
      <x:c r="AG24" s="43" t="str">
        <x:v>最終バッチ：有効な誤答を維持し、絶対語・物理的不可能な誤答のみ置換。正答位置は維持。</x:v>
      </x:c>
    </x:row>
    <x:row r="25" ht="84" customHeight="1">
      <x:c r="A25" s="41" t="str">
        <x:v>LO2-004</x:v>
      </x:c>
      <x:c r="B25" s="53" t="str">
        <x:v>LO2</x:v>
      </x:c>
      <x:c r="C25" s="42" t="str">
        <x:v>世界の主要な非発泡性ワイン</x:v>
      </x:c>
      <x:c r="D25" s="42" t="str">
        <x:v>ブルゴーニュ</x:v>
      </x:c>
      <x:c r="E25" s="42" t="str">
        <x:v>ブルゴーニュの上位畑のワインが高価格になりやすい要因の組み合わせとして最も適切なものはどれか。</x:v>
      </x:c>
      <x:c r="F25" s="42" t="str">
        <x:v>高収量、広大な畑、機械化の容易さ</x:v>
      </x:c>
      <x:c r="G25" s="42" t="str">
        <x:v>温暖な平地、短い熟成、低い需要</x:v>
      </x:c>
      <x:c r="H25" s="42" t="str">
        <x:v>ブレンドによる大量生産と毎年の均一化</x:v>
      </x:c>
      <x:c r="I25" s="42" t="str">
        <x:v>小規模な区画、限られた供給、手作業の多さ、強い需要</x:v>
      </x:c>
      <x:c r="J25" s="53" t="str">
        <x:v>D</x:v>
      </x:c>
      <x:c r="K25" s="42" t="str">
        <x:v>小規模な区画、限られた供給、手作業の多さ、強い需要</x:v>
      </x:c>
      <x:c r="L25" s="42" t="str">
        <x:v>正しい。供給が限定され、生産コストが高く、名声による需要も強いため価格が上昇しやすい。</x:v>
      </x:c>
      <x:c r="M25" s="42" t="str">
        <x:v>誤り。高収量と機械化は一般に生産コストを抑える方向に働く。</x:v>
      </x:c>
      <x:c r="N25" s="42" t="str">
        <x:v>誤り。上位畑の価格を説明する条件とは反対である。</x:v>
      </x:c>
      <x:c r="O25" s="42" t="str">
        <x:v>誤り。ブルゴーニュの上位畑は小区画と原産地の個性が重視される。</x:v>
      </x:c>
      <x:c r="P25" s="42" t="str">
        <x:v>正しい。供給が限定され、生産コストが高く、名声による需要も強いため価格が上昇しやすい。</x:v>
      </x:c>
      <x:c r="Q25" s="42" t="str">
        <x:v>商業面・産地</x:v>
      </x:c>
      <x:c r="R25" s="42" t="str">
        <x:v>価格形成</x:v>
      </x:c>
      <x:c r="S25" s="42" t="str">
        <x:v>非発泡性ワイン</x:v>
      </x:c>
      <x:c r="T25" s="42" t="str">
        <x:v>フランス</x:v>
      </x:c>
      <x:c r="U25" s="42" t="str">
        <x:v>ブルゴーニュ</x:v>
      </x:c>
      <x:c r="V25" s="42" t="str">
        <x:v>ピノ・ノワール、シャルドネ</x:v>
      </x:c>
      <x:c r="W25" s="42" t="str">
        <x:v>統合判断</x:v>
      </x:c>
      <x:c r="X25" s="53" t="str">
        <x:v>D3</x:v>
      </x:c>
      <x:c r="Y25" s="42" t="str">
        <x:v>ブルゴーニュに関する別の特徴・要因と混同; ブルゴーニュに関する別の特徴・要因と混同; ブルゴーニュに関する別の特徴・要因と混同</x:v>
      </x:c>
      <x:c r="Z25" s="53" t="str">
        <x:v>N</x:v>
      </x:c>
      <x:c r="AA25" s="42"/>
      <x:c r="AB25" s="42" t="str">
        <x:v>オリジナル</x:v>
      </x:c>
      <x:c r="AC25" s="42" t="str">
        <x:v>公式Specificationの範囲＋ユーザー作成コーパスの論点を参考に独自作成</x:v>
      </x:c>
      <x:c r="AD25" s="53" t="str">
        <x:v>改稿済み・専門家未承認</x:v>
      </x:c>
      <x:c r="AE25" s="53" t="str">
        <x:v>AI誤答レビュー</x:v>
      </x:c>
      <x:c r="AF25" s="53" t="str">
        <x:v>2026-07-12</x:v>
      </x:c>
      <x:c r="AG25" s="43" t="str">
        <x:v>最終バッチ：有効な誤答を維持し、絶対語・物理的不可能な誤答のみ置換。正答位置は維持。</x:v>
      </x:c>
    </x:row>
    <x:row r="26" ht="84" customHeight="1">
      <x:c r="A26" s="41" t="str">
        <x:v>LO2-005</x:v>
      </x:c>
      <x:c r="B26" s="53" t="str">
        <x:v>LO2</x:v>
      </x:c>
      <x:c r="C26" s="42" t="str">
        <x:v>世界の主要な非発泡性ワイン</x:v>
      </x:c>
      <x:c r="D26" s="42" t="str">
        <x:v>ミュスカデ</x:v>
      </x:c>
      <x:c r="E26" s="42" t="str">
        <x:v>ミュスカデ・セーヴル・エ・メーヌ・シュール・リーの典型的な特徴として最も適切なものはどれか。</x:v>
      </x:c>
      <x:c r="F26" s="42" t="str">
        <x:v>高い酸、軽めのボディ、控えめな果実風味、澱由来のわずかな厚み</x:v>
      </x:c>
      <x:c r="G26" s="42" t="str">
        <x:v>低い酸、フルボディ、強い新樽香</x:v>
      </x:c>
      <x:c r="H26" s="42" t="str">
        <x:v>高いタンニン、黒系果実、長期の酸化熟成</x:v>
      </x:c>
      <x:c r="I26" s="42" t="str">
        <x:v>高い残糖と貴腐由来の蜂蜜香</x:v>
      </x:c>
      <x:c r="J26" s="53" t="str">
        <x:v>A</x:v>
      </x:c>
      <x:c r="K26" s="42" t="str">
        <x:v>高い酸、軽めのボディ、控えめな果実風味、澱由来のわずかな厚み</x:v>
      </x:c>
      <x:c r="L26" s="42" t="str">
        <x:v>正しい。冷涼な海洋性環境のムロン・ブランに、澱との接触が質感や複雑さを加える。</x:v>
      </x:c>
      <x:c r="M26" s="42" t="str">
        <x:v>正しい。冷涼な海洋性環境のムロン・ブランに、澱との接触が質感や複雑さを加える。</x:v>
      </x:c>
      <x:c r="N26" s="42" t="str">
        <x:v>誤り。ミュスカデは一般に高酸で軽快であり、強い新樽香は典型的でない。</x:v>
      </x:c>
      <x:c r="O26" s="42" t="str">
        <x:v>誤り。白ワインであり、黒系果実や高タンニンは典型的でない。</x:v>
      </x:c>
      <x:c r="P26" s="42" t="str">
        <x:v>誤り。通常は辛口で、貴腐甘口を主とする産地ではない。</x:v>
      </x:c>
      <x:c r="Q26" s="42" t="str">
        <x:v>産地スタイル</x:v>
      </x:c>
      <x:c r="R26" s="42" t="str">
        <x:v>澱との接触</x:v>
      </x:c>
      <x:c r="S26" s="42" t="str">
        <x:v>白非発泡性ワイン</x:v>
      </x:c>
      <x:c r="T26" s="42" t="str">
        <x:v>フランス</x:v>
      </x:c>
      <x:c r="U26" s="42" t="str">
        <x:v>ミュスカデ・セーヴル・エ・メーヌ</x:v>
      </x:c>
      <x:c r="V26" s="42" t="str">
        <x:v>ムロン・ブラン</x:v>
      </x:c>
      <x:c r="W26" s="42" t="str">
        <x:v>知識確認</x:v>
      </x:c>
      <x:c r="X26" s="53" t="str">
        <x:v>D1</x:v>
      </x:c>
      <x:c r="Y26" s="42" t="str">
        <x:v>ミュスカデに関する別の特徴・要因と混同; ミュスカデに関する別の特徴・要因と混同; ミュスカデに関する別の特徴・要因と混同</x:v>
      </x:c>
      <x:c r="Z26" s="53" t="str">
        <x:v>N</x:v>
      </x:c>
      <x:c r="AA26" s="42"/>
      <x:c r="AB26" s="42" t="str">
        <x:v>オリジナル</x:v>
      </x:c>
      <x:c r="AC26" s="42" t="str">
        <x:v>公式Specificationの範囲＋ユーザー作成コーパスの論点を参考に独自作成</x:v>
      </x:c>
      <x:c r="AD26" s="53" t="str">
        <x:v>改稿済み・専門家未承認</x:v>
      </x:c>
      <x:c r="AE26" s="53" t="str">
        <x:v>AI誤答レビュー</x:v>
      </x:c>
      <x:c r="AF26" s="53" t="str">
        <x:v>2026-07-12</x:v>
      </x:c>
      <x:c r="AG26" s="43" t="str">
        <x:v>最終バッチ：有効な誤答を維持し、絶対語・物理的不可能な誤答のみ置換。正答位置は維持。</x:v>
      </x:c>
    </x:row>
    <x:row r="27" ht="84" customHeight="1">
      <x:c r="A27" s="41" t="str">
        <x:v>LO2-006</x:v>
      </x:c>
      <x:c r="B27" s="53" t="str">
        <x:v>LO2</x:v>
      </x:c>
      <x:c r="C27" s="42" t="str">
        <x:v>世界の主要な非発泡性ワイン</x:v>
      </x:c>
      <x:c r="D27" s="42" t="str">
        <x:v>北部ローヌ</x:v>
      </x:c>
      <x:c r="E27" s="42" t="str">
        <x:v>コート・ロティの赤ワインにシラーらしい黒コショウの香りと高い品質をもたらす条件として最も適切なものはどれか。</x:v>
      </x:c>
      <x:c r="F27" s="42" t="str">
        <x:v>温暖な平地での高収量栽培と早い収穫</x:v>
      </x:c>
      <x:c r="G27" s="42" t="str">
        <x:v>急斜面の日照、良好な水はけ、温和な気候での十分な成熟</x:v>
      </x:c>
      <x:c r="H27" s="42" t="str">
        <x:v>高湿度の沿岸気候と恒常的な霧</x:v>
      </x:c>
      <x:c r="I27" s="42" t="str">
        <x:v>貴腐化したシラーを選別収穫すること</x:v>
      </x:c>
      <x:c r="J27" s="53" t="str">
        <x:v>B</x:v>
      </x:c>
      <x:c r="K27" s="42" t="str">
        <x:v>急斜面の日照、良好な水はけ、温和な気候での十分な成熟</x:v>
      </x:c>
      <x:c r="L27" s="42" t="str">
        <x:v>正しい。急斜面は日照を確保し、シラーの成熟を助ける一方、手作業が必要でコストも高い。</x:v>
      </x:c>
      <x:c r="M27" s="42" t="str">
        <x:v>誤り。高収量と早摘みは凝縮度や成熟を損なう可能性がある。</x:v>
      </x:c>
      <x:c r="N27" s="42" t="str">
        <x:v>正しい。急斜面は日照を確保し、シラーの成熟を助ける一方、手作業が必要でコストも高い。</x:v>
      </x:c>
      <x:c r="O27" s="42" t="str">
        <x:v>誤り。北部ローヌは内陸の谷で、恒常的な沿岸霧が主要因ではない。</x:v>
      </x:c>
      <x:c r="P27" s="42" t="str">
        <x:v>誤り。赤ワイン用シラーの貴腐化は望ましい主要要因ではない。</x:v>
      </x:c>
      <x:c r="Q27" s="42" t="str">
        <x:v>自然要因・産地</x:v>
      </x:c>
      <x:c r="R27" s="42" t="str">
        <x:v>斜面・成熟</x:v>
      </x:c>
      <x:c r="S27" s="42" t="str">
        <x:v>赤非発泡性ワイン</x:v>
      </x:c>
      <x:c r="T27" s="42" t="str">
        <x:v>フランス</x:v>
      </x:c>
      <x:c r="U27" s="42" t="str">
        <x:v>コート・ロティ</x:v>
      </x:c>
      <x:c r="V27" s="42" t="str">
        <x:v>シラー</x:v>
      </x:c>
      <x:c r="W27" s="42" t="str">
        <x:v>因果説明</x:v>
      </x:c>
      <x:c r="X27" s="53" t="str">
        <x:v>D2</x:v>
      </x:c>
      <x:c r="Y27" s="42" t="str">
        <x:v>北部ローヌに関する別の特徴・要因と混同; 北部ローヌに関する別の特徴・要因と混同; 北部ローヌに関する別の特徴・要因と混同</x:v>
      </x:c>
      <x:c r="Z27" s="53" t="str">
        <x:v>N</x:v>
      </x:c>
      <x:c r="AA27" s="42"/>
      <x:c r="AB27" s="42" t="str">
        <x:v>オリジナル</x:v>
      </x:c>
      <x:c r="AC27" s="42" t="str">
        <x:v>公式Specificationの範囲＋ユーザー作成コーパスの論点を参考に独自作成</x:v>
      </x:c>
      <x:c r="AD27" s="53" t="str">
        <x:v>改稿済み・専門家未承認</x:v>
      </x:c>
      <x:c r="AE27" s="53" t="str">
        <x:v>AI誤答レビュー</x:v>
      </x:c>
      <x:c r="AF27" s="53" t="str">
        <x:v>2026-07-12</x:v>
      </x:c>
      <x:c r="AG27" s="43" t="str">
        <x:v>最終バッチ：有効な誤答を維持し、絶対語・物理的不可能な誤答のみ置換。正答位置は維持。</x:v>
      </x:c>
    </x:row>
    <x:row r="28" ht="84" customHeight="1">
      <x:c r="A28" s="41" t="str">
        <x:v>LO2-007</x:v>
      </x:c>
      <x:c r="B28" s="53" t="str">
        <x:v>LO2</x:v>
      </x:c>
      <x:c r="C28" s="42" t="str">
        <x:v>世界の主要な非発泡性ワイン</x:v>
      </x:c>
      <x:c r="D28" s="42" t="str">
        <x:v>アルザス</x:v>
      </x:c>
      <x:c r="E28" s="42" t="str">
        <x:v>アルザスで香りが強く、成熟度の高い白ワインを造りやすい主な自然要因はどれか。</x:v>
      </x:c>
      <x:c r="F28" s="42" t="str">
        <x:v>大西洋から直接受ける多量の降雨</x:v>
      </x:c>
      <x:c r="G28" s="42" t="str">
        <x:v>短い生育期間と恒常的な低温</x:v>
      </x:c>
      <x:c r="H28" s="42" t="str">
        <x:v>ヴォージュ山脈の雨陰による乾燥した晴天と長い生育期間</x:v>
      </x:c>
      <x:c r="I28" s="42" t="str">
        <x:v>北海からの冷たい海風が生育期を短縮し、糖の蓄積を抑えること</x:v>
      </x:c>
      <x:c r="J28" s="53" t="str">
        <x:v>C</x:v>
      </x:c>
      <x:c r="K28" s="42" t="str">
        <x:v>ヴォージュ山脈の雨陰による乾燥した晴天と長い生育期間</x:v>
      </x:c>
      <x:c r="L28" s="42" t="str">
        <x:v>正しい。乾燥と日照が健全な果実の成熟を促し、香りと糖度を高めやすい。</x:v>
      </x:c>
      <x:c r="M28" s="42" t="str">
        <x:v>誤り。ヴォージュ山脈が西からの降雨を遮るため、アルザスは比較的乾燥している。</x:v>
      </x:c>
      <x:c r="N28" s="42" t="str">
        <x:v>誤り。比較的長く乾燥した生育期間が成熟を支える。</x:v>
      </x:c>
      <x:c r="O28" s="42" t="str">
        <x:v>正しい。乾燥と日照が健全な果実の成熟を促し、香りと糖度を高めやすい。</x:v>
      </x:c>
      <x:c r="P28" s="42" t="str">
        <x:v>誤り。アルザスは内陸で、北海からの直接的な冷却が主要因ではない。</x:v>
      </x:c>
      <x:c r="Q28" s="42" t="str">
        <x:v>自然要因・産地</x:v>
      </x:c>
      <x:c r="R28" s="42" t="str">
        <x:v>雨陰・成熟</x:v>
      </x:c>
      <x:c r="S28" s="42" t="str">
        <x:v>白非発泡性ワイン</x:v>
      </x:c>
      <x:c r="T28" s="42" t="str">
        <x:v>フランス</x:v>
      </x:c>
      <x:c r="U28" s="42" t="str">
        <x:v>アルザス</x:v>
      </x:c>
      <x:c r="V28" s="42" t="str">
        <x:v>リースリング、ピノ・グリ、ゲヴュルツトラミネール</x:v>
      </x:c>
      <x:c r="W28" s="42" t="str">
        <x:v>因果説明</x:v>
      </x:c>
      <x:c r="X28" s="53" t="str">
        <x:v>D2</x:v>
      </x:c>
      <x:c r="Y28" s="42" t="str">
        <x:v>アルザスに関する別の特徴・要因と混同; アルザスに関する別の特徴・要因と混同; アルザスに関する別の特徴・要因と混同</x:v>
      </x:c>
      <x:c r="Z28" s="53" t="str">
        <x:v>N</x:v>
      </x:c>
      <x:c r="AA28" s="42"/>
      <x:c r="AB28" s="42" t="str">
        <x:v>オリジナル</x:v>
      </x:c>
      <x:c r="AC28" s="42" t="str">
        <x:v>公式Specificationの範囲＋ユーザー作成コーパスの論点を参考に独自作成</x:v>
      </x:c>
      <x:c r="AD28" s="53" t="str">
        <x:v>改稿済み・専門家未承認</x:v>
      </x:c>
      <x:c r="AE28" s="53" t="str">
        <x:v>AI誤答レビュー</x:v>
      </x:c>
      <x:c r="AF28" s="53" t="str">
        <x:v>2026-07-12</x:v>
      </x:c>
      <x:c r="AG28" s="43" t="str">
        <x:v>最終バッチ：有効な誤答を維持し、絶対語・物理的不可能な誤答のみ置換。正答位置は維持。</x:v>
      </x:c>
    </x:row>
    <x:row r="29" ht="84" customHeight="1">
      <x:c r="A29" s="41" t="str">
        <x:v>LO2-008</x:v>
      </x:c>
      <x:c r="B29" s="53" t="str">
        <x:v>LO2</x:v>
      </x:c>
      <x:c r="C29" s="42" t="str">
        <x:v>世界の主要な非発泡性ワイン</x:v>
      </x:c>
      <x:c r="D29" s="42" t="str">
        <x:v>モーゼル</x:v>
      </x:c>
      <x:c r="E29" s="42" t="str">
        <x:v>モーゼルの急斜面にあるリースリング畑が高コストになりやすい最も直接的な理由はどれか。</x:v>
      </x:c>
      <x:c r="F29" s="42" t="str">
        <x:v>高い酸を和らげるため、長期間の新樽熟成を行う必要があるから</x:v>
      </x:c>
      <x:c r="G29" s="42" t="str">
        <x:v>残糖を得るため、瓶内で二次発酵を行い発酵を途中で止めるから</x:v>
      </x:c>
      <x:c r="H29" s="42" t="str">
        <x:v>スレート土壌が肥沃で収量が高すぎるから</x:v>
      </x:c>
      <x:c r="I29" s="42" t="str">
        <x:v>機械化が難しく、畑作業と収穫を手作業で行う必要が多いから</x:v>
      </x:c>
      <x:c r="J29" s="53" t="str">
        <x:v>D</x:v>
      </x:c>
      <x:c r="K29" s="42" t="str">
        <x:v>機械化が難しく、畑作業と収穫を手作業で行う必要が多いから</x:v>
      </x:c>
      <x:c r="L29" s="42" t="str">
        <x:v>正しい。急斜面では機械の使用が制限され、労働時間と生産コストが増える。</x:v>
      </x:c>
      <x:c r="M29" s="42" t="str">
        <x:v>誤り。モーゼルのリースリングは新樽熟成を必須とせず、急斜面の手作業がコストの主因である。</x:v>
      </x:c>
      <x:c r="N29" s="42" t="str">
        <x:v>誤り。残糖は一次発酵を止めるなどして得られ、瓶内二次発酵は通常のモーゼル・リースリングの工程ではない。</x:v>
      </x:c>
      <x:c r="O29" s="42" t="str">
        <x:v>誤り。スレートは一般に肥沃な土壌ではなく、高収量が主因ではない。</x:v>
      </x:c>
      <x:c r="P29" s="42" t="str">
        <x:v>正しい。急斜面では機械の使用が制限され、労働時間と生産コストが増える。</x:v>
      </x:c>
      <x:c r="Q29" s="42" t="str">
        <x:v>商業面・産地</x:v>
      </x:c>
      <x:c r="R29" s="42" t="str">
        <x:v>急斜面・生産コスト</x:v>
      </x:c>
      <x:c r="S29" s="42" t="str">
        <x:v>白非発泡性ワイン</x:v>
      </x:c>
      <x:c r="T29" s="42" t="str">
        <x:v>ドイツ</x:v>
      </x:c>
      <x:c r="U29" s="42" t="str">
        <x:v>モーゼル</x:v>
      </x:c>
      <x:c r="V29" s="42" t="str">
        <x:v>リースリング</x:v>
      </x:c>
      <x:c r="W29" s="42" t="str">
        <x:v>因果説明</x:v>
      </x:c>
      <x:c r="X29" s="53" t="str">
        <x:v>D2</x:v>
      </x:c>
      <x:c r="Y29" s="42" t="str">
        <x:v>モーゼルに関する別の特徴・要因と混同; モーゼルに関する別の特徴・要因と混同; モーゼルに関する別の特徴・要因と混同</x:v>
      </x:c>
      <x:c r="Z29" s="53" t="str">
        <x:v>N</x:v>
      </x:c>
      <x:c r="AA29" s="42"/>
      <x:c r="AB29" s="42" t="str">
        <x:v>オリジナル</x:v>
      </x:c>
      <x:c r="AC29" s="42" t="str">
        <x:v>公式Specificationの範囲＋ユーザー作成コーパスの論点を参考に独自作成</x:v>
      </x:c>
      <x:c r="AD29" s="53" t="str">
        <x:v>改稿済み・専門家未承認</x:v>
      </x:c>
      <x:c r="AE29" s="53" t="str">
        <x:v>AI誤答レビュー</x:v>
      </x:c>
      <x:c r="AF29" s="53" t="str">
        <x:v>2026-07-12</x:v>
      </x:c>
      <x:c r="AG29" s="43" t="str">
        <x:v>最終バッチ：有効な誤答を維持し、絶対語・物理的不可能な誤答のみ置換。正答位置は維持。</x:v>
      </x:c>
    </x:row>
    <x:row r="30" ht="84" customHeight="1">
      <x:c r="A30" s="41" t="str">
        <x:v>LO2-009</x:v>
      </x:c>
      <x:c r="B30" s="53" t="str">
        <x:v>LO2</x:v>
      </x:c>
      <x:c r="C30" s="42" t="str">
        <x:v>世界の主要な非発泡性ワイン</x:v>
      </x:c>
      <x:c r="D30" s="42" t="str">
        <x:v>ヴァッハウ</x:v>
      </x:c>
      <x:c r="E30" s="42" t="str">
        <x:v>ヴァッハウの上質な辛口リースリングやグリューナー・ヴェルトリーナーに寄与する条件として最も適切なものはどれか。</x:v>
      </x:c>
      <x:c r="F30" s="42" t="str">
        <x:v>日当たりのよい段々畑と、標高や冷たい気流による夜間の冷却</x:v>
      </x:c>
      <x:c r="G30" s="42" t="str">
        <x:v>熱帯性気候と年間を通じた高湿度</x:v>
      </x:c>
      <x:c r="H30" s="42" t="str">
        <x:v>平坦で肥沃な沖積地だけを使用すること</x:v>
      </x:c>
      <x:c r="I30" s="42" t="str">
        <x:v>貴腐化した果実のみを使用する法律</x:v>
      </x:c>
      <x:c r="J30" s="53" t="str">
        <x:v>A</x:v>
      </x:c>
      <x:c r="K30" s="42" t="str">
        <x:v>日当たりのよい段々畑と、標高や冷たい気流による夜間の冷却</x:v>
      </x:c>
      <x:c r="L30" s="42" t="str">
        <x:v>正しい。日中の成熟と夜間の酸の保持を両立し、凝縮度と鮮度を持つワインを生みやすい。</x:v>
      </x:c>
      <x:c r="M30" s="42" t="str">
        <x:v>正しい。日中の成熟と夜間の酸の保持を両立し、凝縮度と鮮度を持つワインを生みやすい。</x:v>
      </x:c>
      <x:c r="N30" s="42" t="str">
        <x:v>誤り。ヴァッハウは熱帯性ではなく、大陸性の影響を受ける。</x:v>
      </x:c>
      <x:c r="O30" s="42" t="str">
        <x:v>誤り。上質ワインは急斜面の段々畑とも強く結びつく。</x:v>
      </x:c>
      <x:c r="P30" s="42" t="str">
        <x:v>誤り。辛口ワインでは貴腐果のみを使用する規定はない。</x:v>
      </x:c>
      <x:c r="Q30" s="42" t="str">
        <x:v>自然要因・産地</x:v>
      </x:c>
      <x:c r="R30" s="42" t="str">
        <x:v>斜面・日較差</x:v>
      </x:c>
      <x:c r="S30" s="42" t="str">
        <x:v>白非発泡性ワイン</x:v>
      </x:c>
      <x:c r="T30" s="42" t="str">
        <x:v>オーストリア</x:v>
      </x:c>
      <x:c r="U30" s="42" t="str">
        <x:v>ヴァッハウ</x:v>
      </x:c>
      <x:c r="V30" s="42" t="str">
        <x:v>リースリング、グリューナー・ヴェルトリーナー</x:v>
      </x:c>
      <x:c r="W30" s="42" t="str">
        <x:v>因果説明</x:v>
      </x:c>
      <x:c r="X30" s="53" t="str">
        <x:v>D3</x:v>
      </x:c>
      <x:c r="Y30" s="42" t="str">
        <x:v>ヴァッハウに関する別の特徴・要因と混同; ヴァッハウに関する別の特徴・要因と混同; ヴァッハウに関する別の特徴・要因と混同</x:v>
      </x:c>
      <x:c r="Z30" s="53" t="str">
        <x:v>N</x:v>
      </x:c>
      <x:c r="AA30" s="42"/>
      <x:c r="AB30" s="42" t="str">
        <x:v>オリジナル</x:v>
      </x:c>
      <x:c r="AC30" s="42" t="str">
        <x:v>公式Specificationの範囲＋ユーザー作成コーパスの論点を参考に独自作成</x:v>
      </x:c>
      <x:c r="AD30" s="53" t="str">
        <x:v>改稿済み・専門家未承認</x:v>
      </x:c>
      <x:c r="AE30" s="53" t="str">
        <x:v>AI誤答レビュー</x:v>
      </x:c>
      <x:c r="AF30" s="53" t="str">
        <x:v>2026-07-12</x:v>
      </x:c>
      <x:c r="AG30" s="43" t="str">
        <x:v>最終バッチ：有効な誤答を維持し、絶対語・物理的不可能な誤答のみ置換。正答位置は維持。</x:v>
      </x:c>
    </x:row>
    <x:row r="31" ht="84" customHeight="1">
      <x:c r="A31" s="41" t="str">
        <x:v>LO2-010</x:v>
      </x:c>
      <x:c r="B31" s="53" t="str">
        <x:v>LO2</x:v>
      </x:c>
      <x:c r="C31" s="42" t="str">
        <x:v>世界の主要な非発泡性ワイン</x:v>
      </x:c>
      <x:c r="D31" s="42" t="str">
        <x:v>トカイ</x:v>
      </x:c>
      <x:c r="E31" s="42" t="str">
        <x:v>トカイ・アスーの甘味と高い酸のバランスに最も重要な品種はどれか。</x:v>
      </x:c>
      <x:c r="F31" s="42" t="str">
        <x:v>グレラ</x:v>
      </x:c>
      <x:c r="G31" s="42" t="str">
        <x:v>フルミント</x:v>
      </x:c>
      <x:c r="H31" s="42" t="str">
        <x:v>パロミノ</x:v>
      </x:c>
      <x:c r="I31" s="42" t="str">
        <x:v>マカベオ</x:v>
      </x:c>
      <x:c r="J31" s="53" t="str">
        <x:v>B</x:v>
      </x:c>
      <x:c r="K31" s="42" t="str">
        <x:v>フルミント</x:v>
      </x:c>
      <x:c r="L31" s="42" t="str">
        <x:v>正しい。フルミントは高い酸を保持しやすく、貴腐にも適し、トカイの甘口ワインの骨格を支える。</x:v>
      </x:c>
      <x:c r="M31" s="42" t="str">
        <x:v>誤り。グレラは主にプロセッコに使用される品種である。</x:v>
      </x:c>
      <x:c r="N31" s="42" t="str">
        <x:v>正しい。フルミントは高い酸を保持しやすく、貴腐にも適し、トカイの甘口ワインの骨格を支える。</x:v>
      </x:c>
      <x:c r="O31" s="42" t="str">
        <x:v>誤り。パロミノは主にシェリーの辛口ベースワインに使用される。</x:v>
      </x:c>
      <x:c r="P31" s="42" t="str">
        <x:v>誤り。マカベオはカバやスペインの白ワインで重要だが、トカイの主要品種ではない。</x:v>
      </x:c>
      <x:c r="Q31" s="42" t="str">
        <x:v>品種・産地</x:v>
      </x:c>
      <x:c r="R31" s="42" t="str">
        <x:v>甘口ワインの骨格</x:v>
      </x:c>
      <x:c r="S31" s="42" t="str">
        <x:v>甘口非発泡性ワイン</x:v>
      </x:c>
      <x:c r="T31" s="42" t="str">
        <x:v>ハンガリー</x:v>
      </x:c>
      <x:c r="U31" s="42" t="str">
        <x:v>トカイ</x:v>
      </x:c>
      <x:c r="V31" s="42" t="str">
        <x:v>フルミント</x:v>
      </x:c>
      <x:c r="W31" s="42" t="str">
        <x:v>知識確認</x:v>
      </x:c>
      <x:c r="X31" s="53" t="str">
        <x:v>D1</x:v>
      </x:c>
      <x:c r="Y31" s="42" t="str">
        <x:v>トカイに関する別の特徴・要因と混同; トカイに関する別の特徴・要因と混同; トカイに関する別の特徴・要因と混同</x:v>
      </x:c>
      <x:c r="Z31" s="53" t="str">
        <x:v>N</x:v>
      </x:c>
      <x:c r="AA31" s="42"/>
      <x:c r="AB31" s="42" t="str">
        <x:v>オリジナル</x:v>
      </x:c>
      <x:c r="AC31" s="42" t="str">
        <x:v>公式Specificationの範囲＋ユーザー作成コーパスの論点を参考に独自作成</x:v>
      </x:c>
      <x:c r="AD31" s="53" t="str">
        <x:v>改稿済み・専門家未承認</x:v>
      </x:c>
      <x:c r="AE31" s="53" t="str">
        <x:v>AI誤答レビュー</x:v>
      </x:c>
      <x:c r="AF31" s="53" t="str">
        <x:v>2026-07-12</x:v>
      </x:c>
      <x:c r="AG31" s="43" t="str">
        <x:v>最終バッチ：有効な誤答を維持し、絶対語・物理的不可能な誤答のみ置換。正答位置は維持。</x:v>
      </x:c>
    </x:row>
    <x:row r="32" ht="84" customHeight="1">
      <x:c r="A32" s="41" t="str">
        <x:v>LO2-011</x:v>
      </x:c>
      <x:c r="B32" s="53" t="str">
        <x:v>LO2</x:v>
      </x:c>
      <x:c r="C32" s="42" t="str">
        <x:v>世界の主要な非発泡性ワイン</x:v>
      </x:c>
      <x:c r="D32" s="42" t="str">
        <x:v>バローロ</x:v>
      </x:c>
      <x:c r="E32" s="42" t="str">
        <x:v>ネッビオーロがバローロで長い生育期間を必要とする主な理由はどれか。</x:v>
      </x:c>
      <x:c r="F32" s="42" t="str">
        <x:v>早熟で、萌芽後すぐに糖度が上がる品種だから</x:v>
      </x:c>
      <x:c r="G32" s="42" t="str">
        <x:v>色を濃くするため、収穫後に果実を陰干しする品種だから</x:v>
      </x:c>
      <x:c r="H32" s="42" t="str">
        <x:v>晩熟で、糖、香り、タンニンの成熟に十分な時間を要するから</x:v>
      </x:c>
      <x:c r="I32" s="42" t="str">
        <x:v>法律で収穫日が冬まで延期されるから</x:v>
      </x:c>
      <x:c r="J32" s="53" t="str">
        <x:v>C</x:v>
      </x:c>
      <x:c r="K32" s="42" t="str">
        <x:v>晩熟で、糖、香り、タンニンの成熟に十分な時間を要するから</x:v>
      </x:c>
      <x:c r="L32" s="42" t="str">
        <x:v>正しい。長い秋と日当たりのよい斜面が、酸を保ちながらフェノール類の成熟を進める。</x:v>
      </x:c>
      <x:c r="M32" s="42" t="str">
        <x:v>誤り。ネッビオーロは晩熟品種であり、説明が逆である。</x:v>
      </x:c>
      <x:c r="N32" s="42" t="str">
        <x:v>誤り。陰干しはアマローネなどに関係し、バローロの必須工程ではない。</x:v>
      </x:c>
      <x:c r="O32" s="42" t="str">
        <x:v>正しい。長い秋と日当たりのよい斜面が、酸を保ちながらフェノール類の成熟を進める。</x:v>
      </x:c>
      <x:c r="P32" s="42" t="str">
        <x:v>誤り。成熟の必要性は品種特性と気候によるもので、冬までの延期が法律で義務付けられているわけではない。</x:v>
      </x:c>
      <x:c r="Q32" s="42" t="str">
        <x:v>品種・産地</x:v>
      </x:c>
      <x:c r="R32" s="42" t="str">
        <x:v>晩熟・成熟</x:v>
      </x:c>
      <x:c r="S32" s="42" t="str">
        <x:v>赤非発泡性ワイン</x:v>
      </x:c>
      <x:c r="T32" s="42" t="str">
        <x:v>イタリア</x:v>
      </x:c>
      <x:c r="U32" s="42" t="str">
        <x:v>バローロ</x:v>
      </x:c>
      <x:c r="V32" s="42" t="str">
        <x:v>ネッビオーロ</x:v>
      </x:c>
      <x:c r="W32" s="42" t="str">
        <x:v>因果説明</x:v>
      </x:c>
      <x:c r="X32" s="53" t="str">
        <x:v>D2</x:v>
      </x:c>
      <x:c r="Y32" s="42" t="str">
        <x:v>バローロに関する別の特徴・要因と混同; バローロに関する別の特徴・要因と混同; バローロに関する別の特徴・要因と混同</x:v>
      </x:c>
      <x:c r="Z32" s="53" t="str">
        <x:v>N</x:v>
      </x:c>
      <x:c r="AA32" s="42"/>
      <x:c r="AB32" s="42" t="str">
        <x:v>オリジナル</x:v>
      </x:c>
      <x:c r="AC32" s="42" t="str">
        <x:v>公式Specificationの範囲＋ユーザー作成コーパスの論点を参考に独自作成</x:v>
      </x:c>
      <x:c r="AD32" s="53" t="str">
        <x:v>改稿済み・専門家未承認</x:v>
      </x:c>
      <x:c r="AE32" s="53" t="str">
        <x:v>AI誤答レビュー</x:v>
      </x:c>
      <x:c r="AF32" s="53" t="str">
        <x:v>2026-07-12</x:v>
      </x:c>
      <x:c r="AG32" s="43" t="str">
        <x:v>最終バッチ：有効な誤答を維持し、絶対語・物理的不可能な誤答のみ置換。正答位置は維持。</x:v>
      </x:c>
    </x:row>
    <x:row r="33" ht="84" customHeight="1">
      <x:c r="A33" s="41" t="str">
        <x:v>LO2-012</x:v>
      </x:c>
      <x:c r="B33" s="53" t="str">
        <x:v>LO2</x:v>
      </x:c>
      <x:c r="C33" s="42" t="str">
        <x:v>世界の主要な非発泡性ワイン</x:v>
      </x:c>
      <x:c r="D33" s="42" t="str">
        <x:v>ヴァルポリチェッラ・リパッソ</x:v>
      </x:c>
      <x:c r="E33" s="42" t="str">
        <x:v>ヴァルポリチェッラ・リパッソが通常のヴァルポリチェッラよりボディと風味の強さを増しやすい理由はどれか。</x:v>
      </x:c>
      <x:c r="F33" s="42" t="str">
        <x:v>収穫後にブドウを乾燥させて糖と風味を濃縮し、その糖の多くを発酵させる</x:v>
      </x:c>
      <x:c r="G33" s="42" t="str">
        <x:v>完成ワインへ濃縮果汁を加え、残糖だけを高めるため</x:v>
      </x:c>
      <x:c r="H33" s="42" t="str">
        <x:v>新樽で長期熟成し、通常のヴァルポリチェッラより酸を下げるため</x:v>
      </x:c>
      <x:c r="I33" s="42" t="str">
        <x:v>アマローネ用の乾燥ブドウの搾りかすと再発酵し、色・アルコール・風味を増すため</x:v>
      </x:c>
      <x:c r="J33" s="53" t="str">
        <x:v>D</x:v>
      </x:c>
      <x:c r="K33" s="42" t="str">
        <x:v>アマローネ用の乾燥ブドウの搾りかすと再発酵し、色・アルコール・風味を増すため</x:v>
      </x:c>
      <x:c r="L33" s="42" t="str">
        <x:v>正しい。残った糖と抽出成分が若いヴァルポリチェッラへ移り、より豊かなスタイルになる。</x:v>
      </x:c>
      <x:c r="M33" s="42" t="str">
        <x:v>誤り。これは同じ知識領域の「アマローネ」に当てはまる説明で、設問の「ヴァルポリチェッラ・リパッソ」を最も適切に説明しない。</x:v>
      </x:c>
      <x:c r="N33" s="42" t="str">
        <x:v>誤り。リパッソは搾りかすとの再発酵・抽出であり、単純な甘味添加ではない。</x:v>
      </x:c>
      <x:c r="O33" s="42" t="str">
        <x:v>誤り。樽熟成だけがリパッソの定義ではない。</x:v>
      </x:c>
      <x:c r="P33" s="42" t="str">
        <x:v>正しい。残った糖と抽出成分が若いヴァルポリチェッラへ移り、より豊かなスタイルになる。</x:v>
      </x:c>
      <x:c r="Q33" s="42" t="str">
        <x:v>醸造・産地</x:v>
      </x:c>
      <x:c r="R33" s="42" t="str">
        <x:v>リパッソ製法</x:v>
      </x:c>
      <x:c r="S33" s="42" t="str">
        <x:v>赤非発泡性ワイン</x:v>
      </x:c>
      <x:c r="T33" s="42" t="str">
        <x:v>イタリア</x:v>
      </x:c>
      <x:c r="U33" s="42" t="str">
        <x:v>ヴァルポリチェッラ</x:v>
      </x:c>
      <x:c r="V33" s="42" t="str">
        <x:v>コルヴィーナ</x:v>
      </x:c>
      <x:c r="W33" s="42" t="str">
        <x:v>因果説明</x:v>
      </x:c>
      <x:c r="X33" s="53" t="str">
        <x:v>D2</x:v>
      </x:c>
      <x:c r="Y33" s="42" t="str">
        <x:v>ヴァルポリチェッラ・リパッソをアマローネの特徴と混同; リパッソを甘味添加と混同; リパッソは長期新樽だけで造る</x:v>
      </x:c>
      <x:c r="Z33" s="53" t="str">
        <x:v>N</x:v>
      </x:c>
      <x:c r="AA33" s="42"/>
      <x:c r="AB33" s="42" t="str">
        <x:v>オリジナル</x:v>
      </x:c>
      <x:c r="AC33" s="42" t="str">
        <x:v>公式Specificationの範囲＋ユーザー作成コーパスの論点を参考に独自作成</x:v>
      </x:c>
      <x:c r="AD33" s="53" t="str">
        <x:v>改稿済み・専門家未承認</x:v>
      </x:c>
      <x:c r="AE33" s="53" t="str">
        <x:v>AI誤答レビュー</x:v>
      </x:c>
      <x:c r="AF33" s="53" t="str">
        <x:v>2026-07-12</x:v>
      </x:c>
      <x:c r="AG33" s="43" t="str">
        <x:v>第4バッチ：同一論点内の典型的誤概念へ置換。正答位置は維持。</x:v>
      </x:c>
    </x:row>
    <x:row r="34" ht="84" customHeight="1">
      <x:c r="A34" s="41" t="str">
        <x:v>LO2-013</x:v>
      </x:c>
      <x:c r="B34" s="53" t="str">
        <x:v>LO2</x:v>
      </x:c>
      <x:c r="C34" s="42" t="str">
        <x:v>世界の主要な非発泡性ワイン</x:v>
      </x:c>
      <x:c r="D34" s="42" t="str">
        <x:v>リオハ</x:v>
      </x:c>
      <x:c r="E34" s="42" t="str">
        <x:v>リオハでアメリカンオークを用いた熟成がワインに与えやすい特徴はどれか。</x:v>
      </x:c>
      <x:c r="F34" s="42" t="str">
        <x:v>バニラ、ココナッツ、甘いスパイス、ディルを思わせる香り</x:v>
      </x:c>
      <x:c r="G34" s="42" t="str">
        <x:v>フレンチオーク由来の杉や控えめなスパイスが中心で、ココナッツ香は出にくい</x:v>
      </x:c>
      <x:c r="H34" s="42" t="str">
        <x:v>杉、鉛筆、控えめなトーストだけを与える</x:v>
      </x:c>
      <x:c r="I34" s="42" t="str">
        <x:v>柑橘、青草、白い花の一次香を増やす</x:v>
      </x:c>
      <x:c r="J34" s="53" t="str">
        <x:v>A</x:v>
      </x:c>
      <x:c r="K34" s="42" t="str">
        <x:v>バニラ、ココナッツ、甘いスパイス、ディルを思わせる香り</x:v>
      </x:c>
      <x:c r="L34" s="42" t="str">
        <x:v>正しい。アメリカンオークはラクトンが多く、明瞭なココナッツやバニラ香を与えやすい。</x:v>
      </x:c>
      <x:c r="M34" s="42" t="str">
        <x:v>正しい。アメリカンオークはラクトンが多く、明瞭なココナッツやバニラ香を与えやすい。</x:v>
      </x:c>
      <x:c r="N34" s="42" t="str">
        <x:v>誤り。伝統的リオハのアメリカンオークはバニラ、ココナッツ、ディルを明瞭に与えやすい。</x:v>
      </x:c>
      <x:c r="O34" s="42" t="str">
        <x:v>誤り。よりフレンチオーク寄りの表現である。</x:v>
      </x:c>
      <x:c r="P34" s="42" t="str">
        <x:v>誤り。オークは品種の一次香を生成しない。</x:v>
      </x:c>
      <x:c r="Q34" s="42" t="str">
        <x:v>醸造・産地</x:v>
      </x:c>
      <x:c r="R34" s="42" t="str">
        <x:v>オーク熟成</x:v>
      </x:c>
      <x:c r="S34" s="42" t="str">
        <x:v>赤非発泡性ワイン</x:v>
      </x:c>
      <x:c r="T34" s="42" t="str">
        <x:v>スペイン</x:v>
      </x:c>
      <x:c r="U34" s="42" t="str">
        <x:v>リオハ</x:v>
      </x:c>
      <x:c r="V34" s="42" t="str">
        <x:v>テンプラニーリョ</x:v>
      </x:c>
      <x:c r="W34" s="42" t="str">
        <x:v>知識確認</x:v>
      </x:c>
      <x:c r="X34" s="53" t="str">
        <x:v>D1</x:v>
      </x:c>
      <x:c r="Y34" s="42" t="str">
        <x:v>アメリカンオークをフレンチオーク型と混同; アメリカンオークをフレンチオークと混同; オークが一次香を増やす</x:v>
      </x:c>
      <x:c r="Z34" s="53" t="str">
        <x:v>N</x:v>
      </x:c>
      <x:c r="AA34" s="42"/>
      <x:c r="AB34" s="42" t="str">
        <x:v>オリジナル</x:v>
      </x:c>
      <x:c r="AC34" s="42" t="str">
        <x:v>公式Specificationの範囲＋ユーザー作成コーパスの論点を参考に独自作成</x:v>
      </x:c>
      <x:c r="AD34" s="53" t="str">
        <x:v>改稿済み・専門家未承認</x:v>
      </x:c>
      <x:c r="AE34" s="53" t="str">
        <x:v>AI誤答レビュー</x:v>
      </x:c>
      <x:c r="AF34" s="53" t="str">
        <x:v>2026-07-12</x:v>
      </x:c>
      <x:c r="AG34" s="43" t="str">
        <x:v>第4バッチ：同一論点内の典型的誤概念へ置換。正答位置は維持。</x:v>
      </x:c>
    </x:row>
    <x:row r="35" ht="84" customHeight="1">
      <x:c r="A35" s="41" t="str">
        <x:v>LO2-014</x:v>
      </x:c>
      <x:c r="B35" s="53" t="str">
        <x:v>LO2</x:v>
      </x:c>
      <x:c r="C35" s="42" t="str">
        <x:v>世界の主要な非発泡性ワイン</x:v>
      </x:c>
      <x:c r="D35" s="42" t="str">
        <x:v>リアス・バイシャス</x:v>
      </x:c>
      <x:c r="E35" s="42" t="str">
        <x:v>リアス・バイシャスでアルバリーニョが高い酸を保持しやすい主な理由はどれか。</x:v>
      </x:c>
      <x:c r="F35" s="42" t="str">
        <x:v>内陸の高温で夜間も暖かいため</x:v>
      </x:c>
      <x:c r="G35" s="42" t="str">
        <x:v>大西洋の影響を受ける温和で湿潤な気候が、成熟を穏やかに進めるため</x:v>
      </x:c>
      <x:c r="H35" s="42" t="str">
        <x:v>果実を収穫後に陰干しすることが義務だから</x:v>
      </x:c>
      <x:c r="I35" s="42" t="str">
        <x:v>酸を保持するため、マロラクティック発酵を積極的に行うため</x:v>
      </x:c>
      <x:c r="J35" s="53" t="str">
        <x:v>B</x:v>
      </x:c>
      <x:c r="K35" s="42" t="str">
        <x:v>大西洋の影響を受ける温和で湿潤な気候が、成熟を穏やかに進めるため</x:v>
      </x:c>
      <x:c r="L35" s="42" t="str">
        <x:v>正しい。海洋の冷却により酸が保たれ、香りの強い辛口白ワインになりやすい。</x:v>
      </x:c>
      <x:c r="M35" s="42" t="str">
        <x:v>誤り。リアス・バイシャスは大西洋の影響を強く受け、夜間も常に高温ではない。</x:v>
      </x:c>
      <x:c r="N35" s="42" t="str">
        <x:v>正しい。海洋の冷却により酸が保たれ、香りの強い辛口白ワインになりやすい。</x:v>
      </x:c>
      <x:c r="O35" s="42" t="str">
        <x:v>誤り。アルバリーニョの典型的な辛口ワインで陰干しは必須ではない。</x:v>
      </x:c>
      <x:c r="P35" s="42" t="str">
        <x:v>誤り。MLFは酸を柔らかくするため、高い酸の保持を直接説明しない。</x:v>
      </x:c>
      <x:c r="Q35" s="42" t="str">
        <x:v>自然要因・産地</x:v>
      </x:c>
      <x:c r="R35" s="42" t="str">
        <x:v>海洋性気候</x:v>
      </x:c>
      <x:c r="S35" s="42" t="str">
        <x:v>白非発泡性ワイン</x:v>
      </x:c>
      <x:c r="T35" s="42" t="str">
        <x:v>スペイン</x:v>
      </x:c>
      <x:c r="U35" s="42" t="str">
        <x:v>リアス・バイシャス</x:v>
      </x:c>
      <x:c r="V35" s="42" t="str">
        <x:v>アルバリーニョ</x:v>
      </x:c>
      <x:c r="W35" s="42" t="str">
        <x:v>因果説明</x:v>
      </x:c>
      <x:c r="X35" s="53" t="str">
        <x:v>D2</x:v>
      </x:c>
      <x:c r="Y35" s="42" t="str">
        <x:v>リアス・バイシャスに関する別の特徴・要因と混同; リアス・バイシャスに関する別の特徴・要因と混同; リアス・バイシャスに関する別の特徴・要因と混同</x:v>
      </x:c>
      <x:c r="Z35" s="53" t="str">
        <x:v>N</x:v>
      </x:c>
      <x:c r="AA35" s="42"/>
      <x:c r="AB35" s="42" t="str">
        <x:v>オリジナル</x:v>
      </x:c>
      <x:c r="AC35" s="42" t="str">
        <x:v>公式Specificationの範囲＋ユーザー作成コーパスの論点を参考に独自作成</x:v>
      </x:c>
      <x:c r="AD35" s="53" t="str">
        <x:v>改稿済み・専門家未承認</x:v>
      </x:c>
      <x:c r="AE35" s="53" t="str">
        <x:v>AI誤答レビュー</x:v>
      </x:c>
      <x:c r="AF35" s="53" t="str">
        <x:v>2026-07-12</x:v>
      </x:c>
      <x:c r="AG35" s="43" t="str">
        <x:v>最終バッチ：有効な誤答を維持し、絶対語・物理的不可能な誤答のみ置換。正答位置は維持。</x:v>
      </x:c>
    </x:row>
    <x:row r="36" ht="84" customHeight="1">
      <x:c r="A36" s="41" t="str">
        <x:v>LO2-015</x:v>
      </x:c>
      <x:c r="B36" s="53" t="str">
        <x:v>LO2</x:v>
      </x:c>
      <x:c r="C36" s="42" t="str">
        <x:v>世界の主要な非発泡性ワイン</x:v>
      </x:c>
      <x:c r="D36" s="42" t="str">
        <x:v>ナパ・ヴァレー</x:v>
      </x:c>
      <x:c r="E36" s="42" t="str">
        <x:v>ナパ・ヴァレーで産地内のカベルネ・ソーヴィニヨンのスタイルに差が生じる要因として最も適切なものはどれか。</x:v>
      </x:c>
      <x:c r="F36" s="42" t="str">
        <x:v>地区間で標高、霧、土壌がほぼ同じであること</x:v>
      </x:c>
      <x:c r="G36" s="42" t="str">
        <x:v>法律により各地区で異なる品種しか栽培できないこと</x:v>
      </x:c>
      <x:c r="H36" s="42" t="str">
        <x:v>サン・パブロ湾からの霧や風、標高、斜面、土壌の違い</x:v>
      </x:c>
      <x:c r="I36" s="42" t="str">
        <x:v>統一された醸造規則により、地区ごとに異なる熟成方法が指定されること</x:v>
      </x:c>
      <x:c r="J36" s="53" t="str">
        <x:v>C</x:v>
      </x:c>
      <x:c r="K36" s="42" t="str">
        <x:v>サン・パブロ湾からの霧や風、標高、斜面、土壌の違い</x:v>
      </x:c>
      <x:c r="L36" s="42" t="str">
        <x:v>正しい。冷却の強さや成熟速度が異なり、果実の熟度、酸、タンニン、香りに差が生じる。</x:v>
      </x:c>
      <x:c r="M36" s="42" t="str">
        <x:v>誤り。実際には標高、霧、風、土壌などが地区ごとに異なる。</x:v>
      </x:c>
      <x:c r="N36" s="42" t="str">
        <x:v>誤り。AVAは一般に使用品種を一つに限定しない。</x:v>
      </x:c>
      <x:c r="O36" s="42" t="str">
        <x:v>正しい。冷却の強さや成熟速度が異なり、果実の熟度、酸、タンニン、香りに差が生じる。</x:v>
      </x:c>
      <x:c r="P36" s="42" t="str">
        <x:v>誤り。AVAは一般に詳細な醸造方法を地区ごとに指定せず、生産者の判断も大きい。</x:v>
      </x:c>
      <x:c r="Q36" s="42" t="str">
        <x:v>自然・人的要因</x:v>
      </x:c>
      <x:c r="R36" s="42" t="str">
        <x:v>サブリージョン差</x:v>
      </x:c>
      <x:c r="S36" s="42" t="str">
        <x:v>赤非発泡性ワイン</x:v>
      </x:c>
      <x:c r="T36" s="42" t="str">
        <x:v>米国</x:v>
      </x:c>
      <x:c r="U36" s="42" t="str">
        <x:v>ナパ・ヴァレー</x:v>
      </x:c>
      <x:c r="V36" s="42" t="str">
        <x:v>カベルネ・ソーヴィニヨン</x:v>
      </x:c>
      <x:c r="W36" s="42" t="str">
        <x:v>統合判断</x:v>
      </x:c>
      <x:c r="X36" s="53" t="str">
        <x:v>D3</x:v>
      </x:c>
      <x:c r="Y36" s="42" t="str">
        <x:v>ナパ・ヴァレーに関する別の特徴・要因と混同; ナパ・ヴァレーに関する別の特徴・要因と混同; ナパ・ヴァレーに関する別の特徴・要因と混同</x:v>
      </x:c>
      <x:c r="Z36" s="53" t="str">
        <x:v>N</x:v>
      </x:c>
      <x:c r="AA36" s="42"/>
      <x:c r="AB36" s="42" t="str">
        <x:v>オリジナル</x:v>
      </x:c>
      <x:c r="AC36" s="42" t="str">
        <x:v>公式Specificationの範囲＋ユーザー作成コーパスの論点を参考に独自作成</x:v>
      </x:c>
      <x:c r="AD36" s="53" t="str">
        <x:v>改稿済み・専門家未承認</x:v>
      </x:c>
      <x:c r="AE36" s="53" t="str">
        <x:v>AI誤答レビュー</x:v>
      </x:c>
      <x:c r="AF36" s="53" t="str">
        <x:v>2026-07-12</x:v>
      </x:c>
      <x:c r="AG36" s="43" t="str">
        <x:v>最終バッチ：有効な誤答を維持し、絶対語・物理的不可能な誤答のみ置換。正答位置は維持。</x:v>
      </x:c>
    </x:row>
    <x:row r="37" ht="84" customHeight="1">
      <x:c r="A37" s="41" t="str">
        <x:v>LO2-016</x:v>
      </x:c>
      <x:c r="B37" s="53" t="str">
        <x:v>LO2</x:v>
      </x:c>
      <x:c r="C37" s="42" t="str">
        <x:v>世界の主要な非発泡性ワイン</x:v>
      </x:c>
      <x:c r="D37" s="42" t="str">
        <x:v>ウィラメット・ヴァレー</x:v>
      </x:c>
      <x:c r="E37" s="42" t="str">
        <x:v>ウィラメット・ヴァレーがピノ・ノワールに適するとされる主な理由はどれか。</x:v>
      </x:c>
      <x:c r="F37" s="42" t="str">
        <x:v>強い大陸性気候で冬も生育が続くため</x:v>
      </x:c>
      <x:c r="G37" s="42" t="str">
        <x:v>秋の湿度により貴腐が広く発生し、甘口赤ワインが中心となるため</x:v>
      </x:c>
      <x:c r="H37" s="42" t="str">
        <x:v>高温で乾燥した砂漠気候により糖度が急上昇するため</x:v>
      </x:c>
      <x:c r="I37" s="42" t="str">
        <x:v>冷涼から温和な気候と長い生育期間により、酸と繊細な香りを保ちながら成熟できるため</x:v>
      </x:c>
      <x:c r="J37" s="53" t="str">
        <x:v>D</x:v>
      </x:c>
      <x:c r="K37" s="42" t="str">
        <x:v>冷涼から温和な気候と長い生育期間により、酸と繊細な香りを保ちながら成熟できるため</x:v>
      </x:c>
      <x:c r="L37" s="42" t="str">
        <x:v>正しい。ピノ・ノワールの早熟性に合い、過度な糖度上昇を避けながら風味を発達させやすい。</x:v>
      </x:c>
      <x:c r="M37" s="42" t="str">
        <x:v>誤り。冬は休眠し、強い大陸性気候が主要説明ではない。</x:v>
      </x:c>
      <x:c r="N37" s="42" t="str">
        <x:v>誤り。ウィラメットの典型は辛口ピノ・ノワールで、貴腐甘口赤ワインが中心ではない。</x:v>
      </x:c>
      <x:c r="O37" s="42" t="str">
        <x:v>誤り。ウィラメットは冷涼から温和な気候であり、砂漠気候ではない。</x:v>
      </x:c>
      <x:c r="P37" s="42" t="str">
        <x:v>正しい。ピノ・ノワールの早熟性に合い、過度な糖度上昇を避けながら風味を発達させやすい。</x:v>
      </x:c>
      <x:c r="Q37" s="42" t="str">
        <x:v>自然要因・産地</x:v>
      </x:c>
      <x:c r="R37" s="42" t="str">
        <x:v>冷涼気候と品種</x:v>
      </x:c>
      <x:c r="S37" s="42" t="str">
        <x:v>赤非発泡性ワイン</x:v>
      </x:c>
      <x:c r="T37" s="42" t="str">
        <x:v>米国</x:v>
      </x:c>
      <x:c r="U37" s="42" t="str">
        <x:v>ウィラメット・ヴァレー</x:v>
      </x:c>
      <x:c r="V37" s="42" t="str">
        <x:v>ピノ・ノワール</x:v>
      </x:c>
      <x:c r="W37" s="42" t="str">
        <x:v>因果説明</x:v>
      </x:c>
      <x:c r="X37" s="53" t="str">
        <x:v>D2</x:v>
      </x:c>
      <x:c r="Y37" s="42" t="str">
        <x:v>ウィラメット・ヴァレーについて関連要因を主因とみなす; ウィラメット・ヴァレーについて関連要因を主因とみなす; ウィラメット・ヴァレーについて関連要因を主因とみなす</x:v>
      </x:c>
      <x:c r="Z37" s="53" t="str">
        <x:v>N</x:v>
      </x:c>
      <x:c r="AA37" s="42"/>
      <x:c r="AB37" s="42" t="str">
        <x:v>オリジナル</x:v>
      </x:c>
      <x:c r="AC37" s="42" t="str">
        <x:v>公式Specificationの範囲＋ユーザー作成コーパスの論点を参考に独自作成</x:v>
      </x:c>
      <x:c r="AD37" s="53" t="str">
        <x:v>改稿済み・専門家未承認</x:v>
      </x:c>
      <x:c r="AE37" s="53" t="str">
        <x:v>AI誤答レビュー</x:v>
      </x:c>
      <x:c r="AF37" s="53" t="str">
        <x:v>2026-07-12</x:v>
      </x:c>
      <x:c r="AG37" s="43" t="str">
        <x:v>第5バッチ：使用可能な誤答を維持し、弱い誤答を因果逆転・隣接概念へ置換。正答位置は維持。</x:v>
      </x:c>
    </x:row>
    <x:row r="38" ht="84" customHeight="1">
      <x:c r="A38" s="41" t="str">
        <x:v>LO2-017</x:v>
      </x:c>
      <x:c r="B38" s="53" t="str">
        <x:v>LO2</x:v>
      </x:c>
      <x:c r="C38" s="42" t="str">
        <x:v>世界の主要な非発泡性ワイン</x:v>
      </x:c>
      <x:c r="D38" s="42" t="str">
        <x:v>カサブランカ・ヴァレー</x:v>
      </x:c>
      <x:c r="E38" s="42" t="str">
        <x:v>カサブランカ・ヴァレーのソーヴィニヨン・ブランに高い酸と青々しい柑橘系の風味をもたらす主な要因はどれか。</x:v>
      </x:c>
      <x:c r="F38" s="42" t="str">
        <x:v>太平洋からの冷たい海風と朝霧による冷却</x:v>
      </x:c>
      <x:c r="G38" s="42" t="str">
        <x:v>アンデス山脈からの高温乾燥風だけ</x:v>
      </x:c>
      <x:c r="H38" s="42" t="str">
        <x:v>果実を長期間天日干しすること</x:v>
      </x:c>
      <x:c r="I38" s="42" t="str">
        <x:v>酸を下げるためのマロラクティック発酵を広く行うこと</x:v>
      </x:c>
      <x:c r="J38" s="53" t="str">
        <x:v>A</x:v>
      </x:c>
      <x:c r="K38" s="42" t="str">
        <x:v>太平洋からの冷たい海風と朝霧による冷却</x:v>
      </x:c>
      <x:c r="L38" s="42" t="str">
        <x:v>正しい。冷却により成熟がゆっくり進み、酸と香りが保持される。</x:v>
      </x:c>
      <x:c r="M38" s="42" t="str">
        <x:v>正しい。冷却により成熟がゆっくり進み、酸と香りが保持される。</x:v>
      </x:c>
      <x:c r="N38" s="42" t="str">
        <x:v>誤り。アンデスの影響より太平洋の冷却が主要である。</x:v>
      </x:c>
      <x:c r="O38" s="42" t="str">
        <x:v>誤り。天日干しは糖分を濃縮し、典型的な辛口ソーヴィニヨンの製法ではない。</x:v>
      </x:c>
      <x:c r="P38" s="42" t="str">
        <x:v>誤り。MLFは酸を柔らかくするため、高い酸を直接説明しない。</x:v>
      </x:c>
      <x:c r="Q38" s="42" t="str">
        <x:v>自然要因・産地</x:v>
      </x:c>
      <x:c r="R38" s="42" t="str">
        <x:v>海洋冷却・霧</x:v>
      </x:c>
      <x:c r="S38" s="42" t="str">
        <x:v>白非発泡性ワイン</x:v>
      </x:c>
      <x:c r="T38" s="42" t="str">
        <x:v>チリ</x:v>
      </x:c>
      <x:c r="U38" s="42" t="str">
        <x:v>カサブランカ・ヴァレー</x:v>
      </x:c>
      <x:c r="V38" s="42" t="str">
        <x:v>ソーヴィニヨン・ブラン</x:v>
      </x:c>
      <x:c r="W38" s="42" t="str">
        <x:v>因果説明</x:v>
      </x:c>
      <x:c r="X38" s="53" t="str">
        <x:v>D2</x:v>
      </x:c>
      <x:c r="Y38" s="42" t="str">
        <x:v>カサブランカ・ヴァレーに関する別の特徴・要因と混同; カサブランカ・ヴァレーに関する別の特徴・要因と混同; カサブランカ・ヴァレーに関する別の特徴・要因と混同</x:v>
      </x:c>
      <x:c r="Z38" s="53" t="str">
        <x:v>N</x:v>
      </x:c>
      <x:c r="AA38" s="42"/>
      <x:c r="AB38" s="42" t="str">
        <x:v>オリジナル</x:v>
      </x:c>
      <x:c r="AC38" s="42" t="str">
        <x:v>公式Specificationの範囲＋ユーザー作成コーパスの論点を参考に独自作成</x:v>
      </x:c>
      <x:c r="AD38" s="53" t="str">
        <x:v>改稿済み・専門家未承認</x:v>
      </x:c>
      <x:c r="AE38" s="53" t="str">
        <x:v>AI誤答レビュー</x:v>
      </x:c>
      <x:c r="AF38" s="53" t="str">
        <x:v>2026-07-12</x:v>
      </x:c>
      <x:c r="AG38" s="43" t="str">
        <x:v>最終バッチ：有効な誤答を維持し、絶対語・物理的不可能な誤答のみ置換。正答位置は維持。</x:v>
      </x:c>
    </x:row>
    <x:row r="39" ht="84" customHeight="1">
      <x:c r="A39" s="41" t="str">
        <x:v>LO2-018</x:v>
      </x:c>
      <x:c r="B39" s="53" t="str">
        <x:v>LO2</x:v>
      </x:c>
      <x:c r="C39" s="42" t="str">
        <x:v>世界の主要な非発泡性ワイン</x:v>
      </x:c>
      <x:c r="D39" s="42" t="str">
        <x:v>ウコ・ヴァレー</x:v>
      </x:c>
      <x:c r="E39" s="42" t="str">
        <x:v>ウコ・ヴァレーの高標高畑がマルベックの品質に寄与する組み合わせとして最も適切なものはどれか。</x:v>
      </x:c>
      <x:c r="F39" s="42" t="str">
        <x:v>弱い日射と暖かい夜により、薄い果皮と低い酸になる</x:v>
      </x:c>
      <x:c r="G39" s="42" t="str">
        <x:v>強い日射による成熟と色の発達、涼しい夜による酸の保持</x:v>
      </x:c>
      <x:c r="H39" s="42" t="str">
        <x:v>多雨により灌漑が不要となり、病害もなくなる</x:v>
      </x:c>
      <x:c r="I39" s="42" t="str">
        <x:v>海洋の影響が強く、年ごとの天候差が小さいこと</x:v>
      </x:c>
      <x:c r="J39" s="53" t="str">
        <x:v>B</x:v>
      </x:c>
      <x:c r="K39" s="42" t="str">
        <x:v>強い日射による成熟と色の発達、涼しい夜による酸の保持</x:v>
      </x:c>
      <x:c r="L39" s="42" t="str">
        <x:v>正しい。果実の熟度と鮮度を両立し、濃い色と明瞭な風味を持つワインを生みやすい。</x:v>
      </x:c>
      <x:c r="M39" s="42" t="str">
        <x:v>誤り。高標高では日射や紫外線が強く、夜は涼しくなりやすい。</x:v>
      </x:c>
      <x:c r="N39" s="42" t="str">
        <x:v>正しい。果実の熟度と鮮度を両立し、濃い色と明瞭な風味を持つワインを生みやすい。</x:v>
      </x:c>
      <x:c r="O39" s="42" t="str">
        <x:v>誤り。メンドーサは乾燥しており、一般に灌漑が必要である。</x:v>
      </x:c>
      <x:c r="P39" s="42" t="str">
        <x:v>誤り。ウコ・ヴァレーは内陸性が強く、海洋性気候ではない。</x:v>
      </x:c>
      <x:c r="Q39" s="42" t="str">
        <x:v>自然要因・産地</x:v>
      </x:c>
      <x:c r="R39" s="42" t="str">
        <x:v>高標高・日較差</x:v>
      </x:c>
      <x:c r="S39" s="42" t="str">
        <x:v>赤非発泡性ワイン</x:v>
      </x:c>
      <x:c r="T39" s="42" t="str">
        <x:v>アルゼンチン</x:v>
      </x:c>
      <x:c r="U39" s="42" t="str">
        <x:v>ウコ・ヴァレー</x:v>
      </x:c>
      <x:c r="V39" s="42" t="str">
        <x:v>マルベック</x:v>
      </x:c>
      <x:c r="W39" s="42" t="str">
        <x:v>因果説明</x:v>
      </x:c>
      <x:c r="X39" s="53" t="str">
        <x:v>D2</x:v>
      </x:c>
      <x:c r="Y39" s="42" t="str">
        <x:v>ウコ・ヴァレーに関する別の特徴・要因と混同; ウコ・ヴァレーに関する別の特徴・要因と混同; ウコ・ヴァレーに関する別の特徴・要因と混同</x:v>
      </x:c>
      <x:c r="Z39" s="53" t="str">
        <x:v>N</x:v>
      </x:c>
      <x:c r="AA39" s="42"/>
      <x:c r="AB39" s="42" t="str">
        <x:v>オリジナル</x:v>
      </x:c>
      <x:c r="AC39" s="42" t="str">
        <x:v>公式Specificationの範囲＋ユーザー作成コーパスの論点を参考に独自作成</x:v>
      </x:c>
      <x:c r="AD39" s="53" t="str">
        <x:v>改稿済み・専門家未承認</x:v>
      </x:c>
      <x:c r="AE39" s="53" t="str">
        <x:v>AI誤答レビュー</x:v>
      </x:c>
      <x:c r="AF39" s="53" t="str">
        <x:v>2026-07-12</x:v>
      </x:c>
      <x:c r="AG39" s="43" t="str">
        <x:v>最終バッチ：有効な誤答を維持し、絶対語・物理的不可能な誤答のみ置換。正答位置は維持。</x:v>
      </x:c>
    </x:row>
    <x:row r="40" ht="84" customHeight="1">
      <x:c r="A40" s="41" t="str">
        <x:v>LO2-019</x:v>
      </x:c>
      <x:c r="B40" s="53" t="str">
        <x:v>LO2</x:v>
      </x:c>
      <x:c r="C40" s="42" t="str">
        <x:v>世界の主要な非発泡性ワイン</x:v>
      </x:c>
      <x:c r="D40" s="42" t="str">
        <x:v>マーガレット・リヴァー</x:v>
      </x:c>
      <x:c r="E40" s="42" t="str">
        <x:v>マーガレット・リヴァーのカベルネ・ソーヴィニヨンが成熟した果実味と酸のバランスを持ちやすい理由はどれか。</x:v>
      </x:c>
      <x:c r="F40" s="42" t="str">
        <x:v>大西洋の影響を受ける温和で湿潤な気候が、成熟を穏やかに進めるため</x:v>
      </x:c>
      <x:c r="G40" s="42" t="str">
        <x:v>内陸砂漠の高温で糖度を高め、酸を後から添加するため</x:v>
      </x:c>
      <x:c r="H40" s="42" t="str">
        <x:v>インド洋と南極海の海風が夏の暑さを和らげ、長い成熟期間を生むため</x:v>
      </x:c>
      <x:c r="I40" s="42" t="str">
        <x:v>冬の強い霜で収量を下げ、凝縮度を高めるため</x:v>
      </x:c>
      <x:c r="J40" s="53" t="str">
        <x:v>C</x:v>
      </x:c>
      <x:c r="K40" s="42" t="str">
        <x:v>インド洋と南極海の海風が夏の暑さを和らげ、長い成熟期間を生むため</x:v>
      </x:c>
      <x:c r="L40" s="42" t="str">
        <x:v>正しい。温暖な日中と冷涼な海風が、熟した果実と酸を両立する。</x:v>
      </x:c>
      <x:c r="M40" s="42" t="str">
        <x:v>誤り。これは同じ知識領域の「リアス・バイシャス」に当てはまる説明で、設問の「マーガレット・リヴァー」を最も適切に説明しない。</x:v>
      </x:c>
      <x:c r="N40" s="42" t="str">
        <x:v>誤り。海洋性の温和な気候が重要である。</x:v>
      </x:c>
      <x:c r="O40" s="42" t="str">
        <x:v>正しい。温暖な日中と冷涼な海風が、熟した果実と酸を両立する。</x:v>
      </x:c>
      <x:c r="P40" s="42" t="str">
        <x:v>誤り。主要な品質要因は海洋性気候で、冬霜ではない。</x:v>
      </x:c>
      <x:c r="Q40" s="42" t="str">
        <x:v>自然要因・産地</x:v>
      </x:c>
      <x:c r="R40" s="42" t="str">
        <x:v>海洋性気候</x:v>
      </x:c>
      <x:c r="S40" s="42" t="str">
        <x:v>赤非発泡性ワイン</x:v>
      </x:c>
      <x:c r="T40" s="42" t="str">
        <x:v>オーストラリア</x:v>
      </x:c>
      <x:c r="U40" s="42" t="str">
        <x:v>マーガレット・リヴァー</x:v>
      </x:c>
      <x:c r="V40" s="42" t="str">
        <x:v>カベルネ・ソーヴィニヨン</x:v>
      </x:c>
      <x:c r="W40" s="42" t="str">
        <x:v>因果説明</x:v>
      </x:c>
      <x:c r="X40" s="53" t="str">
        <x:v>D2</x:v>
      </x:c>
      <x:c r="Y40" s="42" t="str">
        <x:v>マーガレット・リヴァーをリアス・バイシャスの特徴と混同; マーガレットリヴァーを内陸高温型とみなす; 冬霜が品質の主因</x:v>
      </x:c>
      <x:c r="Z40" s="53" t="str">
        <x:v>N</x:v>
      </x:c>
      <x:c r="AA40" s="42"/>
      <x:c r="AB40" s="42" t="str">
        <x:v>オリジナル</x:v>
      </x:c>
      <x:c r="AC40" s="42" t="str">
        <x:v>公式Specificationの範囲＋ユーザー作成コーパスの論点を参考に独自作成</x:v>
      </x:c>
      <x:c r="AD40" s="53" t="str">
        <x:v>改稿済み・専門家未承認</x:v>
      </x:c>
      <x:c r="AE40" s="53" t="str">
        <x:v>AI誤答レビュー</x:v>
      </x:c>
      <x:c r="AF40" s="53" t="str">
        <x:v>2026-07-12</x:v>
      </x:c>
      <x:c r="AG40" s="43" t="str">
        <x:v>第4バッチ：同一論点内の典型的誤概念へ置換。正答位置は維持。</x:v>
      </x:c>
    </x:row>
    <x:row r="41" ht="84" customHeight="1">
      <x:c r="A41" s="41" t="str">
        <x:v>LO2-020</x:v>
      </x:c>
      <x:c r="B41" s="53" t="str">
        <x:v>LO2</x:v>
      </x:c>
      <x:c r="C41" s="42" t="str">
        <x:v>世界の主要な非発泡性ワイン</x:v>
      </x:c>
      <x:c r="D41" s="42" t="str">
        <x:v>マールボロ</x:v>
      </x:c>
      <x:c r="E41" s="42" t="str">
        <x:v>マールボロのソーヴィニヨン・ブランが強い香りと高い酸を持ちやすい条件として最も適切なものはどれか。</x:v>
      </x:c>
      <x:c r="F41" s="42" t="str">
        <x:v>湿潤で曇天が多く、日照が限られること</x:v>
      </x:c>
      <x:c r="G41" s="42" t="str">
        <x:v>夜間も高温が続く短い生育期間によって糖度を急速に高めること</x:v>
      </x:c>
      <x:c r="H41" s="42" t="str">
        <x:v>新樽発酵とマロラクティック発酵で酸を和らげること</x:v>
      </x:c>
      <x:c r="I41" s="42" t="str">
        <x:v>強い日照で風味が発達し、涼しい夜が酸と香りを保持すること</x:v>
      </x:c>
      <x:c r="J41" s="53" t="str">
        <x:v>D</x:v>
      </x:c>
      <x:c r="K41" s="42" t="str">
        <x:v>強い日照で風味が発達し、涼しい夜が酸と香りを保持すること</x:v>
      </x:c>
      <x:c r="L41" s="42" t="str">
        <x:v>正しい。日照と日較差の組み合わせが、熟した風味と鮮度の両立に寄与する。</x:v>
      </x:c>
      <x:c r="M41" s="42" t="str">
        <x:v>誤り。マールボロは比較的日照が多く、乾燥した条件を持つ。</x:v>
      </x:c>
      <x:c r="N41" s="42" t="str">
        <x:v>誤り。夜間の冷却と長い生育期間が香りと酸の保持に役立つ。</x:v>
      </x:c>
      <x:c r="O41" s="42" t="str">
        <x:v>誤り。フレッシュなスタイルでは新樽やMLFを避けることも多く、高い酸と一次香の保持を説明しない。</x:v>
      </x:c>
      <x:c r="P41" s="42" t="str">
        <x:v>正しい。日照と日較差の組み合わせが、熟した風味と鮮度の両立に寄与する。</x:v>
      </x:c>
      <x:c r="Q41" s="42" t="str">
        <x:v>自然要因・産地</x:v>
      </x:c>
      <x:c r="R41" s="42" t="str">
        <x:v>日照・日較差</x:v>
      </x:c>
      <x:c r="S41" s="42" t="str">
        <x:v>白非発泡性ワイン</x:v>
      </x:c>
      <x:c r="T41" s="42" t="str">
        <x:v>ニュージーランド</x:v>
      </x:c>
      <x:c r="U41" s="42" t="str">
        <x:v>マールボロ</x:v>
      </x:c>
      <x:c r="V41" s="42" t="str">
        <x:v>ソーヴィニヨン・ブラン</x:v>
      </x:c>
      <x:c r="W41" s="42" t="str">
        <x:v>因果説明</x:v>
      </x:c>
      <x:c r="X41" s="53" t="str">
        <x:v>D2</x:v>
      </x:c>
      <x:c r="Y41" s="42" t="str">
        <x:v>マールボロに関する別の特徴・要因と混同; マールボロに関する別の特徴・要因と混同; マールボロに関する別の特徴・要因と混同</x:v>
      </x:c>
      <x:c r="Z41" s="53" t="str">
        <x:v>N</x:v>
      </x:c>
      <x:c r="AA41" s="42"/>
      <x:c r="AB41" s="42" t="str">
        <x:v>オリジナル</x:v>
      </x:c>
      <x:c r="AC41" s="42" t="str">
        <x:v>公式Specificationの範囲＋ユーザー作成コーパスの論点を参考に独自作成</x:v>
      </x:c>
      <x:c r="AD41" s="53" t="str">
        <x:v>改稿済み・専門家未承認</x:v>
      </x:c>
      <x:c r="AE41" s="53" t="str">
        <x:v>AI誤答レビュー</x:v>
      </x:c>
      <x:c r="AF41" s="53" t="str">
        <x:v>2026-07-12</x:v>
      </x:c>
      <x:c r="AG41" s="43" t="str">
        <x:v>最終バッチ：有効な誤答を維持し、絶対語・物理的不可能な誤答のみ置換。正答位置は維持。</x:v>
      </x:c>
    </x:row>
    <x:row r="42" ht="84" customHeight="1">
      <x:c r="A42" s="41" t="str">
        <x:v>LO3-001</x:v>
      </x:c>
      <x:c r="B42" s="53" t="str">
        <x:v>LO3</x:v>
      </x:c>
      <x:c r="C42" s="42" t="str">
        <x:v>世界の主要な発泡性ワイン</x:v>
      </x:c>
      <x:c r="D42" s="42" t="str">
        <x:v>ベースワイン</x:v>
      </x:c>
      <x:c r="E42" s="42" t="str">
        <x:v>伝統的方式の発泡性ワインで、ベースワインのアルコール度が比較的低く造られる主な理由はどれか。</x:v>
      </x:c>
      <x:c r="F42" s="42" t="str">
        <x:v>瓶内二次発酵でさらにアルコールが生じるため</x:v>
      </x:c>
      <x:c r="G42" s="42" t="str">
        <x:v>低いアルコール度が酵母の自己分解を促し、澱熟成期間を短縮するため</x:v>
      </x:c>
      <x:c r="H42" s="42" t="str">
        <x:v>低いアルコール度が糖の発酵量を増やし、瓶内圧を高めるため</x:v>
      </x:c>
      <x:c r="I42" s="42" t="str">
        <x:v>ドザージュによってアルコール度が下がり、ベースワインの強さが相殺されるため</x:v>
      </x:c>
      <x:c r="J42" s="53" t="str">
        <x:v>A</x:v>
      </x:c>
      <x:c r="K42" s="42" t="str">
        <x:v>瓶内二次発酵でさらにアルコールが生じるため</x:v>
      </x:c>
      <x:c r="L42" s="42" t="str">
        <x:v>正しい。二次発酵で糖がアルコールと炭酸ガスに変わるため、ベースワインの段階で高すぎるアルコール度を避ける。</x:v>
      </x:c>
      <x:c r="M42" s="42" t="str">
        <x:v>正しい。二次発酵で糖がアルコールと炭酸ガスに変わるため、ベースワインの段階で高すぎるアルコール度を避ける。</x:v>
      </x:c>
      <x:c r="N42" s="42" t="str">
        <x:v>誤り。自己分解の程度は主に澱との接触期間などに左右され、低アルコールが直接の主因ではない。</x:v>
      </x:c>
      <x:c r="O42" s="42" t="str">
        <x:v>誤り。瓶内圧は主に二次発酵用に加える糖の量で決まる。</x:v>
      </x:c>
      <x:c r="P42" s="42" t="str">
        <x:v>誤り。ドザージュは最終的な甘味調整が主目的で、アルコールを大幅に下げない。</x:v>
      </x:c>
      <x:c r="Q42" s="42" t="str">
        <x:v>発泡性ワイン製法</x:v>
      </x:c>
      <x:c r="R42" s="42" t="str">
        <x:v>ベースワイン</x:v>
      </x:c>
      <x:c r="S42" s="42" t="str">
        <x:v>発泡性ワイン</x:v>
      </x:c>
      <x:c r="T42" s="42" t="str"/>
      <x:c r="U42" s="42" t="str"/>
      <x:c r="V42" s="42" t="str"/>
      <x:c r="W42" s="42" t="str">
        <x:v>因果説明</x:v>
      </x:c>
      <x:c r="X42" s="53" t="str">
        <x:v>D1</x:v>
      </x:c>
      <x:c r="Y42" s="42" t="str">
        <x:v>ベースワインに関する別の特徴・要因と混同; ベースワインに関する別の特徴・要因と混同; ベースワインに関する別の特徴・要因と混同</x:v>
      </x:c>
      <x:c r="Z42" s="53" t="str">
        <x:v>N</x:v>
      </x:c>
      <x:c r="AA42" s="42"/>
      <x:c r="AB42" s="42" t="str">
        <x:v>オリジナル</x:v>
      </x:c>
      <x:c r="AC42" s="42" t="str">
        <x:v>公式Specificationの範囲＋ユーザー作成コーパスの論点を参考に独自作成</x:v>
      </x:c>
      <x:c r="AD42" s="53" t="str">
        <x:v>改稿済み・専門家未承認</x:v>
      </x:c>
      <x:c r="AE42" s="53" t="str">
        <x:v>AI誤答レビュー</x:v>
      </x:c>
      <x:c r="AF42" s="53" t="str">
        <x:v>2026-07-12</x:v>
      </x:c>
      <x:c r="AG42" s="43" t="str">
        <x:v>最終バッチ：有効な誤答を維持し、絶対語・物理的不可能な誤答のみ置換。正答位置は維持。</x:v>
      </x:c>
    </x:row>
    <x:row r="43" ht="84" customHeight="1">
      <x:c r="A43" s="41" t="str">
        <x:v>LO3-002</x:v>
      </x:c>
      <x:c r="B43" s="53" t="str">
        <x:v>LO3</x:v>
      </x:c>
      <x:c r="C43" s="42" t="str">
        <x:v>世界の主要な発泡性ワイン</x:v>
      </x:c>
      <x:c r="D43" s="42" t="str">
        <x:v>リクール・ドゥ・ティラージュ</x:v>
      </x:c>
      <x:c r="E43" s="42" t="str">
        <x:v>リクール・ドゥ・ティラージュをベースワインに加える主な目的はどれか。</x:v>
      </x:c>
      <x:c r="F43" s="42" t="str">
        <x:v>糖と酵母を加え、タンク内二次発酵を開始する</x:v>
      </x:c>
      <x:c r="G43" s="42" t="str">
        <x:v>糖と酵母を加え、瓶内二次発酵を開始する</x:v>
      </x:c>
      <x:c r="H43" s="42" t="str">
        <x:v>デゴルジュマン後に液量と甘味を調整する</x:v>
      </x:c>
      <x:c r="I43" s="42" t="str">
        <x:v>澱を瓶口へ集め、デゴルジュマンを容易にする</x:v>
      </x:c>
      <x:c r="J43" s="53" t="str">
        <x:v>B</x:v>
      </x:c>
      <x:c r="K43" s="42" t="str">
        <x:v>糖と酵母を加え、瓶内二次発酵を開始する</x:v>
      </x:c>
      <x:c r="L43" s="42" t="str">
        <x:v>正しい。酵母が糖を発酵してアルコールと二酸化炭素を生成する。</x:v>
      </x:c>
      <x:c r="M43" s="42" t="str">
        <x:v>誤り。正答では「瓶内二次発酵」ことが重要であり、この選択肢は「タンク内二次発酵」へ置き換えて関係を逆にしている。</x:v>
      </x:c>
      <x:c r="N43" s="42" t="str">
        <x:v>正しい。酵母が糖を発酵してアルコールと二酸化炭素を生成する。</x:v>
      </x:c>
      <x:c r="O43" s="42" t="str">
        <x:v>誤り。これはリクール・デクスペディシオンの役割。</x:v>
      </x:c>
      <x:c r="P43" s="42" t="str">
        <x:v>誤り。これはルミュアージュの役割。</x:v>
      </x:c>
      <x:c r="Q43" s="42" t="str">
        <x:v>発泡性ワイン製法</x:v>
      </x:c>
      <x:c r="R43" s="42" t="str">
        <x:v>瓶内二次発酵</x:v>
      </x:c>
      <x:c r="S43" s="42" t="str">
        <x:v>発泡性ワイン</x:v>
      </x:c>
      <x:c r="T43" s="42" t="str"/>
      <x:c r="U43" s="42" t="str"/>
      <x:c r="V43" s="42" t="str"/>
      <x:c r="W43" s="42" t="str">
        <x:v>知識確認</x:v>
      </x:c>
      <x:c r="X43" s="53" t="str">
        <x:v>D1</x:v>
      </x:c>
      <x:c r="Y43" s="42" t="str">
        <x:v>「瓶内二次発酵」と「タンク内二次発酵」の関係を逆転; ティラージュとドザージュを混同; ティラージュとルミュアージュを混同</x:v>
      </x:c>
      <x:c r="Z43" s="53" t="str">
        <x:v>N</x:v>
      </x:c>
      <x:c r="AA43" s="42"/>
      <x:c r="AB43" s="42" t="str">
        <x:v>オリジナル</x:v>
      </x:c>
      <x:c r="AC43" s="42" t="str">
        <x:v>公式Specificationの範囲＋ユーザー作成コーパスの論点を参考に独自作成</x:v>
      </x:c>
      <x:c r="AD43" s="53" t="str">
        <x:v>改稿済み・専門家未承認</x:v>
      </x:c>
      <x:c r="AE43" s="53" t="str">
        <x:v>AI誤答レビュー</x:v>
      </x:c>
      <x:c r="AF43" s="53" t="str">
        <x:v>2026-07-12</x:v>
      </x:c>
      <x:c r="AG43" s="43" t="str">
        <x:v>第4バッチ：同一論点内の典型的誤概念へ置換。正答位置は維持。</x:v>
      </x:c>
    </x:row>
    <x:row r="44" ht="84" customHeight="1">
      <x:c r="A44" s="41" t="str">
        <x:v>LO3-003</x:v>
      </x:c>
      <x:c r="B44" s="53" t="str">
        <x:v>LO3</x:v>
      </x:c>
      <x:c r="C44" s="42" t="str">
        <x:v>世界の主要な発泡性ワイン</x:v>
      </x:c>
      <x:c r="D44" s="42" t="str">
        <x:v>澱との接触</x:v>
      </x:c>
      <x:c r="E44" s="42" t="str">
        <x:v>伝統的方式の発泡性ワインを澱と長く接触させることで最も期待される変化はどれか。</x:v>
      </x:c>
      <x:c r="F44" s="42" t="str">
        <x:v>澱熟成が長いほど、果実香だけが強まり酵母由来香は減る</x:v>
      </x:c>
      <x:c r="G44" s="42" t="str">
        <x:v>一次果実香だけが強まり、酵母由来香は減少する</x:v>
      </x:c>
      <x:c r="H44" s="42" t="str">
        <x:v>パン生地、ビスケット、トーストを思わせる香りと滑らかな質感が増す</x:v>
      </x:c>
      <x:c r="I44" s="42" t="str">
        <x:v>残糖が増えて甘口になり、酸が大幅に低下する</x:v>
      </x:c>
      <x:c r="J44" s="53" t="str">
        <x:v>C</x:v>
      </x:c>
      <x:c r="K44" s="42" t="str">
        <x:v>パン生地、ビスケット、トーストを思わせる香りと滑らかな質感が増す</x:v>
      </x:c>
      <x:c r="L44" s="42" t="str">
        <x:v>正しい。酵母自己分解で多糖類と香味成分が放出される。</x:v>
      </x:c>
      <x:c r="M44" s="42" t="str">
        <x:v>誤り。長期澱接触では自己分解由来のパン・ビスケット香が増える。</x:v>
      </x:c>
      <x:c r="N44" s="42" t="str">
        <x:v>誤り。長期澱熟成では自己分解香が増える。</x:v>
      </x:c>
      <x:c r="O44" s="42" t="str">
        <x:v>正しい。酵母自己分解で多糖類と香味成分が放出される。</x:v>
      </x:c>
      <x:c r="P44" s="42" t="str">
        <x:v>誤り。自己分解で糖は生成されず、酸量も大幅に減らない。</x:v>
      </x:c>
      <x:c r="Q44" s="42" t="str">
        <x:v>発泡性ワイン製法</x:v>
      </x:c>
      <x:c r="R44" s="42" t="str">
        <x:v>澱との接触・自己分解</x:v>
      </x:c>
      <x:c r="S44" s="42" t="str">
        <x:v>発泡性ワイン</x:v>
      </x:c>
      <x:c r="T44" s="42" t="str"/>
      <x:c r="U44" s="42" t="str"/>
      <x:c r="V44" s="42" t="str"/>
      <x:c r="W44" s="42" t="str">
        <x:v>因果説明</x:v>
      </x:c>
      <x:c r="X44" s="53" t="str">
        <x:v>D2</x:v>
      </x:c>
      <x:c r="Y44" s="42" t="str">
        <x:v>長期澱熟成で酵母香が減る; 澱熟成で一次香だけ増える; 澱熟成で糖増加・酸低下</x:v>
      </x:c>
      <x:c r="Z44" s="53" t="str">
        <x:v>N</x:v>
      </x:c>
      <x:c r="AA44" s="42"/>
      <x:c r="AB44" s="42" t="str">
        <x:v>オリジナル</x:v>
      </x:c>
      <x:c r="AC44" s="42" t="str">
        <x:v>公式Specificationの範囲＋ユーザー作成コーパスの論点を参考に独自作成</x:v>
      </x:c>
      <x:c r="AD44" s="53" t="str">
        <x:v>改稿済み・専門家未承認</x:v>
      </x:c>
      <x:c r="AE44" s="53" t="str">
        <x:v>AI誤答レビュー</x:v>
      </x:c>
      <x:c r="AF44" s="53" t="str">
        <x:v>2026-07-12</x:v>
      </x:c>
      <x:c r="AG44" s="43" t="str">
        <x:v>第4バッチ：同一論点内の典型的誤概念へ置換。正答位置は維持。</x:v>
      </x:c>
    </x:row>
    <x:row r="45" ht="84" customHeight="1">
      <x:c r="A45" s="41" t="str">
        <x:v>LO3-004</x:v>
      </x:c>
      <x:c r="B45" s="53" t="str">
        <x:v>LO3</x:v>
      </x:c>
      <x:c r="C45" s="42" t="str">
        <x:v>世界の主要な発泡性ワイン</x:v>
      </x:c>
      <x:c r="D45" s="42" t="str">
        <x:v>ルミュアージュ</x:v>
      </x:c>
      <x:c r="E45" s="42" t="str">
        <x:v>伝統的方式におけるルミュアージュ（動瓶）の目的はどれか。</x:v>
      </x:c>
      <x:c r="F45" s="42" t="str">
        <x:v>ワインに糖を加えて二次発酵を始めること</x:v>
      </x:c>
      <x:c r="G45" s="42" t="str">
        <x:v>瓶を回転させて炭酸ガスを栓から徐々に逃がすこと</x:v>
      </x:c>
      <x:c r="H45" s="42" t="str">
        <x:v>最終的な甘味を決定すること</x:v>
      </x:c>
      <x:c r="I45" s="42" t="str">
        <x:v>澱を瓶口に集め、デゴルジュマンで除去しやすくすること</x:v>
      </x:c>
      <x:c r="J45" s="53" t="str">
        <x:v>D</x:v>
      </x:c>
      <x:c r="K45" s="42" t="str">
        <x:v>澱を瓶口に集め、デゴルジュマンで除去しやすくすること</x:v>
      </x:c>
      <x:c r="L45" s="42" t="str">
        <x:v>正しい。瓶を徐々に回転・傾斜させ、澱を栓付近に集める。</x:v>
      </x:c>
      <x:c r="M45" s="42" t="str">
        <x:v>誤り。二次発酵開始にはリクール・ドゥ・ティラージュを加える。</x:v>
      </x:c>
      <x:c r="N45" s="42" t="str">
        <x:v>誤り。炭酸ガスを保持したまま澱を移動させる工程であり、ガスを逃がすことが目的ではない。</x:v>
      </x:c>
      <x:c r="O45" s="42" t="str">
        <x:v>誤り。甘味はデゴルジュマン後のドザージュで調整される。</x:v>
      </x:c>
      <x:c r="P45" s="42" t="str">
        <x:v>正しい。瓶を徐々に回転・傾斜させ、澱を栓付近に集める。</x:v>
      </x:c>
      <x:c r="Q45" s="42" t="str">
        <x:v>発泡性ワイン製法</x:v>
      </x:c>
      <x:c r="R45" s="42" t="str">
        <x:v>ルミュアージュ</x:v>
      </x:c>
      <x:c r="S45" s="42" t="str">
        <x:v>発泡性ワイン</x:v>
      </x:c>
      <x:c r="T45" s="42" t="str"/>
      <x:c r="U45" s="42" t="str"/>
      <x:c r="V45" s="42" t="str"/>
      <x:c r="W45" s="42" t="str">
        <x:v>知識確認</x:v>
      </x:c>
      <x:c r="X45" s="53" t="str">
        <x:v>D1</x:v>
      </x:c>
      <x:c r="Y45" s="42" t="str">
        <x:v>ルミュアージュに関する別の特徴・要因と混同; ルミュアージュに関する別の特徴・要因と混同; ルミュアージュに関する別の特徴・要因と混同</x:v>
      </x:c>
      <x:c r="Z45" s="53" t="str">
        <x:v>N</x:v>
      </x:c>
      <x:c r="AA45" s="42"/>
      <x:c r="AB45" s="42" t="str">
        <x:v>オリジナル</x:v>
      </x:c>
      <x:c r="AC45" s="42" t="str">
        <x:v>公式Specificationの範囲＋ユーザー作成コーパスの論点を参考に独自作成</x:v>
      </x:c>
      <x:c r="AD45" s="53" t="str">
        <x:v>改稿済み・専門家未承認</x:v>
      </x:c>
      <x:c r="AE45" s="53" t="str">
        <x:v>AI誤答レビュー</x:v>
      </x:c>
      <x:c r="AF45" s="53" t="str">
        <x:v>2026-07-12</x:v>
      </x:c>
      <x:c r="AG45" s="43" t="str">
        <x:v>最終バッチ：有効な誤答を維持し、絶対語・物理的不可能な誤答のみ置換。正答位置は維持。</x:v>
      </x:c>
    </x:row>
    <x:row r="46" ht="84" customHeight="1">
      <x:c r="A46" s="41" t="str">
        <x:v>LO3-005</x:v>
      </x:c>
      <x:c r="B46" s="53" t="str">
        <x:v>LO3</x:v>
      </x:c>
      <x:c r="C46" s="42" t="str">
        <x:v>世界の主要な発泡性ワイン</x:v>
      </x:c>
      <x:c r="D46" s="42" t="str">
        <x:v>ドザージュ</x:v>
      </x:c>
      <x:c r="E46" s="42" t="str">
        <x:v>リクール・デクスペディシオン（ドザージュ）の主な役割はどれか。</x:v>
      </x:c>
      <x:c r="F46" s="42" t="str">
        <x:v>デゴルジュマン前に澱を瓶口へ集める</x:v>
      </x:c>
      <x:c r="G46" s="42" t="str">
        <x:v>デゴルジュマン後の液量を補い、最終的な甘味のスタイルを調整する</x:v>
      </x:c>
      <x:c r="H46" s="42" t="str">
        <x:v>瓶内二次発酵を開始するため、糖と酵母を加える</x:v>
      </x:c>
      <x:c r="I46" s="42" t="str">
        <x:v>ベースワインの果皮抽出を高め、色とタンニンを調整する</x:v>
      </x:c>
      <x:c r="J46" s="53" t="str">
        <x:v>B</x:v>
      </x:c>
      <x:c r="K46" s="42" t="str">
        <x:v>デゴルジュマン後の液量を補い、最終的な甘味のスタイルを調整する</x:v>
      </x:c>
      <x:c r="L46" s="42" t="str">
        <x:v>正しい。デゴルジュマン後に加え、液量と残糖を整える。</x:v>
      </x:c>
      <x:c r="M46" s="42" t="str">
        <x:v>誤り。澱を集めるのはルミュアージュである。</x:v>
      </x:c>
      <x:c r="N46" s="42" t="str">
        <x:v>正しい。デゴルジュマン後に加え、液量と残糖を整える。</x:v>
      </x:c>
      <x:c r="O46" s="42" t="str">
        <x:v>誤り。二次発酵開始はリクール・ドゥ・ティラージュの役割である。</x:v>
      </x:c>
      <x:c r="P46" s="42" t="str">
        <x:v>誤り。果皮抽出とは無関係な仕上げ工程である。</x:v>
      </x:c>
      <x:c r="Q46" s="42" t="str">
        <x:v>発泡性ワイン製法</x:v>
      </x:c>
      <x:c r="R46" s="42" t="str">
        <x:v>ドザージュ</x:v>
      </x:c>
      <x:c r="S46" s="42" t="str">
        <x:v>発泡性ワイン</x:v>
      </x:c>
      <x:c r="T46" s="42" t="str"/>
      <x:c r="U46" s="42" t="str"/>
      <x:c r="V46" s="42" t="str"/>
      <x:c r="W46" s="42" t="str">
        <x:v>知識確認</x:v>
      </x:c>
      <x:c r="X46" s="53" t="str">
        <x:v>D1</x:v>
      </x:c>
      <x:c r="Y46" s="42" t="str">
        <x:v>ドザージュはルミュアージュの補助; ドザージュとティラージュの混同; ドザージュで果皮抽出を調整</x:v>
      </x:c>
      <x:c r="Z46" s="53" t="str">
        <x:v>N</x:v>
      </x:c>
      <x:c r="AA46" s="42"/>
      <x:c r="AB46" s="42" t="str">
        <x:v>オリジナル</x:v>
      </x:c>
      <x:c r="AC46" s="42" t="str">
        <x:v>公式Specificationの範囲＋ユーザー作成コーパスの論点を参考に独自作成</x:v>
      </x:c>
      <x:c r="AD46" s="53" t="str">
        <x:v>改稿済み・専門家未承認</x:v>
      </x:c>
      <x:c r="AE46" s="53" t="str">
        <x:v>AI誤答レビュー</x:v>
      </x:c>
      <x:c r="AF46" s="53" t="str">
        <x:v>2026-07-12</x:v>
      </x:c>
      <x:c r="AG46" s="43" t="str">
        <x:v>第3バッチ：同一論点内の典型的誤概念へ置換。正答位置は維持。</x:v>
      </x:c>
    </x:row>
    <x:row r="47" ht="84" customHeight="1">
      <x:c r="A47" s="41" t="str">
        <x:v>LO3-006</x:v>
      </x:c>
      <x:c r="B47" s="53" t="str">
        <x:v>LO3</x:v>
      </x:c>
      <x:c r="C47" s="42" t="str">
        <x:v>世界の主要な発泡性ワイン</x:v>
      </x:c>
      <x:c r="D47" s="42" t="str">
        <x:v>トランスファー方式</x:v>
      </x:c>
      <x:c r="E47" s="42" t="str">
        <x:v>トランスファー方式が伝統的方式と異なる点として最も適切なものはどれか。</x:v>
      </x:c>
      <x:c r="F47" s="42" t="str">
        <x:v>二次発酵を加圧タンクで行い、そのまま瓶詰めする</x:v>
      </x:c>
      <x:c r="G47" s="42" t="str">
        <x:v>完成したベースワインへ外部から炭酸ガスを注入する</x:v>
      </x:c>
      <x:c r="H47" s="42" t="str">
        <x:v>瓶内二次発酵後、ワインを加圧タンクへ移して一括して濾過し、再瓶詰めする</x:v>
      </x:c>
      <x:c r="I47" s="42" t="str">
        <x:v>加圧タンクで発酵を途中停止し、低アルコール甘口に仕上げる</x:v>
      </x:c>
      <x:c r="J47" s="53" t="str">
        <x:v>C</x:v>
      </x:c>
      <x:c r="K47" s="42" t="str">
        <x:v>瓶内二次発酵後、ワインを加圧タンクへ移して一括して濾過し、再瓶詰めする</x:v>
      </x:c>
      <x:c r="L47" s="42" t="str">
        <x:v>正しい。個別のルミュアージュとデゴルジュマンを省きながら、瓶内二次発酵由来の特徴を得られる。</x:v>
      </x:c>
      <x:c r="M47" s="42" t="str">
        <x:v>誤り。これはタンク方式の説明で、トランスファー方式では二次発酵は瓶内で行う。</x:v>
      </x:c>
      <x:c r="N47" s="42" t="str">
        <x:v>誤り。外部注入は炭酸ガス注入方式である。</x:v>
      </x:c>
      <x:c r="O47" s="42" t="str">
        <x:v>正しい。個別のルミュアージュとデゴルジュマンを省きながら、瓶内二次発酵由来の特徴を得られる。</x:v>
      </x:c>
      <x:c r="P47" s="42" t="str">
        <x:v>誤り。これはアスティ方式の特徴に近い。</x:v>
      </x:c>
      <x:c r="Q47" s="42" t="str">
        <x:v>発泡性ワイン製法</x:v>
      </x:c>
      <x:c r="R47" s="42" t="str">
        <x:v>トランスファー方式</x:v>
      </x:c>
      <x:c r="S47" s="42" t="str">
        <x:v>発泡性ワイン</x:v>
      </x:c>
      <x:c r="T47" s="42" t="str"/>
      <x:c r="U47" s="42" t="str"/>
      <x:c r="V47" s="42" t="str"/>
      <x:c r="W47" s="42" t="str">
        <x:v>比較</x:v>
      </x:c>
      <x:c r="X47" s="53" t="str">
        <x:v>D2</x:v>
      </x:c>
      <x:c r="Y47" s="42" t="str">
        <x:v>トランスファー方式に関する別の特徴・要因と混同; トランスファー方式に関する別の特徴・要因と混同; トランスファー方式に関する別の特徴・要因と混同</x:v>
      </x:c>
      <x:c r="Z47" s="53" t="str">
        <x:v>N</x:v>
      </x:c>
      <x:c r="AA47" s="42"/>
      <x:c r="AB47" s="42" t="str">
        <x:v>オリジナル</x:v>
      </x:c>
      <x:c r="AC47" s="42" t="str">
        <x:v>公式Specificationの範囲＋ユーザー作成コーパスの論点を参考に独自作成</x:v>
      </x:c>
      <x:c r="AD47" s="53" t="str">
        <x:v>改稿済み・専門家未承認</x:v>
      </x:c>
      <x:c r="AE47" s="53" t="str">
        <x:v>AI誤答レビュー</x:v>
      </x:c>
      <x:c r="AF47" s="53" t="str">
        <x:v>2026-07-12</x:v>
      </x:c>
      <x:c r="AG47" s="43" t="str">
        <x:v>最終バッチ：有効な誤答を維持し、絶対語・物理的不可能な誤答のみ置換。正答位置は維持。</x:v>
      </x:c>
    </x:row>
    <x:row r="48" ht="84" customHeight="1">
      <x:c r="A48" s="41" t="str">
        <x:v>LO3-007</x:v>
      </x:c>
      <x:c r="B48" s="53" t="str">
        <x:v>LO3</x:v>
      </x:c>
      <x:c r="C48" s="42" t="str">
        <x:v>世界の主要な発泡性ワイン</x:v>
      </x:c>
      <x:c r="D48" s="42" t="str">
        <x:v>タンク方式</x:v>
      </x:c>
      <x:c r="E48" s="42" t="str">
        <x:v>芳香性の高い品種から造る発泡性ワインでタンク方式が適する主な理由はどれか。</x:v>
      </x:c>
      <x:c r="F48" s="42" t="str">
        <x:v>長い瓶内澱熟成により自己分解香を最大化できるから</x:v>
      </x:c>
      <x:c r="G48" s="42" t="str">
        <x:v>高いタンニンを抽出できるから</x:v>
      </x:c>
      <x:c r="H48" s="42" t="str">
        <x:v>貴腐化した果実を加圧タンクで発酵し、甘味を残すから</x:v>
      </x:c>
      <x:c r="I48" s="42" t="str">
        <x:v>果実や花の一次香を保ちながら、効率よく発泡性ワインを生産できるから</x:v>
      </x:c>
      <x:c r="J48" s="53" t="str">
        <x:v>D</x:v>
      </x:c>
      <x:c r="K48" s="42" t="str">
        <x:v>果実や花の一次香を保ちながら、効率よく発泡性ワインを生産できるから</x:v>
      </x:c>
      <x:c r="L48" s="42" t="str">
        <x:v>正しい。密閉タンクで二次発酵し、酸素接触と長い自己分解熟成を抑えてフレッシュな香りを保持する。</x:v>
      </x:c>
      <x:c r="M48" s="42" t="str">
        <x:v>誤り。タンク方式は通常、長期の瓶内澱熟成を目的としない。</x:v>
      </x:c>
      <x:c r="N48" s="42" t="str">
        <x:v>誤り。白い発泡性ワインでタンニン抽出が主目的ではない。</x:v>
      </x:c>
      <x:c r="O48" s="42" t="str">
        <x:v>誤り。貴腐はタンク方式の必須条件ではなく、芳香性品種の一次香保持が主な利点である。</x:v>
      </x:c>
      <x:c r="P48" s="42" t="str">
        <x:v>正しい。密閉タンクで二次発酵し、酸素接触と長い自己分解熟成を抑えてフレッシュな香りを保持する。</x:v>
      </x:c>
      <x:c r="Q48" s="42" t="str">
        <x:v>発泡性ワイン製法</x:v>
      </x:c>
      <x:c r="R48" s="42" t="str">
        <x:v>タンク方式</x:v>
      </x:c>
      <x:c r="S48" s="42" t="str">
        <x:v>発泡性ワイン</x:v>
      </x:c>
      <x:c r="T48" s="42" t="str"/>
      <x:c r="U48" s="42" t="str"/>
      <x:c r="V48" s="42" t="str"/>
      <x:c r="W48" s="42" t="str">
        <x:v>因果説明</x:v>
      </x:c>
      <x:c r="X48" s="53" t="str">
        <x:v>D2</x:v>
      </x:c>
      <x:c r="Y48" s="42" t="str">
        <x:v>タンク方式に関する別の特徴・要因と混同; タンク方式に関する別の特徴・要因と混同; タンク方式に関する別の特徴・要因と混同</x:v>
      </x:c>
      <x:c r="Z48" s="53" t="str">
        <x:v>N</x:v>
      </x:c>
      <x:c r="AA48" s="42"/>
      <x:c r="AB48" s="42" t="str">
        <x:v>オリジナル</x:v>
      </x:c>
      <x:c r="AC48" s="42" t="str">
        <x:v>公式Specificationの範囲＋ユーザー作成コーパスの論点を参考に独自作成</x:v>
      </x:c>
      <x:c r="AD48" s="53" t="str">
        <x:v>改稿済み・専門家未承認</x:v>
      </x:c>
      <x:c r="AE48" s="53" t="str">
        <x:v>AI誤答レビュー</x:v>
      </x:c>
      <x:c r="AF48" s="53" t="str">
        <x:v>2026-07-12</x:v>
      </x:c>
      <x:c r="AG48" s="43" t="str">
        <x:v>最終バッチ：有効な誤答を維持し、絶対語・物理的不可能な誤答のみ置換。正答位置は維持。</x:v>
      </x:c>
    </x:row>
    <x:row r="49" ht="84" customHeight="1">
      <x:c r="A49" s="41" t="str">
        <x:v>LO3-008</x:v>
      </x:c>
      <x:c r="B49" s="53" t="str">
        <x:v>LO3</x:v>
      </x:c>
      <x:c r="C49" s="42" t="str">
        <x:v>世界の主要な発泡性ワイン</x:v>
      </x:c>
      <x:c r="D49" s="42" t="str">
        <x:v>アスティ方式</x:v>
      </x:c>
      <x:c r="E49" s="42" t="str">
        <x:v>アスティが一般に甘口で比較的低アルコールとなる主な理由はどれか。</x:v>
      </x:c>
      <x:c r="F49" s="42" t="str">
        <x:v>発酵を途中で冷却・濾過して止め、未発酵糖と低いアルコールを残すため</x:v>
      </x:c>
      <x:c r="G49" s="42" t="str">
        <x:v>発酵を途中で冷却・濾過して止め、未発酵糖と高いアルコールを残すため</x:v>
      </x:c>
      <x:c r="H49" s="42" t="str">
        <x:v>辛口まで発酵後、ドザージュだけで甘味を加えるため</x:v>
      </x:c>
      <x:c r="I49" s="42" t="str">
        <x:v>酒精強化で酵母を止め、アルコールを高くするため</x:v>
      </x:c>
      <x:c r="J49" s="53" t="str">
        <x:v>A</x:v>
      </x:c>
      <x:c r="K49" s="42" t="str">
        <x:v>発酵を途中で冷却・濾過して止め、未発酵糖と低いアルコールを残すため</x:v>
      </x:c>
      <x:c r="L49" s="42" t="str">
        <x:v>正しい。糖の一部だけを発酵し、マスカット香と甘味を保持する。</x:v>
      </x:c>
      <x:c r="M49" s="42" t="str">
        <x:v>正しい。糖の一部だけを発酵し、マスカット香と甘味を保持する。</x:v>
      </x:c>
      <x:c r="N49" s="42" t="str">
        <x:v>誤り。正答では「低いアルコール」ことが重要であり、この選択肢は「高いアルコール」へ置き換えて関係を逆にしている。</x:v>
      </x:c>
      <x:c r="O49" s="42" t="str">
        <x:v>誤り。自然残糖を発酵停止で保つ。</x:v>
      </x:c>
      <x:c r="P49" s="42" t="str">
        <x:v>誤り。アスティは酒精強化しない。</x:v>
      </x:c>
      <x:c r="Q49" s="42" t="str">
        <x:v>発泡性ワイン製法</x:v>
      </x:c>
      <x:c r="R49" s="42" t="str">
        <x:v>アスティ方式</x:v>
      </x:c>
      <x:c r="S49" s="42" t="str">
        <x:v>甘口発泡性ワイン</x:v>
      </x:c>
      <x:c r="T49" s="42" t="str">
        <x:v>イタリア</x:v>
      </x:c>
      <x:c r="U49" s="42" t="str">
        <x:v>アスティ</x:v>
      </x:c>
      <x:c r="V49" s="42" t="str">
        <x:v>ミュスカ・ブラン・ア・プティ・グラン</x:v>
      </x:c>
      <x:c r="W49" s="42" t="str">
        <x:v>因果説明</x:v>
      </x:c>
      <x:c r="X49" s="53" t="str">
        <x:v>D2</x:v>
      </x:c>
      <x:c r="Y49" s="42" t="str">
        <x:v>「低いアルコール」と「高いアルコール」の関係を逆転; アスティを辛口発酵後ドザージュ型と混同; アスティを酒精強化型と混同</x:v>
      </x:c>
      <x:c r="Z49" s="53" t="str">
        <x:v>N</x:v>
      </x:c>
      <x:c r="AA49" s="42"/>
      <x:c r="AB49" s="42" t="str">
        <x:v>オリジナル</x:v>
      </x:c>
      <x:c r="AC49" s="42" t="str">
        <x:v>公式Specificationの範囲＋ユーザー作成コーパスの論点を参考に独自作成</x:v>
      </x:c>
      <x:c r="AD49" s="53" t="str">
        <x:v>改稿済み・専門家未承認</x:v>
      </x:c>
      <x:c r="AE49" s="53" t="str">
        <x:v>AI誤答レビュー</x:v>
      </x:c>
      <x:c r="AF49" s="53" t="str">
        <x:v>2026-07-12</x:v>
      </x:c>
      <x:c r="AG49" s="43" t="str">
        <x:v>第4バッチ：同一論点内の典型的誤概念へ置換。正答位置は維持。</x:v>
      </x:c>
    </x:row>
    <x:row r="50" ht="84" customHeight="1">
      <x:c r="A50" s="41" t="str">
        <x:v>LO3-009</x:v>
      </x:c>
      <x:c r="B50" s="53" t="str">
        <x:v>LO3</x:v>
      </x:c>
      <x:c r="C50" s="42" t="str">
        <x:v>世界の主要な発泡性ワイン</x:v>
      </x:c>
      <x:c r="D50" s="42" t="str">
        <x:v>炭酸ガス注入方式</x:v>
      </x:c>
      <x:c r="E50" s="42" t="str">
        <x:v>炭酸ガス注入方式で造られる発泡性ワインの、一般的な特徴はどれか。</x:v>
      </x:c>
      <x:c r="F50" s="42" t="str">
        <x:v>長期澱熟成によるパンやビスケット香が強い</x:v>
      </x:c>
      <x:c r="G50" s="42" t="str">
        <x:v>生産コストが低く、果実主体で単純なスタイルになりやすい</x:v>
      </x:c>
      <x:c r="H50" s="42" t="str">
        <x:v>瓶内二次発酵由来の細かく持続的な泡を持つ</x:v>
      </x:c>
      <x:c r="I50" s="42" t="str">
        <x:v>複雑なリザーヴワインのブレンドと長期瓶熟成が中心</x:v>
      </x:c>
      <x:c r="J50" s="53" t="str">
        <x:v>B</x:v>
      </x:c>
      <x:c r="K50" s="42" t="str">
        <x:v>生産コストが低く、果実主体で単純なスタイルになりやすい</x:v>
      </x:c>
      <x:c r="L50" s="42" t="str">
        <x:v>正しい。完成ワインへCO2を溶かすため、短期間・低コストで果実主体となる。</x:v>
      </x:c>
      <x:c r="M50" s="42" t="str">
        <x:v>誤り。二次発酵・長期澱熟成を行わないため、自己分解香は弱い。</x:v>
      </x:c>
      <x:c r="N50" s="42" t="str">
        <x:v>正しい。完成ワインへCO2を溶かすため、短期間・低コストで果実主体となる。</x:v>
      </x:c>
      <x:c r="O50" s="42" t="str">
        <x:v>誤り。泡は一般に大きく持続性が低く、瓶内二次発酵型とは異なる。</x:v>
      </x:c>
      <x:c r="P50" s="42" t="str">
        <x:v>誤り。大量生産向けで、長期在庫と複雑な熟成が中心ではない。</x:v>
      </x:c>
      <x:c r="Q50" s="42" t="str">
        <x:v>発泡性ワイン製法</x:v>
      </x:c>
      <x:c r="R50" s="42" t="str">
        <x:v>炭酸ガス注入方式</x:v>
      </x:c>
      <x:c r="S50" s="42" t="str">
        <x:v>発泡性ワイン</x:v>
      </x:c>
      <x:c r="T50" s="42" t="str"/>
      <x:c r="U50" s="42" t="str"/>
      <x:c r="V50" s="42" t="str"/>
      <x:c r="W50" s="42" t="str">
        <x:v>知識確認</x:v>
      </x:c>
      <x:c r="X50" s="53" t="str">
        <x:v>D1</x:v>
      </x:c>
      <x:c r="Y50" s="42" t="str">
        <x:v>炭酸注入で長期自己分解香; 炭酸注入で伝統的方式の泡; 炭酸注入は長期リザーヴ・瓶熟成中心</x:v>
      </x:c>
      <x:c r="Z50" s="53" t="str">
        <x:v>N</x:v>
      </x:c>
      <x:c r="AA50" s="42"/>
      <x:c r="AB50" s="42" t="str">
        <x:v>オリジナル</x:v>
      </x:c>
      <x:c r="AC50" s="42" t="str">
        <x:v>公式Specificationの範囲＋ユーザー作成コーパスの論点を参考に独自作成</x:v>
      </x:c>
      <x:c r="AD50" s="53" t="str">
        <x:v>改稿済み・専門家未承認</x:v>
      </x:c>
      <x:c r="AE50" s="53" t="str">
        <x:v>AI誤答レビュー</x:v>
      </x:c>
      <x:c r="AF50" s="53" t="str">
        <x:v>2026-07-12</x:v>
      </x:c>
      <x:c r="AG50" s="43" t="str">
        <x:v>第3バッチ：同一論点内の典型的誤概念へ置換。正答位置は維持。</x:v>
      </x:c>
    </x:row>
    <x:row r="51" ht="84" customHeight="1">
      <x:c r="A51" s="41" t="str">
        <x:v>LO3-010</x:v>
      </x:c>
      <x:c r="B51" s="53" t="str">
        <x:v>LO3</x:v>
      </x:c>
      <x:c r="C51" s="42" t="str">
        <x:v>世界の主要な発泡性ワイン</x:v>
      </x:c>
      <x:c r="D51" s="42" t="str">
        <x:v>ノン・ヴィンテージ・シャンパーニュ</x:v>
      </x:c>
      <x:c r="E51" s="42" t="str">
        <x:v>ノン・ヴィンテージ・シャンパーニュにリザーヴワインをブレンドする主な目的はどれか。</x:v>
      </x:c>
      <x:c r="F51" s="42" t="str">
        <x:v>毎年異なるスタイルにし、ヴィンテージ差を最大化するため</x:v>
      </x:c>
      <x:c r="G51" s="42" t="str">
        <x:v>熟成中の蒸発によってアルコール度を下げるため</x:v>
      </x:c>
      <x:c r="H51" s="42" t="str">
        <x:v>複数年の特徴を組み合わせ、ハウススタイルと品質の一貫性を保つため</x:v>
      </x:c>
      <x:c r="I51" s="42" t="str">
        <x:v>甘味の異なるロットを混ぜ、最終的な残糖区分を決めるため</x:v>
      </x:c>
      <x:c r="J51" s="53" t="str">
        <x:v>C</x:v>
      </x:c>
      <x:c r="K51" s="42" t="str">
        <x:v>複数年の特徴を組み合わせ、ハウススタイルと品質の一貫性を保つため</x:v>
      </x:c>
      <x:c r="L51" s="42" t="str">
        <x:v>正しい。冷涼地のヴィンテージ差を和らげ、複雑さも加えられる。</x:v>
      </x:c>
      <x:c r="M51" s="42" t="str">
        <x:v>誤り。ハウススタイルの一貫性を高める目的と反対である。</x:v>
      </x:c>
      <x:c r="N51" s="42" t="str">
        <x:v>誤り。リザーヴワインのブレンドは脱アルコール工程ではない。</x:v>
      </x:c>
      <x:c r="O51" s="42" t="str">
        <x:v>正しい。冷涼地のヴィンテージ差を和らげ、複雑さも加えられる。</x:v>
      </x:c>
      <x:c r="P51" s="42" t="str">
        <x:v>誤り。最終的な甘味は主にドザージュで決まり、リザーヴワインの主目的は一貫性と複雑さである。</x:v>
      </x:c>
      <x:c r="Q51" s="42" t="str">
        <x:v>ブレンド・商業</x:v>
      </x:c>
      <x:c r="R51" s="42" t="str">
        <x:v>ノン・ヴィンテージ</x:v>
      </x:c>
      <x:c r="S51" s="42" t="str">
        <x:v>発泡性ワイン</x:v>
      </x:c>
      <x:c r="T51" s="42" t="str">
        <x:v>フランス</x:v>
      </x:c>
      <x:c r="U51" s="42" t="str">
        <x:v>シャンパーニュ</x:v>
      </x:c>
      <x:c r="V51" s="42" t="str">
        <x:v>シャルドネ、ピノ・ノワール、ムーニエ</x:v>
      </x:c>
      <x:c r="W51" s="42" t="str">
        <x:v>因果説明</x:v>
      </x:c>
      <x:c r="X51" s="53" t="str">
        <x:v>D2</x:v>
      </x:c>
      <x:c r="Y51" s="42" t="str">
        <x:v>ノン・ヴィンテージ・シャンパーニュに関する別の特徴・要因と混同; ノン・ヴィンテージ・シャンパーニュに関する別の特徴・要因と混同; ノン・ヴィンテージ・シャンパーニュに関する別の特徴・要因と混同</x:v>
      </x:c>
      <x:c r="Z51" s="53" t="str">
        <x:v>N</x:v>
      </x:c>
      <x:c r="AA51" s="42"/>
      <x:c r="AB51" s="42" t="str">
        <x:v>オリジナル</x:v>
      </x:c>
      <x:c r="AC51" s="42" t="str">
        <x:v>公式Specificationの範囲＋ユーザー作成コーパスの論点を参考に独自作成</x:v>
      </x:c>
      <x:c r="AD51" s="53" t="str">
        <x:v>改稿済み・専門家未承認</x:v>
      </x:c>
      <x:c r="AE51" s="53" t="str">
        <x:v>AI誤答レビュー</x:v>
      </x:c>
      <x:c r="AF51" s="53" t="str">
        <x:v>2026-07-12</x:v>
      </x:c>
      <x:c r="AG51" s="43" t="str">
        <x:v>最終バッチ：有効な誤答を維持し、絶対語・物理的不可能な誤答のみ置換。正答位置は維持。</x:v>
      </x:c>
    </x:row>
    <x:row r="52" ht="84" customHeight="1">
      <x:c r="A52" s="41" t="str">
        <x:v>LO3-011</x:v>
      </x:c>
      <x:c r="B52" s="53" t="str">
        <x:v>LO3</x:v>
      </x:c>
      <x:c r="C52" s="42" t="str">
        <x:v>世界の主要な発泡性ワイン</x:v>
      </x:c>
      <x:c r="D52" s="42" t="str">
        <x:v>ブラン・ドゥ・ブラン</x:v>
      </x:c>
      <x:c r="E52" s="42" t="str">
        <x:v>シャンパーニュのブラン・ドゥ・ブランについて最も適切な説明はどれか。</x:v>
      </x:c>
      <x:c r="F52" s="42" t="str">
        <x:v>黒ブドウを穏やかに圧搾し、白い果汁から造るシャンパーニュ</x:v>
      </x:c>
      <x:c r="G52" s="42" t="str">
        <x:v>黒ブドウを白く圧搾して造るシャンパーニュ</x:v>
      </x:c>
      <x:c r="H52" s="42" t="str">
        <x:v>白と黒ブドウを同量ブレンドしたノン・ヴィンテージ</x:v>
      </x:c>
      <x:c r="I52" s="42" t="str">
        <x:v>白ブドウ、一般にシャルドネのみから造るシャンパーニュ</x:v>
      </x:c>
      <x:c r="J52" s="53" t="str">
        <x:v>D</x:v>
      </x:c>
      <x:c r="K52" s="42" t="str">
        <x:v>白ブドウ、一般にシャルドネのみから造るシャンパーニュ</x:v>
      </x:c>
      <x:c r="L52" s="42" t="str">
        <x:v>正しい。シャルドネの高い酸、柑橘、花、熟成力を示す。</x:v>
      </x:c>
      <x:c r="M52" s="42" t="str">
        <x:v>誤り。これはブラン・ドゥ・ノワールで、ブラン・ドゥ・ブランは白ブドウから造る。</x:v>
      </x:c>
      <x:c r="N52" s="42" t="str">
        <x:v>誤り。これはブラン・ドゥ・ノワール。</x:v>
      </x:c>
      <x:c r="O52" s="42" t="str">
        <x:v>誤り。品種構成ではなく白ブドウのみを示す。</x:v>
      </x:c>
      <x:c r="P52" s="42" t="str">
        <x:v>正しい。シャルドネの高い酸、柑橘、花、熟成力を示す。</x:v>
      </x:c>
      <x:c r="Q52" s="42" t="str">
        <x:v>産地スタイル</x:v>
      </x:c>
      <x:c r="R52" s="42" t="str">
        <x:v>ブラン・ドゥ・ブラン</x:v>
      </x:c>
      <x:c r="S52" s="42" t="str">
        <x:v>発泡性ワイン</x:v>
      </x:c>
      <x:c r="T52" s="42" t="str">
        <x:v>フランス</x:v>
      </x:c>
      <x:c r="U52" s="42" t="str">
        <x:v>シャンパーニュ</x:v>
      </x:c>
      <x:c r="V52" s="42" t="str">
        <x:v>シャルドネ</x:v>
      </x:c>
      <x:c r="W52" s="42" t="str">
        <x:v>知識確認</x:v>
      </x:c>
      <x:c r="X52" s="53" t="str">
        <x:v>D1</x:v>
      </x:c>
      <x:c r="Y52" s="42" t="str">
        <x:v>ブラン・ドゥ・ブランとブラン・ドゥ・ノワールを混同; Blanc de BlancsとBlanc de Noirsを混同; Blanc de Blancsは白黒同量ブレンド</x:v>
      </x:c>
      <x:c r="Z52" s="53" t="str">
        <x:v>N</x:v>
      </x:c>
      <x:c r="AA52" s="42"/>
      <x:c r="AB52" s="42" t="str">
        <x:v>オリジナル</x:v>
      </x:c>
      <x:c r="AC52" s="42" t="str">
        <x:v>公式Specificationの範囲＋ユーザー作成コーパスの論点を参考に独自作成</x:v>
      </x:c>
      <x:c r="AD52" s="53" t="str">
        <x:v>改稿済み・専門家未承認</x:v>
      </x:c>
      <x:c r="AE52" s="53" t="str">
        <x:v>AI誤答レビュー</x:v>
      </x:c>
      <x:c r="AF52" s="53" t="str">
        <x:v>2026-07-12</x:v>
      </x:c>
      <x:c r="AG52" s="43" t="str">
        <x:v>第4バッチ：同一論点内の典型的誤概念へ置換。正答位置は維持。</x:v>
      </x:c>
    </x:row>
    <x:row r="53" ht="84" customHeight="1">
      <x:c r="A53" s="41" t="str">
        <x:v>LO3-012</x:v>
      </x:c>
      <x:c r="B53" s="53" t="str">
        <x:v>LO3</x:v>
      </x:c>
      <x:c r="C53" s="42" t="str">
        <x:v>世界の主要な発泡性ワイン</x:v>
      </x:c>
      <x:c r="D53" s="42" t="str">
        <x:v>コート・デ・ブラン</x:v>
      </x:c>
      <x:c r="E53" s="42" t="str">
        <x:v>コート・デ・ブランがシャルドネで高い評価を得る主な理由はどれか。</x:v>
      </x:c>
      <x:c r="F53" s="42" t="str">
        <x:v>白亜質土壌の水はけと保水性、冷涼な気候が高い酸と繊細な風味を支える</x:v>
      </x:c>
      <x:c r="G53" s="42" t="str">
        <x:v>高温の火山性土壌が黒ブドウのタンニンを増やす</x:v>
      </x:c>
      <x:c r="H53" s="42" t="str">
        <x:v>高標高の温暖な畑で糖度を高め、酸を低下させる</x:v>
      </x:c>
      <x:c r="I53" s="42" t="str">
        <x:v>貴腐化したブドウのみを使用する</x:v>
      </x:c>
      <x:c r="J53" s="53" t="str">
        <x:v>A</x:v>
      </x:c>
      <x:c r="K53" s="42" t="str">
        <x:v>白亜質土壌の水はけと保水性、冷涼な気候が高い酸と繊細な風味を支える</x:v>
      </x:c>
      <x:c r="L53" s="42" t="str">
        <x:v>正しい。白亜は排水しつつ水を蓄え、冷涼条件でシャルドネがゆっくり成熟する。</x:v>
      </x:c>
      <x:c r="M53" s="42" t="str">
        <x:v>正しい。白亜は排水しつつ水を蓄え、冷涼条件でシャルドネがゆっくり成熟する。</x:v>
      </x:c>
      <x:c r="N53" s="42" t="str">
        <x:v>誤り。コート・デ・ブランは主にシャルドネで知られ、説明が合わない。</x:v>
      </x:c>
      <x:c r="O53" s="42" t="str">
        <x:v>誤り。コート・デ・ブランは冷涼な条件と白亜質土壌が重要で、高温・低酸を目的としない。</x:v>
      </x:c>
      <x:c r="P53" s="42" t="str">
        <x:v>誤り。シャンパーニュ用ブドウで貴腐は一般に望まれない。</x:v>
      </x:c>
      <x:c r="Q53" s="42" t="str">
        <x:v>自然要因・産地</x:v>
      </x:c>
      <x:c r="R53" s="42" t="str">
        <x:v>白亜質土壌・シャルドネ</x:v>
      </x:c>
      <x:c r="S53" s="42" t="str">
        <x:v>発泡性ワイン</x:v>
      </x:c>
      <x:c r="T53" s="42" t="str">
        <x:v>フランス</x:v>
      </x:c>
      <x:c r="U53" s="42" t="str">
        <x:v>コート・デ・ブラン</x:v>
      </x:c>
      <x:c r="V53" s="42" t="str">
        <x:v>シャルドネ</x:v>
      </x:c>
      <x:c r="W53" s="42" t="str">
        <x:v>因果説明</x:v>
      </x:c>
      <x:c r="X53" s="53" t="str">
        <x:v>D2</x:v>
      </x:c>
      <x:c r="Y53" s="42" t="str">
        <x:v>コート・デ・ブランに関する別の特徴・要因と混同; コート・デ・ブランに関する別の特徴・要因と混同; コート・デ・ブランに関する別の特徴・要因と混同</x:v>
      </x:c>
      <x:c r="Z53" s="53" t="str">
        <x:v>N</x:v>
      </x:c>
      <x:c r="AA53" s="42"/>
      <x:c r="AB53" s="42" t="str">
        <x:v>オリジナル</x:v>
      </x:c>
      <x:c r="AC53" s="42" t="str">
        <x:v>公式Specificationの範囲＋ユーザー作成コーパスの論点を参考に独自作成</x:v>
      </x:c>
      <x:c r="AD53" s="53" t="str">
        <x:v>改稿済み・専門家未承認</x:v>
      </x:c>
      <x:c r="AE53" s="53" t="str">
        <x:v>AI誤答レビュー</x:v>
      </x:c>
      <x:c r="AF53" s="53" t="str">
        <x:v>2026-07-12</x:v>
      </x:c>
      <x:c r="AG53" s="43" t="str">
        <x:v>最終バッチ：有効な誤答を維持し、絶対語・物理的不可能な誤答のみ置換。正答位置は維持。</x:v>
      </x:c>
    </x:row>
    <x:row r="54" ht="84" customHeight="1">
      <x:c r="A54" s="41" t="str">
        <x:v>LO3-013</x:v>
      </x:c>
      <x:c r="B54" s="53" t="str">
        <x:v>LO3</x:v>
      </x:c>
      <x:c r="C54" s="42" t="str">
        <x:v>世界の主要な発泡性ワイン</x:v>
      </x:c>
      <x:c r="D54" s="42" t="str">
        <x:v>ヴァレ・ドゥ・ラ・マルヌ</x:v>
      </x:c>
      <x:c r="E54" s="42" t="str">
        <x:v>ヴァレ・ドゥ・ラ・マルヌでムーニエが重要となる理由として最も適切なものはどれか。</x:v>
      </x:c>
      <x:c r="F54" s="42" t="str">
        <x:v>ムーニエは極めて晩熟で、最も暖かい斜面だけに適するから</x:v>
      </x:c>
      <x:c r="G54" s="42" t="str">
        <x:v>萌芽が遅く比較的早熟で、霜の影響を受けやすい地域でも安定して成熟しやすいから</x:v>
      </x:c>
      <x:c r="H54" s="42" t="str">
        <x:v>高いタンニンを得るため長期の果皮浸漬が必要だから</x:v>
      </x:c>
      <x:c r="I54" s="42" t="str">
        <x:v>法律でムーニエ以外の品種が禁止されているから</x:v>
      </x:c>
      <x:c r="J54" s="53" t="str">
        <x:v>B</x:v>
      </x:c>
      <x:c r="K54" s="42" t="str">
        <x:v>萌芽が遅く比較的早熟で、霜の影響を受けやすい地域でも安定して成熟しやすいから</x:v>
      </x:c>
      <x:c r="L54" s="42" t="str">
        <x:v>正しい。遅い萌芽で春霜を避けやすく、比較的早く成熟するため冷涼な条件に適応しやすい。</x:v>
      </x:c>
      <x:c r="M54" s="42" t="str">
        <x:v>誤り。ムーニエは比較的早く芽吹き・成熟し、冷涼条件への適応が高い。</x:v>
      </x:c>
      <x:c r="N54" s="42" t="str">
        <x:v>正しい。遅い萌芽で春霜を避けやすく、比較的早く成熟するため冷涼な条件に適応しやすい。</x:v>
      </x:c>
      <x:c r="O54" s="42" t="str">
        <x:v>誤り。白い発泡性ワインでは強いタンニン抽出を避ける。</x:v>
      </x:c>
      <x:c r="P54" s="42" t="str">
        <x:v>誤り。シャルドネやピノ・ノワールも栽培される。</x:v>
      </x:c>
      <x:c r="Q54" s="42" t="str">
        <x:v>自然要因・産地</x:v>
      </x:c>
      <x:c r="R54" s="42" t="str">
        <x:v>品種適性</x:v>
      </x:c>
      <x:c r="S54" s="42" t="str">
        <x:v>発泡性ワイン</x:v>
      </x:c>
      <x:c r="T54" s="42" t="str">
        <x:v>フランス</x:v>
      </x:c>
      <x:c r="U54" s="42" t="str">
        <x:v>ヴァレ・ドゥ・ラ・マルヌ</x:v>
      </x:c>
      <x:c r="V54" s="42" t="str">
        <x:v>ムーニエ</x:v>
      </x:c>
      <x:c r="W54" s="42" t="str">
        <x:v>因果説明</x:v>
      </x:c>
      <x:c r="X54" s="53" t="str">
        <x:v>D2</x:v>
      </x:c>
      <x:c r="Y54" s="42" t="str">
        <x:v>ヴァレ・ドゥ・ラ・マルヌに関する別の特徴・要因と混同; ヴァレ・ドゥ・ラ・マルヌに関する別の特徴・要因と混同; ヴァレ・ドゥ・ラ・マルヌに関する別の特徴・要因と混同</x:v>
      </x:c>
      <x:c r="Z54" s="53" t="str">
        <x:v>N</x:v>
      </x:c>
      <x:c r="AA54" s="42"/>
      <x:c r="AB54" s="42" t="str">
        <x:v>オリジナル</x:v>
      </x:c>
      <x:c r="AC54" s="42" t="str">
        <x:v>公式Specificationの範囲＋ユーザー作成コーパスの論点を参考に独自作成</x:v>
      </x:c>
      <x:c r="AD54" s="53" t="str">
        <x:v>改稿済み・専門家未承認</x:v>
      </x:c>
      <x:c r="AE54" s="53" t="str">
        <x:v>AI誤答レビュー</x:v>
      </x:c>
      <x:c r="AF54" s="53" t="str">
        <x:v>2026-07-12</x:v>
      </x:c>
      <x:c r="AG54" s="43" t="str">
        <x:v>最終バッチ：有効な誤答を維持し、絶対語・物理的不可能な誤答のみ置換。正答位置は維持。</x:v>
      </x:c>
    </x:row>
    <x:row r="55" ht="84" customHeight="1">
      <x:c r="A55" s="41" t="str">
        <x:v>LO3-014</x:v>
      </x:c>
      <x:c r="B55" s="53" t="str">
        <x:v>LO3</x:v>
      </x:c>
      <x:c r="C55" s="42" t="str">
        <x:v>世界の主要な発泡性ワイン</x:v>
      </x:c>
      <x:c r="D55" s="42" t="str">
        <x:v>ヴィンテージ・シャンパーニュ</x:v>
      </x:c>
      <x:c r="E55" s="42" t="str">
        <x:v>ヴィンテージ・シャンパーニュがノン・ヴィンテージより高価格になりやすい理由として最も適切なものはどれか。</x:v>
      </x:c>
      <x:c r="F55" s="42" t="str">
        <x:v>複数年のワインをブレンドし、毎年同じ量を生産できるから</x:v>
      </x:c>
      <x:c r="G55" s="42" t="str">
        <x:v>澱との接触を行わず、すぐ発売できるから</x:v>
      </x:c>
      <x:c r="H55" s="42" t="str">
        <x:v>優れた年のブドウを用い、長い熟成期間と在庫保有コストを必要とするから</x:v>
      </x:c>
      <x:c r="I55" s="42" t="str">
        <x:v>高いドザージュ量を用い、甘味の強いスタイルに限定されるから</x:v>
      </x:c>
      <x:c r="J55" s="53" t="str">
        <x:v>C</x:v>
      </x:c>
      <x:c r="K55" s="42" t="str">
        <x:v>優れた年のブドウを用い、長い熟成期間と在庫保有コストを必要とするから</x:v>
      </x:c>
      <x:c r="L55" s="42" t="str">
        <x:v>正しい。限定供給、長期熟成、品質への期待が価格を押し上げる。</x:v>
      </x:c>
      <x:c r="M55" s="42" t="str">
        <x:v>誤り。ヴィンテージ・シャンパーニュは単一年のブドウを用い、優れた年に限って造られることが多い。</x:v>
      </x:c>
      <x:c r="N55" s="42" t="str">
        <x:v>誤り。一般により長い熟成を行い、発売までの資金負担が大きい。</x:v>
      </x:c>
      <x:c r="O55" s="42" t="str">
        <x:v>正しい。限定供給、長期熟成、品質への期待が価格を押し上げる。</x:v>
      </x:c>
      <x:c r="P55" s="42" t="str">
        <x:v>誤り。ヴィンテージ表示は甘味区分ではなく、辛口のスタイルも一般的である。</x:v>
      </x:c>
      <x:c r="Q55" s="42" t="str">
        <x:v>商業面・法律面</x:v>
      </x:c>
      <x:c r="R55" s="42" t="str">
        <x:v>ヴィンテージ表示・価格</x:v>
      </x:c>
      <x:c r="S55" s="42" t="str">
        <x:v>発泡性ワイン</x:v>
      </x:c>
      <x:c r="T55" s="42" t="str">
        <x:v>フランス</x:v>
      </x:c>
      <x:c r="U55" s="42" t="str">
        <x:v>シャンパーニュ</x:v>
      </x:c>
      <x:c r="V55" s="42" t="str">
        <x:v>シャルドネ、ピノ・ノワール、ムーニエ</x:v>
      </x:c>
      <x:c r="W55" s="42" t="str">
        <x:v>統合判断</x:v>
      </x:c>
      <x:c r="X55" s="53" t="str">
        <x:v>D3</x:v>
      </x:c>
      <x:c r="Y55" s="42" t="str">
        <x:v>ヴィンテージ・シャンパーニュに関する別の特徴・要因と混同; ヴィンテージ・シャンパーニュに関する別の特徴・要因と混同; ヴィンテージ・シャンパーニュに関する別の特徴・要因と混同</x:v>
      </x:c>
      <x:c r="Z55" s="53" t="str">
        <x:v>N</x:v>
      </x:c>
      <x:c r="AA55" s="42"/>
      <x:c r="AB55" s="42" t="str">
        <x:v>オリジナル</x:v>
      </x:c>
      <x:c r="AC55" s="42" t="str">
        <x:v>公式Specificationの範囲＋ユーザー作成コーパスの論点を参考に独自作成</x:v>
      </x:c>
      <x:c r="AD55" s="53" t="str">
        <x:v>改稿済み・専門家未承認</x:v>
      </x:c>
      <x:c r="AE55" s="53" t="str">
        <x:v>AI誤答レビュー</x:v>
      </x:c>
      <x:c r="AF55" s="53" t="str">
        <x:v>2026-07-12</x:v>
      </x:c>
      <x:c r="AG55" s="43" t="str">
        <x:v>最終バッチ：有効な誤答を維持し、絶対語・物理的不可能な誤答のみ置換。正答位置は維持。</x:v>
      </x:c>
    </x:row>
    <x:row r="56" ht="84" customHeight="1">
      <x:c r="A56" s="41" t="str">
        <x:v>LO3-015</x:v>
      </x:c>
      <x:c r="B56" s="53" t="str">
        <x:v>LO3</x:v>
      </x:c>
      <x:c r="C56" s="42" t="str">
        <x:v>世界の主要な発泡性ワイン</x:v>
      </x:c>
      <x:c r="D56" s="42" t="str">
        <x:v>カバ</x:v>
      </x:c>
      <x:c r="E56" s="42" t="str">
        <x:v>伝統的なカバの主要品種の組み合わせはどれか。</x:v>
      </x:c>
      <x:c r="F56" s="42" t="str">
        <x:v>グレラ、コルテーゼ、ガルガーネガ</x:v>
      </x:c>
      <x:c r="G56" s="42" t="str">
        <x:v>リースリング、シルヴァーナー、ミュラー・トゥルガウ</x:v>
      </x:c>
      <x:c r="H56" s="42" t="str">
        <x:v>シャルドネ、ピノ・ノワール、ムーニエのみ</x:v>
      </x:c>
      <x:c r="I56" s="42" t="str">
        <x:v>マカベオ、チャレッロ、パレリャーダ</x:v>
      </x:c>
      <x:c r="J56" s="53" t="str">
        <x:v>D</x:v>
      </x:c>
      <x:c r="K56" s="42" t="str">
        <x:v>マカベオ、チャレッロ、パレリャーダ</x:v>
      </x:c>
      <x:c r="L56" s="42" t="str">
        <x:v>正しい。これらが伝統的なカバの主要品種で、酸、果実味、構造などを補完する。</x:v>
      </x:c>
      <x:c r="M56" s="42" t="str">
        <x:v>誤り。グレラはプロセッコ、コルテーゼはガヴィ、ガルガーネガはソアーヴェで重要である。</x:v>
      </x:c>
      <x:c r="N56" s="42" t="str">
        <x:v>誤り。ドイツ系の品種で、伝統的なカバの主要三品種ではない。</x:v>
      </x:c>
      <x:c r="O56" s="42" t="str">
        <x:v>誤り。国際品種も使われるが、伝統的な主要三品種ではない。</x:v>
      </x:c>
      <x:c r="P56" s="42" t="str">
        <x:v>正しい。これらが伝統的なカバの主要品種で、酸、果実味、構造などを補完する。</x:v>
      </x:c>
      <x:c r="Q56" s="42" t="str">
        <x:v>品種・産地</x:v>
      </x:c>
      <x:c r="R56" s="42" t="str">
        <x:v>カバ主要品種</x:v>
      </x:c>
      <x:c r="S56" s="42" t="str">
        <x:v>発泡性ワイン</x:v>
      </x:c>
      <x:c r="T56" s="42" t="str">
        <x:v>スペイン</x:v>
      </x:c>
      <x:c r="U56" s="42" t="str">
        <x:v>カバ</x:v>
      </x:c>
      <x:c r="V56" s="42" t="str">
        <x:v>マカベオ、チャレッロ、パレリャーダ</x:v>
      </x:c>
      <x:c r="W56" s="42" t="str">
        <x:v>知識確認</x:v>
      </x:c>
      <x:c r="X56" s="53" t="str">
        <x:v>D1</x:v>
      </x:c>
      <x:c r="Y56" s="42" t="str">
        <x:v>カバに関する別の特徴・要因と混同; カバに関する別の特徴・要因と混同; カバに関する別の特徴・要因と混同</x:v>
      </x:c>
      <x:c r="Z56" s="53" t="str">
        <x:v>N</x:v>
      </x:c>
      <x:c r="AA56" s="42"/>
      <x:c r="AB56" s="42" t="str">
        <x:v>オリジナル</x:v>
      </x:c>
      <x:c r="AC56" s="42" t="str">
        <x:v>公式Specificationの範囲＋ユーザー作成コーパスの論点を参考に独自作成</x:v>
      </x:c>
      <x:c r="AD56" s="53" t="str">
        <x:v>改稿済み・専門家未承認</x:v>
      </x:c>
      <x:c r="AE56" s="53" t="str">
        <x:v>AI誤答レビュー</x:v>
      </x:c>
      <x:c r="AF56" s="53" t="str">
        <x:v>2026-07-12</x:v>
      </x:c>
      <x:c r="AG56" s="43" t="str">
        <x:v>最終バッチ：有効な誤答を維持し、絶対語・物理的不可能な誤答のみ置換。正答位置は維持。</x:v>
      </x:c>
    </x:row>
    <x:row r="57" ht="84" customHeight="1">
      <x:c r="A57" s="41" t="str">
        <x:v>LO3-016</x:v>
      </x:c>
      <x:c r="B57" s="53" t="str">
        <x:v>LO3</x:v>
      </x:c>
      <x:c r="C57" s="42" t="str">
        <x:v>世界の主要な発泡性ワイン</x:v>
      </x:c>
      <x:c r="D57" s="42" t="str">
        <x:v>プロセッコ</x:v>
      </x:c>
      <x:c r="E57" s="42" t="str">
        <x:v>プロセッコで、タンク方式が広く用いられる主な理由はどれか。</x:v>
      </x:c>
      <x:c r="F57" s="42" t="str">
        <x:v>グレーラの洋梨、リンゴ、花のような一次香を保ちやすく、効率的に生産できるから</x:v>
      </x:c>
      <x:c r="G57" s="42" t="str">
        <x:v>グレーラは長期澱熟成でのみ品種香を発達させるから</x:v>
      </x:c>
      <x:c r="H57" s="42" t="str">
        <x:v>瓶ごとの二次発酵差を利用し、複雑なボトル差を作れるから</x:v>
      </x:c>
      <x:c r="I57" s="42" t="str">
        <x:v>高いタンニンを抽出し、長期熟成力を高められるから</x:v>
      </x:c>
      <x:c r="J57" s="53" t="str">
        <x:v>A</x:v>
      </x:c>
      <x:c r="K57" s="42" t="str">
        <x:v>グレーラの洋梨、リンゴ、花のような一次香を保ちやすく、効率的に生産できるから</x:v>
      </x:c>
      <x:c r="L57" s="42" t="str">
        <x:v>正しい。低温・短期間の密閉タンク発酵が、繊細な一次香を守る。</x:v>
      </x:c>
      <x:c r="M57" s="42" t="str">
        <x:v>正しい。低温・短期間の密閉タンク発酵が、繊細な一次香を守る。</x:v>
      </x:c>
      <x:c r="N57" s="42" t="str">
        <x:v>誤り。長期澱熟成より、若い果実香を重視する品種である。</x:v>
      </x:c>
      <x:c r="O57" s="42" t="str">
        <x:v>誤り。タンク内でロットを均一に処理し、ボトル差を作る方法ではない。</x:v>
      </x:c>
      <x:c r="P57" s="42" t="str">
        <x:v>誤り。白品種グレーラの高タンニン抽出は目的ではない。</x:v>
      </x:c>
      <x:c r="Q57" s="42" t="str">
        <x:v>発泡性ワイン製法・産地</x:v>
      </x:c>
      <x:c r="R57" s="42" t="str">
        <x:v>タンク方式と品種</x:v>
      </x:c>
      <x:c r="S57" s="42" t="str">
        <x:v>発泡性ワイン</x:v>
      </x:c>
      <x:c r="T57" s="42" t="str">
        <x:v>イタリア</x:v>
      </x:c>
      <x:c r="U57" s="42" t="str">
        <x:v>プロセッコ</x:v>
      </x:c>
      <x:c r="V57" s="42" t="str">
        <x:v>グレラ</x:v>
      </x:c>
      <x:c r="W57" s="42" t="str">
        <x:v>因果説明</x:v>
      </x:c>
      <x:c r="X57" s="53" t="str">
        <x:v>D2</x:v>
      </x:c>
      <x:c r="Y57" s="42" t="str">
        <x:v>グレーラは長期澱熟成でのみ香る; タンク方式はボトル差を作る; タンク方式で高タンニン・長期熟成化</x:v>
      </x:c>
      <x:c r="Z57" s="53" t="str">
        <x:v>N</x:v>
      </x:c>
      <x:c r="AA57" s="42"/>
      <x:c r="AB57" s="42" t="str">
        <x:v>オリジナル</x:v>
      </x:c>
      <x:c r="AC57" s="42" t="str">
        <x:v>公式Specificationの範囲＋ユーザー作成コーパスの論点を参考に独自作成</x:v>
      </x:c>
      <x:c r="AD57" s="53" t="str">
        <x:v>改稿済み・専門家未承認</x:v>
      </x:c>
      <x:c r="AE57" s="53" t="str">
        <x:v>AI誤答レビュー</x:v>
      </x:c>
      <x:c r="AF57" s="53" t="str">
        <x:v>2026-07-12</x:v>
      </x:c>
      <x:c r="AG57" s="43" t="str">
        <x:v>第3バッチ：同一論点内の典型的誤概念へ置換。正答位置は維持。</x:v>
      </x:c>
    </x:row>
    <x:row r="58" ht="84" customHeight="1">
      <x:c r="A58" s="41" t="str">
        <x:v>LO3-017</x:v>
      </x:c>
      <x:c r="B58" s="53" t="str">
        <x:v>LO3</x:v>
      </x:c>
      <x:c r="C58" s="42" t="str">
        <x:v>世界の主要な発泡性ワイン</x:v>
      </x:c>
      <x:c r="D58" s="42" t="str">
        <x:v>コネリアーノ・ヴァルドッビアーデネ</x:v>
      </x:c>
      <x:c r="E58" s="42" t="str">
        <x:v>コネリアーノ・ヴァルドッビアーデネの上質プロセッコが一般的な平地産より高価格になりやすい主な理由はどれか。</x:v>
      </x:c>
      <x:c r="F58" s="42" t="str">
        <x:v>平坦な畑で機械収穫し、収量を高く保てるから</x:v>
      </x:c>
      <x:c r="G58" s="42" t="str">
        <x:v>急斜面で手作業が多く、収量が制限され、評価の高い産地名への需要があるから</x:v>
      </x:c>
      <x:c r="H58" s="42" t="str">
        <x:v>長期間の瓶内澱熟成を行い、自己分解香を強めるから</x:v>
      </x:c>
      <x:c r="I58" s="42" t="str">
        <x:v>黒ブドウを主体にして長い果皮浸漬を行うから</x:v>
      </x:c>
      <x:c r="J58" s="53" t="str">
        <x:v>B</x:v>
      </x:c>
      <x:c r="K58" s="42" t="str">
        <x:v>急斜面で手作業が多く、収量が制限され、評価の高い産地名への需要があるから</x:v>
      </x:c>
      <x:c r="L58" s="42" t="str">
        <x:v>正しい。生産コストと限定供給、産地の名声が価格に反映される。</x:v>
      </x:c>
      <x:c r="M58" s="42" t="str">
        <x:v>誤り。上質な丘陵地は急斜面が多く、機械化が難しい。</x:v>
      </x:c>
      <x:c r="N58" s="42" t="str">
        <x:v>正しい。生産コストと限定供給、産地の名声が価格に反映される。</x:v>
      </x:c>
      <x:c r="O58" s="42" t="str">
        <x:v>誤り。上質プロセッコの価格差は急斜面の労働、収量、産地の評価が主で、長期瓶内熟成が一般条件ではない。</x:v>
      </x:c>
      <x:c r="P58" s="42" t="str">
        <x:v>誤り。主要品種は白ブドウのグレラで、長い果皮浸漬が価格差の主因ではない。</x:v>
      </x:c>
      <x:c r="Q58" s="42" t="str">
        <x:v>商業面・産地</x:v>
      </x:c>
      <x:c r="R58" s="42" t="str">
        <x:v>斜面・価格</x:v>
      </x:c>
      <x:c r="S58" s="42" t="str">
        <x:v>発泡性ワイン</x:v>
      </x:c>
      <x:c r="T58" s="42" t="str">
        <x:v>イタリア</x:v>
      </x:c>
      <x:c r="U58" s="42" t="str">
        <x:v>コネリアーノ・ヴァルドッビアーデネ</x:v>
      </x:c>
      <x:c r="V58" s="42" t="str">
        <x:v>グレラ</x:v>
      </x:c>
      <x:c r="W58" s="42" t="str">
        <x:v>因果説明</x:v>
      </x:c>
      <x:c r="X58" s="53" t="str">
        <x:v>D3</x:v>
      </x:c>
      <x:c r="Y58" s="42" t="str">
        <x:v>コネリアーノ・ヴァルドッビアーデネに関する別の特徴・要因と混同; コネリアーノ・ヴァルドッビアーデネに関する別の特徴・要因と混同; コネリアーノ・ヴァルドッビアーデネに関する別の特徴・要因と混同</x:v>
      </x:c>
      <x:c r="Z58" s="53" t="str">
        <x:v>N</x:v>
      </x:c>
      <x:c r="AA58" s="42"/>
      <x:c r="AB58" s="42" t="str">
        <x:v>オリジナル</x:v>
      </x:c>
      <x:c r="AC58" s="42" t="str">
        <x:v>公式Specificationの範囲＋ユーザー作成コーパスの論点を参考に独自作成</x:v>
      </x:c>
      <x:c r="AD58" s="53" t="str">
        <x:v>改稿済み・専門家未承認</x:v>
      </x:c>
      <x:c r="AE58" s="53" t="str">
        <x:v>AI誤答レビュー</x:v>
      </x:c>
      <x:c r="AF58" s="53" t="str">
        <x:v>2026-07-12</x:v>
      </x:c>
      <x:c r="AG58" s="43" t="str">
        <x:v>最終バッチ：有効な誤答を維持し、絶対語・物理的不可能な誤答のみ置換。正答位置は維持。</x:v>
      </x:c>
    </x:row>
    <x:row r="59" ht="84" customHeight="1">
      <x:c r="A59" s="41" t="str">
        <x:v>LO3-018</x:v>
      </x:c>
      <x:c r="B59" s="53" t="str">
        <x:v>LO3</x:v>
      </x:c>
      <x:c r="C59" s="42" t="str">
        <x:v>世界の主要な発泡性ワイン</x:v>
      </x:c>
      <x:c r="D59" s="42" t="str">
        <x:v>クレマン</x:v>
      </x:c>
      <x:c r="E59" s="42" t="str">
        <x:v>クレマンについて最も適切な説明はどれか。</x:v>
      </x:c>
      <x:c r="F59" s="42" t="str">
        <x:v>シャンパーニュ以外のフランス指定産地で、タンク方式により造る発泡性ワイン</x:v>
      </x:c>
      <x:c r="G59" s="42" t="str">
        <x:v>フランス全土で炭酸ガス注入により造る低価格発泡性ワイン</x:v>
      </x:c>
      <x:c r="H59" s="42" t="str">
        <x:v>シャンパーニュ以外のフランス指定産地で、伝統的方式により造る発泡性ワイン</x:v>
      </x:c>
      <x:c r="I59" s="42" t="str">
        <x:v>シャンパーニュ内で、澱熟成期間の短いカテゴリー</x:v>
      </x:c>
      <x:c r="J59" s="53" t="str">
        <x:v>C</x:v>
      </x:c>
      <x:c r="K59" s="42" t="str">
        <x:v>シャンパーニュ以外のフランス指定産地で、伝統的方式により造る発泡性ワイン</x:v>
      </x:c>
      <x:c r="L59" s="42" t="str">
        <x:v>正しい。アルザス、ロワール、ブルゴーニュ等で地域品種を用いて造る。</x:v>
      </x:c>
      <x:c r="M59" s="42" t="str">
        <x:v>誤り。正答では「伝統的方式」ことが重要であり、この選択肢は「タンク方式」へ置き換えて関係を逆にしている。</x:v>
      </x:c>
      <x:c r="N59" s="42" t="str">
        <x:v>誤り。クレマンは指定産地・伝統的方式。</x:v>
      </x:c>
      <x:c r="O59" s="42" t="str">
        <x:v>正しい。アルザス、ロワール、ブルゴーニュ等で地域品種を用いて造る。</x:v>
      </x:c>
      <x:c r="P59" s="42" t="str">
        <x:v>誤り。シャンパーニュ外のAOC発泡性。</x:v>
      </x:c>
      <x:c r="Q59" s="42" t="str">
        <x:v>法律面・産地</x:v>
      </x:c>
      <x:c r="R59" s="42" t="str">
        <x:v>クレマン</x:v>
      </x:c>
      <x:c r="S59" s="42" t="str">
        <x:v>発泡性ワイン</x:v>
      </x:c>
      <x:c r="T59" s="42" t="str">
        <x:v>フランス</x:v>
      </x:c>
      <x:c r="U59" s="42" t="str">
        <x:v>クレマン</x:v>
      </x:c>
      <x:c r="V59" s="42" t="str"/>
      <x:c r="W59" s="42" t="str">
        <x:v>知識確認</x:v>
      </x:c>
      <x:c r="X59" s="53" t="str">
        <x:v>D1</x:v>
      </x:c>
      <x:c r="Y59" s="42" t="str">
        <x:v>「伝統的方式」と「タンク方式」の関係を逆転; クレマンを炭酸注入と混同; クレマンをシャンパーニュ内区分と混同</x:v>
      </x:c>
      <x:c r="Z59" s="53" t="str">
        <x:v>N</x:v>
      </x:c>
      <x:c r="AA59" s="42"/>
      <x:c r="AB59" s="42" t="str">
        <x:v>オリジナル</x:v>
      </x:c>
      <x:c r="AC59" s="42" t="str">
        <x:v>公式Specificationの範囲＋ユーザー作成コーパスの論点を参考に独自作成</x:v>
      </x:c>
      <x:c r="AD59" s="53" t="str">
        <x:v>改稿済み・専門家未承認</x:v>
      </x:c>
      <x:c r="AE59" s="53" t="str">
        <x:v>AI誤答レビュー</x:v>
      </x:c>
      <x:c r="AF59" s="53" t="str">
        <x:v>2026-07-12</x:v>
      </x:c>
      <x:c r="AG59" s="43" t="str">
        <x:v>第4バッチ：同一論点内の典型的誤概念へ置換。正答位置は維持。</x:v>
      </x:c>
    </x:row>
    <x:row r="60" ht="84" customHeight="1">
      <x:c r="A60" s="41" t="str">
        <x:v>LO3-019</x:v>
      </x:c>
      <x:c r="B60" s="53" t="str">
        <x:v>LO3</x:v>
      </x:c>
      <x:c r="C60" s="42" t="str">
        <x:v>世界の主要な発泡性ワイン</x:v>
      </x:c>
      <x:c r="D60" s="42" t="str">
        <x:v>キャップ・クラシック</x:v>
      </x:c>
      <x:c r="E60" s="42" t="str">
        <x:v>南アフリカのキャップ・クラシックの特徴として、最も適切なものはどれか。</x:v>
      </x:c>
      <x:c r="F60" s="42" t="str">
        <x:v>密閉タンク内で二次発酵する、果実香中心の発泡性ワイン</x:v>
      </x:c>
      <x:c r="G60" s="42" t="str">
        <x:v>完成ワインへ炭酸ガスを注入する、低価格の発泡性ワイン</x:v>
      </x:c>
      <x:c r="H60" s="42" t="str">
        <x:v>一次発酵途中のワインを瓶詰めする、アンセストラル方式の発泡性ワイン</x:v>
      </x:c>
      <x:c r="I60" s="42" t="str">
        <x:v>瓶内二次発酵を行う伝統的方式の発泡性ワイン</x:v>
      </x:c>
      <x:c r="J60" s="53" t="str">
        <x:v>D</x:v>
      </x:c>
      <x:c r="K60" s="42" t="str">
        <x:v>瓶内二次発酵を行う伝統的方式の発泡性ワイン</x:v>
      </x:c>
      <x:c r="L60" s="42" t="str">
        <x:v>正しい。瓶内二次発酵と澱熟成を用いる南アフリカの伝統的方式発泡性ワインである。</x:v>
      </x:c>
      <x:c r="M60" s="42" t="str">
        <x:v>誤り。これはタンク方式の説明である。</x:v>
      </x:c>
      <x:c r="N60" s="42" t="str">
        <x:v>誤り。これは炭酸ガス注入方式である。</x:v>
      </x:c>
      <x:c r="O60" s="42" t="str">
        <x:v>誤り。これはアンセストラル方式の説明である。</x:v>
      </x:c>
      <x:c r="P60" s="42" t="str">
        <x:v>正しい。瓶内二次発酵と澱熟成を用いる南アフリカの伝統的方式発泡性ワインである。</x:v>
      </x:c>
      <x:c r="Q60" s="42" t="str">
        <x:v>法律面・産地</x:v>
      </x:c>
      <x:c r="R60" s="42" t="str">
        <x:v>キャップ・クラシック</x:v>
      </x:c>
      <x:c r="S60" s="42" t="str">
        <x:v>発泡性ワイン</x:v>
      </x:c>
      <x:c r="T60" s="42" t="str">
        <x:v>南アフリカ</x:v>
      </x:c>
      <x:c r="U60" s="42" t="str">
        <x:v>キャップ・クラシック</x:v>
      </x:c>
      <x:c r="V60" s="42" t="str">
        <x:v>シャルドネ、ピノ・ノワール</x:v>
      </x:c>
      <x:c r="W60" s="42" t="str">
        <x:v>知識確認</x:v>
      </x:c>
      <x:c r="X60" s="53" t="str">
        <x:v>D1</x:v>
      </x:c>
      <x:c r="Y60" s="42" t="str">
        <x:v>キャップ・クラシックはタンク方式; キャップ・クラシックは炭酸注入; キャップ・クラシックはアンセストラル方式</x:v>
      </x:c>
      <x:c r="Z60" s="53" t="str">
        <x:v>N</x:v>
      </x:c>
      <x:c r="AA60" s="42"/>
      <x:c r="AB60" s="42" t="str">
        <x:v>オリジナル</x:v>
      </x:c>
      <x:c r="AC60" s="42" t="str">
        <x:v>公式Specificationの範囲＋ユーザー作成コーパスの論点を参考に独自作成</x:v>
      </x:c>
      <x:c r="AD60" s="53" t="str">
        <x:v>改稿済み・専門家未承認</x:v>
      </x:c>
      <x:c r="AE60" s="53" t="str">
        <x:v>AI誤答レビュー</x:v>
      </x:c>
      <x:c r="AF60" s="53" t="str">
        <x:v>2026-07-12</x:v>
      </x:c>
      <x:c r="AG60" s="43" t="str">
        <x:v>第3バッチ：同一論点内の典型的誤概念へ置換。正答位置は維持。</x:v>
      </x:c>
    </x:row>
    <x:row r="61" ht="84" customHeight="1">
      <x:c r="A61" s="41" t="str">
        <x:v>LO3-020</x:v>
      </x:c>
      <x:c r="B61" s="53" t="str">
        <x:v>LO3</x:v>
      </x:c>
      <x:c r="C61" s="42" t="str">
        <x:v>世界の主要な発泡性ワイン</x:v>
      </x:c>
      <x:c r="D61" s="42" t="str">
        <x:v>ニューワールド上質発泡性ワイン</x:v>
      </x:c>
      <x:c r="E61" s="42" t="str">
        <x:v>オーストラリアやニュージーランドの上質な伝統的方式発泡性ワインに、冷涼な地域が選ばれやすい理由はどれか。</x:v>
      </x:c>
      <x:c r="F61" s="42" t="str">
        <x:v>高い酸と低めの糖度を持つ健全なベースワインを得やすいから</x:v>
      </x:c>
      <x:c r="G61" s="42" t="str">
        <x:v>ブドウのタンニンを最大化するため</x:v>
      </x:c>
      <x:c r="H61" s="42" t="str">
        <x:v>湿度を高めて貴腐を発生させ、糖度を濃縮するため</x:v>
      </x:c>
      <x:c r="I61" s="42" t="str">
        <x:v>収穫時の糖度を極端に高くしてベースワインを高アルコールにするため</x:v>
      </x:c>
      <x:c r="J61" s="53" t="str">
        <x:v>A</x:v>
      </x:c>
      <x:c r="K61" s="42" t="str">
        <x:v>高い酸と低めの糖度を持つ健全なベースワインを得やすいから</x:v>
      </x:c>
      <x:c r="L61" s="42" t="str">
        <x:v>正しい。冷涼条件では酸が保持され、二次発酵後もバランスを保てる。</x:v>
      </x:c>
      <x:c r="M61" s="42" t="str">
        <x:v>正しい。冷涼条件では酸が保持され、二次発酵後もバランスを保てる。</x:v>
      </x:c>
      <x:c r="N61" s="42" t="str">
        <x:v>誤り。白やロゼの発泡性ワインでは高タンニンは一般に望まれない。</x:v>
      </x:c>
      <x:c r="O61" s="42" t="str">
        <x:v>誤り。発泡性ワイン用ブドウでは健全果が求められ、貴腐は主目的でない。</x:v>
      </x:c>
      <x:c r="P61" s="42" t="str">
        <x:v>誤り。二次発酵でアルコールが増えるため、ベースワインは高すぎない糖度で収穫される。</x:v>
      </x:c>
      <x:c r="Q61" s="42" t="str">
        <x:v>自然要因・産地</x:v>
      </x:c>
      <x:c r="R61" s="42" t="str">
        <x:v>冷涼地域・ベースワイン</x:v>
      </x:c>
      <x:c r="S61" s="42" t="str">
        <x:v>発泡性ワイン</x:v>
      </x:c>
      <x:c r="T61" s="42" t="str">
        <x:v>オーストラリア／ニュージーランド</x:v>
      </x:c>
      <x:c r="U61" s="42" t="str">
        <x:v>タスマニア、ヤラ・ヴァレー、マールボロ</x:v>
      </x:c>
      <x:c r="V61" s="42" t="str">
        <x:v>シャルドネ、ピノ・ノワール</x:v>
      </x:c>
      <x:c r="W61" s="42" t="str">
        <x:v>因果説明</x:v>
      </x:c>
      <x:c r="X61" s="53" t="str">
        <x:v>D2</x:v>
      </x:c>
      <x:c r="Y61" s="42" t="str">
        <x:v>ニューワールド上質発泡性ワインに関する別の特徴・要因と混同; ニューワールド上質発泡性ワインに関する別の特徴・要因と混同; ニューワールド上質発泡性ワインに関する別の特徴・要因と混同</x:v>
      </x:c>
      <x:c r="Z61" s="53" t="str">
        <x:v>N</x:v>
      </x:c>
      <x:c r="AA61" s="42"/>
      <x:c r="AB61" s="42" t="str">
        <x:v>オリジナル</x:v>
      </x:c>
      <x:c r="AC61" s="42" t="str">
        <x:v>公式Specificationの範囲＋ユーザー作成コーパスの論点を参考に独自作成</x:v>
      </x:c>
      <x:c r="AD61" s="53" t="str">
        <x:v>改稿済み・専門家未承認</x:v>
      </x:c>
      <x:c r="AE61" s="53" t="str">
        <x:v>AI誤答レビュー</x:v>
      </x:c>
      <x:c r="AF61" s="53" t="str">
        <x:v>2026-07-12</x:v>
      </x:c>
      <x:c r="AG61" s="43" t="str">
        <x:v>最終バッチ：有効な誤答を維持し、絶対語・物理的不可能な誤答のみ置換。正答位置は維持。</x:v>
      </x:c>
    </x:row>
    <x:row r="62" ht="84" customHeight="1">
      <x:c r="A62" s="41" t="str">
        <x:v>LO4-001</x:v>
      </x:c>
      <x:c r="B62" s="53" t="str">
        <x:v>LO4</x:v>
      </x:c>
      <x:c r="C62" s="42" t="str">
        <x:v>世界の主要な酒精強化ワイン</x:v>
      </x:c>
      <x:c r="D62" s="42" t="str">
        <x:v>ポートの酒精強化</x:v>
      </x:c>
      <x:c r="E62" s="42" t="str">
        <x:v>甘口のポートで、アルコール発酵の途中に酒精強化を行う主な目的はどれか。</x:v>
      </x:c>
      <x:c r="F62" s="42" t="str">
        <x:v>酵母の活動を止め、未発酵の糖を残しながらアルコール度を高めるため</x:v>
      </x:c>
      <x:c r="G62" s="42" t="str">
        <x:v>糖の大部分を発酵させた後にアルコールを加え、辛口で高アルコールのスタイルにするため</x:v>
      </x:c>
      <x:c r="H62" s="42" t="str">
        <x:v>発酵の早い段階で強化するほど残糖を減らし、より辛口にするため</x:v>
      </x:c>
      <x:c r="I62" s="42" t="str">
        <x:v>アルコール度を高めても酵母は同じ速度で発酵を続けるため、甘味には影響しない</x:v>
      </x:c>
      <x:c r="J62" s="53" t="str">
        <x:v>A</x:v>
      </x:c>
      <x:c r="K62" s="42" t="str">
        <x:v>酵母の活動を止め、未発酵の糖を残しながらアルコール度を高めるため</x:v>
      </x:c>
      <x:c r="L62" s="42" t="str">
        <x:v>正しい。高アルコールのスピリッツが酵母を停止し、糖を残して最終度数も高める。</x:v>
      </x:c>
      <x:c r="M62" s="42" t="str">
        <x:v>正しい。高アルコールのスピリッツが酵母を停止し、糖を残して最終度数も高める。</x:v>
      </x:c>
      <x:c r="N62" s="42" t="str">
        <x:v>誤り。これは発酵後酒精強化の説明で、甘口ポートの発酵停止とは異なる。</x:v>
      </x:c>
      <x:c r="O62" s="42" t="str">
        <x:v>誤り。早く止めるほど未発酵糖が多く残り、一般により甘くなるため記述は逆である。</x:v>
      </x:c>
      <x:c r="P62" s="42" t="str">
        <x:v>誤り。酒精強化後の高いアルコール環境では酵母活動が停止する。</x:v>
      </x:c>
      <x:c r="Q62" s="42" t="str">
        <x:v>酒精強化ワイン製法</x:v>
      </x:c>
      <x:c r="R62" s="42" t="str">
        <x:v>発酵中の酒精強化</x:v>
      </x:c>
      <x:c r="S62" s="42" t="str">
        <x:v>酒精強化ワイン</x:v>
      </x:c>
      <x:c r="T62" s="42" t="str">
        <x:v>ポルトガル</x:v>
      </x:c>
      <x:c r="U62" s="42" t="str">
        <x:v>ドウロ／ポート</x:v>
      </x:c>
      <x:c r="V62" s="42" t="str">
        <x:v>ポート主要黒ブドウ</x:v>
      </x:c>
      <x:c r="W62" s="42" t="str">
        <x:v>因果説明</x:v>
      </x:c>
      <x:c r="X62" s="53" t="str">
        <x:v>D1</x:v>
      </x:c>
      <x:c r="Y62" s="42" t="str">
        <x:v>甘口ポートは辛口発酵後に強化する; 早期酒精強化ほど辛口になる; 酒精強化後も酵母は同速度で発酵する</x:v>
      </x:c>
      <x:c r="Z62" s="53" t="str">
        <x:v>N</x:v>
      </x:c>
      <x:c r="AA62" s="42"/>
      <x:c r="AB62" s="42" t="str">
        <x:v>オリジナル</x:v>
      </x:c>
      <x:c r="AC62" s="42" t="str">
        <x:v>公式Specificationの範囲＋ユーザー作成コーパスの論点を参考に独自作成</x:v>
      </x:c>
      <x:c r="AD62" s="53" t="str">
        <x:v>改稿済み・専門家未承認</x:v>
      </x:c>
      <x:c r="AE62" s="53" t="str">
        <x:v>AI誤答レビュー</x:v>
      </x:c>
      <x:c r="AF62" s="53" t="str">
        <x:v>2026-07-12</x:v>
      </x:c>
      <x:c r="AG62" s="43" t="str">
        <x:v>第2バッチ：誤答を同一論点内の典型的誤概念へ置換。正答位置は維持。</x:v>
      </x:c>
    </x:row>
    <x:row r="63" ht="84" customHeight="1">
      <x:c r="A63" s="41" t="str">
        <x:v>LO4-002</x:v>
      </x:c>
      <x:c r="B63" s="53" t="str">
        <x:v>LO4</x:v>
      </x:c>
      <x:c r="C63" s="42" t="str">
        <x:v>世界の主要な酒精強化ワイン</x:v>
      </x:c>
      <x:c r="D63" s="42" t="str">
        <x:v>ポートの抽出</x:v>
      </x:c>
      <x:c r="E63" s="42" t="str">
        <x:v>ポート用の赤ワインで短い発酵期間中に強い抽出が必要となる主な理由はどれか。</x:v>
      </x:c>
      <x:c r="F63" s="42" t="str">
        <x:v>辛口まで発酵してから酒精強化するため、発酵中に強く抽出する必要はない</x:v>
      </x:c>
      <x:c r="G63" s="42" t="str">
        <x:v>発酵途中で酒精強化するまでの短時間に、十分な色とタンニンを抽出する必要があるため</x:v>
      </x:c>
      <x:c r="H63" s="42" t="str">
        <x:v>ポートは長期発酵するため、抽出を弱くして過剰タンニンを避ける必要がある</x:v>
      </x:c>
      <x:c r="I63" s="42" t="str">
        <x:v>酒精強化後に果皮がすぐ溶けるため、発酵中の抽出は重要でない</x:v>
      </x:c>
      <x:c r="J63" s="53" t="str">
        <x:v>B</x:v>
      </x:c>
      <x:c r="K63" s="42" t="str">
        <x:v>発酵途中で酒精強化するまでの短時間に、十分な色とタンニンを抽出する必要があるため</x:v>
      </x:c>
      <x:c r="L63" s="42" t="str">
        <x:v>正しい。甘味を残すため早く発酵を止めるので、足踏み等で抽出を加速する。</x:v>
      </x:c>
      <x:c r="M63" s="42" t="str">
        <x:v>誤り。ポートは発酵途中で酒精強化するため、短期間で色とタンニンを抽出する必要がある。</x:v>
      </x:c>
      <x:c r="N63" s="42" t="str">
        <x:v>正しい。甘味を残すため早く発酵を止めるので、足踏み等で抽出を加速する。</x:v>
      </x:c>
      <x:c r="O63" s="42" t="str">
        <x:v>誤り。発酵は短く、迅速な抽出が必要。</x:v>
      </x:c>
      <x:c r="P63" s="42" t="str">
        <x:v>誤り。酒精強化後に果皮が溶けるわけではなく、発酵中抽出が重要。</x:v>
      </x:c>
      <x:c r="Q63" s="42" t="str">
        <x:v>酒精強化ワイン製法</x:v>
      </x:c>
      <x:c r="R63" s="42" t="str">
        <x:v>短期間の抽出</x:v>
      </x:c>
      <x:c r="S63" s="42" t="str">
        <x:v>酒精強化ワイン</x:v>
      </x:c>
      <x:c r="T63" s="42" t="str">
        <x:v>ポルトガル</x:v>
      </x:c>
      <x:c r="U63" s="42" t="str">
        <x:v>ドウロ／ポート</x:v>
      </x:c>
      <x:c r="V63" s="42" t="str">
        <x:v>トゥリガ・ナショナルほか</x:v>
      </x:c>
      <x:c r="W63" s="42" t="str">
        <x:v>因果説明</x:v>
      </x:c>
      <x:c r="X63" s="53" t="str">
        <x:v>D2</x:v>
      </x:c>
      <x:c r="Y63" s="42" t="str">
        <x:v>ポートは辛口発酵後に強化する; ポートは長期発酵; 強化後に果皮が溶け抽出不要</x:v>
      </x:c>
      <x:c r="Z63" s="53" t="str">
        <x:v>N</x:v>
      </x:c>
      <x:c r="AA63" s="42"/>
      <x:c r="AB63" s="42" t="str">
        <x:v>オリジナル</x:v>
      </x:c>
      <x:c r="AC63" s="42" t="str">
        <x:v>公式Specificationの範囲＋ユーザー作成コーパスの論点を参考に独自作成</x:v>
      </x:c>
      <x:c r="AD63" s="53" t="str">
        <x:v>改稿済み・専門家未承認</x:v>
      </x:c>
      <x:c r="AE63" s="53" t="str">
        <x:v>AI誤答レビュー</x:v>
      </x:c>
      <x:c r="AF63" s="53" t="str">
        <x:v>2026-07-12</x:v>
      </x:c>
      <x:c r="AG63" s="43" t="str">
        <x:v>第4バッチ：同一論点内の典型的誤概念へ置換。正答位置は維持。</x:v>
      </x:c>
    </x:row>
    <x:row r="64" ht="84" customHeight="1">
      <x:c r="A64" s="41" t="str">
        <x:v>LO4-003</x:v>
      </x:c>
      <x:c r="B64" s="53" t="str">
        <x:v>LO4</x:v>
      </x:c>
      <x:c r="C64" s="42" t="str">
        <x:v>世界の主要な酒精強化ワイン</x:v>
      </x:c>
      <x:c r="D64" s="42" t="str">
        <x:v>ドウロの自然要因</x:v>
      </x:c>
      <x:c r="E64" s="42" t="str">
        <x:v>ドウロ川流域の上質ポート生産で、急斜面と片岩質土壌が重要となる理由として最も適切なものはどれか。</x:v>
      </x:c>
      <x:c r="F64" s="42" t="str">
        <x:v>急斜面が機械化を容易にし、生産コストを下げる</x:v>
      </x:c>
      <x:c r="G64" s="42" t="str">
        <x:v>片岩が豊富な栄養分を供給し、樹勢と収量を高める</x:v>
      </x:c>
      <x:c r="H64" s="42" t="str">
        <x:v>水はけがよく、根が割れ目へ深く伸びて乾燥条件でも水を得やすい</x:v>
      </x:c>
      <x:c r="I64" s="42" t="str">
        <x:v>海洋からの冷たい霧を毎日取り込む</x:v>
      </x:c>
      <x:c r="J64" s="53" t="str">
        <x:v>C</x:v>
      </x:c>
      <x:c r="K64" s="42" t="str">
        <x:v>水はけがよく、根が割れ目へ深く伸びて乾燥条件でも水を得やすい</x:v>
      </x:c>
      <x:c r="L64" s="42" t="str">
        <x:v>正しい。乾燥した夏に適応しつつ、急斜面の日照が成熟を助ける。</x:v>
      </x:c>
      <x:c r="M64" s="42" t="str">
        <x:v>誤り。急斜面は機械化を難しくし、手作業を増やす。</x:v>
      </x:c>
      <x:c r="N64" s="42" t="str">
        <x:v>誤り。片岩は一般に痩せた土壌で、過剰な樹勢や高収量を促す説明ではない。</x:v>
      </x:c>
      <x:c r="O64" s="42" t="str">
        <x:v>正しい。乾燥した夏に適応しつつ、急斜面の日照が成熟を助ける。</x:v>
      </x:c>
      <x:c r="P64" s="42" t="str">
        <x:v>誤り。内陸のドウロは海洋の冷却が山地で遮られ、暑く乾燥しやすい。</x:v>
      </x:c>
      <x:c r="Q64" s="42" t="str">
        <x:v>自然要因・産地</x:v>
      </x:c>
      <x:c r="R64" s="42" t="str">
        <x:v>斜面・片岩</x:v>
      </x:c>
      <x:c r="S64" s="42" t="str">
        <x:v>酒精強化ワイン</x:v>
      </x:c>
      <x:c r="T64" s="42" t="str">
        <x:v>ポルトガル</x:v>
      </x:c>
      <x:c r="U64" s="42" t="str">
        <x:v>ドウロ</x:v>
      </x:c>
      <x:c r="V64" s="42" t="str">
        <x:v>ポート主要黒ブドウ</x:v>
      </x:c>
      <x:c r="W64" s="42" t="str">
        <x:v>因果説明</x:v>
      </x:c>
      <x:c r="X64" s="53" t="str">
        <x:v>D3</x:v>
      </x:c>
      <x:c r="Y64" s="42" t="str">
        <x:v>ドウロの自然要因に関する別の特徴・要因と混同; ドウロの自然要因に関する別の特徴・要因と混同; ドウロの自然要因に関する別の特徴・要因と混同</x:v>
      </x:c>
      <x:c r="Z64" s="53" t="str">
        <x:v>N</x:v>
      </x:c>
      <x:c r="AA64" s="42"/>
      <x:c r="AB64" s="42" t="str">
        <x:v>オリジナル</x:v>
      </x:c>
      <x:c r="AC64" s="42" t="str">
        <x:v>公式Specificationの範囲＋ユーザー作成コーパスの論点を参考に独自作成</x:v>
      </x:c>
      <x:c r="AD64" s="53" t="str">
        <x:v>改稿済み・専門家未承認</x:v>
      </x:c>
      <x:c r="AE64" s="53" t="str">
        <x:v>AI誤答レビュー</x:v>
      </x:c>
      <x:c r="AF64" s="53" t="str">
        <x:v>2026-07-12</x:v>
      </x:c>
      <x:c r="AG64" s="43" t="str">
        <x:v>最終バッチ：有効な誤答を維持し、絶対語・物理的不可能な誤答のみ置換。正答位置は維持。</x:v>
      </x:c>
    </x:row>
    <x:row r="65" ht="84" customHeight="1">
      <x:c r="A65" s="41" t="str">
        <x:v>LO4-004</x:v>
      </x:c>
      <x:c r="B65" s="53" t="str">
        <x:v>LO4</x:v>
      </x:c>
      <x:c r="C65" s="42" t="str">
        <x:v>世界の主要な酒精強化ワイン</x:v>
      </x:c>
      <x:c r="D65" s="42" t="str">
        <x:v>ルビー・ポート</x:v>
      </x:c>
      <x:c r="E65" s="42" t="str">
        <x:v>ルビー・ポートの若々しい果実味と深い色を保つための熟成方法として最も適切なものはどれか。</x:v>
      </x:c>
      <x:c r="F65" s="42" t="str">
        <x:v>小型の樽で長期間酸化させ、色を淡くしてから瓶詰めする</x:v>
      </x:c>
      <x:c r="G65" s="42" t="str">
        <x:v>小型の古樽で長期酸化熟成し、色を淡くする</x:v>
      </x:c>
      <x:c r="H65" s="42" t="str">
        <x:v>無濾過で早期瓶詰めし、数十年瓶熟成してから販売する</x:v>
      </x:c>
      <x:c r="I65" s="42" t="str">
        <x:v>酸素接触の少ない大型タンクや大樽で比較的短く熟成する</x:v>
      </x:c>
      <x:c r="J65" s="53" t="str">
        <x:v>D</x:v>
      </x:c>
      <x:c r="K65" s="42" t="str">
        <x:v>酸素接触の少ない大型タンクや大樽で比較的短く熟成する</x:v>
      </x:c>
      <x:c r="L65" s="42" t="str">
        <x:v>正しい。濃い色と若い黒系果実を保ち、早期に瓶詰めする。</x:v>
      </x:c>
      <x:c r="M65" s="42" t="str">
        <x:v>誤り。ルビー・ポートは酸素接触の少ない大容器で若い果実と濃色を保つ。</x:v>
      </x:c>
      <x:c r="N65" s="42" t="str">
        <x:v>誤り。これはトーニー型。</x:v>
      </x:c>
      <x:c r="O65" s="42" t="str">
        <x:v>誤り。これはヴィンテージ型に近い。</x:v>
      </x:c>
      <x:c r="P65" s="42" t="str">
        <x:v>正しい。濃い色と若い黒系果実を保ち、早期に瓶詰めする。</x:v>
      </x:c>
      <x:c r="Q65" s="42" t="str">
        <x:v>酒精強化ワイン製法</x:v>
      </x:c>
      <x:c r="R65" s="42" t="str">
        <x:v>還元的熟成</x:v>
      </x:c>
      <x:c r="S65" s="42" t="str">
        <x:v>酒精強化ワイン</x:v>
      </x:c>
      <x:c r="T65" s="42" t="str">
        <x:v>ポルトガル</x:v>
      </x:c>
      <x:c r="U65" s="42" t="str">
        <x:v>ポート</x:v>
      </x:c>
      <x:c r="V65" s="42" t="str">
        <x:v>ポート主要黒ブドウ</x:v>
      </x:c>
      <x:c r="W65" s="42" t="str">
        <x:v>因果説明</x:v>
      </x:c>
      <x:c r="X65" s="53" t="str">
        <x:v>D2</x:v>
      </x:c>
      <x:c r="Y65" s="42" t="str">
        <x:v>ルビー・ポートを長期小樽酸化熟成する; ルビー・ポートをトーニー熟成と混同; ルビー・ポートをヴィンテージ型と混同</x:v>
      </x:c>
      <x:c r="Z65" s="53" t="str">
        <x:v>N</x:v>
      </x:c>
      <x:c r="AA65" s="42"/>
      <x:c r="AB65" s="42" t="str">
        <x:v>オリジナル</x:v>
      </x:c>
      <x:c r="AC65" s="42" t="str">
        <x:v>公式Specificationの範囲＋ユーザー作成コーパスの論点を参考に独自作成</x:v>
      </x:c>
      <x:c r="AD65" s="53" t="str">
        <x:v>改稿済み・専門家未承認</x:v>
      </x:c>
      <x:c r="AE65" s="53" t="str">
        <x:v>AI誤答レビュー</x:v>
      </x:c>
      <x:c r="AF65" s="53" t="str">
        <x:v>2026-07-12</x:v>
      </x:c>
      <x:c r="AG65" s="43" t="str">
        <x:v>第4バッチ：同一論点内の典型的誤概念へ置換。正答位置は維持。</x:v>
      </x:c>
    </x:row>
    <x:row r="66" ht="84" customHeight="1">
      <x:c r="A66" s="41" t="str">
        <x:v>LO4-005</x:v>
      </x:c>
      <x:c r="B66" s="53" t="str">
        <x:v>LO4</x:v>
      </x:c>
      <x:c r="C66" s="42" t="str">
        <x:v>世界の主要な酒精強化ワイン</x:v>
      </x:c>
      <x:c r="D66" s="42" t="str">
        <x:v>トーニー・ポート</x:v>
      </x:c>
      <x:c r="E66" s="42" t="str">
        <x:v>長期間木樽で熟成したトーニー・ポートに典型的な特徴はどれか。</x:v>
      </x:c>
      <x:c r="F66" s="42" t="str">
        <x:v>淡い琥珀色、ナッツ、キャラメル、ドライフルーツの香り</x:v>
      </x:c>
      <x:c r="G66" s="42" t="str">
        <x:v>酸化を抑えつつ、アーモンド、パン生地、アセトアルデヒドを思わせる風味を加える</x:v>
      </x:c>
      <x:c r="H66" s="42" t="str">
        <x:v>濃い紫色、新鮮なブラックベリー、高いタンニン</x:v>
      </x:c>
      <x:c r="I66" s="42" t="str">
        <x:v>淡色、アーモンド、パン生地、塩味を持つ辛口</x:v>
      </x:c>
      <x:c r="J66" s="53" t="str">
        <x:v>A</x:v>
      </x:c>
      <x:c r="K66" s="42" t="str">
        <x:v>淡い琥珀色、ナッツ、キャラメル、ドライフルーツの香り</x:v>
      </x:c>
      <x:c r="L66" s="42" t="str">
        <x:v>正しい。酸化と蒸発によって色が淡くなり、熟成香と濃縮感が増す。</x:v>
      </x:c>
      <x:c r="M66" s="42" t="str">
        <x:v>正しい。酸化と蒸発によって色が淡くなり、熟成香と濃縮感が増す。</x:v>
      </x:c>
      <x:c r="N66" s="42" t="str">
        <x:v>誤り。これは同じ知識領域の「フロール」に当てはまる説明で、設問の「トーニー・ポート」を最も適切に説明しない。</x:v>
      </x:c>
      <x:c r="O66" s="42" t="str">
        <x:v>誤り。これは若いルビー型。</x:v>
      </x:c>
      <x:c r="P66" s="42" t="str">
        <x:v>誤り。これはフィノ／マンサニーリャ型。</x:v>
      </x:c>
      <x:c r="Q66" s="42" t="str">
        <x:v>酒精強化ワイン製法</x:v>
      </x:c>
      <x:c r="R66" s="42" t="str">
        <x:v>酸化熟成</x:v>
      </x:c>
      <x:c r="S66" s="42" t="str">
        <x:v>酒精強化ワイン</x:v>
      </x:c>
      <x:c r="T66" s="42" t="str">
        <x:v>ポルトガル</x:v>
      </x:c>
      <x:c r="U66" s="42" t="str">
        <x:v>ポート</x:v>
      </x:c>
      <x:c r="V66" s="42" t="str">
        <x:v>ポート主要黒ブドウ</x:v>
      </x:c>
      <x:c r="W66" s="42" t="str">
        <x:v>知識確認</x:v>
      </x:c>
      <x:c r="X66" s="53" t="str">
        <x:v>D1</x:v>
      </x:c>
      <x:c r="Y66" s="42" t="str">
        <x:v>トーニー・ポートをフロールの特徴と混同; トーニーをルビー型と混同; トーニーを生物学的熟成シェリーと混同</x:v>
      </x:c>
      <x:c r="Z66" s="53" t="str">
        <x:v>N</x:v>
      </x:c>
      <x:c r="AA66" s="42"/>
      <x:c r="AB66" s="42" t="str">
        <x:v>オリジナル</x:v>
      </x:c>
      <x:c r="AC66" s="42" t="str">
        <x:v>公式Specificationの範囲＋ユーザー作成コーパスの論点を参考に独自作成</x:v>
      </x:c>
      <x:c r="AD66" s="53" t="str">
        <x:v>改稿済み・専門家未承認</x:v>
      </x:c>
      <x:c r="AE66" s="53" t="str">
        <x:v>AI誤答レビュー</x:v>
      </x:c>
      <x:c r="AF66" s="53" t="str">
        <x:v>2026-07-12</x:v>
      </x:c>
      <x:c r="AG66" s="43" t="str">
        <x:v>第4バッチ：同一論点内の典型的誤概念へ置換。正答位置は維持。</x:v>
      </x:c>
    </x:row>
    <x:row r="67" ht="84" customHeight="1">
      <x:c r="A67" s="41" t="str">
        <x:v>LO4-006</x:v>
      </x:c>
      <x:c r="B67" s="53" t="str">
        <x:v>LO4</x:v>
      </x:c>
      <x:c r="C67" s="42" t="str">
        <x:v>世界の主要な酒精強化ワイン</x:v>
      </x:c>
      <x:c r="D67" s="42" t="str">
        <x:v>ヴィンテージ・ポート</x:v>
      </x:c>
      <x:c r="E67" s="42" t="str">
        <x:v>ヴィンテージ・ポートが瓶内で長期熟成できる主な理由はどれか。</x:v>
      </x:c>
      <x:c r="F67" s="42" t="str">
        <x:v>小樽で長期間酸化熟成し、タンニンを十分に弱めてから瓶詰めする</x:v>
      </x:c>
      <x:c r="G67" s="42" t="str">
        <x:v>高い果実濃度、酸、タンニンを持ち、短い樽熟成後に無濾過で瓶詰めされるため</x:v>
      </x:c>
      <x:c r="H67" s="42" t="str">
        <x:v>長期小樽酸化熟成でタンニンがなくなってから瓶詰めするため</x:v>
      </x:c>
      <x:c r="I67" s="42" t="str">
        <x:v>高い残糖だけが酸化を防ぎ、熟成を可能にするため</x:v>
      </x:c>
      <x:c r="J67" s="53" t="str">
        <x:v>B</x:v>
      </x:c>
      <x:c r="K67" s="42" t="str">
        <x:v>高い果実濃度、酸、タンニンを持ち、短い樽熟成後に無濾過で瓶詰めされるため</x:v>
      </x:c>
      <x:c r="L67" s="42" t="str">
        <x:v>正しい。強い構造が瓶内でゆっくり統合され、第三アロマを発達させる。</x:v>
      </x:c>
      <x:c r="M67" s="42" t="str">
        <x:v>誤り。ヴィンテージ・ポートは短い樽熟成後に無濾過瓶詰めされ、瓶内で発展する。</x:v>
      </x:c>
      <x:c r="N67" s="42" t="str">
        <x:v>正しい。強い構造が瓶内でゆっくり統合され、第三アロマを発達させる。</x:v>
      </x:c>
      <x:c r="O67" s="42" t="str">
        <x:v>誤り。ヴィンテージは瓶内で発展する濃色型。</x:v>
      </x:c>
      <x:c r="P67" s="42" t="str">
        <x:v>誤り。甘味だけでなく酸・タンニン・濃度が重要。</x:v>
      </x:c>
      <x:c r="Q67" s="42" t="str">
        <x:v>スタイル・品質</x:v>
      </x:c>
      <x:c r="R67" s="42" t="str">
        <x:v>熟成能力</x:v>
      </x:c>
      <x:c r="S67" s="42" t="str">
        <x:v>酒精強化ワイン</x:v>
      </x:c>
      <x:c r="T67" s="42" t="str">
        <x:v>ポルトガル</x:v>
      </x:c>
      <x:c r="U67" s="42" t="str">
        <x:v>ポート</x:v>
      </x:c>
      <x:c r="V67" s="42" t="str">
        <x:v>ポート主要黒ブドウ</x:v>
      </x:c>
      <x:c r="W67" s="42" t="str">
        <x:v>因果説明</x:v>
      </x:c>
      <x:c r="X67" s="53" t="str">
        <x:v>D2</x:v>
      </x:c>
      <x:c r="Y67" s="42" t="str">
        <x:v>ヴィンテージ・ポートを長期樽酸化型と混同; ヴィンテージを長期樽酸化型と混同; ヴィンテージの熟成力は残糖だけ</x:v>
      </x:c>
      <x:c r="Z67" s="53" t="str">
        <x:v>N</x:v>
      </x:c>
      <x:c r="AA67" s="42"/>
      <x:c r="AB67" s="42" t="str">
        <x:v>オリジナル</x:v>
      </x:c>
      <x:c r="AC67" s="42" t="str">
        <x:v>公式Specificationの範囲＋ユーザー作成コーパスの論点を参考に独自作成</x:v>
      </x:c>
      <x:c r="AD67" s="53" t="str">
        <x:v>改稿済み・専門家未承認</x:v>
      </x:c>
      <x:c r="AE67" s="53" t="str">
        <x:v>AI誤答レビュー</x:v>
      </x:c>
      <x:c r="AF67" s="53" t="str">
        <x:v>2026-07-12</x:v>
      </x:c>
      <x:c r="AG67" s="43" t="str">
        <x:v>第4バッチ：同一論点内の典型的誤概念へ置換。正答位置は維持。</x:v>
      </x:c>
    </x:row>
    <x:row r="68" ht="84" customHeight="1">
      <x:c r="A68" s="41" t="str">
        <x:v>LO4-007</x:v>
      </x:c>
      <x:c r="B68" s="53" t="str">
        <x:v>LO4</x:v>
      </x:c>
      <x:c r="C68" s="42" t="str">
        <x:v>世界の主要な酒精強化ワイン</x:v>
      </x:c>
      <x:c r="D68" s="42" t="str">
        <x:v>LBVポート</x:v>
      </x:c>
      <x:c r="E68" s="42" t="str">
        <x:v>レイト・ボトルド・ヴィンテージ（LBV）ポートが、一般にヴィンテージ・ポートより早く飲み頃になりやすい理由はどれか。</x:v>
      </x:c>
      <x:c r="F68" s="42" t="str">
        <x:v>より品質の高い、色と果実味の強い複数ロットを選んでブレンドする</x:v>
      </x:c>
      <x:c r="G68" s="42" t="str">
        <x:v>ヴィンテージ・ポートより早く瓶詰めし、瓶熟成期間を長くするため</x:v>
      </x:c>
      <x:c r="H68" s="42" t="str">
        <x:v>瓶詰め前に樽やタンクでより長く熟成し、タンニンが穏やかになるため</x:v>
      </x:c>
      <x:c r="I68" s="42" t="str">
        <x:v>小樽で酸化熟成し、トーニー色へ変えるため</x:v>
      </x:c>
      <x:c r="J68" s="53" t="str">
        <x:v>C</x:v>
      </x:c>
      <x:c r="K68" s="42" t="str">
        <x:v>瓶詰め前に樽やタンクでより長く熟成し、タンニンが穏やかになるため</x:v>
      </x:c>
      <x:c r="L68" s="42" t="str">
        <x:v>正しい。ヴィンテージより完成した状態で販売され、濾過品は澱も少ない。</x:v>
      </x:c>
      <x:c r="M68" s="42" t="str">
        <x:v>誤り。これは同じ知識領域の「ルビー・リザーヴ」に当てはまる説明で、設問の「LBVポート」を最も適切に説明しない。</x:v>
      </x:c>
      <x:c r="N68" s="42" t="str">
        <x:v>誤り。LBVは遅く瓶詰めする。</x:v>
      </x:c>
      <x:c r="O68" s="42" t="str">
        <x:v>正しい。ヴィンテージより完成した状態で販売され、濾過品は澱も少ない。</x:v>
      </x:c>
      <x:c r="P68" s="42" t="str">
        <x:v>誤り。LBVはルビー系の果実味を保つ。</x:v>
      </x:c>
      <x:c r="Q68" s="42" t="str">
        <x:v>法律面・スタイル</x:v>
      </x:c>
      <x:c r="R68" s="42" t="str">
        <x:v>LBV</x:v>
      </x:c>
      <x:c r="S68" s="42" t="str">
        <x:v>酒精強化ワイン</x:v>
      </x:c>
      <x:c r="T68" s="42" t="str">
        <x:v>ポルトガル</x:v>
      </x:c>
      <x:c r="U68" s="42" t="str">
        <x:v>ポート</x:v>
      </x:c>
      <x:c r="V68" s="42" t="str">
        <x:v>ポート主要黒ブドウ</x:v>
      </x:c>
      <x:c r="W68" s="42" t="str">
        <x:v>比較</x:v>
      </x:c>
      <x:c r="X68" s="53" t="str">
        <x:v>D2</x:v>
      </x:c>
      <x:c r="Y68" s="42" t="str">
        <x:v>LBVポートをルビー・リザーヴの特徴と混同; LBVは早期瓶詰め; LBVをトーニー型と混同</x:v>
      </x:c>
      <x:c r="Z68" s="53" t="str">
        <x:v>N</x:v>
      </x:c>
      <x:c r="AA68" s="42"/>
      <x:c r="AB68" s="42" t="str">
        <x:v>オリジナル</x:v>
      </x:c>
      <x:c r="AC68" s="42" t="str">
        <x:v>公式Specificationの範囲＋ユーザー作成コーパスの論点を参考に独自作成</x:v>
      </x:c>
      <x:c r="AD68" s="53" t="str">
        <x:v>改稿済み・専門家未承認</x:v>
      </x:c>
      <x:c r="AE68" s="53" t="str">
        <x:v>AI誤答レビュー</x:v>
      </x:c>
      <x:c r="AF68" s="53" t="str">
        <x:v>2026-07-12</x:v>
      </x:c>
      <x:c r="AG68" s="43" t="str">
        <x:v>第4バッチ：同一論点内の典型的誤概念へ置換。正答位置は維持。</x:v>
      </x:c>
    </x:row>
    <x:row r="69" ht="84" customHeight="1">
      <x:c r="A69" s="41" t="str">
        <x:v>LO4-008</x:v>
      </x:c>
      <x:c r="B69" s="53" t="str">
        <x:v>LO4</x:v>
      </x:c>
      <x:c r="C69" s="42" t="str">
        <x:v>世界の主要な酒精強化ワイン</x:v>
      </x:c>
      <x:c r="D69" s="42" t="str">
        <x:v>年数表記トーニー</x:v>
      </x:c>
      <x:c r="E69" s="42" t="str">
        <x:v>年数表記トーニー・ポートの表示年数が示すものとして最も適切なものはどれか。</x:v>
      </x:c>
      <x:c r="F69" s="42" t="str">
        <x:v>ブレンド中の最も若いワインの正確な年齢</x:v>
      </x:c>
      <x:c r="G69" s="42" t="str">
        <x:v>単一ヴィンテージのワインを、その年数だけ樽熟成したこと</x:v>
      </x:c>
      <x:c r="H69" s="42" t="str">
        <x:v>ボトルに詰めてから熟成させた年数</x:v>
      </x:c>
      <x:c r="I69" s="42" t="str">
        <x:v>ブレンド全体が示す平均的な熟成特性のスタイル</x:v>
      </x:c>
      <x:c r="J69" s="53" t="str">
        <x:v>D</x:v>
      </x:c>
      <x:c r="K69" s="42" t="str">
        <x:v>ブレンド全体が示す平均的な熟成特性のスタイル</x:v>
      </x:c>
      <x:c r="L69" s="42" t="str">
        <x:v>正しい。10年、20年などの表示は、官能的に期待される平均的な熟成スタイルを示す。</x:v>
      </x:c>
      <x:c r="M69" s="42" t="str">
        <x:v>誤り。表示は最若年ワインの年齢を保証するものではない。</x:v>
      </x:c>
      <x:c r="N69" s="42" t="str">
        <x:v>誤り。通常は複数年のワインをブレンドし、表示年数は単一ヴィンテージや正確な熟成年数を示さない。</x:v>
      </x:c>
      <x:c r="O69" s="42" t="str">
        <x:v>誤り。主な熟成は木樽で行われ、表示年数は瓶熟成年数ではない。</x:v>
      </x:c>
      <x:c r="P69" s="42" t="str">
        <x:v>正しい。10年、20年などの表示は、官能的に期待される平均的な熟成スタイルを示す。</x:v>
      </x:c>
      <x:c r="Q69" s="42" t="str">
        <x:v>法律面・表示</x:v>
      </x:c>
      <x:c r="R69" s="42" t="str">
        <x:v>年数表記トーニー</x:v>
      </x:c>
      <x:c r="S69" s="42" t="str">
        <x:v>酒精強化ワイン</x:v>
      </x:c>
      <x:c r="T69" s="42" t="str">
        <x:v>ポルトガル</x:v>
      </x:c>
      <x:c r="U69" s="42" t="str">
        <x:v>ポート</x:v>
      </x:c>
      <x:c r="V69" s="42" t="str"/>
      <x:c r="W69" s="42" t="str">
        <x:v>知識確認</x:v>
      </x:c>
      <x:c r="X69" s="53" t="str">
        <x:v>D3</x:v>
      </x:c>
      <x:c r="Y69" s="42" t="str">
        <x:v>年数表記トーニーに関する別の特徴・要因と混同; 年数表記トーニーに関する別の特徴・要因と混同; 年数表記トーニーに関する別の特徴・要因と混同</x:v>
      </x:c>
      <x:c r="Z69" s="53" t="str">
        <x:v>Y</x:v>
      </x:c>
      <x:c r="AA69" s="42" t="str">
        <x:v>年数表示の説明表現を日本語教材と照合推奨</x:v>
      </x:c>
      <x:c r="AB69" s="42" t="str">
        <x:v>オリジナル</x:v>
      </x:c>
      <x:c r="AC69" s="42" t="str">
        <x:v>公式Specificationの範囲＋ユーザー作成コーパスの論点を参考に独自作成</x:v>
      </x:c>
      <x:c r="AD69" s="53" t="str">
        <x:v>改稿済み・専門家未承認</x:v>
      </x:c>
      <x:c r="AE69" s="53" t="str">
        <x:v>AI誤答レビュー</x:v>
      </x:c>
      <x:c r="AF69" s="53" t="str">
        <x:v>2026-07-12</x:v>
      </x:c>
      <x:c r="AG69" s="43" t="str">
        <x:v>最終バッチ：有効な誤答を維持し、絶対語・物理的不可能な誤答のみ置換。正答位置は維持。</x:v>
      </x:c>
    </x:row>
    <x:row r="70" ht="84" customHeight="1">
      <x:c r="A70" s="41" t="str">
        <x:v>LO4-009</x:v>
      </x:c>
      <x:c r="B70" s="53" t="str">
        <x:v>LO4</x:v>
      </x:c>
      <x:c r="C70" s="42" t="str">
        <x:v>世界の主要な酒精強化ワイン</x:v>
      </x:c>
      <x:c r="D70" s="42" t="str">
        <x:v>パロミノ</x:v>
      </x:c>
      <x:c r="E70" s="42" t="str">
        <x:v>辛口シェリーの主要品種パロミノがベースワインに適する特徴はどれか。</x:v>
      </x:c>
      <x:c r="F70" s="42" t="str">
        <x:v>比較的中立的な香りと穏やかな酸を持ち、熟成工程の特徴を表しやすい</x:v>
      </x:c>
      <x:c r="G70" s="42" t="str">
        <x:v>高いタンニンと深い色を持ち、酸化熟成の骨格を作る</x:v>
      </x:c>
      <x:c r="H70" s="42" t="str">
        <x:v>強いマスカット香と高い残糖を持ち、甘口シェリーに適する</x:v>
      </x:c>
      <x:c r="I70" s="42" t="str">
        <x:v>高い自然酸と柑橘・花の品種香が、熟成香へ鮮度を加える</x:v>
      </x:c>
      <x:c r="J70" s="53" t="str">
        <x:v>A</x:v>
      </x:c>
      <x:c r="K70" s="42" t="str">
        <x:v>比較的中立的な香りと穏やかな酸を持ち、熟成工程の特徴を表しやすい</x:v>
      </x:c>
      <x:c r="L70" s="42" t="str">
        <x:v>正しい。品種香が控えめなため、フロール、アセトアルデヒド、酸化由来の風味が前面に出る。</x:v>
      </x:c>
      <x:c r="M70" s="42" t="str">
        <x:v>正しい。品種香が控えめなため、フロール、アセトアルデヒド、酸化由来の風味が前面に出る。</x:v>
      </x:c>
      <x:c r="N70" s="42" t="str">
        <x:v>誤り。パロミノは白品種で低タンニン、比較的中立的な香りを持つ。</x:v>
      </x:c>
      <x:c r="O70" s="42" t="str">
        <x:v>誤り。パロミノは芳香性が低く、辛口ベースに用いる。</x:v>
      </x:c>
      <x:c r="P70" s="42" t="str">
        <x:v>誤り。パロミノは比較的低芳香・穏やかな酸で、強い柑橘・花香が適性の中心ではない。</x:v>
      </x:c>
      <x:c r="Q70" s="42" t="str">
        <x:v>品種・産地</x:v>
      </x:c>
      <x:c r="R70" s="42" t="str">
        <x:v>パロミノ</x:v>
      </x:c>
      <x:c r="S70" s="42" t="str">
        <x:v>酒精強化ワイン</x:v>
      </x:c>
      <x:c r="T70" s="42" t="str">
        <x:v>スペイン</x:v>
      </x:c>
      <x:c r="U70" s="42" t="str">
        <x:v>ヘレス</x:v>
      </x:c>
      <x:c r="V70" s="42" t="str">
        <x:v>パロミノ</x:v>
      </x:c>
      <x:c r="W70" s="42" t="str">
        <x:v>知識確認</x:v>
      </x:c>
      <x:c r="X70" s="53" t="str">
        <x:v>D1</x:v>
      </x:c>
      <x:c r="Y70" s="42" t="str">
        <x:v>パロミノを高タンニン黒品種と混同; パロミノを芳香性甘口品種と混同; パロミノを高酸の芳香性白品種と混同</x:v>
      </x:c>
      <x:c r="Z70" s="53" t="str">
        <x:v>N</x:v>
      </x:c>
      <x:c r="AA70" s="42"/>
      <x:c r="AB70" s="42" t="str">
        <x:v>オリジナル</x:v>
      </x:c>
      <x:c r="AC70" s="42" t="str">
        <x:v>公式Specificationの範囲＋ユーザー作成コーパスの論点を参考に独自作成</x:v>
      </x:c>
      <x:c r="AD70" s="53" t="str">
        <x:v>改稿済み・専門家未承認</x:v>
      </x:c>
      <x:c r="AE70" s="53" t="str">
        <x:v>AI誤答レビュー</x:v>
      </x:c>
      <x:c r="AF70" s="53" t="str">
        <x:v>2026-07-12</x:v>
      </x:c>
      <x:c r="AG70" s="43" t="str">
        <x:v>第4バッチ：同一論点内の典型的誤概念へ置換。正答位置は維持。</x:v>
      </x:c>
    </x:row>
    <x:row r="71" ht="84" customHeight="1">
      <x:c r="A71" s="41" t="str">
        <x:v>LO4-010</x:v>
      </x:c>
      <x:c r="B71" s="53" t="str">
        <x:v>LO4</x:v>
      </x:c>
      <x:c r="C71" s="42" t="str">
        <x:v>世界の主要な酒精強化ワイン</x:v>
      </x:c>
      <x:c r="D71" s="42" t="str">
        <x:v>フィノ</x:v>
      </x:c>
      <x:c r="E71" s="42" t="str">
        <x:v>フィノのベースワインを約15％vol.に酒精強化する主な理由はどれか。</x:v>
      </x:c>
      <x:c r="F71" s="42" t="str">
        <x:v>フロールを形成させず、長期間酸素に触れて酸化熟成する</x:v>
      </x:c>
      <x:c r="G71" s="42" t="str">
        <x:v>フロール酵母が生存し、ワイン表面を覆える条件を保つため</x:v>
      </x:c>
      <x:c r="H71" s="42" t="str">
        <x:v>フロールを防ぎ、直接酸化熟成へ移すため</x:v>
      </x:c>
      <x:c r="I71" s="42" t="str">
        <x:v>発酵を途中で止め、残糖を残すため</x:v>
      </x:c>
      <x:c r="J71" s="53" t="str">
        <x:v>B</x:v>
      </x:c>
      <x:c r="K71" s="42" t="str">
        <x:v>フロール酵母が生存し、ワイン表面を覆える条件を保つため</x:v>
      </x:c>
      <x:c r="L71" s="42" t="str">
        <x:v>正しい。高過ぎないアルコール度で生物学的熟成を可能にする。</x:v>
      </x:c>
      <x:c r="M71" s="42" t="str">
        <x:v>誤り。これは同じ知識領域の「オロロソのスタイル」に当てはまる説明で、設問の「フィノ」を最も適切に説明しない。</x:v>
      </x:c>
      <x:c r="N71" s="42" t="str">
        <x:v>正しい。高過ぎないアルコール度で生物学的熟成を可能にする。</x:v>
      </x:c>
      <x:c r="O71" s="42" t="str">
        <x:v>誤り。それはオロロソ用の高い酒精強化。</x:v>
      </x:c>
      <x:c r="P71" s="42" t="str">
        <x:v>誤り。ベースワインは辛口まで発酵済み。</x:v>
      </x:c>
      <x:c r="Q71" s="42" t="str">
        <x:v>酒精強化ワイン製法</x:v>
      </x:c>
      <x:c r="R71" s="42" t="str">
        <x:v>生物学的熟成</x:v>
      </x:c>
      <x:c r="S71" s="42" t="str">
        <x:v>酒精強化ワイン</x:v>
      </x:c>
      <x:c r="T71" s="42" t="str">
        <x:v>スペイン</x:v>
      </x:c>
      <x:c r="U71" s="42" t="str">
        <x:v>ヘレス</x:v>
      </x:c>
      <x:c r="V71" s="42" t="str">
        <x:v>パロミノ</x:v>
      </x:c>
      <x:c r="W71" s="42" t="str">
        <x:v>因果説明</x:v>
      </x:c>
      <x:c r="X71" s="53" t="str">
        <x:v>D2</x:v>
      </x:c>
      <x:c r="Y71" s="42" t="str">
        <x:v>フィノをオロロソのスタイルの特徴と混同; フィノの強化をオロロソと混同; フィノをポート型強化と混同</x:v>
      </x:c>
      <x:c r="Z71" s="53" t="str">
        <x:v>N</x:v>
      </x:c>
      <x:c r="AA71" s="42"/>
      <x:c r="AB71" s="42" t="str">
        <x:v>オリジナル</x:v>
      </x:c>
      <x:c r="AC71" s="42" t="str">
        <x:v>公式Specificationの範囲＋ユーザー作成コーパスの論点を参考に独自作成</x:v>
      </x:c>
      <x:c r="AD71" s="53" t="str">
        <x:v>改稿済み・専門家未承認</x:v>
      </x:c>
      <x:c r="AE71" s="53" t="str">
        <x:v>AI誤答レビュー</x:v>
      </x:c>
      <x:c r="AF71" s="53" t="str">
        <x:v>2026-07-12</x:v>
      </x:c>
      <x:c r="AG71" s="43" t="str">
        <x:v>第4バッチ：同一論点内の典型的誤概念へ置換。正答位置は維持。</x:v>
      </x:c>
    </x:row>
    <x:row r="72" ht="84" customHeight="1">
      <x:c r="A72" s="41" t="str">
        <x:v>LO4-011</x:v>
      </x:c>
      <x:c r="B72" s="53" t="str">
        <x:v>LO4</x:v>
      </x:c>
      <x:c r="C72" s="42" t="str">
        <x:v>世界の主要な酒精強化ワイン</x:v>
      </x:c>
      <x:c r="D72" s="42" t="str">
        <x:v>オロロソ</x:v>
      </x:c>
      <x:c r="E72" s="42" t="str">
        <x:v>オロロソのベースワインを約17％vol.に酒精強化する主な目的はどれか。</x:v>
      </x:c>
      <x:c r="F72" s="42" t="str">
        <x:v>残糖を高く保ち、甘口へするため</x:v>
      </x:c>
      <x:c r="G72" s="42" t="str">
        <x:v>フロールの形成を促し、生物学的熟成を長く続けるため</x:v>
      </x:c>
      <x:c r="H72" s="42" t="str">
        <x:v>フロールの形成を防ぎ、酸化熟成を進めるため</x:v>
      </x:c>
      <x:c r="I72" s="42" t="str">
        <x:v>瓶内二次発酵を止め、二酸化炭素を保持するため</x:v>
      </x:c>
      <x:c r="J72" s="53" t="str">
        <x:v>C</x:v>
      </x:c>
      <x:c r="K72" s="42" t="str">
        <x:v>フロールの形成を防ぎ、酸化熟成を進めるため</x:v>
      </x:c>
      <x:c r="L72" s="42" t="str">
        <x:v>正しい。フロールなしで酸素へ触れ、酸化熟成させる。</x:v>
      </x:c>
      <x:c r="M72" s="42" t="str">
        <x:v>誤り。ベースワインは通常辛口で、甘味保持が目的ではない。</x:v>
      </x:c>
      <x:c r="N72" s="42" t="str">
        <x:v>誤り。高いアルコール度はフロールを抑制する。</x:v>
      </x:c>
      <x:c r="O72" s="42" t="str">
        <x:v>正しい。フロールなしで酸素へ触れ、酸化熟成させる。</x:v>
      </x:c>
      <x:c r="P72" s="42" t="str">
        <x:v>誤り。発泡性ワインの工程ではない。</x:v>
      </x:c>
      <x:c r="Q72" s="42" t="str">
        <x:v>酒精強化ワイン製法</x:v>
      </x:c>
      <x:c r="R72" s="42" t="str">
        <x:v>酸化熟成</x:v>
      </x:c>
      <x:c r="S72" s="42" t="str">
        <x:v>酒精強化ワイン</x:v>
      </x:c>
      <x:c r="T72" s="42" t="str">
        <x:v>スペイン</x:v>
      </x:c>
      <x:c r="U72" s="42" t="str">
        <x:v>ヘレス</x:v>
      </x:c>
      <x:c r="V72" s="42" t="str">
        <x:v>パロミノ</x:v>
      </x:c>
      <x:c r="W72" s="42" t="str">
        <x:v>因果説明</x:v>
      </x:c>
      <x:c r="X72" s="53" t="str">
        <x:v>D2</x:v>
      </x:c>
      <x:c r="Y72" s="42" t="str">
        <x:v>オロロソは甘味保持のため高酒精強化; 高酒精強化でフロール促進; 瓶内二次発酵停止のための強化</x:v>
      </x:c>
      <x:c r="Z72" s="53" t="str">
        <x:v>N</x:v>
      </x:c>
      <x:c r="AA72" s="42"/>
      <x:c r="AB72" s="42" t="str">
        <x:v>オリジナル</x:v>
      </x:c>
      <x:c r="AC72" s="42" t="str">
        <x:v>公式Specificationの範囲＋ユーザー作成コーパスの論点を参考に独自作成</x:v>
      </x:c>
      <x:c r="AD72" s="53" t="str">
        <x:v>改稿済み・専門家未承認</x:v>
      </x:c>
      <x:c r="AE72" s="53" t="str">
        <x:v>AI誤答レビュー</x:v>
      </x:c>
      <x:c r="AF72" s="53" t="str">
        <x:v>2026-07-12</x:v>
      </x:c>
      <x:c r="AG72" s="43" t="str">
        <x:v>第3バッチ：同一論点内の典型的誤概念へ置換。正答位置は維持。</x:v>
      </x:c>
    </x:row>
    <x:row r="73" ht="84" customHeight="1">
      <x:c r="A73" s="41" t="str">
        <x:v>LO4-012</x:v>
      </x:c>
      <x:c r="B73" s="53" t="str">
        <x:v>LO4</x:v>
      </x:c>
      <x:c r="C73" s="42" t="str">
        <x:v>世界の主要な酒精強化ワイン</x:v>
      </x:c>
      <x:c r="D73" s="42" t="str">
        <x:v>フロール</x:v>
      </x:c>
      <x:c r="E73" s="42" t="str">
        <x:v>フロールがフィノのスタイルへ与える影響として、最も適切なものはどれか。</x:v>
      </x:c>
      <x:c r="F73" s="42" t="str">
        <x:v>ワインを酸素から守る一方、グリセロールを増やして豊かで丸い口当たりにする</x:v>
      </x:c>
      <x:c r="G73" s="42" t="str">
        <x:v>ワイン表面で酸化を促し、色を濃くしてクルミや革の香りを発達させる</x:v>
      </x:c>
      <x:c r="H73" s="42" t="str">
        <x:v>アセトアルデヒドを消費して青リンゴ香を弱め、アルコールを増加させる</x:v>
      </x:c>
      <x:c r="I73" s="42" t="str">
        <x:v>酸化を抑えつつ、アーモンド、パン生地、アセトアルデヒドを思わせる風味を加える</x:v>
      </x:c>
      <x:c r="J73" s="53" t="str">
        <x:v>D</x:v>
      </x:c>
      <x:c r="K73" s="42" t="str">
        <x:v>酸化を抑えつつ、アーモンド、パン生地、アセトアルデヒドを思わせる風味を加える</x:v>
      </x:c>
      <x:c r="L73" s="42" t="str">
        <x:v>正しい。生物学的熟成により淡い色を保ち、フィノ特有の酵母的・アーモンド様の香りを与える。</x:v>
      </x:c>
      <x:c r="M73" s="42" t="str">
        <x:v>誤り。フロールはグリセロールを消費するため、フィノの口当たりは軽くなりやすい。</x:v>
      </x:c>
      <x:c r="N73" s="42" t="str">
        <x:v>誤り。フロールは酸素を消費してワインを保護し、直接の酸化熟成を抑える。</x:v>
      </x:c>
      <x:c r="O73" s="42" t="str">
        <x:v>誤り。フロールはアセトアルデヒドを生成し、アルコールとグリセロールを一部消費する。</x:v>
      </x:c>
      <x:c r="P73" s="42" t="str">
        <x:v>正しい。生物学的熟成により淡い色を保ち、フィノ特有の酵母的・アーモンド様の香りを与える。</x:v>
      </x:c>
      <x:c r="Q73" s="42" t="str">
        <x:v>酒精強化ワイン製法</x:v>
      </x:c>
      <x:c r="R73" s="42" t="str">
        <x:v>フロール</x:v>
      </x:c>
      <x:c r="S73" s="42" t="str">
        <x:v>酒精強化ワイン</x:v>
      </x:c>
      <x:c r="T73" s="42" t="str">
        <x:v>スペイン</x:v>
      </x:c>
      <x:c r="U73" s="42" t="str">
        <x:v>ヘレス</x:v>
      </x:c>
      <x:c r="V73" s="42" t="str">
        <x:v>パロミノ</x:v>
      </x:c>
      <x:c r="W73" s="42" t="str">
        <x:v>因果説明</x:v>
      </x:c>
      <x:c r="X73" s="53" t="str">
        <x:v>D2</x:v>
      </x:c>
      <x:c r="Y73" s="42" t="str">
        <x:v>フロールはグリセロールを増やし口当たりを豊かにする; フロールは酸化熟成を促進する; フロールはアセトアルデヒドを消費しアルコールを増やす</x:v>
      </x:c>
      <x:c r="Z73" s="53" t="str">
        <x:v>N</x:v>
      </x:c>
      <x:c r="AA73" s="42"/>
      <x:c r="AB73" s="42" t="str">
        <x:v>オリジナル</x:v>
      </x:c>
      <x:c r="AC73" s="42" t="str">
        <x:v>公式Specificationの範囲＋ユーザー作成コーパスの論点を参考に独自作成</x:v>
      </x:c>
      <x:c r="AD73" s="53" t="str">
        <x:v>改稿済み・専門家未承認</x:v>
      </x:c>
      <x:c r="AE73" s="53" t="str">
        <x:v>AI誤答レビュー</x:v>
      </x:c>
      <x:c r="AF73" s="53" t="str">
        <x:v>2026-07-12</x:v>
      </x:c>
      <x:c r="AG73" s="43" t="str">
        <x:v>第2バッチ：誤答を同一論点内の典型的誤概念へ置換。正答位置は維持。</x:v>
      </x:c>
    </x:row>
    <x:row r="74" ht="84" customHeight="1">
      <x:c r="A74" s="41" t="str">
        <x:v>LO4-013</x:v>
      </x:c>
      <x:c r="B74" s="53" t="str">
        <x:v>LO4</x:v>
      </x:c>
      <x:c r="C74" s="42" t="str">
        <x:v>世界の主要な酒精強化ワイン</x:v>
      </x:c>
      <x:c r="D74" s="42" t="str">
        <x:v>マンサニーリャ</x:v>
      </x:c>
      <x:c r="E74" s="42" t="str">
        <x:v>マンサニーリャがフィノと似た生物学的熟成の特徴を持ちながら、しばしば特に繊細で塩味を思わせると表現される理由はどれか。</x:v>
      </x:c>
      <x:c r="F74" s="42" t="str">
        <x:v>サンルーカルの湿潤で温和な海洋性環境が、厚いフロールを維持しやすいため</x:v>
      </x:c>
      <x:c r="G74" s="42" t="str">
        <x:v>冬の雨を多孔質の白亜質土壌に蓄え、表面を固めて蒸発を抑えられる</x:v>
      </x:c>
      <x:c r="H74" s="42" t="str">
        <x:v>マンサニーリャはフィノより高い残糖を持ち、塩味と甘味が対照になるため</x:v>
      </x:c>
      <x:c r="I74" s="42" t="str">
        <x:v>熟成樽へ海水を少量加え、塩味を調整するため</x:v>
      </x:c>
      <x:c r="J74" s="53" t="str">
        <x:v>A</x:v>
      </x:c>
      <x:c r="K74" s="42" t="str">
        <x:v>サンルーカルの湿潤で温和な海洋性環境が、厚いフロールを維持しやすいため</x:v>
      </x:c>
      <x:c r="L74" s="42" t="str">
        <x:v>正しい。活発なフロールが酸化を抑え、繊細で塩味を思わせる香りを生む。</x:v>
      </x:c>
      <x:c r="M74" s="42" t="str">
        <x:v>正しい。活発なフロールが酸化を抑え、繊細で塩味を思わせる香りを生む。</x:v>
      </x:c>
      <x:c r="N74" s="42" t="str">
        <x:v>誤り。これは同じ知識領域の「アルバリサ土壌」に当てはまる説明で、設問の「マンサニーリャ」を最も適切に説明しない。</x:v>
      </x:c>
      <x:c r="O74" s="42" t="str">
        <x:v>誤り。マンサニーリャは辛口。</x:v>
      </x:c>
      <x:c r="P74" s="42" t="str">
        <x:v>誤り。海水添加は行わない。</x:v>
      </x:c>
      <x:c r="Q74" s="42" t="str">
        <x:v>自然要因・産地</x:v>
      </x:c>
      <x:c r="R74" s="42" t="str">
        <x:v>サンルーカル・フロール</x:v>
      </x:c>
      <x:c r="S74" s="42" t="str">
        <x:v>酒精強化ワイン</x:v>
      </x:c>
      <x:c r="T74" s="42" t="str">
        <x:v>スペイン</x:v>
      </x:c>
      <x:c r="U74" s="42" t="str">
        <x:v>サンルーカル・デ・バラメダ</x:v>
      </x:c>
      <x:c r="V74" s="42" t="str">
        <x:v>パロミノ</x:v>
      </x:c>
      <x:c r="W74" s="42" t="str">
        <x:v>因果説明</x:v>
      </x:c>
      <x:c r="X74" s="53" t="str">
        <x:v>D3</x:v>
      </x:c>
      <x:c r="Y74" s="42" t="str">
        <x:v>マンサニーリャをアルバリサ土壌の特徴と混同; マンサニーリャは高残糖; マンサニーリャへ海水添加</x:v>
      </x:c>
      <x:c r="Z74" s="53" t="str">
        <x:v>Y</x:v>
      </x:c>
      <x:c r="AA74" s="42" t="str">
        <x:v>塩味表現は官能表現として扱い、直接的な塩分説明を避けているか確認推奨</x:v>
      </x:c>
      <x:c r="AB74" s="42" t="str">
        <x:v>オリジナル</x:v>
      </x:c>
      <x:c r="AC74" s="42" t="str">
        <x:v>公式Specificationの範囲＋ユーザー作成コーパスの論点を参考に独自作成</x:v>
      </x:c>
      <x:c r="AD74" s="53" t="str">
        <x:v>改稿済み・専門家未承認</x:v>
      </x:c>
      <x:c r="AE74" s="53" t="str">
        <x:v>AI誤答レビュー</x:v>
      </x:c>
      <x:c r="AF74" s="53" t="str">
        <x:v>2026-07-12</x:v>
      </x:c>
      <x:c r="AG74" s="43" t="str">
        <x:v>第4バッチ：同一論点内の典型的誤概念へ置換。正答位置は維持。</x:v>
      </x:c>
    </x:row>
    <x:row r="75" ht="84" customHeight="1">
      <x:c r="A75" s="41" t="str">
        <x:v>LO4-014</x:v>
      </x:c>
      <x:c r="B75" s="53" t="str">
        <x:v>LO4</x:v>
      </x:c>
      <x:c r="C75" s="42" t="str">
        <x:v>世界の主要な酒精強化ワイン</x:v>
      </x:c>
      <x:c r="D75" s="42" t="str">
        <x:v>アモンティリャード</x:v>
      </x:c>
      <x:c r="E75" s="42" t="str">
        <x:v>アモンティリャードの典型的な熟成経路はどれか。</x:v>
      </x:c>
      <x:c r="F75" s="42" t="str">
        <x:v>最初からフロールなしで酸化熟成し、最後に甘味を加える</x:v>
      </x:c>
      <x:c r="G75" s="42" t="str">
        <x:v>最初にフロール下で生物学的熟成し、その後フロールを失って酸化熟成する</x:v>
      </x:c>
      <x:c r="H75" s="42" t="str">
        <x:v>長期酸化熟成後にフロールを形成し、色を淡く戻す</x:v>
      </x:c>
      <x:c r="I75" s="42" t="str">
        <x:v>発酵途中に酒精強化して残糖を残し、瓶内で熟成する</x:v>
      </x:c>
      <x:c r="J75" s="53" t="str">
        <x:v>B</x:v>
      </x:c>
      <x:c r="K75" s="42" t="str">
        <x:v>最初にフロール下で生物学的熟成し、その後フロールを失って酸化熟成する</x:v>
      </x:c>
      <x:c r="L75" s="42" t="str">
        <x:v>正しい。生物学的熟成と酸化熟成の二段階が特徴である。</x:v>
      </x:c>
      <x:c r="M75" s="42" t="str">
        <x:v>誤り。これはオロロソまたは甘口ブレンドに近い。</x:v>
      </x:c>
      <x:c r="N75" s="42" t="str">
        <x:v>正しい。生物学的熟成と酸化熟成の二段階が特徴である。</x:v>
      </x:c>
      <x:c r="O75" s="42" t="str">
        <x:v>誤り。酸化後にフロールを形成して色を戻す経路ではない。</x:v>
      </x:c>
      <x:c r="P75" s="42" t="str">
        <x:v>誤り。ポート型の発酵停止甘口ではない。</x:v>
      </x:c>
      <x:c r="Q75" s="42" t="str">
        <x:v>酒精強化ワイン製法</x:v>
      </x:c>
      <x:c r="R75" s="42" t="str">
        <x:v>生物学的＋酸化熟成</x:v>
      </x:c>
      <x:c r="S75" s="42" t="str">
        <x:v>酒精強化ワイン</x:v>
      </x:c>
      <x:c r="T75" s="42" t="str">
        <x:v>スペイン</x:v>
      </x:c>
      <x:c r="U75" s="42" t="str">
        <x:v>ヘレス</x:v>
      </x:c>
      <x:c r="V75" s="42" t="str">
        <x:v>パロミノ</x:v>
      </x:c>
      <x:c r="W75" s="42" t="str">
        <x:v>知識確認</x:v>
      </x:c>
      <x:c r="X75" s="53" t="str">
        <x:v>D2</x:v>
      </x:c>
      <x:c r="Y75" s="42" t="str">
        <x:v>アモンティリャードは最初から酸化・後で甘味; 酸化後にフロールを形成する; 発酵途中強化の甘口瓶熟成型</x:v>
      </x:c>
      <x:c r="Z75" s="53" t="str">
        <x:v>N</x:v>
      </x:c>
      <x:c r="AA75" s="42"/>
      <x:c r="AB75" s="42" t="str">
        <x:v>オリジナル</x:v>
      </x:c>
      <x:c r="AC75" s="42" t="str">
        <x:v>公式Specificationの範囲＋ユーザー作成コーパスの論点を参考に独自作成</x:v>
      </x:c>
      <x:c r="AD75" s="53" t="str">
        <x:v>改稿済み・専門家未承認</x:v>
      </x:c>
      <x:c r="AE75" s="53" t="str">
        <x:v>AI誤答レビュー</x:v>
      </x:c>
      <x:c r="AF75" s="53" t="str">
        <x:v>2026-07-12</x:v>
      </x:c>
      <x:c r="AG75" s="43" t="str">
        <x:v>第3バッチ：同一論点内の典型的誤概念へ置換。正答位置は維持。</x:v>
      </x:c>
    </x:row>
    <x:row r="76" ht="84" customHeight="1">
      <x:c r="A76" s="41" t="str">
        <x:v>LO4-015</x:v>
      </x:c>
      <x:c r="B76" s="53" t="str">
        <x:v>LO4</x:v>
      </x:c>
      <x:c r="C76" s="42" t="str">
        <x:v>世界の主要な酒精強化ワイン</x:v>
      </x:c>
      <x:c r="D76" s="42" t="str">
        <x:v>ソレラ・システム</x:v>
      </x:c>
      <x:c r="E76" s="42" t="str">
        <x:v>ソレラ・システムの主な目的はどれか。</x:v>
      </x:c>
      <x:c r="F76" s="42" t="str">
        <x:v>各年の特徴を強調し、ヴィンテージごとに異なるスタイルを作る</x:v>
      </x:c>
      <x:c r="G76" s="42" t="str">
        <x:v>単一ヴィンテージの特徴を保存し、他年の影響を避ける</x:v>
      </x:c>
      <x:c r="H76" s="42" t="str">
        <x:v>複数年のワインを連続的にブレンドし、毎年一貫した熟成スタイルを供給する</x:v>
      </x:c>
      <x:c r="I76" s="42" t="str">
        <x:v>樽ごとの年齢を正確にそろえ、同じ年齢だけを出荷する</x:v>
      </x:c>
      <x:c r="J76" s="53" t="str">
        <x:v>C</x:v>
      </x:c>
      <x:c r="K76" s="42" t="str">
        <x:v>複数年のワインを連続的にブレンドし、毎年一貫した熟成スタイルを供給する</x:v>
      </x:c>
      <x:c r="L76" s="42" t="str">
        <x:v>正しい。若いワインを段階的に加え、古いワインの一部を残してスタイルを継続する。</x:v>
      </x:c>
      <x:c r="M76" s="42" t="str">
        <x:v>誤り。ソレラは複数年を継続的に混ぜ、年差を平準化する。</x:v>
      </x:c>
      <x:c r="N76" s="42" t="str">
        <x:v>誤り。ソレラは複数年を混ぜて年差を平準化する。</x:v>
      </x:c>
      <x:c r="O76" s="42" t="str">
        <x:v>正しい。若いワインを段階的に加え、古いワインの一部を残してスタイルを継続する。</x:v>
      </x:c>
      <x:c r="P76" s="42" t="str">
        <x:v>誤り。幅広い年齢成分が混在する。</x:v>
      </x:c>
      <x:c r="Q76" s="42" t="str">
        <x:v>酒精強化ワイン製法</x:v>
      </x:c>
      <x:c r="R76" s="42" t="str">
        <x:v>ソレラ・システム</x:v>
      </x:c>
      <x:c r="S76" s="42" t="str">
        <x:v>酒精強化ワイン</x:v>
      </x:c>
      <x:c r="T76" s="42" t="str">
        <x:v>スペイン</x:v>
      </x:c>
      <x:c r="U76" s="42" t="str">
        <x:v>ヘレス</x:v>
      </x:c>
      <x:c r="V76" s="42" t="str"/>
      <x:c r="W76" s="42" t="str">
        <x:v>因果説明</x:v>
      </x:c>
      <x:c r="X76" s="53" t="str">
        <x:v>D2</x:v>
      </x:c>
      <x:c r="Y76" s="42" t="str">
        <x:v>ソレラはヴィンテージ差を強調する; ソレラは単一ヴィンテージ保持; ソレラは同年齢樽だけ</x:v>
      </x:c>
      <x:c r="Z76" s="53" t="str">
        <x:v>N</x:v>
      </x:c>
      <x:c r="AA76" s="42"/>
      <x:c r="AB76" s="42" t="str">
        <x:v>オリジナル</x:v>
      </x:c>
      <x:c r="AC76" s="42" t="str">
        <x:v>公式Specificationの範囲＋ユーザー作成コーパスの論点を参考に独自作成</x:v>
      </x:c>
      <x:c r="AD76" s="53" t="str">
        <x:v>改稿済み・専門家未承認</x:v>
      </x:c>
      <x:c r="AE76" s="53" t="str">
        <x:v>AI誤答レビュー</x:v>
      </x:c>
      <x:c r="AF76" s="53" t="str">
        <x:v>2026-07-12</x:v>
      </x:c>
      <x:c r="AG76" s="43" t="str">
        <x:v>第4バッチ：同一論点内の典型的誤概念へ置換。正答位置は維持。</x:v>
      </x:c>
    </x:row>
    <x:row r="77" ht="84" customHeight="1">
      <x:c r="A77" s="41" t="str">
        <x:v>LO4-016</x:v>
      </x:c>
      <x:c r="B77" s="53" t="str">
        <x:v>LO4</x:v>
      </x:c>
      <x:c r="C77" s="42" t="str">
        <x:v>世界の主要な酒精強化ワイン</x:v>
      </x:c>
      <x:c r="D77" s="42" t="str">
        <x:v>ペドロ・ヒメネス</x:v>
      </x:c>
      <x:c r="E77" s="42" t="str">
        <x:v>ペドロ・ヒメネス（PX）の非常に甘く濃縮したスタイルを生む主要工程はどれか。</x:v>
      </x:c>
      <x:c r="F77" s="42" t="str">
        <x:v>ブドウを天日へ置き、水分を吸収させて糖と風味を濃縮する</x:v>
      </x:c>
      <x:c r="G77" s="42" t="str">
        <x:v>辛口まで発酵後、フロール下で長期熟成して甘味を生む</x:v>
      </x:c>
      <x:c r="H77" s="42" t="str">
        <x:v>自然凍結した果実を圧搾し、氷を除く</x:v>
      </x:c>
      <x:c r="I77" s="42" t="str">
        <x:v>ブドウを天日乾燥し、水分を失わせて糖と風味を濃縮する</x:v>
      </x:c>
      <x:c r="J77" s="53" t="str">
        <x:v>D</x:v>
      </x:c>
      <x:c r="K77" s="42" t="str">
        <x:v>ブドウを天日乾燥し、水分を失わせて糖と風味を濃縮する</x:v>
      </x:c>
      <x:c r="L77" s="42" t="str">
        <x:v>正しい。レーズン状の果実から極めて糖度の高い果汁を得る。</x:v>
      </x:c>
      <x:c r="M77" s="42" t="str">
        <x:v>誤り。天日乾燥では水分を失うことで糖と風味が濃縮する。</x:v>
      </x:c>
      <x:c r="N77" s="42" t="str">
        <x:v>誤り。フロールで糖は生成されない。</x:v>
      </x:c>
      <x:c r="O77" s="42" t="str">
        <x:v>誤り。アイスワインの製法。</x:v>
      </x:c>
      <x:c r="P77" s="42" t="str">
        <x:v>正しい。レーズン状の果実から極めて糖度の高い果汁を得る。</x:v>
      </x:c>
      <x:c r="Q77" s="42" t="str">
        <x:v>酒精強化ワイン製法</x:v>
      </x:c>
      <x:c r="R77" s="42" t="str">
        <x:v>天日干し・糖分濃縮</x:v>
      </x:c>
      <x:c r="S77" s="42" t="str">
        <x:v>甘口酒精強化ワイン</x:v>
      </x:c>
      <x:c r="T77" s="42" t="str">
        <x:v>スペイン</x:v>
      </x:c>
      <x:c r="U77" s="42" t="str">
        <x:v>ヘレス</x:v>
      </x:c>
      <x:c r="V77" s="42" t="str">
        <x:v>ペドロ・ヒメネス</x:v>
      </x:c>
      <x:c r="W77" s="42" t="str">
        <x:v>因果説明</x:v>
      </x:c>
      <x:c r="X77" s="53" t="str">
        <x:v>D1</x:v>
      </x:c>
      <x:c r="Y77" s="42" t="str">
        <x:v>天日乾燥で果実が水分を吸収する; PXはフロールで甘味を作る; PXを凍結濃縮と混同</x:v>
      </x:c>
      <x:c r="Z77" s="53" t="str">
        <x:v>N</x:v>
      </x:c>
      <x:c r="AA77" s="42"/>
      <x:c r="AB77" s="42" t="str">
        <x:v>オリジナル</x:v>
      </x:c>
      <x:c r="AC77" s="42" t="str">
        <x:v>公式Specificationの範囲＋ユーザー作成コーパスの論点を参考に独自作成</x:v>
      </x:c>
      <x:c r="AD77" s="53" t="str">
        <x:v>改稿済み・専門家未承認</x:v>
      </x:c>
      <x:c r="AE77" s="53" t="str">
        <x:v>AI誤答レビュー</x:v>
      </x:c>
      <x:c r="AF77" s="53" t="str">
        <x:v>2026-07-12</x:v>
      </x:c>
      <x:c r="AG77" s="43" t="str">
        <x:v>第4バッチ：同一論点内の典型的誤概念へ置換。正答位置は維持。</x:v>
      </x:c>
    </x:row>
    <x:row r="78" ht="84" customHeight="1">
      <x:c r="A78" s="41" t="str">
        <x:v>LO4-017</x:v>
      </x:c>
      <x:c r="B78" s="53" t="str">
        <x:v>LO4</x:v>
      </x:c>
      <x:c r="C78" s="42" t="str">
        <x:v>世界の主要な酒精強化ワイン</x:v>
      </x:c>
      <x:c r="D78" s="42" t="str">
        <x:v>クリーム・シェリー</x:v>
      </x:c>
      <x:c r="E78" s="42" t="str">
        <x:v>クリーム・シェリーの一般的な造り方として、最も適切なものはどれか。</x:v>
      </x:c>
      <x:c r="F78" s="42" t="str">
        <x:v>辛口の酸化熟成シェリーに甘口ワインまたはブドウ由来の甘味成分をブレンドする</x:v>
      </x:c>
      <x:c r="G78" s="42" t="str">
        <x:v>フィノを瓶内二次発酵し、ドザージュで甘味を加える</x:v>
      </x:c>
      <x:c r="H78" s="42" t="str">
        <x:v>パロミノを発酵途中で酒精強化し、糖を残す</x:v>
      </x:c>
      <x:c r="I78" s="42" t="str">
        <x:v>PXだけを長期フロール熟成して軽い甘口にする</x:v>
      </x:c>
      <x:c r="J78" s="53" t="str">
        <x:v>A</x:v>
      </x:c>
      <x:c r="K78" s="42" t="str">
        <x:v>辛口の酸化熟成シェリーに甘口ワインまたはブドウ由来の甘味成分をブレンドする</x:v>
      </x:c>
      <x:c r="L78" s="42" t="str">
        <x:v>正しい。オロロソ等の辛口基礎ワインへ甘味を加えるブレンド型である。</x:v>
      </x:c>
      <x:c r="M78" s="42" t="str">
        <x:v>正しい。オロロソ等の辛口基礎ワインへ甘味を加えるブレンド型である。</x:v>
      </x:c>
      <x:c r="N78" s="42" t="str">
        <x:v>誤り。発泡性ワインの製法ではない。</x:v>
      </x:c>
      <x:c r="O78" s="42" t="str">
        <x:v>誤り。ポート型の早期酒精強化ではなく、通常は辛口発酵後に甘味調整する。</x:v>
      </x:c>
      <x:c r="P78" s="42" t="str">
        <x:v>誤り。PXは甘口成分になり得るが、フロール熟成で軽くするわけではない。</x:v>
      </x:c>
      <x:c r="Q78" s="42" t="str">
        <x:v>酒精強化ワイン製法</x:v>
      </x:c>
      <x:c r="R78" s="42" t="str">
        <x:v>甘味調整・ブレンド</x:v>
      </x:c>
      <x:c r="S78" s="42" t="str">
        <x:v>甘口酒精強化ワイン</x:v>
      </x:c>
      <x:c r="T78" s="42" t="str">
        <x:v>スペイン</x:v>
      </x:c>
      <x:c r="U78" s="42" t="str">
        <x:v>ヘレス</x:v>
      </x:c>
      <x:c r="V78" s="42" t="str">
        <x:v>パロミノ、ペドロ・ヒメネス</x:v>
      </x:c>
      <x:c r="W78" s="42" t="str">
        <x:v>知識確認</x:v>
      </x:c>
      <x:c r="X78" s="53" t="str">
        <x:v>D2</x:v>
      </x:c>
      <x:c r="Y78" s="42" t="str">
        <x:v>クリームはフィノの二次発酵＋ドザージュ; クリームは発酵途中強化で甘味を残す; PXをフロール熟成して造る</x:v>
      </x:c>
      <x:c r="Z78" s="53" t="str">
        <x:v>N</x:v>
      </x:c>
      <x:c r="AA78" s="42"/>
      <x:c r="AB78" s="42" t="str">
        <x:v>オリジナル</x:v>
      </x:c>
      <x:c r="AC78" s="42" t="str">
        <x:v>公式Specificationの範囲＋ユーザー作成コーパスの論点を参考に独自作成</x:v>
      </x:c>
      <x:c r="AD78" s="53" t="str">
        <x:v>改稿済み・専門家未承認</x:v>
      </x:c>
      <x:c r="AE78" s="53" t="str">
        <x:v>AI誤答レビュー</x:v>
      </x:c>
      <x:c r="AF78" s="53" t="str">
        <x:v>2026-07-12</x:v>
      </x:c>
      <x:c r="AG78" s="43" t="str">
        <x:v>第3バッチ：同一論点内の典型的誤概念へ置換。正答位置は維持。</x:v>
      </x:c>
    </x:row>
    <x:row r="79" ht="84" customHeight="1">
      <x:c r="A79" s="41" t="str">
        <x:v>LO4-018</x:v>
      </x:c>
      <x:c r="B79" s="53" t="str">
        <x:v>LO4</x:v>
      </x:c>
      <x:c r="C79" s="42" t="str">
        <x:v>世界の主要な酒精強化ワイン</x:v>
      </x:c>
      <x:c r="D79" s="42" t="str">
        <x:v>ラザグレン・マスカット</x:v>
      </x:c>
      <x:c r="E79" s="42" t="str">
        <x:v>ラザグレン・マスカットの非常に濃厚な甘味と複雑な熟成香を生む要因として最も適切なものはどれか。</x:v>
      </x:c>
      <x:c r="F79" s="42" t="str">
        <x:v>早摘みの高酸果実を辛口まで発酵し、冷涼な不活性タンクで若く熟成する</x:v>
      </x:c>
      <x:c r="G79" s="42" t="str">
        <x:v>過熟・部分乾燥したマスカット、早期酒精強化、長期の暖かい酸化熟成</x:v>
      </x:c>
      <x:c r="H79" s="42" t="str">
        <x:v>早摘み高酸果実、辛口発酵、冷涼な不活性タンク熟成</x:v>
      </x:c>
      <x:c r="I79" s="42" t="str">
        <x:v>貴腐果、低アルコール発酵、瓶内二次発酵</x:v>
      </x:c>
      <x:c r="J79" s="53" t="str">
        <x:v>B</x:v>
      </x:c>
      <x:c r="K79" s="42" t="str">
        <x:v>過熟・部分乾燥したマスカット、早期酒精強化、長期の暖かい酸化熟成</x:v>
      </x:c>
      <x:c r="L79" s="42" t="str">
        <x:v>正しい。高い糖と芳香を残し、蒸発濃縮と酸化で複雑性を高める。</x:v>
      </x:c>
      <x:c r="M79" s="42" t="str">
        <x:v>誤り。ラザグレン・マスカットは過熟果を早期酒精強化し、暖かい酸化熟成で濃縮する。</x:v>
      </x:c>
      <x:c r="N79" s="42" t="str">
        <x:v>正しい。高い糖と芳香を残し、蒸発濃縮と酸化で複雑性を高める。</x:v>
      </x:c>
      <x:c r="O79" s="42" t="str">
        <x:v>誤り。若い辛口白の製法に近い。</x:v>
      </x:c>
      <x:c r="P79" s="42" t="str">
        <x:v>誤り。貴腐・発泡性ではなく酒精強化酸化型。</x:v>
      </x:c>
      <x:c r="Q79" s="42" t="str">
        <x:v>酒精強化ワイン製法・産地</x:v>
      </x:c>
      <x:c r="R79" s="42" t="str">
        <x:v>マスカット・酸化熟成</x:v>
      </x:c>
      <x:c r="S79" s="42" t="str">
        <x:v>甘口酒精強化ワイン</x:v>
      </x:c>
      <x:c r="T79" s="42" t="str">
        <x:v>オーストラリア</x:v>
      </x:c>
      <x:c r="U79" s="42" t="str">
        <x:v>ラザグレン</x:v>
      </x:c>
      <x:c r="V79" s="42" t="str">
        <x:v>マスカット</x:v>
      </x:c>
      <x:c r="W79" s="42" t="str">
        <x:v>統合判断</x:v>
      </x:c>
      <x:c r="X79" s="53" t="str">
        <x:v>D3</x:v>
      </x:c>
      <x:c r="Y79" s="42" t="str">
        <x:v>ラザグレン・マスカットを若い辛口白の製法と混同; ラザグレンを早摘み辛口不活性型と混同; ラザグレンを貴腐発泡性と混同</x:v>
      </x:c>
      <x:c r="Z79" s="53" t="str">
        <x:v>N</x:v>
      </x:c>
      <x:c r="AA79" s="42"/>
      <x:c r="AB79" s="42" t="str">
        <x:v>オリジナル</x:v>
      </x:c>
      <x:c r="AC79" s="42" t="str">
        <x:v>公式Specificationの範囲＋ユーザー作成コーパスの論点を参考に独自作成</x:v>
      </x:c>
      <x:c r="AD79" s="53" t="str">
        <x:v>改稿済み・専門家未承認</x:v>
      </x:c>
      <x:c r="AE79" s="53" t="str">
        <x:v>AI誤答レビュー</x:v>
      </x:c>
      <x:c r="AF79" s="53" t="str">
        <x:v>2026-07-12</x:v>
      </x:c>
      <x:c r="AG79" s="43" t="str">
        <x:v>第4バッチ：同一論点内の典型的誤概念へ置換。正答位置は維持。</x:v>
      </x:c>
    </x:row>
    <x:row r="80" ht="84" customHeight="1">
      <x:c r="A80" s="41" t="str">
        <x:v>LO4-019</x:v>
      </x:c>
      <x:c r="B80" s="53" t="str">
        <x:v>LO4</x:v>
      </x:c>
      <x:c r="C80" s="42" t="str">
        <x:v>世界の主要な酒精強化ワイン</x:v>
      </x:c>
      <x:c r="D80" s="42" t="str">
        <x:v>ミュスカ・ドゥ・ボーム・ドゥ・ヴニーズ</x:v>
      </x:c>
      <x:c r="E80" s="42" t="str">
        <x:v>ミュスカ・ドゥ・ボーム・ドゥ・ヴニーズの典型的なスタイルはどれか。</x:v>
      </x:c>
      <x:c r="F80" s="42" t="str">
        <x:v>辛口まで発酵した後に長期酸化熟成し、ナッツ香を中心とする</x:v>
      </x:c>
      <x:c r="G80" s="42" t="str">
        <x:v>低アルコールの微発泡性で、発酵を冷却停止して造る</x:v>
      </x:c>
      <x:c r="H80" s="42" t="str">
        <x:v>香りの強い甘口で、発酵途中の酒精強化によりブドウの糖と芳香を残すワイン</x:v>
      </x:c>
      <x:c r="I80" s="42" t="str">
        <x:v>高タンニンの赤ワインを酒精強化し、黒果実香を保つ</x:v>
      </x:c>
      <x:c r="J80" s="53" t="str">
        <x:v>C</x:v>
      </x:c>
      <x:c r="K80" s="42" t="str">
        <x:v>香りの強い甘口で、発酵途中の酒精強化によりブドウの糖と芳香を残すワイン</x:v>
      </x:c>
      <x:c r="L80" s="42" t="str">
        <x:v>正しい。マスカット香と残糖を早期酒精強化で保持する。</x:v>
      </x:c>
      <x:c r="M80" s="42" t="str">
        <x:v>誤り。若い芳香性甘口で、長期酸化香が中心ではない。</x:v>
      </x:c>
      <x:c r="N80" s="42" t="str">
        <x:v>誤り。アスティ型の低アルコール微発泡性ではない。</x:v>
      </x:c>
      <x:c r="O80" s="42" t="str">
        <x:v>正しい。マスカット香と残糖を早期酒精強化で保持する。</x:v>
      </x:c>
      <x:c r="P80" s="42" t="str">
        <x:v>誤り。白の芳香性品種を用い、高タンニン赤ではない。</x:v>
      </x:c>
      <x:c r="Q80" s="42" t="str">
        <x:v>産地スタイル</x:v>
      </x:c>
      <x:c r="R80" s="42" t="str">
        <x:v>酒精強化マスカット</x:v>
      </x:c>
      <x:c r="S80" s="42" t="str">
        <x:v>甘口酒精強化ワイン</x:v>
      </x:c>
      <x:c r="T80" s="42" t="str">
        <x:v>フランス</x:v>
      </x:c>
      <x:c r="U80" s="42" t="str">
        <x:v>ミュスカ・ドゥ・ボーム・ドゥ・ヴニーズ</x:v>
      </x:c>
      <x:c r="V80" s="42" t="str">
        <x:v>マスカット</x:v>
      </x:c>
      <x:c r="W80" s="42" t="str">
        <x:v>知識確認</x:v>
      </x:c>
      <x:c r="X80" s="53" t="str">
        <x:v>D1</x:v>
      </x:c>
      <x:c r="Y80" s="42" t="str">
        <x:v>ボーム・ド・ヴニーズは辛口酸化型; アスティ型微発泡性; 高タンニン赤の酒精強化</x:v>
      </x:c>
      <x:c r="Z80" s="53" t="str">
        <x:v>N</x:v>
      </x:c>
      <x:c r="AA80" s="42"/>
      <x:c r="AB80" s="42" t="str">
        <x:v>オリジナル</x:v>
      </x:c>
      <x:c r="AC80" s="42" t="str">
        <x:v>公式Specificationの範囲＋ユーザー作成コーパスの論点を参考に独自作成</x:v>
      </x:c>
      <x:c r="AD80" s="53" t="str">
        <x:v>改稿済み・専門家未承認</x:v>
      </x:c>
      <x:c r="AE80" s="53" t="str">
        <x:v>AI誤答レビュー</x:v>
      </x:c>
      <x:c r="AF80" s="53" t="str">
        <x:v>2026-07-12</x:v>
      </x:c>
      <x:c r="AG80" s="43" t="str">
        <x:v>第3バッチ：同一論点内の典型的誤概念へ置換。正答位置は維持。</x:v>
      </x:c>
    </x:row>
    <x:row r="81" ht="84" customHeight="1">
      <x:c r="A81" s="41" t="str">
        <x:v>LO4-020</x:v>
      </x:c>
      <x:c r="B81" s="53" t="str">
        <x:v>LO4</x:v>
      </x:c>
      <x:c r="C81" s="42" t="str">
        <x:v>世界の主要な酒精強化ワイン</x:v>
      </x:c>
      <x:c r="D81" s="42" t="str">
        <x:v>酒精強化時期の比較</x:v>
      </x:c>
      <x:c r="E81" s="42" t="str">
        <x:v>ポートと辛口シェリーの酒精強化時期の違いを、最も適切に説明しているものはどれか。</x:v>
      </x:c>
      <x:c r="F81" s="42" t="str">
        <x:v>両方とも発酵途中に強化し、残糖を残す</x:v>
      </x:c>
      <x:c r="G81" s="42" t="str">
        <x:v>ポートは発酵完了後、辛口シェリーは発酵途中に強化する</x:v>
      </x:c>
      <x:c r="H81" s="42" t="str">
        <x:v>両方とも辛口まで発酵した後に強化する</x:v>
      </x:c>
      <x:c r="I81" s="42" t="str">
        <x:v>ポートは発酵途中に強化して糖を残し、辛口シェリーは発酵完了後に強化する</x:v>
      </x:c>
      <x:c r="J81" s="53" t="str">
        <x:v>D</x:v>
      </x:c>
      <x:c r="K81" s="42" t="str">
        <x:v>ポートは発酵途中に強化して糖を残し、辛口シェリーは発酵完了後に強化する</x:v>
      </x:c>
      <x:c r="L81" s="42" t="str">
        <x:v>正しい。甘口ポートと辛口シェリーの基本的な違いを正しく示す。</x:v>
      </x:c>
      <x:c r="M81" s="42" t="str">
        <x:v>誤り。辛口シェリーは残糖を残すための早期強化ではない。</x:v>
      </x:c>
      <x:c r="N81" s="42" t="str">
        <x:v>誤り。時期の関係が逆である。</x:v>
      </x:c>
      <x:c r="O81" s="42" t="str">
        <x:v>誤り。ポートは辛口発酵後ではなく、途中で止める。</x:v>
      </x:c>
      <x:c r="P81" s="42" t="str">
        <x:v>正しい。甘口ポートと辛口シェリーの基本的な違いを正しく示す。</x:v>
      </x:c>
      <x:c r="Q81" s="42" t="str">
        <x:v>比較・製法</x:v>
      </x:c>
      <x:c r="R81" s="42" t="str">
        <x:v>酒精強化の時期</x:v>
      </x:c>
      <x:c r="S81" s="42" t="str">
        <x:v>酒精強化ワイン</x:v>
      </x:c>
      <x:c r="T81" s="42" t="str">
        <x:v>ポルトガル／スペイン</x:v>
      </x:c>
      <x:c r="U81" s="42" t="str">
        <x:v>ポート／ヘレス</x:v>
      </x:c>
      <x:c r="V81" s="42" t="str"/>
      <x:c r="W81" s="42" t="str">
        <x:v>比較</x:v>
      </x:c>
      <x:c r="X81" s="53" t="str">
        <x:v>D2</x:v>
      </x:c>
      <x:c r="Y81" s="42" t="str">
        <x:v>ポートも辛口シェリーも発酵途中強化; 強化時期を逆転; 両方とも発酵完了後強化</x:v>
      </x:c>
      <x:c r="Z81" s="53" t="str">
        <x:v>N</x:v>
      </x:c>
      <x:c r="AA81" s="42"/>
      <x:c r="AB81" s="42" t="str">
        <x:v>オリジナル</x:v>
      </x:c>
      <x:c r="AC81" s="42" t="str">
        <x:v>公式Specificationの範囲＋ユーザー作成コーパスの論点を参考に独自作成</x:v>
      </x:c>
      <x:c r="AD81" s="53" t="str">
        <x:v>改稿済み・専門家未承認</x:v>
      </x:c>
      <x:c r="AE81" s="53" t="str">
        <x:v>AI誤答レビュー</x:v>
      </x:c>
      <x:c r="AF81" s="53" t="str">
        <x:v>2026-07-12</x:v>
      </x:c>
      <x:c r="AG81" s="43" t="str">
        <x:v>第3バッチ：同一論点内の典型的誤概念へ置換。正答位置は維持。</x:v>
      </x:c>
    </x:row>
    <x:row r="82" ht="84" customHeight="1">
      <x:c r="A82" s="41" t="str">
        <x:v>LO5-001</x:v>
      </x:c>
      <x:c r="B82" s="53" t="str">
        <x:v>LO5</x:v>
      </x:c>
      <x:c r="C82" s="42" t="str">
        <x:v>情報提供・推奨・保管・サービス</x:v>
      </x:c>
      <x:c r="D82" s="42" t="str">
        <x:v>保管温度</x:v>
      </x:c>
      <x:c r="E82" s="42" t="str">
        <x:v>ワインを長期保管する条件として最も適切なものはどれか。</x:v>
      </x:c>
      <x:c r="F82" s="42" t="str">
        <x:v>涼しく、温度変化が小さく、暗く、振動の少ない場所</x:v>
      </x:c>
      <x:c r="G82" s="42" t="str">
        <x:v>日当たりがよく、昼夜の温度差が大きい場所</x:v>
      </x:c>
      <x:c r="H82" s="42" t="str">
        <x:v>暖房器具の近くで、20℃台後半の温度を保つ場所</x:v>
      </x:c>
      <x:c r="I82" s="42" t="str">
        <x:v>湿度を極端に低くし、コルクを乾燥させながら冷風を直接当てる場所</x:v>
      </x:c>
      <x:c r="J82" s="53" t="str">
        <x:v>A</x:v>
      </x:c>
      <x:c r="K82" s="42" t="str">
        <x:v>涼しく、温度変化が小さく、暗く、振動の少ない場所</x:v>
      </x:c>
      <x:c r="L82" s="42" t="str">
        <x:v>正しい。高温や温度変化、光、振動は熟成を速めたり品質を損なったりするため、安定した環境が望ましい。</x:v>
      </x:c>
      <x:c r="M82" s="42" t="str">
        <x:v>正しい。高温や温度変化、光、振動は熟成を速めたり品質を損なったりするため、安定した環境が望ましい。</x:v>
      </x:c>
      <x:c r="N82" s="42" t="str">
        <x:v>誤り。光と温度変化はワインを劣化させる。</x:v>
      </x:c>
      <x:c r="O82" s="42" t="str">
        <x:v>誤り。高温は熟成を過度に速め、酸化や風味劣化のリスクを高める。</x:v>
      </x:c>
      <x:c r="P82" s="42" t="str">
        <x:v>誤り。低湿度と直接の冷風はコルクの乾燥・収縮を促し、酸素侵入や液漏れのリスクを高める。</x:v>
      </x:c>
      <x:c r="Q82" s="42" t="str">
        <x:v>保管・サービス</x:v>
      </x:c>
      <x:c r="R82" s="42" t="str">
        <x:v>長期保管</x:v>
      </x:c>
      <x:c r="S82" s="42" t="str">
        <x:v>全般</x:v>
      </x:c>
      <x:c r="T82" s="42" t="str"/>
      <x:c r="U82" s="42" t="str"/>
      <x:c r="V82" s="42" t="str"/>
      <x:c r="W82" s="42" t="str">
        <x:v>知識確認</x:v>
      </x:c>
      <x:c r="X82" s="53" t="str">
        <x:v>D1</x:v>
      </x:c>
      <x:c r="Y82" s="42" t="str">
        <x:v>保管温度に関する別の特徴・要因と混同; 保管温度に関する別の特徴・要因と混同; 低湿度と直接冷風が長期保管に適する</x:v>
      </x:c>
      <x:c r="Z82" s="53" t="str">
        <x:v>N</x:v>
      </x:c>
      <x:c r="AA82" s="42"/>
      <x:c r="AB82" s="42" t="str">
        <x:v>オリジナル</x:v>
      </x:c>
      <x:c r="AC82" s="42" t="str">
        <x:v>公式Specificationの範囲＋ユーザー作成コーパスの論点を参考に独自作成</x:v>
      </x:c>
      <x:c r="AD82" s="53" t="str">
        <x:v>改稿済み・専門家未承認</x:v>
      </x:c>
      <x:c r="AE82" s="53" t="str">
        <x:v>AI誤答レビュー</x:v>
      </x:c>
      <x:c r="AF82" s="53" t="str">
        <x:v>2026-07-12</x:v>
      </x:c>
      <x:c r="AG82" s="43" t="str">
        <x:v>最終バッチ：有効な誤答を維持し、絶対語・物理的不可能な誤答のみ置換。正答位置は維持。</x:v>
      </x:c>
    </x:row>
    <x:row r="83" ht="84" customHeight="1">
      <x:c r="A83" s="41" t="str">
        <x:v>LO5-002</x:v>
      </x:c>
      <x:c r="B83" s="53" t="str">
        <x:v>LO5</x:v>
      </x:c>
      <x:c r="C83" s="42" t="str">
        <x:v>情報提供・推奨・保管・サービス</x:v>
      </x:c>
      <x:c r="D83" s="42" t="str">
        <x:v>光による劣化</x:v>
      </x:c>
      <x:c r="E83" s="42" t="str">
        <x:v>発泡性ワインや白ワインを強い光から守るべき主な理由はどれか。</x:v>
      </x:c>
      <x:c r="F83" s="42" t="str">
        <x:v>透明瓶を低温で保管すれば、強い光へさらしても品質を保てる</x:v>
      </x:c>
      <x:c r="G83" s="42" t="str">
        <x:v>光反応で硫黄系の不快臭や香味劣化が生じる可能性があるため</x:v>
      </x:c>
      <x:c r="H83" s="42" t="str">
        <x:v>光で二酸化炭素が増え、瓶内圧力が高くなるため</x:v>
      </x:c>
      <x:c r="I83" s="42" t="str">
        <x:v>光が酒石酸を結晶化させ、瓶底へ沈殿させるため</x:v>
      </x:c>
      <x:c r="J83" s="53" t="str">
        <x:v>B</x:v>
      </x:c>
      <x:c r="K83" s="42" t="str">
        <x:v>光反応で硫黄系の不快臭や香味劣化が生じる可能性があるため</x:v>
      </x:c>
      <x:c r="L83" s="42" t="str">
        <x:v>正しい。リボフラビン等が光へ反応し、キャベツや濡れた羊毛様の臭いを生む。</x:v>
      </x:c>
      <x:c r="M83" s="42" t="str">
        <x:v>誤り。低温でも光反応は起こり得るため、暗所または色付き瓶で保護する必要がある。</x:v>
      </x:c>
      <x:c r="N83" s="42" t="str">
        <x:v>正しい。リボフラビン等が光へ反応し、キャベツや濡れた羊毛様の臭いを生む。</x:v>
      </x:c>
      <x:c r="O83" s="42" t="str">
        <x:v>誤り。光がCO2を生成するわけではない。</x:v>
      </x:c>
      <x:c r="P83" s="42" t="str">
        <x:v>誤り。酒石析出は主に温度と濃度に関係する。</x:v>
      </x:c>
      <x:c r="Q83" s="42" t="str">
        <x:v>保管・欠陥</x:v>
      </x:c>
      <x:c r="R83" s="42" t="str">
        <x:v>光による劣化</x:v>
      </x:c>
      <x:c r="S83" s="42" t="str">
        <x:v>白・発泡性ワイン</x:v>
      </x:c>
      <x:c r="T83" s="42" t="str"/>
      <x:c r="U83" s="42" t="str"/>
      <x:c r="V83" s="42" t="str"/>
      <x:c r="W83" s="42" t="str">
        <x:v>因果説明</x:v>
      </x:c>
      <x:c r="X83" s="53" t="str">
        <x:v>D2</x:v>
      </x:c>
      <x:c r="Y83" s="42" t="str">
        <x:v>低温なら光劣化を防げる; 光でCO2・圧力増加; 光で酒石結晶化</x:v>
      </x:c>
      <x:c r="Z83" s="53" t="str">
        <x:v>N</x:v>
      </x:c>
      <x:c r="AA83" s="42"/>
      <x:c r="AB83" s="42" t="str">
        <x:v>オリジナル</x:v>
      </x:c>
      <x:c r="AC83" s="42" t="str">
        <x:v>公式Specificationの範囲＋ユーザー作成コーパスの論点を参考に独自作成</x:v>
      </x:c>
      <x:c r="AD83" s="53" t="str">
        <x:v>改稿済み・専門家未承認</x:v>
      </x:c>
      <x:c r="AE83" s="53" t="str">
        <x:v>AI誤答レビュー</x:v>
      </x:c>
      <x:c r="AF83" s="53" t="str">
        <x:v>2026-07-12</x:v>
      </x:c>
      <x:c r="AG83" s="43" t="str">
        <x:v>第4バッチ：同一論点内の典型的誤概念へ置換。正答位置は維持。</x:v>
      </x:c>
    </x:row>
    <x:row r="84" ht="84" customHeight="1">
      <x:c r="A84" s="41" t="str">
        <x:v>LO5-003</x:v>
      </x:c>
      <x:c r="B84" s="53" t="str">
        <x:v>LO5</x:v>
      </x:c>
      <x:c r="C84" s="42" t="str">
        <x:v>情報提供・推奨・保管・サービス</x:v>
      </x:c>
      <x:c r="D84" s="42" t="str">
        <x:v>コルク栓の保管</x:v>
      </x:c>
      <x:c r="E84" s="42" t="str">
        <x:v>天然コルク栓のワインを長期保管する際、一般に横置きが推奨される主な理由はどれか。</x:v>
      </x:c>
      <x:c r="F84" s="42" t="str">
        <x:v>ボトル内で二次発酵を起こすため</x:v>
      </x:c>
      <x:c r="G84" s="42" t="str">
        <x:v>酒石酸塩を瓶口へ集めるため</x:v>
      </x:c>
      <x:c r="H84" s="42" t="str">
        <x:v>コルクをワインに触れさせ、乾燥・収縮による空気の侵入を抑えるため</x:v>
      </x:c>
      <x:c r="I84" s="42" t="str">
        <x:v>沈殿をワイン中に再分散させ、熟成を均一にするため</x:v>
      </x:c>
      <x:c r="J84" s="53" t="str">
        <x:v>C</x:v>
      </x:c>
      <x:c r="K84" s="42" t="str">
        <x:v>コルクをワインに触れさせ、乾燥・収縮による空気の侵入を抑えるため</x:v>
      </x:c>
      <x:c r="L84" s="42" t="str">
        <x:v>正しい。コルクが乾燥すると密閉性が低下し、酸化や漏れのリスクが高まる。</x:v>
      </x:c>
      <x:c r="M84" s="42" t="str">
        <x:v>誤り。横置きと二次発酵は関係がない。</x:v>
      </x:c>
      <x:c r="N84" s="42" t="str">
        <x:v>誤り。酒石酸塩の管理が横置きの主目的ではない。</x:v>
      </x:c>
      <x:c r="O84" s="42" t="str">
        <x:v>正しい。コルクが乾燥すると密閉性が低下し、酸化や漏れのリスクが高まる。</x:v>
      </x:c>
      <x:c r="P84" s="42" t="str">
        <x:v>誤り。横置きで沈殿を溶かすことが主目的ではない。</x:v>
      </x:c>
      <x:c r="Q84" s="42" t="str">
        <x:v>保管・サービス</x:v>
      </x:c>
      <x:c r="R84" s="42" t="str">
        <x:v>天然コルク</x:v>
      </x:c>
      <x:c r="S84" s="42" t="str">
        <x:v>全般</x:v>
      </x:c>
      <x:c r="T84" s="42" t="str"/>
      <x:c r="U84" s="42" t="str"/>
      <x:c r="V84" s="42" t="str"/>
      <x:c r="W84" s="42" t="str">
        <x:v>因果説明</x:v>
      </x:c>
      <x:c r="X84" s="53" t="str">
        <x:v>D1</x:v>
      </x:c>
      <x:c r="Y84" s="42" t="str">
        <x:v>コルク栓の保管に関する別の特徴・要因と混同; コルク栓の保管に関する別の特徴・要因と混同; コルク栓の保管に関する別の特徴・要因と混同</x:v>
      </x:c>
      <x:c r="Z84" s="53" t="str">
        <x:v>N</x:v>
      </x:c>
      <x:c r="AA84" s="42"/>
      <x:c r="AB84" s="42" t="str">
        <x:v>オリジナル</x:v>
      </x:c>
      <x:c r="AC84" s="42" t="str">
        <x:v>公式Specificationの範囲＋ユーザー作成コーパスの論点を参考に独自作成</x:v>
      </x:c>
      <x:c r="AD84" s="53" t="str">
        <x:v>改稿済み・専門家未承認</x:v>
      </x:c>
      <x:c r="AE84" s="53" t="str">
        <x:v>AI誤答レビュー</x:v>
      </x:c>
      <x:c r="AF84" s="53" t="str">
        <x:v>2026-07-12</x:v>
      </x:c>
      <x:c r="AG84" s="43" t="str">
        <x:v>最終バッチ：有効な誤答を維持し、絶対語・物理的不可能な誤答のみ置換。正答位置は維持。</x:v>
      </x:c>
    </x:row>
    <x:row r="85" ht="84" customHeight="1">
      <x:c r="A85" s="41" t="str">
        <x:v>LO5-004</x:v>
      </x:c>
      <x:c r="B85" s="53" t="str">
        <x:v>LO5</x:v>
      </x:c>
      <x:c r="C85" s="42" t="str">
        <x:v>情報提供・推奨・保管・サービス</x:v>
      </x:c>
      <x:c r="D85" s="42" t="str">
        <x:v>発泡性ワインのサービス温度</x:v>
      </x:c>
      <x:c r="E85" s="42" t="str">
        <x:v>発泡性ワインをよく冷やしてサービスする利点として最も適切なものはどれか。</x:v>
      </x:c>
      <x:c r="F85" s="42" t="str">
        <x:v>低温で炭酸ガスの溶解度が下がり、泡が早く抜ける</x:v>
      </x:c>
      <x:c r="G85" s="42" t="str">
        <x:v>低温で甘味と酸味の知覚が弱まり、構造を感じなくなる</x:v>
      </x:c>
      <x:c r="H85" s="42" t="str">
        <x:v>低温による揮発でアルコール度を下げ、刺激を減らす</x:v>
      </x:c>
      <x:c r="I85" s="42" t="str">
        <x:v>炭酸ガスを保持しやすく、爽快感を保ちながら開栓時の噴出リスクも抑えられる</x:v>
      </x:c>
      <x:c r="J85" s="53" t="str">
        <x:v>D</x:v>
      </x:c>
      <x:c r="K85" s="42" t="str">
        <x:v>炭酸ガスを保持しやすく、爽快感を保ちながら開栓時の噴出リスクも抑えられる</x:v>
      </x:c>
      <x:c r="L85" s="42" t="str">
        <x:v>正しい。冷えたワインは炭酸ガスを保持しやすく、泡立ちが制御しやすい。</x:v>
      </x:c>
      <x:c r="M85" s="42" t="str">
        <x:v>誤り。低温では炭酸ガスは液体に溶け込みやすく、説明が逆である。</x:v>
      </x:c>
      <x:c r="N85" s="42" t="str">
        <x:v>誤り。温度は知覚に影響するが、酸味がなくなるわけではなく、冷却は爽快感を保ちやすい。</x:v>
      </x:c>
      <x:c r="O85" s="42" t="str">
        <x:v>誤り。実際のアルコール度はサービス温度で大きく変化しない。</x:v>
      </x:c>
      <x:c r="P85" s="42" t="str">
        <x:v>正しい。冷えたワインは炭酸ガスを保持しやすく、泡立ちが制御しやすい。</x:v>
      </x:c>
      <x:c r="Q85" s="42" t="str">
        <x:v>保管・サービス</x:v>
      </x:c>
      <x:c r="R85" s="42" t="str">
        <x:v>サービス温度</x:v>
      </x:c>
      <x:c r="S85" s="42" t="str">
        <x:v>発泡性ワイン</x:v>
      </x:c>
      <x:c r="T85" s="42" t="str"/>
      <x:c r="U85" s="42" t="str"/>
      <x:c r="V85" s="42" t="str"/>
      <x:c r="W85" s="42" t="str">
        <x:v>因果説明</x:v>
      </x:c>
      <x:c r="X85" s="53" t="str">
        <x:v>D2</x:v>
      </x:c>
      <x:c r="Y85" s="42" t="str">
        <x:v>発泡性ワインのサービス温度に関する別の特徴・要因と混同; 発泡性ワインのサービス温度に関する別の特徴・要因と混同; 発泡性ワインのサービス温度に関する別の特徴・要因と混同</x:v>
      </x:c>
      <x:c r="Z85" s="53" t="str">
        <x:v>N</x:v>
      </x:c>
      <x:c r="AA85" s="42"/>
      <x:c r="AB85" s="42" t="str">
        <x:v>オリジナル</x:v>
      </x:c>
      <x:c r="AC85" s="42" t="str">
        <x:v>公式Specificationの範囲＋ユーザー作成コーパスの論点を参考に独自作成</x:v>
      </x:c>
      <x:c r="AD85" s="53" t="str">
        <x:v>改稿済み・専門家未承認</x:v>
      </x:c>
      <x:c r="AE85" s="53" t="str">
        <x:v>AI誤答レビュー</x:v>
      </x:c>
      <x:c r="AF85" s="53" t="str">
        <x:v>2026-07-12</x:v>
      </x:c>
      <x:c r="AG85" s="43" t="str">
        <x:v>最終バッチ：有効な誤答を維持し、絶対語・物理的不可能な誤答のみ置換。正答位置は維持。</x:v>
      </x:c>
    </x:row>
    <x:row r="86" ht="84" customHeight="1">
      <x:c r="A86" s="41" t="str">
        <x:v>LO5-005</x:v>
      </x:c>
      <x:c r="B86" s="53" t="str">
        <x:v>LO5</x:v>
      </x:c>
      <x:c r="C86" s="42" t="str">
        <x:v>情報提供・推奨・保管・サービス</x:v>
      </x:c>
      <x:c r="D86" s="42" t="str">
        <x:v>赤ワインのサービス温度</x:v>
      </x:c>
      <x:c r="E86" s="42" t="str">
        <x:v>フルボディで高アルコールの赤ワインを過度に高い温度でサービスした場合、最も起こりやすいことはどれか。</x:v>
      </x:c>
      <x:c r="F86" s="42" t="str">
        <x:v>アルコールの刺激が目立ち、ワインが重く締まりなく感じられる</x:v>
      </x:c>
      <x:c r="G86" s="42" t="str">
        <x:v>高温でタンニンが沈殿し、口当たりが軽くなる</x:v>
      </x:c>
      <x:c r="H86" s="42" t="str">
        <x:v>酸の量が増え、実際の総酸度が大きく上昇する</x:v>
      </x:c>
      <x:c r="I86" s="42" t="str">
        <x:v>高温で残糖の発酵が再開し、辛口になる</x:v>
      </x:c>
      <x:c r="J86" s="53" t="str">
        <x:v>A</x:v>
      </x:c>
      <x:c r="K86" s="42" t="str">
        <x:v>アルコールの刺激が目立ち、ワインが重く締まりなく感じられる</x:v>
      </x:c>
      <x:c r="L86" s="42" t="str">
        <x:v>正しい。高温ではアルコールの揮発と知覚が強まり、鮮度が弱く感じられる。</x:v>
      </x:c>
      <x:c r="M86" s="42" t="str">
        <x:v>正しい。高温ではアルコールの揮発と知覚が強まり、鮮度が弱く感じられる。</x:v>
      </x:c>
      <x:c r="N86" s="42" t="str">
        <x:v>誤り。サービス温度でタンニンが急速に沈殿して消えるわけではない。</x:v>
      </x:c>
      <x:c r="O86" s="42" t="str">
        <x:v>誤り。温度は知覚を変えるが、酸の量を増加させない。</x:v>
      </x:c>
      <x:c r="P86" s="42" t="str">
        <x:v>誤り。サービス中に発酵が直ちに再開するわけではなく、主要な影響は知覚上のアルコール感である。</x:v>
      </x:c>
      <x:c r="Q86" s="42" t="str">
        <x:v>保管・サービス</x:v>
      </x:c>
      <x:c r="R86" s="42" t="str">
        <x:v>サービス温度</x:v>
      </x:c>
      <x:c r="S86" s="42" t="str">
        <x:v>赤非発泡性ワイン</x:v>
      </x:c>
      <x:c r="T86" s="42" t="str"/>
      <x:c r="U86" s="42" t="str"/>
      <x:c r="V86" s="42" t="str"/>
      <x:c r="W86" s="42" t="str">
        <x:v>適用</x:v>
      </x:c>
      <x:c r="X86" s="53" t="str">
        <x:v>D2</x:v>
      </x:c>
      <x:c r="Y86" s="42" t="str">
        <x:v>赤ワインのサービス温度に関する別の特徴・要因と混同; 赤ワインのサービス温度に関する別の特徴・要因と混同; 赤ワインのサービス温度に関する別の特徴・要因と混同</x:v>
      </x:c>
      <x:c r="Z86" s="53" t="str">
        <x:v>N</x:v>
      </x:c>
      <x:c r="AA86" s="42"/>
      <x:c r="AB86" s="42" t="str">
        <x:v>オリジナル</x:v>
      </x:c>
      <x:c r="AC86" s="42" t="str">
        <x:v>公式Specificationの範囲＋ユーザー作成コーパスの論点を参考に独自作成</x:v>
      </x:c>
      <x:c r="AD86" s="53" t="str">
        <x:v>改稿済み・専門家未承認</x:v>
      </x:c>
      <x:c r="AE86" s="53" t="str">
        <x:v>AI誤答レビュー</x:v>
      </x:c>
      <x:c r="AF86" s="53" t="str">
        <x:v>2026-07-12</x:v>
      </x:c>
      <x:c r="AG86" s="43" t="str">
        <x:v>最終バッチ：有効な誤答を維持し、絶対語・物理的不可能な誤答のみ置換。正答位置は維持。</x:v>
      </x:c>
    </x:row>
    <x:row r="87" ht="84" customHeight="1">
      <x:c r="A87" s="41" t="str">
        <x:v>LO5-006</x:v>
      </x:c>
      <x:c r="B87" s="53" t="str">
        <x:v>LO5</x:v>
      </x:c>
      <x:c r="C87" s="42" t="str">
        <x:v>情報提供・推奨・保管・サービス</x:v>
      </x:c>
      <x:c r="D87" s="42" t="str">
        <x:v>若い赤ワインのデカンティング</x:v>
      </x:c>
      <x:c r="E87" s="42" t="str">
        <x:v>若く、タンニンが高く、香りが閉じている赤ワインをデカンティングする主な目的はどれか。</x:v>
      </x:c>
      <x:c r="F87" s="42" t="str">
        <x:v>若い赤をデカントするとタンニンが沈殿し、ワインから除去される</x:v>
      </x:c>
      <x:c r="G87" s="42" t="str">
        <x:v>空気へ触れさせて香りを開き、タンニンの収れん性を穏やかに感じさせる</x:v>
      </x:c>
      <x:c r="H87" s="42" t="str">
        <x:v>タンニンをデキャンタ底へ沈め、ワインから物理的に除去する</x:v>
      </x:c>
      <x:c r="I87" s="42" t="str">
        <x:v>アルコールを蒸発させ、実際のアルコール度を下げる</x:v>
      </x:c>
      <x:c r="J87" s="53" t="str">
        <x:v>B</x:v>
      </x:c>
      <x:c r="K87" s="42" t="str">
        <x:v>空気へ触れさせて香りを開き、タンニンの収れん性を穏やかに感じさせる</x:v>
      </x:c>
      <x:c r="L87" s="42" t="str">
        <x:v>正しい。還元的・閉じた香りを開き、果実と構造を表現しやすくする。</x:v>
      </x:c>
      <x:c r="M87" s="42" t="str">
        <x:v>誤り。エアレーションで知覚が和らぐが、タンニンを短時間で物理除去しない。</x:v>
      </x:c>
      <x:c r="N87" s="42" t="str">
        <x:v>正しい。還元的・閉じた香りを開き、果実と構造を表現しやすくする。</x:v>
      </x:c>
      <x:c r="O87" s="42" t="str">
        <x:v>誤り。若いワインのタンニンを短時間で除去する工程ではない。</x:v>
      </x:c>
      <x:c r="P87" s="42" t="str">
        <x:v>誤り。短時間で大幅に下がらない。</x:v>
      </x:c>
      <x:c r="Q87" s="42" t="str">
        <x:v>保管・サービス</x:v>
      </x:c>
      <x:c r="R87" s="42" t="str">
        <x:v>デカンティング</x:v>
      </x:c>
      <x:c r="S87" s="42" t="str">
        <x:v>赤非発泡性ワイン</x:v>
      </x:c>
      <x:c r="T87" s="42" t="str"/>
      <x:c r="U87" s="42" t="str"/>
      <x:c r="V87" s="42" t="str"/>
      <x:c r="W87" s="42" t="str">
        <x:v>因果説明</x:v>
      </x:c>
      <x:c r="X87" s="53" t="str">
        <x:v>D1</x:v>
      </x:c>
      <x:c r="Y87" s="42" t="str">
        <x:v>若い赤のデカントでタンニンを沈殿除去; 若い赤デカントでタンニン除去; デカントで脱アルコール</x:v>
      </x:c>
      <x:c r="Z87" s="53" t="str">
        <x:v>N</x:v>
      </x:c>
      <x:c r="AA87" s="42"/>
      <x:c r="AB87" s="42" t="str">
        <x:v>オリジナル</x:v>
      </x:c>
      <x:c r="AC87" s="42" t="str">
        <x:v>公式Specificationの範囲＋ユーザー作成コーパスの論点を参考に独自作成</x:v>
      </x:c>
      <x:c r="AD87" s="53" t="str">
        <x:v>改稿済み・専門家未承認</x:v>
      </x:c>
      <x:c r="AE87" s="53" t="str">
        <x:v>AI誤答レビュー</x:v>
      </x:c>
      <x:c r="AF87" s="53" t="str">
        <x:v>2026-07-12</x:v>
      </x:c>
      <x:c r="AG87" s="43" t="str">
        <x:v>第4バッチ：同一論点内の典型的誤概念へ置換。正答位置は維持。</x:v>
      </x:c>
    </x:row>
    <x:row r="88" ht="84" customHeight="1">
      <x:c r="A88" s="41" t="str">
        <x:v>LO5-007</x:v>
      </x:c>
      <x:c r="B88" s="53" t="str">
        <x:v>LO5</x:v>
      </x:c>
      <x:c r="C88" s="42" t="str">
        <x:v>情報提供・推奨・保管・サービス</x:v>
      </x:c>
      <x:c r="D88" s="42" t="str">
        <x:v>熟成ワインのデカンティング</x:v>
      </x:c>
      <x:c r="E88" s="42" t="str">
        <x:v>熟成した赤ワインをデカンティングする際に特に注意すべきことはどれか。</x:v>
      </x:c>
      <x:c r="F88" s="42" t="str">
        <x:v>できるだけ激しく振って空気を多く混ぜる</x:v>
      </x:c>
      <x:c r="G88" s="42" t="str">
        <x:v>ボトルを冷凍し、沈殿を氷とともに瓶口から取り除く</x:v>
      </x:c>
      <x:c r="H88" s="42" t="str">
        <x:v>沈殿をボトルに残しつつ、過度な酸素接触を避けて静かに移す</x:v>
      </x:c>
      <x:c r="I88" s="42" t="str">
        <x:v>発泡性ワイン用の栓を取り付け、沈殿を瓶内圧で押し出す</x:v>
      </x:c>
      <x:c r="J88" s="53" t="str">
        <x:v>C</x:v>
      </x:c>
      <x:c r="K88" s="42" t="str">
        <x:v>沈殿をボトルに残しつつ、過度な酸素接触を避けて静かに移す</x:v>
      </x:c>
      <x:c r="L88" s="42" t="str">
        <x:v>正しい。主目的は沈殿分離であり、ワインの繊細さを保つ必要がある。</x:v>
      </x:c>
      <x:c r="M88" s="42" t="str">
        <x:v>誤り。熟成ワインは酸素に弱く、過度な攪拌で急速に衰える可能性がある。</x:v>
      </x:c>
      <x:c r="N88" s="42" t="str">
        <x:v>誤り。これは発泡性ワインのデゴルジュマンに近く、熟成赤ワインの沈殿除去には適さない。</x:v>
      </x:c>
      <x:c r="O88" s="42" t="str">
        <x:v>正しい。主目的は沈殿分離であり、ワインの繊細さを保つ必要がある。</x:v>
      </x:c>
      <x:c r="P88" s="42" t="str">
        <x:v>誤り。熟成赤ワインのデカンティングとは関係がない。</x:v>
      </x:c>
      <x:c r="Q88" s="42" t="str">
        <x:v>保管・サービス</x:v>
      </x:c>
      <x:c r="R88" s="42" t="str">
        <x:v>熟成ワイン・沈殿</x:v>
      </x:c>
      <x:c r="S88" s="42" t="str">
        <x:v>赤非発泡性ワイン</x:v>
      </x:c>
      <x:c r="T88" s="42" t="str"/>
      <x:c r="U88" s="42" t="str"/>
      <x:c r="V88" s="42" t="str"/>
      <x:c r="W88" s="42" t="str">
        <x:v>適用</x:v>
      </x:c>
      <x:c r="X88" s="53" t="str">
        <x:v>D2</x:v>
      </x:c>
      <x:c r="Y88" s="42" t="str">
        <x:v>熟成ワインのデカンティングに関する別の特徴・要因と混同; 熟成ワインのデカンティングに関する別の特徴・要因と混同; 熟成ワインのデカンティングに関する別の特徴・要因と混同</x:v>
      </x:c>
      <x:c r="Z88" s="53" t="str">
        <x:v>N</x:v>
      </x:c>
      <x:c r="AA88" s="42"/>
      <x:c r="AB88" s="42" t="str">
        <x:v>オリジナル</x:v>
      </x:c>
      <x:c r="AC88" s="42" t="str">
        <x:v>公式Specificationの範囲＋ユーザー作成コーパスの論点を参考に独自作成</x:v>
      </x:c>
      <x:c r="AD88" s="53" t="str">
        <x:v>改稿済み・専門家未承認</x:v>
      </x:c>
      <x:c r="AE88" s="53" t="str">
        <x:v>AI誤答レビュー</x:v>
      </x:c>
      <x:c r="AF88" s="53" t="str">
        <x:v>2026-07-12</x:v>
      </x:c>
      <x:c r="AG88" s="43" t="str">
        <x:v>最終バッチ：有効な誤答を維持し、絶対語・物理的不可能な誤答のみ置換。正答位置は維持。</x:v>
      </x:c>
    </x:row>
    <x:row r="89" ht="84" customHeight="1">
      <x:c r="A89" s="41" t="str">
        <x:v>LO5-008</x:v>
      </x:c>
      <x:c r="B89" s="53" t="str">
        <x:v>LO5</x:v>
      </x:c>
      <x:c r="C89" s="42" t="str">
        <x:v>情報提供・推奨・保管・サービス</x:v>
      </x:c>
      <x:c r="D89" s="42" t="str">
        <x:v>サービス順序</x:v>
      </x:c>
      <x:c r="E89" s="42" t="str">
        <x:v>複数のワインを同じ食事でサービスする一般的な順序として最も適切なものはどれか。</x:v>
      </x:c>
      <x:c r="F89" s="42" t="str">
        <x:v>甘口から辛口、フルボディからライトボディ</x:v>
      </x:c>
      <x:c r="G89" s="42" t="str">
        <x:v>赤ワインを白ワインより先に出し、色の濃い順に進める</x:v>
      </x:c>
      <x:c r="H89" s="42" t="str">
        <x:v>最も高価なワインから安価なワイン</x:v>
      </x:c>
      <x:c r="I89" s="42" t="str">
        <x:v>辛口から甘口、ライトボディからフルボディ、繊細なものから風味の強いもの</x:v>
      </x:c>
      <x:c r="J89" s="53" t="str">
        <x:v>D</x:v>
      </x:c>
      <x:c r="K89" s="42" t="str">
        <x:v>辛口から甘口、ライトボディからフルボディ、繊細なものから風味の強いもの</x:v>
      </x:c>
      <x:c r="L89" s="42" t="str">
        <x:v>正しい。後のワインが前のワインを圧倒しにくい順序である。</x:v>
      </x:c>
      <x:c r="M89" s="42" t="str">
        <x:v>誤り。先に強い甘味やボディを味わうと、その後の繊細なワインが弱く感じられる。</x:v>
      </x:c>
      <x:c r="N89" s="42" t="str">
        <x:v>誤り。色だけで固定するのではなく、甘味、ボディ、風味の強さも考慮する。</x:v>
      </x:c>
      <x:c r="O89" s="42" t="str">
        <x:v>誤り。価格は感覚疲労を防ぐ順序の主要基準ではない。</x:v>
      </x:c>
      <x:c r="P89" s="42" t="str">
        <x:v>正しい。後のワインが前のワインを圧倒しにくい順序である。</x:v>
      </x:c>
      <x:c r="Q89" s="42" t="str">
        <x:v>保管・サービス</x:v>
      </x:c>
      <x:c r="R89" s="42" t="str">
        <x:v>サービス順序</x:v>
      </x:c>
      <x:c r="S89" s="42" t="str">
        <x:v>全般</x:v>
      </x:c>
      <x:c r="T89" s="42" t="str"/>
      <x:c r="U89" s="42" t="str"/>
      <x:c r="V89" s="42" t="str"/>
      <x:c r="W89" s="42" t="str">
        <x:v>判断</x:v>
      </x:c>
      <x:c r="X89" s="53" t="str">
        <x:v>D2</x:v>
      </x:c>
      <x:c r="Y89" s="42" t="str">
        <x:v>サービス順序に関する別の特徴・要因と混同; サービス順序に関する別の特徴・要因と混同; サービス順序に関する別の特徴・要因と混同</x:v>
      </x:c>
      <x:c r="Z89" s="53" t="str">
        <x:v>N</x:v>
      </x:c>
      <x:c r="AA89" s="42"/>
      <x:c r="AB89" s="42" t="str">
        <x:v>オリジナル</x:v>
      </x:c>
      <x:c r="AC89" s="42" t="str">
        <x:v>公式Specificationの範囲＋ユーザー作成コーパスの論点を参考に独自作成</x:v>
      </x:c>
      <x:c r="AD89" s="53" t="str">
        <x:v>改稿済み・専門家未承認</x:v>
      </x:c>
      <x:c r="AE89" s="53" t="str">
        <x:v>AI誤答レビュー</x:v>
      </x:c>
      <x:c r="AF89" s="53" t="str">
        <x:v>2026-07-12</x:v>
      </x:c>
      <x:c r="AG89" s="43" t="str">
        <x:v>最終バッチ：有効な誤答を維持し、絶対語・物理的不可能な誤答のみ置換。正答位置は維持。</x:v>
      </x:c>
    </x:row>
    <x:row r="90" ht="84" customHeight="1">
      <x:c r="A90" s="41" t="str">
        <x:v>LO5-009</x:v>
      </x:c>
      <x:c r="B90" s="53" t="str">
        <x:v>LO5</x:v>
      </x:c>
      <x:c r="C90" s="42" t="str">
        <x:v>情報提供・推奨・保管・サービス</x:v>
      </x:c>
      <x:c r="D90" s="42" t="str">
        <x:v>ワインの推奨</x:v>
      </x:c>
      <x:c r="E90" s="42" t="str">
        <x:v>顧客にワインを推奨する際、最初に確認すべき情報の組み合わせとして最も適切なものはどれか。</x:v>
      </x:c>
      <x:c r="F90" s="42" t="str">
        <x:v>生産者のSNSフォロワー数とボトル重量だけ</x:v>
      </x:c>
      <x:c r="G90" s="42" t="str">
        <x:v>予算、好みのスタイル、料理、オケージョン</x:v>
      </x:c>
      <x:c r="H90" s="42" t="str">
        <x:v>ラベルの色とボトルの形だけ</x:v>
      </x:c>
      <x:c r="I90" s="42" t="str">
        <x:v>アルコール度が最も高いワインかどうかだけ</x:v>
      </x:c>
      <x:c r="J90" s="53" t="str">
        <x:v>B</x:v>
      </x:c>
      <x:c r="K90" s="42" t="str">
        <x:v>予算、好みのスタイル、料理、オケージョン</x:v>
      </x:c>
      <x:c r="L90" s="42" t="str">
        <x:v>正しい。価格、味覚、料理との相性、利用目的を確認することで適切な選択肢を絞れる。</x:v>
      </x:c>
      <x:c r="M90" s="42" t="str">
        <x:v>誤り。顧客の目的や嗜好を把握できない。</x:v>
      </x:c>
      <x:c r="N90" s="42" t="str">
        <x:v>正しい。価格、味覚、料理との相性、利用目的を確認することで適切な選択肢を絞れる。</x:v>
      </x:c>
      <x:c r="O90" s="42" t="str">
        <x:v>誤り。外観は中身のスタイルや適合性を十分に示さない。</x:v>
      </x:c>
      <x:c r="P90" s="42" t="str">
        <x:v>誤り。一つの要素だけでは顧客の要望に合う推奨にならない。</x:v>
      </x:c>
      <x:c r="Q90" s="42" t="str">
        <x:v>情報提供・推奨</x:v>
      </x:c>
      <x:c r="R90" s="42" t="str">
        <x:v>顧客ニーズ</x:v>
      </x:c>
      <x:c r="S90" s="42" t="str">
        <x:v>全般</x:v>
      </x:c>
      <x:c r="T90" s="42" t="str"/>
      <x:c r="U90" s="42" t="str"/>
      <x:c r="V90" s="42" t="str"/>
      <x:c r="W90" s="42" t="str">
        <x:v>判断</x:v>
      </x:c>
      <x:c r="X90" s="53" t="str">
        <x:v>D1</x:v>
      </x:c>
      <x:c r="Y90" s="42" t="str">
        <x:v>ワインの推奨に関する別の特徴・要因と混同; ワインの推奨に関する別の特徴・要因と混同; ワインの推奨に関する別の特徴・要因と混同</x:v>
      </x:c>
      <x:c r="Z90" s="53" t="str">
        <x:v>N</x:v>
      </x:c>
      <x:c r="AA90" s="42"/>
      <x:c r="AB90" s="42" t="str">
        <x:v>オリジナル</x:v>
      </x:c>
      <x:c r="AC90" s="42" t="str">
        <x:v>公式Specificationの範囲＋ユーザー作成コーパスの論点を参考に独自作成</x:v>
      </x:c>
      <x:c r="AD90" s="53" t="str">
        <x:v>改稿済み・専門家未承認</x:v>
      </x:c>
      <x:c r="AE90" s="53" t="str">
        <x:v>AI誤答レビュー</x:v>
      </x:c>
      <x:c r="AF90" s="53" t="str">
        <x:v>2026-07-12</x:v>
      </x:c>
      <x:c r="AG90" s="43" t="str">
        <x:v>最終バッチ：有効な誤答を維持し、絶対語・物理的不可能な誤答のみ置換。正答位置は維持。</x:v>
      </x:c>
    </x:row>
    <x:row r="91" ht="84" customHeight="1">
      <x:c r="A91" s="41" t="str">
        <x:v>LO5-010</x:v>
      </x:c>
      <x:c r="B91" s="53" t="str">
        <x:v>LO5</x:v>
      </x:c>
      <x:c r="C91" s="42" t="str">
        <x:v>情報提供・推奨・保管・サービス</x:v>
      </x:c>
      <x:c r="D91" s="42" t="str">
        <x:v>コルク汚染</x:v>
      </x:c>
      <x:c r="E91" s="42" t="str">
        <x:v>コルク汚染を受けたワインに最も典型的な特徴はどれか。</x:v>
      </x:c>
      <x:c r="F91" s="42" t="str">
        <x:v>強い酢や除光液のような香り</x:v>
      </x:c>
      <x:c r="G91" s="42" t="str">
        <x:v>ゆで卵や排水口のような香り</x:v>
      </x:c>
      <x:c r="H91" s="42" t="str">
        <x:v>湿った段ボール、かびた布のような香りと、果実香の減少</x:v>
      </x:c>
      <x:c r="I91" s="42" t="str">
        <x:v>シェリーのようなナッツ香と褐色化だけ</x:v>
      </x:c>
      <x:c r="J91" s="53" t="str">
        <x:v>C</x:v>
      </x:c>
      <x:c r="K91" s="42" t="str">
        <x:v>湿った段ボール、かびた布のような香りと、果実香の減少</x:v>
      </x:c>
      <x:c r="L91" s="42" t="str">
        <x:v>正しい。TCAなどにより香りが抑えられ、かび臭い特徴が生じる。</x:v>
      </x:c>
      <x:c r="M91" s="42" t="str">
        <x:v>誤り。これは高い揮発性の酸や酢酸エチルに関連しやすい。</x:v>
      </x:c>
      <x:c r="N91" s="42" t="str">
        <x:v>誤り。これは還元に関連しやすい。</x:v>
      </x:c>
      <x:c r="O91" s="42" t="str">
        <x:v>正しい。TCAなどにより香りが抑えられ、かび臭い特徴が生じる。</x:v>
      </x:c>
      <x:c r="P91" s="42" t="str">
        <x:v>誤り。これは酸化の特徴に近い。</x:v>
      </x:c>
      <x:c r="Q91" s="42" t="str">
        <x:v>欠陥</x:v>
      </x:c>
      <x:c r="R91" s="42" t="str">
        <x:v>コルク汚染</x:v>
      </x:c>
      <x:c r="S91" s="42" t="str">
        <x:v>全般</x:v>
      </x:c>
      <x:c r="T91" s="42" t="str"/>
      <x:c r="U91" s="42" t="str"/>
      <x:c r="V91" s="42" t="str"/>
      <x:c r="W91" s="42" t="str">
        <x:v>知識確認</x:v>
      </x:c>
      <x:c r="X91" s="53" t="str">
        <x:v>D1</x:v>
      </x:c>
      <x:c r="Y91" s="42" t="str">
        <x:v>コルク汚染に関する別の特徴・要因と混同; コルク汚染に関する別の特徴・要因と混同; コルク汚染に関する別の特徴・要因と混同</x:v>
      </x:c>
      <x:c r="Z91" s="53" t="str">
        <x:v>N</x:v>
      </x:c>
      <x:c r="AA91" s="42"/>
      <x:c r="AB91" s="42" t="str">
        <x:v>オリジナル</x:v>
      </x:c>
      <x:c r="AC91" s="42" t="str">
        <x:v>公式Specificationの範囲＋ユーザー作成コーパスの論点を参考に独自作成</x:v>
      </x:c>
      <x:c r="AD91" s="53" t="str">
        <x:v>改稿済み・専門家未承認</x:v>
      </x:c>
      <x:c r="AE91" s="53" t="str">
        <x:v>AI誤答レビュー</x:v>
      </x:c>
      <x:c r="AF91" s="53" t="str">
        <x:v>2026-07-12</x:v>
      </x:c>
      <x:c r="AG91" s="43" t="str">
        <x:v>最終バッチ：有効な誤答を維持し、絶対語・物理的不可能な誤答のみ置換。正答位置は維持。</x:v>
      </x:c>
    </x:row>
    <x:row r="92" ht="84" customHeight="1">
      <x:c r="A92" s="41" t="str">
        <x:v>LO5-011</x:v>
      </x:c>
      <x:c r="B92" s="53" t="str">
        <x:v>LO5</x:v>
      </x:c>
      <x:c r="C92" s="42" t="str">
        <x:v>情報提供・推奨・保管・サービス</x:v>
      </x:c>
      <x:c r="D92" s="42" t="str">
        <x:v>酸化</x:v>
      </x:c>
      <x:c r="E92" s="42" t="str">
        <x:v>本来若々しくフレッシュであるべき白ワインが酸化した場合に最も起こりやすい変化はどれか。</x:v>
      </x:c>
      <x:c r="F92" s="42" t="str">
        <x:v>色が淡くなり、若い柑橘や青リンゴの香りが強まる</x:v>
      </x:c>
      <x:c r="G92" s="42" t="str">
        <x:v>残糖が再発酵し、炭酸ガスによる泡が生じる</x:v>
      </x:c>
      <x:c r="H92" s="42" t="str">
        <x:v>果皮由来のタンニンが増え、渋味が強くなる</x:v>
      </x:c>
      <x:c r="I92" s="42" t="str">
        <x:v>色が褐色方向へ濃くなり、リンゴの傷んだ部分やナッツを思わせる香りが出る</x:v>
      </x:c>
      <x:c r="J92" s="53" t="str">
        <x:v>D</x:v>
      </x:c>
      <x:c r="K92" s="42" t="str">
        <x:v>色が褐色方向へ濃くなり、リンゴの傷んだ部分やナッツを思わせる香りが出る</x:v>
      </x:c>
      <x:c r="L92" s="42" t="str">
        <x:v>正しい。酸素により色と香りが変化し、鮮度が失われる。</x:v>
      </x:c>
      <x:c r="M92" s="42" t="str">
        <x:v>誤り。酸化では一般に色が濃くなり、フレッシュな果実香が失われる。</x:v>
      </x:c>
      <x:c r="N92" s="42" t="str">
        <x:v>誤り。酸化で二次発酵が起こるわけではない。</x:v>
      </x:c>
      <x:c r="O92" s="42" t="str">
        <x:v>誤り。白ワインのタンニンが酸化で大量に増えるわけではない。</x:v>
      </x:c>
      <x:c r="P92" s="42" t="str">
        <x:v>正しい。酸素により色と香りが変化し、鮮度が失われる。</x:v>
      </x:c>
      <x:c r="Q92" s="42" t="str">
        <x:v>欠陥</x:v>
      </x:c>
      <x:c r="R92" s="42" t="str">
        <x:v>酸化</x:v>
      </x:c>
      <x:c r="S92" s="42" t="str">
        <x:v>白非発泡性ワイン</x:v>
      </x:c>
      <x:c r="T92" s="42" t="str"/>
      <x:c r="U92" s="42" t="str"/>
      <x:c r="V92" s="42" t="str"/>
      <x:c r="W92" s="42" t="str">
        <x:v>知識確認</x:v>
      </x:c>
      <x:c r="X92" s="53" t="str">
        <x:v>D1</x:v>
      </x:c>
      <x:c r="Y92" s="42" t="str">
        <x:v>酸化に関する別の特徴・要因と混同; 酸化に関する別の特徴・要因と混同; 酸化に関する別の特徴・要因と混同</x:v>
      </x:c>
      <x:c r="Z92" s="53" t="str">
        <x:v>N</x:v>
      </x:c>
      <x:c r="AA92" s="42"/>
      <x:c r="AB92" s="42" t="str">
        <x:v>オリジナル</x:v>
      </x:c>
      <x:c r="AC92" s="42" t="str">
        <x:v>公式Specificationの範囲＋ユーザー作成コーパスの論点を参考に独自作成</x:v>
      </x:c>
      <x:c r="AD92" s="53" t="str">
        <x:v>改稿済み・専門家未承認</x:v>
      </x:c>
      <x:c r="AE92" s="53" t="str">
        <x:v>AI誤答レビュー</x:v>
      </x:c>
      <x:c r="AF92" s="53" t="str">
        <x:v>2026-07-12</x:v>
      </x:c>
      <x:c r="AG92" s="43" t="str">
        <x:v>最終バッチ：有効な誤答を維持し、絶対語・物理的不可能な誤答のみ置換。正答位置は維持。</x:v>
      </x:c>
    </x:row>
    <x:row r="93" ht="84" customHeight="1">
      <x:c r="A93" s="41" t="str">
        <x:v>LO5-012</x:v>
      </x:c>
      <x:c r="B93" s="53" t="str">
        <x:v>LO5</x:v>
      </x:c>
      <x:c r="C93" s="42" t="str">
        <x:v>情報提供・推奨・保管・サービス</x:v>
      </x:c>
      <x:c r="D93" s="42" t="str">
        <x:v>還元</x:v>
      </x:c>
      <x:c r="E93" s="42" t="str">
        <x:v>還元状態のワインに見られることがある香りはどれか。</x:v>
      </x:c>
      <x:c r="F93" s="42" t="str">
        <x:v>硫化水素を思わせるゆで卵や下水のような香り</x:v>
      </x:c>
      <x:c r="G93" s="42" t="str">
        <x:v>新鮮なバラとライチだけ</x:v>
      </x:c>
      <x:c r="H93" s="42" t="str">
        <x:v>バニラとココナッツだけ</x:v>
      </x:c>
      <x:c r="I93" s="42" t="str">
        <x:v>湿った段ボールだけ</x:v>
      </x:c>
      <x:c r="J93" s="53" t="str">
        <x:v>A</x:v>
      </x:c>
      <x:c r="K93" s="42" t="str">
        <x:v>硫化水素を思わせるゆで卵や下水のような香り</x:v>
      </x:c>
      <x:c r="L93" s="42" t="str">
        <x:v>正しい。酸素が非常に少ない条件で硫黄化合物が蓄積すると生じることがある。</x:v>
      </x:c>
      <x:c r="M93" s="42" t="str">
        <x:v>正しい。酸素が非常に少ない条件で硫黄化合物が蓄積すると生じることがある。</x:v>
      </x:c>
      <x:c r="N93" s="42" t="str">
        <x:v>誤り。これは芳香性品種の品種香として現れることがある。</x:v>
      </x:c>
      <x:c r="O93" s="42" t="str">
        <x:v>誤り。主にオーク由来の風味である。</x:v>
      </x:c>
      <x:c r="P93" s="42" t="str">
        <x:v>誤り。主にコルク汚染に関連する。</x:v>
      </x:c>
      <x:c r="Q93" s="42" t="str">
        <x:v>欠陥</x:v>
      </x:c>
      <x:c r="R93" s="42" t="str">
        <x:v>還元</x:v>
      </x:c>
      <x:c r="S93" s="42" t="str">
        <x:v>全般</x:v>
      </x:c>
      <x:c r="T93" s="42" t="str"/>
      <x:c r="U93" s="42" t="str"/>
      <x:c r="V93" s="42" t="str"/>
      <x:c r="W93" s="42" t="str">
        <x:v>知識確認</x:v>
      </x:c>
      <x:c r="X93" s="53" t="str">
        <x:v>D1</x:v>
      </x:c>
      <x:c r="Y93" s="42" t="str">
        <x:v>還元に関する別の特徴・要因と混同; 還元に関する別の特徴・要因と混同; 還元に関する別の特徴・要因と混同</x:v>
      </x:c>
      <x:c r="Z93" s="53" t="str">
        <x:v>N</x:v>
      </x:c>
      <x:c r="AA93" s="42"/>
      <x:c r="AB93" s="42" t="str">
        <x:v>オリジナル</x:v>
      </x:c>
      <x:c r="AC93" s="42" t="str">
        <x:v>公式Specificationの範囲＋ユーザー作成コーパスの論点を参考に独自作成</x:v>
      </x:c>
      <x:c r="AD93" s="53" t="str">
        <x:v>改稿済み・専門家未承認</x:v>
      </x:c>
      <x:c r="AE93" s="53" t="str">
        <x:v>AI誤答レビュー</x:v>
      </x:c>
      <x:c r="AF93" s="53" t="str">
        <x:v>2026-07-12</x:v>
      </x:c>
      <x:c r="AG93" s="43" t="str">
        <x:v>最終バッチ：有効な誤答を維持し、絶対語・物理的不可能な誤答のみ置換。正答位置は維持。</x:v>
      </x:c>
    </x:row>
    <x:row r="94" ht="84" customHeight="1">
      <x:c r="A94" s="41" t="str">
        <x:v>LO5-013</x:v>
      </x:c>
      <x:c r="B94" s="53" t="str">
        <x:v>LO5</x:v>
      </x:c>
      <x:c r="C94" s="42" t="str">
        <x:v>情報提供・推奨・保管・サービス</x:v>
      </x:c>
      <x:c r="D94" s="42" t="str">
        <x:v>揮発性の酸</x:v>
      </x:c>
      <x:c r="E94" s="42" t="str">
        <x:v>高濃度の揮発性の酸が欠陥として認識される場合、最も典型的な香りはどれか。</x:v>
      </x:c>
      <x:c r="F94" s="42" t="str">
        <x:v>バターやクリーム</x:v>
      </x:c>
      <x:c r="G94" s="42" t="str">
        <x:v>酢や除光液を思わせる刺激的な香り</x:v>
      </x:c>
      <x:c r="H94" s="42" t="str">
        <x:v>濡れた羊毛や灯油</x:v>
      </x:c>
      <x:c r="I94" s="42" t="str">
        <x:v>トーストやブリオッシュ</x:v>
      </x:c>
      <x:c r="J94" s="53" t="str">
        <x:v>B</x:v>
      </x:c>
      <x:c r="K94" s="42" t="str">
        <x:v>酢や除光液を思わせる刺激的な香り</x:v>
      </x:c>
      <x:c r="L94" s="42" t="str">
        <x:v>正しい。酢酸や酢酸エチルが高濃度になると、ワインの果実味を圧倒する。</x:v>
      </x:c>
      <x:c r="M94" s="42" t="str">
        <x:v>誤り。ジアセチルやMLFに関連しやすい。</x:v>
      </x:c>
      <x:c r="N94" s="42" t="str">
        <x:v>正しい。酢酸や酢酸エチルが高濃度になると、ワインの果実味を圧倒する。</x:v>
      </x:c>
      <x:c r="O94" s="42" t="str">
        <x:v>誤り。品種や熟成に由来する場合があり、揮発性の酸の典型ではない。</x:v>
      </x:c>
      <x:c r="P94" s="42" t="str">
        <x:v>誤り。澱の自己分解やオークに関連しやすい。</x:v>
      </x:c>
      <x:c r="Q94" s="42" t="str">
        <x:v>欠陥</x:v>
      </x:c>
      <x:c r="R94" s="42" t="str">
        <x:v>揮発性の酸</x:v>
      </x:c>
      <x:c r="S94" s="42" t="str">
        <x:v>全般</x:v>
      </x:c>
      <x:c r="T94" s="42" t="str"/>
      <x:c r="U94" s="42" t="str"/>
      <x:c r="V94" s="42" t="str"/>
      <x:c r="W94" s="42" t="str">
        <x:v>知識確認</x:v>
      </x:c>
      <x:c r="X94" s="53" t="str">
        <x:v>D1</x:v>
      </x:c>
      <x:c r="Y94" s="42" t="str">
        <x:v>揮発性の酸に関する別の特徴・要因と混同; 揮発性の酸に関する別の特徴・要因と混同; 揮発性の酸に関する別の特徴・要因と混同</x:v>
      </x:c>
      <x:c r="Z94" s="53" t="str">
        <x:v>N</x:v>
      </x:c>
      <x:c r="AA94" s="42"/>
      <x:c r="AB94" s="42" t="str">
        <x:v>オリジナル</x:v>
      </x:c>
      <x:c r="AC94" s="42" t="str">
        <x:v>公式Specificationの範囲＋ユーザー作成コーパスの論点を参考に独自作成</x:v>
      </x:c>
      <x:c r="AD94" s="53" t="str">
        <x:v>改稿済み・専門家未承認</x:v>
      </x:c>
      <x:c r="AE94" s="53" t="str">
        <x:v>AI誤答レビュー</x:v>
      </x:c>
      <x:c r="AF94" s="53" t="str">
        <x:v>2026-07-12</x:v>
      </x:c>
      <x:c r="AG94" s="43" t="str">
        <x:v>最終バッチ：有効な誤答を維持し、絶対語・物理的不可能な誤答のみ置換。正答位置は維持。</x:v>
      </x:c>
    </x:row>
    <x:row r="95" ht="84" customHeight="1">
      <x:c r="A95" s="41" t="str">
        <x:v>LO5-014</x:v>
      </x:c>
      <x:c r="B95" s="53" t="str">
        <x:v>LO5</x:v>
      </x:c>
      <x:c r="C95" s="42" t="str">
        <x:v>情報提供・推奨・保管・サービス</x:v>
      </x:c>
      <x:c r="D95" s="42" t="str">
        <x:v>ブレタノマイセス</x:v>
      </x:c>
      <x:c r="E95" s="42" t="str">
        <x:v>ブレタノマイセスが高濃度で欠陥とみなされる場合に現れやすい特徴はどれか。</x:v>
      </x:c>
      <x:c r="F95" s="42" t="str">
        <x:v>湿った段ボール、かびた布のような香りと、果実香の減少</x:v>
      </x:c>
      <x:c r="G95" s="42" t="str">
        <x:v>バター、クリーム、ポップコーンを思わせる香りだけ</x:v>
      </x:c>
      <x:c r="H95" s="42" t="str">
        <x:v>動物的、馬小屋、絆創膏、薬品を思わせる香りが果実を覆う</x:v>
      </x:c>
      <x:c r="I95" s="42" t="str">
        <x:v>湿った段ボールと果実香の抑制だけ</x:v>
      </x:c>
      <x:c r="J95" s="53" t="str">
        <x:v>C</x:v>
      </x:c>
      <x:c r="K95" s="42" t="str">
        <x:v>動物的、馬小屋、絆創膏、薬品を思わせる香りが果実を覆う</x:v>
      </x:c>
      <x:c r="L95" s="42" t="str">
        <x:v>正しい。高濃度では果実味を損ない、衛生管理上の欠陥と判断される。</x:v>
      </x:c>
      <x:c r="M95" s="42" t="str">
        <x:v>誤り。これは同じ知識領域の「コルク汚染」に当てはまる説明で、設問の「ブレタノマイセス」を最も適切に説明しない。</x:v>
      </x:c>
      <x:c r="N95" s="42" t="str">
        <x:v>誤り。これは主にジアセチル。</x:v>
      </x:c>
      <x:c r="O95" s="42" t="str">
        <x:v>正しい。高濃度では果実味を損ない、衛生管理上の欠陥と判断される。</x:v>
      </x:c>
      <x:c r="P95" s="42" t="str">
        <x:v>誤り。これは主にTCA。</x:v>
      </x:c>
      <x:c r="Q95" s="42" t="str">
        <x:v>欠陥</x:v>
      </x:c>
      <x:c r="R95" s="42" t="str">
        <x:v>ブレタノマイセス</x:v>
      </x:c>
      <x:c r="S95" s="42" t="str">
        <x:v>赤非発泡性ワイン</x:v>
      </x:c>
      <x:c r="T95" s="42" t="str"/>
      <x:c r="U95" s="42" t="str"/>
      <x:c r="V95" s="42" t="str"/>
      <x:c r="W95" s="42" t="str">
        <x:v>知識確認</x:v>
      </x:c>
      <x:c r="X95" s="53" t="str">
        <x:v>D2</x:v>
      </x:c>
      <x:c r="Y95" s="42" t="str">
        <x:v>ブレタノマイセスをコルク汚染の特徴と混同; Brettをジアセチルと混同; BrettをTCAと混同</x:v>
      </x:c>
      <x:c r="Z95" s="53" t="str">
        <x:v>N</x:v>
      </x:c>
      <x:c r="AA95" s="42"/>
      <x:c r="AB95" s="42" t="str">
        <x:v>オリジナル</x:v>
      </x:c>
      <x:c r="AC95" s="42" t="str">
        <x:v>公式Specificationの範囲＋ユーザー作成コーパスの論点を参考に独自作成</x:v>
      </x:c>
      <x:c r="AD95" s="53" t="str">
        <x:v>改稿済み・専門家未承認</x:v>
      </x:c>
      <x:c r="AE95" s="53" t="str">
        <x:v>AI誤答レビュー</x:v>
      </x:c>
      <x:c r="AF95" s="53" t="str">
        <x:v>2026-07-12</x:v>
      </x:c>
      <x:c r="AG95" s="43" t="str">
        <x:v>第4バッチ：同一論点内の典型的誤概念へ置換。正答位置は維持。</x:v>
      </x:c>
    </x:row>
    <x:row r="96" ht="84" customHeight="1">
      <x:c r="A96" s="41" t="str">
        <x:v>LO5-015</x:v>
      </x:c>
      <x:c r="B96" s="53" t="str">
        <x:v>LO5</x:v>
      </x:c>
      <x:c r="C96" s="42" t="str">
        <x:v>情報提供・推奨・保管・サービス</x:v>
      </x:c>
      <x:c r="D96" s="42" t="str">
        <x:v>高濃度の亜硫酸</x:v>
      </x:c>
      <x:c r="E96" s="42" t="str">
        <x:v>ワイン中の亜硫酸が過度に高い場合に感じられることがある特徴はどれか。</x:v>
      </x:c>
      <x:c r="F96" s="42" t="str">
        <x:v>黒コショウと燻製肉を思わせるスパイス香</x:v>
      </x:c>
      <x:c r="G96" s="42" t="str">
        <x:v>湿った段ボールやかびた布を思わせる香り</x:v>
      </x:c>
      <x:c r="H96" s="42" t="str">
        <x:v>バニラ、クローブ、トーストを思わせる樽香</x:v>
      </x:c>
      <x:c r="I96" s="42" t="str">
        <x:v>刺激的で鼻を刺すような硫黄系の香り</x:v>
      </x:c>
      <x:c r="J96" s="53" t="str">
        <x:v>D</x:v>
      </x:c>
      <x:c r="K96" s="42" t="str">
        <x:v>刺激的で鼻を刺すような硫黄系の香り</x:v>
      </x:c>
      <x:c r="L96" s="42" t="str">
        <x:v>正しい。過剰な遊離亜硫酸は刺激的に感じられ、香りの評価を妨げることがある。</x:v>
      </x:c>
      <x:c r="M96" s="42" t="str">
        <x:v>誤り。シラーなどの品種・醸造由来の特徴に近い。</x:v>
      </x:c>
      <x:c r="N96" s="42" t="str">
        <x:v>誤り。コルク汚染に関連する。</x:v>
      </x:c>
      <x:c r="O96" s="42" t="str">
        <x:v>誤り。オーク由来の特徴に近い。</x:v>
      </x:c>
      <x:c r="P96" s="42" t="str">
        <x:v>正しい。過剰な遊離亜硫酸は刺激的に感じられ、香りの評価を妨げることがある。</x:v>
      </x:c>
      <x:c r="Q96" s="42" t="str">
        <x:v>欠陥</x:v>
      </x:c>
      <x:c r="R96" s="42" t="str">
        <x:v>高濃度の亜硫酸</x:v>
      </x:c>
      <x:c r="S96" s="42" t="str">
        <x:v>全般</x:v>
      </x:c>
      <x:c r="T96" s="42" t="str"/>
      <x:c r="U96" s="42" t="str"/>
      <x:c r="V96" s="42" t="str"/>
      <x:c r="W96" s="42" t="str">
        <x:v>知識確認</x:v>
      </x:c>
      <x:c r="X96" s="53" t="str">
        <x:v>D2</x:v>
      </x:c>
      <x:c r="Y96" s="42" t="str">
        <x:v>高濃度の亜硫酸に関する別の特徴・要因と混同; 高濃度の亜硫酸に関する別の特徴・要因と混同; 高濃度の亜硫酸に関する別の特徴・要因と混同</x:v>
      </x:c>
      <x:c r="Z96" s="53" t="str">
        <x:v>N</x:v>
      </x:c>
      <x:c r="AA96" s="42"/>
      <x:c r="AB96" s="42" t="str">
        <x:v>オリジナル</x:v>
      </x:c>
      <x:c r="AC96" s="42" t="str">
        <x:v>公式Specificationの範囲＋ユーザー作成コーパスの論点を参考に独自作成</x:v>
      </x:c>
      <x:c r="AD96" s="53" t="str">
        <x:v>改稿済み・専門家未承認</x:v>
      </x:c>
      <x:c r="AE96" s="53" t="str">
        <x:v>AI誤答レビュー</x:v>
      </x:c>
      <x:c r="AF96" s="53" t="str">
        <x:v>2026-07-12</x:v>
      </x:c>
      <x:c r="AG96" s="43" t="str">
        <x:v>最終バッチ：有効な誤答を維持し、絶対語・物理的不可能な誤答のみ置換。正答位置は維持。</x:v>
      </x:c>
    </x:row>
    <x:row r="97" ht="84" customHeight="1">
      <x:c r="A97" s="41" t="str">
        <x:v>LO5-016</x:v>
      </x:c>
      <x:c r="B97" s="53" t="str">
        <x:v>LO5</x:v>
      </x:c>
      <x:c r="C97" s="42" t="str">
        <x:v>情報提供・推奨・保管・サービス</x:v>
      </x:c>
      <x:c r="D97" s="42" t="str">
        <x:v>甘い料理との組み合わせ</x:v>
      </x:c>
      <x:c r="E97" s="42" t="str">
        <x:v>甘いデザートに合わせるワインを選ぶ際の基本原則として最も適切なものはどれか。</x:v>
      </x:c>
      <x:c r="F97" s="42" t="str">
        <x:v>ワインは料理と同程度か、それ以上に甘いものを選ぶ</x:v>
      </x:c>
      <x:c r="G97" s="42" t="str">
        <x:v>辛口で高タンニンの赤ワインを選び、料理の甘味を相殺する</x:v>
      </x:c>
      <x:c r="H97" s="42" t="str">
        <x:v>料理より甘味の低いワインを選び、後味を軽くする</x:v>
      </x:c>
      <x:c r="I97" s="42" t="str">
        <x:v>甘味を避けるため、ワインではなく水だけにする</x:v>
      </x:c>
      <x:c r="J97" s="53" t="str">
        <x:v>A</x:v>
      </x:c>
      <x:c r="K97" s="42" t="str">
        <x:v>ワインは料理と同程度か、それ以上に甘いものを選ぶ</x:v>
      </x:c>
      <x:c r="L97" s="42" t="str">
        <x:v>正しい。料理の方が甘いとワインが薄く、酸っぱく感じられやすい。</x:v>
      </x:c>
      <x:c r="M97" s="42" t="str">
        <x:v>正しい。料理の方が甘いとワインが薄く、酸っぱく感じられやすい。</x:v>
      </x:c>
      <x:c r="N97" s="42" t="str">
        <x:v>誤り。甘い料理はワインのタンニンや酸、アルコールを強く感じさせることがある。</x:v>
      </x:c>
      <x:c r="O97" s="42" t="str">
        <x:v>誤り。料理の方が甘いとワインが薄く、酸っぱく感じられやすい。</x:v>
      </x:c>
      <x:c r="P97" s="42" t="str">
        <x:v>誤り。水を選ぶことは可能だが、ワインの組み合わせ原則への回答ではない。</x:v>
      </x:c>
      <x:c r="Q97" s="42" t="str">
        <x:v>料理との組み合わせ</x:v>
      </x:c>
      <x:c r="R97" s="42" t="str">
        <x:v>甘味</x:v>
      </x:c>
      <x:c r="S97" s="42" t="str">
        <x:v>甘口ワイン</x:v>
      </x:c>
      <x:c r="T97" s="42" t="str"/>
      <x:c r="U97" s="42" t="str"/>
      <x:c r="V97" s="42" t="str"/>
      <x:c r="W97" s="42" t="str">
        <x:v>適用</x:v>
      </x:c>
      <x:c r="X97" s="53" t="str">
        <x:v>D1</x:v>
      </x:c>
      <x:c r="Y97" s="42" t="str">
        <x:v>甘い料理との組み合わせに関する別の特徴・要因と混同; 甘い料理との組み合わせに関する別の特徴・要因と混同; 甘い料理との組み合わせに関する別の特徴・要因と混同</x:v>
      </x:c>
      <x:c r="Z97" s="53" t="str">
        <x:v>N</x:v>
      </x:c>
      <x:c r="AA97" s="42"/>
      <x:c r="AB97" s="42" t="str">
        <x:v>オリジナル</x:v>
      </x:c>
      <x:c r="AC97" s="42" t="str">
        <x:v>公式Specificationの範囲＋ユーザー作成コーパスの論点を参考に独自作成</x:v>
      </x:c>
      <x:c r="AD97" s="53" t="str">
        <x:v>改稿済み・専門家未承認</x:v>
      </x:c>
      <x:c r="AE97" s="53" t="str">
        <x:v>AI誤答レビュー</x:v>
      </x:c>
      <x:c r="AF97" s="53" t="str">
        <x:v>2026-07-12</x:v>
      </x:c>
      <x:c r="AG97" s="43" t="str">
        <x:v>最終バッチ：有効な誤答を維持し、絶対語・物理的不可能な誤答のみ置換。正答位置は維持。</x:v>
      </x:c>
    </x:row>
    <x:row r="98" ht="84" customHeight="1">
      <x:c r="A98" s="41" t="str">
        <x:v>LO5-017</x:v>
      </x:c>
      <x:c r="B98" s="53" t="str">
        <x:v>LO5</x:v>
      </x:c>
      <x:c r="C98" s="42" t="str">
        <x:v>情報提供・推奨・保管・サービス</x:v>
      </x:c>
      <x:c r="D98" s="42" t="str">
        <x:v>酸味のある料理</x:v>
      </x:c>
      <x:c r="E98" s="42" t="str">
        <x:v>酸味の強い料理にワインを合わせる場合、高い酸を持つワインが適しやすい理由はどれか。</x:v>
      </x:c>
      <x:c r="F98" s="42" t="str">
        <x:v>料理の酸がワインのアルコールを化学的に除去するため</x:v>
      </x:c>
      <x:c r="G98" s="42" t="str">
        <x:v>料理の酸に負けず、ワインが平坦でぼやけて感じられるのを防ぎやすいため</x:v>
      </x:c>
      <x:c r="H98" s="42" t="str">
        <x:v>高い酸を持つワインは残糖も高く、料理の酸味を甘味で和らげるため</x:v>
      </x:c>
      <x:c r="I98" s="42" t="str">
        <x:v>ワインの酸がタンニンと反応し、苦味を除去するため</x:v>
      </x:c>
      <x:c r="J98" s="53" t="str">
        <x:v>B</x:v>
      </x:c>
      <x:c r="K98" s="42" t="str">
        <x:v>料理の酸に負けず、ワインが平坦でぼやけて感じられるのを防ぎやすいため</x:v>
      </x:c>
      <x:c r="L98" s="42" t="str">
        <x:v>正しい。料理の酸はワインの酸を相対的に弱く感じさせるため、十分な酸のあるワインがバランスを保ちやすい。</x:v>
      </x:c>
      <x:c r="M98" s="42" t="str">
        <x:v>誤り。料理と合わせてもアルコールが化学的に除去されるわけではない。</x:v>
      </x:c>
      <x:c r="N98" s="42" t="str">
        <x:v>正しい。料理の酸はワインの酸を相対的に弱く感じさせるため、十分な酸のあるワインがバランスを保ちやすい。</x:v>
      </x:c>
      <x:c r="O98" s="42" t="str">
        <x:v>誤り。高酸でも辛口ワインは多く、相性の主因はワインの酸が料理に負けにくいことである。</x:v>
      </x:c>
      <x:c r="P98" s="42" t="str">
        <x:v>誤り。酸とタンニンは別の構造要素で、酸味のある料理との相性を説明しない。</x:v>
      </x:c>
      <x:c r="Q98" s="42" t="str">
        <x:v>料理との組み合わせ</x:v>
      </x:c>
      <x:c r="R98" s="42" t="str">
        <x:v>酸味</x:v>
      </x:c>
      <x:c r="S98" s="42" t="str">
        <x:v>全般</x:v>
      </x:c>
      <x:c r="T98" s="42" t="str"/>
      <x:c r="U98" s="42" t="str"/>
      <x:c r="V98" s="42" t="str"/>
      <x:c r="W98" s="42" t="str">
        <x:v>因果説明</x:v>
      </x:c>
      <x:c r="X98" s="53" t="str">
        <x:v>D2</x:v>
      </x:c>
      <x:c r="Y98" s="42" t="str">
        <x:v>酸味のある料理に関する別の特徴・要因と混同; 酸味のある料理に関する別の特徴・要因と混同; 酸味のある料理に関する別の特徴・要因と混同</x:v>
      </x:c>
      <x:c r="Z98" s="53" t="str">
        <x:v>N</x:v>
      </x:c>
      <x:c r="AA98" s="42"/>
      <x:c r="AB98" s="42" t="str">
        <x:v>オリジナル</x:v>
      </x:c>
      <x:c r="AC98" s="42" t="str">
        <x:v>公式Specificationの範囲＋ユーザー作成コーパスの論点を参考に独自作成</x:v>
      </x:c>
      <x:c r="AD98" s="53" t="str">
        <x:v>改稿済み・専門家未承認</x:v>
      </x:c>
      <x:c r="AE98" s="53" t="str">
        <x:v>AI誤答レビュー</x:v>
      </x:c>
      <x:c r="AF98" s="53" t="str">
        <x:v>2026-07-12</x:v>
      </x:c>
      <x:c r="AG98" s="43" t="str">
        <x:v>最終バッチ：有効な誤答を維持し、絶対語・物理的不可能な誤答のみ置換。正答位置は維持。</x:v>
      </x:c>
    </x:row>
    <x:row r="99" ht="84" customHeight="1">
      <x:c r="A99" s="41" t="str">
        <x:v>LO5-018</x:v>
      </x:c>
      <x:c r="B99" s="53" t="str">
        <x:v>LO5</x:v>
      </x:c>
      <x:c r="C99" s="42" t="str">
        <x:v>情報提供・推奨・保管・サービス</x:v>
      </x:c>
      <x:c r="D99" s="42" t="str">
        <x:v>トウガラシの辛味</x:v>
      </x:c>
      <x:c r="E99" s="42" t="str">
        <x:v>トウガラシの辛味が強い料理に、高アルコールで高タンニンの赤ワインを合わせた場合に起こりやすいことはどれか。</x:v>
      </x:c>
      <x:c r="F99" s="42" t="str">
        <x:v>アルコールがカプサイシンを包み込み、辛味を弱める</x:v>
      </x:c>
      <x:c r="G99" s="42" t="str">
        <x:v>料理の刺激によってワイン中で二次発酵が起こり、泡が生じる</x:v>
      </x:c>
      <x:c r="H99" s="42" t="str">
        <x:v>アルコールの熱感とタンニンの苦渋味が強調され、辛味も増して感じられる</x:v>
      </x:c>
      <x:c r="I99" s="42" t="str">
        <x:v>料理の辛味がワインの酸を中和し、酸味を感じなくさせる</x:v>
      </x:c>
      <x:c r="J99" s="53" t="str">
        <x:v>C</x:v>
      </x:c>
      <x:c r="K99" s="42" t="str">
        <x:v>アルコールの熱感とタンニンの苦渋味が強調され、辛味も増して感じられる</x:v>
      </x:c>
      <x:c r="L99" s="42" t="str">
        <x:v>正しい。辛味はアルコールの刺激を強め、タンニンもより厳しく感じられやすい。</x:v>
      </x:c>
      <x:c r="M99" s="42" t="str">
        <x:v>誤り。高アルコールは熱感を強め、辛味を増して感じさせることがある。</x:v>
      </x:c>
      <x:c r="N99" s="42" t="str">
        <x:v>誤り。料理との組み合わせで発泡性は生じない。</x:v>
      </x:c>
      <x:c r="O99" s="42" t="str">
        <x:v>正しい。辛味はアルコールの刺激を強め、タンニンもより厳しく感じられやすい。</x:v>
      </x:c>
      <x:c r="P99" s="42" t="str">
        <x:v>誤り。ワインの酸が化学的に消失するわけではない。</x:v>
      </x:c>
      <x:c r="Q99" s="42" t="str">
        <x:v>料理との組み合わせ</x:v>
      </x:c>
      <x:c r="R99" s="42" t="str">
        <x:v>トウガラシの辛味</x:v>
      </x:c>
      <x:c r="S99" s="42" t="str">
        <x:v>赤非発泡性ワイン</x:v>
      </x:c>
      <x:c r="T99" s="42" t="str"/>
      <x:c r="U99" s="42" t="str"/>
      <x:c r="V99" s="42" t="str"/>
      <x:c r="W99" s="42" t="str">
        <x:v>適用</x:v>
      </x:c>
      <x:c r="X99" s="53" t="str">
        <x:v>D2</x:v>
      </x:c>
      <x:c r="Y99" s="42" t="str">
        <x:v>トウガラシの辛味に関する別の特徴・要因と混同; トウガラシの辛味に関する別の特徴・要因と混同; トウガラシの辛味に関する別の特徴・要因と混同</x:v>
      </x:c>
      <x:c r="Z99" s="53" t="str">
        <x:v>N</x:v>
      </x:c>
      <x:c r="AA99" s="42"/>
      <x:c r="AB99" s="42" t="str">
        <x:v>オリジナル</x:v>
      </x:c>
      <x:c r="AC99" s="42" t="str">
        <x:v>公式Specificationの範囲＋ユーザー作成コーパスの論点を参考に独自作成</x:v>
      </x:c>
      <x:c r="AD99" s="53" t="str">
        <x:v>改稿済み・専門家未承認</x:v>
      </x:c>
      <x:c r="AE99" s="53" t="str">
        <x:v>AI誤答レビュー</x:v>
      </x:c>
      <x:c r="AF99" s="53" t="str">
        <x:v>2026-07-12</x:v>
      </x:c>
      <x:c r="AG99" s="43" t="str">
        <x:v>最終バッチ：有効な誤答を維持し、絶対語・物理的不可能な誤答のみ置換。正答位置は維持。</x:v>
      </x:c>
    </x:row>
    <x:row r="100" ht="84" customHeight="1">
      <x:c r="A100" s="41" t="str">
        <x:v>LO5-019</x:v>
      </x:c>
      <x:c r="B100" s="53" t="str">
        <x:v>LO5</x:v>
      </x:c>
      <x:c r="C100" s="42" t="str">
        <x:v>情報提供・推奨・保管・サービス</x:v>
      </x:c>
      <x:c r="D100" s="42" t="str">
        <x:v>うま味</x:v>
      </x:c>
      <x:c r="E100" s="42" t="str">
        <x:v>うま味の強い料理がワインに与えやすい知覚上の影響はどれか。</x:v>
      </x:c>
      <x:c r="F100" s="42" t="str">
        <x:v>ワインをより甘く、果実味豊かに感じさせる</x:v>
      </x:c>
      <x:c r="G100" s="42" t="str">
        <x:v>ワインのアルコール度を実際に下げる</x:v>
      </x:c>
      <x:c r="H100" s="42" t="str">
        <x:v>料理のうま味が酸化やコルク汚染の香りを弱める</x:v>
      </x:c>
      <x:c r="I100" s="42" t="str">
        <x:v>ワインの苦味、酸味、アルコールの刺激を強め、果実味を弱く感じさせることがある</x:v>
      </x:c>
      <x:c r="J100" s="53" t="str">
        <x:v>D</x:v>
      </x:c>
      <x:c r="K100" s="42" t="str">
        <x:v>ワインの苦味、酸味、アルコールの刺激を強め、果実味を弱く感じさせることがある</x:v>
      </x:c>
      <x:c r="L100" s="42" t="str">
        <x:v>正しい。うま味の強い料理では、低タンニンで果実味のあるワインなどが合わせやすい場合がある。</x:v>
      </x:c>
      <x:c r="M100" s="42" t="str">
        <x:v>誤り。うま味は一般にワインの甘味や果実味を弱く感じさせる。</x:v>
      </x:c>
      <x:c r="N100" s="42" t="str">
        <x:v>誤り。知覚は変化しても実際のアルコール度は変わらない。</x:v>
      </x:c>
      <x:c r="O100" s="42" t="str">
        <x:v>誤り。料理との組み合わせでワインの欠陥は除去されない。</x:v>
      </x:c>
      <x:c r="P100" s="42" t="str">
        <x:v>正しい。うま味の強い料理では、低タンニンで果実味のあるワインなどが合わせやすい場合がある。</x:v>
      </x:c>
      <x:c r="Q100" s="42" t="str">
        <x:v>料理との組み合わせ</x:v>
      </x:c>
      <x:c r="R100" s="42" t="str">
        <x:v>うま味</x:v>
      </x:c>
      <x:c r="S100" s="42" t="str">
        <x:v>全般</x:v>
      </x:c>
      <x:c r="T100" s="42" t="str"/>
      <x:c r="U100" s="42" t="str"/>
      <x:c r="V100" s="42" t="str"/>
      <x:c r="W100" s="42" t="str">
        <x:v>因果説明</x:v>
      </x:c>
      <x:c r="X100" s="53" t="str">
        <x:v>D3</x:v>
      </x:c>
      <x:c r="Y100" s="42" t="str">
        <x:v>うま味に関する別の特徴・要因と混同; うま味に関する別の特徴・要因と混同; うま味に関する別の特徴・要因と混同</x:v>
      </x:c>
      <x:c r="Z100" s="53" t="str">
        <x:v>N</x:v>
      </x:c>
      <x:c r="AA100" s="42"/>
      <x:c r="AB100" s="42" t="str">
        <x:v>オリジナル</x:v>
      </x:c>
      <x:c r="AC100" s="42" t="str">
        <x:v>公式Specificationの範囲＋ユーザー作成コーパスの論点を参考に独自作成</x:v>
      </x:c>
      <x:c r="AD100" s="53" t="str">
        <x:v>改稿済み・専門家未承認</x:v>
      </x:c>
      <x:c r="AE100" s="53" t="str">
        <x:v>AI誤答レビュー</x:v>
      </x:c>
      <x:c r="AF100" s="53" t="str">
        <x:v>2026-07-12</x:v>
      </x:c>
      <x:c r="AG100" s="43" t="str">
        <x:v>最終バッチ：有効な誤答を維持し、絶対語・物理的不可能な誤答のみ置換。正答位置は維持。</x:v>
      </x:c>
    </x:row>
    <x:row r="101" ht="84" customHeight="1">
      <x:c r="A101" s="44" t="str">
        <x:v>LO5-020</x:v>
      </x:c>
      <x:c r="B101" s="54" t="str">
        <x:v>LO5</x:v>
      </x:c>
      <x:c r="C101" s="45" t="str">
        <x:v>情報提供・推奨・保管・サービス</x:v>
      </x:c>
      <x:c r="D101" s="45" t="str">
        <x:v>責任ある飲酒</x:v>
      </x:c>
      <x:c r="E101" s="45" t="str">
        <x:v>ワインの過剰摂取に関する情報提供として最も適切なものはどれか。</x:v>
      </x:c>
      <x:c r="F101" s="45" t="str">
        <x:v>短期的な判断力・協調運動の低下や事故リスク、長期的な健康問題につながり得る</x:v>
      </x:c>
      <x:c r="G101" s="45" t="str">
        <x:v>ワインは食品なので、量に関係なく健康上のリスクはない</x:v>
      </x:c>
      <x:c r="H101" s="45" t="str">
        <x:v>高品質ワインであれば酩酊しない</x:v>
      </x:c>
      <x:c r="I101" s="45" t="str">
        <x:v>水を一緒に飲めば、どれだけ飲んでも安全である</x:v>
      </x:c>
      <x:c r="J101" s="54" t="str">
        <x:v>A</x:v>
      </x:c>
      <x:c r="K101" s="45" t="str">
        <x:v>短期的な判断力・協調運動の低下や事故リスク、長期的な健康問題につながり得る</x:v>
      </x:c>
      <x:c r="L101" s="45" t="str">
        <x:v>正しい。過剰摂取には個人の健康だけでなく、事故や社会的影響も伴い得る。</x:v>
      </x:c>
      <x:c r="M101" s="45" t="str">
        <x:v>正しい。過剰摂取には個人の健康だけでなく、事故や社会的影響も伴い得る。</x:v>
      </x:c>
      <x:c r="N101" s="45" t="str">
        <x:v>誤り。アルコールの過剰摂取には明確なリスクがある。</x:v>
      </x:c>
      <x:c r="O101" s="45" t="str">
        <x:v>誤り。品質にかかわらずアルコールを含み、摂取量に応じて影響する。</x:v>
      </x:c>
      <x:c r="P101" s="45" t="str">
        <x:v>誤り。水分補給は有用でも、摂取アルコール量のリスクをなくさない。</x:v>
      </x:c>
      <x:c r="Q101" s="45" t="str">
        <x:v>社会的・健康上の問題</x:v>
      </x:c>
      <x:c r="R101" s="45" t="str">
        <x:v>過剰摂取</x:v>
      </x:c>
      <x:c r="S101" s="45" t="str">
        <x:v>全般</x:v>
      </x:c>
      <x:c r="T101" s="45" t="str"/>
      <x:c r="U101" s="45" t="str"/>
      <x:c r="V101" s="45" t="str"/>
      <x:c r="W101" s="45" t="str">
        <x:v>知識確認</x:v>
      </x:c>
      <x:c r="X101" s="54" t="str">
        <x:v>D1</x:v>
      </x:c>
      <x:c r="Y101" s="45" t="str">
        <x:v>責任ある飲酒に関する別の特徴・要因と混同; 責任ある飲酒に関する別の特徴・要因と混同; 責任ある飲酒に関する別の特徴・要因と混同</x:v>
      </x:c>
      <x:c r="Z101" s="54" t="str">
        <x:v>N</x:v>
      </x:c>
      <x:c r="AA101" s="45"/>
      <x:c r="AB101" s="45" t="str">
        <x:v>オリジナル</x:v>
      </x:c>
      <x:c r="AC101" s="45" t="str">
        <x:v>公式Specificationの範囲＋ユーザー作成コーパスの論点を参考に独自作成</x:v>
      </x:c>
      <x:c r="AD101" s="54" t="str">
        <x:v>改稿済み・専門家未承認</x:v>
      </x:c>
      <x:c r="AE101" s="54" t="str">
        <x:v>AI誤答レビュー</x:v>
      </x:c>
      <x:c r="AF101" s="54" t="str">
        <x:v>2026-07-12</x:v>
      </x:c>
      <x:c r="AG101" s="46" t="str">
        <x:v>最終バッチ：有効な誤答を維持し、絶対語・物理的不可能な誤答のみ置換。正答位置は維持。</x:v>
      </x:c>
    </x:row>
    <x:row r="102" ht="84" customHeight="1">
      <x:c r="A102" s="161" t="str">
        <x:v>LO1-021</x:v>
      </x:c>
      <x:c r="B102" s="170" t="str">
        <x:v>LO1</x:v>
      </x:c>
      <x:c r="C102" s="162" t="str">
        <x:v>ブドウ畑・ワイナリーの自然要因と人的要因</x:v>
      </x:c>
      <x:c r="D102" s="162" t="str">
        <x:v>クローン選択</x:v>
      </x:c>
      <x:c r="E102" s="162" t="str">
        <x:v>特定のブドウ品種から一つのクローンを選んで植える主な利点はどれか。</x:v>
      </x:c>
      <x:c r="F102" s="162" t="str">
        <x:v>収量、成熟時期、房の形、香味など目的に合う特性をそろえやすい</x:v>
      </x:c>
      <x:c r="G102" s="162" t="str">
        <x:v>単一クローンへ統一すると、病害と気候リスクを広く分散できる</x:v>
      </x:c>
      <x:c r="H102" s="162" t="str">
        <x:v>一つのクローンを植えると病害・気候リスクを広く分散できる</x:v>
      </x:c>
      <x:c r="I102" s="162" t="str">
        <x:v>クローン選択によって台木の石灰耐性やフィロキセラ耐性も変えられる</x:v>
      </x:c>
      <x:c r="J102" s="170" t="str">
        <x:v>A</x:v>
      </x:c>
      <x:c r="K102" s="162" t="str">
        <x:v>収量、成熟時期、房の形、香味など目的に合う特性をそろえやすい</x:v>
      </x:c>
      <x:c r="L102" s="162" t="str">
        <x:v>正しい。同一品種内で望ましい形質を持つ系統を選び、畑の目的へ合わせられる。</x:v>
      </x:c>
      <x:c r="M102" s="162" t="str">
        <x:v>正しい。同一品種内で望ましい形質を持つ系統を選び、畑の目的へ合わせられる。</x:v>
      </x:c>
      <x:c r="N102" s="162" t="str">
        <x:v>誤り。遺伝的均一性が高まり、特定リスクへ一斉に弱くなる可能性がある。</x:v>
      </x:c>
      <x:c r="O102" s="162" t="str">
        <x:v>誤り。遺伝的均一性が高まり、特定リスクへ弱くなる可能性がある。</x:v>
      </x:c>
      <x:c r="P102" s="162" t="str">
        <x:v>誤り。穂木クローンと台木の特性は別である。</x:v>
      </x:c>
      <x:c r="Q102" s="162" t="str">
        <x:v>自然要因</x:v>
      </x:c>
      <x:c r="R102" s="162" t="str">
        <x:v>ブドウ樹・クローン</x:v>
      </x:c>
      <x:c r="S102" s="162" t="str">
        <x:v>非発泡性ワイン</x:v>
      </x:c>
      <x:c r="T102" s="162"/>
      <x:c r="U102" s="162"/>
      <x:c r="V102" s="162"/>
      <x:c r="W102" s="162" t="str">
        <x:v>知識確認</x:v>
      </x:c>
      <x:c r="X102" s="170" t="str">
        <x:v>D1</x:v>
      </x:c>
      <x:c r="Y102" s="162" t="str">
        <x:v>単一クローンでリスク分散; 単一クローンでリスク完全分散; 穂木クローンで台木特性を変更</x:v>
      </x:c>
      <x:c r="Z102" s="170" t="str">
        <x:v>N</x:v>
      </x:c>
      <x:c r="AA102" s="162"/>
      <x:c r="AB102" s="162" t="str">
        <x:v>オリジナル</x:v>
      </x:c>
      <x:c r="AC102" s="162" t="str">
        <x:v>公式Specificationの範囲＋ユーザー作成コーパスの論点と問題設計例を参考に独自作成</x:v>
      </x:c>
      <x:c r="AD102" s="170" t="str">
        <x:v>改稿済み・専門家未承認</x:v>
      </x:c>
      <x:c r="AE102" s="170" t="str">
        <x:v>AI誤答レビュー</x:v>
      </x:c>
      <x:c r="AF102" s="170" t="str">
        <x:v>2026-07-12</x:v>
      </x:c>
      <x:c r="AG102" s="163" t="str">
        <x:v>第4バッチ：同一論点内の典型的誤概念へ置換。正答位置は維持。</x:v>
      </x:c>
    </x:row>
    <x:row r="103" ht="84" customHeight="1">
      <x:c r="A103" s="164" t="str">
        <x:v>LO1-022</x:v>
      </x:c>
      <x:c r="B103" s="171" t="str">
        <x:v>LO1</x:v>
      </x:c>
      <x:c r="C103" s="165" t="str">
        <x:v>ブドウ畑・ワイナリーの自然要因と人的要因</x:v>
      </x:c>
      <x:c r="D103" s="165" t="str">
        <x:v>交配品種と交雑種</x:v>
      </x:c>
      <x:c r="E103" s="165" t="str">
        <x:v>交配品種と交雑種の違いを最も適切に説明しているものはどれか。</x:v>
      </x:c>
      <x:c r="F103" s="165" t="str">
        <x:v>交配品種は接ぎ木で作り、交雑種は剪定で作る</x:v>
      </x:c>
      <x:c r="G103" s="165" t="str">
        <x:v>交配品種は同じ種の品種同士、交雑種は異なるブドウ種を含む親同士から生まれる</x:v>
      </x:c>
      <x:c r="H103" s="165" t="str">
        <x:v>交配品種は白ブドウだけ、交雑種は黒ブドウだけである</x:v>
      </x:c>
      <x:c r="I103" s="165" t="str">
        <x:v>交配品種は無性繁殖、交雑種は種子から毎年育てる</x:v>
      </x:c>
      <x:c r="J103" s="171" t="str">
        <x:v>B</x:v>
      </x:c>
      <x:c r="K103" s="165" t="str">
        <x:v>交配品種は同じ種の品種同士、交雑種は異なるブドウ種を含む親同士から生まれる</x:v>
      </x:c>
      <x:c r="L103" s="165" t="str">
        <x:v>正しい。一般に交配品種はVitis vinifera同士の交配、交雑種はVitis viniferaと他のブドウ種など、異なる種を含む交配から生まれる。</x:v>
      </x:c>
      <x:c r="M103" s="165" t="str">
        <x:v>誤り。接ぎ木と剪定は栽培技術であり、品種の遺伝的な成立方法を区別する定義ではない。</x:v>
      </x:c>
      <x:c r="N103" s="165" t="str">
        <x:v>正しい。一般に交配品種はVitis vinifera同士の交配、交雑種はVitis viniferaと他のブドウ種など、異なる種を含む交配から生まれる。</x:v>
      </x:c>
      <x:c r="O103" s="165" t="str">
        <x:v>誤り。果皮色は交配品種と交雑種を分ける基準ではなく、どちらにもさまざまな果皮色がある。</x:v>
      </x:c>
      <x:c r="P103" s="165" t="str">
        <x:v>誤り。成立時には交配を行うが、選抜された品種は通常ほかのブドウ品種と同様に栄養繁殖される。</x:v>
      </x:c>
      <x:c r="Q103" s="165" t="str">
        <x:v>自然要因</x:v>
      </x:c>
      <x:c r="R103" s="165" t="str">
        <x:v>ブドウ樹・品種</x:v>
      </x:c>
      <x:c r="S103" s="165" t="str">
        <x:v>非発泡性ワイン</x:v>
      </x:c>
      <x:c r="T103" s="165"/>
      <x:c r="U103" s="165"/>
      <x:c r="V103" s="165"/>
      <x:c r="W103" s="165" t="str">
        <x:v>知識確認</x:v>
      </x:c>
      <x:c r="X103" s="171" t="str">
        <x:v>D2</x:v>
      </x:c>
      <x:c r="Y103" s="165" t="str">
        <x:v>交配品種と交雑種に関する別の特徴・要因と混同; 交配品種と交雑種に関する別の特徴・要因と混同; 交配品種と交雑種に関する別の特徴・要因と混同</x:v>
      </x:c>
      <x:c r="Z103" s="171" t="str">
        <x:v>N</x:v>
      </x:c>
      <x:c r="AA103" s="165"/>
      <x:c r="AB103" s="165" t="str">
        <x:v>オリジナル</x:v>
      </x:c>
      <x:c r="AC103" s="165" t="str">
        <x:v>公式Specificationの範囲＋ユーザー作成コーパスの論点と問題設計例を参考に独自作成</x:v>
      </x:c>
      <x:c r="AD103" s="171" t="str">
        <x:v>改稿済み・専門家未承認</x:v>
      </x:c>
      <x:c r="AE103" s="171" t="str">
        <x:v>AI誤答レビュー</x:v>
      </x:c>
      <x:c r="AF103" s="171" t="str">
        <x:v>2026-07-12</x:v>
      </x:c>
      <x:c r="AG103" s="166" t="str">
        <x:v>最終バッチ：有効な誤答を維持し、絶対語・物理的不可能な誤答のみ置換。正答位置は維持。</x:v>
      </x:c>
    </x:row>
    <x:row r="104" ht="84" customHeight="1">
      <x:c r="A104" s="164" t="str">
        <x:v>LO1-023</x:v>
      </x:c>
      <x:c r="B104" s="171" t="str">
        <x:v>LO1</x:v>
      </x:c>
      <x:c r="C104" s="165" t="str">
        <x:v>ブドウ畑・ワイナリーの自然要因と人的要因</x:v>
      </x:c>
      <x:c r="D104" s="165" t="str">
        <x:v>開花と結実</x:v>
      </x:c>
      <x:c r="E104" s="165" t="str">
        <x:v>開花期に低温と強い雨が続いた場合、収量が低下しやすい主な理由はどれか。</x:v>
      </x:c>
      <x:c r="F104" s="165" t="str">
        <x:v>低温で花粉の形成が促進され、受粉期間が短くなるため</x:v>
      </x:c>
      <x:c r="G104" s="165" t="str">
        <x:v>雨によって花房の糖が希釈され、翌年の芽の結実性が下がるため</x:v>
      </x:c>
      <x:c r="H104" s="165" t="str">
        <x:v>受粉と結実が妨げられ、果房につく果粒数が減るため</x:v>
      </x:c>
      <x:c r="I104" s="165" t="str">
        <x:v>雨が果房を冷却し、果粒の成熟だけを遅らせるため</x:v>
      </x:c>
      <x:c r="J104" s="171" t="str">
        <x:v>C</x:v>
      </x:c>
      <x:c r="K104" s="165" t="str">
        <x:v>受粉と結実が妨げられ、果房につく果粒数が減るため</x:v>
      </x:c>
      <x:c r="L104" s="165" t="str">
        <x:v>正しい。開花期の低温、雨、強風は受粉と結実を妨げ、花振るいや不均一な結実を招き、最終的な収量を減らすことがある。</x:v>
      </x:c>
      <x:c r="M104" s="165" t="str">
        <x:v>誤り。低温は花粉の発芽や受精を妨げる方向に働く。</x:v>
      </x:c>
      <x:c r="N104" s="165" t="str">
        <x:v>誤り。当年収量低下の直接要因は開花・受精不良である。</x:v>
      </x:c>
      <x:c r="O104" s="165" t="str">
        <x:v>正しい。開花期の低温、雨、強風は受粉と結実を妨げ、花振るいや不均一な結実を招き、最終的な収量を減らすことがある。</x:v>
      </x:c>
      <x:c r="P104" s="165" t="str">
        <x:v>誤り。成熟以前に、結実する果粒数そのものが減る。</x:v>
      </x:c>
      <x:c r="Q104" s="165" t="str">
        <x:v>自然要因</x:v>
      </x:c>
      <x:c r="R104" s="165" t="str">
        <x:v>生育サイクル・開花結実</x:v>
      </x:c>
      <x:c r="S104" s="165" t="str">
        <x:v>非発泡性ワイン</x:v>
      </x:c>
      <x:c r="T104" s="165"/>
      <x:c r="U104" s="165"/>
      <x:c r="V104" s="165"/>
      <x:c r="W104" s="165" t="str">
        <x:v>因果説明</x:v>
      </x:c>
      <x:c r="X104" s="171" t="str">
        <x:v>D2</x:v>
      </x:c>
      <x:c r="Y104" s="165" t="str">
        <x:v>低温で花粉形成が促進する; 開花期雨害を翌年の芽の問題と混同; 開花期雨は成熟だけに影響する</x:v>
      </x:c>
      <x:c r="Z104" s="171" t="str">
        <x:v>N</x:v>
      </x:c>
      <x:c r="AA104" s="165"/>
      <x:c r="AB104" s="165" t="str">
        <x:v>オリジナル</x:v>
      </x:c>
      <x:c r="AC104" s="165" t="str">
        <x:v>公式Specificationの範囲＋ユーザー作成コーパスの論点と問題設計例を参考に独自作成</x:v>
      </x:c>
      <x:c r="AD104" s="171" t="str">
        <x:v>改稿済み・専門家未承認</x:v>
      </x:c>
      <x:c r="AE104" s="171" t="str">
        <x:v>AI誤答レビュー</x:v>
      </x:c>
      <x:c r="AF104" s="171" t="str">
        <x:v>2026-07-12</x:v>
      </x:c>
      <x:c r="AG104" s="166" t="str">
        <x:v>第4バッチ：同一論点内の典型的誤概念へ置換。正答位置は維持。</x:v>
      </x:c>
    </x:row>
    <x:row r="105" ht="84" customHeight="1">
      <x:c r="A105" s="164" t="str">
        <x:v>LO1-024</x:v>
      </x:c>
      <x:c r="B105" s="171" t="str">
        <x:v>LO1</x:v>
      </x:c>
      <x:c r="C105" s="165" t="str">
        <x:v>ブドウ畑・ワイナリーの自然要因と人的要因</x:v>
      </x:c>
      <x:c r="D105" s="165" t="str">
        <x:v>ヴェレゾン</x:v>
      </x:c>
      <x:c r="E105" s="165" t="str">
        <x:v>ヴェレゾン（着色期）の開始を示す変化として最も適切なものはどれか。</x:v>
      </x:c>
      <x:c r="F105" s="165" t="str">
        <x:v>芽が開き、新梢と最初の葉が伸び始める</x:v>
      </x:c>
      <x:c r="G105" s="165" t="str">
        <x:v>花が咲き、受粉後に小さな果粒が形成される</x:v>
      </x:c>
      <x:c r="H105" s="165" t="str">
        <x:v>葉が落ち、ブドウ樹が冬の休眠へ入る</x:v>
      </x:c>
      <x:c r="I105" s="165" t="str">
        <x:v>果粒が柔らかくなり、糖が増え始め、黒ブドウでは果皮が着色する</x:v>
      </x:c>
      <x:c r="J105" s="171" t="str">
        <x:v>D</x:v>
      </x:c>
      <x:c r="K105" s="165" t="str">
        <x:v>果粒が柔らかくなり、糖が増え始め、黒ブドウでは果皮が着色する</x:v>
      </x:c>
      <x:c r="L105" s="165" t="str">
        <x:v>正しい。ヴェレゾンは成熟の開始を示し、果粒の軟化、糖の蓄積、酸の減少、黒ブドウの着色などが進み始める。</x:v>
      </x:c>
      <x:c r="M105" s="165" t="str">
        <x:v>誤り。これは萌芽の説明であり、ヴェレゾンよりかなり前の生育段階である。</x:v>
      </x:c>
      <x:c r="N105" s="165" t="str">
        <x:v>誤り。これは開花と結実の段階であり、ヴェレゾンの説明ではない。</x:v>
      </x:c>
      <x:c r="O105" s="165" t="str">
        <x:v>誤り。これは収穫後から冬に向かう段階であり、成熟開始を示すヴェレゾンとは異なる。</x:v>
      </x:c>
      <x:c r="P105" s="165" t="str">
        <x:v>正しい。ヴェレゾンは成熟の開始を示し、果粒の軟化、糖の蓄積、酸の減少、黒ブドウの着色などが進み始める。</x:v>
      </x:c>
      <x:c r="Q105" s="165" t="str">
        <x:v>自然要因</x:v>
      </x:c>
      <x:c r="R105" s="165" t="str">
        <x:v>生育サイクル・ヴェレゾン</x:v>
      </x:c>
      <x:c r="S105" s="165" t="str">
        <x:v>非発泡性ワイン</x:v>
      </x:c>
      <x:c r="T105" s="165"/>
      <x:c r="U105" s="165"/>
      <x:c r="V105" s="165"/>
      <x:c r="W105" s="165" t="str">
        <x:v>知識確認</x:v>
      </x:c>
      <x:c r="X105" s="171" t="str">
        <x:v>D1</x:v>
      </x:c>
      <x:c r="Y105" s="165" t="str">
        <x:v>ヴェレゾンに関する別の特徴・要因と混同; ヴェレゾンに関する別の特徴・要因と混同; ヴェレゾンに関する別の特徴・要因と混同</x:v>
      </x:c>
      <x:c r="Z105" s="171" t="str">
        <x:v>N</x:v>
      </x:c>
      <x:c r="AA105" s="165"/>
      <x:c r="AB105" s="165" t="str">
        <x:v>オリジナル</x:v>
      </x:c>
      <x:c r="AC105" s="165" t="str">
        <x:v>公式Specificationの範囲＋ユーザー作成コーパスの論点と問題設計例を参考に独自作成</x:v>
      </x:c>
      <x:c r="AD105" s="171" t="str">
        <x:v>改稿済み・専門家未承認</x:v>
      </x:c>
      <x:c r="AE105" s="171" t="str">
        <x:v>AI誤答レビュー</x:v>
      </x:c>
      <x:c r="AF105" s="171" t="str">
        <x:v>2026-07-12</x:v>
      </x:c>
      <x:c r="AG105" s="166" t="str">
        <x:v>最終バッチ：有効な誤答を維持し、絶対語・物理的不可能な誤答のみ置換。正答位置は維持。</x:v>
      </x:c>
    </x:row>
    <x:row r="106" ht="84" customHeight="1">
      <x:c r="A106" s="164" t="str">
        <x:v>LO1-025</x:v>
      </x:c>
      <x:c r="B106" s="171" t="str">
        <x:v>LO1</x:v>
      </x:c>
      <x:c r="C106" s="165" t="str">
        <x:v>ブドウ畑・ワイナリーの自然要因と人的要因</x:v>
      </x:c>
      <x:c r="D106" s="165" t="str">
        <x:v>大きな水域の影響</x:v>
      </x:c>
      <x:c r="E106" s="165" t="str">
        <x:v>大きな湖が近隣のブドウ畑の気候を穏やかにする仕組みとして最も適切なものはどれか。</x:v>
      </x:c>
      <x:c r="F106" s="165" t="str">
        <x:v>水がゆっくり温まり、ゆっくり冷えるため、周辺の極端な気温変化を和らげる</x:v>
      </x:c>
      <x:c r="G106" s="165" t="str">
        <x:v>湖面が常に太陽光を遮るため、畑の日照がなくなる</x:v>
      </x:c>
      <x:c r="H106" s="165" t="str">
        <x:v>湖水が土壌へ直接糖を供給し、成熟を進める</x:v>
      </x:c>
      <x:c r="I106" s="165" t="str">
        <x:v>湖の存在により、年間降水量と湿度が低下する</x:v>
      </x:c>
      <x:c r="J106" s="171" t="str">
        <x:v>A</x:v>
      </x:c>
      <x:c r="K106" s="165" t="str">
        <x:v>水がゆっくり温まり、ゆっくり冷えるため、周辺の極端な気温変化を和らげる</x:v>
      </x:c>
      <x:c r="L106" s="165" t="str">
        <x:v>正しい。大きな水域は熱容量が大きく、季節や昼夜の温度変化を緩和し、春霜や冬の厳寒、夏の過度な高温のリスクを軽減することがある。</x:v>
      </x:c>
      <x:c r="M106" s="165" t="str">
        <x:v>正しい。大きな水域は熱容量が大きく、季節や昼夜の温度変化を緩和し、春霜や冬の厳寒、夏の過度な高温のリスクを軽減することがある。</x:v>
      </x:c>
      <x:c r="N106" s="165" t="str">
        <x:v>誤り。湖は日照を常に遮るものではなく、反射光が局地的に日射を補う場合もある。</x:v>
      </x:c>
      <x:c r="O106" s="165" t="str">
        <x:v>誤り。糖はブドウ樹の光合成で作られ、湖水から土壌を通じて供給されるものではない。</x:v>
      </x:c>
      <x:c r="P106" s="165" t="str">
        <x:v>誤り。水域は湿度や降雪を増やす場合もあり、降水量が必ず低下するとはいえない。</x:v>
      </x:c>
      <x:c r="Q106" s="165" t="str">
        <x:v>自然要因</x:v>
      </x:c>
      <x:c r="R106" s="165" t="str">
        <x:v>地域気候・水域</x:v>
      </x:c>
      <x:c r="S106" s="165" t="str">
        <x:v>非発泡性ワイン</x:v>
      </x:c>
      <x:c r="T106" s="165"/>
      <x:c r="U106" s="165"/>
      <x:c r="V106" s="165"/>
      <x:c r="W106" s="165" t="str">
        <x:v>因果説明</x:v>
      </x:c>
      <x:c r="X106" s="171" t="str">
        <x:v>D2</x:v>
      </x:c>
      <x:c r="Y106" s="165" t="str">
        <x:v>大きな水域の影響に関する別の特徴・要因と混同; 大きな水域の影響に関する別の特徴・要因と混同; 大きな水域の影響に関する別の特徴・要因と混同</x:v>
      </x:c>
      <x:c r="Z106" s="171" t="str">
        <x:v>N</x:v>
      </x:c>
      <x:c r="AA106" s="165"/>
      <x:c r="AB106" s="165" t="str">
        <x:v>オリジナル</x:v>
      </x:c>
      <x:c r="AC106" s="165" t="str">
        <x:v>公式Specificationの範囲＋ユーザー作成コーパスの論点と問題設計例を参考に独自作成</x:v>
      </x:c>
      <x:c r="AD106" s="171" t="str">
        <x:v>改稿済み・専門家未承認</x:v>
      </x:c>
      <x:c r="AE106" s="171" t="str">
        <x:v>AI誤答レビュー</x:v>
      </x:c>
      <x:c r="AF106" s="171" t="str">
        <x:v>2026-07-12</x:v>
      </x:c>
      <x:c r="AG106" s="166" t="str">
        <x:v>最終バッチ：有効な誤答を維持し、絶対語・物理的不可能な誤答のみ置換。正答位置は維持。</x:v>
      </x:c>
    </x:row>
    <x:row r="107" ht="84" customHeight="1">
      <x:c r="A107" s="164" t="str">
        <x:v>LO1-026</x:v>
      </x:c>
      <x:c r="B107" s="171" t="str">
        <x:v>LO1</x:v>
      </x:c>
      <x:c r="C107" s="165" t="str">
        <x:v>ブドウ畑・ワイナリーの自然要因と人的要因</x:v>
      </x:c>
      <x:c r="D107" s="165" t="str">
        <x:v>大陸性とヴィンテージ差</x:v>
      </x:c>
      <x:c r="E107" s="165" t="str">
        <x:v>大陸性気候の産地でヴィンテージ差が大きくなりやすい理由として最も適切なものはどれか。</x:v>
      </x:c>
      <x:c r="F107" s="165" t="str">
        <x:v>土壌の種類が毎年変化するから</x:v>
      </x:c>
      <x:c r="G107" s="165" t="str">
        <x:v>季節間の気温差が大きく、霜、雹、降雨など年ごとの天候変動の影響を受けやすい</x:v>
      </x:c>
      <x:c r="H107" s="165" t="str">
        <x:v>多くの畑が海風を強く受け、成熟が毎年遅れるから</x:v>
      </x:c>
      <x:c r="I107" s="165" t="str">
        <x:v>年間を通じて気温と降水量がほぼ一定だから</x:v>
      </x:c>
      <x:c r="J107" s="171" t="str">
        <x:v>B</x:v>
      </x:c>
      <x:c r="K107" s="165" t="str">
        <x:v>季節間の気温差が大きく、霜、雹、降雨など年ごとの天候変動の影響を受けやすい</x:v>
      </x:c>
      <x:c r="L107" s="165" t="str">
        <x:v>正しい。海洋による緩和が弱い大陸性地域では、冬と夏の寒暖差が大きく、極端な気象や生育期の天候が年ごとに変化しやすい。</x:v>
      </x:c>
      <x:c r="M107" s="165" t="str">
        <x:v>誤り。土壌は通常年ごとに大きく変化せず、ヴィンテージ差の主因は天候である。</x:v>
      </x:c>
      <x:c r="N107" s="165" t="str">
        <x:v>正しい。海洋による緩和が弱い大陸性地域では、冬と夏の寒暖差が大きく、極端な気象や生育期の天候が年ごとに変化しやすい。</x:v>
      </x:c>
      <x:c r="O107" s="165" t="str">
        <x:v>誤り。大陸性地域は一般に海洋の影響が弱く、すべての畑が強い海風を受けるわけではない。</x:v>
      </x:c>
      <x:c r="P107" s="165" t="str">
        <x:v>誤り。年間変動が小さいという説明は、大陸性気候でヴィンテージ差が大きい理由と逆である。</x:v>
      </x:c>
      <x:c r="Q107" s="165" t="str">
        <x:v>自然要因</x:v>
      </x:c>
      <x:c r="R107" s="165" t="str">
        <x:v>地域気候・大陸性</x:v>
      </x:c>
      <x:c r="S107" s="165" t="str">
        <x:v>非発泡性ワイン</x:v>
      </x:c>
      <x:c r="T107" s="165"/>
      <x:c r="U107" s="165"/>
      <x:c r="V107" s="165"/>
      <x:c r="W107" s="165" t="str">
        <x:v>因果説明</x:v>
      </x:c>
      <x:c r="X107" s="171" t="str">
        <x:v>D2</x:v>
      </x:c>
      <x:c r="Y107" s="165" t="str">
        <x:v>大陸性とヴィンテージ差について関連要因を主因とみなす; 大陸性とヴィンテージ差について関連要因を主因とみなす; 大陸性とヴィンテージ差について関連要因を主因とみなす</x:v>
      </x:c>
      <x:c r="Z107" s="171" t="str">
        <x:v>N</x:v>
      </x:c>
      <x:c r="AA107" s="165"/>
      <x:c r="AB107" s="165" t="str">
        <x:v>オリジナル</x:v>
      </x:c>
      <x:c r="AC107" s="165" t="str">
        <x:v>公式Specificationの範囲＋ユーザー作成コーパスの論点と問題設計例を参考に独自作成</x:v>
      </x:c>
      <x:c r="AD107" s="171" t="str">
        <x:v>改稿済み・専門家未承認</x:v>
      </x:c>
      <x:c r="AE107" s="171" t="str">
        <x:v>AI誤答レビュー</x:v>
      </x:c>
      <x:c r="AF107" s="171" t="str">
        <x:v>2026-07-12</x:v>
      </x:c>
      <x:c r="AG107" s="166" t="str">
        <x:v>第5バッチ：使用可能な誤答を維持し、弱い誤答を因果逆転・隣接概念へ置換。正答位置は維持。</x:v>
      </x:c>
    </x:row>
    <x:row r="108" ht="84" customHeight="1">
      <x:c r="A108" s="164" t="str">
        <x:v>LO1-027</x:v>
      </x:c>
      <x:c r="B108" s="171" t="str">
        <x:v>LO1</x:v>
      </x:c>
      <x:c r="C108" s="165" t="str">
        <x:v>ブドウ畑・ワイナリーの自然要因と人的要因</x:v>
      </x:c>
      <x:c r="D108" s="165" t="str">
        <x:v>霧の影響</x:v>
      </x:c>
      <x:c r="E108" s="165" t="str">
        <x:v>温暖な地域の沿岸部で朝霧がブドウの成熟を遅らせる主な仕組みはどれか。</x:v>
      </x:c>
      <x:c r="F108" s="165" t="str">
        <x:v>霧が果実へ水分を供給し、果粒を大きくして糖度を希釈するため</x:v>
      </x:c>
      <x:c r="G108" s="165" t="str">
        <x:v>霧が土壌温度だけを下げ、葉の光合成には影響しないため</x:v>
      </x:c>
      <x:c r="H108" s="165" t="str">
        <x:v>朝の日射と気温上昇を抑え、畑が暖まる時間を短くする</x:v>
      </x:c>
      <x:c r="I108" s="165" t="str">
        <x:v>霧が夜間の呼吸を促進し、酸を早く減少させるため</x:v>
      </x:c>
      <x:c r="J108" s="171" t="str">
        <x:v>C</x:v>
      </x:c>
      <x:c r="K108" s="165" t="str">
        <x:v>朝の日射と気温上昇を抑え、畑が暖まる時間を短くする</x:v>
      </x:c>
      <x:c r="L108" s="165" t="str">
        <x:v>正しい。霧は日射を遮り、午前中の気温上昇を遅らせるため、日中の有効な成熟時間を短くし、酸の保持に寄与することがある。</x:v>
      </x:c>
      <x:c r="M108" s="165" t="str">
        <x:v>誤り。朝霧の主な作用は日射と気温の抑制であり、果実への直接給水ではない。</x:v>
      </x:c>
      <x:c r="N108" s="165" t="str">
        <x:v>誤り。霧は日射量と葉温にも影響する。</x:v>
      </x:c>
      <x:c r="O108" s="165" t="str">
        <x:v>正しい。霧は日射を遮り、午前中の気温上昇を遅らせるため、日中の有効な成熟時間を短くし、酸の保持に寄与することがある。</x:v>
      </x:c>
      <x:c r="P108" s="165" t="str">
        <x:v>誤り。冷却は呼吸と酸の減少を抑える方向に働く。</x:v>
      </x:c>
      <x:c r="Q108" s="165" t="str">
        <x:v>自然要因</x:v>
      </x:c>
      <x:c r="R108" s="165" t="str">
        <x:v>サイト気候・霧</x:v>
      </x:c>
      <x:c r="S108" s="165" t="str">
        <x:v>非発泡性ワイン</x:v>
      </x:c>
      <x:c r="T108" s="165"/>
      <x:c r="U108" s="165"/>
      <x:c r="V108" s="165"/>
      <x:c r="W108" s="165" t="str">
        <x:v>因果説明</x:v>
      </x:c>
      <x:c r="X108" s="171" t="str">
        <x:v>D2</x:v>
      </x:c>
      <x:c r="Y108" s="165" t="str">
        <x:v>霧が果実を直接給水・希釈する; 霧は土壌だけを冷却する; 霧で呼吸が増え酸が減る</x:v>
      </x:c>
      <x:c r="Z108" s="171" t="str">
        <x:v>N</x:v>
      </x:c>
      <x:c r="AA108" s="165"/>
      <x:c r="AB108" s="165" t="str">
        <x:v>オリジナル</x:v>
      </x:c>
      <x:c r="AC108" s="165" t="str">
        <x:v>公式Specificationの範囲＋ユーザー作成コーパスの論点と問題設計例を参考に独自作成</x:v>
      </x:c>
      <x:c r="AD108" s="171" t="str">
        <x:v>改稿済み・専門家未承認</x:v>
      </x:c>
      <x:c r="AE108" s="171" t="str">
        <x:v>AI誤答レビュー</x:v>
      </x:c>
      <x:c r="AF108" s="171" t="str">
        <x:v>2026-07-12</x:v>
      </x:c>
      <x:c r="AG108" s="166" t="str">
        <x:v>第4バッチ：同一論点内の典型的誤概念へ置換。正答位置は維持。</x:v>
      </x:c>
    </x:row>
    <x:row r="109" ht="84" customHeight="1">
      <x:c r="A109" s="164" t="str">
        <x:v>LO1-028</x:v>
      </x:c>
      <x:c r="B109" s="171" t="str">
        <x:v>LO1</x:v>
      </x:c>
      <x:c r="C109" s="165" t="str">
        <x:v>ブドウ畑・ワイナリーの自然要因と人的要因</x:v>
      </x:c>
      <x:c r="D109" s="165" t="str">
        <x:v>土壌の排水性</x:v>
      </x:c>
      <x:c r="E109" s="165" t="str">
        <x:v>ブドウ畑で水はけの悪い土壌が問題となる主な理由はどれか。</x:v>
      </x:c>
      <x:c r="F109" s="165" t="str">
        <x:v>水分が多いほど根が深く伸び、干ばつへの耐性が下がるため</x:v>
      </x:c>
      <x:c r="G109" s="165" t="str">
        <x:v>土壌水分が果汁へ直接移り、ワインの酸が上昇するため</x:v>
      </x:c>
      <x:c r="H109" s="165" t="str">
        <x:v>排水不良では根が深く伸び、樹勢が弱くなりやすいため</x:v>
      </x:c>
      <x:c r="I109" s="165" t="str">
        <x:v>根の周囲の酸素が不足し、根の機能低下や過度な樹勢につながることがある</x:v>
      </x:c>
      <x:c r="J109" s="171" t="str">
        <x:v>D</x:v>
      </x:c>
      <x:c r="K109" s="165" t="str">
        <x:v>根の周囲の酸素が不足し、根の機能低下や過度な樹勢につながることがある</x:v>
      </x:c>
      <x:c r="L109" s="165" t="str">
        <x:v>正しい。過剰な水分は根域の空気を減らし、根の活動を妨げるほか、状況によっては過度な栄養成長や病害リスクを高める。</x:v>
      </x:c>
      <x:c r="M109" s="165" t="str">
        <x:v>誤り。水はけ不良では酸素不足により根の成長が阻害されやすい。</x:v>
      </x:c>
      <x:c r="N109" s="165" t="str">
        <x:v>誤り。過湿は樹勢や希釈へ影響するが、果汁酸を直接増加させるわけではない。</x:v>
      </x:c>
      <x:c r="O109" s="165" t="str">
        <x:v>誤り。むしろ強い樹勢や根の酸素不足が問題となり得る。</x:v>
      </x:c>
      <x:c r="P109" s="165" t="str">
        <x:v>正しい。過剰な水分は根域の空気を減らし、根の活動を妨げるほか、状況によっては過度な栄養成長や病害リスクを高める。</x:v>
      </x:c>
      <x:c r="Q109" s="165" t="str">
        <x:v>自然要因</x:v>
      </x:c>
      <x:c r="R109" s="165" t="str">
        <x:v>土壌・排水</x:v>
      </x:c>
      <x:c r="S109" s="165" t="str">
        <x:v>非発泡性ワイン</x:v>
      </x:c>
      <x:c r="T109" s="165"/>
      <x:c r="U109" s="165"/>
      <x:c r="V109" s="165"/>
      <x:c r="W109" s="165" t="str">
        <x:v>因果説明</x:v>
      </x:c>
      <x:c r="X109" s="171" t="str">
        <x:v>D2</x:v>
      </x:c>
      <x:c r="Y109" s="165" t="str">
        <x:v>過湿で根が深く伸びる; 過湿で果汁酸が直接上昇; 排水不良で養分流亡・低樹勢</x:v>
      </x:c>
      <x:c r="Z109" s="171" t="str">
        <x:v>N</x:v>
      </x:c>
      <x:c r="AA109" s="165"/>
      <x:c r="AB109" s="165" t="str">
        <x:v>オリジナル</x:v>
      </x:c>
      <x:c r="AC109" s="165" t="str">
        <x:v>公式Specificationの範囲＋ユーザー作成コーパスの論点と問題設計例を参考に独自作成</x:v>
      </x:c>
      <x:c r="AD109" s="171" t="str">
        <x:v>改稿済み・専門家未承認</x:v>
      </x:c>
      <x:c r="AE109" s="171" t="str">
        <x:v>AI誤答レビュー</x:v>
      </x:c>
      <x:c r="AF109" s="171" t="str">
        <x:v>2026-07-12</x:v>
      </x:c>
      <x:c r="AG109" s="166" t="str">
        <x:v>第4バッチ：同一論点内の典型的誤概念へ置換。正答位置は維持。</x:v>
      </x:c>
    </x:row>
    <x:row r="110" ht="84" customHeight="1">
      <x:c r="A110" s="164" t="str">
        <x:v>LO1-029</x:v>
      </x:c>
      <x:c r="B110" s="171" t="str">
        <x:v>LO1</x:v>
      </x:c>
      <x:c r="C110" s="165" t="str">
        <x:v>ブドウ畑・ワイナリーの自然要因と人的要因</x:v>
      </x:c>
      <x:c r="D110" s="165" t="str">
        <x:v>石の多い土壌</x:v>
      </x:c>
      <x:c r="E110" s="165" t="str">
        <x:v>冷涼な畑で表面の石が成熟を助ける場合、その主な効果はどれか。</x:v>
      </x:c>
      <x:c r="F110" s="165" t="str">
        <x:v>日中に熱を吸収し、夜間に放出して果房周辺を暖める</x:v>
      </x:c>
      <x:c r="G110" s="165" t="str">
        <x:v>石が酸を化学的に果汁へ加え、酸度を高める</x:v>
      </x:c>
      <x:c r="H110" s="165" t="str">
        <x:v>石が土壌中の水分を多く保持し、排水を止める</x:v>
      </x:c>
      <x:c r="I110" s="165" t="str">
        <x:v>石が光合成を行い、ブドウ樹へ糖を渡す</x:v>
      </x:c>
      <x:c r="J110" s="171" t="str">
        <x:v>A</x:v>
      </x:c>
      <x:c r="K110" s="165" t="str">
        <x:v>日中に熱を吸収し、夜間に放出して果房周辺を暖める</x:v>
      </x:c>
      <x:c r="L110" s="165" t="str">
        <x:v>正しい。石は熱を蓄えてゆっくり放出できるため、局地的な温度を高め、冷涼な条件で成熟を補助することがある。</x:v>
      </x:c>
      <x:c r="M110" s="165" t="str">
        <x:v>正しい。石は熱を蓄えてゆっくり放出できるため、局地的な温度を高め、冷涼な条件で成熟を補助することがある。</x:v>
      </x:c>
      <x:c r="N110" s="165" t="str">
        <x:v>誤り。果汁の酸度は主に品種、成熟度、気温などに左右され、石が直接酸を加えるわけではない。</x:v>
      </x:c>
      <x:c r="O110" s="165" t="str">
        <x:v>誤り。石の多い土壌はしばしば排水性が高く、水分をすべて保持するという説明は適切でない。</x:v>
      </x:c>
      <x:c r="P110" s="165" t="str">
        <x:v>誤り。石は光合成を行わず、糖は葉で作られる。</x:v>
      </x:c>
      <x:c r="Q110" s="165" t="str">
        <x:v>自然要因</x:v>
      </x:c>
      <x:c r="R110" s="165" t="str">
        <x:v>土壌・保温</x:v>
      </x:c>
      <x:c r="S110" s="165" t="str">
        <x:v>非発泡性ワイン</x:v>
      </x:c>
      <x:c r="T110" s="165"/>
      <x:c r="U110" s="165"/>
      <x:c r="V110" s="165"/>
      <x:c r="W110" s="165" t="str">
        <x:v>因果説明</x:v>
      </x:c>
      <x:c r="X110" s="171" t="str">
        <x:v>D1</x:v>
      </x:c>
      <x:c r="Y110" s="165" t="str">
        <x:v>石の多い土壌について関連要因を主因とみなす; 石の多い土壌について関連要因を主因とみなす; 石の多い土壌について関連要因を主因とみなす</x:v>
      </x:c>
      <x:c r="Z110" s="171" t="str">
        <x:v>N</x:v>
      </x:c>
      <x:c r="AA110" s="165"/>
      <x:c r="AB110" s="165" t="str">
        <x:v>オリジナル</x:v>
      </x:c>
      <x:c r="AC110" s="165" t="str">
        <x:v>公式Specificationの範囲＋ユーザー作成コーパスの論点と問題設計例を参考に独自作成</x:v>
      </x:c>
      <x:c r="AD110" s="171" t="str">
        <x:v>改稿済み・専門家未承認</x:v>
      </x:c>
      <x:c r="AE110" s="171" t="str">
        <x:v>AI誤答レビュー</x:v>
      </x:c>
      <x:c r="AF110" s="171" t="str">
        <x:v>2026-07-12</x:v>
      </x:c>
      <x:c r="AG110" s="166" t="str">
        <x:v>第5バッチ：使用可能な誤答を維持し、弱い誤答を因果逆転・隣接概念へ置換。正答位置は維持。</x:v>
      </x:c>
    </x:row>
    <x:row r="111" ht="84" customHeight="1">
      <x:c r="A111" s="164" t="str">
        <x:v>LO1-030</x:v>
      </x:c>
      <x:c r="B111" s="171" t="str">
        <x:v>LO1</x:v>
      </x:c>
      <x:c r="C111" s="165" t="str">
        <x:v>ブドウ畑・ワイナリーの自然要因と人的要因</x:v>
      </x:c>
      <x:c r="D111" s="165" t="str">
        <x:v>土壌養分と樹勢</x:v>
      </x:c>
      <x:c r="E111" s="165" t="str">
        <x:v>窒素などの養分が過剰な土壌で生じやすい問題はどれか。</x:v>
      </x:c>
      <x:c r="F111" s="165" t="str">
        <x:v>果粒が小さくなり、果皮比率が高まってタンニンが過剰になる</x:v>
      </x:c>
      <x:c r="G111" s="165" t="str">
        <x:v>新梢と葉の成長が過度になり、果房の日照と通風が不足しやすい</x:v>
      </x:c>
      <x:c r="H111" s="165" t="str">
        <x:v>葉の色が薄くなり、光合成が不足する</x:v>
      </x:c>
      <x:c r="I111" s="165" t="str">
        <x:v>根の成長だけが促され、地上部の樹勢には影響しない</x:v>
      </x:c>
      <x:c r="J111" s="171" t="str">
        <x:v>B</x:v>
      </x:c>
      <x:c r="K111" s="165" t="str">
        <x:v>新梢と葉の成長が過度になり、果房の日照と通風が不足しやすい</x:v>
      </x:c>
      <x:c r="L111" s="165" t="str">
        <x:v>正しい。過剰な養分は強い樹勢と密なキャノピーを招き、成熟の遅れ、病害リスク、果実風味の希釈につながることがある。</x:v>
      </x:c>
      <x:c r="M111" s="165" t="str">
        <x:v>誤り。窒素過多では大きなキャノピーと大粒果、成熟遅延が問題になりやすい。</x:v>
      </x:c>
      <x:c r="N111" s="165" t="str">
        <x:v>正しい。過剰な養分は強い樹勢と密なキャノピーを招き、成熟の遅れ、病害リスク、果実風味の希釈につながることがある。</x:v>
      </x:c>
      <x:c r="O111" s="165" t="str">
        <x:v>誤り。これは窒素不足の症状に近い。</x:v>
      </x:c>
      <x:c r="P111" s="165" t="str">
        <x:v>誤り。窒素は新梢と葉の成長を強く促す。</x:v>
      </x:c>
      <x:c r="Q111" s="165" t="str">
        <x:v>自然要因</x:v>
      </x:c>
      <x:c r="R111" s="165" t="str">
        <x:v>土壌・養分</x:v>
      </x:c>
      <x:c r="S111" s="165" t="str">
        <x:v>非発泡性ワイン</x:v>
      </x:c>
      <x:c r="T111" s="165"/>
      <x:c r="U111" s="165"/>
      <x:c r="V111" s="165"/>
      <x:c r="W111" s="165" t="str">
        <x:v>因果説明</x:v>
      </x:c>
      <x:c r="X111" s="171" t="str">
        <x:v>D2</x:v>
      </x:c>
      <x:c r="Y111" s="165" t="str">
        <x:v>窒素過多で小粒・高果皮比; 窒素過多と不足の症状を混同; 窒素過多は根だけに影響する</x:v>
      </x:c>
      <x:c r="Z111" s="171" t="str">
        <x:v>N</x:v>
      </x:c>
      <x:c r="AA111" s="165"/>
      <x:c r="AB111" s="165" t="str">
        <x:v>オリジナル</x:v>
      </x:c>
      <x:c r="AC111" s="165" t="str">
        <x:v>公式Specificationの範囲＋ユーザー作成コーパスの論点と問題設計例を参考に独自作成</x:v>
      </x:c>
      <x:c r="AD111" s="171" t="str">
        <x:v>改稿済み・専門家未承認</x:v>
      </x:c>
      <x:c r="AE111" s="171" t="str">
        <x:v>AI誤答レビュー</x:v>
      </x:c>
      <x:c r="AF111" s="171" t="str">
        <x:v>2026-07-12</x:v>
      </x:c>
      <x:c r="AG111" s="166" t="str">
        <x:v>第4バッチ：同一論点内の典型的誤概念へ置換。正答位置は維持。</x:v>
      </x:c>
    </x:row>
    <x:row r="112" ht="84" customHeight="1">
      <x:c r="A112" s="164" t="str">
        <x:v>LO1-031</x:v>
      </x:c>
      <x:c r="B112" s="171" t="str">
        <x:v>LO1</x:v>
      </x:c>
      <x:c r="C112" s="165" t="str">
        <x:v>ブドウ畑・ワイナリーの自然要因と人的要因</x:v>
      </x:c>
      <x:c r="D112" s="165" t="str">
        <x:v>植栽密度</x:v>
      </x:c>
      <x:c r="E112" s="165" t="str">
        <x:v>水分と養分が限られる畑で植栽密度を過度に高くした場合に起こり得ることはどれか。</x:v>
      </x:c>
      <x:c r="F112" s="165" t="str">
        <x:v>樹同士の競争が減り、一樹当たりの水分利用量が増える</x:v>
      </x:c>
      <x:c r="G112" s="165" t="str">
        <x:v>一樹当たりの収量が増え、果実成熟が早まる</x:v>
      </x:c>
      <x:c r="H112" s="165" t="str">
        <x:v>ブドウ樹同士の競争が強まり、一株当たりの生育と収量が低下する</x:v>
      </x:c>
      <x:c r="I112" s="165" t="str">
        <x:v>畝間が狭いほど土壌の保水性が高まり、干ばつを防げる</x:v>
      </x:c>
      <x:c r="J112" s="171" t="str">
        <x:v>C</x:v>
      </x:c>
      <x:c r="K112" s="165" t="str">
        <x:v>ブドウ樹同士の競争が強まり、一株当たりの生育と収量が低下する</x:v>
      </x:c>
      <x:c r="L112" s="165" t="str">
        <x:v>正しい。限られた資源を多くの樹が取り合うため、一株当たりの樹勢と収量が抑えられる一方、過度なら成熟不良や樹の弱体化につながる。</x:v>
      </x:c>
      <x:c r="M112" s="165" t="str">
        <x:v>誤り。高密植では根域が重なり、水分・養分競争が強くなる。</x:v>
      </x:c>
      <x:c r="N112" s="165" t="str">
        <x:v>誤り。競争が強い条件では樹勢・収量・成熟が低下する場合がある。</x:v>
      </x:c>
      <x:c r="O112" s="165" t="str">
        <x:v>正しい。限られた資源を多くの樹が取り合うため、一株当たりの樹勢と収量が抑えられる一方、過度なら成熟不良や樹の弱体化につながる。</x:v>
      </x:c>
      <x:c r="P112" s="165" t="str">
        <x:v>誤り。植栽間隔が土壌自体の保水性を高めるわけではない。</x:v>
      </x:c>
      <x:c r="Q112" s="165" t="str">
        <x:v>人的要因（畑）</x:v>
      </x:c>
      <x:c r="R112" s="165" t="str">
        <x:v>植栽密度</x:v>
      </x:c>
      <x:c r="S112" s="165" t="str">
        <x:v>非発泡性ワイン</x:v>
      </x:c>
      <x:c r="T112" s="165"/>
      <x:c r="U112" s="165"/>
      <x:c r="V112" s="165"/>
      <x:c r="W112" s="165" t="str">
        <x:v>適用</x:v>
      </x:c>
      <x:c r="X112" s="171" t="str">
        <x:v>D3</x:v>
      </x:c>
      <x:c r="Y112" s="165" t="str">
        <x:v>高密植で競争が減る; 高密植で一樹収量と成熟が増える; 高密植で土壌保水性が上がる</x:v>
      </x:c>
      <x:c r="Z112" s="171" t="str">
        <x:v>N</x:v>
      </x:c>
      <x:c r="AA112" s="165"/>
      <x:c r="AB112" s="165" t="str">
        <x:v>オリジナル</x:v>
      </x:c>
      <x:c r="AC112" s="165" t="str">
        <x:v>公式Specificationの範囲＋ユーザー作成コーパスの論点と問題設計例を参考に独自作成</x:v>
      </x:c>
      <x:c r="AD112" s="171" t="str">
        <x:v>改稿済み・専門家未承認</x:v>
      </x:c>
      <x:c r="AE112" s="171" t="str">
        <x:v>AI誤答レビュー</x:v>
      </x:c>
      <x:c r="AF112" s="171" t="str">
        <x:v>2026-07-12</x:v>
      </x:c>
      <x:c r="AG112" s="166" t="str">
        <x:v>第4バッチ：同一論点内の典型的誤概念へ置換。正答位置は維持。</x:v>
      </x:c>
    </x:row>
    <x:row r="113" ht="84" customHeight="1">
      <x:c r="A113" s="164" t="str">
        <x:v>LO1-032</x:v>
      </x:c>
      <x:c r="B113" s="171" t="str">
        <x:v>LO1</x:v>
      </x:c>
      <x:c r="C113" s="165" t="str">
        <x:v>ブドウ畑・ワイナリーの自然要因と人的要因</x:v>
      </x:c>
      <x:c r="D113" s="165" t="str">
        <x:v>仕立て方</x:v>
      </x:c>
      <x:c r="E113" s="165" t="str">
        <x:v>コルドン仕立ての特徴として最も適切なものはどれか。</x:v>
      </x:c>
      <x:c r="F113" s="165" t="str">
        <x:v>毎年結果母枝を幹の基部から更新する仕立て</x:v>
      </x:c>
      <x:c r="G113" s="165" t="str">
        <x:v>永年の水平枝を持たず、新梢を地面へ自由に垂らす仕立て</x:v>
      </x:c>
      <x:c r="H113" s="165" t="str">
        <x:v>基部芽の結実性が低い品種に限って用いる仕立て</x:v>
      </x:c>
      <x:c r="I113" s="165" t="str">
        <x:v>幹から伸びる恒久的な腕を残し、そこに短梢を配置できる</x:v>
      </x:c>
      <x:c r="J113" s="171" t="str">
        <x:v>D</x:v>
      </x:c>
      <x:c r="K113" s="165" t="str">
        <x:v>幹から伸びる恒久的な腕を残し、そこに短梢を配置できる</x:v>
      </x:c>
      <x:c r="L113" s="165" t="str">
        <x:v>正しい。コルドン仕立てでは恒久的な水平の腕を形成し、そこから短梢を剪定することが多く、均一な配置と機械化に適する場合がある。</x:v>
      </x:c>
      <x:c r="M113" s="165" t="str">
        <x:v>誤り。これはギヨーなどの長梢剪定に近い。</x:v>
      </x:c>
      <x:c r="N113" s="165" t="str">
        <x:v>誤り。コルドンは永年の水平枝を持つ。</x:v>
      </x:c>
      <x:c r="O113" s="165" t="str">
        <x:v>誤り。短梢剪定型は基部芽の結実性が高い品種に適しやすい。</x:v>
      </x:c>
      <x:c r="P113" s="165" t="str">
        <x:v>正しい。コルドン仕立てでは恒久的な水平の腕を形成し、そこから短梢を剪定することが多く、均一な配置と機械化に適する場合がある。</x:v>
      </x:c>
      <x:c r="Q113" s="165" t="str">
        <x:v>人的要因（畑）</x:v>
      </x:c>
      <x:c r="R113" s="165" t="str">
        <x:v>仕立て・コルドン</x:v>
      </x:c>
      <x:c r="S113" s="165" t="str">
        <x:v>非発泡性ワイン</x:v>
      </x:c>
      <x:c r="T113" s="165"/>
      <x:c r="U113" s="165"/>
      <x:c r="V113" s="165"/>
      <x:c r="W113" s="165" t="str">
        <x:v>知識確認</x:v>
      </x:c>
      <x:c r="X113" s="171" t="str">
        <x:v>D1</x:v>
      </x:c>
      <x:c r="Y113" s="165" t="str">
        <x:v>コルドンと更新剪定を混同; コルドンに永年枝がない; コルドンは基部芽不結実品種専用</x:v>
      </x:c>
      <x:c r="Z113" s="171" t="str">
        <x:v>N</x:v>
      </x:c>
      <x:c r="AA113" s="165"/>
      <x:c r="AB113" s="165" t="str">
        <x:v>オリジナル</x:v>
      </x:c>
      <x:c r="AC113" s="165" t="str">
        <x:v>公式Specificationの範囲＋ユーザー作成コーパスの論点と問題設計例を参考に独自作成</x:v>
      </x:c>
      <x:c r="AD113" s="171" t="str">
        <x:v>改稿済み・専門家未承認</x:v>
      </x:c>
      <x:c r="AE113" s="171" t="str">
        <x:v>AI誤答レビュー</x:v>
      </x:c>
      <x:c r="AF113" s="171" t="str">
        <x:v>2026-07-12</x:v>
      </x:c>
      <x:c r="AG113" s="166" t="str">
        <x:v>第4バッチ：同一論点内の典型的誤概念へ置換。正答位置は維持。</x:v>
      </x:c>
    </x:row>
    <x:row r="114" ht="84" customHeight="1">
      <x:c r="A114" s="164" t="str">
        <x:v>LO1-033</x:v>
      </x:c>
      <x:c r="B114" s="171" t="str">
        <x:v>LO1</x:v>
      </x:c>
      <x:c r="C114" s="165" t="str">
        <x:v>ブドウ畑・ワイナリーの自然要因と人的要因</x:v>
      </x:c>
      <x:c r="D114" s="165" t="str">
        <x:v>剪定方法</x:v>
      </x:c>
      <x:c r="E114" s="165" t="str">
        <x:v>基部の芽の結実性が低い品種で、更新剪定が選ばれやすい理由はどれか。</x:v>
      </x:c>
      <x:c r="F114" s="165" t="str">
        <x:v>基部から離れた結実性の高い芽を含む一年枝を残せるため</x:v>
      </x:c>
      <x:c r="G114" s="165" t="str">
        <x:v>基部芽がよく結実するため、芽を二つだけ残せば十分だから</x:v>
      </x:c>
      <x:c r="H114" s="165" t="str">
        <x:v>前年枝の大部分を除き、永年枝から直接果房を得るため</x:v>
      </x:c>
      <x:c r="I114" s="165" t="str">
        <x:v>更新剪定にすると芽吹きが遅れ、春霜を避けられるためだけ</x:v>
      </x:c>
      <x:c r="J114" s="171" t="str">
        <x:v>A</x:v>
      </x:c>
      <x:c r="K114" s="165" t="str">
        <x:v>基部から離れた結実性の高い芽を含む一年枝を残せるため</x:v>
      </x:c>
      <x:c r="L114" s="165" t="str">
        <x:v>正しい。更新剪定では比較的長い一年枝を残すため、基部の芽が不結実でも、その先にある結実性の高い芽を利用できる。</x:v>
      </x:c>
      <x:c r="M114" s="165" t="str">
        <x:v>正しい。更新剪定では比較的長い一年枝を残すため、基部の芽が不結実でも、その先にある結実性の高い芽を利用できる。</x:v>
      </x:c>
      <x:c r="N114" s="165" t="str">
        <x:v>誤り。基部芽の結実性が低いため、より長い結果母枝を残す。</x:v>
      </x:c>
      <x:c r="O114" s="165" t="str">
        <x:v>誤り。果房は新梢に生じ、前年枝の芽を利用する。</x:v>
      </x:c>
      <x:c r="P114" s="165" t="str">
        <x:v>誤り。霜への影響はあり得るが、主要理由は結実性の高い先端芽の利用である。</x:v>
      </x:c>
      <x:c r="Q114" s="165" t="str">
        <x:v>人的要因（畑）</x:v>
      </x:c>
      <x:c r="R114" s="165" t="str">
        <x:v>剪定・更新剪定</x:v>
      </x:c>
      <x:c r="S114" s="165" t="str">
        <x:v>非発泡性ワイン</x:v>
      </x:c>
      <x:c r="T114" s="165"/>
      <x:c r="U114" s="165"/>
      <x:c r="V114" s="165"/>
      <x:c r="W114" s="165" t="str">
        <x:v>因果説明</x:v>
      </x:c>
      <x:c r="X114" s="171" t="str">
        <x:v>D2</x:v>
      </x:c>
      <x:c r="Y114" s="165" t="str">
        <x:v>基部芽の結実性を逆転; 永年枝から直接結実する; 更新剪定の理由を霜回避だけに限定</x:v>
      </x:c>
      <x:c r="Z114" s="171" t="str">
        <x:v>N</x:v>
      </x:c>
      <x:c r="AA114" s="165"/>
      <x:c r="AB114" s="165" t="str">
        <x:v>オリジナル</x:v>
      </x:c>
      <x:c r="AC114" s="165" t="str">
        <x:v>公式Specificationの範囲＋ユーザー作成コーパスの論点と問題設計例を参考に独自作成</x:v>
      </x:c>
      <x:c r="AD114" s="171" t="str">
        <x:v>改稿済み・専門家未承認</x:v>
      </x:c>
      <x:c r="AE114" s="171" t="str">
        <x:v>AI誤答レビュー</x:v>
      </x:c>
      <x:c r="AF114" s="171" t="str">
        <x:v>2026-07-12</x:v>
      </x:c>
      <x:c r="AG114" s="166" t="str">
        <x:v>第4バッチ：同一論点内の典型的誤概念へ置換。正答位置は維持。</x:v>
      </x:c>
    </x:row>
    <x:row r="115" ht="84" customHeight="1">
      <x:c r="A115" s="164" t="str">
        <x:v>LO1-034</x:v>
      </x:c>
      <x:c r="B115" s="171" t="str">
        <x:v>LO1</x:v>
      </x:c>
      <x:c r="C115" s="165" t="str">
        <x:v>ブドウ畑・ワイナリーの自然要因と人的要因</x:v>
      </x:c>
      <x:c r="D115" s="165" t="str">
        <x:v>VSP</x:v>
      </x:c>
      <x:c r="E115" s="165" t="str">
        <x:v>垂直シュート・ポジショニング（VSP）が機械作業に適しやすい主な理由はどれか。</x:v>
      </x:c>
      <x:c r="F115" s="165" t="str">
        <x:v>新梢を地面に這わせ、機械から大きく隠す</x:v>
      </x:c>
      <x:c r="G115" s="165" t="str">
        <x:v>新梢と果房が規則的な帯状に配置され、機械が対象部分へアクセスしやすい</x:v>
      </x:c>
      <x:c r="H115" s="165" t="str">
        <x:v>果房が毎年異なる高さに自然移動する</x:v>
      </x:c>
      <x:c r="I115" s="165" t="str">
        <x:v>支柱とワイヤーを使わないため、設置費が不要になる</x:v>
      </x:c>
      <x:c r="J115" s="171" t="str">
        <x:v>B</x:v>
      </x:c>
      <x:c r="K115" s="165" t="str">
        <x:v>新梢と果房が規則的な帯状に配置され、機械が対象部分へアクセスしやすい</x:v>
      </x:c>
      <x:c r="L115" s="165" t="str">
        <x:v>正しい。VSPは新梢を垂直に整列させ、果房帯を一定の高さに保ちやすいため、機械収穫や葉除去などを行いやすい。</x:v>
      </x:c>
      <x:c r="M115" s="165" t="str">
        <x:v>誤り。VSPは新梢を垂直方向へ誘引する方式であり、地面に這わせるものではない。</x:v>
      </x:c>
      <x:c r="N115" s="165" t="str">
        <x:v>正しい。VSPは新梢を垂直に整列させ、果房帯を一定の高さに保ちやすいため、機械収穫や葉除去などを行いやすい。</x:v>
      </x:c>
      <x:c r="O115" s="165" t="str">
        <x:v>誤り。VSPの利点は果房帯を比較的一定に管理できることであり、無秩序な移動ではない。</x:v>
      </x:c>
      <x:c r="P115" s="165" t="str">
        <x:v>誤り。VSPには通常支柱とワイヤーが必要で、初期費用がかかる。</x:v>
      </x:c>
      <x:c r="Q115" s="165" t="str">
        <x:v>人的要因（畑）</x:v>
      </x:c>
      <x:c r="R115" s="165" t="str">
        <x:v>キャノピー・VSP</x:v>
      </x:c>
      <x:c r="S115" s="165" t="str">
        <x:v>非発泡性ワイン</x:v>
      </x:c>
      <x:c r="T115" s="165"/>
      <x:c r="U115" s="165"/>
      <x:c r="V115" s="165"/>
      <x:c r="W115" s="165" t="str">
        <x:v>因果説明</x:v>
      </x:c>
      <x:c r="X115" s="171" t="str">
        <x:v>D2</x:v>
      </x:c>
      <x:c r="Y115" s="165" t="str">
        <x:v>VSPについて関連要因を主因とみなす; VSPについて関連要因を主因とみなす; VSPについて関連要因を主因とみなす</x:v>
      </x:c>
      <x:c r="Z115" s="171" t="str">
        <x:v>N</x:v>
      </x:c>
      <x:c r="AA115" s="165"/>
      <x:c r="AB115" s="165" t="str">
        <x:v>オリジナル</x:v>
      </x:c>
      <x:c r="AC115" s="165" t="str">
        <x:v>公式Specificationの範囲＋ユーザー作成コーパスの論点と問題設計例を参考に独自作成</x:v>
      </x:c>
      <x:c r="AD115" s="171" t="str">
        <x:v>改稿済み・専門家未承認</x:v>
      </x:c>
      <x:c r="AE115" s="171" t="str">
        <x:v>AI誤答レビュー</x:v>
      </x:c>
      <x:c r="AF115" s="171" t="str">
        <x:v>2026-07-12</x:v>
      </x:c>
      <x:c r="AG115" s="166" t="str">
        <x:v>第5バッチ：使用可能な誤答を維持し、弱い誤答を因果逆転・隣接概念へ置換。正答位置は維持。</x:v>
      </x:c>
    </x:row>
    <x:row r="116" ht="84" customHeight="1">
      <x:c r="A116" s="164" t="str">
        <x:v>LO1-035</x:v>
      </x:c>
      <x:c r="B116" s="171" t="str">
        <x:v>LO1</x:v>
      </x:c>
      <x:c r="C116" s="165" t="str">
        <x:v>ブドウ畑・ワイナリーの自然要因と人的要因</x:v>
      </x:c>
      <x:c r="D116" s="165" t="str">
        <x:v>雹対策</x:v>
      </x:c>
      <x:c r="E116" s="165" t="str">
        <x:v>雹害の多い地域で防雹ネットを設置する際の主なトレードオフはどれか。</x:v>
      </x:c>
      <x:c r="F116" s="165" t="str">
        <x:v>ネットで日射が増え、成熟が早まる一方、設置費がかかる</x:v>
      </x:c>
      <x:c r="G116" s="165" t="str">
        <x:v>ネットが日射と風を遮るほど、果房の病害リスクも低下する</x:v>
      </x:c>
      <x:c r="H116" s="165" t="str">
        <x:v>雹害を減らせる一方、遮光・通風・作業性へ影響し費用がかかる</x:v>
      </x:c>
      <x:c r="I116" s="165" t="str">
        <x:v>ネットが雨の大部分を遮るため、干ばつリスクが増える</x:v>
      </x:c>
      <x:c r="J116" s="171" t="str">
        <x:v>C</x:v>
      </x:c>
      <x:c r="K116" s="165" t="str">
        <x:v>雹害を減らせる一方、遮光・通風・作業性へ影響し費用がかかる</x:v>
      </x:c>
      <x:c r="L116" s="165" t="str">
        <x:v>正しい。防雹ネットは果房と新梢を保護するが、設置費、機械作業、光と風通しへの影響を伴う。</x:v>
      </x:c>
      <x:c r="M116" s="165" t="str">
        <x:v>誤り。ネットは通常、日射をわずかに遮る可能性がある。</x:v>
      </x:c>
      <x:c r="N116" s="165" t="str">
        <x:v>誤り。過度な遮光と通風低下は、湿度を高めて病害リスクを増やす場合がある。</x:v>
      </x:c>
      <x:c r="O116" s="165" t="str">
        <x:v>正しい。防雹ネットは果房と新梢を保護するが、設置費、機械作業、光と風通しへの影響を伴う。</x:v>
      </x:c>
      <x:c r="P116" s="165" t="str">
        <x:v>誤り。防雹ネットは雨を完全に防ぐ屋根ではない。</x:v>
      </x:c>
      <x:c r="Q116" s="165" t="str">
        <x:v>人的要因（畑）</x:v>
      </x:c>
      <x:c r="R116" s="165" t="str">
        <x:v>気象災害・雹</x:v>
      </x:c>
      <x:c r="S116" s="165" t="str">
        <x:v>非発泡性ワイン</x:v>
      </x:c>
      <x:c r="T116" s="165"/>
      <x:c r="U116" s="165"/>
      <x:c r="V116" s="165"/>
      <x:c r="W116" s="165" t="str">
        <x:v>統合判断</x:v>
      </x:c>
      <x:c r="X116" s="171" t="str">
        <x:v>D3</x:v>
      </x:c>
      <x:c r="Y116" s="165" t="str">
        <x:v>防雹ネットで日射が増える; 防雹ネットの遮光・通風低下で病害が減る; 防雹ネットは雨を完全遮断</x:v>
      </x:c>
      <x:c r="Z116" s="171" t="str">
        <x:v>N</x:v>
      </x:c>
      <x:c r="AA116" s="165"/>
      <x:c r="AB116" s="165" t="str">
        <x:v>オリジナル</x:v>
      </x:c>
      <x:c r="AC116" s="165" t="str">
        <x:v>公式Specificationの範囲＋ユーザー作成コーパスの論点と問題設計例を参考に独自作成</x:v>
      </x:c>
      <x:c r="AD116" s="171" t="str">
        <x:v>改稿済み・専門家未承認</x:v>
      </x:c>
      <x:c r="AE116" s="171" t="str">
        <x:v>AI誤答レビュー</x:v>
      </x:c>
      <x:c r="AF116" s="171" t="str">
        <x:v>2026-07-12</x:v>
      </x:c>
      <x:c r="AG116" s="166" t="str">
        <x:v>第4バッチ：同一論点内の典型的誤概念へ置換。正答位置は維持。</x:v>
      </x:c>
    </x:row>
    <x:row r="117" ht="84" customHeight="1">
      <x:c r="A117" s="164" t="str">
        <x:v>LO1-036</x:v>
      </x:c>
      <x:c r="B117" s="171" t="str">
        <x:v>LO1</x:v>
      </x:c>
      <x:c r="C117" s="165" t="str">
        <x:v>ブドウ畑・ワイナリーの自然要因と人的要因</x:v>
      </x:c>
      <x:c r="D117" s="165" t="str">
        <x:v>ウィンドマシーン</x:v>
      </x:c>
      <x:c r="E117" s="165" t="str">
        <x:v>ウィンドマシーンが放射霜への対策として有効になり得る理由はどれか。</x:v>
      </x:c>
      <x:c r="F117" s="165" t="str">
        <x:v>強い寒気が流入する移流霜でも、十分な暖気を作り出すため</x:v>
      </x:c>
      <x:c r="G117" s="165" t="str">
        <x:v>土壌を掘り返して根の凍結を防ぐため</x:v>
      </x:c>
      <x:c r="H117" s="165" t="str">
        <x:v>ブドウ樹へ温水を直接散布し、氷を作るため</x:v>
      </x:c>
      <x:c r="I117" s="165" t="str">
        <x:v>地表近くの冷気と上空の比較的暖かい空気を混ぜるため</x:v>
      </x:c>
      <x:c r="J117" s="171" t="str">
        <x:v>D</x:v>
      </x:c>
      <x:c r="K117" s="165" t="str">
        <x:v>地表近くの冷気と上空の比較的暖かい空気を混ぜるため</x:v>
      </x:c>
      <x:c r="L117" s="165" t="str">
        <x:v>正しい。放射霜では温度逆転が生じることがあり、ウィンドマシーンは上空の暖気を地表へ混合して芽の周囲の温度を上げる。</x:v>
      </x:c>
      <x:c r="M117" s="165" t="str">
        <x:v>誤り。移流霜では混合できる暖気層がないことが多く、効果は限定的である。</x:v>
      </x:c>
      <x:c r="N117" s="165" t="str">
        <x:v>誤り。ウィンドマシーンは空気を動かす装置であり、土壌を耕すものではない。</x:v>
      </x:c>
      <x:c r="O117" s="165" t="str">
        <x:v>誤り。温水散布はウィンドマシーンの作用ではなく、スプリンクラーによる霜対策と混同している。</x:v>
      </x:c>
      <x:c r="P117" s="165" t="str">
        <x:v>正しい。放射霜では温度逆転が生じることがあり、ウィンドマシーンは上空の暖気を地表へ混合して芽の周囲の温度を上げる。</x:v>
      </x:c>
      <x:c r="Q117" s="165" t="str">
        <x:v>人的要因（畑）</x:v>
      </x:c>
      <x:c r="R117" s="165" t="str">
        <x:v>霜害・ウィンドマシーン</x:v>
      </x:c>
      <x:c r="S117" s="165" t="str">
        <x:v>非発泡性ワイン</x:v>
      </x:c>
      <x:c r="T117" s="165"/>
      <x:c r="U117" s="165"/>
      <x:c r="V117" s="165"/>
      <x:c r="W117" s="165" t="str">
        <x:v>因果説明</x:v>
      </x:c>
      <x:c r="X117" s="171" t="str">
        <x:v>D2</x:v>
      </x:c>
      <x:c r="Y117" s="165" t="str">
        <x:v>ウィンドマシーンについて関連要因を主因とみなす; ウィンドマシーンについて関連要因を主因とみなす; ウィンドマシーンについて関連要因を主因とみなす</x:v>
      </x:c>
      <x:c r="Z117" s="171" t="str">
        <x:v>N</x:v>
      </x:c>
      <x:c r="AA117" s="165"/>
      <x:c r="AB117" s="165" t="str">
        <x:v>オリジナル</x:v>
      </x:c>
      <x:c r="AC117" s="165" t="str">
        <x:v>公式Specificationの範囲＋ユーザー作成コーパスの論点と問題設計例を参考に独自作成</x:v>
      </x:c>
      <x:c r="AD117" s="171" t="str">
        <x:v>改稿済み・専門家未承認</x:v>
      </x:c>
      <x:c r="AE117" s="171" t="str">
        <x:v>AI誤答レビュー</x:v>
      </x:c>
      <x:c r="AF117" s="171" t="str">
        <x:v>2026-07-12</x:v>
      </x:c>
      <x:c r="AG117" s="166" t="str">
        <x:v>第5バッチ：使用可能な誤答を維持し、弱い誤答を因果逆転・隣接概念へ置換。正答位置は維持。</x:v>
      </x:c>
    </x:row>
    <x:row r="118" ht="84" customHeight="1">
      <x:c r="A118" s="164" t="str">
        <x:v>LO1-037</x:v>
      </x:c>
      <x:c r="B118" s="171" t="str">
        <x:v>LO1</x:v>
      </x:c>
      <x:c r="C118" s="165" t="str">
        <x:v>ブドウ畑・ワイナリーの自然要因と人的要因</x:v>
      </x:c>
      <x:c r="D118" s="165" t="str">
        <x:v>冬季凍害対策</x:v>
      </x:c>
      <x:c r="E118" s="165" t="str">
        <x:v>冬に厳しい凍結が起こる地域で、接ぎ木部分の周囲へ土を盛る主な目的はどれか。</x:v>
      </x:c>
      <x:c r="F118" s="165" t="str">
        <x:v>接ぎ木部分を断熱し、凍結による損傷から守る</x:v>
      </x:c>
      <x:c r="G118" s="165" t="str">
        <x:v>根に酸素を与えないことで、糖度を上げる</x:v>
      </x:c>
      <x:c r="H118" s="165" t="str">
        <x:v>土壌中のフィロキセラを多く窒息させる</x:v>
      </x:c>
      <x:c r="I118" s="165" t="str">
        <x:v>果房を日光から遮り、収穫を遅らせる</x:v>
      </x:c>
      <x:c r="J118" s="171" t="str">
        <x:v>A</x:v>
      </x:c>
      <x:c r="K118" s="165" t="str">
        <x:v>接ぎ木部分を断熱し、凍結による損傷から守る</x:v>
      </x:c>
      <x:c r="L118" s="165" t="str">
        <x:v>正しい。土寄せは接ぎ木部分と幹の下部を低温から保護し、地上部が損傷した場合にも穂木側から再生できる可能性を高める。</x:v>
      </x:c>
      <x:c r="M118" s="165" t="str">
        <x:v>正しい。土寄せは接ぎ木部分と幹の下部を低温から保護し、地上部が損傷した場合にも穂木側から再生できる可能性を高める。</x:v>
      </x:c>
      <x:c r="N118" s="165" t="str">
        <x:v>誤り。根の酸素不足は健全な生育を損ない、糖度を高める栽培技術ではない。</x:v>
      </x:c>
      <x:c r="O118" s="165" t="str">
        <x:v>誤り。土寄せでフィロキセラを根絶できず、抵抗性台木が主要対策である。</x:v>
      </x:c>
      <x:c r="P118" s="165" t="str">
        <x:v>誤り。土寄せは冬季の接ぎ木部分を守る対策で、成熟期の果房を遮光する方法ではない。</x:v>
      </x:c>
      <x:c r="Q118" s="165" t="str">
        <x:v>人的要因（畑）</x:v>
      </x:c>
      <x:c r="R118" s="165" t="str">
        <x:v>冬季凍害・土寄せ</x:v>
      </x:c>
      <x:c r="S118" s="165" t="str">
        <x:v>非発泡性ワイン</x:v>
      </x:c>
      <x:c r="T118" s="165"/>
      <x:c r="U118" s="165"/>
      <x:c r="V118" s="165"/>
      <x:c r="W118" s="165" t="str">
        <x:v>知識確認</x:v>
      </x:c>
      <x:c r="X118" s="171" t="str">
        <x:v>D1</x:v>
      </x:c>
      <x:c r="Y118" s="165" t="str">
        <x:v>冬季凍害対策について関連要因を主因とみなす; 冬季凍害対策について関連要因を主因とみなす; 冬季凍害対策について関連要因を主因とみなす</x:v>
      </x:c>
      <x:c r="Z118" s="171" t="str">
        <x:v>N</x:v>
      </x:c>
      <x:c r="AA118" s="165"/>
      <x:c r="AB118" s="165" t="str">
        <x:v>オリジナル</x:v>
      </x:c>
      <x:c r="AC118" s="165" t="str">
        <x:v>公式Specificationの範囲＋ユーザー作成コーパスの論点と問題設計例を参考に独自作成</x:v>
      </x:c>
      <x:c r="AD118" s="171" t="str">
        <x:v>改稿済み・専門家未承認</x:v>
      </x:c>
      <x:c r="AE118" s="171" t="str">
        <x:v>AI誤答レビュー</x:v>
      </x:c>
      <x:c r="AF118" s="171" t="str">
        <x:v>2026-07-12</x:v>
      </x:c>
      <x:c r="AG118" s="166" t="str">
        <x:v>第5バッチ：使用可能な誤答を維持し、弱い誤答を因果逆転・隣接概念へ置換。正答位置は維持。</x:v>
      </x:c>
    </x:row>
    <x:row r="119" ht="84" customHeight="1">
      <x:c r="A119" s="164" t="str">
        <x:v>LO1-038</x:v>
      </x:c>
      <x:c r="B119" s="171" t="str">
        <x:v>LO1</x:v>
      </x:c>
      <x:c r="C119" s="165" t="str">
        <x:v>ブドウ畑・ワイナリーの自然要因と人的要因</x:v>
      </x:c>
      <x:c r="D119" s="165" t="str">
        <x:v>点滴灌漑</x:v>
      </x:c>
      <x:c r="E119" s="165" t="str">
        <x:v>点滴灌漑が乾燥地域で水資源の効率的な利用に適する主な理由はどれか。</x:v>
      </x:c>
      <x:c r="F119" s="165" t="str">
        <x:v>畑全体を深く冠水させ、地下水位を常に上げる</x:v>
      </x:c>
      <x:c r="G119" s="165" t="str">
        <x:v>必要な量の水を根域へゆっくり直接供給し、蒸発と流出を抑えられる</x:v>
      </x:c>
      <x:c r="H119" s="165" t="str">
        <x:v>葉へ大量の水を散布し、蒸発冷却だけを目的とする</x:v>
      </x:c>
      <x:c r="I119" s="165" t="str">
        <x:v>降雨量を増やし、灌漑設備を翌年から不要にする</x:v>
      </x:c>
      <x:c r="J119" s="171" t="str">
        <x:v>B</x:v>
      </x:c>
      <x:c r="K119" s="165" t="str">
        <x:v>必要な量の水を根域へゆっくり直接供給し、蒸発と流出を抑えられる</x:v>
      </x:c>
      <x:c r="L119" s="165" t="str">
        <x:v>正しい。点滴灌漑は水量とタイミングを細かく管理でき、葉や列間を広く濡らさず根域へ供給するため、水利用効率が高い。</x:v>
      </x:c>
      <x:c r="M119" s="165" t="str">
        <x:v>誤り。これは洪水灌漑に近い説明であり、点滴灌漑の方法ではない。</x:v>
      </x:c>
      <x:c r="N119" s="165" t="str">
        <x:v>正しい。点滴灌漑は水量とタイミングを細かく管理でき、葉や列間を広く濡らさず根域へ供給するため、水利用効率が高い。</x:v>
      </x:c>
      <x:c r="O119" s="165" t="str">
        <x:v>誤り。これはスプリンクラーの説明で、点滴灌漑は主に根域へ水を供給する。</x:v>
      </x:c>
      <x:c r="P119" s="165" t="str">
        <x:v>誤り。灌漑は降雨そのものを増やさず、設備の必要性は気候と水管理によって続く。</x:v>
      </x:c>
      <x:c r="Q119" s="165" t="str">
        <x:v>人的要因（畑）</x:v>
      </x:c>
      <x:c r="R119" s="165" t="str">
        <x:v>灌漑・点滴</x:v>
      </x:c>
      <x:c r="S119" s="165" t="str">
        <x:v>非発泡性ワイン</x:v>
      </x:c>
      <x:c r="T119" s="165"/>
      <x:c r="U119" s="165"/>
      <x:c r="V119" s="165"/>
      <x:c r="W119" s="165" t="str">
        <x:v>因果説明</x:v>
      </x:c>
      <x:c r="X119" s="171" t="str">
        <x:v>D1</x:v>
      </x:c>
      <x:c r="Y119" s="165" t="str">
        <x:v>点滴灌漑に関する別の特徴・要因と混同; 点滴灌漑に関する別の特徴・要因と混同; 点滴灌漑に関する別の特徴・要因と混同</x:v>
      </x:c>
      <x:c r="Z119" s="171" t="str">
        <x:v>N</x:v>
      </x:c>
      <x:c r="AA119" s="165"/>
      <x:c r="AB119" s="165" t="str">
        <x:v>オリジナル</x:v>
      </x:c>
      <x:c r="AC119" s="165" t="str">
        <x:v>公式Specificationの範囲＋ユーザー作成コーパスの論点と問題設計例を参考に独自作成</x:v>
      </x:c>
      <x:c r="AD119" s="171" t="str">
        <x:v>改稿済み・専門家未承認</x:v>
      </x:c>
      <x:c r="AE119" s="171" t="str">
        <x:v>AI誤答レビュー</x:v>
      </x:c>
      <x:c r="AF119" s="171" t="str">
        <x:v>2026-07-12</x:v>
      </x:c>
      <x:c r="AG119" s="166" t="str">
        <x:v>最終バッチ：有効な誤答を維持し、絶対語・物理的不可能な誤答のみ置換。正答位置は維持。</x:v>
      </x:c>
    </x:row>
    <x:row r="120" ht="84" customHeight="1">
      <x:c r="A120" s="164" t="str">
        <x:v>LO1-039</x:v>
      </x:c>
      <x:c r="B120" s="171" t="str">
        <x:v>LO1</x:v>
      </x:c>
      <x:c r="C120" s="165" t="str">
        <x:v>ブドウ畑・ワイナリーの自然要因と人的要因</x:v>
      </x:c>
      <x:c r="D120" s="165" t="str">
        <x:v>フィロキセラ</x:v>
      </x:c>
      <x:c r="E120" s="165" t="str">
        <x:v>フィロキセラが存在する地域で、Vitis viniferaを抵抗性台木へ接ぎ木する理由はどれか。</x:v>
      </x:c>
      <x:c r="F120" s="165" t="str">
        <x:v>台木が果実を作り、穂木は根だけを供給するため</x:v>
      </x:c>
      <x:c r="G120" s="165" t="str">
        <x:v>接ぎ木によって畑の気温を下げ、害虫を凍らせるため</x:v>
      </x:c>
      <x:c r="H120" s="165" t="str">
        <x:v>台木の根が害虫の被害に耐え、穂木から望む品種の果実を得られるため</x:v>
      </x:c>
      <x:c r="I120" s="165" t="str">
        <x:v>Vitis viniferaの果皮を厚くして、鳥害だけを防ぐため</x:v>
      </x:c>
      <x:c r="J120" s="171" t="str">
        <x:v>C</x:v>
      </x:c>
      <x:c r="K120" s="165" t="str">
        <x:v>台木の根が害虫の被害に耐え、穂木から望む品種の果実を得られるため</x:v>
      </x:c>
      <x:c r="L120" s="165" t="str">
        <x:v>正しい。抵抗性を持つアメリカ系ブドウ種由来の台木が根を守り、その上に接いだVitis vinifera品種が目的のワイン用ブドウを生産する。</x:v>
      </x:c>
      <x:c r="M120" s="165" t="str">
        <x:v>誤り。役割が逆であり、通常は台木が根を、穂木が地上部と果実を担う。</x:v>
      </x:c>
      <x:c r="N120" s="165" t="str">
        <x:v>誤り。接ぎ木は気温を変える方法ではなく、根の抵抗性を利用する。</x:v>
      </x:c>
      <x:c r="O120" s="165" t="str">
        <x:v>正しい。抵抗性を持つアメリカ系ブドウ種由来の台木が根を守り、その上に接いだVitis vinifera品種が目的のワイン用ブドウを生産する。</x:v>
      </x:c>
      <x:c r="P120" s="165" t="str">
        <x:v>誤り。フィロキセラは主に根へ被害を与え、接ぎ木の目的は鳥害対策ではない。</x:v>
      </x:c>
      <x:c r="Q120" s="165" t="str">
        <x:v>人的要因（畑）</x:v>
      </x:c>
      <x:c r="R120" s="165" t="str">
        <x:v>害虫・フィロキセラ</x:v>
      </x:c>
      <x:c r="S120" s="165" t="str">
        <x:v>非発泡性ワイン</x:v>
      </x:c>
      <x:c r="T120" s="165"/>
      <x:c r="U120" s="165"/>
      <x:c r="V120" s="165"/>
      <x:c r="W120" s="165" t="str">
        <x:v>知識確認</x:v>
      </x:c>
      <x:c r="X120" s="171" t="str">
        <x:v>D1</x:v>
      </x:c>
      <x:c r="Y120" s="165" t="str">
        <x:v>フィロキセラに関する別の特徴・要因と混同; フィロキセラに関する別の特徴・要因と混同; フィロキセラに関する別の特徴・要因と混同</x:v>
      </x:c>
      <x:c r="Z120" s="171" t="str">
        <x:v>N</x:v>
      </x:c>
      <x:c r="AA120" s="165"/>
      <x:c r="AB120" s="165" t="str">
        <x:v>オリジナル</x:v>
      </x:c>
      <x:c r="AC120" s="165" t="str">
        <x:v>公式Specificationの範囲＋ユーザー作成コーパスの論点と問題設計例を参考に独自作成</x:v>
      </x:c>
      <x:c r="AD120" s="171" t="str">
        <x:v>改稿済み・専門家未承認</x:v>
      </x:c>
      <x:c r="AE120" s="171" t="str">
        <x:v>AI誤答レビュー</x:v>
      </x:c>
      <x:c r="AF120" s="171" t="str">
        <x:v>2026-07-12</x:v>
      </x:c>
      <x:c r="AG120" s="166" t="str">
        <x:v>最終バッチ：有効な誤答を維持し、絶対語・物理的不可能な誤答のみ置換。正答位置は維持。</x:v>
      </x:c>
    </x:row>
    <x:row r="121" ht="84" customHeight="1">
      <x:c r="A121" s="164" t="str">
        <x:v>LO1-040</x:v>
      </x:c>
      <x:c r="B121" s="171" t="str">
        <x:v>LO1</x:v>
      </x:c>
      <x:c r="C121" s="165" t="str">
        <x:v>ブドウ畑・ワイナリーの自然要因と人的要因</x:v>
      </x:c>
      <x:c r="D121" s="165" t="str">
        <x:v>菌類病管理</x:v>
      </x:c>
      <x:c r="E121" s="165" t="str">
        <x:v>雨の多い生育期に菌類病を管理する方法の組み合わせとして最も適切なものはどれか。</x:v>
      </x:c>
      <x:c r="F121" s="165" t="str">
        <x:v>感染した果房を健全な果房へ混ぜ、抵抗性を移す</x:v>
      </x:c>
      <x:c r="G121" s="165" t="str">
        <x:v>樹冠を密にして、日光と風を大きく遮る</x:v>
      </x:c>
      <x:c r="H121" s="165" t="str">
        <x:v>灌漑量を増やし、葉を一日中濡らしておく</x:v>
      </x:c>
      <x:c r="I121" s="165" t="str">
        <x:v>キャノピーの通風を改善し、必要に応じて適切な殺菌剤を用いる</x:v>
      </x:c>
      <x:c r="J121" s="171" t="str">
        <x:v>D</x:v>
      </x:c>
      <x:c r="K121" s="165" t="str">
        <x:v>キャノピーの通風を改善し、必要に応じて適切な殺菌剤を用いる</x:v>
      </x:c>
      <x:c r="L121" s="165" t="str">
        <x:v>正しい。葉と果房が速く乾くようにキャノピーを管理し、感染リスクに応じた防除を行うことで、べと病やうどんこ病などの被害を抑える。</x:v>
      </x:c>
      <x:c r="M121" s="165" t="str">
        <x:v>誤り。病害抵抗性は果房を混ぜることで移らず、感染源の除去が必要な場合もある。</x:v>
      </x:c>
      <x:c r="N121" s="165" t="str">
        <x:v>誤り。密な樹冠は湿度を高め、葉や果房が乾きにくくなる。</x:v>
      </x:c>
      <x:c r="O121" s="165" t="str">
        <x:v>誤り。長時間の湿潤は多くの菌類病の感染を助けるため、一般に逆効果となる。</x:v>
      </x:c>
      <x:c r="P121" s="165" t="str">
        <x:v>正しい。葉と果房が速く乾くようにキャノピーを管理し、感染リスクに応じた防除を行うことで、べと病やうどんこ病などの被害を抑える。</x:v>
      </x:c>
      <x:c r="Q121" s="165" t="str">
        <x:v>人的要因（畑）</x:v>
      </x:c>
      <x:c r="R121" s="165" t="str">
        <x:v>病害・菌類病</x:v>
      </x:c>
      <x:c r="S121" s="165" t="str">
        <x:v>非発泡性ワイン</x:v>
      </x:c>
      <x:c r="T121" s="165"/>
      <x:c r="U121" s="165"/>
      <x:c r="V121" s="165"/>
      <x:c r="W121" s="165" t="str">
        <x:v>適用</x:v>
      </x:c>
      <x:c r="X121" s="171" t="str">
        <x:v>D2</x:v>
      </x:c>
      <x:c r="Y121" s="165" t="str">
        <x:v>菌類病管理について関連要因を主因とみなす; 菌類病管理について関連要因を主因とみなす; 菌類病管理について関連要因を主因とみなす</x:v>
      </x:c>
      <x:c r="Z121" s="171" t="str">
        <x:v>N</x:v>
      </x:c>
      <x:c r="AA121" s="165"/>
      <x:c r="AB121" s="165" t="str">
        <x:v>オリジナル</x:v>
      </x:c>
      <x:c r="AC121" s="165" t="str">
        <x:v>公式Specificationの範囲＋ユーザー作成コーパスの論点と問題設計例を参考に独自作成</x:v>
      </x:c>
      <x:c r="AD121" s="171" t="str">
        <x:v>改稿済み・専門家未承認</x:v>
      </x:c>
      <x:c r="AE121" s="171" t="str">
        <x:v>AI誤答レビュー</x:v>
      </x:c>
      <x:c r="AF121" s="171" t="str">
        <x:v>2026-07-12</x:v>
      </x:c>
      <x:c r="AG121" s="166" t="str">
        <x:v>第5バッチ：使用可能な誤答を維持し、弱い誤答を因果逆転・隣接概念へ置換。正答位置は維持。</x:v>
      </x:c>
    </x:row>
    <x:row r="122" ht="84" customHeight="1">
      <x:c r="A122" s="164" t="str">
        <x:v>LO1-041</x:v>
      </x:c>
      <x:c r="B122" s="171" t="str">
        <x:v>LO1</x:v>
      </x:c>
      <x:c r="C122" s="165" t="str">
        <x:v>ブドウ畑・ワイナリーの自然要因と人的要因</x:v>
      </x:c>
      <x:c r="D122" s="165" t="str">
        <x:v>ウイルス・細菌病</x:v>
      </x:c>
      <x:c r="E122" s="165" t="str">
        <x:v>ブドウ樹のウイルス病や一部の細菌病が畑で確認された場合の基本的な対応はどれか。</x:v>
      </x:c>
      <x:c r="F122" s="165" t="str">
        <x:v>感染株を除去し、健全な植栽材料と衛生管理で再感染を防ぐ</x:v>
      </x:c>
      <x:c r="G122" s="165" t="str">
        <x:v>葉を水で洗えば、根や木部の病原体も大きく除去できる</x:v>
      </x:c>
      <x:c r="H122" s="165" t="str">
        <x:v>感染株を剪定せず放置し、自然に免疫がつくのを待つ</x:v>
      </x:c>
      <x:c r="I122" s="165" t="str">
        <x:v>収穫後にワインへ糖を加え、樹を治療する</x:v>
      </x:c>
      <x:c r="J122" s="171" t="str">
        <x:v>A</x:v>
      </x:c>
      <x:c r="K122" s="165" t="str">
        <x:v>感染株を除去し、健全な植栽材料と衛生管理で再感染を防ぐ</x:v>
      </x:c>
      <x:c r="L122" s="165" t="str">
        <x:v>正しい。ウイルスや一部の細菌病には感染後の有効な治療がないため、感染株の除去、認証苗の利用、媒介者や器具の衛生管理が重要である。</x:v>
      </x:c>
      <x:c r="M122" s="165" t="str">
        <x:v>正しい。ウイルスや一部の細菌病には感染後の有効な治療がないため、感染株の除去、認証苗の利用、媒介者や器具の衛生管理が重要である。</x:v>
      </x:c>
      <x:c r="N122" s="165" t="str">
        <x:v>誤り。表面洗浄だけでは植物体内のウイルスや細菌を除去できない。</x:v>
      </x:c>
      <x:c r="O122" s="165" t="str">
        <x:v>誤り。感染株が感染源となる可能性があり、自然治癒を期待する方法は適切でない。</x:v>
      </x:c>
      <x:c r="P122" s="165" t="str">
        <x:v>誤り。ワインへの調整は畑の感染株を治療せず、病原体の管理と無関係である。</x:v>
      </x:c>
      <x:c r="Q122" s="165" t="str">
        <x:v>人的要因（畑）</x:v>
      </x:c>
      <x:c r="R122" s="165" t="str">
        <x:v>病害・ウイルス細菌</x:v>
      </x:c>
      <x:c r="S122" s="165" t="str">
        <x:v>非発泡性ワイン</x:v>
      </x:c>
      <x:c r="T122" s="165"/>
      <x:c r="U122" s="165"/>
      <x:c r="V122" s="165"/>
      <x:c r="W122" s="165" t="str">
        <x:v>適用</x:v>
      </x:c>
      <x:c r="X122" s="171" t="str">
        <x:v>D2</x:v>
      </x:c>
      <x:c r="Y122" s="165" t="str">
        <x:v>ウイルス・細菌病について関連要因を主因とみなす; ウイルス・細菌病について関連要因を主因とみなす; ウイルス・細菌病について関連要因を主因とみなす</x:v>
      </x:c>
      <x:c r="Z122" s="171" t="str">
        <x:v>N</x:v>
      </x:c>
      <x:c r="AA122" s="165"/>
      <x:c r="AB122" s="165" t="str">
        <x:v>オリジナル</x:v>
      </x:c>
      <x:c r="AC122" s="165" t="str">
        <x:v>公式Specificationの範囲＋ユーザー作成コーパスの論点と問題設計例を参考に独自作成</x:v>
      </x:c>
      <x:c r="AD122" s="171" t="str">
        <x:v>改稿済み・専門家未承認</x:v>
      </x:c>
      <x:c r="AE122" s="171" t="str">
        <x:v>AI誤答レビュー</x:v>
      </x:c>
      <x:c r="AF122" s="171" t="str">
        <x:v>2026-07-12</x:v>
      </x:c>
      <x:c r="AG122" s="166" t="str">
        <x:v>第5バッチ：使用可能な誤答を維持し、弱い誤答を因果逆転・隣接概念へ置換。正答位置は維持。</x:v>
      </x:c>
    </x:row>
    <x:row r="123" ht="84" customHeight="1">
      <x:c r="A123" s="164" t="str">
        <x:v>LO1-042</x:v>
      </x:c>
      <x:c r="B123" s="171" t="str">
        <x:v>LO1</x:v>
      </x:c>
      <x:c r="C123" s="165" t="str">
        <x:v>ブドウ畑・ワイナリーの自然要因と人的要因</x:v>
      </x:c>
      <x:c r="D123" s="165" t="str">
        <x:v>有機栽培とビオディナミ</x:v>
      </x:c>
      <x:c r="E123" s="165" t="str">
        <x:v>ビオディナミ農法を有機栽培と比較した説明として最も適切なものはどれか。</x:v>
      </x:c>
      <x:c r="F123" s="165" t="str">
        <x:v>ワイナリーでの発酵方法だけを定め、畑の管理には関係しない</x:v>
      </x:c>
      <x:c r="G123" s="165" t="str">
        <x:v>有機栽培の考え方に加え、農場を一つの生態系として扱い、調合剤や暦を用いることがある</x:v>
      </x:c>
      <x:c r="H123" s="165" t="str">
        <x:v>畑での作業をやめ、自然任せにする方式である</x:v>
      </x:c>
      <x:c r="I123" s="165" t="str">
        <x:v>合成除草剤と殺虫剤を多量に使用する方式である</x:v>
      </x:c>
      <x:c r="J123" s="171" t="str">
        <x:v>B</x:v>
      </x:c>
      <x:c r="K123" s="165" t="str">
        <x:v>有機栽培の考え方に加え、農場を一つの生態系として扱い、調合剤や暦を用いることがある</x:v>
      </x:c>
      <x:c r="L123" s="165" t="str">
        <x:v>正しい。ビオディナミは一般に有機栽培の制限を基礎としつつ、農場全体の循環、特定の調合剤、天体暦など独自の実践を加える。</x:v>
      </x:c>
      <x:c r="M123" s="165" t="str">
        <x:v>誤り。ビオディナミは主に農場・畑の管理体系を含み、醸造だけの分類ではない。</x:v>
      </x:c>
      <x:c r="N123" s="165" t="str">
        <x:v>正しい。ビオディナミは一般に有機栽培の制限を基礎としつつ、農場全体の循環、特定の調合剤、天体暦など独自の実践を加える。</x:v>
      </x:c>
      <x:c r="O123" s="165" t="str">
        <x:v>誤り。ビオディナミでも剪定、病害管理、土壌管理など積極的な作業を行う。</x:v>
      </x:c>
      <x:c r="P123" s="165" t="str">
        <x:v>誤り。これは有機・ビオディナミの基本的な方向性と逆である。</x:v>
      </x:c>
      <x:c r="Q123" s="165" t="str">
        <x:v>人的要因（畑）</x:v>
      </x:c>
      <x:c r="R123" s="165" t="str">
        <x:v>栽培アプローチ・ビオディナミ</x:v>
      </x:c>
      <x:c r="S123" s="165" t="str">
        <x:v>非発泡性ワイン</x:v>
      </x:c>
      <x:c r="T123" s="165"/>
      <x:c r="U123" s="165"/>
      <x:c r="V123" s="165"/>
      <x:c r="W123" s="165" t="str">
        <x:v>比較</x:v>
      </x:c>
      <x:c r="X123" s="171" t="str">
        <x:v>D2</x:v>
      </x:c>
      <x:c r="Y123" s="165" t="str">
        <x:v>有機栽培とビオディナミについて関連要因を主因とみなす; 有機栽培とビオディナミについて関連要因を主因とみなす; 有機栽培とビオディナミについて関連要因を主因とみなす</x:v>
      </x:c>
      <x:c r="Z123" s="171" t="str">
        <x:v>Y</x:v>
      </x:c>
      <x:c r="AA123" s="165" t="str">
        <x:v>有機・ビオディナミの認証制度や用語表現は地域差があるため、教材表現との最終照合を推奨</x:v>
      </x:c>
      <x:c r="AB123" s="165" t="str">
        <x:v>オリジナル</x:v>
      </x:c>
      <x:c r="AC123" s="165" t="str">
        <x:v>公式Specificationの範囲＋ユーザー作成コーパスの論点と問題設計例を参考に独自作成</x:v>
      </x:c>
      <x:c r="AD123" s="171" t="str">
        <x:v>改稿済み・専門家未承認</x:v>
      </x:c>
      <x:c r="AE123" s="171" t="str">
        <x:v>AI誤答レビュー</x:v>
      </x:c>
      <x:c r="AF123" s="171" t="str">
        <x:v>2026-07-12</x:v>
      </x:c>
      <x:c r="AG123" s="166" t="str">
        <x:v>第5バッチ：使用可能な誤答を維持し、弱い誤答を因果逆転・隣接概念へ置換。正答位置は維持。</x:v>
      </x:c>
    </x:row>
    <x:row r="124" ht="84" customHeight="1">
      <x:c r="A124" s="164" t="str">
        <x:v>LO1-043</x:v>
      </x:c>
      <x:c r="B124" s="171" t="str">
        <x:v>LO1</x:v>
      </x:c>
      <x:c r="C124" s="165" t="str">
        <x:v>ブドウ畑・ワイナリーの自然要因と人的要因</x:v>
      </x:c>
      <x:c r="D124" s="165" t="str">
        <x:v>持続可能な栽培</x:v>
      </x:c>
      <x:c r="E124" s="165" t="str">
        <x:v>持続可能なブドウ栽培の考え方として最も適切なものはどれか。</x:v>
      </x:c>
      <x:c r="F124" s="165" t="str">
        <x:v>短期的な利益が出れば、土壌の劣化を考慮しない</x:v>
      </x:c>
      <x:c r="G124" s="165" t="str">
        <x:v>多くの農薬と機械の使用を世界共通で禁止する</x:v>
      </x:c>
      <x:c r="H124" s="165" t="str">
        <x:v>環境への影響だけでなく、経済的継続性と働く人・地域社会も考慮する</x:v>
      </x:c>
      <x:c r="I124" s="165" t="str">
        <x:v>収量を最大化することだけを唯一の目標とする</x:v>
      </x:c>
      <x:c r="J124" s="171" t="str">
        <x:v>C</x:v>
      </x:c>
      <x:c r="K124" s="165" t="str">
        <x:v>環境への影響だけでなく、経済的継続性と働く人・地域社会も考慮する</x:v>
      </x:c>
      <x:c r="L124" s="165" t="str">
        <x:v>正しい。持続可能性は環境、経済、社会のバランスを取り、長期的にブドウ栽培を継続できる仕組みを目指す。</x:v>
      </x:c>
      <x:c r="M124" s="165" t="str">
        <x:v>誤り。長期的な生産基盤を守ることが持続可能性の中心であり、土壌劣化を無視しない。</x:v>
      </x:c>
      <x:c r="N124" s="165" t="str">
        <x:v>誤り。持続可能な制度は地域により異なり、一定の資材や機械を条件付きで認める場合がある。</x:v>
      </x:c>
      <x:c r="O124" s="165" t="str">
        <x:v>正しい。持続可能性は環境、経済、社会のバランスを取り、長期的にブドウ栽培を継続できる仕組みを目指す。</x:v>
      </x:c>
      <x:c r="P124" s="165" t="str">
        <x:v>誤り。収量だけでなく資源利用、土壌、生物多様性、労働、経済性などを総合的に考える。</x:v>
      </x:c>
      <x:c r="Q124" s="165" t="str">
        <x:v>人的要因（畑）</x:v>
      </x:c>
      <x:c r="R124" s="165" t="str">
        <x:v>栽培アプローチ・持続可能性</x:v>
      </x:c>
      <x:c r="S124" s="165" t="str">
        <x:v>非発泡性ワイン</x:v>
      </x:c>
      <x:c r="T124" s="165"/>
      <x:c r="U124" s="165"/>
      <x:c r="V124" s="165"/>
      <x:c r="W124" s="165" t="str">
        <x:v>統合判断</x:v>
      </x:c>
      <x:c r="X124" s="171" t="str">
        <x:v>D2</x:v>
      </x:c>
      <x:c r="Y124" s="165" t="str">
        <x:v>持続可能な栽培について関連要因を主因とみなす; 持続可能な栽培について関連要因を主因とみなす; 持続可能な栽培について関連要因を主因とみなす</x:v>
      </x:c>
      <x:c r="Z124" s="171" t="str">
        <x:v>N</x:v>
      </x:c>
      <x:c r="AA124" s="165"/>
      <x:c r="AB124" s="165" t="str">
        <x:v>オリジナル</x:v>
      </x:c>
      <x:c r="AC124" s="165" t="str">
        <x:v>公式Specificationの範囲＋ユーザー作成コーパスの論点と問題設計例を参考に独自作成</x:v>
      </x:c>
      <x:c r="AD124" s="171" t="str">
        <x:v>改稿済み・専門家未承認</x:v>
      </x:c>
      <x:c r="AE124" s="171" t="str">
        <x:v>AI誤答レビュー</x:v>
      </x:c>
      <x:c r="AF124" s="171" t="str">
        <x:v>2026-07-12</x:v>
      </x:c>
      <x:c r="AG124" s="166" t="str">
        <x:v>第5バッチ：使用可能な誤答を維持し、弱い誤答を因果逆転・隣接概念へ置換。正答位置は維持。</x:v>
      </x:c>
    </x:row>
    <x:row r="125" ht="84" customHeight="1">
      <x:c r="A125" s="164" t="str">
        <x:v>LO1-044</x:v>
      </x:c>
      <x:c r="B125" s="171" t="str">
        <x:v>LO1</x:v>
      </x:c>
      <x:c r="C125" s="165" t="str">
        <x:v>ブドウ畑・ワイナリーの自然要因と人的要因</x:v>
      </x:c>
      <x:c r="D125" s="165" t="str">
        <x:v>収穫後のブドウ乾燥</x:v>
      </x:c>
      <x:c r="E125" s="165" t="str">
        <x:v>収穫後にブドウを乾燥させてワインを造る場合、品質と価格に生じやすい影響はどれか。</x:v>
      </x:c>
      <x:c r="F125" s="165" t="str">
        <x:v>水分が増えるため果汁量が多くなり、価格は下がりやすい</x:v>
      </x:c>
      <x:c r="G125" s="165" t="str">
        <x:v>酸と糖が同じ比率で減少するため、軽いワインになる</x:v>
      </x:c>
      <x:c r="H125" s="165" t="str">
        <x:v>乾燥により発酵が不要となり、ワインを直接圧搾・瓶詰めできる</x:v>
      </x:c>
      <x:c r="I125" s="165" t="str">
        <x:v>糖、酸、風味が濃縮し得る一方、得られる果汁量が減り、手間とコストが増える</x:v>
      </x:c>
      <x:c r="J125" s="171" t="str">
        <x:v>D</x:v>
      </x:c>
      <x:c r="K125" s="165" t="str">
        <x:v>糖、酸、風味が濃縮し得る一方、得られる果汁量が減り、手間とコストが増える</x:v>
      </x:c>
      <x:c r="L125" s="165" t="str">
        <x:v>正しい。水分が失われることで成分が濃縮するが、腐敗を避けた乾燥管理が必要で、同じ重量のブドウから得られるワイン量も少なくなる。</x:v>
      </x:c>
      <x:c r="M125" s="165" t="str">
        <x:v>誤り。乾燥では水分が失われ、果汁収量は低下する。</x:v>
      </x:c>
      <x:c r="N125" s="165" t="str">
        <x:v>誤り。糖と風味は濃縮し、酸の変化は方法と品種で異なる。</x:v>
      </x:c>
      <x:c r="O125" s="165" t="str">
        <x:v>誤り。濃縮果汁もアルコール発酵が必要である。</x:v>
      </x:c>
      <x:c r="P125" s="165" t="str">
        <x:v>正しい。水分が失われることで成分が濃縮するが、腐敗を避けた乾燥管理が必要で、同じ重量のブドウから得られるワイン量も少なくなる。</x:v>
      </x:c>
      <x:c r="Q125" s="165" t="str">
        <x:v>人的要因（畑）</x:v>
      </x:c>
      <x:c r="R125" s="165" t="str">
        <x:v>糖分濃縮・収穫後乾燥</x:v>
      </x:c>
      <x:c r="S125" s="165" t="str">
        <x:v>非発泡性ワイン</x:v>
      </x:c>
      <x:c r="T125" s="165"/>
      <x:c r="U125" s="165"/>
      <x:c r="V125" s="165"/>
      <x:c r="W125" s="165" t="str">
        <x:v>統合判断</x:v>
      </x:c>
      <x:c r="X125" s="171" t="str">
        <x:v>D3</x:v>
      </x:c>
      <x:c r="Y125" s="165" t="str">
        <x:v>乾燥で果汁量が増える; 乾燥で糖と酸が同比率低下; 乾燥ブドウは発酵不要</x:v>
      </x:c>
      <x:c r="Z125" s="171" t="str">
        <x:v>N</x:v>
      </x:c>
      <x:c r="AA125" s="165"/>
      <x:c r="AB125" s="165" t="str">
        <x:v>オリジナル</x:v>
      </x:c>
      <x:c r="AC125" s="165" t="str">
        <x:v>公式Specificationの範囲＋ユーザー作成コーパスの論点と問題設計例を参考に独自作成</x:v>
      </x:c>
      <x:c r="AD125" s="171" t="str">
        <x:v>改稿済み・専門家未承認</x:v>
      </x:c>
      <x:c r="AE125" s="171" t="str">
        <x:v>AI誤答レビュー</x:v>
      </x:c>
      <x:c r="AF125" s="171" t="str">
        <x:v>2026-07-12</x:v>
      </x:c>
      <x:c r="AG125" s="166" t="str">
        <x:v>第4バッチ：同一論点内の典型的誤概念へ置換。正答位置は維持。</x:v>
      </x:c>
    </x:row>
    <x:row r="126" ht="84" customHeight="1">
      <x:c r="A126" s="164" t="str">
        <x:v>LO1-045</x:v>
      </x:c>
      <x:c r="B126" s="171" t="str">
        <x:v>LO1</x:v>
      </x:c>
      <x:c r="C126" s="165" t="str">
        <x:v>ブドウ畑・ワイナリーの自然要因と人的要因</x:v>
      </x:c>
      <x:c r="D126" s="165" t="str">
        <x:v>凍結ブドウ</x:v>
      </x:c>
      <x:c r="E126" s="165" t="str">
        <x:v>樹上で凍結したブドウを凍ったまま圧搾すると、甘い果汁が得られる主な理由はどれか。</x:v>
      </x:c>
      <x:c r="F126" s="165" t="str">
        <x:v>水の多くが氷として圧搾機に残り、糖と酸を含む濃縮果汁が流れ出る</x:v>
      </x:c>
      <x:c r="G126" s="165" t="str">
        <x:v>糖が先に凍結して圧搾機へ残り、水だけが果汁になるため</x:v>
      </x:c>
      <x:c r="H126" s="165" t="str">
        <x:v>凍結中に果実内で糖が新たに生成されるため</x:v>
      </x:c>
      <x:c r="I126" s="165" t="str">
        <x:v>氷が果皮を破り、果皮中の糖だけを抽出できるため</x:v>
      </x:c>
      <x:c r="J126" s="171" t="str">
        <x:v>A</x:v>
      </x:c>
      <x:c r="K126" s="165" t="str">
        <x:v>水の多くが氷として圧搾機に残り、糖と酸を含む濃縮果汁が流れ出る</x:v>
      </x:c>
      <x:c r="L126" s="165" t="str">
        <x:v>正しい。凍結した水分が氷として分離されるため、少量の高糖度・高酸度の果汁が得られるが、収量は非常に低くなる。</x:v>
      </x:c>
      <x:c r="M126" s="165" t="str">
        <x:v>正しい。凍結した水分が氷として分離されるため、少量の高糖度・高酸度の果汁が得られるが、収量は非常に低くなる。</x:v>
      </x:c>
      <x:c r="N126" s="165" t="str">
        <x:v>誤り。主に水が氷として残り、糖は濃縮果汁側へ入る。</x:v>
      </x:c>
      <x:c r="O126" s="165" t="str">
        <x:v>誤り。凍結は糖を生成せず、水分分離で濃縮する。</x:v>
      </x:c>
      <x:c r="P126" s="165" t="str">
        <x:v>誤り。糖は果汁中にあり、果皮糖の選択抽出ではない。</x:v>
      </x:c>
      <x:c r="Q126" s="165" t="str">
        <x:v>人的要因（畑）</x:v>
      </x:c>
      <x:c r="R126" s="165" t="str">
        <x:v>糖分濃縮・凍結</x:v>
      </x:c>
      <x:c r="S126" s="165" t="str">
        <x:v>非発泡性ワイン</x:v>
      </x:c>
      <x:c r="T126" s="165"/>
      <x:c r="U126" s="165"/>
      <x:c r="V126" s="165"/>
      <x:c r="W126" s="165" t="str">
        <x:v>因果説明</x:v>
      </x:c>
      <x:c r="X126" s="171" t="str">
        <x:v>D2</x:v>
      </x:c>
      <x:c r="Y126" s="165" t="str">
        <x:v>凍結分離を逆転; 凍結で糖が生成する; 果皮中の糖だけを抽出</x:v>
      </x:c>
      <x:c r="Z126" s="171" t="str">
        <x:v>N</x:v>
      </x:c>
      <x:c r="AA126" s="165"/>
      <x:c r="AB126" s="165" t="str">
        <x:v>オリジナル</x:v>
      </x:c>
      <x:c r="AC126" s="165" t="str">
        <x:v>公式Specificationの範囲＋ユーザー作成コーパスの論点と問題設計例を参考に独自作成</x:v>
      </x:c>
      <x:c r="AD126" s="171" t="str">
        <x:v>改稿済み・専門家未承認</x:v>
      </x:c>
      <x:c r="AE126" s="171" t="str">
        <x:v>AI誤答レビュー</x:v>
      </x:c>
      <x:c r="AF126" s="171" t="str">
        <x:v>2026-07-12</x:v>
      </x:c>
      <x:c r="AG126" s="166" t="str">
        <x:v>第4バッチ：同一論点内の典型的誤概念へ置換。正答位置は維持。</x:v>
      </x:c>
    </x:row>
    <x:row r="127" ht="84" customHeight="1">
      <x:c r="A127" s="164" t="str">
        <x:v>LO1-046</x:v>
      </x:c>
      <x:c r="B127" s="171" t="str">
        <x:v>LO1</x:v>
      </x:c>
      <x:c r="C127" s="165" t="str">
        <x:v>ブドウ畑・ワイナリーの自然要因と人的要因</x:v>
      </x:c>
      <x:c r="D127" s="165" t="str">
        <x:v>マストの補糖</x:v>
      </x:c>
      <x:c r="E127" s="165" t="str">
        <x:v>補糖（マストの糖分補強）を行う主な目的はどれか。</x:v>
      </x:c>
      <x:c r="F127" s="165" t="str">
        <x:v>タンニンを除去し、色を薄くする</x:v>
      </x:c>
      <x:c r="G127" s="165" t="str">
        <x:v>発酵で生成される最終アルコール度を高める</x:v>
      </x:c>
      <x:c r="H127" s="165" t="str">
        <x:v>酸を増やし、pHを下げる</x:v>
      </x:c>
      <x:c r="I127" s="165" t="str">
        <x:v>完成した辛口ワインを甘口にする</x:v>
      </x:c>
      <x:c r="J127" s="171" t="str">
        <x:v>B</x:v>
      </x:c>
      <x:c r="K127" s="165" t="str">
        <x:v>発酵で生成される最終アルコール度を高める</x:v>
      </x:c>
      <x:c r="L127" s="165" t="str">
        <x:v>正しい。成熟不足の果汁へ発酵可能な糖を加え、酵母にアルコールへ変換させる。通常、目的は甘味を残すことではない。</x:v>
      </x:c>
      <x:c r="M127" s="165" t="str">
        <x:v>誤り。糖の添加はタンニンや色素を除去する工程ではない。</x:v>
      </x:c>
      <x:c r="N127" s="165" t="str">
        <x:v>正しい。成熟不足の果汁へ発酵可能な糖を加え、酵母にアルコールへ変換させる。通常、目的は甘味を残すことではない。</x:v>
      </x:c>
      <x:c r="O127" s="165" t="str">
        <x:v>誤り。酸度調整は酸の添加など別の処理であり、糖の添加は酸を直接増やさない。</x:v>
      </x:c>
      <x:c r="P127" s="165" t="str">
        <x:v>誤り。加えた糖が完全に発酵すれば甘味は残らず、目的は主にアルコール度の調整である。</x:v>
      </x:c>
      <x:c r="Q127" s="165" t="str">
        <x:v>人的要因（ワイナリー）</x:v>
      </x:c>
      <x:c r="R127" s="165" t="str">
        <x:v>マスト調整・補糖</x:v>
      </x:c>
      <x:c r="S127" s="165" t="str">
        <x:v>非発泡性ワイン</x:v>
      </x:c>
      <x:c r="T127" s="165"/>
      <x:c r="U127" s="165"/>
      <x:c r="V127" s="165"/>
      <x:c r="W127" s="165" t="str">
        <x:v>知識確認</x:v>
      </x:c>
      <x:c r="X127" s="171" t="str">
        <x:v>D1</x:v>
      </x:c>
      <x:c r="Y127" s="165" t="str">
        <x:v>マストの補糖について関連要因を主因とみなす; マストの補糖について関連要因を主因とみなす; マストの補糖について関連要因を主因とみなす</x:v>
      </x:c>
      <x:c r="Z127" s="171" t="str">
        <x:v>N</x:v>
      </x:c>
      <x:c r="AA127" s="165"/>
      <x:c r="AB127" s="165" t="str">
        <x:v>オリジナル</x:v>
      </x:c>
      <x:c r="AC127" s="165" t="str">
        <x:v>公式Specificationの範囲＋ユーザー作成コーパスの論点と問題設計例を参考に独自作成</x:v>
      </x:c>
      <x:c r="AD127" s="171" t="str">
        <x:v>改稿済み・専門家未承認</x:v>
      </x:c>
      <x:c r="AE127" s="171" t="str">
        <x:v>AI誤答レビュー</x:v>
      </x:c>
      <x:c r="AF127" s="171" t="str">
        <x:v>2026-07-12</x:v>
      </x:c>
      <x:c r="AG127" s="166" t="str">
        <x:v>第5バッチ：使用可能な誤答を維持し、弱い誤答を因果逆転・隣接概念へ置換。正答位置は維持。</x:v>
      </x:c>
    </x:row>
    <x:row r="128" ht="84" customHeight="1">
      <x:c r="A128" s="164" t="str">
        <x:v>LO1-047</x:v>
      </x:c>
      <x:c r="B128" s="171" t="str">
        <x:v>LO1</x:v>
      </x:c>
      <x:c r="C128" s="165" t="str">
        <x:v>ブドウ畑・ワイナリーの自然要因と人的要因</x:v>
      </x:c>
      <x:c r="D128" s="165" t="str">
        <x:v>酸の添加</x:v>
      </x:c>
      <x:c r="E128" s="165" t="str">
        <x:v>温暖な地域で収穫した成熟度の高いブドウ果汁に酸を加える主な目的はどれか。</x:v>
      </x:c>
      <x:c r="F128" s="165" t="str">
        <x:v>アルコール発酵を行わずにアルコール度を上げる</x:v>
      </x:c>
      <x:c r="G128" s="165" t="str">
        <x:v>果皮の色素を多く取り除く</x:v>
      </x:c>
      <x:c r="H128" s="165" t="str">
        <x:v>低下した酸度を補い、ワインのバランスと微生物安定性を改善する</x:v>
      </x:c>
      <x:c r="I128" s="165" t="str">
        <x:v>残糖を増やし、甘口にする</x:v>
      </x:c>
      <x:c r="J128" s="171" t="str">
        <x:v>C</x:v>
      </x:c>
      <x:c r="K128" s="165" t="str">
        <x:v>低下した酸度を補い、ワインのバランスと微生物安定性を改善する</x:v>
      </x:c>
      <x:c r="L128" s="165" t="str">
        <x:v>正しい。高温下ではブドウの酸が減少しやすく、酸の添加によりフレッシュさを整え、pHを下げて安定性を高められる。</x:v>
      </x:c>
      <x:c r="M128" s="165" t="str">
        <x:v>誤り。酸を加えてもアルコールは増えず、アルコールは発酵または酒精強化で増える。</x:v>
      </x:c>
      <x:c r="N128" s="165" t="str">
        <x:v>誤り。酸度調整の目的は色素除去ではなく、酸とpHの調整である。</x:v>
      </x:c>
      <x:c r="O128" s="165" t="str">
        <x:v>正しい。高温下ではブドウの酸が減少しやすく、酸の添加によりフレッシュさを整え、pHを下げて安定性を高められる。</x:v>
      </x:c>
      <x:c r="P128" s="165" t="str">
        <x:v>誤り。酸の添加は糖分を増やさず、甘味を作る処理ではない。</x:v>
      </x:c>
      <x:c r="Q128" s="165" t="str">
        <x:v>人的要因（ワイナリー）</x:v>
      </x:c>
      <x:c r="R128" s="165" t="str">
        <x:v>マスト調整・酸添加</x:v>
      </x:c>
      <x:c r="S128" s="165" t="str">
        <x:v>非発泡性ワイン</x:v>
      </x:c>
      <x:c r="T128" s="165"/>
      <x:c r="U128" s="165"/>
      <x:c r="V128" s="165"/>
      <x:c r="W128" s="165" t="str">
        <x:v>適用</x:v>
      </x:c>
      <x:c r="X128" s="171" t="str">
        <x:v>D2</x:v>
      </x:c>
      <x:c r="Y128" s="165" t="str">
        <x:v>酸の添加について関連要因を主因とみなす; 酸の添加について関連要因を主因とみなす; 酸の添加について関連要因を主因とみなす</x:v>
      </x:c>
      <x:c r="Z128" s="171" t="str">
        <x:v>N</x:v>
      </x:c>
      <x:c r="AA128" s="165"/>
      <x:c r="AB128" s="165" t="str">
        <x:v>オリジナル</x:v>
      </x:c>
      <x:c r="AC128" s="165" t="str">
        <x:v>公式Specificationの範囲＋ユーザー作成コーパスの論点と問題設計例を参考に独自作成</x:v>
      </x:c>
      <x:c r="AD128" s="171" t="str">
        <x:v>改稿済み・専門家未承認</x:v>
      </x:c>
      <x:c r="AE128" s="171" t="str">
        <x:v>AI誤答レビュー</x:v>
      </x:c>
      <x:c r="AF128" s="171" t="str">
        <x:v>2026-07-12</x:v>
      </x:c>
      <x:c r="AG128" s="166" t="str">
        <x:v>第5バッチ：使用可能な誤答を維持し、弱い誤答を因果逆転・隣接概念へ置換。正答位置は維持。</x:v>
      </x:c>
    </x:row>
    <x:row r="129" ht="84" customHeight="1">
      <x:c r="A129" s="164" t="str">
        <x:v>LO1-048</x:v>
      </x:c>
      <x:c r="B129" s="171" t="str">
        <x:v>LO1</x:v>
      </x:c>
      <x:c r="C129" s="165" t="str">
        <x:v>ブドウ畑・ワイナリーの自然要因と人的要因</x:v>
      </x:c>
      <x:c r="D129" s="165" t="str">
        <x:v>除酸</x:v>
      </x:c>
      <x:c r="E129" s="165" t="str">
        <x:v>非常に冷涼な地域の果汁で除酸を検討する主な理由はどれか。</x:v>
      </x:c>
      <x:c r="F129" s="165" t="str">
        <x:v>糖度が高過ぎ、発酵後のアルコールを下げるため</x:v>
      </x:c>
      <x:c r="G129" s="165" t="str">
        <x:v>酸が低過ぎて微生物安定性が不足するため</x:v>
      </x:c>
      <x:c r="H129" s="165" t="str">
        <x:v>タンニンが高過ぎて渋味が強い白ワインになるため</x:v>
      </x:c>
      <x:c r="I129" s="165" t="str">
        <x:v>酸が高すぎるとワインが鋭く不均衡になり、発酵や熟成後も飲みにくい可能性があるため</x:v>
      </x:c>
      <x:c r="J129" s="171" t="str">
        <x:v>D</x:v>
      </x:c>
      <x:c r="K129" s="165" t="str">
        <x:v>酸が高すぎるとワインが鋭く不均衡になり、発酵や熟成後も飲みにくい可能性があるため</x:v>
      </x:c>
      <x:c r="L129" s="165" t="str">
        <x:v>正しい。成熟が不十分な年には酸が非常に高くなることがあり、除酸によって酸味を和らげ、スタイルのバランスを整える。</x:v>
      </x:c>
      <x:c r="M129" s="165" t="str">
        <x:v>誤り。除酸は酸度調整であり、糖やアルコールを直接下げない。</x:v>
      </x:c>
      <x:c r="N129" s="165" t="str">
        <x:v>誤り。冷涼地域では酸が高過ぎることが問題である。</x:v>
      </x:c>
      <x:c r="O129" s="165" t="str">
        <x:v>誤り。除酸はタンニン管理ではない。</x:v>
      </x:c>
      <x:c r="P129" s="165" t="str">
        <x:v>正しい。成熟が不十分な年には酸が非常に高くなることがあり、除酸によって酸味を和らげ、スタイルのバランスを整える。</x:v>
      </x:c>
      <x:c r="Q129" s="165" t="str">
        <x:v>人的要因（ワイナリー）</x:v>
      </x:c>
      <x:c r="R129" s="165" t="str">
        <x:v>マスト調整・除酸</x:v>
      </x:c>
      <x:c r="S129" s="165" t="str">
        <x:v>非発泡性ワイン</x:v>
      </x:c>
      <x:c r="T129" s="165"/>
      <x:c r="U129" s="165"/>
      <x:c r="V129" s="165"/>
      <x:c r="W129" s="165" t="str">
        <x:v>適用</x:v>
      </x:c>
      <x:c r="X129" s="171" t="str">
        <x:v>D2</x:v>
      </x:c>
      <x:c r="Y129" s="165" t="str">
        <x:v>除酸でアルコールを下げる; 除酸を低酸対策と混同; 除酸でタンニンを調整する</x:v>
      </x:c>
      <x:c r="Z129" s="171" t="str">
        <x:v>N</x:v>
      </x:c>
      <x:c r="AA129" s="165"/>
      <x:c r="AB129" s="165" t="str">
        <x:v>オリジナル</x:v>
      </x:c>
      <x:c r="AC129" s="165" t="str">
        <x:v>公式Specificationの範囲＋ユーザー作成コーパスの論点と問題設計例を参考に独自作成</x:v>
      </x:c>
      <x:c r="AD129" s="171" t="str">
        <x:v>改稿済み・専門家未承認</x:v>
      </x:c>
      <x:c r="AE129" s="171" t="str">
        <x:v>AI誤答レビュー</x:v>
      </x:c>
      <x:c r="AF129" s="171" t="str">
        <x:v>2026-07-12</x:v>
      </x:c>
      <x:c r="AG129" s="166" t="str">
        <x:v>第4バッチ：同一論点内の典型的誤概念へ置換。正答位置は維持。</x:v>
      </x:c>
    </x:row>
    <x:row r="130" ht="84" customHeight="1">
      <x:c r="A130" s="164" t="str">
        <x:v>LO1-049</x:v>
      </x:c>
      <x:c r="B130" s="171" t="str">
        <x:v>LO1</x:v>
      </x:c>
      <x:c r="C130" s="165" t="str">
        <x:v>ブドウ畑・ワイナリーの自然要因と人的要因</x:v>
      </x:c>
      <x:c r="D130" s="165" t="str">
        <x:v>酵母選択</x:v>
      </x:c>
      <x:c r="E130" s="165" t="str">
        <x:v>培養酵母を使用する利点として、最も適切なものはどれか。</x:v>
      </x:c>
      <x:c r="F130" s="165" t="str">
        <x:v>発酵の開始と完了を予測しやすく、望む条件に合う酵母株を選べる</x:v>
      </x:c>
      <x:c r="G130" s="165" t="str">
        <x:v>野生酵母の多様性を維持しながら、発酵結果をほぼ均一化できる</x:v>
      </x:c>
      <x:c r="H130" s="165" t="str">
        <x:v>培養酵母を加えると、果汁中の栄養不足や高温の影響を受けなくなる</x:v>
      </x:c>
      <x:c r="I130" s="165" t="str">
        <x:v>酵母株にかかわらず、同じ香りと発酵速度になる</x:v>
      </x:c>
      <x:c r="J130" s="171" t="str">
        <x:v>A</x:v>
      </x:c>
      <x:c r="K130" s="165" t="str">
        <x:v>発酵の開始と完了を予測しやすく、望む条件に合う酵母株を選べる</x:v>
      </x:c>
      <x:c r="L130" s="165" t="str">
        <x:v>正しい。選択株の耐アルコール性、温度適性、香味特性を利用し、再現性を高められる。</x:v>
      </x:c>
      <x:c r="M130" s="165" t="str">
        <x:v>正しい。選択株の耐アルコール性、温度適性、香味特性を利用し、再現性を高められる。</x:v>
      </x:c>
      <x:c r="N130" s="165" t="str">
        <x:v>誤り。接種すると培養株が優勢になり、野生酵母の多様性をそのまま維持する目的とは異なる。</x:v>
      </x:c>
      <x:c r="O130" s="165" t="str">
        <x:v>誤り。栄養不足や過熱は培養酵母でも発酵停止を招き得る。</x:v>
      </x:c>
      <x:c r="P130" s="165" t="str">
        <x:v>誤り。株ごとに発酵速度や香味生成が異なるため、選択する意味がある。</x:v>
      </x:c>
      <x:c r="Q130" s="165" t="str">
        <x:v>人的要因（ワイナリー）</x:v>
      </x:c>
      <x:c r="R130" s="165" t="str">
        <x:v>アルコール発酵・酵母</x:v>
      </x:c>
      <x:c r="S130" s="165" t="str">
        <x:v>非発泡性ワイン</x:v>
      </x:c>
      <x:c r="T130" s="165"/>
      <x:c r="U130" s="165"/>
      <x:c r="V130" s="165"/>
      <x:c r="W130" s="165" t="str">
        <x:v>因果説明</x:v>
      </x:c>
      <x:c r="X130" s="171" t="str">
        <x:v>D2</x:v>
      </x:c>
      <x:c r="Y130" s="165" t="str">
        <x:v>培養酵母で野生酵母多様性と完全均一性を両立; 培養酵母なら栄養・温度管理不要; 酵母株による差はない</x:v>
      </x:c>
      <x:c r="Z130" s="171" t="str">
        <x:v>N</x:v>
      </x:c>
      <x:c r="AA130" s="165"/>
      <x:c r="AB130" s="165" t="str">
        <x:v>オリジナル</x:v>
      </x:c>
      <x:c r="AC130" s="165" t="str">
        <x:v>公式Specificationの範囲＋ユーザー作成コーパスの論点と問題設計例を参考に独自作成</x:v>
      </x:c>
      <x:c r="AD130" s="171" t="str">
        <x:v>改稿済み・専門家未承認</x:v>
      </x:c>
      <x:c r="AE130" s="171" t="str">
        <x:v>AI誤答レビュー</x:v>
      </x:c>
      <x:c r="AF130" s="171" t="str">
        <x:v>2026-07-12</x:v>
      </x:c>
      <x:c r="AG130" s="166" t="str">
        <x:v>第3バッチ：同一論点内の典型的誤概念へ置換。正答位置は維持。</x:v>
      </x:c>
    </x:row>
    <x:row r="131" ht="84" customHeight="1">
      <x:c r="A131" s="164" t="str">
        <x:v>LO1-050</x:v>
      </x:c>
      <x:c r="B131" s="171" t="str">
        <x:v>LO1</x:v>
      </x:c>
      <x:c r="C131" s="165" t="str">
        <x:v>ブドウ畑・ワイナリーの自然要因と人的要因</x:v>
      </x:c>
      <x:c r="D131" s="165" t="str">
        <x:v>白ワインの発酵温度</x:v>
      </x:c>
      <x:c r="E131" s="165" t="str">
        <x:v>アロマティックな白ワインを比較的低温で発酵する主な目的はどれか。</x:v>
      </x:c>
      <x:c r="F131" s="165" t="str">
        <x:v>発酵を一瞬で完了させ、冷却費をなくす</x:v>
      </x:c>
      <x:c r="G131" s="165" t="str">
        <x:v>揮発性の果実香を保持し、フレッシュなスタイルを得る</x:v>
      </x:c>
      <x:c r="H131" s="165" t="str">
        <x:v>ワインを無酸にし、pHを上げる</x:v>
      </x:c>
      <x:c r="I131" s="165" t="str">
        <x:v>果皮から最大量のタンニンと濃い色を抽出する</x:v>
      </x:c>
      <x:c r="J131" s="171" t="str">
        <x:v>B</x:v>
      </x:c>
      <x:c r="K131" s="165" t="str">
        <x:v>揮発性の果実香を保持し、フレッシュなスタイルを得る</x:v>
      </x:c>
      <x:c r="L131" s="165" t="str">
        <x:v>正しい。低温発酵は香気成分の揮散を抑え、酵母由来のフルーティーな香りも保ちやすいが、発酵は遅くなり得る。</x:v>
      </x:c>
      <x:c r="M131" s="165" t="str">
        <x:v>誤り。低温では発酵が遅くなることがあり、温度管理の冷却費も必要となる。</x:v>
      </x:c>
      <x:c r="N131" s="165" t="str">
        <x:v>正しい。低温発酵は香気成分の揮散を抑え、酵母由来のフルーティーな香りも保ちやすいが、発酵は遅くなり得る。</x:v>
      </x:c>
      <x:c r="O131" s="165" t="str">
        <x:v>誤り。発酵温度が酸を必ず消すわけではなく、酸度は品種、成熟、MLF、調整などにも左右される。</x:v>
      </x:c>
      <x:c r="P131" s="165" t="str">
        <x:v>誤り。白ワインの低温発酵の主目的ではなく、抽出は主に果皮接触や温度などで管理する。</x:v>
      </x:c>
      <x:c r="Q131" s="165" t="str">
        <x:v>人的要因（ワイナリー）</x:v>
      </x:c>
      <x:c r="R131" s="165" t="str">
        <x:v>アルコール発酵・温度</x:v>
      </x:c>
      <x:c r="S131" s="165" t="str">
        <x:v>非発泡性ワイン</x:v>
      </x:c>
      <x:c r="T131" s="165"/>
      <x:c r="U131" s="165"/>
      <x:c r="V131" s="165"/>
      <x:c r="W131" s="165" t="str">
        <x:v>因果説明</x:v>
      </x:c>
      <x:c r="X131" s="171" t="str">
        <x:v>D1</x:v>
      </x:c>
      <x:c r="Y131" s="165" t="str">
        <x:v>白ワインの発酵温度について関連要因を主因とみなす; 白ワインの発酵温度について関連要因を主因とみなす; 白ワインの発酵温度について関連要因を主因とみなす</x:v>
      </x:c>
      <x:c r="Z131" s="171" t="str">
        <x:v>N</x:v>
      </x:c>
      <x:c r="AA131" s="165"/>
      <x:c r="AB131" s="165" t="str">
        <x:v>オリジナル</x:v>
      </x:c>
      <x:c r="AC131" s="165" t="str">
        <x:v>公式Specificationの範囲＋ユーザー作成コーパスの論点と問題設計例を参考に独自作成</x:v>
      </x:c>
      <x:c r="AD131" s="171" t="str">
        <x:v>改稿済み・専門家未承認</x:v>
      </x:c>
      <x:c r="AE131" s="171" t="str">
        <x:v>AI誤答レビュー</x:v>
      </x:c>
      <x:c r="AF131" s="171" t="str">
        <x:v>2026-07-12</x:v>
      </x:c>
      <x:c r="AG131" s="166" t="str">
        <x:v>第5バッチ：使用可能な誤答を維持し、弱い誤答を因果逆転・隣接概念へ置換。正答位置は維持。</x:v>
      </x:c>
    </x:row>
    <x:row r="132" ht="84" customHeight="1">
      <x:c r="A132" s="164" t="str">
        <x:v>LO1-051</x:v>
      </x:c>
      <x:c r="B132" s="171" t="str">
        <x:v>LO1</x:v>
      </x:c>
      <x:c r="C132" s="165" t="str">
        <x:v>ブドウ畑・ワイナリーの自然要因と人的要因</x:v>
      </x:c>
      <x:c r="D132" s="165" t="str">
        <x:v>赤ワインの発酵温度</x:v>
      </x:c>
      <x:c r="E132" s="165" t="str">
        <x:v>赤ワインを白ワインより高めの温度で発酵することが多い主な理由はどれか。</x:v>
      </x:c>
      <x:c r="F132" s="165" t="str">
        <x:v>果皮を使わずに濃い色を得るため</x:v>
      </x:c>
      <x:c r="G132" s="165" t="str">
        <x:v>糖を発酵させず、そのまま残すため</x:v>
      </x:c>
      <x:c r="H132" s="165" t="str">
        <x:v>果皮から色素とタンニンを抽出しやすくする</x:v>
      </x:c>
      <x:c r="I132" s="165" t="str">
        <x:v>酸素を大きく固体化し、酸化を不可能にするため</x:v>
      </x:c>
      <x:c r="J132" s="171" t="str">
        <x:v>C</x:v>
      </x:c>
      <x:c r="K132" s="165" t="str">
        <x:v>果皮から色素とタンニンを抽出しやすくする</x:v>
      </x:c>
      <x:c r="L132" s="165" t="str">
        <x:v>正しい。高めの温度は果皮成分の抽出を促し、色と構造を得やすい。一方、過度な高温は酵母や香りに悪影響を与える。</x:v>
      </x:c>
      <x:c r="M132" s="165" t="str">
        <x:v>誤り。赤ワインの色は主に黒ブドウの果皮から抽出される。</x:v>
      </x:c>
      <x:c r="N132" s="165" t="str">
        <x:v>誤り。高温は発酵を止めるためではなく、酵母が働ける範囲では発酵と抽出を進める。</x:v>
      </x:c>
      <x:c r="O132" s="165" t="str">
        <x:v>正しい。高めの温度は果皮成分の抽出を促し、色と構造を得やすい。一方、過度な高温は酵母や香りに悪影響を与える。</x:v>
      </x:c>
      <x:c r="P132" s="165" t="str">
        <x:v>誤り。温度によって酸素が固体化することはなく、酸素管理は別途必要である。</x:v>
      </x:c>
      <x:c r="Q132" s="165" t="str">
        <x:v>人的要因（ワイナリー）</x:v>
      </x:c>
      <x:c r="R132" s="165" t="str">
        <x:v>赤ワイン発酵・温度</x:v>
      </x:c>
      <x:c r="S132" s="165" t="str">
        <x:v>非発泡性ワイン</x:v>
      </x:c>
      <x:c r="T132" s="165"/>
      <x:c r="U132" s="165"/>
      <x:c r="V132" s="165"/>
      <x:c r="W132" s="165" t="str">
        <x:v>因果説明</x:v>
      </x:c>
      <x:c r="X132" s="171" t="str">
        <x:v>D1</x:v>
      </x:c>
      <x:c r="Y132" s="165" t="str">
        <x:v>赤ワインの発酵温度について関連要因を主因とみなす; 赤ワインの発酵温度について関連要因を主因とみなす; 赤ワインの発酵温度について関連要因を主因とみなす</x:v>
      </x:c>
      <x:c r="Z132" s="171" t="str">
        <x:v>N</x:v>
      </x:c>
      <x:c r="AA132" s="165"/>
      <x:c r="AB132" s="165" t="str">
        <x:v>オリジナル</x:v>
      </x:c>
      <x:c r="AC132" s="165" t="str">
        <x:v>公式Specificationの範囲＋ユーザー作成コーパスの論点と問題設計例を参考に独自作成</x:v>
      </x:c>
      <x:c r="AD132" s="171" t="str">
        <x:v>改稿済み・専門家未承認</x:v>
      </x:c>
      <x:c r="AE132" s="171" t="str">
        <x:v>AI誤答レビュー</x:v>
      </x:c>
      <x:c r="AF132" s="171" t="str">
        <x:v>2026-07-12</x:v>
      </x:c>
      <x:c r="AG132" s="166" t="str">
        <x:v>第5バッチ：使用可能な誤答を維持し、弱い誤答を因果逆転・隣接概念へ置換。正答位置は維持。</x:v>
      </x:c>
    </x:row>
    <x:row r="133" ht="84" customHeight="1">
      <x:c r="A133" s="164" t="str">
        <x:v>LO1-052</x:v>
      </x:c>
      <x:c r="B133" s="171" t="str">
        <x:v>LO1</x:v>
      </x:c>
      <x:c r="C133" s="165" t="str">
        <x:v>ブドウ畑・ワイナリーの自然要因と人的要因</x:v>
      </x:c>
      <x:c r="D133" s="165" t="str">
        <x:v>キャップ・マネジメント</x:v>
      </x:c>
      <x:c r="E133" s="165" t="str">
        <x:v>赤ワイン発酵中にポンピング・オーバーやパンチング・ダウンを行う主な目的はどれか。</x:v>
      </x:c>
      <x:c r="F133" s="165" t="str">
        <x:v>ワインから多くの色素とタンニンを除去する</x:v>
      </x:c>
      <x:c r="G133" s="165" t="str">
        <x:v>果汁を凍らせ、糖を氷として除去する</x:v>
      </x:c>
      <x:c r="H133" s="165" t="str">
        <x:v>瓶内の澱を口元へ集める</x:v>
      </x:c>
      <x:c r="I133" s="165" t="str">
        <x:v>果皮を果汁と接触させ、色、タンニン、風味の抽出を調整する</x:v>
      </x:c>
      <x:c r="J133" s="171" t="str">
        <x:v>D</x:v>
      </x:c>
      <x:c r="K133" s="165" t="str">
        <x:v>果皮を果汁と接触させ、色、タンニン、風味の抽出を調整する</x:v>
      </x:c>
      <x:c r="L133" s="165" t="str">
        <x:v>正しい。発酵で浮き上がる果皮の層を果汁へ戻し、抽出、温度、酸素供給を管理する。頻度と強さでスタイルを調整できる。</x:v>
      </x:c>
      <x:c r="M133" s="165" t="str">
        <x:v>誤り。一般には色素とタンニンの抽出を促す操作であり、除去するものではない。</x:v>
      </x:c>
      <x:c r="N133" s="165" t="str">
        <x:v>誤り。キャップ・マネジメントは発酵槽内の果皮を管理する操作で、凍結濃縮ではない。</x:v>
      </x:c>
      <x:c r="O133" s="165" t="str">
        <x:v>誤り。これは発泡性ワインのルミュアージュに関する説明である。</x:v>
      </x:c>
      <x:c r="P133" s="165" t="str">
        <x:v>正しい。発酵で浮き上がる果皮の層を果汁へ戻し、抽出、温度、酸素供給を管理する。頻度と強さでスタイルを調整できる。</x:v>
      </x:c>
      <x:c r="Q133" s="165" t="str">
        <x:v>人的要因（ワイナリー）</x:v>
      </x:c>
      <x:c r="R133" s="165" t="str">
        <x:v>赤ワイン発酵・抽出</x:v>
      </x:c>
      <x:c r="S133" s="165" t="str">
        <x:v>非発泡性ワイン</x:v>
      </x:c>
      <x:c r="T133" s="165"/>
      <x:c r="U133" s="165"/>
      <x:c r="V133" s="165"/>
      <x:c r="W133" s="165" t="str">
        <x:v>因果説明</x:v>
      </x:c>
      <x:c r="X133" s="171" t="str">
        <x:v>D2</x:v>
      </x:c>
      <x:c r="Y133" s="165" t="str">
        <x:v>キャップ・マネジメントについて関連要因を主因とみなす; キャップ・マネジメントについて関連要因を主因とみなす; キャップ・マネジメントについて関連要因を主因とみなす</x:v>
      </x:c>
      <x:c r="Z133" s="171" t="str">
        <x:v>N</x:v>
      </x:c>
      <x:c r="AA133" s="165"/>
      <x:c r="AB133" s="165" t="str">
        <x:v>オリジナル</x:v>
      </x:c>
      <x:c r="AC133" s="165" t="str">
        <x:v>公式Specificationの範囲＋ユーザー作成コーパスの論点と問題設計例を参考に独自作成</x:v>
      </x:c>
      <x:c r="AD133" s="171" t="str">
        <x:v>改稿済み・専門家未承認</x:v>
      </x:c>
      <x:c r="AE133" s="171" t="str">
        <x:v>AI誤答レビュー</x:v>
      </x:c>
      <x:c r="AF133" s="171" t="str">
        <x:v>2026-07-12</x:v>
      </x:c>
      <x:c r="AG133" s="166" t="str">
        <x:v>第5バッチ：使用可能な誤答を維持し、弱い誤答を因果逆転・隣接概念へ置換。正答位置は維持。</x:v>
      </x:c>
    </x:row>
    <x:row r="134" ht="84" customHeight="1">
      <x:c r="A134" s="164" t="str">
        <x:v>LO1-053</x:v>
      </x:c>
      <x:c r="B134" s="171" t="str">
        <x:v>LO1</x:v>
      </x:c>
      <x:c r="C134" s="165" t="str">
        <x:v>ブドウ畑・ワイナリーの自然要因と人的要因</x:v>
      </x:c>
      <x:c r="D134" s="165" t="str">
        <x:v>全房発酵</x:v>
      </x:c>
      <x:c r="E134" s="165" t="str">
        <x:v>熟した梗を含む全房を赤ワイン発酵に用いた場合に起こり得る影響として、最も適切なものはどれか。</x:v>
      </x:c>
      <x:c r="F134" s="165" t="str">
        <x:v>香りの複雑性とタンニンが増す一方、未熟な梗なら青い風味が出る可能性がある</x:v>
      </x:c>
      <x:c r="G134" s="165" t="str">
        <x:v>梗からカリウムが溶出してpHが下がり、酸がより高く感じられる</x:v>
      </x:c>
      <x:c r="H134" s="165" t="str">
        <x:v>果粒内発酵が起こりにくくなり、果実由来の香りが弱くなりやすい</x:v>
      </x:c>
      <x:c r="I134" s="165" t="str">
        <x:v>除梗した場合より梗由来タンニンが少なくなり、ワインの構造が軽くなる</x:v>
      </x:c>
      <x:c r="J134" s="171" t="str">
        <x:v>A</x:v>
      </x:c>
      <x:c r="K134" s="165" t="str">
        <x:v>香りの複雑性とタンニンが増す一方、未熟な梗なら青い風味が出る可能性がある</x:v>
      </x:c>
      <x:c r="L134" s="165" t="str">
        <x:v>正しい。熟した梗はスパイスや花の複雑性と追加のタンニンを与え得るが、未熟な梗は青い香りや粗い質感の原因となる。</x:v>
      </x:c>
      <x:c r="M134" s="165" t="str">
        <x:v>正しい。熟した梗はスパイスや花の複雑性と追加のタンニンを与え得るが、未熟な梗は青い香りや粗い質感の原因となる。</x:v>
      </x:c>
      <x:c r="N134" s="165" t="str">
        <x:v>誤り。梗由来のカリウムは酸を沈殿させ、一般にpHを上げる方向へ働き得る。</x:v>
      </x:c>
      <x:c r="O134" s="165" t="str">
        <x:v>誤り。全房を用いると一部の果粒が破砕されず、半炭酸的な細胞内発酵が起こり、果実香が増す場合がある。</x:v>
      </x:c>
      <x:c r="P134" s="165" t="str">
        <x:v>誤り。梗を含めると、除梗した場合より梗由来のタンニンと構造が増える可能性がある。</x:v>
      </x:c>
      <x:c r="Q134" s="165" t="str">
        <x:v>人的要因（ワイナリー）</x:v>
      </x:c>
      <x:c r="R134" s="165" t="str">
        <x:v>赤ワイン・全房発酵</x:v>
      </x:c>
      <x:c r="S134" s="165" t="str">
        <x:v>非発泡性ワイン</x:v>
      </x:c>
      <x:c r="T134" s="165"/>
      <x:c r="U134" s="165"/>
      <x:c r="V134" s="165"/>
      <x:c r="W134" s="165" t="str">
        <x:v>統合判断</x:v>
      </x:c>
      <x:c r="X134" s="171" t="str">
        <x:v>D3</x:v>
      </x:c>
      <x:c r="Y134" s="165" t="str">
        <x:v>梗のカリウムでpHが低下; 全房で細胞内発酵が減る; 梗を入れるとタンニンが減る</x:v>
      </x:c>
      <x:c r="Z134" s="171" t="str">
        <x:v>N</x:v>
      </x:c>
      <x:c r="AA134" s="165"/>
      <x:c r="AB134" s="165" t="str">
        <x:v>オリジナル</x:v>
      </x:c>
      <x:c r="AC134" s="165" t="str">
        <x:v>公式Specificationの範囲＋ユーザー作成コーパスの論点と問題設計例を参考に独自作成</x:v>
      </x:c>
      <x:c r="AD134" s="171" t="str">
        <x:v>改稿済み・専門家未承認</x:v>
      </x:c>
      <x:c r="AE134" s="171" t="str">
        <x:v>AI誤答レビュー</x:v>
      </x:c>
      <x:c r="AF134" s="171" t="str">
        <x:v>2026-07-12</x:v>
      </x:c>
      <x:c r="AG134" s="166" t="str">
        <x:v>誤答を同一論点内の典型的誤概念へ置換。900問本体への反映前に専門家確認推奨。</x:v>
      </x:c>
    </x:row>
    <x:row r="135" ht="84" customHeight="1">
      <x:c r="A135" s="164" t="str">
        <x:v>LO1-054</x:v>
      </x:c>
      <x:c r="B135" s="171" t="str">
        <x:v>LO1</x:v>
      </x:c>
      <x:c r="C135" s="165" t="str">
        <x:v>ブドウ畑・ワイナリーの自然要因と人的要因</x:v>
      </x:c>
      <x:c r="D135" s="165" t="str">
        <x:v>除梗</x:v>
      </x:c>
      <x:c r="E135" s="165" t="str">
        <x:v>赤ワイン醸造で除梗を行う主な理由として最も適切なものはどれか。</x:v>
      </x:c>
      <x:c r="F135" s="165" t="str">
        <x:v>果梗からの青いタンニンや苦味の抽出を高めるため</x:v>
      </x:c>
      <x:c r="G135" s="165" t="str">
        <x:v>果梗からの青いタンニンや苦味の抽出を抑えるため</x:v>
      </x:c>
      <x:c r="H135" s="165" t="str">
        <x:v>果皮接触をなくし、白ワインのように発酵するため</x:v>
      </x:c>
      <x:c r="I135" s="165" t="str">
        <x:v>果粒内発酵を促し、炭酸ガス浸漬の割合を高めるため</x:v>
      </x:c>
      <x:c r="J135" s="171" t="str">
        <x:v>B</x:v>
      </x:c>
      <x:c r="K135" s="165" t="str">
        <x:v>果梗からの青いタンニンや苦味の抽出を抑えるため</x:v>
      </x:c>
      <x:c r="L135" s="165" t="str">
        <x:v>正しい。未熟な果梗は青い香りと粗いタンニンを与え得るため、除梗で抽出を避ける。</x:v>
      </x:c>
      <x:c r="M135" s="165" t="str">
        <x:v>誤り。正答では果梗由来の青いタンニンや苦味を抑えることが目的であり、方向が逆である。</x:v>
      </x:c>
      <x:c r="N135" s="165" t="str">
        <x:v>正しい。未熟な果梗は青い香りと粗いタンニンを与え得るため、除梗で抽出を避ける。</x:v>
      </x:c>
      <x:c r="O135" s="165" t="str">
        <x:v>誤り。除梗しても果皮は残り、赤ワインの抽出を行える。</x:v>
      </x:c>
      <x:c r="P135" s="165" t="str">
        <x:v>誤り。全房を用いる方が果粒内発酵を促しやすい。</x:v>
      </x:c>
      <x:c r="Q135" s="165" t="str">
        <x:v>人的要因（ワイナリー）</x:v>
      </x:c>
      <x:c r="R135" s="165" t="str">
        <x:v>ブドウ受入・除梗</x:v>
      </x:c>
      <x:c r="S135" s="165" t="str">
        <x:v>非発泡性ワイン</x:v>
      </x:c>
      <x:c r="T135" s="165"/>
      <x:c r="U135" s="165"/>
      <x:c r="V135" s="165"/>
      <x:c r="W135" s="165" t="str">
        <x:v>因果説明</x:v>
      </x:c>
      <x:c r="X135" s="171" t="str">
        <x:v>D1</x:v>
      </x:c>
      <x:c r="Y135" s="165" t="str">
        <x:v>除梗は果梗由来成分の抽出を高める; 除梗で果皮接触もなくなる; 除梗で炭酸ガス浸漬を促進</x:v>
      </x:c>
      <x:c r="Z135" s="171" t="str">
        <x:v>N</x:v>
      </x:c>
      <x:c r="AA135" s="165"/>
      <x:c r="AB135" s="165" t="str">
        <x:v>オリジナル</x:v>
      </x:c>
      <x:c r="AC135" s="165" t="str">
        <x:v>公式Specificationの範囲＋ユーザー作成コーパスの論点と問題設計例を参考に独自作成</x:v>
      </x:c>
      <x:c r="AD135" s="171" t="str">
        <x:v>改稿済み・専門家未承認</x:v>
      </x:c>
      <x:c r="AE135" s="171" t="str">
        <x:v>AI誤答レビュー</x:v>
      </x:c>
      <x:c r="AF135" s="171" t="str">
        <x:v>2026-07-12</x:v>
      </x:c>
      <x:c r="AG135" s="166" t="str">
        <x:v>第4バッチ：同一論点内の典型的誤概念へ置換。正答位置は維持。</x:v>
      </x:c>
    </x:row>
    <x:row r="136" ht="84" customHeight="1">
      <x:c r="A136" s="164" t="str">
        <x:v>LO1-055</x:v>
      </x:c>
      <x:c r="B136" s="171" t="str">
        <x:v>LO1</x:v>
      </x:c>
      <x:c r="C136" s="165" t="str">
        <x:v>ブドウ畑・ワイナリーの自然要因と人的要因</x:v>
      </x:c>
      <x:c r="D136" s="165" t="str">
        <x:v>白ワインの果皮接触</x:v>
      </x:c>
      <x:c r="E136" s="165" t="str">
        <x:v>芳香性白ブドウで、発酵前に短時間の果皮接触を行う際の主な利点とリスクはどれか。</x:v>
      </x:c>
      <x:c r="F136" s="165" t="str">
        <x:v>酸を高められる一方、品種香が果皮へ戻って弱くなる</x:v>
      </x:c>
      <x:c r="G136" s="165" t="str">
        <x:v>果汁の清澄度を高められる一方、酵母栄養が不足しやすい</x:v>
      </x:c>
      <x:c r="H136" s="165" t="str">
        <x:v>香り成分を抽出できる一方、過度なら苦味、フェノール、酸化のリスクが増す</x:v>
      </x:c>
      <x:c r="I136" s="165" t="str">
        <x:v>マロラクティック・コンバージョンを防げる一方、残糖が増えやすい</x:v>
      </x:c>
      <x:c r="J136" s="171" t="str">
        <x:v>C</x:v>
      </x:c>
      <x:c r="K136" s="165" t="str">
        <x:v>香り成分を抽出できる一方、過度なら苦味、フェノール、酸化のリスクが増す</x:v>
      </x:c>
      <x:c r="L136" s="165" t="str">
        <x:v>正しい。果皮にある香気前駆体を抽出できるが、長過ぎる接触は苦味や酸化を招く。</x:v>
      </x:c>
      <x:c r="M136" s="165" t="str">
        <x:v>誤り。果皮接触は通常、酸を増やすより香気とフェノール抽出へ影響する。</x:v>
      </x:c>
      <x:c r="N136" s="165" t="str">
        <x:v>誤り。固形分は増えるため、清澄度を高める工程ではない。</x:v>
      </x:c>
      <x:c r="O136" s="165" t="str">
        <x:v>正しい。果皮にある香気前駆体を抽出できるが、長過ぎる接触は苦味や酸化を招く。</x:v>
      </x:c>
      <x:c r="P136" s="165" t="str">
        <x:v>誤り。MLCや残糖を直接決める工程ではない。</x:v>
      </x:c>
      <x:c r="Q136" s="165" t="str">
        <x:v>人的要因（ワイナリー）</x:v>
      </x:c>
      <x:c r="R136" s="165" t="str">
        <x:v>白ワイン・果皮接触</x:v>
      </x:c>
      <x:c r="S136" s="165" t="str">
        <x:v>非発泡性ワイン</x:v>
      </x:c>
      <x:c r="T136" s="165"/>
      <x:c r="U136" s="165"/>
      <x:c r="V136" s="165"/>
      <x:c r="W136" s="165" t="str">
        <x:v>統合判断</x:v>
      </x:c>
      <x:c r="X136" s="171" t="str">
        <x:v>D3</x:v>
      </x:c>
      <x:c r="Y136" s="165" t="str">
        <x:v>果皮接触で酸が高まり香りが果皮へ戻る; 果皮接触は果汁清澄の方法; 果皮接触でMLC防止・残糖増加</x:v>
      </x:c>
      <x:c r="Z136" s="171" t="str">
        <x:v>N</x:v>
      </x:c>
      <x:c r="AA136" s="165"/>
      <x:c r="AB136" s="165" t="str">
        <x:v>オリジナル</x:v>
      </x:c>
      <x:c r="AC136" s="165" t="str">
        <x:v>公式Specificationの範囲＋ユーザー作成コーパスの論点と問題設計例を参考に独自作成</x:v>
      </x:c>
      <x:c r="AD136" s="171" t="str">
        <x:v>改稿済み・専門家未承認</x:v>
      </x:c>
      <x:c r="AE136" s="171" t="str">
        <x:v>AI誤答レビュー</x:v>
      </x:c>
      <x:c r="AF136" s="171" t="str">
        <x:v>2026-07-12</x:v>
      </x:c>
      <x:c r="AG136" s="166" t="str">
        <x:v>第3バッチ：同一論点内の典型的誤概念へ置換。正答位置は維持。</x:v>
      </x:c>
    </x:row>
    <x:row r="137" ht="84" customHeight="1">
      <x:c r="A137" s="164" t="str">
        <x:v>LO1-056</x:v>
      </x:c>
      <x:c r="B137" s="171" t="str">
        <x:v>LO1</x:v>
      </x:c>
      <x:c r="C137" s="165" t="str">
        <x:v>ブドウ畑・ワイナリーの自然要因と人的要因</x:v>
      </x:c>
      <x:c r="D137" s="165" t="str">
        <x:v>セニエ法</x:v>
      </x:c>
      <x:c r="E137" s="165" t="str">
        <x:v>セニエ法でロゼワインを造る方法として、最も適切なものはどれか。</x:v>
      </x:c>
      <x:c r="F137" s="165" t="str">
        <x:v>黒ブドウを収穫後すぐに穏やかに圧搾し、淡く着色した果汁を発酵させる</x:v>
      </x:c>
      <x:c r="G137" s="165" t="str">
        <x:v>黒ブドウを短時間浸漬した後、全量の果汁を果皮から分離してロゼとして発酵させる</x:v>
      </x:c>
      <x:c r="H137" s="165" t="str">
        <x:v>完成した白ワインへ少量の赤ワインをブレンドして色を調整する</x:v>
      </x:c>
      <x:c r="I137" s="165" t="str">
        <x:v>赤ワイン用マストから短時間の浸漬後に果汁の一部を抜き取り、別にロゼとして発酵させる</x:v>
      </x:c>
      <x:c r="J137" s="171" t="str">
        <x:v>D</x:v>
      </x:c>
      <x:c r="K137" s="165" t="str">
        <x:v>赤ワイン用マストから短時間の浸漬後に果汁の一部を抜き取り、別にロゼとして発酵させる</x:v>
      </x:c>
      <x:c r="L137" s="165" t="str">
        <x:v>正しい。セニエでは赤ワイン用の果皮浸漬中に一部の果汁を抜き、ロゼとして別発酵する。</x:v>
      </x:c>
      <x:c r="M137" s="165" t="str">
        <x:v>誤り。これは直接圧搾法であり、赤ワイン用マストから果汁を抜くセニエ法とは異なる。</x:v>
      </x:c>
      <x:c r="N137" s="165" t="str">
        <x:v>誤り。これは短時間マセレーション法で、全量をロゼへ使う点がセニエ法と異なる。</x:v>
      </x:c>
      <x:c r="O137" s="165" t="str">
        <x:v>誤り。これはブレンドによるロゼ製法で、セニエ法ではない。</x:v>
      </x:c>
      <x:c r="P137" s="165" t="str">
        <x:v>正しい。セニエでは赤ワイン用の果皮浸漬中に一部の果汁を抜き、ロゼとして別発酵する。</x:v>
      </x:c>
      <x:c r="Q137" s="165" t="str">
        <x:v>人的要因（ワイナリー）</x:v>
      </x:c>
      <x:c r="R137" s="165" t="str">
        <x:v>ロゼ・セニエ</x:v>
      </x:c>
      <x:c r="S137" s="165" t="str">
        <x:v>非発泡性ロゼ</x:v>
      </x:c>
      <x:c r="T137" s="165"/>
      <x:c r="U137" s="165"/>
      <x:c r="V137" s="165"/>
      <x:c r="W137" s="165" t="str">
        <x:v>知識確認</x:v>
      </x:c>
      <x:c r="X137" s="171" t="str">
        <x:v>D1</x:v>
      </x:c>
      <x:c r="Y137" s="165" t="str">
        <x:v>直接圧搾法とセニエ法の混同; 短時間マセレーション法とセニエ法の混同; ブレンド法とセニエ法の混同</x:v>
      </x:c>
      <x:c r="Z137" s="171" t="str">
        <x:v>N</x:v>
      </x:c>
      <x:c r="AA137" s="165"/>
      <x:c r="AB137" s="165" t="str">
        <x:v>オリジナル</x:v>
      </x:c>
      <x:c r="AC137" s="165" t="str">
        <x:v>公式Specificationの範囲＋ユーザー作成コーパスの論点と問題設計例を参考に独自作成</x:v>
      </x:c>
      <x:c r="AD137" s="171" t="str">
        <x:v>改稿済み・専門家未承認</x:v>
      </x:c>
      <x:c r="AE137" s="171" t="str">
        <x:v>AI誤答レビュー</x:v>
      </x:c>
      <x:c r="AF137" s="171" t="str">
        <x:v>2026-07-12</x:v>
      </x:c>
      <x:c r="AG137" s="166" t="str">
        <x:v>第2バッチ：誤答を同一論点内の典型的誤概念へ置換。正答位置は維持。</x:v>
      </x:c>
    </x:row>
    <x:row r="138" ht="84" customHeight="1">
      <x:c r="A138" s="164" t="str">
        <x:v>LO1-057</x:v>
      </x:c>
      <x:c r="B138" s="171" t="str">
        <x:v>LO1</x:v>
      </x:c>
      <x:c r="C138" s="165" t="str">
        <x:v>ブドウ畑・ワイナリーの自然要因と人的要因</x:v>
      </x:c>
      <x:c r="D138" s="165" t="str">
        <x:v>直接圧搾ロゼ</x:v>
      </x:c>
      <x:c r="E138" s="165" t="str">
        <x:v>黒ブドウを直接圧搾して造るロゼが、淡い色になりやすい主な理由はどれか。</x:v>
      </x:c>
      <x:c r="F138" s="165" t="str">
        <x:v>果汁と果皮の接触時間が短く、色素の抽出が少ないため</x:v>
      </x:c>
      <x:c r="G138" s="165" t="str">
        <x:v>圧搾前に果皮を長時間浸漬し、アントシアニンだけを沈殿させるため</x:v>
      </x:c>
      <x:c r="H138" s="165" t="str">
        <x:v>黒ブドウの果肉に含まれる色素を圧搾時に除去するため</x:v>
      </x:c>
      <x:c r="I138" s="165" t="str">
        <x:v>発酵温度を高くし、抽出した色素を酵母が消費するため</x:v>
      </x:c>
      <x:c r="J138" s="171" t="str">
        <x:v>A</x:v>
      </x:c>
      <x:c r="K138" s="165" t="str">
        <x:v>果汁と果皮の接触時間が短く、色素の抽出が少ないため</x:v>
      </x:c>
      <x:c r="L138" s="165" t="str">
        <x:v>正しい。収穫後すぐ圧搾するため、果皮中の色素が果汁へ移る時間が短い。</x:v>
      </x:c>
      <x:c r="M138" s="165" t="str">
        <x:v>正しい。収穫後すぐ圧搾するため、果皮中の色素が果汁へ移る時間が短い。</x:v>
      </x:c>
      <x:c r="N138" s="165" t="str">
        <x:v>誤り。長時間浸漬は色を濃くする方向に働き、直接圧搾とは異なる。</x:v>
      </x:c>
      <x:c r="O138" s="165" t="str">
        <x:v>誤り。多くの黒ブドウでは色素は果皮にあり、果肉色素を除去する工程ではない。</x:v>
      </x:c>
      <x:c r="P138" s="165" t="str">
        <x:v>誤り。酵母がアントシアニンを選択的に消費して淡色化するわけではない。</x:v>
      </x:c>
      <x:c r="Q138" s="165" t="str">
        <x:v>人的要因（ワイナリー）</x:v>
      </x:c>
      <x:c r="R138" s="165" t="str">
        <x:v>ロゼ・直接圧搾</x:v>
      </x:c>
      <x:c r="S138" s="165" t="str">
        <x:v>非発泡性ロゼ</x:v>
      </x:c>
      <x:c r="T138" s="165"/>
      <x:c r="U138" s="165"/>
      <x:c r="V138" s="165"/>
      <x:c r="W138" s="165" t="str">
        <x:v>因果説明</x:v>
      </x:c>
      <x:c r="X138" s="171" t="str">
        <x:v>D2</x:v>
      </x:c>
      <x:c r="Y138" s="165" t="str">
        <x:v>長時間浸漬で色素を沈殿させ淡色化; 黒ブドウの果肉色素を圧搾で除去; 高温発酵で酵母が色素を消費</x:v>
      </x:c>
      <x:c r="Z138" s="171" t="str">
        <x:v>N</x:v>
      </x:c>
      <x:c r="AA138" s="165"/>
      <x:c r="AB138" s="165" t="str">
        <x:v>オリジナル</x:v>
      </x:c>
      <x:c r="AC138" s="165" t="str">
        <x:v>公式Specificationの範囲＋ユーザー作成コーパスの論点と問題設計例を参考に独自作成</x:v>
      </x:c>
      <x:c r="AD138" s="171" t="str">
        <x:v>改稿済み・専門家未承認</x:v>
      </x:c>
      <x:c r="AE138" s="171" t="str">
        <x:v>AI誤答レビュー</x:v>
      </x:c>
      <x:c r="AF138" s="171" t="str">
        <x:v>2026-07-12</x:v>
      </x:c>
      <x:c r="AG138" s="166" t="str">
        <x:v>第3バッチ：同一論点内の典型的誤概念へ置換。正答位置は維持。</x:v>
      </x:c>
    </x:row>
    <x:row r="139" ht="84" customHeight="1">
      <x:c r="A139" s="164" t="str">
        <x:v>LO1-058</x:v>
      </x:c>
      <x:c r="B139" s="171" t="str">
        <x:v>LO1</x:v>
      </x:c>
      <x:c r="C139" s="165" t="str">
        <x:v>ブドウ畑・ワイナリーの自然要因と人的要因</x:v>
      </x:c>
      <x:c r="D139" s="165" t="str">
        <x:v>不活性ガス</x:v>
      </x:c>
      <x:c r="E139" s="165" t="str">
        <x:v>ワイナリーで窒素や二酸化炭素などの不活性ガスを使用する主な目的はどれか。</x:v>
      </x:c>
      <x:c r="F139" s="165" t="str">
        <x:v>果汁へ糖と酸を同時に加える</x:v>
      </x:c>
      <x:c r="G139" s="165" t="str">
        <x:v>タンクや配管内の酸素を置き換え、酸化を抑える</x:v>
      </x:c>
      <x:c r="H139" s="165" t="str">
        <x:v>タンニンを固めて濾過せずに除去する</x:v>
      </x:c>
      <x:c r="I139" s="165" t="str">
        <x:v>アルコール発酵を行わずにワインを造る</x:v>
      </x:c>
      <x:c r="J139" s="171" t="str">
        <x:v>B</x:v>
      </x:c>
      <x:c r="K139" s="165" t="str">
        <x:v>タンクや配管内の酸素を置き換え、酸化を抑える</x:v>
      </x:c>
      <x:c r="L139" s="165" t="str">
        <x:v>正しい。不活性ガスでワインや果汁の表面を覆うと、酸素との接触を減らし、褐変や果実香の損失を抑えられる。</x:v>
      </x:c>
      <x:c r="M139" s="165" t="str">
        <x:v>誤り。不活性ガスは糖分や酸度を直接増やす添加物ではない。</x:v>
      </x:c>
      <x:c r="N139" s="165" t="str">
        <x:v>正しい。不活性ガスでワインや果汁の表面を覆うと、酸素との接触を減らし、褐変や果実香の損失を抑えられる。</x:v>
      </x:c>
      <x:c r="O139" s="165" t="str">
        <x:v>誤り。不活性ガスはタンニン除去の清澄剤ではない。</x:v>
      </x:c>
      <x:c r="P139" s="165" t="str">
        <x:v>誤り。酸化防止に使われるが、アルコール生成には発酵が必要である。</x:v>
      </x:c>
      <x:c r="Q139" s="165" t="str">
        <x:v>人的要因（ワイナリー）</x:v>
      </x:c>
      <x:c r="R139" s="165" t="str">
        <x:v>酸素管理・不活性ガス</x:v>
      </x:c>
      <x:c r="S139" s="165" t="str">
        <x:v>非発泡性ワイン</x:v>
      </x:c>
      <x:c r="T139" s="165"/>
      <x:c r="U139" s="165"/>
      <x:c r="V139" s="165"/>
      <x:c r="W139" s="165" t="str">
        <x:v>知識確認</x:v>
      </x:c>
      <x:c r="X139" s="171" t="str">
        <x:v>D1</x:v>
      </x:c>
      <x:c r="Y139" s="165" t="str">
        <x:v>不活性ガスに関する別の特徴・要因と混同; 不活性ガスに関する別の特徴・要因と混同; 不活性ガスに関する別の特徴・要因と混同</x:v>
      </x:c>
      <x:c r="Z139" s="171" t="str">
        <x:v>N</x:v>
      </x:c>
      <x:c r="AA139" s="165"/>
      <x:c r="AB139" s="165" t="str">
        <x:v>オリジナル</x:v>
      </x:c>
      <x:c r="AC139" s="165" t="str">
        <x:v>公式Specificationの範囲＋ユーザー作成コーパスの論点と問題設計例を参考に独自作成</x:v>
      </x:c>
      <x:c r="AD139" s="171" t="str">
        <x:v>改稿済み・専門家未承認</x:v>
      </x:c>
      <x:c r="AE139" s="171" t="str">
        <x:v>AI誤答レビュー</x:v>
      </x:c>
      <x:c r="AF139" s="171" t="str">
        <x:v>2026-07-12</x:v>
      </x:c>
      <x:c r="AG139" s="166" t="str">
        <x:v>最終バッチ：有効な誤答を維持し、絶対語・物理的不可能な誤答のみ置換。正答位置は維持。</x:v>
      </x:c>
    </x:row>
    <x:row r="140" ht="84" customHeight="1">
      <x:c r="A140" s="164" t="str">
        <x:v>LO1-059</x:v>
      </x:c>
      <x:c r="B140" s="171" t="str">
        <x:v>LO1</x:v>
      </x:c>
      <x:c r="C140" s="165" t="str">
        <x:v>ブドウ畑・ワイナリーの自然要因と人的要因</x:v>
      </x:c>
      <x:c r="D140" s="165" t="str">
        <x:v>アメリカンオーク</x:v>
      </x:c>
      <x:c r="E140" s="165" t="str">
        <x:v>新しいアメリカンオーク樽が、ワインへ与えやすい特徴はどれか。</x:v>
      </x:c>
      <x:c r="F140" s="165" t="str">
        <x:v>繊細な杉、鉛筆、控えめなスパイスだけを与える</x:v>
      </x:c>
      <x:c r="G140" s="165" t="str">
        <x:v>オーク香をほとんど付けず、酸素接触だけを与える</x:v>
      </x:c>
      <x:c r="H140" s="165" t="str">
        <x:v>比較的強いバニラやココナッツ、甘いスパイスを思わせる風味</x:v>
      </x:c>
      <x:c r="I140" s="165" t="str">
        <x:v>柑橘、青リンゴ、青草などの一次果実香を増加させる</x:v>
      </x:c>
      <x:c r="J140" s="171" t="str">
        <x:v>C</x:v>
      </x:c>
      <x:c r="K140" s="165" t="str">
        <x:v>比較的強いバニラやココナッツ、甘いスパイスを思わせる風味</x:v>
      </x:c>
      <x:c r="L140" s="165" t="str">
        <x:v>正しい。ラクトン由来のココナッツ、バニラ、甘いスパイスが明瞭になりやすい。</x:v>
      </x:c>
      <x:c r="M140" s="165" t="str">
        <x:v>誤り。杉や鉛筆はフレンチオーク等でも見られるが、アメリカンオークの典型を十分に表さない。</x:v>
      </x:c>
      <x:c r="N140" s="165" t="str">
        <x:v>誤り。新樽は抽出可能な香味成分が多く、香りをほとんど付けないとはいえない。</x:v>
      </x:c>
      <x:c r="O140" s="165" t="str">
        <x:v>正しい。ラクトン由来のココナッツ、バニラ、甘いスパイスが明瞭になりやすい。</x:v>
      </x:c>
      <x:c r="P140" s="165" t="str">
        <x:v>誤り。柑橘や青草は主に品種・発酵由来で、樽が増加させる香りではない。</x:v>
      </x:c>
      <x:c r="Q140" s="165" t="str">
        <x:v>人的要因（ワイナリー）</x:v>
      </x:c>
      <x:c r="R140" s="165" t="str">
        <x:v>熟成・オーク種</x:v>
      </x:c>
      <x:c r="S140" s="165" t="str">
        <x:v>非発泡性ワイン</x:v>
      </x:c>
      <x:c r="T140" s="165"/>
      <x:c r="U140" s="165"/>
      <x:c r="V140" s="165"/>
      <x:c r="W140" s="165" t="str">
        <x:v>知識確認</x:v>
      </x:c>
      <x:c r="X140" s="171" t="str">
        <x:v>D1</x:v>
      </x:c>
      <x:c r="Y140" s="165" t="str">
        <x:v>アメリカンオークを控えめなフレンチオーク型と混同; 新しいアメリカンオークは香味を付けない; オークが一次果実香を増やす</x:v>
      </x:c>
      <x:c r="Z140" s="171" t="str">
        <x:v>N</x:v>
      </x:c>
      <x:c r="AA140" s="165"/>
      <x:c r="AB140" s="165" t="str">
        <x:v>オリジナル</x:v>
      </x:c>
      <x:c r="AC140" s="165" t="str">
        <x:v>公式Specificationの範囲＋ユーザー作成コーパスの論点と問題設計例を参考に独自作成</x:v>
      </x:c>
      <x:c r="AD140" s="171" t="str">
        <x:v>改稿済み・専門家未承認</x:v>
      </x:c>
      <x:c r="AE140" s="171" t="str">
        <x:v>AI誤答レビュー</x:v>
      </x:c>
      <x:c r="AF140" s="171" t="str">
        <x:v>2026-07-12</x:v>
      </x:c>
      <x:c r="AG140" s="166" t="str">
        <x:v>第3バッチ：同一論点内の典型的誤概念へ置換。正答位置は維持。</x:v>
      </x:c>
    </x:row>
    <x:row r="141" ht="84" customHeight="1">
      <x:c r="A141" s="164" t="str">
        <x:v>LO1-060</x:v>
      </x:c>
      <x:c r="B141" s="171" t="str">
        <x:v>LO1</x:v>
      </x:c>
      <x:c r="C141" s="165" t="str">
        <x:v>ブドウ畑・ワイナリーの自然要因と人的要因</x:v>
      </x:c>
      <x:c r="D141" s="165" t="str">
        <x:v>スクリューキャップ</x:v>
      </x:c>
      <x:c r="E141" s="165" t="str">
        <x:v>スクリューキャップを天然コルクと比較した利点として、最も適切なものはどれか。</x:v>
      </x:c>
      <x:c r="F141" s="165" t="str">
        <x:v>天然コルクより多くの酸素を通す傾向があり、ワインの熟成を速めやすい</x:v>
      </x:c>
      <x:c r="G141" s="165" t="str">
        <x:v>天然コルクと同程度の栓ごとの差を保ちながら、開栓操作だけを容易にする</x:v>
      </x:c>
      <x:c r="H141" s="165" t="str">
        <x:v>密閉性が高いため、瓶内で還元的な香りが生じる可能性もなくなる</x:v>
      </x:c>
      <x:c r="I141" s="165" t="str">
        <x:v>コルク汚染のリスクを避け、比較的一貫した酸素透過を得やすい</x:v>
      </x:c>
      <x:c r="J141" s="171" t="str">
        <x:v>D</x:v>
      </x:c>
      <x:c r="K141" s="165" t="str">
        <x:v>コルク汚染のリスクを避け、比較的一貫した酸素透過を得やすい</x:v>
      </x:c>
      <x:c r="L141" s="165" t="str">
        <x:v>正しい。TCA由来のコルク汚染を避けやすく、栓ごとの密閉性と酸素透過を比較的一貫させられる。</x:v>
      </x:c>
      <x:c r="M141" s="165" t="str">
        <x:v>誤り。酸素透過量はライナーの仕様によって異なり、天然コルクより常に多いわけでも、熟成を必ず速めるわけでもない。</x:v>
      </x:c>
      <x:c r="N141" s="165" t="str">
        <x:v>誤り。スクリューキャップの利点は開栓の容易さだけでなく、天然コルクより栓ごとの酸素透過差を小さくしやすい点にもある。</x:v>
      </x:c>
      <x:c r="O141" s="165" t="str">
        <x:v>誤り。酸素透過が低い仕様では、ワインの状態によって還元的な香りが残る可能性がある。</x:v>
      </x:c>
      <x:c r="P141" s="165" t="str">
        <x:v>正しい。TCA由来のコルク汚染を避けやすく、栓ごとの密閉性と酸素透過を比較的一貫させられる。</x:v>
      </x:c>
      <x:c r="Q141" s="165" t="str">
        <x:v>人的要因（ワイナリー）</x:v>
      </x:c>
      <x:c r="R141" s="165" t="str">
        <x:v>栓・スクリューキャップ</x:v>
      </x:c>
      <x:c r="S141" s="165" t="str">
        <x:v>非発泡性ワイン</x:v>
      </x:c>
      <x:c r="T141" s="165"/>
      <x:c r="U141" s="165"/>
      <x:c r="V141" s="165"/>
      <x:c r="W141" s="165" t="str">
        <x:v>比較</x:v>
      </x:c>
      <x:c r="X141" s="171" t="str">
        <x:v>D2</x:v>
      </x:c>
      <x:c r="Y141" s="165" t="str">
        <x:v>スクリューは常に高酸素透過; 利点は開栓性だけ; 高密閉なら還元臭は起こらない</x:v>
      </x:c>
      <x:c r="Z141" s="171" t="str">
        <x:v>N</x:v>
      </x:c>
      <x:c r="AA141" s="165"/>
      <x:c r="AB141" s="165" t="str">
        <x:v>オリジナル</x:v>
      </x:c>
      <x:c r="AC141" s="165" t="str">
        <x:v>公式Specificationの範囲＋ユーザー作成コーパスの論点と問題設計例を参考に独自作成</x:v>
      </x:c>
      <x:c r="AD141" s="171" t="str">
        <x:v>改稿済み・専門家未承認</x:v>
      </x:c>
      <x:c r="AE141" s="171" t="str">
        <x:v>AI誤答レビュー</x:v>
      </x:c>
      <x:c r="AF141" s="171" t="str">
        <x:v>2026-07-12</x:v>
      </x:c>
      <x:c r="AG141" s="166" t="str">
        <x:v>誤答を同一論点内の典型的誤概念へ置換。900問本体への反映前に専門家確認推奨。</x:v>
      </x:c>
    </x:row>
    <x:row r="142" ht="84" customHeight="1">
      <x:c r="A142" s="164" t="str">
        <x:v>LO2-021</x:v>
      </x:c>
      <x:c r="B142" s="171" t="str">
        <x:v>LO2</x:v>
      </x:c>
      <x:c r="C142" s="165" t="str">
        <x:v>世界の主要な非発泡性ワイン</x:v>
      </x:c>
      <x:c r="D142" s="165" t="str">
        <x:v>ペサック・レオニャン</x:v>
      </x:c>
      <x:c r="E142" s="165" t="str">
        <x:v>ペサック・レオニャンの上質な辛口白ワインに、複雑さと熟成能力を与える組み合わせとして最も適切なものはどれか。</x:v>
      </x:c>
      <x:c r="F142" s="165" t="str">
        <x:v>ソーヴィニヨン・ブランの酸と芳香、セミヨンのボディと熟成力、樽発酵・熟成</x:v>
      </x:c>
      <x:c r="G142" s="165" t="str">
        <x:v>熟した核果、バター、ナッツを持つシャルドネ主体の樽熟成白</x:v>
      </x:c>
      <x:c r="H142" s="165" t="str">
        <x:v>シャルドネの核果香とヴィオニエの花香、ステンレス熟成</x:v>
      </x:c>
      <x:c r="I142" s="165" t="str">
        <x:v>セミヨン単一の貴腐果、残糖、瓶内熟成</x:v>
      </x:c>
      <x:c r="J142" s="171" t="str">
        <x:v>A</x:v>
      </x:c>
      <x:c r="K142" s="165" t="str">
        <x:v>ソーヴィニヨン・ブランの酸と芳香、セミヨンのボディと熟成力、樽発酵・熟成</x:v>
      </x:c>
      <x:c r="L142" s="165" t="str">
        <x:v>正しい。二品種と樽・澱熟成が、鮮度、ボディ、複雑性、熟成能力を与える。</x:v>
      </x:c>
      <x:c r="M142" s="165" t="str">
        <x:v>正しい。二品種と樽・澱熟成が、鮮度、ボディ、複雑性、熟成能力を与える。</x:v>
      </x:c>
      <x:c r="N142" s="165" t="str">
        <x:v>誤り。これはブルゴーニュの豊かなシャルドネに近く、ペサック・レオニャンのソーヴィニヨン・ブランとセミヨンのブレンドとは異なる。</x:v>
      </x:c>
      <x:c r="O142" s="165" t="str">
        <x:v>誤り。主要品種とスタイルが異なる。</x:v>
      </x:c>
      <x:c r="P142" s="165" t="str">
        <x:v>誤り。上質辛口白は健全果のブレンドで、甘口貴腐とは異なる。</x:v>
      </x:c>
      <x:c r="Q142" s="165" t="str">
        <x:v>醸造・産地</x:v>
      </x:c>
      <x:c r="R142" s="165" t="str">
        <x:v>白ワイン・樽発酵熟成</x:v>
      </x:c>
      <x:c r="S142" s="165" t="str">
        <x:v>非発泡性白ワイン</x:v>
      </x:c>
      <x:c r="T142" s="165" t="str">
        <x:v>フランス</x:v>
      </x:c>
      <x:c r="U142" s="165" t="str">
        <x:v>ボルドー／ペサック・レオニャン</x:v>
      </x:c>
      <x:c r="V142" s="165" t="str">
        <x:v>ソーヴィニヨン・ブラン、セミヨン</x:v>
      </x:c>
      <x:c r="W142" s="165" t="str">
        <x:v>統合判断</x:v>
      </x:c>
      <x:c r="X142" s="171" t="str">
        <x:v>D3</x:v>
      </x:c>
      <x:c r="Y142" s="165" t="str">
        <x:v>ペサック・レオニャン白をブルゴーニュのシャルドネ型と混同; ペサック白をシャルドネ・ヴィオニエと混同; ペサック辛口白をソーテルヌ型と混同</x:v>
      </x:c>
      <x:c r="Z142" s="171" t="str">
        <x:v>N</x:v>
      </x:c>
      <x:c r="AA142" s="165"/>
      <x:c r="AB142" s="165" t="str">
        <x:v>オリジナル</x:v>
      </x:c>
      <x:c r="AC142" s="165" t="str">
        <x:v>公式Specificationの範囲＋ユーザー作成コーパスの論点と問題設計例を参考に独自作成</x:v>
      </x:c>
      <x:c r="AD142" s="171" t="str">
        <x:v>改稿済み・専門家未承認</x:v>
      </x:c>
      <x:c r="AE142" s="171" t="str">
        <x:v>AI誤答レビュー</x:v>
      </x:c>
      <x:c r="AF142" s="171" t="str">
        <x:v>2026-07-12</x:v>
      </x:c>
      <x:c r="AG142" s="166" t="str">
        <x:v>第4バッチ：同一論点内の典型的誤概念へ置換。正答位置は維持。</x:v>
      </x:c>
    </x:row>
    <x:row r="143" ht="84" customHeight="1">
      <x:c r="A143" s="164" t="str">
        <x:v>LO2-022</x:v>
      </x:c>
      <x:c r="B143" s="171" t="str">
        <x:v>LO2</x:v>
      </x:c>
      <x:c r="C143" s="165" t="str">
        <x:v>世界の主要な非発泡性ワイン</x:v>
      </x:c>
      <x:c r="D143" s="165" t="str">
        <x:v>サンテミリオン</x:v>
      </x:c>
      <x:c r="E143" s="165" t="str">
        <x:v>サンテミリオンでメルロとカベルネ・フランが重要となる理由として最も適切なものはどれか。</x:v>
      </x:c>
      <x:c r="F143" s="165" t="str">
        <x:v>海霧が一年中畑を覆い、光合成を大きく止める</x:v>
      </x:c>
      <x:c r="G143" s="165" t="str">
        <x:v>粘土や石灰岩を含む比較的冷涼な右岸の条件で、カベルネ・ソーヴィニヨンより成熟しやすい</x:v>
      </x:c>
      <x:c r="H143" s="165" t="str">
        <x:v>両品種は白ブドウで、高い酸の辛口白を造る</x:v>
      </x:c>
      <x:c r="I143" s="165" t="str">
        <x:v>両品種は非常に晩熟で、最も暑い砂漠だけに適する</x:v>
      </x:c>
      <x:c r="J143" s="171" t="str">
        <x:v>B</x:v>
      </x:c>
      <x:c r="K143" s="165" t="str">
        <x:v>粘土や石灰岩を含む比較的冷涼な右岸の条件で、カベルネ・ソーヴィニヨンより成熟しやすい</x:v>
      </x:c>
      <x:c r="L143" s="165" t="str">
        <x:v>正しい。メルロは早熟で粘土質土壌に適し、カベルネ・フランも比較的早く成熟するため、右岸の気候と土壌で安定した成熟を得やすい。</x:v>
      </x:c>
      <x:c r="M143" s="165" t="str">
        <x:v>誤り。海洋性の影響はあるが、光合成を一年中止めるような恒常的な海霧が理由ではない。</x:v>
      </x:c>
      <x:c r="N143" s="165" t="str">
        <x:v>正しい。メルロは早熟で粘土質土壌に適し、カベルネ・フランも比較的早く成熟するため、右岸の気候と土壌で安定した成熟を得やすい。</x:v>
      </x:c>
      <x:c r="O143" s="165" t="str">
        <x:v>誤り。メルロとカベルネ・フランは黒ブドウで、サンテミリオンでは主に赤ワインを造る。</x:v>
      </x:c>
      <x:c r="P143" s="165" t="str">
        <x:v>誤り。メルロはカベルネ・ソーヴィニヨンより早熟で、砂漠だけに適する品種ではない。</x:v>
      </x:c>
      <x:c r="Q143" s="165" t="str">
        <x:v>自然要因・産地</x:v>
      </x:c>
      <x:c r="R143" s="165" t="str">
        <x:v>土壌・品種適性</x:v>
      </x:c>
      <x:c r="S143" s="165" t="str">
        <x:v>非発泡性赤ワイン</x:v>
      </x:c>
      <x:c r="T143" s="165" t="str">
        <x:v>フランス</x:v>
      </x:c>
      <x:c r="U143" s="165" t="str">
        <x:v>ボルドー／サンテミリオン</x:v>
      </x:c>
      <x:c r="V143" s="165" t="str">
        <x:v>メルロ、カベルネ・フラン</x:v>
      </x:c>
      <x:c r="W143" s="165" t="str">
        <x:v>因果説明</x:v>
      </x:c>
      <x:c r="X143" s="171" t="str">
        <x:v>D2</x:v>
      </x:c>
      <x:c r="Y143" s="165" t="str">
        <x:v>サンテミリオンについて関連要因を主因とみなす; サンテミリオンについて関連要因を主因とみなす; サンテミリオンについて関連要因を主因とみなす</x:v>
      </x:c>
      <x:c r="Z143" s="171" t="str">
        <x:v>N</x:v>
      </x:c>
      <x:c r="AA143" s="165"/>
      <x:c r="AB143" s="165" t="str">
        <x:v>オリジナル</x:v>
      </x:c>
      <x:c r="AC143" s="165" t="str">
        <x:v>公式Specificationの範囲＋ユーザー作成コーパスの論点と問題設計例を参考に独自作成</x:v>
      </x:c>
      <x:c r="AD143" s="171" t="str">
        <x:v>改稿済み・専門家未承認</x:v>
      </x:c>
      <x:c r="AE143" s="171" t="str">
        <x:v>AI誤答レビュー</x:v>
      </x:c>
      <x:c r="AF143" s="171" t="str">
        <x:v>2026-07-12</x:v>
      </x:c>
      <x:c r="AG143" s="166" t="str">
        <x:v>第5バッチ：使用可能な誤答を維持し、弱い誤答を因果逆転・隣接概念へ置換。正答位置は維持。</x:v>
      </x:c>
    </x:row>
    <x:row r="144" ht="84" customHeight="1">
      <x:c r="A144" s="164" t="str">
        <x:v>LO2-023</x:v>
      </x:c>
      <x:c r="B144" s="171" t="str">
        <x:v>LO2</x:v>
      </x:c>
      <x:c r="C144" s="165" t="str">
        <x:v>世界の主要な非発泡性ワイン</x:v>
      </x:c>
      <x:c r="D144" s="165" t="str">
        <x:v>クリュ・ボージョレ</x:v>
      </x:c>
      <x:c r="E144" s="165" t="str">
        <x:v>クリュ・ボージョレが、一般的なボージョレより高い品質と熟成能力を持ちやすい主な理由はどれか。</x:v>
      </x:c>
      <x:c r="F144" s="165" t="str">
        <x:v>北部の花崗岩質丘陵など、ガメイに適した特定区画から低めの収量で造られることが多い</x:v>
      </x:c>
      <x:c r="G144" s="165" t="str">
        <x:v>ボージョレ・ヌーヴォーより長いマセレーションが法律で一律に義務付けられるため</x:v>
      </x:c>
      <x:c r="H144" s="165" t="str">
        <x:v>ガメイへピノ・ノワールをブレンドしてタンニンを高めるため</x:v>
      </x:c>
      <x:c r="I144" s="165" t="str">
        <x:v>南部の肥沃な平地で高収量となり、果実味が豊かになるため</x:v>
      </x:c>
      <x:c r="J144" s="171" t="str">
        <x:v>C</x:v>
      </x:c>
      <x:c r="K144" s="165" t="str">
        <x:v>ガメイへピノ・ノワールをブレンドしてタンニンを高めるため</x:v>
      </x:c>
      <x:c r="L144" s="165" t="str">
        <x:v>正しい。主要品種はガメイで、ピノのブレンドが熟成力の主因ではない。</x:v>
      </x:c>
      <x:c r="M144" s="165" t="str">
        <x:v>誤り。優良な丘陵区画と低収量が、濃度と構造を高める。</x:v>
      </x:c>
      <x:c r="N144" s="165" t="str">
        <x:v>誤り。醸造法は生産者で異なり、長いマセレーションの一律義務だけが理由ではない。</x:v>
      </x:c>
      <x:c r="O144" s="165" t="str">
        <x:v>正しい。主要品種はガメイで、ピノのブレンドが熟成力の主因ではない。</x:v>
      </x:c>
      <x:c r="P144" s="165" t="str">
        <x:v>誤り。肥沃な南部平地の高収量は一般的ボージョレに近い。</x:v>
      </x:c>
      <x:c r="Q144" s="165" t="str">
        <x:v>自然・人的要因</x:v>
      </x:c>
      <x:c r="R144" s="165" t="str">
        <x:v>クリュ・品質</x:v>
      </x:c>
      <x:c r="S144" s="165" t="str">
        <x:v>非発泡性赤ワイン</x:v>
      </x:c>
      <x:c r="T144" s="165" t="str">
        <x:v>フランス</x:v>
      </x:c>
      <x:c r="U144" s="165" t="str">
        <x:v>ボージョレ</x:v>
      </x:c>
      <x:c r="V144" s="165" t="str">
        <x:v>ガメイ</x:v>
      </x:c>
      <x:c r="W144" s="165" t="str">
        <x:v>統合判断</x:v>
      </x:c>
      <x:c r="X144" s="171" t="str">
        <x:v>D3</x:v>
      </x:c>
      <x:c r="Y144" s="165" t="str">
        <x:v>クリュは長期マセレーション義務だけで高品質; 南部肥沃平地・高収量が品質の主因</x:v>
      </x:c>
      <x:c r="Z144" s="171" t="str">
        <x:v>N</x:v>
      </x:c>
      <x:c r="AA144" s="165"/>
      <x:c r="AB144" s="165" t="str">
        <x:v>オリジナル</x:v>
      </x:c>
      <x:c r="AC144" s="165" t="str">
        <x:v>公式Specificationの範囲＋ユーザー作成コーパスの論点と問題設計例を参考に独自作成</x:v>
      </x:c>
      <x:c r="AD144" s="171" t="str">
        <x:v>改稿済み・専門家未承認</x:v>
      </x:c>
      <x:c r="AE144" s="171" t="str">
        <x:v>AI誤答レビュー</x:v>
      </x:c>
      <x:c r="AF144" s="171" t="str">
        <x:v>2026-07-12</x:v>
      </x:c>
      <x:c r="AG144" s="166" t="str">
        <x:v>第3バッチ：同一論点内の典型的誤概念へ置換。正答位置は維持。</x:v>
      </x:c>
    </x:row>
    <x:row r="145" ht="84" customHeight="1">
      <x:c r="A145" s="164" t="str">
        <x:v>LO2-024</x:v>
      </x:c>
      <x:c r="B145" s="171" t="str">
        <x:v>LO2</x:v>
      </x:c>
      <x:c r="C145" s="165" t="str">
        <x:v>世界の主要な非発泡性ワイン</x:v>
      </x:c>
      <x:c r="D145" s="165" t="str">
        <x:v>シャブリの霜害</x:v>
      </x:c>
      <x:c r="E145" s="165" t="str">
        <x:v>シャブリで春霜が収量に大きな影響を与え得る主な理由はどれか。</x:v>
      </x:c>
      <x:c r="F145" s="165" t="str">
        <x:v>海洋性気候のため冬と春の気温が常に一定である</x:v>
      </x:c>
      <x:c r="G145" s="165" t="str">
        <x:v>シャルドネは萌芽せず、前年の果房を再利用する</x:v>
      </x:c>
      <x:c r="H145" s="165" t="str">
        <x:v>成熟期の高温で果粒が多く乾燥し、貴腐になる</x:v>
      </x:c>
      <x:c r="I145" s="165" t="str">
        <x:v>冷涼な大陸性気候で、萌芽後の若い芽が氷点下の気温にさらされることがある</x:v>
      </x:c>
      <x:c r="J145" s="171" t="str">
        <x:v>D</x:v>
      </x:c>
      <x:c r="K145" s="165" t="str">
        <x:v>冷涼な大陸性気候で、萌芽後の若い芽が氷点下の気温にさらされることがある</x:v>
      </x:c>
      <x:c r="L145" s="165" t="str">
        <x:v>正しい。シャブリでは春に気温が急低下することがあり、萌芽した若い組織が損傷すると、その年の花と果房が失われて収量が下がる。</x:v>
      </x:c>
      <x:c r="M145" s="165" t="str">
        <x:v>誤り。シャブリは大陸性の影響を受け、春の気温変動と霜のリスクがある。</x:v>
      </x:c>
      <x:c r="N145" s="165" t="str">
        <x:v>誤り。ブドウ樹は毎年新しい芽から花と果房を形成する。</x:v>
      </x:c>
      <x:c r="O145" s="165" t="str">
        <x:v>誤り。春霜は萌芽期の低温被害であり、成熟期の乾燥や貴腐とは異なる。</x:v>
      </x:c>
      <x:c r="P145" s="165" t="str">
        <x:v>正しい。シャブリでは春に気温が急低下することがあり、萌芽した若い組織が損傷すると、その年の花と果房が失われて収量が下がる。</x:v>
      </x:c>
      <x:c r="Q145" s="165" t="str">
        <x:v>自然要因・産地</x:v>
      </x:c>
      <x:c r="R145" s="165" t="str">
        <x:v>春霜・収量</x:v>
      </x:c>
      <x:c r="S145" s="165" t="str">
        <x:v>非発泡性白ワイン</x:v>
      </x:c>
      <x:c r="T145" s="165" t="str">
        <x:v>フランス</x:v>
      </x:c>
      <x:c r="U145" s="165" t="str">
        <x:v>ブルゴーニュ／シャブリ</x:v>
      </x:c>
      <x:c r="V145" s="165" t="str">
        <x:v>シャルドネ</x:v>
      </x:c>
      <x:c r="W145" s="165" t="str">
        <x:v>因果説明</x:v>
      </x:c>
      <x:c r="X145" s="171" t="str">
        <x:v>D2</x:v>
      </x:c>
      <x:c r="Y145" s="165" t="str">
        <x:v>シャブリの霜害について関連要因を主因とみなす; シャブリの霜害について関連要因を主因とみなす; シャブリの霜害について関連要因を主因とみなす</x:v>
      </x:c>
      <x:c r="Z145" s="171" t="str">
        <x:v>N</x:v>
      </x:c>
      <x:c r="AA145" s="165"/>
      <x:c r="AB145" s="165" t="str">
        <x:v>オリジナル</x:v>
      </x:c>
      <x:c r="AC145" s="165" t="str">
        <x:v>公式Specificationの範囲＋ユーザー作成コーパスの論点と問題設計例を参考に独自作成</x:v>
      </x:c>
      <x:c r="AD145" s="171" t="str">
        <x:v>改稿済み・専門家未承認</x:v>
      </x:c>
      <x:c r="AE145" s="171" t="str">
        <x:v>AI誤答レビュー</x:v>
      </x:c>
      <x:c r="AF145" s="171" t="str">
        <x:v>2026-07-12</x:v>
      </x:c>
      <x:c r="AG145" s="166" t="str">
        <x:v>第5バッチ：使用可能な誤答を維持し、弱い誤答を因果逆転・隣接概念へ置換。正答位置は維持。</x:v>
      </x:c>
    </x:row>
    <x:row r="146" ht="84" customHeight="1">
      <x:c r="A146" s="164" t="str">
        <x:v>LO2-025</x:v>
      </x:c>
      <x:c r="B146" s="171" t="str">
        <x:v>LO2</x:v>
      </x:c>
      <x:c r="C146" s="165" t="str">
        <x:v>世界の主要な非発泡性ワイン</x:v>
      </x:c>
      <x:c r="D146" s="165" t="str">
        <x:v>マコネ</x:v>
      </x:c>
      <x:c r="E146" s="165" t="str">
        <x:v>マコネのシャルドネが、シャブリより熟した果実味と豊かなボディを持ちやすい主な理由はどれか。</x:v>
      </x:c>
      <x:c r="F146" s="165" t="str">
        <x:v>より南に位置し、一般に温暖で成熟が進みやすい</x:v>
      </x:c>
      <x:c r="G146" s="165" t="str">
        <x:v>シャブリより高標高で、夜間の冷却が弱いため</x:v>
      </x:c>
      <x:c r="H146" s="165" t="str">
        <x:v>マコネでは収穫を早め、酸と低アルコールを重視するため</x:v>
      </x:c>
      <x:c r="I146" s="165" t="str">
        <x:v>マコネではシャルドネへセミヨンをブレンドし、ボディを増すため</x:v>
      </x:c>
      <x:c r="J146" s="171" t="str">
        <x:v>A</x:v>
      </x:c>
      <x:c r="K146" s="165" t="str">
        <x:v>より南に位置し、一般に温暖で成熟が進みやすい</x:v>
      </x:c>
      <x:c r="L146" s="165" t="str">
        <x:v>正しい。南寄りの温暖な気候で糖と核果風味が発達しやすい。</x:v>
      </x:c>
      <x:c r="M146" s="165" t="str">
        <x:v>正しい。南寄りの温暖な気候で糖と核果風味が発達しやすい。</x:v>
      </x:c>
      <x:c r="N146" s="165" t="str">
        <x:v>誤り。高標高・夜間冷却が弱いことではなく、地域全体の温暖さが主因である。</x:v>
      </x:c>
      <x:c r="O146" s="165" t="str">
        <x:v>誤り。一般にシャブリより成熟度が高く、早摘み低アルコールが典型ではない。</x:v>
      </x:c>
      <x:c r="P146" s="165" t="str">
        <x:v>誤り。主要品種はシャルドネで、セミヨン混醸が典型ではない。</x:v>
      </x:c>
      <x:c r="Q146" s="165" t="str">
        <x:v>自然要因・産地</x:v>
      </x:c>
      <x:c r="R146" s="165" t="str">
        <x:v>緯度・成熟</x:v>
      </x:c>
      <x:c r="S146" s="165" t="str">
        <x:v>非発泡性白ワイン</x:v>
      </x:c>
      <x:c r="T146" s="165" t="str">
        <x:v>フランス</x:v>
      </x:c>
      <x:c r="U146" s="165" t="str">
        <x:v>ブルゴーニュ／マコネ</x:v>
      </x:c>
      <x:c r="V146" s="165" t="str">
        <x:v>シャルドネ</x:v>
      </x:c>
      <x:c r="W146" s="165" t="str">
        <x:v>因果説明</x:v>
      </x:c>
      <x:c r="X146" s="171" t="str">
        <x:v>D1</x:v>
      </x:c>
      <x:c r="Y146" s="165" t="str">
        <x:v>マコネは高標高で夜温が高い; マコネはシャブリより早摘み・低アルコール; セミヨンのブレンドでボディを得る</x:v>
      </x:c>
      <x:c r="Z146" s="171" t="str">
        <x:v>N</x:v>
      </x:c>
      <x:c r="AA146" s="165"/>
      <x:c r="AB146" s="165" t="str">
        <x:v>オリジナル</x:v>
      </x:c>
      <x:c r="AC146" s="165" t="str">
        <x:v>公式Specificationの範囲＋ユーザー作成コーパスの論点と問題設計例を参考に独自作成</x:v>
      </x:c>
      <x:c r="AD146" s="171" t="str">
        <x:v>改稿済み・専門家未承認</x:v>
      </x:c>
      <x:c r="AE146" s="171" t="str">
        <x:v>AI誤答レビュー</x:v>
      </x:c>
      <x:c r="AF146" s="171" t="str">
        <x:v>2026-07-12</x:v>
      </x:c>
      <x:c r="AG146" s="166" t="str">
        <x:v>第3バッチ：同一論点内の典型的誤概念へ置換。正答位置は維持。</x:v>
      </x:c>
    </x:row>
    <x:row r="147" ht="84" customHeight="1">
      <x:c r="A147" s="164" t="str">
        <x:v>LO2-026</x:v>
      </x:c>
      <x:c r="B147" s="171" t="str">
        <x:v>LO2</x:v>
      </x:c>
      <x:c r="C147" s="165" t="str">
        <x:v>世界の主要な非発泡性ワイン</x:v>
      </x:c>
      <x:c r="D147" s="165" t="str">
        <x:v>サンセールとプイィ・フュメ</x:v>
      </x:c>
      <x:c r="E147" s="165" t="str">
        <x:v>サンセールとプイィ・フュメの典型的な辛口白ワインに共通する特徴はどれか。</x:v>
      </x:c>
      <x:c r="F147" s="165" t="str">
        <x:v>熟したトロピカル果実、低い酸、強い新樽香を持つソーヴィニヨン・ブラン</x:v>
      </x:c>
      <x:c r="G147" s="165" t="str">
        <x:v>ソーヴィニヨン・ブランから造る、高い酸、柑橘、青草、火打石を思わせる辛口白</x:v>
      </x:c>
      <x:c r="H147" s="165" t="str">
        <x:v>シャルドネから造る、樽香とバター香の豊かな辛口白</x:v>
      </x:c>
      <x:c r="I147" s="165" t="str">
        <x:v>シュナン・ブランから造る、残糖と蜂蜜香を持つ甘口白</x:v>
      </x:c>
      <x:c r="J147" s="171" t="str">
        <x:v>B</x:v>
      </x:c>
      <x:c r="K147" s="165" t="str">
        <x:v>ソーヴィニヨン・ブランから造る、高い酸、柑橘、青草、火打石を思わせる辛口白</x:v>
      </x:c>
      <x:c r="L147" s="165" t="str">
        <x:v>正しい。ロワール上流の冷涼気候と石灰・火打石土壌から引き締まった辛口白を生む。</x:v>
      </x:c>
      <x:c r="M147" s="165" t="str">
        <x:v>誤り。サンセールとプイィ・フュメは冷涼で高酸、柑橘・青草を持ち、強い新樽と低酸が典型ではない。</x:v>
      </x:c>
      <x:c r="N147" s="165" t="str">
        <x:v>正しい。ロワール上流の冷涼気候と石灰・火打石土壌から引き締まった辛口白を生む。</x:v>
      </x:c>
      <x:c r="O147" s="165" t="str">
        <x:v>誤り。主要品種とスタイルが異なる。</x:v>
      </x:c>
      <x:c r="P147" s="165" t="str">
        <x:v>誤り。ロワールの別スタイルである。</x:v>
      </x:c>
      <x:c r="Q147" s="165" t="str">
        <x:v>品種・産地</x:v>
      </x:c>
      <x:c r="R147" s="165" t="str">
        <x:v>ソーヴィニヨン・ブラン</x:v>
      </x:c>
      <x:c r="S147" s="165" t="str">
        <x:v>非発泡性白ワイン</x:v>
      </x:c>
      <x:c r="T147" s="165" t="str">
        <x:v>フランス</x:v>
      </x:c>
      <x:c r="U147" s="165" t="str">
        <x:v>ロワール／サンセール・プイィ・フュメ</x:v>
      </x:c>
      <x:c r="V147" s="165" t="str">
        <x:v>ソーヴィニヨン・ブラン</x:v>
      </x:c>
      <x:c r="W147" s="165" t="str">
        <x:v>知識確認</x:v>
      </x:c>
      <x:c r="X147" s="171" t="str">
        <x:v>D1</x:v>
      </x:c>
      <x:c r="Y147" s="165" t="str">
        <x:v>ロワール上流のソーヴィニヨンを温暖・低酸・新樽型と混同; サンセール／プイィフュメをシャルドネ型と混同; サンセール／プイィフュメを甘口シュナンと混同</x:v>
      </x:c>
      <x:c r="Z147" s="171" t="str">
        <x:v>N</x:v>
      </x:c>
      <x:c r="AA147" s="165"/>
      <x:c r="AB147" s="165" t="str">
        <x:v>オリジナル</x:v>
      </x:c>
      <x:c r="AC147" s="165" t="str">
        <x:v>公式Specificationの範囲＋ユーザー作成コーパスの論点と問題設計例を参考に独自作成</x:v>
      </x:c>
      <x:c r="AD147" s="171" t="str">
        <x:v>改稿済み・専門家未承認</x:v>
      </x:c>
      <x:c r="AE147" s="171" t="str">
        <x:v>AI誤答レビュー</x:v>
      </x:c>
      <x:c r="AF147" s="171" t="str">
        <x:v>2026-07-12</x:v>
      </x:c>
      <x:c r="AG147" s="166" t="str">
        <x:v>第4バッチ：同一論点内の典型的誤概念へ置換。正答位置は維持。</x:v>
      </x:c>
    </x:row>
    <x:row r="148" ht="84" customHeight="1">
      <x:c r="A148" s="164" t="str">
        <x:v>LO2-027</x:v>
      </x:c>
      <x:c r="B148" s="171" t="str">
        <x:v>LO2</x:v>
      </x:c>
      <x:c r="C148" s="165" t="str">
        <x:v>世界の主要な非発泡性ワイン</x:v>
      </x:c>
      <x:c r="D148" s="165" t="str">
        <x:v>ヴーヴレ</x:v>
      </x:c>
      <x:c r="E148" s="165" t="str">
        <x:v>ヴーヴレで辛口、甘口、発泡性まで多様なスタイルを造れる主な理由はどれか。</x:v>
      </x:c>
      <x:c r="F148" s="165" t="str">
        <x:v>シュナン・ブランは酸が低く中立的なため、複数品種とのブレンドでのみスタイルを変えられる</x:v>
      </x:c>
      <x:c r="G148" s="165" t="str">
        <x:v>シュナン・ブランは早熟で貴腐を受けにくいため、収穫時期による違いが小さい</x:v>
      </x:c>
      <x:c r="H148" s="165" t="str">
        <x:v>シュナン・ブランが高い酸を保ち、成熟度や貴腐、発酵停止などに応じて多様なスタイルに対応できる</x:v>
      </x:c>
      <x:c r="I148" s="165" t="str">
        <x:v>スタイルの違いは主に完成後のドザージュ量だけで決まり、ブドウの成熟度はほとんど関係しない</x:v>
      </x:c>
      <x:c r="J148" s="171" t="str">
        <x:v>C</x:v>
      </x:c>
      <x:c r="K148" s="165" t="str">
        <x:v>シュナン・ブランが高い酸を保ち、成熟度や貴腐、発酵停止などに応じて多様なスタイルに対応できる</x:v>
      </x:c>
      <x:c r="L148" s="165" t="str">
        <x:v>正しい。高い酸が辛口・甘口・発泡性のすべてを支え、収穫と発酵判断でスタイルを変えられる。</x:v>
      </x:c>
      <x:c r="M148" s="165" t="str">
        <x:v>誤り。シュナン・ブランは高酸で、単一品種でも成熟度と醸造によって幅広いスタイルを造れる。</x:v>
      </x:c>
      <x:c r="N148" s="165" t="str">
        <x:v>誤り。晩熟で貴腐を受け得るため、辛口から濃厚な甘口まで幅が生まれる。</x:v>
      </x:c>
      <x:c r="O148" s="165" t="str">
        <x:v>正しい。高い酸が辛口・甘口・発泡性のすべてを支え、収穫と発酵判断でスタイルを変えられる。</x:v>
      </x:c>
      <x:c r="P148" s="165" t="str">
        <x:v>誤り。発泡性の甘味調整にはドザージュが関係するが、非発泡性を含む全スタイルをそれだけで説明できない。</x:v>
      </x:c>
      <x:c r="Q148" s="165" t="str">
        <x:v>自然・人的要因</x:v>
      </x:c>
      <x:c r="R148" s="165" t="str">
        <x:v>品種特性・多様なスタイル</x:v>
      </x:c>
      <x:c r="S148" s="165" t="str">
        <x:v>非発泡性白ワイン</x:v>
      </x:c>
      <x:c r="T148" s="165" t="str">
        <x:v>フランス</x:v>
      </x:c>
      <x:c r="U148" s="165" t="str">
        <x:v>ロワール／ヴーヴレ</x:v>
      </x:c>
      <x:c r="V148" s="165" t="str">
        <x:v>シュナン・ブラン</x:v>
      </x:c>
      <x:c r="W148" s="165" t="str">
        <x:v>統合判断</x:v>
      </x:c>
      <x:c r="X148" s="171" t="str">
        <x:v>D3</x:v>
      </x:c>
      <x:c r="Y148" s="165" t="str">
        <x:v>シュナンは低酸でブレンドしないと多様化できない; シュナンは早熟で貴腐を受けにくい; ヴーヴレの多様性はドザージュだけで決まる</x:v>
      </x:c>
      <x:c r="Z148" s="171" t="str">
        <x:v>N</x:v>
      </x:c>
      <x:c r="AA148" s="165"/>
      <x:c r="AB148" s="165" t="str">
        <x:v>オリジナル</x:v>
      </x:c>
      <x:c r="AC148" s="165" t="str">
        <x:v>公式Specificationの範囲＋ユーザー作成コーパスの論点と問題設計例を参考に独自作成</x:v>
      </x:c>
      <x:c r="AD148" s="171" t="str">
        <x:v>改稿済み・専門家未承認</x:v>
      </x:c>
      <x:c r="AE148" s="171" t="str">
        <x:v>AI誤答レビュー</x:v>
      </x:c>
      <x:c r="AF148" s="171" t="str">
        <x:v>2026-07-12</x:v>
      </x:c>
      <x:c r="AG148" s="166" t="str">
        <x:v>第2バッチ：誤答を同一論点内の典型的誤概念へ置換。正答位置は維持。</x:v>
      </x:c>
    </x:row>
    <x:row r="149" ht="84" customHeight="1">
      <x:c r="A149" s="164" t="str">
        <x:v>LO2-028</x:v>
      </x:c>
      <x:c r="B149" s="171" t="str">
        <x:v>LO2</x:v>
      </x:c>
      <x:c r="C149" s="165" t="str">
        <x:v>世界の主要な非発泡性ワイン</x:v>
      </x:c>
      <x:c r="D149" s="165" t="str">
        <x:v>コンドリュー</x:v>
      </x:c>
      <x:c r="E149" s="165" t="str">
        <x:v>コンドリューのヴィオニエが高価格になりやすい要因として最も適切なものはどれか。</x:v>
      </x:c>
      <x:c r="F149" s="165" t="str">
        <x:v>緩やかな高収量畑で機械化し、大量生産できること</x:v>
      </x:c>
      <x:c r="G149" s="165" t="str">
        <x:v>高収量の平地で機械化し、長期樽熟成費だけが高い</x:v>
      </x:c>
      <x:c r="H149" s="165" t="str">
        <x:v>貴腐を毎年発生させ、甘口として長期瓶熟成する</x:v>
      </x:c>
      <x:c r="I149" s="165" t="str">
        <x:v>急斜面の低収量畑、栽培の難しさ、限られた生産量、ヴィオニエの芳香性</x:v>
      </x:c>
      <x:c r="J149" s="171" t="str">
        <x:v>D</x:v>
      </x:c>
      <x:c r="K149" s="165" t="str">
        <x:v>急斜面の低収量畑、栽培の難しさ、限られた生産量、ヴィオニエの芳香性</x:v>
      </x:c>
      <x:c r="L149" s="165" t="str">
        <x:v>正しい。手作業の急斜面と少量生産、強い市場需要が価格を高める。</x:v>
      </x:c>
      <x:c r="M149" s="165" t="str">
        <x:v>誤り。コンドリューの高価格は急斜面、低収量、手作業、少量生産による。</x:v>
      </x:c>
      <x:c r="N149" s="165" t="str">
        <x:v>誤り。コンドリューは急斜面・低収量で、機械化が難しい。</x:v>
      </x:c>
      <x:c r="O149" s="165" t="str">
        <x:v>誤り。通常は辛口で、貴腐が価格の主因ではない。</x:v>
      </x:c>
      <x:c r="P149" s="165" t="str">
        <x:v>正しい。手作業の急斜面と少量生産、強い市場需要が価格を高める。</x:v>
      </x:c>
      <x:c r="Q149" s="165" t="str">
        <x:v>商業面・産地</x:v>
      </x:c>
      <x:c r="R149" s="165" t="str">
        <x:v>急斜面・低収量・価格</x:v>
      </x:c>
      <x:c r="S149" s="165" t="str">
        <x:v>非発泡性白ワイン</x:v>
      </x:c>
      <x:c r="T149" s="165" t="str">
        <x:v>フランス</x:v>
      </x:c>
      <x:c r="U149" s="165" t="str">
        <x:v>北部ローヌ／コンドリュー</x:v>
      </x:c>
      <x:c r="V149" s="165" t="str">
        <x:v>ヴィオニエ</x:v>
      </x:c>
      <x:c r="W149" s="165" t="str">
        <x:v>統合判断</x:v>
      </x:c>
      <x:c r="X149" s="171" t="str">
        <x:v>D3</x:v>
      </x:c>
      <x:c r="Y149" s="165" t="str">
        <x:v>コンドリューを高収量・機械化産地と混同; コンドリューは高収量平地; コンドリューを貴腐甘口と混同</x:v>
      </x:c>
      <x:c r="Z149" s="171" t="str">
        <x:v>N</x:v>
      </x:c>
      <x:c r="AA149" s="165"/>
      <x:c r="AB149" s="165" t="str">
        <x:v>オリジナル</x:v>
      </x:c>
      <x:c r="AC149" s="165" t="str">
        <x:v>公式Specificationの範囲＋ユーザー作成コーパスの論点と問題設計例を参考に独自作成</x:v>
      </x:c>
      <x:c r="AD149" s="171" t="str">
        <x:v>改稿済み・専門家未承認</x:v>
      </x:c>
      <x:c r="AE149" s="171" t="str">
        <x:v>AI誤答レビュー</x:v>
      </x:c>
      <x:c r="AF149" s="171" t="str">
        <x:v>2026-07-12</x:v>
      </x:c>
      <x:c r="AG149" s="166" t="str">
        <x:v>第4バッチ：同一論点内の典型的誤概念へ置換。正答位置は維持。</x:v>
      </x:c>
    </x:row>
    <x:row r="150" ht="84" customHeight="1">
      <x:c r="A150" s="164" t="str">
        <x:v>LO2-029</x:v>
      </x:c>
      <x:c r="B150" s="171" t="str">
        <x:v>LO2</x:v>
      </x:c>
      <x:c r="C150" s="165" t="str">
        <x:v>世界の主要な非発泡性ワイン</x:v>
      </x:c>
      <x:c r="D150" s="165" t="str">
        <x:v>バンドール</x:v>
      </x:c>
      <x:c r="E150" s="165" t="str">
        <x:v>バンドールの赤ワインでムールヴェードルが重要となる主な理由はどれか。</x:v>
      </x:c>
      <x:c r="F150" s="165" t="str">
        <x:v>温暖で日照の多い地中海性気候が、晩熟な品種を十分に成熟させる</x:v>
      </x:c>
      <x:c r="G150" s="165" t="str">
        <x:v>ムールヴェードルは早熟で、極寒の短い夏だけに適する</x:v>
      </x:c>
      <x:c r="H150" s="165" t="str">
        <x:v>バンドールは冷涼な大陸性気候で、毎年アイスワインを造る</x:v>
      </x:c>
      <x:c r="I150" s="165" t="str">
        <x:v>ムールヴェードルは白ブドウで、軽い低タンニン白を造る</x:v>
      </x:c>
      <x:c r="J150" s="171" t="str">
        <x:v>A</x:v>
      </x:c>
      <x:c r="K150" s="165" t="str">
        <x:v>温暖で日照の多い地中海性気候が、晩熟な品種を十分に成熟させる</x:v>
      </x:c>
      <x:c r="L150" s="165" t="str">
        <x:v>正しい。ムールヴェードルは晩熟で高い熱量を必要とし、バンドールの暖かく乾燥した条件で、濃い果実味、高いタンニン、熟成能力を得やすい。</x:v>
      </x:c>
      <x:c r="M150" s="165" t="str">
        <x:v>正しい。ムールヴェードルは晩熟で高い熱量を必要とし、バンドールの暖かく乾燥した条件で、濃い果実味、高いタンニン、熟成能力を得やすい。</x:v>
      </x:c>
      <x:c r="N150" s="165" t="str">
        <x:v>誤り。ムールヴェードルは晩熟で、十分な暖かさを必要とする。</x:v>
      </x:c>
      <x:c r="O150" s="165" t="str">
        <x:v>誤り。バンドールは地中海沿岸の温暖な地域で、アイスワイン産地ではない。</x:v>
      </x:c>
      <x:c r="P150" s="165" t="str">
        <x:v>誤り。ムールヴェードルは黒ブドウで、構造のある赤ワインを生む。</x:v>
      </x:c>
      <x:c r="Q150" s="165" t="str">
        <x:v>自然要因・産地</x:v>
      </x:c>
      <x:c r="R150" s="165" t="str">
        <x:v>晩熟品種・地中海性気候</x:v>
      </x:c>
      <x:c r="S150" s="165" t="str">
        <x:v>非発泡性赤ワイン</x:v>
      </x:c>
      <x:c r="T150" s="165" t="str">
        <x:v>フランス</x:v>
      </x:c>
      <x:c r="U150" s="165" t="str">
        <x:v>プロヴァンス／バンドール</x:v>
      </x:c>
      <x:c r="V150" s="165" t="str">
        <x:v>ムールヴェードル</x:v>
      </x:c>
      <x:c r="W150" s="165" t="str">
        <x:v>因果説明</x:v>
      </x:c>
      <x:c r="X150" s="171" t="str">
        <x:v>D2</x:v>
      </x:c>
      <x:c r="Y150" s="165" t="str">
        <x:v>バンドールに関する別の特徴・要因と混同; バンドールに関する別の特徴・要因と混同; バンドールに関する別の特徴・要因と混同</x:v>
      </x:c>
      <x:c r="Z150" s="171" t="str">
        <x:v>N</x:v>
      </x:c>
      <x:c r="AA150" s="165"/>
      <x:c r="AB150" s="165" t="str">
        <x:v>オリジナル</x:v>
      </x:c>
      <x:c r="AC150" s="165" t="str">
        <x:v>公式Specificationの範囲＋ユーザー作成コーパスの論点と問題設計例を参考に独自作成</x:v>
      </x:c>
      <x:c r="AD150" s="171" t="str">
        <x:v>改稿済み・専門家未承認</x:v>
      </x:c>
      <x:c r="AE150" s="171" t="str">
        <x:v>AI誤答レビュー</x:v>
      </x:c>
      <x:c r="AF150" s="171" t="str">
        <x:v>2026-07-12</x:v>
      </x:c>
      <x:c r="AG150" s="166" t="str">
        <x:v>最終バッチ：有効な誤答を維持し、絶対語・物理的不可能な誤答のみ置換。正答位置は維持。</x:v>
      </x:c>
    </x:row>
    <x:row r="151" ht="84" customHeight="1">
      <x:c r="A151" s="164" t="str">
        <x:v>LO2-030</x:v>
      </x:c>
      <x:c r="B151" s="171" t="str">
        <x:v>LO2</x:v>
      </x:c>
      <x:c r="C151" s="165" t="str">
        <x:v>世界の主要な非発泡性ワイン</x:v>
      </x:c>
      <x:c r="D151" s="165" t="str">
        <x:v>ラインガウ</x:v>
      </x:c>
      <x:c r="E151" s="165" t="str">
        <x:v>ラインガウのリースリング畑で、南向き斜面とライン川が成熟を助ける仕組みはどれか。</x:v>
      </x:c>
      <x:c r="F151" s="165" t="str">
        <x:v>南向き斜面が日射を受け、川が気温を緩和し、光を反射する</x:v>
      </x:c>
      <x:c r="G151" s="165" t="str">
        <x:v>川が冷気を生み、南向き斜面の日射を相殺して酸だけを高める</x:v>
      </x:c>
      <x:c r="H151" s="165" t="str">
        <x:v>南向き斜面が雨を増やし、川が土壌の排水を止める</x:v>
      </x:c>
      <x:c r="I151" s="165" t="str">
        <x:v>川の水分が果実へ直接移り、糖度を高める</x:v>
      </x:c>
      <x:c r="J151" s="171" t="str">
        <x:v>B</x:v>
      </x:c>
      <x:c r="K151" s="165" t="str">
        <x:v>川が冷気を生み、南向き斜面の日射を相殺して酸だけを高める</x:v>
      </x:c>
      <x:c r="L151" s="165" t="str">
        <x:v>正しい。川は気温を緩和するが、日射を相殺して成熟を止めるわけではない。</x:v>
      </x:c>
      <x:c r="M151" s="165" t="str">
        <x:v>誤り。日射と川の反射・熱容量が、冷涼地域で成熟を助ける。</x:v>
      </x:c>
      <x:c r="N151" s="165" t="str">
        <x:v>正しい。川は気温を緩和するが、日射を相殺して成熟を止めるわけではない。</x:v>
      </x:c>
      <x:c r="O151" s="165" t="str">
        <x:v>誤り。方角が降雨を増やすわけではなく、川が排水を止めるわけでもない。</x:v>
      </x:c>
      <x:c r="P151" s="165" t="str">
        <x:v>誤り。糖は光合成で蓄積し、川水が果実へ直接移って糖になるのではない。</x:v>
      </x:c>
      <x:c r="Q151" s="165" t="str">
        <x:v>自然要因・産地</x:v>
      </x:c>
      <x:c r="R151" s="165" t="str">
        <x:v>方角・水域</x:v>
      </x:c>
      <x:c r="S151" s="165" t="str">
        <x:v>非発泡性白ワイン</x:v>
      </x:c>
      <x:c r="T151" s="165" t="str">
        <x:v>ドイツ</x:v>
      </x:c>
      <x:c r="U151" s="165" t="str">
        <x:v>ラインガウ</x:v>
      </x:c>
      <x:c r="V151" s="165" t="str">
        <x:v>リースリング</x:v>
      </x:c>
      <x:c r="W151" s="165" t="str">
        <x:v>因果説明</x:v>
      </x:c>
      <x:c r="X151" s="171" t="str">
        <x:v>D2</x:v>
      </x:c>
      <x:c r="Y151" s="165" t="str">
        <x:v>南向き斜面が降雨を増やし川が排水を止める; 川水が果実の糖へ直接変わる</x:v>
      </x:c>
      <x:c r="Z151" s="171" t="str">
        <x:v>N</x:v>
      </x:c>
      <x:c r="AA151" s="165"/>
      <x:c r="AB151" s="165" t="str">
        <x:v>オリジナル</x:v>
      </x:c>
      <x:c r="AC151" s="165" t="str">
        <x:v>公式Specificationの範囲＋ユーザー作成コーパスの論点と問題設計例を参考に独自作成</x:v>
      </x:c>
      <x:c r="AD151" s="171" t="str">
        <x:v>改稿済み・専門家未承認</x:v>
      </x:c>
      <x:c r="AE151" s="171" t="str">
        <x:v>AI誤答レビュー</x:v>
      </x:c>
      <x:c r="AF151" s="171" t="str">
        <x:v>2026-07-12</x:v>
      </x:c>
      <x:c r="AG151" s="166" t="str">
        <x:v>第3バッチ：同一論点内の典型的誤概念へ置換。正答位置は維持。</x:v>
      </x:c>
    </x:row>
    <x:row r="152" ht="84" customHeight="1">
      <x:c r="A152" s="164" t="str">
        <x:v>LO2-031</x:v>
      </x:c>
      <x:c r="B152" s="171" t="str">
        <x:v>LO2</x:v>
      </x:c>
      <x:c r="C152" s="165" t="str">
        <x:v>世界の主要な非発泡性ワイン</x:v>
      </x:c>
      <x:c r="D152" s="165" t="str">
        <x:v>ファルツ</x:v>
      </x:c>
      <x:c r="E152" s="165" t="str">
        <x:v>ファルツが、モーゼルより豊かで辛口のリースリングを造りやすい主な理由はどれか。</x:v>
      </x:c>
      <x:c r="F152" s="165" t="str">
        <x:v>モーゼルより高緯度で、日照時間が短いため</x:v>
      </x:c>
      <x:c r="G152" s="165" t="str">
        <x:v>ハールト山地の風上側で降水が多く、成熟が遅れるため</x:v>
      </x:c>
      <x:c r="H152" s="165" t="str">
        <x:v>ハールト山地の雨陰で比較的温暖かつ乾燥し、ブドウが高い成熟度に達しやすい</x:v>
      </x:c>
      <x:c r="I152" s="165" t="str">
        <x:v>より急な粘板岩斜面だけを使用し、低アルコールを重視するため</x:v>
      </x:c>
      <x:c r="J152" s="171" t="str">
        <x:v>C</x:v>
      </x:c>
      <x:c r="K152" s="165" t="str">
        <x:v>ハールト山地の雨陰で比較的温暖かつ乾燥し、ブドウが高い成熟度に達しやすい</x:v>
      </x:c>
      <x:c r="L152" s="165" t="str">
        <x:v>正しい。温暖さと日照が、より高い成熟度とボディをもたらす。</x:v>
      </x:c>
      <x:c r="M152" s="165" t="str">
        <x:v>誤り。ファルツはモーゼルより南寄りで温暖であり、高緯度ではない。</x:v>
      </x:c>
      <x:c r="N152" s="165" t="str">
        <x:v>誤り。雨陰によって比較的乾燥し、風上の多雨条件ではない。</x:v>
      </x:c>
      <x:c r="O152" s="165" t="str">
        <x:v>正しい。温暖さと日照が、より高い成熟度とボディをもたらす。</x:v>
      </x:c>
      <x:c r="P152" s="165" t="str">
        <x:v>誤り。粘板岩急斜面と低アルコールはモーゼルのイメージに近い。</x:v>
      </x:c>
      <x:c r="Q152" s="165" t="str">
        <x:v>自然要因・産地</x:v>
      </x:c>
      <x:c r="R152" s="165" t="str">
        <x:v>雨陰・成熟</x:v>
      </x:c>
      <x:c r="S152" s="165" t="str">
        <x:v>非発泡性白ワイン</x:v>
      </x:c>
      <x:c r="T152" s="165" t="str">
        <x:v>ドイツ</x:v>
      </x:c>
      <x:c r="U152" s="165" t="str">
        <x:v>ファルツ</x:v>
      </x:c>
      <x:c r="V152" s="165" t="str">
        <x:v>リースリング</x:v>
      </x:c>
      <x:c r="W152" s="165" t="str">
        <x:v>因果説明</x:v>
      </x:c>
      <x:c r="X152" s="171" t="str">
        <x:v>D2</x:v>
      </x:c>
      <x:c r="Y152" s="165" t="str">
        <x:v>ファルツはモーゼルより高緯度; ファルツは風上多雨; ファルツは粘板岩急斜面・低アルコール中心</x:v>
      </x:c>
      <x:c r="Z152" s="171" t="str">
        <x:v>N</x:v>
      </x:c>
      <x:c r="AA152" s="165"/>
      <x:c r="AB152" s="165" t="str">
        <x:v>オリジナル</x:v>
      </x:c>
      <x:c r="AC152" s="165" t="str">
        <x:v>公式Specificationの範囲＋ユーザー作成コーパスの論点と問題設計例を参考に独自作成</x:v>
      </x:c>
      <x:c r="AD152" s="171" t="str">
        <x:v>改稿済み・専門家未承認</x:v>
      </x:c>
      <x:c r="AE152" s="171" t="str">
        <x:v>AI誤答レビュー</x:v>
      </x:c>
      <x:c r="AF152" s="171" t="str">
        <x:v>2026-07-12</x:v>
      </x:c>
      <x:c r="AG152" s="166" t="str">
        <x:v>第3バッチ：同一論点内の典型的誤概念へ置換。正答位置は維持。</x:v>
      </x:c>
    </x:row>
    <x:row r="153" ht="84" customHeight="1">
      <x:c r="A153" s="164" t="str">
        <x:v>LO2-032</x:v>
      </x:c>
      <x:c r="B153" s="171" t="str">
        <x:v>LO2</x:v>
      </x:c>
      <x:c r="C153" s="165" t="str">
        <x:v>世界の主要な非発泡性ワイン</x:v>
      </x:c>
      <x:c r="D153" s="165" t="str">
        <x:v>ブルゲンラント</x:v>
      </x:c>
      <x:c r="E153" s="165" t="str">
        <x:v>ブルゲンラントで貴腐の影響を受けた甘口ワインを造りやすい主な自然要因はどれか。</x:v>
      </x:c>
      <x:c r="F153" s="165" t="str">
        <x:v>強い塩水を果房へ散布し、糖を加えること</x:v>
      </x:c>
      <x:c r="G153" s="165" t="str">
        <x:v>海抜の低さにより、果粒が自然に凍結すること</x:v>
      </x:c>
      <x:c r="H153" s="165" t="str">
        <x:v>一年を通じた完全な乾燥で、菌類が全く存在しないこと</x:v>
      </x:c>
      <x:c r="I153" s="165" t="str">
        <x:v>ノイジードラー湖周辺の朝霧と、その後の暖かく乾いた条件</x:v>
      </x:c>
      <x:c r="J153" s="171" t="str">
        <x:v>D</x:v>
      </x:c>
      <x:c r="K153" s="165" t="str">
        <x:v>ノイジードラー湖周辺の朝霧と、その後の暖かく乾いた条件</x:v>
      </x:c>
      <x:c r="L153" s="165" t="str">
        <x:v>正しい。湖からの湿気が朝に貴腐菌の発生を促し、午後の乾燥が果粒の水分蒸発と健全な濃縮を助ける。</x:v>
      </x:c>
      <x:c r="M153" s="165" t="str">
        <x:v>誤り。塩水散布は貴腐や糖分濃縮の方法ではない。</x:v>
      </x:c>
      <x:c r="N153" s="165" t="str">
        <x:v>誤り。ブルゲンラントの貴腐は湖の湿気と乾燥の組み合わせが中心で、凍結濃縮とは異なる。</x:v>
      </x:c>
      <x:c r="O153" s="165" t="str">
        <x:v>誤り。貴腐には一定の湿気が必要で、完全な乾燥では発生しにくい。</x:v>
      </x:c>
      <x:c r="P153" s="165" t="str">
        <x:v>正しい。湖からの湿気が朝に貴腐菌の発生を促し、午後の乾燥が果粒の水分蒸発と健全な濃縮を助ける。</x:v>
      </x:c>
      <x:c r="Q153" s="165" t="str">
        <x:v>自然要因・産地</x:v>
      </x:c>
      <x:c r="R153" s="165" t="str">
        <x:v>貴腐・湖</x:v>
      </x:c>
      <x:c r="S153" s="165" t="str">
        <x:v>非発泡性甘口白ワイン</x:v>
      </x:c>
      <x:c r="T153" s="165" t="str">
        <x:v>オーストリア</x:v>
      </x:c>
      <x:c r="U153" s="165" t="str">
        <x:v>ブルゲンラント</x:v>
      </x:c>
      <x:c r="V153" s="165" t="str">
        <x:v>ヴェルシュリースリング等</x:v>
      </x:c>
      <x:c r="W153" s="165" t="str">
        <x:v>因果説明</x:v>
      </x:c>
      <x:c r="X153" s="171" t="str">
        <x:v>D2</x:v>
      </x:c>
      <x:c r="Y153" s="165" t="str">
        <x:v>ブルゲンラントについて関連要因を主因とみなす; ブルゲンラントについて関連要因を主因とみなす; ブルゲンラントについて関連要因を主因とみなす</x:v>
      </x:c>
      <x:c r="Z153" s="171" t="str">
        <x:v>N</x:v>
      </x:c>
      <x:c r="AA153" s="165"/>
      <x:c r="AB153" s="165" t="str">
        <x:v>オリジナル</x:v>
      </x:c>
      <x:c r="AC153" s="165" t="str">
        <x:v>公式Specificationの範囲＋ユーザー作成コーパスの論点と問題設計例を参考に独自作成</x:v>
      </x:c>
      <x:c r="AD153" s="171" t="str">
        <x:v>改稿済み・専門家未承認</x:v>
      </x:c>
      <x:c r="AE153" s="171" t="str">
        <x:v>AI誤答レビュー</x:v>
      </x:c>
      <x:c r="AF153" s="171" t="str">
        <x:v>2026-07-12</x:v>
      </x:c>
      <x:c r="AG153" s="166" t="str">
        <x:v>第5バッチ：使用可能な誤答を維持し、弱い誤答を因果逆転・隣接概念へ置換。正答位置は維持。</x:v>
      </x:c>
    </x:row>
    <x:row r="154" ht="84" customHeight="1">
      <x:c r="A154" s="164" t="str">
        <x:v>LO2-033</x:v>
      </x:c>
      <x:c r="B154" s="171" t="str">
        <x:v>LO2</x:v>
      </x:c>
      <x:c r="C154" s="165" t="str">
        <x:v>世界の主要な非発泡性ワイン</x:v>
      </x:c>
      <x:c r="D154" s="165" t="str">
        <x:v>サントリーニ</x:v>
      </x:c>
      <x:c r="E154" s="165" t="str">
        <x:v>サントリーニでブドウ樹を低い籠状に仕立てる主な目的はどれか。</x:v>
      </x:c>
      <x:c r="F154" s="165" t="str">
        <x:v>強風と乾燥から新梢や果房を守り、地面近くの湿気を利用する</x:v>
      </x:c>
      <x:c r="G154" s="165" t="str">
        <x:v>積雪の上へ果房を持ち上げ、凍結を促す</x:v>
      </x:c>
      <x:c r="H154" s="165" t="str">
        <x:v>機械収穫の速度を最大化する</x:v>
      </x:c>
      <x:c r="I154" s="165" t="str">
        <x:v>果房を水中へ沈め、塩味を加える</x:v>
      </x:c>
      <x:c r="J154" s="171" t="str">
        <x:v>A</x:v>
      </x:c>
      <x:c r="K154" s="165" t="str">
        <x:v>強風と乾燥から新梢や果房を守り、地面近くの湿気を利用する</x:v>
      </x:c>
      <x:c r="L154" s="165" t="str">
        <x:v>正しい。籠状の仕立ては果房を風と砂から守り、島の極端な乾燥条件で樹の周囲に湿気を保ちやすくする。</x:v>
      </x:c>
      <x:c r="M154" s="165" t="str">
        <x:v>正しい。籠状の仕立ては果房を風と砂から守り、島の極端な乾燥条件で樹の周囲に湿気を保ちやすくする。</x:v>
      </x:c>
      <x:c r="N154" s="165" t="str">
        <x:v>誤り。サントリーニは温暖で乾燥した島で、積雪と凍結を利用する仕立てではない。</x:v>
      </x:c>
      <x:c r="O154" s="165" t="str">
        <x:v>誤り。低い籠状仕立ては手作業が多く、機械収穫の効率化が主目的ではない。</x:v>
      </x:c>
      <x:c r="P154" s="165" t="str">
        <x:v>誤り。果房を海水へ沈める方法ではなく、風と乾燥への適応である。</x:v>
      </x:c>
      <x:c r="Q154" s="165" t="str">
        <x:v>人的要因（畑）</x:v>
      </x:c>
      <x:c r="R154" s="165" t="str">
        <x:v>仕立て・風害乾燥</x:v>
      </x:c>
      <x:c r="S154" s="165" t="str">
        <x:v>非発泡性白ワイン</x:v>
      </x:c>
      <x:c r="T154" s="165" t="str">
        <x:v>ギリシャ</x:v>
      </x:c>
      <x:c r="U154" s="165" t="str">
        <x:v>サントリーニ</x:v>
      </x:c>
      <x:c r="V154" s="165" t="str">
        <x:v>アシルティコ</x:v>
      </x:c>
      <x:c r="W154" s="165" t="str">
        <x:v>因果説明</x:v>
      </x:c>
      <x:c r="X154" s="171" t="str">
        <x:v>D2</x:v>
      </x:c>
      <x:c r="Y154" s="165" t="str">
        <x:v>サントリーニに関する別の特徴・要因と混同; サントリーニに関する別の特徴・要因と混同; サントリーニに関する別の特徴・要因と混同</x:v>
      </x:c>
      <x:c r="Z154" s="171" t="str">
        <x:v>N</x:v>
      </x:c>
      <x:c r="AA154" s="165"/>
      <x:c r="AB154" s="165" t="str">
        <x:v>オリジナル</x:v>
      </x:c>
      <x:c r="AC154" s="165" t="str">
        <x:v>公式Specificationの範囲＋ユーザー作成コーパスの論点と問題設計例を参考に独自作成</x:v>
      </x:c>
      <x:c r="AD154" s="171" t="str">
        <x:v>改稿済み・専門家未承認</x:v>
      </x:c>
      <x:c r="AE154" s="171" t="str">
        <x:v>AI誤答レビュー</x:v>
      </x:c>
      <x:c r="AF154" s="171" t="str">
        <x:v>2026-07-12</x:v>
      </x:c>
      <x:c r="AG154" s="166" t="str">
        <x:v>最終バッチ：有効な誤答を維持し、絶対語・物理的不可能な誤答のみ置換。正答位置は維持。</x:v>
      </x:c>
    </x:row>
    <x:row r="155" ht="84" customHeight="1">
      <x:c r="A155" s="164" t="str">
        <x:v>LO2-034</x:v>
      </x:c>
      <x:c r="B155" s="171" t="str">
        <x:v>LO2</x:v>
      </x:c>
      <x:c r="C155" s="165" t="str">
        <x:v>世界の主要な非発泡性ワイン</x:v>
      </x:c>
      <x:c r="D155" s="165" t="str">
        <x:v>ナウサ</x:v>
      </x:c>
      <x:c r="E155" s="165" t="str">
        <x:v>ナウサのクシノマヴロから造られる赤ワインの典型的な構造はどれか。</x:v>
      </x:c>
      <x:c r="F155" s="165" t="str">
        <x:v>濃い黒系果実、低い酸、柔らかなタンニンを持つ早飲みの赤</x:v>
      </x:c>
      <x:c r="G155" s="165" t="str">
        <x:v>高い酸とタンニン、淡めの色、赤系果実とトマト・オリーブの香り</x:v>
      </x:c>
      <x:c r="H155" s="165" t="str">
        <x:v>低い酸と柔らかなタンニン、濃い黒果実の早飲み赤</x:v>
      </x:c>
      <x:c r="I155" s="165" t="str">
        <x:v>高い残糖と低アルコールを持つ甘口赤</x:v>
      </x:c>
      <x:c r="J155" s="171" t="str">
        <x:v>B</x:v>
      </x:c>
      <x:c r="K155" s="165" t="str">
        <x:v>高い酸とタンニン、淡めの色、赤系果実とトマト・オリーブの香り</x:v>
      </x:c>
      <x:c r="L155" s="165" t="str">
        <x:v>正しい。クシノマヴロは淡色でも強い構造と個性的な香りを持つ。</x:v>
      </x:c>
      <x:c r="M155" s="165" t="str">
        <x:v>誤り。ナウサのクシノマヴロは淡めの色でも高い酸とタンニンを持ち、熟成力がある。</x:v>
      </x:c>
      <x:c r="N155" s="165" t="str">
        <x:v>正しい。クシノマヴロは淡色でも強い構造と個性的な香りを持つ。</x:v>
      </x:c>
      <x:c r="O155" s="165" t="str">
        <x:v>誤り。クシノマヴロは高酸・高タンニンである。</x:v>
      </x:c>
      <x:c r="P155" s="165" t="str">
        <x:v>誤り。通常は辛口。</x:v>
      </x:c>
      <x:c r="Q155" s="165" t="str">
        <x:v>産地スタイル</x:v>
      </x:c>
      <x:c r="R155" s="165" t="str">
        <x:v>品種構造・熟成能力</x:v>
      </x:c>
      <x:c r="S155" s="165" t="str">
        <x:v>非発泡性赤ワイン</x:v>
      </x:c>
      <x:c r="T155" s="165" t="str">
        <x:v>ギリシャ</x:v>
      </x:c>
      <x:c r="U155" s="165" t="str">
        <x:v>ナウサ</x:v>
      </x:c>
      <x:c r="V155" s="165" t="str">
        <x:v>クシノマヴロ</x:v>
      </x:c>
      <x:c r="W155" s="165" t="str">
        <x:v>知識確認</x:v>
      </x:c>
      <x:c r="X155" s="171" t="str">
        <x:v>D1</x:v>
      </x:c>
      <x:c r="Y155" s="165" t="str">
        <x:v>ナウサを低酸・柔らかな早飲み赤と混同; ナウサを低酸柔らか型と混同; ナウサを甘口赤と混同</x:v>
      </x:c>
      <x:c r="Z155" s="171" t="str">
        <x:v>N</x:v>
      </x:c>
      <x:c r="AA155" s="165"/>
      <x:c r="AB155" s="165" t="str">
        <x:v>オリジナル</x:v>
      </x:c>
      <x:c r="AC155" s="165" t="str">
        <x:v>公式Specificationの範囲＋ユーザー作成コーパスの論点と問題設計例を参考に独自作成</x:v>
      </x:c>
      <x:c r="AD155" s="171" t="str">
        <x:v>改稿済み・専門家未承認</x:v>
      </x:c>
      <x:c r="AE155" s="171" t="str">
        <x:v>AI誤答レビュー</x:v>
      </x:c>
      <x:c r="AF155" s="171" t="str">
        <x:v>2026-07-12</x:v>
      </x:c>
      <x:c r="AG155" s="166" t="str">
        <x:v>第4バッチ：同一論点内の典型的誤概念へ置換。正答位置は維持。</x:v>
      </x:c>
    </x:row>
    <x:row r="156" ht="84" customHeight="1">
      <x:c r="A156" s="164" t="str">
        <x:v>LO2-035</x:v>
      </x:c>
      <x:c r="B156" s="171" t="str">
        <x:v>LO2</x:v>
      </x:c>
      <x:c r="C156" s="165" t="str">
        <x:v>世界の主要な非発泡性ワイン</x:v>
      </x:c>
      <x:c r="D156" s="165" t="str">
        <x:v>ソアーヴェ・クラッシコ</x:v>
      </x:c>
      <x:c r="E156" s="165" t="str">
        <x:v>ソアーヴェ・クラッシコが一般的な平地産ソアーヴェより高い品質を持ちやすい理由はどれか。</x:v>
      </x:c>
      <x:c r="F156" s="165" t="str">
        <x:v>平地の肥沃な畑で最大収量を得ることが、クラッシコ表示の条件である</x:v>
      </x:c>
      <x:c r="G156" s="165" t="str">
        <x:v>多くのブドウを凍結し、甘口にする</x:v>
      </x:c>
      <x:c r="H156" s="165" t="str">
        <x:v>歴史的な丘陵地帯で、排水と日照に恵まれ、収量を抑えたガルガーネガを得やすい</x:v>
      </x:c>
      <x:c r="I156" s="165" t="str">
        <x:v>黒ブドウだけを使い、長期果皮浸漬で高タンニン赤を造る</x:v>
      </x:c>
      <x:c r="J156" s="171" t="str">
        <x:v>C</x:v>
      </x:c>
      <x:c r="K156" s="165" t="str">
        <x:v>歴史的な丘陵地帯で、排水と日照に恵まれ、収量を抑えたガルガーネガを得やすい</x:v>
      </x:c>
      <x:c r="L156" s="165" t="str">
        <x:v>正しい。クラッシコ地区の丘陵畑は平地より排水性と日照に恵まれ、凝縮したガルガーネガから、より風味と酸のあるワインを造りやすい。</x:v>
      </x:c>
      <x:c r="M156" s="165" t="str">
        <x:v>誤り。クラッシコは歴史的な中核地区を示し、丘陵地が中心である。</x:v>
      </x:c>
      <x:c r="N156" s="165" t="str">
        <x:v>誤り。凍結濃縮はソアーヴェ・クラッシコの標準的な製法ではない。</x:v>
      </x:c>
      <x:c r="O156" s="165" t="str">
        <x:v>正しい。クラッシコ地区の丘陵畑は平地より排水性と日照に恵まれ、凝縮したガルガーネガから、より風味と酸のあるワインを造りやすい。</x:v>
      </x:c>
      <x:c r="P156" s="165" t="str">
        <x:v>誤り。ソアーヴェは主にガルガーネガから造る白ワインである。</x:v>
      </x:c>
      <x:c r="Q156" s="165" t="str">
        <x:v>法律面・自然要因</x:v>
      </x:c>
      <x:c r="R156" s="165" t="str">
        <x:v>クラッシコ・丘陵</x:v>
      </x:c>
      <x:c r="S156" s="165" t="str">
        <x:v>非発泡性白ワイン</x:v>
      </x:c>
      <x:c r="T156" s="165" t="str">
        <x:v>イタリア</x:v>
      </x:c>
      <x:c r="U156" s="165" t="str">
        <x:v>ヴェネト／ソアーヴェ・クラッシコ</x:v>
      </x:c>
      <x:c r="V156" s="165" t="str">
        <x:v>ガルガーネガ</x:v>
      </x:c>
      <x:c r="W156" s="165" t="str">
        <x:v>統合判断</x:v>
      </x:c>
      <x:c r="X156" s="171" t="str">
        <x:v>D3</x:v>
      </x:c>
      <x:c r="Y156" s="165" t="str">
        <x:v>ソアーヴェ・クラッシコについて関連要因を主因とみなす; ソアーヴェ・クラッシコについて関連要因を主因とみなす; ソアーヴェ・クラッシコについて関連要因を主因とみなす</x:v>
      </x:c>
      <x:c r="Z156" s="171" t="str">
        <x:v>Y</x:v>
      </x:c>
      <x:c r="AA156" s="165" t="str">
        <x:v>Classico表示の説明は現行の産地規定と日本語教材表現の最終照合を推奨</x:v>
      </x:c>
      <x:c r="AB156" s="165" t="str">
        <x:v>オリジナル</x:v>
      </x:c>
      <x:c r="AC156" s="165" t="str">
        <x:v>公式Specificationの範囲＋ユーザー作成コーパスの論点と問題設計例を参考に独自作成</x:v>
      </x:c>
      <x:c r="AD156" s="171" t="str">
        <x:v>改稿済み・専門家未承認</x:v>
      </x:c>
      <x:c r="AE156" s="171" t="str">
        <x:v>AI誤答レビュー</x:v>
      </x:c>
      <x:c r="AF156" s="171" t="str">
        <x:v>2026-07-12</x:v>
      </x:c>
      <x:c r="AG156" s="166" t="str">
        <x:v>第5バッチ：使用可能な誤答を維持し、弱い誤答を因果逆転・隣接概念へ置換。正答位置は維持。</x:v>
      </x:c>
    </x:row>
    <x:row r="157" ht="84" customHeight="1">
      <x:c r="A157" s="164" t="str">
        <x:v>LO2-036</x:v>
      </x:c>
      <x:c r="B157" s="171" t="str">
        <x:v>LO2</x:v>
      </x:c>
      <x:c r="C157" s="165" t="str">
        <x:v>世界の主要な非発泡性ワイン</x:v>
      </x:c>
      <x:c r="D157" s="165" t="str">
        <x:v>アマローネ</x:v>
      </x:c>
      <x:c r="E157" s="165" t="str">
        <x:v>アマローネ・デッラ・ヴァルポリチェッラが高アルコールで濃厚な辛口になりやすい主な理由はどれか。</x:v>
      </x:c>
      <x:c r="F157" s="165" t="str">
        <x:v>発酵を早期に止めて、低アルコールの甘口にする</x:v>
      </x:c>
      <x:c r="G157" s="165" t="str">
        <x:v>収穫前にブドウを水へ浸し、果汁を希釈する</x:v>
      </x:c>
      <x:c r="H157" s="165" t="str">
        <x:v>白ブドウを炭酸ガス注入して発泡性にする</x:v>
      </x:c>
      <x:c r="I157" s="165" t="str">
        <x:v>収穫後にブドウを乾燥させて糖と風味を濃縮し、その糖の多くを発酵させる</x:v>
      </x:c>
      <x:c r="J157" s="171" t="str">
        <x:v>D</x:v>
      </x:c>
      <x:c r="K157" s="165" t="str">
        <x:v>収穫後にブドウを乾燥させて糖と風味を濃縮し、その糖の多くを発酵させる</x:v>
      </x:c>
      <x:c r="L157" s="165" t="str">
        <x:v>正しい。アパッシメントで水分を減らした高糖度果汁を発酵するため、高いアルコール、豊かなボディ、乾燥果実風味を持つ辛口になりやすい。</x:v>
      </x:c>
      <x:c r="M157" s="165" t="str">
        <x:v>誤り。これはレチョートなど甘口スタイルに近く、アマローネの典型ではない。</x:v>
      </x:c>
      <x:c r="N157" s="165" t="str">
        <x:v>誤り。アパッシメントは水分を減らす工程で、希釈とは逆である。</x:v>
      </x:c>
      <x:c r="O157" s="165" t="str">
        <x:v>誤り。アマローネは黒ブドウの非発泡性赤ワインである。</x:v>
      </x:c>
      <x:c r="P157" s="165" t="str">
        <x:v>正しい。アパッシメントで水分を減らした高糖度果汁を発酵するため、高いアルコール、豊かなボディ、乾燥果実風味を持つ辛口になりやすい。</x:v>
      </x:c>
      <x:c r="Q157" s="165" t="str">
        <x:v>醸造・産地</x:v>
      </x:c>
      <x:c r="R157" s="165" t="str">
        <x:v>アパッシメント・辛口発酵</x:v>
      </x:c>
      <x:c r="S157" s="165" t="str">
        <x:v>非発泡性赤ワイン</x:v>
      </x:c>
      <x:c r="T157" s="165" t="str">
        <x:v>イタリア</x:v>
      </x:c>
      <x:c r="U157" s="165" t="str">
        <x:v>ヴェネト／ヴァルポリチェッラ</x:v>
      </x:c>
      <x:c r="V157" s="165" t="str">
        <x:v>コルヴィーナ等</x:v>
      </x:c>
      <x:c r="W157" s="165" t="str">
        <x:v>因果説明</x:v>
      </x:c>
      <x:c r="X157" s="171" t="str">
        <x:v>D2</x:v>
      </x:c>
      <x:c r="Y157" s="165" t="str">
        <x:v>アマローネに関する別の特徴・要因と混同; アマローネに関する別の特徴・要因と混同; アマローネに関する別の特徴・要因と混同</x:v>
      </x:c>
      <x:c r="Z157" s="171" t="str">
        <x:v>N</x:v>
      </x:c>
      <x:c r="AA157" s="165"/>
      <x:c r="AB157" s="165" t="str">
        <x:v>オリジナル</x:v>
      </x:c>
      <x:c r="AC157" s="165" t="str">
        <x:v>公式Specificationの範囲＋ユーザー作成コーパスの論点と問題設計例を参考に独自作成</x:v>
      </x:c>
      <x:c r="AD157" s="171" t="str">
        <x:v>改稿済み・専門家未承認</x:v>
      </x:c>
      <x:c r="AE157" s="171" t="str">
        <x:v>AI誤答レビュー</x:v>
      </x:c>
      <x:c r="AF157" s="171" t="str">
        <x:v>2026-07-12</x:v>
      </x:c>
      <x:c r="AG157" s="166" t="str">
        <x:v>最終バッチ：有効な誤答を維持し、絶対語・物理的不可能な誤答のみ置換。正答位置は維持。</x:v>
      </x:c>
    </x:row>
    <x:row r="158" ht="84" customHeight="1">
      <x:c r="A158" s="164" t="str">
        <x:v>LO2-037</x:v>
      </x:c>
      <x:c r="B158" s="171" t="str">
        <x:v>LO2</x:v>
      </x:c>
      <x:c r="C158" s="165" t="str">
        <x:v>世界の主要な非発泡性ワイン</x:v>
      </x:c>
      <x:c r="D158" s="165" t="str">
        <x:v>キアンティ・クラッシコ</x:v>
      </x:c>
      <x:c r="E158" s="165" t="str">
        <x:v>キアンティ・クラッシコのサンジョヴェーゼに典型的な特徴はどれか。</x:v>
      </x:c>
      <x:c r="F158" s="165" t="str">
        <x:v>高い酸、中程度以上のタンニン、サワーチェリー、乾燥ハーブを持つ辛口赤</x:v>
      </x:c>
      <x:c r="G158" s="165" t="str">
        <x:v>熟したプラム、低い酸、柔らかなタンニン、高いアルコールを持つ赤</x:v>
      </x:c>
      <x:c r="H158" s="165" t="str">
        <x:v>低い酸、柔らかなタンニン、ジャム状黒果実を持つ高アルコール赤</x:v>
      </x:c>
      <x:c r="I158" s="165" t="str">
        <x:v>淡い色、低タンニン、花香中心のピノ・ノワール型赤</x:v>
      </x:c>
      <x:c r="J158" s="171" t="str">
        <x:v>A</x:v>
      </x:c>
      <x:c r="K158" s="165" t="str">
        <x:v>高い酸、中程度以上のタンニン、サワーチェリー、乾燥ハーブを持つ辛口赤</x:v>
      </x:c>
      <x:c r="L158" s="165" t="str">
        <x:v>正しい。標高ある丘陵とサンジョヴェーゼの高酸・タンニンが典型的な構造を作る。</x:v>
      </x:c>
      <x:c r="M158" s="165" t="str">
        <x:v>正しい。標高ある丘陵とサンジョヴェーゼの高酸・タンニンが典型的な構造を作る。</x:v>
      </x:c>
      <x:c r="N158" s="165" t="str">
        <x:v>誤り。キアンティ・クラッシコのサンジョヴェーゼは高い酸と明瞭なタンニン、サワーチェリーが典型である。</x:v>
      </x:c>
      <x:c r="O158" s="165" t="str">
        <x:v>誤り。温暖地グルナッシュ型に近く、サンジョヴェーゼらしくない。</x:v>
      </x:c>
      <x:c r="P158" s="165" t="str">
        <x:v>誤り。サンジョヴェーゼはより高酸・高タンニン。</x:v>
      </x:c>
      <x:c r="Q158" s="165" t="str">
        <x:v>品種・産地</x:v>
      </x:c>
      <x:c r="R158" s="165" t="str">
        <x:v>サンジョヴェーゼ・スタイル</x:v>
      </x:c>
      <x:c r="S158" s="165" t="str">
        <x:v>非発泡性赤ワイン</x:v>
      </x:c>
      <x:c r="T158" s="165" t="str">
        <x:v>イタリア</x:v>
      </x:c>
      <x:c r="U158" s="165" t="str">
        <x:v>トスカーナ／キアンティ・クラッシコ</x:v>
      </x:c>
      <x:c r="V158" s="165" t="str">
        <x:v>サンジョヴェーゼ</x:v>
      </x:c>
      <x:c r="W158" s="165" t="str">
        <x:v>知識確認</x:v>
      </x:c>
      <x:c r="X158" s="171" t="str">
        <x:v>D1</x:v>
      </x:c>
      <x:c r="Y158" s="165" t="str">
        <x:v>キアンティを低酸・柔らかな温暖型赤と混同; キアンティを低酸ジャム型と混同; キアンティをピノ型と混同</x:v>
      </x:c>
      <x:c r="Z158" s="171" t="str">
        <x:v>N</x:v>
      </x:c>
      <x:c r="AA158" s="165"/>
      <x:c r="AB158" s="165" t="str">
        <x:v>オリジナル</x:v>
      </x:c>
      <x:c r="AC158" s="165" t="str">
        <x:v>公式Specificationの範囲＋ユーザー作成コーパスの論点と問題設計例を参考に独自作成</x:v>
      </x:c>
      <x:c r="AD158" s="171" t="str">
        <x:v>改稿済み・専門家未承認</x:v>
      </x:c>
      <x:c r="AE158" s="171" t="str">
        <x:v>AI誤答レビュー</x:v>
      </x:c>
      <x:c r="AF158" s="171" t="str">
        <x:v>2026-07-12</x:v>
      </x:c>
      <x:c r="AG158" s="166" t="str">
        <x:v>第4バッチ：同一論点内の典型的誤概念へ置換。正答位置は維持。</x:v>
      </x:c>
    </x:row>
    <x:row r="159" ht="84" customHeight="1">
      <x:c r="A159" s="164" t="str">
        <x:v>LO2-038</x:v>
      </x:c>
      <x:c r="B159" s="171" t="str">
        <x:v>LO2</x:v>
      </x:c>
      <x:c r="C159" s="165" t="str">
        <x:v>世界の主要な非発泡性ワイン</x:v>
      </x:c>
      <x:c r="D159" s="165" t="str">
        <x:v>リベラ・デル・ドゥエロ</x:v>
      </x:c>
      <x:c r="E159" s="165" t="str">
        <x:v>リベラ・デル・ドゥエロでテンプラニーリョが高い酸を保ちながら十分に成熟できる主な理由はどれか。</x:v>
      </x:c>
      <x:c r="F159" s="165" t="str">
        <x:v>低い標高と大きな日較差により、昼に成熟し夜に酸を保つ</x:v>
      </x:c>
      <x:c r="G159" s="165" t="str">
        <x:v>高い標高と大きな日較差により、昼に成熟し夜に酸を保つ</x:v>
      </x:c>
      <x:c r="H159" s="165" t="str">
        <x:v>海洋性の霧が一日中日射を遮り、低糖度のまま熟成する</x:v>
      </x:c>
      <x:c r="I159" s="165" t="str">
        <x:v>低標高の高温で酸が低下するため、酸添加が品質の中心になる</x:v>
      </x:c>
      <x:c r="J159" s="171" t="str">
        <x:v>B</x:v>
      </x:c>
      <x:c r="K159" s="165" t="str">
        <x:v>高い標高と大きな日較差により、昼に成熟し夜に酸を保つ</x:v>
      </x:c>
      <x:c r="L159" s="165" t="str">
        <x:v>正しい。強い日照と冷涼な夜が、果実濃度と酸の両立を助ける。</x:v>
      </x:c>
      <x:c r="M159" s="165" t="str">
        <x:v>誤り。正答では「高い標高」ことが重要であり、この選択肢は「低い標高」へ置き換えて関係を逆にしている。</x:v>
      </x:c>
      <x:c r="N159" s="165" t="str">
        <x:v>正しい。強い日照と冷涼な夜が、果実濃度と酸の両立を助ける。</x:v>
      </x:c>
      <x:c r="O159" s="165" t="str">
        <x:v>誤り。内陸高原で海洋霧の影響は弱い。</x:v>
      </x:c>
      <x:c r="P159" s="165" t="str">
        <x:v>誤り。高標高で自然な酸を保持する。</x:v>
      </x:c>
      <x:c r="Q159" s="165" t="str">
        <x:v>自然要因・産地</x:v>
      </x:c>
      <x:c r="R159" s="165" t="str">
        <x:v>高標高・日較差</x:v>
      </x:c>
      <x:c r="S159" s="165" t="str">
        <x:v>非発泡性赤ワイン</x:v>
      </x:c>
      <x:c r="T159" s="165" t="str">
        <x:v>スペイン</x:v>
      </x:c>
      <x:c r="U159" s="165" t="str">
        <x:v>リベラ・デル・ドゥエロ</x:v>
      </x:c>
      <x:c r="V159" s="165" t="str">
        <x:v>テンプラニーリョ</x:v>
      </x:c>
      <x:c r="W159" s="165" t="str">
        <x:v>因果説明</x:v>
      </x:c>
      <x:c r="X159" s="171" t="str">
        <x:v>D2</x:v>
      </x:c>
      <x:c r="Y159" s="165" t="str">
        <x:v>「高い標高」と「低い標高」の関係を逆転; リベラを海洋霧の産地とみなす; リベラを低標高・酸添加型とみなす</x:v>
      </x:c>
      <x:c r="Z159" s="171" t="str">
        <x:v>N</x:v>
      </x:c>
      <x:c r="AA159" s="165"/>
      <x:c r="AB159" s="165" t="str">
        <x:v>オリジナル</x:v>
      </x:c>
      <x:c r="AC159" s="165" t="str">
        <x:v>公式Specificationの範囲＋ユーザー作成コーパスの論点と問題設計例を参考に独自作成</x:v>
      </x:c>
      <x:c r="AD159" s="171" t="str">
        <x:v>改稿済み・専門家未承認</x:v>
      </x:c>
      <x:c r="AE159" s="171" t="str">
        <x:v>AI誤答レビュー</x:v>
      </x:c>
      <x:c r="AF159" s="171" t="str">
        <x:v>2026-07-12</x:v>
      </x:c>
      <x:c r="AG159" s="166" t="str">
        <x:v>第4バッチ：同一論点内の典型的誤概念へ置換。正答位置は維持。</x:v>
      </x:c>
    </x:row>
    <x:row r="160" ht="84" customHeight="1">
      <x:c r="A160" s="164" t="str">
        <x:v>LO2-039</x:v>
      </x:c>
      <x:c r="B160" s="171" t="str">
        <x:v>LO2</x:v>
      </x:c>
      <x:c r="C160" s="165" t="str">
        <x:v>世界の主要な非発泡性ワイン</x:v>
      </x:c>
      <x:c r="D160" s="165" t="str">
        <x:v>プリオラート</x:v>
      </x:c>
      <x:c r="E160" s="165" t="str">
        <x:v>プリオラートの上質赤ワインが高価格になりやすい要因の組み合わせはどれか。</x:v>
      </x:c>
      <x:c r="F160" s="165" t="str">
        <x:v>緩やかな肥沃地で機械化し、高収量によって生産費を下げる</x:v>
      </x:c>
      <x:c r="G160" s="165" t="str">
        <x:v>肥沃な平地、高収量、機械化、短期タンク熟成</x:v>
      </x:c>
      <x:c r="H160" s="165" t="str">
        <x:v>急斜面のリコレリャ土壌、古木ガルナッチャとカリニャン、低収量、手作業</x:v>
      </x:c>
      <x:c r="I160" s="165" t="str">
        <x:v>低温多雨の海洋性気候と高い病害防除費だけ</x:v>
      </x:c>
      <x:c r="J160" s="171" t="str">
        <x:v>C</x:v>
      </x:c>
      <x:c r="K160" s="165" t="str">
        <x:v>急斜面のリコレリャ土壌、古木ガルナッチャとカリニャン、低収量、手作業</x:v>
      </x:c>
      <x:c r="L160" s="165" t="str">
        <x:v>正しい。低収量と手作業、土地の希少性、濃厚なワインへの需要が価格を高める。</x:v>
      </x:c>
      <x:c r="M160" s="165" t="str">
        <x:v>誤り。プリオラートの高価格は急斜面、痩せたリコレリャ、古木、低収量、手作業による。</x:v>
      </x:c>
      <x:c r="N160" s="165" t="str">
        <x:v>誤り。プリオラートの高価格要因とは逆である。</x:v>
      </x:c>
      <x:c r="O160" s="165" t="str">
        <x:v>正しい。低収量と手作業、土地の希少性、濃厚なワインへの需要が価格を高める。</x:v>
      </x:c>
      <x:c r="P160" s="165" t="str">
        <x:v>誤り。暑く乾燥した急斜面が中心で、病害防除だけではない。</x:v>
      </x:c>
      <x:c r="Q160" s="165" t="str">
        <x:v>自然・人的・商業要因</x:v>
      </x:c>
      <x:c r="R160" s="165" t="str">
        <x:v>急斜面・低収量・価格</x:v>
      </x:c>
      <x:c r="S160" s="165" t="str">
        <x:v>非発泡性赤ワイン</x:v>
      </x:c>
      <x:c r="T160" s="165" t="str">
        <x:v>スペイン</x:v>
      </x:c>
      <x:c r="U160" s="165" t="str">
        <x:v>カタルーニャ／プリオラート</x:v>
      </x:c>
      <x:c r="V160" s="165" t="str">
        <x:v>ガルナッチャ、カリニェナ</x:v>
      </x:c>
      <x:c r="W160" s="165" t="str">
        <x:v>統合判断</x:v>
      </x:c>
      <x:c r="X160" s="171" t="str">
        <x:v>D3</x:v>
      </x:c>
      <x:c r="Y160" s="165" t="str">
        <x:v>プリオラートを肥沃な機械化・高収量産地と混同; プリオラートを高収量平地・機械化と混同; プリオラートを冷涼多雨とみなす</x:v>
      </x:c>
      <x:c r="Z160" s="171" t="str">
        <x:v>N</x:v>
      </x:c>
      <x:c r="AA160" s="165"/>
      <x:c r="AB160" s="165" t="str">
        <x:v>オリジナル</x:v>
      </x:c>
      <x:c r="AC160" s="165" t="str">
        <x:v>公式Specificationの範囲＋ユーザー作成コーパスの論点と問題設計例を参考に独自作成</x:v>
      </x:c>
      <x:c r="AD160" s="171" t="str">
        <x:v>改稿済み・専門家未承認</x:v>
      </x:c>
      <x:c r="AE160" s="171" t="str">
        <x:v>AI誤答レビュー</x:v>
      </x:c>
      <x:c r="AF160" s="171" t="str">
        <x:v>2026-07-12</x:v>
      </x:c>
      <x:c r="AG160" s="166" t="str">
        <x:v>第4バッチ：同一論点内の典型的誤概念へ置換。正答位置は維持。</x:v>
      </x:c>
    </x:row>
    <x:row r="161" ht="84" customHeight="1">
      <x:c r="A161" s="164" t="str">
        <x:v>LO2-040</x:v>
      </x:c>
      <x:c r="B161" s="171" t="str">
        <x:v>LO2</x:v>
      </x:c>
      <x:c r="C161" s="165" t="str">
        <x:v>世界の主要な非発泡性ワイン</x:v>
      </x:c>
      <x:c r="D161" s="165" t="str">
        <x:v>ヴィーニョ・ヴェルデ</x:v>
      </x:c>
      <x:c r="E161" s="165" t="str">
        <x:v>ヴィーニョ・ヴェルデの白ワインが、軽快で高い酸を持ちやすい主な理由はどれか。</x:v>
      </x:c>
      <x:c r="F161" s="165" t="str">
        <x:v>大西洋の影響を受ける比較的冷涼で雨の多い気候で、早めに収穫されることが多い</x:v>
      </x:c>
      <x:c r="G161" s="165" t="str">
        <x:v>暑く乾燥した内陸で過熟し、アルコールを下げるため加水する</x:v>
      </x:c>
      <x:c r="H161" s="165" t="str">
        <x:v>主に樽熟成で酸を高め、果実味を抑える</x:v>
      </x:c>
      <x:c r="I161" s="165" t="str">
        <x:v>ブドウを樹上凍結し、水分を氷として分離する</x:v>
      </x:c>
      <x:c r="J161" s="171" t="str">
        <x:v>D</x:v>
      </x:c>
      <x:c r="K161" s="165" t="str">
        <x:v>ブドウを樹上凍結し、水分を氷として分離する</x:v>
      </x:c>
      <x:c r="L161" s="165" t="str">
        <x:v>正しい。アイスワインの製法ではない。</x:v>
      </x:c>
      <x:c r="M161" s="165" t="str">
        <x:v>誤り。海洋性の冷涼さと早期収穫が、高い酸と低めのアルコールを生む。</x:v>
      </x:c>
      <x:c r="N161" s="165" t="str">
        <x:v>誤り。ヴィーニョ・ヴェルデの典型は過熟・加水による軽さではない。</x:v>
      </x:c>
      <x:c r="O161" s="165" t="str">
        <x:v>誤り。樽熟成が高酸を生むのではなく、気候と収穫時期が重要である。</x:v>
      </x:c>
      <x:c r="P161" s="165" t="str">
        <x:v>正しい。アイスワインの製法ではない。</x:v>
      </x:c>
      <x:c r="Q161" s="165" t="str">
        <x:v>自然要因・産地</x:v>
      </x:c>
      <x:c r="R161" s="165" t="str">
        <x:v>海洋性気候・酸</x:v>
      </x:c>
      <x:c r="S161" s="165" t="str">
        <x:v>非発泡性白ワイン</x:v>
      </x:c>
      <x:c r="T161" s="165" t="str">
        <x:v>ポルトガル</x:v>
      </x:c>
      <x:c r="U161" s="165" t="str">
        <x:v>ヴィーニョ・ヴェルデ</x:v>
      </x:c>
      <x:c r="V161" s="165" t="str">
        <x:v>アルヴァリーニョ、ロウレイロ等</x:v>
      </x:c>
      <x:c r="W161" s="165" t="str">
        <x:v>因果説明</x:v>
      </x:c>
      <x:c r="X161" s="171" t="str">
        <x:v>D2</x:v>
      </x:c>
      <x:c r="Y161" s="165" t="str">
        <x:v>暑い内陸過熟果を加水して軽くする; 樽熟成で酸を高める</x:v>
      </x:c>
      <x:c r="Z161" s="171" t="str">
        <x:v>N</x:v>
      </x:c>
      <x:c r="AA161" s="165"/>
      <x:c r="AB161" s="165" t="str">
        <x:v>オリジナル</x:v>
      </x:c>
      <x:c r="AC161" s="165" t="str">
        <x:v>公式Specificationの範囲＋ユーザー作成コーパスの論点と問題設計例を参考に独自作成</x:v>
      </x:c>
      <x:c r="AD161" s="171" t="str">
        <x:v>改稿済み・専門家未承認</x:v>
      </x:c>
      <x:c r="AE161" s="171" t="str">
        <x:v>AI誤答レビュー</x:v>
      </x:c>
      <x:c r="AF161" s="171" t="str">
        <x:v>2026-07-12</x:v>
      </x:c>
      <x:c r="AG161" s="166" t="str">
        <x:v>第3バッチ：同一論点内の典型的誤概念へ置換。正答位置は維持。</x:v>
      </x:c>
    </x:row>
    <x:row r="162" ht="84" customHeight="1">
      <x:c r="A162" s="164" t="str">
        <x:v>LO2-041</x:v>
      </x:c>
      <x:c r="B162" s="171" t="str">
        <x:v>LO2</x:v>
      </x:c>
      <x:c r="C162" s="165" t="str">
        <x:v>世界の主要な非発泡性ワイン</x:v>
      </x:c>
      <x:c r="D162" s="165" t="str">
        <x:v>ロシアン・リヴァー・ヴァレー</x:v>
      </x:c>
      <x:c r="E162" s="165" t="str">
        <x:v>ロシアン・リヴァー・ヴァレーがピノ・ノワールとシャルドネに適する主な理由はどれか。</x:v>
      </x:c>
      <x:c r="F162" s="165" t="str">
        <x:v>太平洋から入る霧と冷たい空気が日中の気温を下げ、成熟期間を延ばす</x:v>
      </x:c>
      <x:c r="G162" s="165" t="str">
        <x:v>多くのブドウを発酵前に凍結して甘口にする</x:v>
      </x:c>
      <x:c r="H162" s="165" t="str">
        <x:v>果房を海水へ浸し、塩味を付ける</x:v>
      </x:c>
      <x:c r="I162" s="165" t="str">
        <x:v>砂漠の熱風が昼夜を通じて畑を高温に保つ</x:v>
      </x:c>
      <x:c r="J162" s="171" t="str">
        <x:v>A</x:v>
      </x:c>
      <x:c r="K162" s="165" t="str">
        <x:v>太平洋から入る霧と冷たい空気が日中の気温を下げ、成熟期間を延ばす</x:v>
      </x:c>
      <x:c r="L162" s="165" t="str">
        <x:v>正しい。沿岸からの霧と風がソノマ内陸へ入り、暖かい日中を冷却するため、酸を保ちながら風味をゆっくり成熟させられる。</x:v>
      </x:c>
      <x:c r="M162" s="165" t="str">
        <x:v>正しい。沿岸からの霧と風がソノマ内陸へ入り、暖かい日中を冷却するため、酸を保ちながら風味をゆっくり成熟させられる。</x:v>
      </x:c>
      <x:c r="N162" s="165" t="str">
        <x:v>誤り。代表的なスタイルは辛口の非発泡性ワインで、凍結濃縮が標準ではない。</x:v>
      </x:c>
      <x:c r="O162" s="165" t="str">
        <x:v>誤り。海洋の影響は気温への作用で、果房を海水に浸すことではない。</x:v>
      </x:c>
      <x:c r="P162" s="165" t="str">
        <x:v>誤り。ロシアン・リヴァーの重要な特徴は海洋冷却であり、持続的な砂漠熱風ではない。</x:v>
      </x:c>
      <x:c r="Q162" s="165" t="str">
        <x:v>自然要因・産地</x:v>
      </x:c>
      <x:c r="R162" s="165" t="str">
        <x:v>霧・海洋冷却</x:v>
      </x:c>
      <x:c r="S162" s="165" t="str">
        <x:v>非発泡性ワイン</x:v>
      </x:c>
      <x:c r="T162" s="165" t="str">
        <x:v>米国</x:v>
      </x:c>
      <x:c r="U162" s="165" t="str">
        <x:v>ソノマ／ロシアン・リヴァー・ヴァレー</x:v>
      </x:c>
      <x:c r="V162" s="165" t="str">
        <x:v>ピノ・ノワール、シャルドネ</x:v>
      </x:c>
      <x:c r="W162" s="165" t="str">
        <x:v>因果説明</x:v>
      </x:c>
      <x:c r="X162" s="171" t="str">
        <x:v>D2</x:v>
      </x:c>
      <x:c r="Y162" s="165" t="str">
        <x:v>ロシアン・リヴァー・ヴァレーについて関連要因を主因とみなす; ロシアン・リヴァー・ヴァレーについて関連要因を主因とみなす; ロシアン・リヴァー・ヴァレーについて関連要因を主因とみなす</x:v>
      </x:c>
      <x:c r="Z162" s="171" t="str">
        <x:v>N</x:v>
      </x:c>
      <x:c r="AA162" s="165"/>
      <x:c r="AB162" s="165" t="str">
        <x:v>オリジナル</x:v>
      </x:c>
      <x:c r="AC162" s="165" t="str">
        <x:v>公式Specificationの範囲＋ユーザー作成コーパスの論点と問題設計例を参考に独自作成</x:v>
      </x:c>
      <x:c r="AD162" s="171" t="str">
        <x:v>改稿済み・専門家未承認</x:v>
      </x:c>
      <x:c r="AE162" s="171" t="str">
        <x:v>AI誤答レビュー</x:v>
      </x:c>
      <x:c r="AF162" s="171" t="str">
        <x:v>2026-07-12</x:v>
      </x:c>
      <x:c r="AG162" s="166" t="str">
        <x:v>第5バッチ：使用可能な誤答を維持し、弱い誤答を因果逆転・隣接概念へ置換。正答位置は維持。</x:v>
      </x:c>
    </x:row>
    <x:row r="163" ht="84" customHeight="1">
      <x:c r="A163" s="164" t="str">
        <x:v>LO2-042</x:v>
      </x:c>
      <x:c r="B163" s="171" t="str">
        <x:v>LO2</x:v>
      </x:c>
      <x:c r="C163" s="165" t="str">
        <x:v>世界の主要な非発泡性ワイン</x:v>
      </x:c>
      <x:c r="D163" s="165" t="str">
        <x:v>ドライ・クリーク・ヴァレー</x:v>
      </x:c>
      <x:c r="E163" s="165" t="str">
        <x:v>ドライ・クリーク・ヴァレーのジンファンデルに、典型的な特徴はどれか。</x:v>
      </x:c>
      <x:c r="F163" s="165" t="str">
        <x:v>淡い色、赤い果実、低アルコール、高い酸を持つ軽快な赤</x:v>
      </x:c>
      <x:c r="G163" s="165" t="str">
        <x:v>熟したブラックベリーやプラム、高めのアルコール、豊かなボディ</x:v>
      </x:c>
      <x:c r="H163" s="165" t="str">
        <x:v>黒果実と高アルコールを持つが、タンニンと酸はほとんどない</x:v>
      </x:c>
      <x:c r="I163" s="165" t="str">
        <x:v>低い果実濃度と強い青ピーマン香を持つ</x:v>
      </x:c>
      <x:c r="J163" s="171" t="str">
        <x:v>B</x:v>
      </x:c>
      <x:c r="K163" s="165" t="str">
        <x:v>熟したブラックベリーやプラム、高めのアルコール、豊かなボディ</x:v>
      </x:c>
      <x:c r="L163" s="165" t="str">
        <x:v>正しい。熟した黒果実、スパイス、豊かなボディが典型である。</x:v>
      </x:c>
      <x:c r="M163" s="165" t="str">
        <x:v>誤り。温暖なジンファンデル産地としては軽快な冷涼型ではない。</x:v>
      </x:c>
      <x:c r="N163" s="165" t="str">
        <x:v>正しい。熟した黒果実、スパイス、豊かなボディが典型である。</x:v>
      </x:c>
      <x:c r="O163" s="165" t="str">
        <x:v>誤り。優良例は十分な構造を持ち、酸・タンニンがほぼないとはいえない。</x:v>
      </x:c>
      <x:c r="P163" s="165" t="str">
        <x:v>誤り。青ピーマン香は未熟なカベルネ系に近く、典型ではない。</x:v>
      </x:c>
      <x:c r="Q163" s="165" t="str">
        <x:v>産地スタイル</x:v>
      </x:c>
      <x:c r="R163" s="165" t="str">
        <x:v>温暖気候・ジンファンデル</x:v>
      </x:c>
      <x:c r="S163" s="165" t="str">
        <x:v>非発泡性赤ワイン</x:v>
      </x:c>
      <x:c r="T163" s="165" t="str">
        <x:v>米国</x:v>
      </x:c>
      <x:c r="U163" s="165" t="str">
        <x:v>ソノマ／ドライ・クリーク・ヴァレー</x:v>
      </x:c>
      <x:c r="V163" s="165" t="str">
        <x:v>ジンファンデル</x:v>
      </x:c>
      <x:c r="W163" s="165" t="str">
        <x:v>知識確認</x:v>
      </x:c>
      <x:c r="X163" s="171" t="str">
        <x:v>D1</x:v>
      </x:c>
      <x:c r="Y163" s="165" t="str">
        <x:v>ドライ・クリークのジンファンデルは淡色低アルコール; 高熟度でも酸・タンニンがほぼない; 青ピーマン香が典型</x:v>
      </x:c>
      <x:c r="Z163" s="171" t="str">
        <x:v>N</x:v>
      </x:c>
      <x:c r="AA163" s="165"/>
      <x:c r="AB163" s="165" t="str">
        <x:v>オリジナル</x:v>
      </x:c>
      <x:c r="AC163" s="165" t="str">
        <x:v>公式Specificationの範囲＋ユーザー作成コーパスの論点と問題設計例を参考に独自作成</x:v>
      </x:c>
      <x:c r="AD163" s="171" t="str">
        <x:v>改稿済み・専門家未承認</x:v>
      </x:c>
      <x:c r="AE163" s="171" t="str">
        <x:v>AI誤答レビュー</x:v>
      </x:c>
      <x:c r="AF163" s="171" t="str">
        <x:v>2026-07-12</x:v>
      </x:c>
      <x:c r="AG163" s="166" t="str">
        <x:v>第3バッチ：同一論点内の典型的誤概念へ置換。正答位置は維持。</x:v>
      </x:c>
    </x:row>
    <x:row r="164" ht="84" customHeight="1">
      <x:c r="A164" s="164" t="str">
        <x:v>LO2-043</x:v>
      </x:c>
      <x:c r="B164" s="171" t="str">
        <x:v>LO2</x:v>
      </x:c>
      <x:c r="C164" s="165" t="str">
        <x:v>世界の主要な非発泡性ワイン</x:v>
      </x:c>
      <x:c r="D164" s="165" t="str">
        <x:v>コロンビア・ヴァレー</x:v>
      </x:c>
      <x:c r="E164" s="165" t="str">
        <x:v>ワシントン州コロンビア・ヴァレーで灌漑が重要となる主な理由はどれか。</x:v>
      </x:c>
      <x:c r="F164" s="165" t="str">
        <x:v>熱帯モンスーンで毎日豪雨があり、余分な水を加える必要がある</x:v>
      </x:c>
      <x:c r="G164" s="165" t="str">
        <x:v>海面下にあり、塩水だけが根へ供給される</x:v>
      </x:c>
      <x:c r="H164" s="165" t="str">
        <x:v>カスケード山脈の雨陰で生育期が乾燥し、自然降水だけでは不足しやすい</x:v>
      </x:c>
      <x:c r="I164" s="165" t="str">
        <x:v>灌漑によって日照時間を増やし、山脈を低くする</x:v>
      </x:c>
      <x:c r="J164" s="171" t="str">
        <x:v>C</x:v>
      </x:c>
      <x:c r="K164" s="165" t="str">
        <x:v>カスケード山脈の雨陰で生育期が乾燥し、自然降水だけでは不足しやすい</x:v>
      </x:c>
      <x:c r="L164" s="165" t="str">
        <x:v>正しい。西からの湿った空気が山脈で雨を落とすため、東側のコロンビア・ヴァレーは乾燥し、河川水を利用した灌漑で樹勢と成熟を管理する。</x:v>
      </x:c>
      <x:c r="M164" s="165" t="str">
        <x:v>誤り。コロンビア・ヴァレーは雨陰で乾燥しており、説明が逆である。</x:v>
      </x:c>
      <x:c r="N164" s="165" t="str">
        <x:v>誤り。海面下の塩水灌漑地域ではなく、淡水を管理して利用する。</x:v>
      </x:c>
      <x:c r="O164" s="165" t="str">
        <x:v>正しい。西からの湿った空気が山脈で雨を落とすため、東側のコロンビア・ヴァレーは乾燥し、河川水を利用した灌漑で樹勢と成熟を管理する。</x:v>
      </x:c>
      <x:c r="P164" s="165" t="str">
        <x:v>誤り。灌漑は水分を供給する手段で、日照時間や地形を変えない。</x:v>
      </x:c>
      <x:c r="Q164" s="165" t="str">
        <x:v>自然・人的要因</x:v>
      </x:c>
      <x:c r="R164" s="165" t="str">
        <x:v>雨陰・灌漑</x:v>
      </x:c>
      <x:c r="S164" s="165" t="str">
        <x:v>非発泡性ワイン</x:v>
      </x:c>
      <x:c r="T164" s="165" t="str">
        <x:v>米国</x:v>
      </x:c>
      <x:c r="U164" s="165" t="str">
        <x:v>ワシントン／コロンビア・ヴァレー</x:v>
      </x:c>
      <x:c r="V164" s="165" t="str">
        <x:v>カベルネ・ソーヴィニヨン、メルロ、リースリング等</x:v>
      </x:c>
      <x:c r="W164" s="165" t="str">
        <x:v>因果説明</x:v>
      </x:c>
      <x:c r="X164" s="171" t="str">
        <x:v>D2</x:v>
      </x:c>
      <x:c r="Y164" s="165" t="str">
        <x:v>コロンビア・ヴァレーに関する別の特徴・要因と混同; コロンビア・ヴァレーに関する別の特徴・要因と混同; コロンビア・ヴァレーに関する別の特徴・要因と混同</x:v>
      </x:c>
      <x:c r="Z164" s="171" t="str">
        <x:v>N</x:v>
      </x:c>
      <x:c r="AA164" s="165"/>
      <x:c r="AB164" s="165" t="str">
        <x:v>オリジナル</x:v>
      </x:c>
      <x:c r="AC164" s="165" t="str">
        <x:v>公式Specificationの範囲＋ユーザー作成コーパスの論点と問題設計例を参考に独自作成</x:v>
      </x:c>
      <x:c r="AD164" s="171" t="str">
        <x:v>改稿済み・専門家未承認</x:v>
      </x:c>
      <x:c r="AE164" s="171" t="str">
        <x:v>AI誤答レビュー</x:v>
      </x:c>
      <x:c r="AF164" s="171" t="str">
        <x:v>2026-07-12</x:v>
      </x:c>
      <x:c r="AG164" s="166" t="str">
        <x:v>最終バッチ：有効な誤答を維持し、絶対語・物理的不可能な誤答のみ置換。正答位置は維持。</x:v>
      </x:c>
    </x:row>
    <x:row r="165" ht="84" customHeight="1">
      <x:c r="A165" s="164" t="str">
        <x:v>LO2-044</x:v>
      </x:c>
      <x:c r="B165" s="171" t="str">
        <x:v>LO2</x:v>
      </x:c>
      <x:c r="C165" s="165" t="str">
        <x:v>世界の主要な非発泡性ワイン</x:v>
      </x:c>
      <x:c r="D165" s="165" t="str">
        <x:v>フィンガー・レイクス</x:v>
      </x:c>
      <x:c r="E165" s="165" t="str">
        <x:v>フィンガー・レイクスでリースリングの栽培が可能となる重要な要因はどれか。</x:v>
      </x:c>
      <x:c r="F165" s="165" t="str">
        <x:v>湖が春の気温を早く上げて芽吹きを促し、霜の時期より前に新梢を成熟させる</x:v>
      </x:c>
      <x:c r="G165" s="165" t="str">
        <x:v>湖が冬に完全凍結し、周囲の畑をさらに冷却して休眠を長くする</x:v>
      </x:c>
      <x:c r="H165" s="165" t="str">
        <x:v>湖が夏の降雨を大幅に減らすため、灌漑なしで水分を正確に管理できる</x:v>
      </x:c>
      <x:c r="I165" s="165" t="str">
        <x:v>深い湖が冬の厳寒と春秋の急激な気温変化を緩和する</x:v>
      </x:c>
      <x:c r="J165" s="171" t="str">
        <x:v>D</x:v>
      </x:c>
      <x:c r="K165" s="165" t="str">
        <x:v>深い湖が冬の厳寒と春秋の急激な気温変化を緩和する</x:v>
      </x:c>
      <x:c r="L165" s="165" t="str">
        <x:v>正しい。深い湖の熱容量が冬の寒波、春の霜、秋の早い冷え込みを和らげ、生育期間を延ばす。</x:v>
      </x:c>
      <x:c r="M165" s="165" t="str">
        <x:v>誤り。湖は春の温度上昇を遅らせ、芽吹きを遅くすることで春霜リスクを下げる方向に働く。</x:v>
      </x:c>
      <x:c r="N165" s="165" t="str">
        <x:v>誤り。深い湖は完全凍結しにくく、冬に蓄えた熱を放出して周辺の極端な低温を緩和する。</x:v>
      </x:c>
      <x:c r="O165" s="165" t="str">
        <x:v>誤り。湖の主な利点は温度緩和であり、降雨を大幅に減らして灌漑を不要にすることではない。</x:v>
      </x:c>
      <x:c r="P165" s="165" t="str">
        <x:v>正しい。深い湖の熱容量が冬の寒波、春の霜、秋の早い冷え込みを和らげ、生育期間を延ばす。</x:v>
      </x:c>
      <x:c r="Q165" s="165" t="str">
        <x:v>自然要因・産地</x:v>
      </x:c>
      <x:c r="R165" s="165" t="str">
        <x:v>湖・気候緩和</x:v>
      </x:c>
      <x:c r="S165" s="165" t="str">
        <x:v>非発泡性白ワイン</x:v>
      </x:c>
      <x:c r="T165" s="165" t="str">
        <x:v>米国</x:v>
      </x:c>
      <x:c r="U165" s="165" t="str">
        <x:v>ニューヨーク／フィンガー・レイクス</x:v>
      </x:c>
      <x:c r="V165" s="165" t="str">
        <x:v>リースリング</x:v>
      </x:c>
      <x:c r="W165" s="165" t="str">
        <x:v>因果説明</x:v>
      </x:c>
      <x:c r="X165" s="171" t="str">
        <x:v>D2</x:v>
      </x:c>
      <x:c r="Y165" s="165" t="str">
        <x:v>湖は芽吹きを早め霜を回避; 湖の凍結が畑を保護; 湖が降雨を減らす</x:v>
      </x:c>
      <x:c r="Z165" s="171" t="str">
        <x:v>N</x:v>
      </x:c>
      <x:c r="AA165" s="165"/>
      <x:c r="AB165" s="165" t="str">
        <x:v>オリジナル</x:v>
      </x:c>
      <x:c r="AC165" s="165" t="str">
        <x:v>公式Specificationの範囲＋ユーザー作成コーパスの論点と問題設計例を参考に独自作成</x:v>
      </x:c>
      <x:c r="AD165" s="171" t="str">
        <x:v>改稿済み・専門家未承認</x:v>
      </x:c>
      <x:c r="AE165" s="171" t="str">
        <x:v>AI誤答レビュー</x:v>
      </x:c>
      <x:c r="AF165" s="171" t="str">
        <x:v>2026-07-12</x:v>
      </x:c>
      <x:c r="AG165" s="166" t="str">
        <x:v>誤答を同一論点内の典型的誤概念へ置換。900問本体への反映前に専門家確認推奨。</x:v>
      </x:c>
    </x:row>
    <x:row r="166" ht="84" customHeight="1">
      <x:c r="A166" s="164" t="str">
        <x:v>LO2-045</x:v>
      </x:c>
      <x:c r="B166" s="171" t="str">
        <x:v>LO2</x:v>
      </x:c>
      <x:c r="C166" s="165" t="str">
        <x:v>世界の主要な非発泡性ワイン</x:v>
      </x:c>
      <x:c r="D166" s="165" t="str">
        <x:v>ナイアガラのアイスワイン</x:v>
      </x:c>
      <x:c r="E166" s="165" t="str">
        <x:v>ナイアガラ半島のアイスワインが、非常に甘い一方で酸を保ちやすい主な理由はどれか。</x:v>
      </x:c>
      <x:c r="F166" s="165" t="str">
        <x:v>冷涼気候で酸を保持したブドウを樹上で凍結させ、水分を氷として分離する</x:v>
      </x:c>
      <x:c r="G166" s="165" t="str">
        <x:v>貴腐で酸が増加したブドウを収穫後に人工凍結し、糖だけを圧搾する</x:v>
      </x:c>
      <x:c r="H166" s="165" t="str">
        <x:v>高温で過熟させた低酸の果実を凍結し、発酵後に酸を添加する</x:v>
      </x:c>
      <x:c r="I166" s="165" t="str">
        <x:v>早期収穫したブドウを冷凍庫で凍らせ、酸と糖を同時に増加させる</x:v>
      </x:c>
      <x:c r="J166" s="171" t="str">
        <x:v>A</x:v>
      </x:c>
      <x:c r="K166" s="165" t="str">
        <x:v>冷涼気候で酸を保持したブドウを樹上で凍結させ、水分を氷として分離する</x:v>
      </x:c>
      <x:c r="L166" s="165" t="str">
        <x:v>正しい。冷涼気候で高い酸を保った果実を自然凍結し、水分を氷として残す。</x:v>
      </x:c>
      <x:c r="M166" s="165" t="str">
        <x:v>正しい。冷涼気候で高い酸を保った果実を自然凍結し、水分を氷として残す。</x:v>
      </x:c>
      <x:c r="N166" s="165" t="str">
        <x:v>誤り。貴腐は必須ではなく、法的なアイスワインでは自然凍結が重要である。</x:v>
      </x:c>
      <x:c r="O166" s="165" t="str">
        <x:v>誤り。低酸果実を後から補正することが、典型的な甘味と酸の両立の説明ではない。</x:v>
      </x:c>
      <x:c r="P166" s="165" t="str">
        <x:v>誤り。通常は樹上で自然凍結し、早摘み果実を人工凍結する製法ではない。</x:v>
      </x:c>
      <x:c r="Q166" s="165" t="str">
        <x:v>自然・人的要因</x:v>
      </x:c>
      <x:c r="R166" s="165" t="str">
        <x:v>凍結濃縮・酸</x:v>
      </x:c>
      <x:c r="S166" s="165" t="str">
        <x:v>非発泡性甘口白ワイン</x:v>
      </x:c>
      <x:c r="T166" s="165" t="str">
        <x:v>カナダ</x:v>
      </x:c>
      <x:c r="U166" s="165" t="str">
        <x:v>オンタリオ／ナイアガラ半島</x:v>
      </x:c>
      <x:c r="V166" s="165" t="str">
        <x:v>ヴィダル、リースリング</x:v>
      </x:c>
      <x:c r="W166" s="165" t="str">
        <x:v>統合判断</x:v>
      </x:c>
      <x:c r="X166" s="171" t="str">
        <x:v>D3</x:v>
      </x:c>
      <x:c r="Y166" s="165" t="str">
        <x:v>アイスワインは貴腐と人工凍結; 低酸過熟果を凍らせ後で酸添加; 早摘み果実を人工凍結して酸糖増加</x:v>
      </x:c>
      <x:c r="Z166" s="171" t="str">
        <x:v>N</x:v>
      </x:c>
      <x:c r="AA166" s="165"/>
      <x:c r="AB166" s="165" t="str">
        <x:v>オリジナル</x:v>
      </x:c>
      <x:c r="AC166" s="165" t="str">
        <x:v>公式Specificationの範囲＋ユーザー作成コーパスの論点と問題設計例を参考に独自作成</x:v>
      </x:c>
      <x:c r="AD166" s="171" t="str">
        <x:v>改稿済み・専門家未承認</x:v>
      </x:c>
      <x:c r="AE166" s="171" t="str">
        <x:v>AI誤答レビュー</x:v>
      </x:c>
      <x:c r="AF166" s="171" t="str">
        <x:v>2026-07-12</x:v>
      </x:c>
      <x:c r="AG166" s="166" t="str">
        <x:v>第3バッチ：同一論点内の典型的誤概念へ置換。正答位置は維持。</x:v>
      </x:c>
    </x:row>
    <x:row r="167" ht="84" customHeight="1">
      <x:c r="A167" s="164" t="str">
        <x:v>LO2-046</x:v>
      </x:c>
      <x:c r="B167" s="171" t="str">
        <x:v>LO2</x:v>
      </x:c>
      <x:c r="C167" s="165" t="str">
        <x:v>世界の主要な非発泡性ワイン</x:v>
      </x:c>
      <x:c r="D167" s="165" t="str">
        <x:v>オカナガン・ヴァレー</x:v>
      </x:c>
      <x:c r="E167" s="165" t="str">
        <x:v>オカナガン・ヴァレーで熟した果実味と高い酸を両立しやすい条件はどれか。</x:v>
      </x:c>
      <x:c r="F167" s="165" t="str">
        <x:v>高緯度で夏の日照時間が短く、低温だけによってゆっくり成熟する</x:v>
      </x:c>
      <x:c r="G167" s="165" t="str">
        <x:v>北緯が高い一方で夏の日照時間が長く、乾燥した夏と大きな日較差がある</x:v>
      </x:c>
      <x:c r="H167" s="165" t="str">
        <x:v>年間を通じた高湿度と頻繁な降雨により、水不足なく成熟が進む</x:v>
      </x:c>
      <x:c r="I167" s="165" t="str">
        <x:v>湖が生育期の昼夜を高温に保ち、呼吸による酸の減少を促進する</x:v>
      </x:c>
      <x:c r="J167" s="171" t="str">
        <x:v>B</x:v>
      </x:c>
      <x:c r="K167" s="165" t="str">
        <x:v>北緯が高い一方で夏の日照時間が長く、乾燥した夏と大きな日較差がある</x:v>
      </x:c>
      <x:c r="L167" s="165" t="str">
        <x:v>正しい。長い夏の日照と乾燥が糖・風味の成熟を促し、夜間冷却と高緯度が酸の保持に寄与する。</x:v>
      </x:c>
      <x:c r="M167" s="165" t="str">
        <x:v>誤り。高緯度でも夏の日照時間は長く、日射が成熟を支える。低温だけで成熟するわけではない。</x:v>
      </x:c>
      <x:c r="N167" s="165" t="str">
        <x:v>正しい。長い夏の日照と乾燥が糖・風味の成熟を促し、夜間冷却と高緯度が酸の保持に寄与する。</x:v>
      </x:c>
      <x:c r="O167" s="165" t="str">
        <x:v>誤り。オカナガンは雨陰にある乾燥地域で、灌漑が重要である。</x:v>
      </x:c>
      <x:c r="P167" s="165" t="str">
        <x:v>誤り。湖は極端な気温を緩和するが、夜間を一貫して高温にして酸を減らすことが品質の主因ではない。</x:v>
      </x:c>
      <x:c r="Q167" s="165" t="str">
        <x:v>自然要因・産地</x:v>
      </x:c>
      <x:c r="R167" s="165" t="str">
        <x:v>高緯度・日較差</x:v>
      </x:c>
      <x:c r="S167" s="165" t="str">
        <x:v>非発泡性ワイン</x:v>
      </x:c>
      <x:c r="T167" s="165" t="str">
        <x:v>カナダ</x:v>
      </x:c>
      <x:c r="U167" s="165" t="str">
        <x:v>ブリティッシュ・コロンビア／オカナガン・ヴァレー</x:v>
      </x:c>
      <x:c r="V167" s="165" t="str">
        <x:v>リースリング、ピノ・ノワール等</x:v>
      </x:c>
      <x:c r="W167" s="165" t="str">
        <x:v>因果説明</x:v>
      </x:c>
      <x:c r="X167" s="171" t="str">
        <x:v>D2</x:v>
      </x:c>
      <x:c r="Y167" s="165" t="str">
        <x:v>高緯度なら夏の日照が短い; オカナガンは高湿度多雨; 湖は夜温を上げ酸を減らす</x:v>
      </x:c>
      <x:c r="Z167" s="171" t="str">
        <x:v>N</x:v>
      </x:c>
      <x:c r="AA167" s="165"/>
      <x:c r="AB167" s="165" t="str">
        <x:v>オリジナル</x:v>
      </x:c>
      <x:c r="AC167" s="165" t="str">
        <x:v>公式Specificationの範囲＋ユーザー作成コーパスの論点と問題設計例を参考に独自作成</x:v>
      </x:c>
      <x:c r="AD167" s="171" t="str">
        <x:v>改稿済み・専門家未承認</x:v>
      </x:c>
      <x:c r="AE167" s="171" t="str">
        <x:v>AI誤答レビュー</x:v>
      </x:c>
      <x:c r="AF167" s="171" t="str">
        <x:v>2026-07-12</x:v>
      </x:c>
      <x:c r="AG167" s="166" t="str">
        <x:v>誤答を同一論点内の典型的誤概念へ置換。900問本体への反映前に専門家確認推奨。</x:v>
      </x:c>
    </x:row>
    <x:row r="168" ht="84" customHeight="1">
      <x:c r="A168" s="164" t="str">
        <x:v>LO2-047</x:v>
      </x:c>
      <x:c r="B168" s="171" t="str">
        <x:v>LO2</x:v>
      </x:c>
      <x:c r="C168" s="165" t="str">
        <x:v>世界の主要な非発泡性ワイン</x:v>
      </x:c>
      <x:c r="D168" s="165" t="str">
        <x:v>マイポ・ヴァレー</x:v>
      </x:c>
      <x:c r="E168" s="165" t="str">
        <x:v>マイポ・ヴァレーの上質カベルネ・ソーヴィニヨンに、典型的な特徴はどれか。</x:v>
      </x:c>
      <x:c r="F168" s="165" t="str">
        <x:v>淡い色、低いタンニン、赤い果実を持つ軽い赤</x:v>
      </x:c>
      <x:c r="G168" s="165" t="str">
        <x:v>熟した黒系果実を持つが、ハーブ香や酸は見られない</x:v>
      </x:c>
      <x:c r="H168" s="165" t="str">
        <x:v>熟した黒系果実、しっかりしたタンニン、ミントやハーブを思わせる香り</x:v>
      </x:c>
      <x:c r="I168" s="165" t="str">
        <x:v>高い残糖と低い酸を持つ甘口赤</x:v>
      </x:c>
      <x:c r="J168" s="171" t="str">
        <x:v>C</x:v>
      </x:c>
      <x:c r="K168" s="165" t="str">
        <x:v>熟した黒系果実、しっかりしたタンニン、ミントやハーブを思わせる香り</x:v>
      </x:c>
      <x:c r="L168" s="165" t="str">
        <x:v>正しい。日照とアンデスの冷却から、黒果実、構造、ハーブ香を持つ。</x:v>
      </x:c>
      <x:c r="M168" s="165" t="str">
        <x:v>誤り。カベルネの典型としては色・タンニンが弱過ぎる。</x:v>
      </x:c>
      <x:c r="N168" s="165" t="str">
        <x:v>誤り。熟した果実に加え、ミントやハーブのニュアンスが特徴となり得る。</x:v>
      </x:c>
      <x:c r="O168" s="165" t="str">
        <x:v>正しい。日照とアンデスの冷却から、黒果実、構造、ハーブ香を持つ。</x:v>
      </x:c>
      <x:c r="P168" s="165" t="str">
        <x:v>誤り。通常は辛口で、甘口低酸が典型ではない。</x:v>
      </x:c>
      <x:c r="Q168" s="165" t="str">
        <x:v>産地スタイル</x:v>
      </x:c>
      <x:c r="R168" s="165" t="str">
        <x:v>カベルネ・ソーヴィニヨン</x:v>
      </x:c>
      <x:c r="S168" s="165" t="str">
        <x:v>非発泡性赤ワイン</x:v>
      </x:c>
      <x:c r="T168" s="165" t="str">
        <x:v>チリ</x:v>
      </x:c>
      <x:c r="U168" s="165" t="str">
        <x:v>マイポ・ヴァレー</x:v>
      </x:c>
      <x:c r="V168" s="165" t="str">
        <x:v>カベルネ・ソーヴィニヨン</x:v>
      </x:c>
      <x:c r="W168" s="165" t="str">
        <x:v>知識確認</x:v>
      </x:c>
      <x:c r="X168" s="171" t="str">
        <x:v>D1</x:v>
      </x:c>
      <x:c r="Y168" s="165" t="str">
        <x:v>マイポ・カベルネは淡色低タンニン; 熟したマイポ・カベルネにハーブ香・酸はない; マイポ・カベルネは甘口低酸</x:v>
      </x:c>
      <x:c r="Z168" s="171" t="str">
        <x:v>N</x:v>
      </x:c>
      <x:c r="AA168" s="165"/>
      <x:c r="AB168" s="165" t="str">
        <x:v>オリジナル</x:v>
      </x:c>
      <x:c r="AC168" s="165" t="str">
        <x:v>公式Specificationの範囲＋ユーザー作成コーパスの論点と問題設計例を参考に独自作成</x:v>
      </x:c>
      <x:c r="AD168" s="171" t="str">
        <x:v>改稿済み・専門家未承認</x:v>
      </x:c>
      <x:c r="AE168" s="171" t="str">
        <x:v>AI誤答レビュー</x:v>
      </x:c>
      <x:c r="AF168" s="171" t="str">
        <x:v>2026-07-12</x:v>
      </x:c>
      <x:c r="AG168" s="166" t="str">
        <x:v>第3バッチ：同一論点内の典型的誤概念へ置換。正答位置は維持。</x:v>
      </x:c>
    </x:row>
    <x:row r="169" ht="84" customHeight="1">
      <x:c r="A169" s="164" t="str">
        <x:v>LO2-048</x:v>
      </x:c>
      <x:c r="B169" s="171" t="str">
        <x:v>LO2</x:v>
      </x:c>
      <x:c r="C169" s="165" t="str">
        <x:v>世界の主要な非発泡性ワイン</x:v>
      </x:c>
      <x:c r="D169" s="165" t="str">
        <x:v>コルチャグア・ヴァレー</x:v>
      </x:c>
      <x:c r="E169" s="165" t="str">
        <x:v>コルチャグア・ヴァレーがカルメネールの完熟に適する主な理由はどれか。</x:v>
      </x:c>
      <x:c r="F169" s="165" t="str">
        <x:v>冷涼な短い夏で、未熟な青い風味を最大化する</x:v>
      </x:c>
      <x:c r="G169" s="165" t="str">
        <x:v>ブドウを凍結し、糖を氷として捨てる</x:v>
      </x:c>
      <x:c r="H169" s="165" t="str">
        <x:v>海水を灌漑に使い、塩味を付ける</x:v>
      </x:c>
      <x:c r="I169" s="165" t="str">
        <x:v>温暖で日照が多く、生育期間が長いため、晩熟な品種の青い風味を減らしやすい</x:v>
      </x:c>
      <x:c r="J169" s="171" t="str">
        <x:v>D</x:v>
      </x:c>
      <x:c r="K169" s="165" t="str">
        <x:v>温暖で日照が多く、生育期間が長いため、晩熟な品種の青い風味を減らしやすい</x:v>
      </x:c>
      <x:c r="L169" s="165" t="str">
        <x:v>正しい。カルメネールは晩熟で、十分な熱と長い秋がないと青いピラジン香が残りやすい。コルチャグアの暖かさが果実とタンニンの成熟を支える。</x:v>
      </x:c>
      <x:c r="M169" s="165" t="str">
        <x:v>誤り。高品質では未熟な青い風味を避けるため、十分な成熟が必要である。</x:v>
      </x:c>
      <x:c r="N169" s="165" t="str">
        <x:v>誤り。カルメネールの成熟に凍結処理は用いず、糖を捨てる工程でもない。</x:v>
      </x:c>
      <x:c r="O169" s="165" t="str">
        <x:v>誤り。塩水灌漑は品種成熟の理由ではなく、塩害を引き起こし得る。</x:v>
      </x:c>
      <x:c r="P169" s="165" t="str">
        <x:v>正しい。カルメネールは晩熟で、十分な熱と長い秋がないと青いピラジン香が残りやすい。コルチャグアの暖かさが果実とタンニンの成熟を支える。</x:v>
      </x:c>
      <x:c r="Q169" s="165" t="str">
        <x:v>自然要因・産地</x:v>
      </x:c>
      <x:c r="R169" s="165" t="str">
        <x:v>晩熟品種・温暖気候</x:v>
      </x:c>
      <x:c r="S169" s="165" t="str">
        <x:v>非発泡性赤ワイン</x:v>
      </x:c>
      <x:c r="T169" s="165" t="str">
        <x:v>チリ</x:v>
      </x:c>
      <x:c r="U169" s="165" t="str">
        <x:v>コルチャグア・ヴァレー</x:v>
      </x:c>
      <x:c r="V169" s="165" t="str">
        <x:v>カルメネール</x:v>
      </x:c>
      <x:c r="W169" s="165" t="str">
        <x:v>因果説明</x:v>
      </x:c>
      <x:c r="X169" s="171" t="str">
        <x:v>D2</x:v>
      </x:c>
      <x:c r="Y169" s="165" t="str">
        <x:v>コルチャグア・ヴァレーに関する別の特徴・要因と混同; コルチャグア・ヴァレーに関する別の特徴・要因と混同; コルチャグア・ヴァレーに関する別の特徴・要因と混同</x:v>
      </x:c>
      <x:c r="Z169" s="171" t="str">
        <x:v>N</x:v>
      </x:c>
      <x:c r="AA169" s="165"/>
      <x:c r="AB169" s="165" t="str">
        <x:v>オリジナル</x:v>
      </x:c>
      <x:c r="AC169" s="165" t="str">
        <x:v>公式Specificationの範囲＋ユーザー作成コーパスの論点と問題設計例を参考に独自作成</x:v>
      </x:c>
      <x:c r="AD169" s="171" t="str">
        <x:v>改稿済み・専門家未承認</x:v>
      </x:c>
      <x:c r="AE169" s="171" t="str">
        <x:v>AI誤答レビュー</x:v>
      </x:c>
      <x:c r="AF169" s="171" t="str">
        <x:v>2026-07-12</x:v>
      </x:c>
      <x:c r="AG169" s="166" t="str">
        <x:v>最終バッチ：有効な誤答を維持し、絶対語・物理的不可能な誤答のみ置換。正答位置は維持。</x:v>
      </x:c>
    </x:row>
    <x:row r="170" ht="84" customHeight="1">
      <x:c r="A170" s="164" t="str">
        <x:v>LO2-049</x:v>
      </x:c>
      <x:c r="B170" s="171" t="str">
        <x:v>LO2</x:v>
      </x:c>
      <x:c r="C170" s="165" t="str">
        <x:v>世界の主要な非発泡性ワイン</x:v>
      </x:c>
      <x:c r="D170" s="165" t="str">
        <x:v>サン・アントニオ・ヴァレー</x:v>
      </x:c>
      <x:c r="E170" s="165" t="str">
        <x:v>サン・アントニオ・ヴァレーのソーヴィニヨン・ブランやシャルドネが高い酸を持ちやすい主な理由はどれか。</x:v>
      </x:c>
      <x:c r="F170" s="165" t="str">
        <x:v>冷たい太平洋と沿岸風・霧の影響を強く受ける</x:v>
      </x:c>
      <x:c r="G170" s="165" t="str">
        <x:v>発酵後に酸を多く除去する</x:v>
      </x:c>
      <x:c r="H170" s="165" t="str">
        <x:v>ブドウを収穫後に長期間乾燥させる</x:v>
      </x:c>
      <x:c r="I170" s="165" t="str">
        <x:v>アンデス東側の砂漠熱風だけを受ける</x:v>
      </x:c>
      <x:c r="J170" s="171" t="str">
        <x:v>A</x:v>
      </x:c>
      <x:c r="K170" s="165" t="str">
        <x:v>冷たい太平洋と沿岸風・霧の影響を強く受ける</x:v>
      </x:c>
      <x:c r="L170" s="165" t="str">
        <x:v>正しい。海に近く、フンボルト海流に冷却された空気と霧が気温を下げるため、成熟が緩やかで酸を保持しやすい。</x:v>
      </x:c>
      <x:c r="M170" s="165" t="str">
        <x:v>正しい。海に近く、フンボルト海流に冷却された空気と霧が気温を下げるため、成熟が緩やかで酸を保持しやすい。</x:v>
      </x:c>
      <x:c r="N170" s="165" t="str">
        <x:v>誤り。高い酸を持つスタイルと、酸をすべて除去する説明は矛盾する。</x:v>
      </x:c>
      <x:c r="O170" s="165" t="str">
        <x:v>誤り。代表的な辛口白の酸は冷涼な生育条件によるもので、乾燥濃縮が標準ではない。</x:v>
      </x:c>
      <x:c r="P170" s="165" t="str">
        <x:v>誤り。サン・アントニオは太平洋沿岸の冷却が重要で、東側の砂漠熱風が主因ではない。</x:v>
      </x:c>
      <x:c r="Q170" s="165" t="str">
        <x:v>自然要因・産地</x:v>
      </x:c>
      <x:c r="R170" s="165" t="str">
        <x:v>海洋冷却・霧</x:v>
      </x:c>
      <x:c r="S170" s="165" t="str">
        <x:v>非発泡性白ワイン</x:v>
      </x:c>
      <x:c r="T170" s="165" t="str">
        <x:v>チリ</x:v>
      </x:c>
      <x:c r="U170" s="165" t="str">
        <x:v>サン・アントニオ・ヴァレー</x:v>
      </x:c>
      <x:c r="V170" s="165" t="str">
        <x:v>ソーヴィニヨン・ブラン、シャルドネ</x:v>
      </x:c>
      <x:c r="W170" s="165" t="str">
        <x:v>因果説明</x:v>
      </x:c>
      <x:c r="X170" s="171" t="str">
        <x:v>D2</x:v>
      </x:c>
      <x:c r="Y170" s="165" t="str">
        <x:v>サン・アントニオ・ヴァレーについて関連要因を主因とみなす; サン・アントニオ・ヴァレーについて関連要因を主因とみなす; サン・アントニオ・ヴァレーについて関連要因を主因とみなす</x:v>
      </x:c>
      <x:c r="Z170" s="171" t="str">
        <x:v>N</x:v>
      </x:c>
      <x:c r="AA170" s="165"/>
      <x:c r="AB170" s="165" t="str">
        <x:v>オリジナル</x:v>
      </x:c>
      <x:c r="AC170" s="165" t="str">
        <x:v>公式Specificationの範囲＋ユーザー作成コーパスの論点と問題設計例を参考に独自作成</x:v>
      </x:c>
      <x:c r="AD170" s="171" t="str">
        <x:v>改稿済み・専門家未承認</x:v>
      </x:c>
      <x:c r="AE170" s="171" t="str">
        <x:v>AI誤答レビュー</x:v>
      </x:c>
      <x:c r="AF170" s="171" t="str">
        <x:v>2026-07-12</x:v>
      </x:c>
      <x:c r="AG170" s="166" t="str">
        <x:v>第5バッチ：使用可能な誤答を維持し、弱い誤答を因果逆転・隣接概念へ置換。正答位置は維持。</x:v>
      </x:c>
    </x:row>
    <x:row r="171" ht="84" customHeight="1">
      <x:c r="A171" s="164" t="str">
        <x:v>LO2-050</x:v>
      </x:c>
      <x:c r="B171" s="171" t="str">
        <x:v>LO2</x:v>
      </x:c>
      <x:c r="C171" s="165" t="str">
        <x:v>世界の主要な非発泡性ワイン</x:v>
      </x:c>
      <x:c r="D171" s="165" t="str">
        <x:v>カファジャテ</x:v>
      </x:c>
      <x:c r="E171" s="165" t="str">
        <x:v>カファジャテのトロンテスが強い芳香と酸を持ちやすい条件はどれか。</x:v>
      </x:c>
      <x:c r="F171" s="165" t="str">
        <x:v>低標高、強い日照、冷涼な夜、乾燥した気候</x:v>
      </x:c>
      <x:c r="G171" s="165" t="str">
        <x:v>高標高、強い日照、冷涼な夜、乾燥した気候</x:v>
      </x:c>
      <x:c r="H171" s="165" t="str">
        <x:v>低標高の湿潤な亜熱帯気候と暖かい夜</x:v>
      </x:c>
      <x:c r="I171" s="165" t="str">
        <x:v>大西洋の冷霧と多雨が一年中続く条件</x:v>
      </x:c>
      <x:c r="J171" s="171" t="str">
        <x:v>B</x:v>
      </x:c>
      <x:c r="K171" s="165" t="str">
        <x:v>高標高、強い日照、冷涼な夜、乾燥した気候</x:v>
      </x:c>
      <x:c r="L171" s="165" t="str">
        <x:v>正しい。強い日射で香りを成熟させ、夜間冷却で酸を保持する。</x:v>
      </x:c>
      <x:c r="M171" s="165" t="str">
        <x:v>誤り。正答では「高標高」ことが重要であり、この選択肢は「低標高」へ置き換えて関係を逆にしている。</x:v>
      </x:c>
      <x:c r="N171" s="165" t="str">
        <x:v>正しい。強い日射で香りを成熟させ、夜間冷却で酸を保持する。</x:v>
      </x:c>
      <x:c r="O171" s="165" t="str">
        <x:v>誤り。酸保持と芳香に不利。</x:v>
      </x:c>
      <x:c r="P171" s="165" t="str">
        <x:v>誤り。内陸高地で乾燥している。</x:v>
      </x:c>
      <x:c r="Q171" s="165" t="str">
        <x:v>自然要因・産地</x:v>
      </x:c>
      <x:c r="R171" s="165" t="str">
        <x:v>高標高・芳香性品種</x:v>
      </x:c>
      <x:c r="S171" s="165" t="str">
        <x:v>非発泡性白ワイン</x:v>
      </x:c>
      <x:c r="T171" s="165" t="str">
        <x:v>アルゼンチン</x:v>
      </x:c>
      <x:c r="U171" s="165" t="str">
        <x:v>サルタ／カファジャテ</x:v>
      </x:c>
      <x:c r="V171" s="165" t="str">
        <x:v>トロンテス</x:v>
      </x:c>
      <x:c r="W171" s="165" t="str">
        <x:v>因果説明</x:v>
      </x:c>
      <x:c r="X171" s="171" t="str">
        <x:v>D2</x:v>
      </x:c>
      <x:c r="Y171" s="165" t="str">
        <x:v>「高標高」と「低標高」の関係を逆転; カファジャテを低地湿潤・暖夜と混同; カファジャテを海洋霧多雨と混同</x:v>
      </x:c>
      <x:c r="Z171" s="171" t="str">
        <x:v>N</x:v>
      </x:c>
      <x:c r="AA171" s="165"/>
      <x:c r="AB171" s="165" t="str">
        <x:v>オリジナル</x:v>
      </x:c>
      <x:c r="AC171" s="165" t="str">
        <x:v>公式Specificationの範囲＋ユーザー作成コーパスの論点と問題設計例を参考に独自作成</x:v>
      </x:c>
      <x:c r="AD171" s="171" t="str">
        <x:v>改稿済み・専門家未承認</x:v>
      </x:c>
      <x:c r="AE171" s="171" t="str">
        <x:v>AI誤答レビュー</x:v>
      </x:c>
      <x:c r="AF171" s="171" t="str">
        <x:v>2026-07-12</x:v>
      </x:c>
      <x:c r="AG171" s="166" t="str">
        <x:v>第4バッチ：同一論点内の典型的誤概念へ置換。正答位置は維持。</x:v>
      </x:c>
    </x:row>
    <x:row r="172" ht="84" customHeight="1">
      <x:c r="A172" s="164" t="str">
        <x:v>LO2-051</x:v>
      </x:c>
      <x:c r="B172" s="171" t="str">
        <x:v>LO2</x:v>
      </x:c>
      <x:c r="C172" s="165" t="str">
        <x:v>世界の主要な非発泡性ワイン</x:v>
      </x:c>
      <x:c r="D172" s="165" t="str">
        <x:v>ルハン・デ・クージョ</x:v>
      </x:c>
      <x:c r="E172" s="165" t="str">
        <x:v>ルハン・デ・クージョの上質マルベックに、凝縮した果実味と柔らかく熟したタンニンをもたらす要因はどれか。</x:v>
      </x:c>
      <x:c r="F172" s="165" t="str">
        <x:v>冷涼多雨で日照が少なく、果皮が成熟しない</x:v>
      </x:c>
      <x:c r="G172" s="165" t="str">
        <x:v>海水による洪水灌漑で塩分を加える</x:v>
      </x:c>
      <x:c r="H172" s="165" t="str">
        <x:v>標高のある乾燥した畑で、強い日射と灌漑を管理し、十分に成熟させる</x:v>
      </x:c>
      <x:c r="I172" s="165" t="str">
        <x:v>発酵を行わず、ブドウジュースのまま瓶詰めする</x:v>
      </x:c>
      <x:c r="J172" s="171" t="str">
        <x:v>C</x:v>
      </x:c>
      <x:c r="K172" s="165" t="str">
        <x:v>標高のある乾燥した畑で、強い日射と灌漑を管理し、十分に成熟させる</x:v>
      </x:c>
      <x:c r="L172" s="165" t="str">
        <x:v>正しい。標高による涼しい夜で酸を保ちつつ、強い日射と乾燥条件で色と果実を成熟させ、灌漑により適度な水分ストレスを管理できる。</x:v>
      </x:c>
      <x:c r="M172" s="165" t="str">
        <x:v>誤り。上質マルベックには十分な日射と成熟が必要で、説明が逆である。</x:v>
      </x:c>
      <x:c r="N172" s="165" t="str">
        <x:v>誤り。使用するのは山岳由来の淡水で、海水による塩分付与ではない。</x:v>
      </x:c>
      <x:c r="O172" s="165" t="str">
        <x:v>正しい。標高による涼しい夜で酸を保ちつつ、強い日射と乾燥条件で色と果実を成熟させ、灌漑により適度な水分ストレスを管理できる。</x:v>
      </x:c>
      <x:c r="P172" s="165" t="str">
        <x:v>誤り。ワインにはアルコール発酵が必要である。</x:v>
      </x:c>
      <x:c r="Q172" s="165" t="str">
        <x:v>自然・人的要因</x:v>
      </x:c>
      <x:c r="R172" s="165" t="str">
        <x:v>標高・灌漑・成熟</x:v>
      </x:c>
      <x:c r="S172" s="165" t="str">
        <x:v>非発泡性赤ワイン</x:v>
      </x:c>
      <x:c r="T172" s="165" t="str">
        <x:v>アルゼンチン</x:v>
      </x:c>
      <x:c r="U172" s="165" t="str">
        <x:v>メンドーサ／ルハン・デ・クージョ</x:v>
      </x:c>
      <x:c r="V172" s="165" t="str">
        <x:v>マルベック</x:v>
      </x:c>
      <x:c r="W172" s="165" t="str">
        <x:v>統合判断</x:v>
      </x:c>
      <x:c r="X172" s="171" t="str">
        <x:v>D3</x:v>
      </x:c>
      <x:c r="Y172" s="165" t="str">
        <x:v>ルハン・デ・クージョに関する別の特徴・要因と混同; ルハン・デ・クージョに関する別の特徴・要因と混同; ルハン・デ・クージョに関する別の特徴・要因と混同</x:v>
      </x:c>
      <x:c r="Z172" s="171" t="str">
        <x:v>N</x:v>
      </x:c>
      <x:c r="AA172" s="165"/>
      <x:c r="AB172" s="165" t="str">
        <x:v>オリジナル</x:v>
      </x:c>
      <x:c r="AC172" s="165" t="str">
        <x:v>公式Specificationの範囲＋ユーザー作成コーパスの論点と問題設計例を参考に独自作成</x:v>
      </x:c>
      <x:c r="AD172" s="171" t="str">
        <x:v>改稿済み・専門家未承認</x:v>
      </x:c>
      <x:c r="AE172" s="171" t="str">
        <x:v>AI誤答レビュー</x:v>
      </x:c>
      <x:c r="AF172" s="171" t="str">
        <x:v>2026-07-12</x:v>
      </x:c>
      <x:c r="AG172" s="166" t="str">
        <x:v>最終バッチ：有効な誤答を維持し、絶対語・物理的不可能な誤答のみ置換。正答位置は維持。</x:v>
      </x:c>
    </x:row>
    <x:row r="173" ht="84" customHeight="1">
      <x:c r="A173" s="164" t="str">
        <x:v>LO2-052</x:v>
      </x:c>
      <x:c r="B173" s="171" t="str">
        <x:v>LO2</x:v>
      </x:c>
      <x:c r="C173" s="165" t="str">
        <x:v>世界の主要な非発泡性ワイン</x:v>
      </x:c>
      <x:c r="D173" s="165" t="str">
        <x:v>パタゴニア</x:v>
      </x:c>
      <x:c r="E173" s="165" t="str">
        <x:v>パタゴニアが、ピノ・ノワールなどの冷涼気候品種に適する主な理由はどれか。</x:v>
      </x:c>
      <x:c r="F173" s="165" t="str">
        <x:v>南緯が低く、暖流と高湿度で成熟がゆっくり進むため</x:v>
      </x:c>
      <x:c r="G173" s="165" t="str">
        <x:v>アンデスの西側に位置し、太平洋からの多雨を直接受けるため</x:v>
      </x:c>
      <x:c r="H173" s="165" t="str">
        <x:v>標高が非常に高く、昼夜を通じて低温が続くため</x:v>
      </x:c>
      <x:c r="I173" s="165" t="str">
        <x:v>南緯が高く、乾燥した気候と強い風、涼しい夜が成熟を緩やかにする</x:v>
      </x:c>
      <x:c r="J173" s="171" t="str">
        <x:v>D</x:v>
      </x:c>
      <x:c r="K173" s="165" t="str">
        <x:v>南緯が高く、乾燥した気候と強い風、涼しい夜が成熟を緩やかにする</x:v>
      </x:c>
      <x:c r="L173" s="165" t="str">
        <x:v>正しい。長い日照と涼しい夜が、酸を保ちながら成熟を進める。</x:v>
      </x:c>
      <x:c r="M173" s="165" t="str">
        <x:v>誤り。パタゴニアは南緯が高く、暖流・高湿度が主因ではない。</x:v>
      </x:c>
      <x:c r="N173" s="165" t="str">
        <x:v>誤り。アンデス東側の雨陰で乾燥している。</x:v>
      </x:c>
      <x:c r="O173" s="165" t="str">
        <x:v>誤り。標高だけでなく、高緯度・風・日較差が重要で、終日低温ではない。</x:v>
      </x:c>
      <x:c r="P173" s="165" t="str">
        <x:v>正しい。長い日照と涼しい夜が、酸を保ちながら成熟を進める。</x:v>
      </x:c>
      <x:c r="Q173" s="165" t="str">
        <x:v>自然要因・産地</x:v>
      </x:c>
      <x:c r="R173" s="165" t="str">
        <x:v>高緯度・風・日較差</x:v>
      </x:c>
      <x:c r="S173" s="165" t="str">
        <x:v>非発泡性ワイン</x:v>
      </x:c>
      <x:c r="T173" s="165" t="str">
        <x:v>アルゼンチン</x:v>
      </x:c>
      <x:c r="U173" s="165" t="str">
        <x:v>パタゴニア</x:v>
      </x:c>
      <x:c r="V173" s="165" t="str">
        <x:v>ピノ・ノワール、シャルドネ等</x:v>
      </x:c>
      <x:c r="W173" s="165" t="str">
        <x:v>因果説明</x:v>
      </x:c>
      <x:c r="X173" s="171" t="str">
        <x:v>D2</x:v>
      </x:c>
      <x:c r="Y173" s="165" t="str">
        <x:v>パタゴニアは低緯度・暖流・高湿度; 太平洋からの多雨を直接受ける; 適性は極端な高標高と終日低温だけ</x:v>
      </x:c>
      <x:c r="Z173" s="171" t="str">
        <x:v>N</x:v>
      </x:c>
      <x:c r="AA173" s="165"/>
      <x:c r="AB173" s="165" t="str">
        <x:v>オリジナル</x:v>
      </x:c>
      <x:c r="AC173" s="165" t="str">
        <x:v>公式Specificationの範囲＋ユーザー作成コーパスの論点と問題設計例を参考に独自作成</x:v>
      </x:c>
      <x:c r="AD173" s="171" t="str">
        <x:v>改稿済み・専門家未承認</x:v>
      </x:c>
      <x:c r="AE173" s="171" t="str">
        <x:v>AI誤答レビュー</x:v>
      </x:c>
      <x:c r="AF173" s="171" t="str">
        <x:v>2026-07-12</x:v>
      </x:c>
      <x:c r="AG173" s="166" t="str">
        <x:v>第3バッチ：同一論点内の典型的誤概念へ置換。正答位置は維持。</x:v>
      </x:c>
    </x:row>
    <x:row r="174" ht="84" customHeight="1">
      <x:c r="A174" s="164" t="str">
        <x:v>LO2-053</x:v>
      </x:c>
      <x:c r="B174" s="171" t="str">
        <x:v>LO2</x:v>
      </x:c>
      <x:c r="C174" s="165" t="str">
        <x:v>世界の主要な非発泡性ワイン</x:v>
      </x:c>
      <x:c r="D174" s="165" t="str">
        <x:v>ステレンボッシュ</x:v>
      </x:c>
      <x:c r="E174" s="165" t="str">
        <x:v>ステレンボッシュの上質カベルネ・ソーヴィニヨンが成熟した果実味とフレッシュさを両立しやすい主な理由はどれか。</x:v>
      </x:c>
      <x:c r="F174" s="165" t="str">
        <x:v>暖かい日照に加え、フォールス湾からの冷却風と山地の標高差がある</x:v>
      </x:c>
      <x:c r="G174" s="165" t="str">
        <x:v>フォールス湾からの風が夜間気温を高く保ち、酸の減少を促す</x:v>
      </x:c>
      <x:c r="H174" s="165" t="str">
        <x:v>肥沃で水分の多い谷底の高収量が、果実濃度と酸を同時に高める</x:v>
      </x:c>
      <x:c r="I174" s="165" t="str">
        <x:v>高標高ほど紫外線が弱くなり、果皮の色素形成が抑えられる</x:v>
      </x:c>
      <x:c r="J174" s="171" t="str">
        <x:v>A</x:v>
      </x:c>
      <x:c r="K174" s="165" t="str">
        <x:v>暖かい日照に加え、フォールス湾からの冷却風と山地の標高差がある</x:v>
      </x:c>
      <x:c r="L174" s="165" t="str">
        <x:v>正しい。日中の暖かさがカベルネの成熟を促し、海風と標高による冷却が酸と香りを保つ。</x:v>
      </x:c>
      <x:c r="M174" s="165" t="str">
        <x:v>正しい。日中の暖かさがカベルネの成熟を促し、海風と標高による冷却が酸と香りを保つ。</x:v>
      </x:c>
      <x:c r="N174" s="165" t="str">
        <x:v>誤り。フォールス湾からの風は冷却効果を持ち、夜温を高くして酸を減らすことが主作用ではない。</x:v>
      </x:c>
      <x:c r="O174" s="165" t="str">
        <x:v>誤り。高収量と肥沃な谷底は果実濃度を下げる可能性があり、上質ワインの主因ではない。</x:v>
      </x:c>
      <x:c r="P174" s="165" t="str">
        <x:v>誤り。標高が上がると一般に紫外線は強くなり、果皮発達を促す場合がある。</x:v>
      </x:c>
      <x:c r="Q174" s="165" t="str">
        <x:v>自然要因・産地</x:v>
      </x:c>
      <x:c r="R174" s="165" t="str">
        <x:v>海風・標高</x:v>
      </x:c>
      <x:c r="S174" s="165" t="str">
        <x:v>非発泡性赤ワイン</x:v>
      </x:c>
      <x:c r="T174" s="165" t="str">
        <x:v>南アフリカ</x:v>
      </x:c>
      <x:c r="U174" s="165" t="str">
        <x:v>ステレンボッシュ</x:v>
      </x:c>
      <x:c r="V174" s="165" t="str">
        <x:v>カベルネ・ソーヴィニヨン</x:v>
      </x:c>
      <x:c r="W174" s="165" t="str">
        <x:v>因果説明</x:v>
      </x:c>
      <x:c r="X174" s="171" t="str">
        <x:v>D2</x:v>
      </x:c>
      <x:c r="Y174" s="165" t="str">
        <x:v>海風が夜温を上げる; 高収量で濃度が上がる; 標高でUVが弱くなる</x:v>
      </x:c>
      <x:c r="Z174" s="171" t="str">
        <x:v>N</x:v>
      </x:c>
      <x:c r="AA174" s="165"/>
      <x:c r="AB174" s="165" t="str">
        <x:v>オリジナル</x:v>
      </x:c>
      <x:c r="AC174" s="165" t="str">
        <x:v>公式Specificationの範囲＋ユーザー作成コーパスの論点と問題設計例を参考に独自作成</x:v>
      </x:c>
      <x:c r="AD174" s="171" t="str">
        <x:v>改稿済み・専門家未承認</x:v>
      </x:c>
      <x:c r="AE174" s="171" t="str">
        <x:v>AI誤答レビュー</x:v>
      </x:c>
      <x:c r="AF174" s="171" t="str">
        <x:v>2026-07-12</x:v>
      </x:c>
      <x:c r="AG174" s="166" t="str">
        <x:v>誤答を同一論点内の典型的誤概念へ置換。900問本体への反映前に専門家確認推奨。</x:v>
      </x:c>
    </x:row>
    <x:row r="175" ht="84" customHeight="1">
      <x:c r="A175" s="164" t="str">
        <x:v>LO2-054</x:v>
      </x:c>
      <x:c r="B175" s="171" t="str">
        <x:v>LO2</x:v>
      </x:c>
      <x:c r="C175" s="165" t="str">
        <x:v>世界の主要な非発泡性ワイン</x:v>
      </x:c>
      <x:c r="D175" s="165" t="str">
        <x:v>スワートランド</x:v>
      </x:c>
      <x:c r="E175" s="165" t="str">
        <x:v>スワートランドの古木シュナン・ブランが凝縮したワインを生みやすい理由はどれか。</x:v>
      </x:c>
      <x:c r="F175" s="165" t="str">
        <x:v>古木の高収量と大きな果粒が、果汁量と風味を同時に増やすため</x:v>
      </x:c>
      <x:c r="G175" s="165" t="str">
        <x:v>古木の低収量と深い根が、乾燥条件で小粒の凝縮果を生むため</x:v>
      </x:c>
      <x:c r="H175" s="165" t="str">
        <x:v>若木より果粒が大きく、果汁量が多いため</x:v>
      </x:c>
      <x:c r="I175" s="165" t="str">
        <x:v>灌漑量が多く、樹勢を高く保てるため</x:v>
      </x:c>
      <x:c r="J175" s="171" t="str">
        <x:v>B</x:v>
      </x:c>
      <x:c r="K175" s="165" t="str">
        <x:v>古木の低収量と深い根が、乾燥条件で小粒の凝縮果を生むため</x:v>
      </x:c>
      <x:c r="L175" s="165" t="str">
        <x:v>正しい。低収量と深根性が、暑く乾燥した地域で濃度と複雑性を高める。</x:v>
      </x:c>
      <x:c r="M175" s="165" t="str">
        <x:v>誤り。古木の価値は低収量と小粒の凝縮果にあり、高収量・大粒とは逆である。</x:v>
      </x:c>
      <x:c r="N175" s="165" t="str">
        <x:v>正しい。低収量と深根性が、暑く乾燥した地域で濃度と複雑性を高める。</x:v>
      </x:c>
      <x:c r="O175" s="165" t="str">
        <x:v>誤り。古木は低収量・小粒になりやすい。</x:v>
      </x:c>
      <x:c r="P175" s="165" t="str">
        <x:v>誤り。スワートランドの古木は乾燥・低収量が重要。</x:v>
      </x:c>
      <x:c r="Q175" s="165" t="str">
        <x:v>自然・人的要因</x:v>
      </x:c>
      <x:c r="R175" s="165" t="str">
        <x:v>古木・低収量</x:v>
      </x:c>
      <x:c r="S175" s="165" t="str">
        <x:v>非発泡性白ワイン</x:v>
      </x:c>
      <x:c r="T175" s="165" t="str">
        <x:v>南アフリカ</x:v>
      </x:c>
      <x:c r="U175" s="165" t="str">
        <x:v>スワートランド</x:v>
      </x:c>
      <x:c r="V175" s="165" t="str">
        <x:v>シュナン・ブラン</x:v>
      </x:c>
      <x:c r="W175" s="165" t="str">
        <x:v>因果説明</x:v>
      </x:c>
      <x:c r="X175" s="171" t="str">
        <x:v>D2</x:v>
      </x:c>
      <x:c r="Y175" s="165" t="str">
        <x:v>古木は高収量・大粒で凝縮する; 古木で大粒多果汁; 古木品質は多灌漑・高樹勢</x:v>
      </x:c>
      <x:c r="Z175" s="171" t="str">
        <x:v>N</x:v>
      </x:c>
      <x:c r="AA175" s="165"/>
      <x:c r="AB175" s="165" t="str">
        <x:v>オリジナル</x:v>
      </x:c>
      <x:c r="AC175" s="165" t="str">
        <x:v>公式Specificationの範囲＋ユーザー作成コーパスの論点と問題設計例を参考に独自作成</x:v>
      </x:c>
      <x:c r="AD175" s="171" t="str">
        <x:v>改稿済み・専門家未承認</x:v>
      </x:c>
      <x:c r="AE175" s="171" t="str">
        <x:v>AI誤答レビュー</x:v>
      </x:c>
      <x:c r="AF175" s="171" t="str">
        <x:v>2026-07-12</x:v>
      </x:c>
      <x:c r="AG175" s="166" t="str">
        <x:v>第4バッチ：同一論点内の典型的誤概念へ置換。正答位置は維持。</x:v>
      </x:c>
    </x:row>
    <x:row r="176" ht="84" customHeight="1">
      <x:c r="A176" s="164" t="str">
        <x:v>LO2-055</x:v>
      </x:c>
      <x:c r="B176" s="171" t="str">
        <x:v>LO2</x:v>
      </x:c>
      <x:c r="C176" s="165" t="str">
        <x:v>世界の主要な非発泡性ワイン</x:v>
      </x:c>
      <x:c r="D176" s="165" t="str">
        <x:v>ウォーカー・ベイ</x:v>
      </x:c>
      <x:c r="E176" s="165" t="str">
        <x:v>ウォーカー・ベイとヘメル・アン・アードがピノ・ノワールとシャルドネに適する主な理由はどれか。</x:v>
      </x:c>
      <x:c r="F176" s="165" t="str">
        <x:v>南極海からの冷たい風と海洋性気候が成熟を早めるため</x:v>
      </x:c>
      <x:c r="G176" s="165" t="str">
        <x:v>内陸の高温乾燥と暖かい夜が糖度を上げるため</x:v>
      </x:c>
      <x:c r="H176" s="165" t="str">
        <x:v>南極海からの冷たい風と海洋性気候が成熟を遅らせるため</x:v>
      </x:c>
      <x:c r="I176" s="165" t="str">
        <x:v>高収量の肥沃平地で酸を後から添加するため</x:v>
      </x:c>
      <x:c r="J176" s="171" t="str">
        <x:v>C</x:v>
      </x:c>
      <x:c r="K176" s="165" t="str">
        <x:v>南極海からの冷たい風と海洋性気候が成熟を遅らせるため</x:v>
      </x:c>
      <x:c r="L176" s="165" t="str">
        <x:v>正しい。冷涼な海洋影響がピノ・ノワールとシャルドネの酸と香りを保つ。</x:v>
      </x:c>
      <x:c r="M176" s="165" t="str">
        <x:v>誤り。正答では「成熟を遅らせ」ことが重要であり、この選択肢は「成熟を早め」へ置き換えて関係を逆にしている。</x:v>
      </x:c>
      <x:c r="N176" s="165" t="str">
        <x:v>誤り。冷涼な沿岸条件が重要。</x:v>
      </x:c>
      <x:c r="O176" s="165" t="str">
        <x:v>正しい。冷涼な海洋影響がピノ・ノワールとシャルドネの酸と香りを保つ。</x:v>
      </x:c>
      <x:c r="P176" s="165" t="str">
        <x:v>誤り。自然な酸保持と低収量区画が品質を支える。</x:v>
      </x:c>
      <x:c r="Q176" s="165" t="str">
        <x:v>自然要因・産地</x:v>
      </x:c>
      <x:c r="R176" s="165" t="str">
        <x:v>海洋冷却</x:v>
      </x:c>
      <x:c r="S176" s="165" t="str">
        <x:v>非発泡性ワイン</x:v>
      </x:c>
      <x:c r="T176" s="165" t="str">
        <x:v>南アフリカ</x:v>
      </x:c>
      <x:c r="U176" s="165" t="str">
        <x:v>ウォーカー・ベイ／ヘメル・アン・アード</x:v>
      </x:c>
      <x:c r="V176" s="165" t="str">
        <x:v>ピノ・ノワール、シャルドネ</x:v>
      </x:c>
      <x:c r="W176" s="165" t="str">
        <x:v>因果説明</x:v>
      </x:c>
      <x:c r="X176" s="171" t="str">
        <x:v>D2</x:v>
      </x:c>
      <x:c r="Y176" s="165" t="str">
        <x:v>「成熟を遅らせ」と「成熟を早め」の関係を逆転; ウォーカー・ベイを内陸高温型とみなす; 高収量平地・酸添加が主因</x:v>
      </x:c>
      <x:c r="Z176" s="171" t="str">
        <x:v>N</x:v>
      </x:c>
      <x:c r="AA176" s="165"/>
      <x:c r="AB176" s="165" t="str">
        <x:v>オリジナル</x:v>
      </x:c>
      <x:c r="AC176" s="165" t="str">
        <x:v>公式Specificationの範囲＋ユーザー作成コーパスの論点と問題設計例を参考に独自作成</x:v>
      </x:c>
      <x:c r="AD176" s="171" t="str">
        <x:v>改稿済み・専門家未承認</x:v>
      </x:c>
      <x:c r="AE176" s="171" t="str">
        <x:v>AI誤答レビュー</x:v>
      </x:c>
      <x:c r="AF176" s="171" t="str">
        <x:v>2026-07-12</x:v>
      </x:c>
      <x:c r="AG176" s="166" t="str">
        <x:v>第4バッチ：同一論点内の典型的誤概念へ置換。正答位置は維持。</x:v>
      </x:c>
    </x:row>
    <x:row r="177" ht="84" customHeight="1">
      <x:c r="A177" s="164" t="str">
        <x:v>LO2-056</x:v>
      </x:c>
      <x:c r="B177" s="171" t="str">
        <x:v>LO2</x:v>
      </x:c>
      <x:c r="C177" s="165" t="str">
        <x:v>世界の主要な非発泡性ワイン</x:v>
      </x:c>
      <x:c r="D177" s="165" t="str">
        <x:v>バロッサ・ヴァレー</x:v>
      </x:c>
      <x:c r="E177" s="165" t="str">
        <x:v>バロッサ・ヴァレーのシラーズに、典型的な特徴はどれか。</x:v>
      </x:c>
      <x:c r="F177" s="165" t="str">
        <x:v>軽いボディ、低いアルコール、赤い果実、高い酸</x:v>
      </x:c>
      <x:c r="G177" s="165" t="str">
        <x:v>高い酸と黒胡椒を持つが、果実成熟は低く青い香りが中心</x:v>
      </x:c>
      <x:c r="H177" s="165" t="str">
        <x:v>中程度のボディとアルコールで、樽をほとんど使わない繊細なスタイル</x:v>
      </x:c>
      <x:c r="I177" s="165" t="str">
        <x:v>フルボディ、高いアルコール、熟した黒系果実、甘いスパイス</x:v>
      </x:c>
      <x:c r="J177" s="171" t="str">
        <x:v>D</x:v>
      </x:c>
      <x:c r="K177" s="165" t="str">
        <x:v>フルボディ、高いアルコール、熟した黒系果実、甘いスパイス</x:v>
      </x:c>
      <x:c r="L177" s="165" t="str">
        <x:v>正しい。高い成熟度、黒果実、甘いスパイス、豊かなボディを持つ。</x:v>
      </x:c>
      <x:c r="M177" s="165" t="str">
        <x:v>誤り。バロッサの温暖さから、軽量・低アルコール型は典型ではない。</x:v>
      </x:c>
      <x:c r="N177" s="165" t="str">
        <x:v>誤り。熟した果実が中心で、未熟な青い香りが典型ではない。</x:v>
      </x:c>
      <x:c r="O177" s="165" t="str">
        <x:v>誤り。繊細な中庸型より、豊かで濃厚なスタイルが代表的である。</x:v>
      </x:c>
      <x:c r="P177" s="165" t="str">
        <x:v>正しい。高い成熟度、黒果実、甘いスパイス、豊かなボディを持つ。</x:v>
      </x:c>
      <x:c r="Q177" s="165" t="str">
        <x:v>産地スタイル</x:v>
      </x:c>
      <x:c r="R177" s="165" t="str">
        <x:v>温暖気候・シラーズ</x:v>
      </x:c>
      <x:c r="S177" s="165" t="str">
        <x:v>非発泡性赤ワイン</x:v>
      </x:c>
      <x:c r="T177" s="165" t="str">
        <x:v>オーストラリア</x:v>
      </x:c>
      <x:c r="U177" s="165" t="str">
        <x:v>バロッサ・ヴァレー</x:v>
      </x:c>
      <x:c r="V177" s="165" t="str">
        <x:v>シラーズ</x:v>
      </x:c>
      <x:c r="W177" s="165" t="str">
        <x:v>知識確認</x:v>
      </x:c>
      <x:c r="X177" s="171" t="str">
        <x:v>D1</x:v>
      </x:c>
      <x:c r="Y177" s="165" t="str">
        <x:v>バロッサ・シラーズは軽量低アルコール; 高酸だが未熟青香が中心; バロッサは繊細・中程度・非樽型</x:v>
      </x:c>
      <x:c r="Z177" s="171" t="str">
        <x:v>N</x:v>
      </x:c>
      <x:c r="AA177" s="165"/>
      <x:c r="AB177" s="165" t="str">
        <x:v>オリジナル</x:v>
      </x:c>
      <x:c r="AC177" s="165" t="str">
        <x:v>公式Specificationの範囲＋ユーザー作成コーパスの論点と問題設計例を参考に独自作成</x:v>
      </x:c>
      <x:c r="AD177" s="171" t="str">
        <x:v>改稿済み・専門家未承認</x:v>
      </x:c>
      <x:c r="AE177" s="171" t="str">
        <x:v>AI誤答レビュー</x:v>
      </x:c>
      <x:c r="AF177" s="171" t="str">
        <x:v>2026-07-12</x:v>
      </x:c>
      <x:c r="AG177" s="166" t="str">
        <x:v>第3バッチ：同一論点内の典型的誤概念へ置換。正答位置は維持。</x:v>
      </x:c>
    </x:row>
    <x:row r="178" ht="84" customHeight="1">
      <x:c r="A178" s="164" t="str">
        <x:v>LO2-057</x:v>
      </x:c>
      <x:c r="B178" s="171" t="str">
        <x:v>LO2</x:v>
      </x:c>
      <x:c r="C178" s="165" t="str">
        <x:v>世界の主要な非発泡性ワイン</x:v>
      </x:c>
      <x:c r="D178" s="165" t="str">
        <x:v>クナワラ</x:v>
      </x:c>
      <x:c r="E178" s="165" t="str">
        <x:v>クナワラのカベルネ・ソーヴィニヨンが酸と構造を保ちやすい主な理由はどれか。</x:v>
      </x:c>
      <x:c r="F178" s="165" t="str">
        <x:v>南極海の影響を受ける比較的冷涼な海洋性気候で、成熟が緩やかに進む</x:v>
      </x:c>
      <x:c r="G178" s="165" t="str">
        <x:v>カベルネを凍結して糖を捨てるから</x:v>
      </x:c>
      <x:c r="H178" s="165" t="str">
        <x:v>果汁へ石灰を大量に加え、酸を大きく除去するから</x:v>
      </x:c>
      <x:c r="I178" s="165" t="str">
        <x:v>赤道に近い熱帯気候で、一年中夜も高温だから</x:v>
      </x:c>
      <x:c r="J178" s="171" t="str">
        <x:v>A</x:v>
      </x:c>
      <x:c r="K178" s="165" t="str">
        <x:v>南極海の影響を受ける比較的冷涼な海洋性気候で、成熟が緩やかに進む</x:v>
      </x:c>
      <x:c r="L178" s="165" t="str">
        <x:v>正しい。南オーストラリアの中では海洋の冷却が強く、長い成熟期により黒系果実とタンニンを成熟させながら酸を保持しやすい。</x:v>
      </x:c>
      <x:c r="M178" s="165" t="str">
        <x:v>正しい。南オーストラリアの中では海洋の冷却が強く、長い成熟期により黒系果実とタンニンを成熟させながら酸を保持しやすい。</x:v>
      </x:c>
      <x:c r="N178" s="165" t="str">
        <x:v>誤り。凍結処理はクナワラの典型的な赤ワイン製法ではない。</x:v>
      </x:c>
      <x:c r="O178" s="165" t="str">
        <x:v>誤り。酸の保持は気候と成熟によるもので、酸を完全に除去する説明は逆である。</x:v>
      </x:c>
      <x:c r="P178" s="165" t="str">
        <x:v>誤り。クナワラは南部の比較的冷涼な地域で、熱帯ではない。</x:v>
      </x:c>
      <x:c r="Q178" s="165" t="str">
        <x:v>自然要因・産地</x:v>
      </x:c>
      <x:c r="R178" s="165" t="str">
        <x:v>海洋性気候・成熟</x:v>
      </x:c>
      <x:c r="S178" s="165" t="str">
        <x:v>非発泡性赤ワイン</x:v>
      </x:c>
      <x:c r="T178" s="165" t="str">
        <x:v>オーストラリア</x:v>
      </x:c>
      <x:c r="U178" s="165" t="str">
        <x:v>クナワラ</x:v>
      </x:c>
      <x:c r="V178" s="165" t="str">
        <x:v>カベルネ・ソーヴィニヨン</x:v>
      </x:c>
      <x:c r="W178" s="165" t="str">
        <x:v>因果説明</x:v>
      </x:c>
      <x:c r="X178" s="171" t="str">
        <x:v>D2</x:v>
      </x:c>
      <x:c r="Y178" s="165" t="str">
        <x:v>クナワラについて関連要因を主因とみなす; クナワラについて関連要因を主因とみなす; クナワラについて関連要因を主因とみなす</x:v>
      </x:c>
      <x:c r="Z178" s="171" t="str">
        <x:v>N</x:v>
      </x:c>
      <x:c r="AA178" s="165"/>
      <x:c r="AB178" s="165" t="str">
        <x:v>オリジナル</x:v>
      </x:c>
      <x:c r="AC178" s="165" t="str">
        <x:v>公式Specificationの範囲＋ユーザー作成コーパスの論点と問題設計例を参考に独自作成</x:v>
      </x:c>
      <x:c r="AD178" s="171" t="str">
        <x:v>改稿済み・専門家未承認</x:v>
      </x:c>
      <x:c r="AE178" s="171" t="str">
        <x:v>AI誤答レビュー</x:v>
      </x:c>
      <x:c r="AF178" s="171" t="str">
        <x:v>2026-07-12</x:v>
      </x:c>
      <x:c r="AG178" s="166" t="str">
        <x:v>第5バッチ：使用可能な誤答を維持し、弱い誤答を因果逆転・隣接概念へ置換。正答位置は維持。</x:v>
      </x:c>
    </x:row>
    <x:row r="179" ht="84" customHeight="1">
      <x:c r="A179" s="164" t="str">
        <x:v>LO2-058</x:v>
      </x:c>
      <x:c r="B179" s="171" t="str">
        <x:v>LO2</x:v>
      </x:c>
      <x:c r="C179" s="165" t="str">
        <x:v>世界の主要な非発泡性ワイン</x:v>
      </x:c>
      <x:c r="D179" s="165" t="str">
        <x:v>ハンター・ヴァレー・セミヨン</x:v>
      </x:c>
      <x:c r="E179" s="165" t="str">
        <x:v>若いハンター・ヴァレー・セミヨンの典型的なスタイルとして、最も適切なものはどれか。</x:v>
      </x:c>
      <x:c r="F179" s="165" t="str">
        <x:v>低い酸、豊かなトロピカル果実、新樽香、高いアルコールを持つ</x:v>
      </x:c>
      <x:c r="G179" s="165" t="str">
        <x:v>低めのアルコール、高い酸、軽いボディで、瓶熟成によりトーストや蜂蜜の香りが発達する</x:v>
      </x:c>
      <x:c r="H179" s="165" t="str">
        <x:v>中程度の甘味、貴腐由来のアプリコット、高いアルコールを持つ</x:v>
      </x:c>
      <x:c r="I179" s="165" t="str">
        <x:v>強い花香と少量の残糖を持ち、若いうちから厚いボディを示す</x:v>
      </x:c>
      <x:c r="J179" s="171" t="str">
        <x:v>B</x:v>
      </x:c>
      <x:c r="K179" s="165" t="str">
        <x:v>低めのアルコール、高い酸、軽いボディで、瓶熟成によりトーストや蜂蜜の香りが発達する</x:v>
      </x:c>
      <x:c r="L179" s="165" t="str">
        <x:v>正しい。若いうちは軽快で中立的だが、瓶熟成でトーストや蜂蜜のような複雑性が生じる。</x:v>
      </x:c>
      <x:c r="M179" s="165" t="str">
        <x:v>誤り。ハンターの若いセミヨンは早摘みで、通常は低アルコール・高酸・控えめな一次香である。</x:v>
      </x:c>
      <x:c r="N179" s="165" t="str">
        <x:v>正しい。若いうちは軽快で中立的だが、瓶熟成でトーストや蜂蜜のような複雑性が生じる。</x:v>
      </x:c>
      <x:c r="O179" s="165" t="str">
        <x:v>誤り。貴腐甘口が典型ではなく、通常は辛口で造られる。</x:v>
      </x:c>
      <x:c r="P179" s="165" t="str">
        <x:v>誤り。芳香性品種のような強い花香や残糖、厚いボディが典型ではない。</x:v>
      </x:c>
      <x:c r="Q179" s="165" t="str">
        <x:v>醸造・産地</x:v>
      </x:c>
      <x:c r="R179" s="165" t="str">
        <x:v>早期収穫・瓶熟成</x:v>
      </x:c>
      <x:c r="S179" s="165" t="str">
        <x:v>非発泡性白ワイン</x:v>
      </x:c>
      <x:c r="T179" s="165" t="str">
        <x:v>オーストラリア</x:v>
      </x:c>
      <x:c r="U179" s="165" t="str">
        <x:v>ハンター・ヴァレー</x:v>
      </x:c>
      <x:c r="V179" s="165" t="str">
        <x:v>セミヨン</x:v>
      </x:c>
      <x:c r="W179" s="165" t="str">
        <x:v>統合判断</x:v>
      </x:c>
      <x:c r="X179" s="171" t="str">
        <x:v>D3</x:v>
      </x:c>
      <x:c r="Y179" s="165" t="str">
        <x:v>温暖産地のため低酸・高アルコールになる; ハンター・セミヨンは貴腐甘口が典型; セミヨンを芳香性・オフドライ品種とみなす</x:v>
      </x:c>
      <x:c r="Z179" s="171" t="str">
        <x:v>N</x:v>
      </x:c>
      <x:c r="AA179" s="165"/>
      <x:c r="AB179" s="165" t="str">
        <x:v>オリジナル</x:v>
      </x:c>
      <x:c r="AC179" s="165" t="str">
        <x:v>公式Specificationの範囲＋ユーザー作成コーパスの論点と問題設計例を参考に独自作成</x:v>
      </x:c>
      <x:c r="AD179" s="171" t="str">
        <x:v>改稿済み・専門家未承認</x:v>
      </x:c>
      <x:c r="AE179" s="171" t="str">
        <x:v>AI誤答レビュー</x:v>
      </x:c>
      <x:c r="AF179" s="171" t="str">
        <x:v>2026-07-12</x:v>
      </x:c>
      <x:c r="AG179" s="166" t="str">
        <x:v>第2バッチ：誤答を同一論点内の典型的誤概念へ置換。正答位置は維持。</x:v>
      </x:c>
    </x:row>
    <x:row r="180" ht="84" customHeight="1">
      <x:c r="A180" s="164" t="str">
        <x:v>LO2-059</x:v>
      </x:c>
      <x:c r="B180" s="171" t="str">
        <x:v>LO2</x:v>
      </x:c>
      <x:c r="C180" s="165" t="str">
        <x:v>世界の主要な非発泡性ワイン</x:v>
      </x:c>
      <x:c r="D180" s="165" t="str">
        <x:v>クレア／イーデン・ヴァレー</x:v>
      </x:c>
      <x:c r="E180" s="165" t="str">
        <x:v>クレア・ヴァレーやイーデン・ヴァレーのリースリングに、典型的な特徴はどれか。</x:v>
      </x:c>
      <x:c r="F180" s="165" t="str">
        <x:v>低い酸、熟したトロピカル果実、強い新樽香を持つ</x:v>
      </x:c>
      <x:c r="G180" s="165" t="str">
        <x:v>中程度の甘味、貴腐香、低いアルコールが中心</x:v>
      </x:c>
      <x:c r="H180" s="165" t="str">
        <x:v>辛口、高い酸、ライムや柑橘の風味を持ち、瓶熟成でトースト香が発達する</x:v>
      </x:c>
      <x:c r="I180" s="165" t="str">
        <x:v>高い酸とライム香を持つが、瓶熟成では果実香が強まるだけで熟成香は生じない</x:v>
      </x:c>
      <x:c r="J180" s="171" t="str">
        <x:v>C</x:v>
      </x:c>
      <x:c r="K180" s="165" t="str">
        <x:v>辛口、高い酸、ライムや柑橘の風味を持ち、瓶熟成でトースト香が発達する</x:v>
      </x:c>
      <x:c r="L180" s="165" t="str">
        <x:v>正しい。若いうちはライムや柑橘、熟成でトーストや蜂蜜様の香りを示す。</x:v>
      </x:c>
      <x:c r="M180" s="165" t="str">
        <x:v>誤り。典型は高酸で辛口、樽香を前面に出すスタイルではない。</x:v>
      </x:c>
      <x:c r="N180" s="165" t="str">
        <x:v>誤り。貴腐甘口が中心ではなく、辛口リースリングが代表的である。</x:v>
      </x:c>
      <x:c r="O180" s="165" t="str">
        <x:v>正しい。若いうちはライムや柑橘、熟成でトーストや蜂蜜様の香りを示す。</x:v>
      </x:c>
      <x:c r="P180" s="165" t="str">
        <x:v>誤り。瓶熟成では一次果実香が変化し、トースト等の第三アロマが発達する。</x:v>
      </x:c>
      <x:c r="Q180" s="165" t="str">
        <x:v>産地スタイル</x:v>
      </x:c>
      <x:c r="R180" s="165" t="str">
        <x:v>標高・リースリング</x:v>
      </x:c>
      <x:c r="S180" s="165" t="str">
        <x:v>非発泡性白ワイン</x:v>
      </x:c>
      <x:c r="T180" s="165" t="str">
        <x:v>オーストラリア</x:v>
      </x:c>
      <x:c r="U180" s="165" t="str">
        <x:v>クレア・ヴァレー／イーデン・ヴァレー</x:v>
      </x:c>
      <x:c r="V180" s="165" t="str">
        <x:v>リースリング</x:v>
      </x:c>
      <x:c r="W180" s="165" t="str">
        <x:v>知識確認</x:v>
      </x:c>
      <x:c r="X180" s="171" t="str">
        <x:v>D2</x:v>
      </x:c>
      <x:c r="Y180" s="165" t="str">
        <x:v>豪州リースリングは低酸・新樽型; クレア／イーデンは貴腐甘口が中心; 瓶熟成で第三アロマが生じない</x:v>
      </x:c>
      <x:c r="Z180" s="171" t="str">
        <x:v>N</x:v>
      </x:c>
      <x:c r="AA180" s="165"/>
      <x:c r="AB180" s="165" t="str">
        <x:v>オリジナル</x:v>
      </x:c>
      <x:c r="AC180" s="165" t="str">
        <x:v>公式Specificationの範囲＋ユーザー作成コーパスの論点と問題設計例を参考に独自作成</x:v>
      </x:c>
      <x:c r="AD180" s="171" t="str">
        <x:v>改稿済み・専門家未承認</x:v>
      </x:c>
      <x:c r="AE180" s="171" t="str">
        <x:v>AI誤答レビュー</x:v>
      </x:c>
      <x:c r="AF180" s="171" t="str">
        <x:v>2026-07-12</x:v>
      </x:c>
      <x:c r="AG180" s="166" t="str">
        <x:v>第3バッチ：同一論点内の典型的誤概念へ置換。正答位置は維持。</x:v>
      </x:c>
    </x:row>
    <x:row r="181" ht="84" customHeight="1">
      <x:c r="A181" s="164" t="str">
        <x:v>LO2-060</x:v>
      </x:c>
      <x:c r="B181" s="171" t="str">
        <x:v>LO2</x:v>
      </x:c>
      <x:c r="C181" s="165" t="str">
        <x:v>世界の主要な非発泡性ワイン</x:v>
      </x:c>
      <x:c r="D181" s="165" t="str">
        <x:v>セントラル・オタゴ</x:v>
      </x:c>
      <x:c r="E181" s="165" t="str">
        <x:v>セントラル・オタゴのピノ・ノワールが熟した果実味と高い酸を両立しやすい理由はどれか。</x:v>
      </x:c>
      <x:c r="F181" s="165" t="str">
        <x:v>強い日照と大きな日較差により、果実を成熟させつつ酸を失いやすい</x:v>
      </x:c>
      <x:c r="G181" s="165" t="str">
        <x:v>海洋霧と低標高で一日中冷涼なため</x:v>
      </x:c>
      <x:c r="H181" s="165" t="str">
        <x:v>夜温が高く呼吸が速いため、酸と果実味が同時に高まる</x:v>
      </x:c>
      <x:c r="I181" s="165" t="str">
        <x:v>強い日照と大きな日較差により、果実を成熟させつつ酸を保つ</x:v>
      </x:c>
      <x:c r="J181" s="171" t="str">
        <x:v>D</x:v>
      </x:c>
      <x:c r="K181" s="165" t="str">
        <x:v>強い日照と大きな日較差により、果実を成熟させつつ酸を保つ</x:v>
      </x:c>
      <x:c r="L181" s="165" t="str">
        <x:v>正しい。乾燥した日中と冷涼な夜が、熟した果実と高い酸を両立する。</x:v>
      </x:c>
      <x:c r="M181" s="165" t="str">
        <x:v>誤り。冷涼な夜は呼吸を抑え、成熟しながら酸を保持する方向に働く。</x:v>
      </x:c>
      <x:c r="N181" s="165" t="str">
        <x:v>誤り。内陸高地の大陸性で、海洋霧ではない。</x:v>
      </x:c>
      <x:c r="O181" s="165" t="str">
        <x:v>誤り。高い夜温は酸を減らす。</x:v>
      </x:c>
      <x:c r="P181" s="165" t="str">
        <x:v>正しい。乾燥した日中と冷涼な夜が、熟した果実と高い酸を両立する。</x:v>
      </x:c>
      <x:c r="Q181" s="165" t="str">
        <x:v>自然要因・産地</x:v>
      </x:c>
      <x:c r="R181" s="165" t="str">
        <x:v>大陸性・日較差</x:v>
      </x:c>
      <x:c r="S181" s="165" t="str">
        <x:v>非発泡性赤ワイン</x:v>
      </x:c>
      <x:c r="T181" s="165" t="str">
        <x:v>ニュージーランド</x:v>
      </x:c>
      <x:c r="U181" s="165" t="str">
        <x:v>セントラル・オタゴ</x:v>
      </x:c>
      <x:c r="V181" s="165" t="str">
        <x:v>ピノ・ノワール</x:v>
      </x:c>
      <x:c r="W181" s="165" t="str">
        <x:v>因果説明</x:v>
      </x:c>
      <x:c r="X181" s="171" t="str">
        <x:v>D2</x:v>
      </x:c>
      <x:c r="Y181" s="165" t="str">
        <x:v>大きな日較差で酸を失う; セントラル・オタゴを海洋霧型とみなす; 高夜温で酸が高まる</x:v>
      </x:c>
      <x:c r="Z181" s="171" t="str">
        <x:v>N</x:v>
      </x:c>
      <x:c r="AA181" s="165"/>
      <x:c r="AB181" s="165" t="str">
        <x:v>オリジナル</x:v>
      </x:c>
      <x:c r="AC181" s="165" t="str">
        <x:v>公式Specificationの範囲＋ユーザー作成コーパスの論点と問題設計例を参考に独自作成</x:v>
      </x:c>
      <x:c r="AD181" s="171" t="str">
        <x:v>改稿済み・専門家未承認</x:v>
      </x:c>
      <x:c r="AE181" s="171" t="str">
        <x:v>AI誤答レビュー</x:v>
      </x:c>
      <x:c r="AF181" s="171" t="str">
        <x:v>2026-07-12</x:v>
      </x:c>
      <x:c r="AG181" s="166" t="str">
        <x:v>第4バッチ：同一論点内の典型的誤概念へ置換。正答位置は維持。</x:v>
      </x:c>
    </x:row>
    <x:row r="182" ht="84" customHeight="1">
      <x:c r="A182" s="164" t="str">
        <x:v>LO3-021</x:v>
      </x:c>
      <x:c r="B182" s="171" t="str">
        <x:v>LO3</x:v>
      </x:c>
      <x:c r="C182" s="165" t="str">
        <x:v>世界の主要な発泡性ワイン</x:v>
      </x:c>
      <x:c r="D182" s="165" t="str">
        <x:v>全房圧搾</x:v>
      </x:c>
      <x:c r="E182" s="165" t="str">
        <x:v>上質な伝統的方式発泡性ワインのベースワインで、全房を穏やかに圧搾する主な目的はどれか。</x:v>
      </x:c>
      <x:c r="F182" s="165" t="str">
        <x:v>果皮や種子からの色とフェノールの抽出を抑え、繊細な果汁を得る</x:v>
      </x:c>
      <x:c r="G182" s="165" t="str">
        <x:v>房軸からタンニンを抽出し、瓶内熟成力を高める</x:v>
      </x:c>
      <x:c r="H182" s="165" t="str">
        <x:v>果汁収量を最大化し、後半圧搾果汁まで同じ品質で得る</x:v>
      </x:c>
      <x:c r="I182" s="165" t="str">
        <x:v>果汁の酸を下げ、二次発酵を穏やかにする</x:v>
      </x:c>
      <x:c r="J182" s="171" t="str">
        <x:v>A</x:v>
      </x:c>
      <x:c r="K182" s="165" t="str">
        <x:v>果皮や種子からの色とフェノールの抽出を抑え、繊細な果汁を得る</x:v>
      </x:c>
      <x:c r="L182" s="165" t="str">
        <x:v>正しい。穏やかな圧搾で、淡色・低フェノールの高酸果汁を得る。</x:v>
      </x:c>
      <x:c r="M182" s="165" t="str">
        <x:v>正しい。穏やかな圧搾で、淡色・低フェノールの高酸果汁を得る。</x:v>
      </x:c>
      <x:c r="N182" s="165" t="str">
        <x:v>誤り。房軸は排水を助けるが、タンニン抽出が目的ではない。</x:v>
      </x:c>
      <x:c r="O182" s="165" t="str">
        <x:v>誤り。全房圧搾は果汁収量最大化より品質優先で、分画差も生じる。</x:v>
      </x:c>
      <x:c r="P182" s="165" t="str">
        <x:v>誤り。酸を下げる工程ではなく、高酸ベースを保つ。</x:v>
      </x:c>
      <x:c r="Q182" s="165" t="str">
        <x:v>発泡性ワイン製法</x:v>
      </x:c>
      <x:c r="R182" s="165" t="str">
        <x:v>圧搾・フェノール管理</x:v>
      </x:c>
      <x:c r="S182" s="165" t="str">
        <x:v>発泡性ワイン</x:v>
      </x:c>
      <x:c r="T182" s="165"/>
      <x:c r="U182" s="165"/>
      <x:c r="V182" s="165"/>
      <x:c r="W182" s="165" t="str">
        <x:v>因果説明</x:v>
      </x:c>
      <x:c r="X182" s="171" t="str">
        <x:v>D2</x:v>
      </x:c>
      <x:c r="Y182" s="165" t="str">
        <x:v>全房圧搾は軸タンニン抽出が目的; 全房圧搾で全分画同品質・最大収量; 全房圧搾で酸を下げる</x:v>
      </x:c>
      <x:c r="Z182" s="171" t="str">
        <x:v>N</x:v>
      </x:c>
      <x:c r="AA182" s="165"/>
      <x:c r="AB182" s="165" t="str">
        <x:v>オリジナル</x:v>
      </x:c>
      <x:c r="AC182" s="165" t="str">
        <x:v>公式Specificationの範囲＋ユーザー作成コーパスの論点と問題設計例を参考に独自作成</x:v>
      </x:c>
      <x:c r="AD182" s="171" t="str">
        <x:v>改稿済み・専門家未承認</x:v>
      </x:c>
      <x:c r="AE182" s="171" t="str">
        <x:v>AI誤答レビュー</x:v>
      </x:c>
      <x:c r="AF182" s="171" t="str">
        <x:v>2026-07-12</x:v>
      </x:c>
      <x:c r="AG182" s="166" t="str">
        <x:v>第3バッチ：同一論点内の典型的誤概念へ置換。正答位置は維持。</x:v>
      </x:c>
    </x:row>
    <x:row r="183" ht="84" customHeight="1">
      <x:c r="A183" s="164" t="str">
        <x:v>LO3-022</x:v>
      </x:c>
      <x:c r="B183" s="171" t="str">
        <x:v>LO3</x:v>
      </x:c>
      <x:c r="C183" s="165" t="str">
        <x:v>世界の主要な発泡性ワイン</x:v>
      </x:c>
      <x:c r="D183" s="165" t="str">
        <x:v>早期収穫</x:v>
      </x:c>
      <x:c r="E183" s="165" t="str">
        <x:v>発泡性ワイン用ブドウを非発泡性ワイン用より早めに収穫することが多い主な理由はどれか。</x:v>
      </x:c>
      <x:c r="F183" s="165" t="str">
        <x:v>果皮と種子を十分に成熟させ、タンニン抽出を高めるため</x:v>
      </x:c>
      <x:c r="G183" s="165" t="str">
        <x:v>潜在アルコールを抑え、高い酸と繊細な香りを保つため</x:v>
      </x:c>
      <x:c r="H183" s="165" t="str">
        <x:v>タンニンと果皮色素を最大化し、長期果皮浸漬に耐えるため</x:v>
      </x:c>
      <x:c r="I183" s="165" t="str">
        <x:v>残糖を高く残し、ドザージュを不要にするため</x:v>
      </x:c>
      <x:c r="J183" s="171" t="str">
        <x:v>B</x:v>
      </x:c>
      <x:c r="K183" s="165" t="str">
        <x:v>潜在アルコールを抑え、高い酸と繊細な香りを保つため</x:v>
      </x:c>
      <x:c r="L183" s="165" t="str">
        <x:v>正しい。二次発酵でアルコールが増えるため、早摘みの高酸果実が適する。</x:v>
      </x:c>
      <x:c r="M183" s="165" t="str">
        <x:v>誤り。発泡性用では潜在アルコールを抑え、高い酸を保つことが主眼で、強いタンニン抽出は求めない。</x:v>
      </x:c>
      <x:c r="N183" s="165" t="str">
        <x:v>正しい。二次発酵でアルコールが増えるため、早摘みの高酸果実が適する。</x:v>
      </x:c>
      <x:c r="O183" s="165" t="str">
        <x:v>誤り。発泡性ベースでは色・タンニンを抑える。</x:v>
      </x:c>
      <x:c r="P183" s="165" t="str">
        <x:v>誤り。ベースワインは通常辛口まで発酵し、甘味は別調整。</x:v>
      </x:c>
      <x:c r="Q183" s="165" t="str">
        <x:v>自然・人的要因</x:v>
      </x:c>
      <x:c r="R183" s="165" t="str">
        <x:v>収穫時期・酸</x:v>
      </x:c>
      <x:c r="S183" s="165" t="str">
        <x:v>発泡性ワイン</x:v>
      </x:c>
      <x:c r="T183" s="165"/>
      <x:c r="U183" s="165"/>
      <x:c r="V183" s="165"/>
      <x:c r="W183" s="165" t="str">
        <x:v>因果説明</x:v>
      </x:c>
      <x:c r="X183" s="171" t="str">
        <x:v>D1</x:v>
      </x:c>
      <x:c r="Y183" s="165" t="str">
        <x:v>発泡性用早摘みはタンニン成熟のため; 早摘みはタンニン・色素最大化; 早摘みで残糖を残しドザージュ不要</x:v>
      </x:c>
      <x:c r="Z183" s="171" t="str">
        <x:v>N</x:v>
      </x:c>
      <x:c r="AA183" s="165"/>
      <x:c r="AB183" s="165" t="str">
        <x:v>オリジナル</x:v>
      </x:c>
      <x:c r="AC183" s="165" t="str">
        <x:v>公式Specificationの範囲＋ユーザー作成コーパスの論点と問題設計例を参考に独自作成</x:v>
      </x:c>
      <x:c r="AD183" s="171" t="str">
        <x:v>改稿済み・専門家未承認</x:v>
      </x:c>
      <x:c r="AE183" s="171" t="str">
        <x:v>AI誤答レビュー</x:v>
      </x:c>
      <x:c r="AF183" s="171" t="str">
        <x:v>2026-07-12</x:v>
      </x:c>
      <x:c r="AG183" s="166" t="str">
        <x:v>第4バッチ：同一論点内の典型的誤概念へ置換。正答位置は維持。</x:v>
      </x:c>
    </x:row>
    <x:row r="184" ht="84" customHeight="1">
      <x:c r="A184" s="164" t="str">
        <x:v>LO3-023</x:v>
      </x:c>
      <x:c r="B184" s="171" t="str">
        <x:v>LO3</x:v>
      </x:c>
      <x:c r="C184" s="165" t="str">
        <x:v>世界の主要な発泡性ワイン</x:v>
      </x:c>
      <x:c r="D184" s="165" t="str">
        <x:v>ベースワインの清澄</x:v>
      </x:c>
      <x:c r="E184" s="165" t="str">
        <x:v>発泡性ワインのベースワインを二次発酵前に清澄する主な利点はどれか。</x:v>
      </x:c>
      <x:c r="F184" s="165" t="str">
        <x:v>果汁を濁ったままにすると、天然酵母が増えて二次発酵が均一になる</x:v>
      </x:c>
      <x:c r="G184" s="165" t="str">
        <x:v>ベースワインの糖を減らし、二次発酵用糖を加えやすくする</x:v>
      </x:c>
      <x:c r="H184" s="165" t="str">
        <x:v>不要な固形物を除き、二次発酵を均一にして澱処理を容易にする</x:v>
      </x:c>
      <x:c r="I184" s="165" t="str">
        <x:v>ベースワイン中の酵母を残し、ティラージュ酵母を加えなくてよくする</x:v>
      </x:c>
      <x:c r="J184" s="171" t="str">
        <x:v>C</x:v>
      </x:c>
      <x:c r="K184" s="165" t="str">
        <x:v>不要な固形物を除き、二次発酵を均一にして澱処理を容易にする</x:v>
      </x:c>
      <x:c r="L184" s="165" t="str">
        <x:v>正しい。濁りや不安定成分を減らし、酵母沈降と完成品の透明度を管理する。</x:v>
      </x:c>
      <x:c r="M184" s="165" t="str">
        <x:v>誤り。ティラージュ前には不要な固形物と微生物を除き、選択酵母で均一化する。</x:v>
      </x:c>
      <x:c r="N184" s="165" t="str">
        <x:v>誤り。清澄で溶解糖は除かれない。</x:v>
      </x:c>
      <x:c r="O184" s="165" t="str">
        <x:v>正しい。濁りや不安定成分を減らし、酵母沈降と完成品の透明度を管理する。</x:v>
      </x:c>
      <x:c r="P184" s="165" t="str">
        <x:v>誤り。清澄後に選択した酵母を加える。</x:v>
      </x:c>
      <x:c r="Q184" s="165" t="str">
        <x:v>発泡性ワイン製法</x:v>
      </x:c>
      <x:c r="R184" s="165" t="str">
        <x:v>ベースワイン・清澄</x:v>
      </x:c>
      <x:c r="S184" s="165" t="str">
        <x:v>発泡性ワイン</x:v>
      </x:c>
      <x:c r="T184" s="165"/>
      <x:c r="U184" s="165"/>
      <x:c r="V184" s="165"/>
      <x:c r="W184" s="165" t="str">
        <x:v>因果説明</x:v>
      </x:c>
      <x:c r="X184" s="171" t="str">
        <x:v>D2</x:v>
      </x:c>
      <x:c r="Y184" s="165" t="str">
        <x:v>濁ったベースと天然酵母で二次発酵が均一; 清澄で糖を除く; 清澄で自然酵母を残し追加不要</x:v>
      </x:c>
      <x:c r="Z184" s="171" t="str">
        <x:v>N</x:v>
      </x:c>
      <x:c r="AA184" s="165"/>
      <x:c r="AB184" s="165" t="str">
        <x:v>オリジナル</x:v>
      </x:c>
      <x:c r="AC184" s="165" t="str">
        <x:v>公式Specificationの範囲＋ユーザー作成コーパスの論点と問題設計例を参考に独自作成</x:v>
      </x:c>
      <x:c r="AD184" s="171" t="str">
        <x:v>改稿済み・専門家未承認</x:v>
      </x:c>
      <x:c r="AE184" s="171" t="str">
        <x:v>AI誤答レビュー</x:v>
      </x:c>
      <x:c r="AF184" s="171" t="str">
        <x:v>2026-07-12</x:v>
      </x:c>
      <x:c r="AG184" s="166" t="str">
        <x:v>第4バッチ：同一論点内の典型的誤概念へ置換。正答位置は維持。</x:v>
      </x:c>
    </x:row>
    <x:row r="185" ht="84" customHeight="1">
      <x:c r="A185" s="164" t="str">
        <x:v>LO3-024</x:v>
      </x:c>
      <x:c r="B185" s="171" t="str">
        <x:v>LO3</x:v>
      </x:c>
      <x:c r="C185" s="165" t="str">
        <x:v>世界の主要な発泡性ワイン</x:v>
      </x:c>
      <x:c r="D185" s="165" t="str">
        <x:v>ベースワインのブレンド</x:v>
      </x:c>
      <x:c r="E185" s="165" t="str">
        <x:v>発泡性ワインの生産者が異なる品種、畑、ロットのベースワインをブレンドする主な目的はどれか。</x:v>
      </x:c>
      <x:c r="F185" s="165" t="str">
        <x:v>各ロットの個性を保つため、品質や成分の差を考慮せず同じ比率で混ぜる</x:v>
      </x:c>
      <x:c r="G185" s="165" t="str">
        <x:v>二次発酵後のアルコール増加を防ぐため、最も低アルコールのロットだけを用いる</x:v>
      </x:c>
      <x:c r="H185" s="165" t="str">
        <x:v>ドザージュを不要にするため、残糖の高いロットを中心に加える</x:v>
      </x:c>
      <x:c r="I185" s="165" t="str">
        <x:v>酸、果実味、ボディ、熟成香のバランスを整え、狙うスタイルを作る</x:v>
      </x:c>
      <x:c r="J185" s="171" t="str">
        <x:v>D</x:v>
      </x:c>
      <x:c r="K185" s="165" t="str">
        <x:v>酸、果実味、ボディ、熟成香のバランスを整え、狙うスタイルを作る</x:v>
      </x:c>
      <x:c r="L185" s="165" t="str">
        <x:v>正しい。品種、畑、収穫年、醸造ロットの長所を組み合わせ、完成品の酸、果実、構造、一貫性を設計する。</x:v>
      </x:c>
      <x:c r="M185" s="165" t="str">
        <x:v>誤り。ブレンド比率は各ロットの特性を評価して決め、同量にすること自体が目的ではない。</x:v>
      </x:c>
      <x:c r="N185" s="165" t="str">
        <x:v>誤り。潜在アルコールは重要だが、低アルコールのロットだけを用いると果実・構造・複雑性を設計できない。</x:v>
      </x:c>
      <x:c r="O185" s="165" t="str">
        <x:v>誤り。ベースワインは通常辛口で、最終甘味は主にデゴルジュマン後のドザージュで調整する。</x:v>
      </x:c>
      <x:c r="P185" s="165" t="str">
        <x:v>正しい。品種、畑、収穫年、醸造ロットの長所を組み合わせ、完成品の酸、果実、構造、一貫性を設計する。</x:v>
      </x:c>
      <x:c r="Q185" s="165" t="str">
        <x:v>発泡性ワイン製法</x:v>
      </x:c>
      <x:c r="R185" s="165" t="str">
        <x:v>ブレンド・スタイル</x:v>
      </x:c>
      <x:c r="S185" s="165" t="str">
        <x:v>発泡性ワイン</x:v>
      </x:c>
      <x:c r="T185" s="165"/>
      <x:c r="U185" s="165"/>
      <x:c r="V185" s="165"/>
      <x:c r="W185" s="165" t="str">
        <x:v>統合判断</x:v>
      </x:c>
      <x:c r="X185" s="171" t="str">
        <x:v>D2</x:v>
      </x:c>
      <x:c r="Y185" s="165" t="str">
        <x:v>ブレンドは全ロット同量; 低アルコールだけで設計; 残糖ロットでドザージュ代替</x:v>
      </x:c>
      <x:c r="Z185" s="171" t="str">
        <x:v>N</x:v>
      </x:c>
      <x:c r="AA185" s="165"/>
      <x:c r="AB185" s="165" t="str">
        <x:v>オリジナル</x:v>
      </x:c>
      <x:c r="AC185" s="165" t="str">
        <x:v>公式Specificationの範囲＋ユーザー作成コーパスの論点と問題設計例を参考に独自作成</x:v>
      </x:c>
      <x:c r="AD185" s="171" t="str">
        <x:v>改稿済み・専門家未承認</x:v>
      </x:c>
      <x:c r="AE185" s="171" t="str">
        <x:v>AI誤答レビュー</x:v>
      </x:c>
      <x:c r="AF185" s="171" t="str">
        <x:v>2026-07-12</x:v>
      </x:c>
      <x:c r="AG185" s="166" t="str">
        <x:v>誤答を同一論点内の典型的誤概念へ置換。900問本体への反映前に専門家確認推奨。</x:v>
      </x:c>
    </x:row>
    <x:row r="186" ht="84" customHeight="1">
      <x:c r="A186" s="164" t="str">
        <x:v>LO3-025</x:v>
      </x:c>
      <x:c r="B186" s="171" t="str">
        <x:v>LO3</x:v>
      </x:c>
      <x:c r="C186" s="165" t="str">
        <x:v>世界の主要な発泡性ワイン</x:v>
      </x:c>
      <x:c r="D186" s="165" t="str">
        <x:v>瓶内二次発酵と炭酸ガス</x:v>
      </x:c>
      <x:c r="E186" s="165" t="str">
        <x:v>伝統的方式の瓶内二次発酵で泡が生まれる仕組みはどれか。</x:v>
      </x:c>
      <x:c r="F186" s="165" t="str">
        <x:v>密閉瓶内で酵母が糖を発酵し、逃げ場のない二酸化炭素がワインに溶ける</x:v>
      </x:c>
      <x:c r="G186" s="165" t="str">
        <x:v>果実や花の一次香を保ちながら、効率よく発泡性ワインを生産できるから</x:v>
      </x:c>
      <x:c r="H186" s="165" t="str">
        <x:v>瓶内の酸が炭酸ガスへ変化し、圧力を作る</x:v>
      </x:c>
      <x:c r="I186" s="165" t="str">
        <x:v>澱の自己分解が新しい二酸化炭素を生成する</x:v>
      </x:c>
      <x:c r="J186" s="171" t="str">
        <x:v>A</x:v>
      </x:c>
      <x:c r="K186" s="165" t="str">
        <x:v>密閉瓶内で酵母が糖を発酵し、逃げ場のない二酸化炭素がワインに溶ける</x:v>
      </x:c>
      <x:c r="L186" s="165" t="str">
        <x:v>正しい。密閉環境で生成したCO2が溶存し、開栓時に泡となる。</x:v>
      </x:c>
      <x:c r="M186" s="165" t="str">
        <x:v>正しい。密閉環境で生成したCO2が溶存し、開栓時に泡となる。</x:v>
      </x:c>
      <x:c r="N186" s="165" t="str">
        <x:v>誤り。これは同じ知識領域の「タンク方式」に当てはまる説明で、設問の「瓶内二次発酵と炭酸ガス」を最も適切に説明しない。</x:v>
      </x:c>
      <x:c r="O186" s="165" t="str">
        <x:v>誤り。CO2は酵母発酵で生成される。</x:v>
      </x:c>
      <x:c r="P186" s="165" t="str">
        <x:v>誤り。自己分解は香味・質感へ影響し、圧力源ではない。</x:v>
      </x:c>
      <x:c r="Q186" s="165" t="str">
        <x:v>発泡性ワイン製法</x:v>
      </x:c>
      <x:c r="R186" s="165" t="str">
        <x:v>二次発酵・炭酸ガス</x:v>
      </x:c>
      <x:c r="S186" s="165" t="str">
        <x:v>発泡性ワイン</x:v>
      </x:c>
      <x:c r="T186" s="165"/>
      <x:c r="U186" s="165"/>
      <x:c r="V186" s="165"/>
      <x:c r="W186" s="165" t="str">
        <x:v>因果説明</x:v>
      </x:c>
      <x:c r="X186" s="171" t="str">
        <x:v>D1</x:v>
      </x:c>
      <x:c r="Y186" s="165" t="str">
        <x:v>瓶内二次発酵と炭酸ガスをタンク方式の特徴と混同; 酸がCO2へ変化; 自己分解がCO2を生成</x:v>
      </x:c>
      <x:c r="Z186" s="171" t="str">
        <x:v>N</x:v>
      </x:c>
      <x:c r="AA186" s="165"/>
      <x:c r="AB186" s="165" t="str">
        <x:v>オリジナル</x:v>
      </x:c>
      <x:c r="AC186" s="165" t="str">
        <x:v>公式Specificationの範囲＋ユーザー作成コーパスの論点と問題設計例を参考に独自作成</x:v>
      </x:c>
      <x:c r="AD186" s="171" t="str">
        <x:v>改稿済み・専門家未承認</x:v>
      </x:c>
      <x:c r="AE186" s="171" t="str">
        <x:v>AI誤答レビュー</x:v>
      </x:c>
      <x:c r="AF186" s="171" t="str">
        <x:v>2026-07-12</x:v>
      </x:c>
      <x:c r="AG186" s="166" t="str">
        <x:v>第4バッチ：同一論点内の典型的誤概念へ置換。正答位置は維持。</x:v>
      </x:c>
    </x:row>
    <x:row r="187" ht="84" customHeight="1">
      <x:c r="A187" s="164" t="str">
        <x:v>LO3-026</x:v>
      </x:c>
      <x:c r="B187" s="171" t="str">
        <x:v>LO3</x:v>
      </x:c>
      <x:c r="C187" s="165" t="str">
        <x:v>世界の主要な発泡性ワイン</x:v>
      </x:c>
      <x:c r="D187" s="165" t="str">
        <x:v>瓶内圧力</x:v>
      </x:c>
      <x:c r="E187" s="165" t="str">
        <x:v>伝統的方式で最終的な瓶内圧力を主に決める要因はどれか。</x:v>
      </x:c>
      <x:c r="F187" s="165" t="str">
        <x:v>ベースワインの色の濃さ</x:v>
      </x:c>
      <x:c r="G187" s="165" t="str">
        <x:v>リクール・ドゥ・ティラージュに含まれる発酵可能な糖の量</x:v>
      </x:c>
      <x:c r="H187" s="165" t="str">
        <x:v>ルミュアージュの回転回数だけ</x:v>
      </x:c>
      <x:c r="I187" s="165" t="str">
        <x:v>ラベルに使われる紙の厚さ</x:v>
      </x:c>
      <x:c r="J187" s="171" t="str">
        <x:v>B</x:v>
      </x:c>
      <x:c r="K187" s="165" t="str">
        <x:v>リクール・ドゥ・ティラージュに含まれる発酵可能な糖の量</x:v>
      </x:c>
      <x:c r="L187" s="165" t="str">
        <x:v>正しい。酵母が糖を発酵して二酸化炭素を生むため、密閉された容器内で発酵させる糖量が圧力を大きく左右する。</x:v>
      </x:c>
      <x:c r="M187" s="165" t="str">
        <x:v>誤り。色素量は二酸化炭素生成量を決めない。</x:v>
      </x:c>
      <x:c r="N187" s="165" t="str">
        <x:v>正しい。酵母が糖を発酵して二酸化炭素を生むため、密閉された容器内で発酵させる糖量が圧力を大きく左右する。</x:v>
      </x:c>
      <x:c r="O187" s="165" t="str">
        <x:v>誤り。動瓶は澱を集める工程で、発生する二酸化炭素量の主因ではない。</x:v>
      </x:c>
      <x:c r="P187" s="165" t="str">
        <x:v>誤り。ラベルの材質は瓶内圧力に影響しない。</x:v>
      </x:c>
      <x:c r="Q187" s="165" t="str">
        <x:v>発泡性ワイン製法</x:v>
      </x:c>
      <x:c r="R187" s="165" t="str">
        <x:v>ティラージュ・圧力</x:v>
      </x:c>
      <x:c r="S187" s="165" t="str">
        <x:v>発泡性ワイン</x:v>
      </x:c>
      <x:c r="T187" s="165"/>
      <x:c r="U187" s="165"/>
      <x:c r="V187" s="165"/>
      <x:c r="W187" s="165" t="str">
        <x:v>知識確認</x:v>
      </x:c>
      <x:c r="X187" s="171" t="str">
        <x:v>D1</x:v>
      </x:c>
      <x:c r="Y187" s="165" t="str">
        <x:v>瓶内圧力に関する別の特徴・要因と混同; 瓶内圧力に関する別の特徴・要因と混同; 瓶内圧力に関する別の特徴・要因と混同</x:v>
      </x:c>
      <x:c r="Z187" s="171" t="str">
        <x:v>N</x:v>
      </x:c>
      <x:c r="AA187" s="165"/>
      <x:c r="AB187" s="165" t="str">
        <x:v>オリジナル</x:v>
      </x:c>
      <x:c r="AC187" s="165" t="str">
        <x:v>公式Specificationの範囲＋ユーザー作成コーパスの論点と問題設計例を参考に独自作成</x:v>
      </x:c>
      <x:c r="AD187" s="171" t="str">
        <x:v>改稿済み・専門家未承認</x:v>
      </x:c>
      <x:c r="AE187" s="171" t="str">
        <x:v>AI誤答レビュー</x:v>
      </x:c>
      <x:c r="AF187" s="171" t="str">
        <x:v>2026-07-12</x:v>
      </x:c>
      <x:c r="AG187" s="166" t="str">
        <x:v>最終バッチ：有効な誤答を維持し、絶対語・物理的不可能な誤答のみ置換。正答位置は維持。</x:v>
      </x:c>
    </x:row>
    <x:row r="188" ht="84" customHeight="1">
      <x:c r="A188" s="164" t="str">
        <x:v>LO3-027</x:v>
      </x:c>
      <x:c r="B188" s="171" t="str">
        <x:v>LO3</x:v>
      </x:c>
      <x:c r="C188" s="165" t="str">
        <x:v>世界の主要な発泡性ワイン</x:v>
      </x:c>
      <x:c r="D188" s="165" t="str">
        <x:v>酵母の自己分解</x:v>
      </x:c>
      <x:c r="E188" s="165" t="str">
        <x:v>発泡性ワインの澱熟成中に酵母の自己分解が進むと、どのような香りが発達しやすいか。</x:v>
      </x:c>
      <x:c r="F188" s="165" t="str">
        <x:v>強い青ピーマンと未熟な草だけの香り</x:v>
      </x:c>
      <x:c r="G188" s="165" t="str">
        <x:v>海水を加えたような塩味だけ</x:v>
      </x:c>
      <x:c r="H188" s="165" t="str">
        <x:v>パン生地、ビスケット、トーストを思わせる香り</x:v>
      </x:c>
      <x:c r="I188" s="165" t="str">
        <x:v>コルク汚染による湿った段ボールの香り</x:v>
      </x:c>
      <x:c r="J188" s="171" t="str">
        <x:v>C</x:v>
      </x:c>
      <x:c r="K188" s="165" t="str">
        <x:v>パン生地、ビスケット、トーストを思わせる香り</x:v>
      </x:c>
      <x:c r="L188" s="165" t="str">
        <x:v>正しい。死滅した酵母細胞が分解されることで、パン、ブリオッシュ、ビスケット、トーストなどの自己分解由来の香りが発達する。</x:v>
      </x:c>
      <x:c r="M188" s="165" t="str">
        <x:v>誤り。これは品種や未熟さに関連し、酵母自己分解の典型ではない。</x:v>
      </x:c>
      <x:c r="N188" s="165" t="str">
        <x:v>誤り。自己分解が塩分を加えるわけではない。</x:v>
      </x:c>
      <x:c r="O188" s="165" t="str">
        <x:v>正しい。死滅した酵母細胞が分解されることで、パン、ブリオッシュ、ビスケット、トーストなどの自己分解由来の香りが発達する。</x:v>
      </x:c>
      <x:c r="P188" s="165" t="str">
        <x:v>誤り。湿った段ボールはコルク汚染の兆候で、望ましい自己分解香ではない。</x:v>
      </x:c>
      <x:c r="Q188" s="165" t="str">
        <x:v>発泡性ワイン製法</x:v>
      </x:c>
      <x:c r="R188" s="165" t="str">
        <x:v>澱熟成・自己分解香</x:v>
      </x:c>
      <x:c r="S188" s="165" t="str">
        <x:v>発泡性ワイン</x:v>
      </x:c>
      <x:c r="T188" s="165"/>
      <x:c r="U188" s="165"/>
      <x:c r="V188" s="165"/>
      <x:c r="W188" s="165" t="str">
        <x:v>知識確認</x:v>
      </x:c>
      <x:c r="X188" s="171" t="str">
        <x:v>D1</x:v>
      </x:c>
      <x:c r="Y188" s="165" t="str">
        <x:v>酵母の自己分解に関する別の特徴・要因と混同; 酵母の自己分解に関する別の特徴・要因と混同; 酵母の自己分解に関する別の特徴・要因と混同</x:v>
      </x:c>
      <x:c r="Z188" s="171" t="str">
        <x:v>N</x:v>
      </x:c>
      <x:c r="AA188" s="165"/>
      <x:c r="AB188" s="165" t="str">
        <x:v>オリジナル</x:v>
      </x:c>
      <x:c r="AC188" s="165" t="str">
        <x:v>公式Specificationの範囲＋ユーザー作成コーパスの論点と問題設計例を参考に独自作成</x:v>
      </x:c>
      <x:c r="AD188" s="171" t="str">
        <x:v>改稿済み・専門家未承認</x:v>
      </x:c>
      <x:c r="AE188" s="171" t="str">
        <x:v>AI誤答レビュー</x:v>
      </x:c>
      <x:c r="AF188" s="171" t="str">
        <x:v>2026-07-12</x:v>
      </x:c>
      <x:c r="AG188" s="166" t="str">
        <x:v>最終バッチ：有効な誤答を維持し、絶対語・物理的不可能な誤答のみ置換。正答位置は維持。</x:v>
      </x:c>
    </x:row>
    <x:row r="189" ht="84" customHeight="1">
      <x:c r="A189" s="164" t="str">
        <x:v>LO3-028</x:v>
      </x:c>
      <x:c r="B189" s="171" t="str">
        <x:v>LO3</x:v>
      </x:c>
      <x:c r="C189" s="165" t="str">
        <x:v>世界の主要な発泡性ワイン</x:v>
      </x:c>
      <x:c r="D189" s="165" t="str">
        <x:v>澱熟成と泡の質</x:v>
      </x:c>
      <x:c r="E189" s="165" t="str">
        <x:v>長い澱熟成が上質な発泡性ワインの口当たりに与えやすい影響はどれか。</x:v>
      </x:c>
      <x:c r="F189" s="165" t="str">
        <x:v>自己分解によって酸が増え、泡がより粗く刺激的に感じられる</x:v>
      </x:c>
      <x:c r="G189" s="165" t="str">
        <x:v>澱が二酸化炭素を吸収して瓶内圧力を下げ、泡を弱くする</x:v>
      </x:c>
      <x:c r="H189" s="165" t="str">
        <x:v>酵母由来の多糖類がタンニンを増やし、収れん性を強める</x:v>
      </x:c>
      <x:c r="I189" s="165" t="str">
        <x:v>泡がよりきめ細かくクリーミーに感じられ、質感が豊かになる</x:v>
      </x:c>
      <x:c r="J189" s="171" t="str">
        <x:v>D</x:v>
      </x:c>
      <x:c r="K189" s="165" t="str">
        <x:v>泡がよりきめ細かくクリーミーに感じられ、質感が豊かになる</x:v>
      </x:c>
      <x:c r="L189" s="165" t="str">
        <x:v>正しい。自己分解で放出される多糖類やタンパク質が、クリーミーな質感と持続する細かな泡に寄与する。</x:v>
      </x:c>
      <x:c r="M189" s="165" t="str">
        <x:v>誤り。自己分解は酸を増やして泡を粗くするのではなく、質感と泡の安定性を高める方向に働く。</x:v>
      </x:c>
      <x:c r="N189" s="165" t="str">
        <x:v>誤り。密閉瓶内の二酸化炭素が澱へ吸収されて圧力が大きく下がることが主効果ではない。</x:v>
      </x:c>
      <x:c r="O189" s="165" t="str">
        <x:v>誤り。酵母由来の多糖類はタンニンを増やすのではなく、口当たりを滑らかにする。</x:v>
      </x:c>
      <x:c r="P189" s="165" t="str">
        <x:v>正しい。自己分解で放出される多糖類やタンパク質が、クリーミーな質感と持続する細かな泡に寄与する。</x:v>
      </x:c>
      <x:c r="Q189" s="165" t="str">
        <x:v>発泡性ワイン製法</x:v>
      </x:c>
      <x:c r="R189" s="165" t="str">
        <x:v>澱熟成・質感</x:v>
      </x:c>
      <x:c r="S189" s="165" t="str">
        <x:v>発泡性ワイン</x:v>
      </x:c>
      <x:c r="T189" s="165"/>
      <x:c r="U189" s="165"/>
      <x:c r="V189" s="165"/>
      <x:c r="W189" s="165" t="str">
        <x:v>因果説明</x:v>
      </x:c>
      <x:c r="X189" s="171" t="str">
        <x:v>D2</x:v>
      </x:c>
      <x:c r="Y189" s="165" t="str">
        <x:v>自己分解で酸増加・粗い泡; 澱がCO2を吸収; 多糖類がタンニン増加</x:v>
      </x:c>
      <x:c r="Z189" s="171" t="str">
        <x:v>N</x:v>
      </x:c>
      <x:c r="AA189" s="165"/>
      <x:c r="AB189" s="165" t="str">
        <x:v>オリジナル</x:v>
      </x:c>
      <x:c r="AC189" s="165" t="str">
        <x:v>公式Specificationの範囲＋ユーザー作成コーパスの論点と問題設計例を参考に独自作成</x:v>
      </x:c>
      <x:c r="AD189" s="171" t="str">
        <x:v>改稿済み・専門家未承認</x:v>
      </x:c>
      <x:c r="AE189" s="171" t="str">
        <x:v>AI誤答レビュー</x:v>
      </x:c>
      <x:c r="AF189" s="171" t="str">
        <x:v>2026-07-12</x:v>
      </x:c>
      <x:c r="AG189" s="166" t="str">
        <x:v>誤答を同一論点内の典型的誤概念へ置換。900問本体への反映前に専門家確認推奨。</x:v>
      </x:c>
    </x:row>
    <x:row r="190" ht="84" customHeight="1">
      <x:c r="A190" s="164" t="str">
        <x:v>LO3-029</x:v>
      </x:c>
      <x:c r="B190" s="171" t="str">
        <x:v>LO3</x:v>
      </x:c>
      <x:c r="C190" s="165" t="str">
        <x:v>世界の主要な発泡性ワイン</x:v>
      </x:c>
      <x:c r="D190" s="165" t="str">
        <x:v>ジャイロパレット</x:v>
      </x:c>
      <x:c r="E190" s="165" t="str">
        <x:v>ジャイロパレットを用いる主な利点はどれか。</x:v>
      </x:c>
      <x:c r="F190" s="165" t="str">
        <x:v>多数の瓶を機械で同時に動瓶し、時間と人件費を減らせる</x:v>
      </x:c>
      <x:c r="G190" s="165" t="str">
        <x:v>瓶内二次発酵を短縮し、必要なティラージュ糖を減らせる</x:v>
      </x:c>
      <x:c r="H190" s="165" t="str">
        <x:v>デゴルジュマンとドザージュを一つの装置で同時に行える</x:v>
      </x:c>
      <x:c r="I190" s="165" t="str">
        <x:v>澱熟成を行わずに、酵母の自己分解香だけを短期間で加えられる</x:v>
      </x:c>
      <x:c r="J190" s="171" t="str">
        <x:v>A</x:v>
      </x:c>
      <x:c r="K190" s="165" t="str">
        <x:v>多数の瓶を機械で同時に動瓶し、時間と人件費を減らせる</x:v>
      </x:c>
      <x:c r="L190" s="165" t="str">
        <x:v>正しい。ルミュアージュを自動化し、多数の瓶の澱を瓶口へ集める。</x:v>
      </x:c>
      <x:c r="M190" s="165" t="str">
        <x:v>正しい。ルミュアージュを自動化し、多数の瓶の澱を瓶口へ集める。</x:v>
      </x:c>
      <x:c r="N190" s="165" t="str">
        <x:v>誤り。二次発酵期間や糖量を変える装置ではない。</x:v>
      </x:c>
      <x:c r="O190" s="165" t="str">
        <x:v>誤り。澱を集める装置で、デゴルジュマンやドザージュは別工程である。</x:v>
      </x:c>
      <x:c r="P190" s="165" t="str">
        <x:v>誤り。澱熟成を代替せず、自己分解香を人工的に加えるものでもない。</x:v>
      </x:c>
      <x:c r="Q190" s="165" t="str">
        <x:v>発泡性ワイン製法</x:v>
      </x:c>
      <x:c r="R190" s="165" t="str">
        <x:v>ルミュアージュ・機械化</x:v>
      </x:c>
      <x:c r="S190" s="165" t="str">
        <x:v>発泡性ワイン</x:v>
      </x:c>
      <x:c r="T190" s="165"/>
      <x:c r="U190" s="165"/>
      <x:c r="V190" s="165"/>
      <x:c r="W190" s="165" t="str">
        <x:v>因果説明</x:v>
      </x:c>
      <x:c r="X190" s="171" t="str">
        <x:v>D1</x:v>
      </x:c>
      <x:c r="Y190" s="165" t="str">
        <x:v>ジャイロパレットで二次発酵短縮・糖減少; ジャイロパレットが澱抜きとドザージュも行う; ジャイロパレットで澱熟成なしに自己分解香</x:v>
      </x:c>
      <x:c r="Z190" s="171" t="str">
        <x:v>N</x:v>
      </x:c>
      <x:c r="AA190" s="165"/>
      <x:c r="AB190" s="165" t="str">
        <x:v>オリジナル</x:v>
      </x:c>
      <x:c r="AC190" s="165" t="str">
        <x:v>公式Specificationの範囲＋ユーザー作成コーパスの論点と問題設計例を参考に独自作成</x:v>
      </x:c>
      <x:c r="AD190" s="171" t="str">
        <x:v>改稿済み・専門家未承認</x:v>
      </x:c>
      <x:c r="AE190" s="171" t="str">
        <x:v>AI誤答レビュー</x:v>
      </x:c>
      <x:c r="AF190" s="171" t="str">
        <x:v>2026-07-12</x:v>
      </x:c>
      <x:c r="AG190" s="166" t="str">
        <x:v>第3バッチ：同一論点内の典型的誤概念へ置換。正答位置は維持。</x:v>
      </x:c>
    </x:row>
    <x:row r="191" ht="84" customHeight="1">
      <x:c r="A191" s="164" t="str">
        <x:v>LO3-030</x:v>
      </x:c>
      <x:c r="B191" s="171" t="str">
        <x:v>LO3</x:v>
      </x:c>
      <x:c r="C191" s="165" t="str">
        <x:v>世界の主要な発泡性ワイン</x:v>
      </x:c>
      <x:c r="D191" s="165" t="str">
        <x:v>デゴルジュマン</x:v>
      </x:c>
      <x:c r="E191" s="165" t="str">
        <x:v>デゴルジュマン（澱抜き）直後にリクール・デクスペディシオンを加える理由はどれか。</x:v>
      </x:c>
      <x:c r="F191" s="165" t="str">
        <x:v>デゴルジュマンではドザージュ液を瓶口へ集めて除去する</x:v>
      </x:c>
      <x:c r="G191" s="165" t="str">
        <x:v>失われた液量を補い、最終的な甘味とハウス・スタイルを調整する</x:v>
      </x:c>
      <x:c r="H191" s="165" t="str">
        <x:v>二次発酵を再開し、デゴルジュマンで失った圧力を戻す</x:v>
      </x:c>
      <x:c r="I191" s="165" t="str">
        <x:v>澱を再び瓶口へ集め、透明度を高める</x:v>
      </x:c>
      <x:c r="J191" s="171" t="str">
        <x:v>B</x:v>
      </x:c>
      <x:c r="K191" s="165" t="str">
        <x:v>失われた液量を補い、最終的な甘味とハウス・スタイルを調整する</x:v>
      </x:c>
      <x:c r="L191" s="165" t="str">
        <x:v>正しい。ワインと糖を含む液を加え、容量と残糖を整える。</x:v>
      </x:c>
      <x:c r="M191" s="165" t="str">
        <x:v>誤り。瓶口へ集めて除去するのは酵母澱で、ドザージュはその後に加える。</x:v>
      </x:c>
      <x:c r="N191" s="165" t="str">
        <x:v>正しい。ワインと糖を含む液を加え、容量と残糖を整える。</x:v>
      </x:c>
      <x:c r="O191" s="165" t="str">
        <x:v>誤り。ドザージュは通常再発酵を目的とせず、圧力は保持されている。</x:v>
      </x:c>
      <x:c r="P191" s="165" t="str">
        <x:v>誤り。澱はデゴルジュマンで除去済み。</x:v>
      </x:c>
      <x:c r="Q191" s="165" t="str">
        <x:v>発泡性ワイン製法</x:v>
      </x:c>
      <x:c r="R191" s="165" t="str">
        <x:v>澱抜き・ドザージュ</x:v>
      </x:c>
      <x:c r="S191" s="165" t="str">
        <x:v>発泡性ワイン</x:v>
      </x:c>
      <x:c r="T191" s="165"/>
      <x:c r="U191" s="165"/>
      <x:c r="V191" s="165"/>
      <x:c r="W191" s="165" t="str">
        <x:v>因果説明</x:v>
      </x:c>
      <x:c r="X191" s="171" t="str">
        <x:v>D2</x:v>
      </x:c>
      <x:c r="Y191" s="165" t="str">
        <x:v>デゴルジュマンでドザージュを除去; デゴルジュマン後ドザージュで再発酵; ドザージュで澱を再集積</x:v>
      </x:c>
      <x:c r="Z191" s="171" t="str">
        <x:v>N</x:v>
      </x:c>
      <x:c r="AA191" s="165"/>
      <x:c r="AB191" s="165" t="str">
        <x:v>オリジナル</x:v>
      </x:c>
      <x:c r="AC191" s="165" t="str">
        <x:v>公式Specificationの範囲＋ユーザー作成コーパスの論点と問題設計例を参考に独自作成</x:v>
      </x:c>
      <x:c r="AD191" s="171" t="str">
        <x:v>改稿済み・専門家未承認</x:v>
      </x:c>
      <x:c r="AE191" s="171" t="str">
        <x:v>AI誤答レビュー</x:v>
      </x:c>
      <x:c r="AF191" s="171" t="str">
        <x:v>2026-07-12</x:v>
      </x:c>
      <x:c r="AG191" s="166" t="str">
        <x:v>第4バッチ：同一論点内の典型的誤概念へ置換。正答位置は維持。</x:v>
      </x:c>
    </x:row>
    <x:row r="192" ht="84" customHeight="1">
      <x:c r="A192" s="164" t="str">
        <x:v>LO3-031</x:v>
      </x:c>
      <x:c r="B192" s="171" t="str">
        <x:v>LO3</x:v>
      </x:c>
      <x:c r="C192" s="165" t="str">
        <x:v>世界の主要な発泡性ワイン</x:v>
      </x:c>
      <x:c r="D192" s="165" t="str">
        <x:v>甘味表示</x:v>
      </x:c>
      <x:c r="E192" s="165" t="str">
        <x:v>EUの発泡性ワインの甘味表示で、一般に最も辛口の区分はどれか。</x:v>
      </x:c>
      <x:c r="F192" s="165" t="str">
        <x:v>デミ・セック</x:v>
      </x:c>
      <x:c r="G192" s="165" t="str">
        <x:v>ドゥー</x:v>
      </x:c>
      <x:c r="H192" s="165" t="str">
        <x:v>ブリュット・ナチュール</x:v>
      </x:c>
      <x:c r="I192" s="165" t="str">
        <x:v>クリーム</x:v>
      </x:c>
      <x:c r="J192" s="171" t="str">
        <x:v>C</x:v>
      </x:c>
      <x:c r="K192" s="165" t="str">
        <x:v>ブリュット・ナチュール</x:v>
      </x:c>
      <x:c r="L192" s="165" t="str">
        <x:v>正しい。ブリュット・ナチュールはドザージュが非常に少ない、または行われない最辛口区分で、ブリュットやデミ・セックより残糖が低い。</x:v>
      </x:c>
      <x:c r="M192" s="165" t="str">
        <x:v>誤り。デミ・セックはブリュットより甘い区分である。</x:v>
      </x:c>
      <x:c r="N192" s="165" t="str">
        <x:v>誤り。ドゥーは甘口の発泡性ワイン区分で、最辛口ではない。</x:v>
      </x:c>
      <x:c r="O192" s="165" t="str">
        <x:v>正しい。ブリュット・ナチュールはドザージュが非常に少ない、または行われない最辛口区分で、ブリュットやデミ・セックより残糖が低い。</x:v>
      </x:c>
      <x:c r="P192" s="165" t="str">
        <x:v>誤り。クリームは主に甘口シェリーの表示で、発泡性ワインの辛口区分ではない。</x:v>
      </x:c>
      <x:c r="Q192" s="165" t="str">
        <x:v>法律面・発泡性ワイン</x:v>
      </x:c>
      <x:c r="R192" s="165" t="str">
        <x:v>甘味表示</x:v>
      </x:c>
      <x:c r="S192" s="165" t="str">
        <x:v>発泡性ワイン</x:v>
      </x:c>
      <x:c r="T192" s="165"/>
      <x:c r="U192" s="165"/>
      <x:c r="V192" s="165"/>
      <x:c r="W192" s="165" t="str">
        <x:v>知識確認</x:v>
      </x:c>
      <x:c r="X192" s="171" t="str">
        <x:v>D1</x:v>
      </x:c>
      <x:c r="Y192" s="165" t="str">
        <x:v>甘味表示に関する別の特徴・要因と混同; 甘味表示に関する別の特徴・要因と混同; 甘味表示に関する別の特徴・要因と混同</x:v>
      </x:c>
      <x:c r="Z192" s="171" t="str">
        <x:v>Y</x:v>
      </x:c>
      <x:c r="AA192" s="165" t="str">
        <x:v>甘味区分の残糖範囲は最新EU規定および日本語教材との最終照合を推奨</x:v>
      </x:c>
      <x:c r="AB192" s="165" t="str">
        <x:v>オリジナル</x:v>
      </x:c>
      <x:c r="AC192" s="165" t="str">
        <x:v>公式Specificationの範囲＋ユーザー作成コーパスの論点と問題設計例を参考に独自作成</x:v>
      </x:c>
      <x:c r="AD192" s="171" t="str">
        <x:v>改稿済み・専門家未承認</x:v>
      </x:c>
      <x:c r="AE192" s="171" t="str">
        <x:v>AI誤答レビュー</x:v>
      </x:c>
      <x:c r="AF192" s="171" t="str">
        <x:v>2026-07-12</x:v>
      </x:c>
      <x:c r="AG192" s="166" t="str">
        <x:v>最終バッチ：有効な誤答を維持し、絶対語・物理的不可能な誤答のみ置換。正答位置は維持。</x:v>
      </x:c>
    </x:row>
    <x:row r="193" ht="84" customHeight="1">
      <x:c r="A193" s="164" t="str">
        <x:v>LO3-032</x:v>
      </x:c>
      <x:c r="B193" s="171" t="str">
        <x:v>LO3</x:v>
      </x:c>
      <x:c r="C193" s="165" t="str">
        <x:v>世界の主要な発泡性ワイン</x:v>
      </x:c>
      <x:c r="D193" s="165" t="str">
        <x:v>アンセストラル方式</x:v>
      </x:c>
      <x:c r="E193" s="165" t="str">
        <x:v>アンセストラル方式を、伝統的方式と区別する特徴はどれか。</x:v>
      </x:c>
      <x:c r="F193" s="165" t="str">
        <x:v>完成した辛口ベースワインへ糖と酵母を加え、販売瓶で二回目の発酵を行う</x:v>
      </x:c>
      <x:c r="G193" s="165" t="str">
        <x:v>完成したベースワインを密閉タンクで二次発酵し、その後瓶詰めする</x:v>
      </x:c>
      <x:c r="H193" s="165" t="str">
        <x:v>完成した非発泡性ワインへ炭酸ガスを直接溶かし込む</x:v>
      </x:c>
      <x:c r="I193" s="165" t="str">
        <x:v>最初のアルコール発酵を途中で瓶内へ移し、その発酵を瓶内で完了させる</x:v>
      </x:c>
      <x:c r="J193" s="171" t="str">
        <x:v>D</x:v>
      </x:c>
      <x:c r="K193" s="165" t="str">
        <x:v>最初のアルコール発酵を途中で瓶内へ移し、その発酵を瓶内で完了させる</x:v>
      </x:c>
      <x:c r="L193" s="165" t="str">
        <x:v>正しい。一次発酵の残りを瓶内で続ける点がアンセストラル方式の特徴である。</x:v>
      </x:c>
      <x:c r="M193" s="165" t="str">
        <x:v>誤り。これは伝統的方式であり、独立した二次発酵を行う。</x:v>
      </x:c>
      <x:c r="N193" s="165" t="str">
        <x:v>誤り。これはタンク方式である。</x:v>
      </x:c>
      <x:c r="O193" s="165" t="str">
        <x:v>誤り。これは炭酸ガス注入方式である。</x:v>
      </x:c>
      <x:c r="P193" s="165" t="str">
        <x:v>正しい。一次発酵の残りを瓶内で続ける点がアンセストラル方式の特徴である。</x:v>
      </x:c>
      <x:c r="Q193" s="165" t="str">
        <x:v>発泡性ワイン製法</x:v>
      </x:c>
      <x:c r="R193" s="165" t="str">
        <x:v>アンセストラル方式</x:v>
      </x:c>
      <x:c r="S193" s="165" t="str">
        <x:v>発泡性ワイン</x:v>
      </x:c>
      <x:c r="T193" s="165"/>
      <x:c r="U193" s="165"/>
      <x:c r="V193" s="165"/>
      <x:c r="W193" s="165" t="str">
        <x:v>比較</x:v>
      </x:c>
      <x:c r="X193" s="171" t="str">
        <x:v>D2</x:v>
      </x:c>
      <x:c r="Y193" s="165" t="str">
        <x:v>アンセストラル方式と伝統的方式の混同; アンセストラル方式とタンク方式の混同; アンセストラル方式と炭酸ガス注入の混同</x:v>
      </x:c>
      <x:c r="Z193" s="171" t="str">
        <x:v>N</x:v>
      </x:c>
      <x:c r="AA193" s="165"/>
      <x:c r="AB193" s="165" t="str">
        <x:v>オリジナル</x:v>
      </x:c>
      <x:c r="AC193" s="165" t="str">
        <x:v>公式Specificationの範囲＋ユーザー作成コーパスの論点と問題設計例を参考に独自作成</x:v>
      </x:c>
      <x:c r="AD193" s="171" t="str">
        <x:v>改稿済み・専門家未承認</x:v>
      </x:c>
      <x:c r="AE193" s="171" t="str">
        <x:v>AI誤答レビュー</x:v>
      </x:c>
      <x:c r="AF193" s="171" t="str">
        <x:v>2026-07-12</x:v>
      </x:c>
      <x:c r="AG193" s="166" t="str">
        <x:v>第2バッチ：誤答を同一論点内の典型的誤概念へ置換。正答位置は維持。</x:v>
      </x:c>
    </x:row>
    <x:row r="194" ht="84" customHeight="1">
      <x:c r="A194" s="164" t="str">
        <x:v>LO3-033</x:v>
      </x:c>
      <x:c r="B194" s="171" t="str">
        <x:v>LO3</x:v>
      </x:c>
      <x:c r="C194" s="165" t="str">
        <x:v>世界の主要な発泡性ワイン</x:v>
      </x:c>
      <x:c r="D194" s="165" t="str">
        <x:v>トランスファー方式の均一性</x:v>
      </x:c>
      <x:c r="E194" s="165" t="str">
        <x:v>トランスファー方式が、複雑な形状や小容量の瓶を用いる商品に適する理由はどれか。</x:v>
      </x:c>
      <x:c r="F194" s="165" t="str">
        <x:v>標準瓶で二次発酵後、加圧タンクで一括処理し、任意の瓶へ再充填できる</x:v>
      </x:c>
      <x:c r="G194" s="165" t="str">
        <x:v>果実や花の一次香を保ちながら、効率よく発泡性ワインを生産できるから</x:v>
      </x:c>
      <x:c r="H194" s="165" t="str">
        <x:v>各特殊瓶の中で二次発酵とルミュアージュを行うため</x:v>
      </x:c>
      <x:c r="I194" s="165" t="str">
        <x:v>炭酸ガス注入で瓶サイズに応じた圧力を個別調整するため</x:v>
      </x:c>
      <x:c r="J194" s="171" t="str">
        <x:v>A</x:v>
      </x:c>
      <x:c r="K194" s="165" t="str">
        <x:v>標準瓶で二次発酵後、加圧タンクで一括処理し、任意の瓶へ再充填できる</x:v>
      </x:c>
      <x:c r="L194" s="165" t="str">
        <x:v>正しい。特殊形状・小容量瓶での動瓶を避け、均一なロットを充填できる。</x:v>
      </x:c>
      <x:c r="M194" s="165" t="str">
        <x:v>正しい。特殊形状・小容量瓶での動瓶を避け、均一なロットを充填できる。</x:v>
      </x:c>
      <x:c r="N194" s="165" t="str">
        <x:v>誤り。これは同じ知識領域の「タンク方式」に当てはまる説明で、設問の「トランスファー方式の均一性」を最も適切に説明しない。</x:v>
      </x:c>
      <x:c r="O194" s="165" t="str">
        <x:v>誤り。それは伝統的方式で、複雑形状では処理が難しい。</x:v>
      </x:c>
      <x:c r="P194" s="165" t="str">
        <x:v>誤り。瓶内二次発酵後の一括処理であり、注入方式ではない。</x:v>
      </x:c>
      <x:c r="Q194" s="165" t="str">
        <x:v>発泡性ワイン製法</x:v>
      </x:c>
      <x:c r="R194" s="165" t="str">
        <x:v>トランスファー方式・再瓶詰め</x:v>
      </x:c>
      <x:c r="S194" s="165" t="str">
        <x:v>発泡性ワイン</x:v>
      </x:c>
      <x:c r="T194" s="165"/>
      <x:c r="U194" s="165"/>
      <x:c r="V194" s="165"/>
      <x:c r="W194" s="165" t="str">
        <x:v>因果説明</x:v>
      </x:c>
      <x:c r="X194" s="171" t="str">
        <x:v>D2</x:v>
      </x:c>
      <x:c r="Y194" s="165" t="str">
        <x:v>トランスファー方式の均一性をタンク方式の特徴と混同; トランスファーは最終瓶で二次発酵; トランスファーを炭酸注入と混同</x:v>
      </x:c>
      <x:c r="Z194" s="171" t="str">
        <x:v>N</x:v>
      </x:c>
      <x:c r="AA194" s="165"/>
      <x:c r="AB194" s="165" t="str">
        <x:v>オリジナル</x:v>
      </x:c>
      <x:c r="AC194" s="165" t="str">
        <x:v>公式Specificationの範囲＋ユーザー作成コーパスの論点と問題設計例を参考に独自作成</x:v>
      </x:c>
      <x:c r="AD194" s="171" t="str">
        <x:v>改稿済み・専門家未承認</x:v>
      </x:c>
      <x:c r="AE194" s="171" t="str">
        <x:v>AI誤答レビュー</x:v>
      </x:c>
      <x:c r="AF194" s="171" t="str">
        <x:v>2026-07-12</x:v>
      </x:c>
      <x:c r="AG194" s="166" t="str">
        <x:v>第4バッチ：同一論点内の典型的誤概念へ置換。正答位置は維持。</x:v>
      </x:c>
    </x:row>
    <x:row r="195" ht="84" customHeight="1">
      <x:c r="A195" s="164" t="str">
        <x:v>LO3-034</x:v>
      </x:c>
      <x:c r="B195" s="171" t="str">
        <x:v>LO3</x:v>
      </x:c>
      <x:c r="C195" s="165" t="str">
        <x:v>世界の主要な発泡性ワイン</x:v>
      </x:c>
      <x:c r="D195" s="165" t="str">
        <x:v>伝統的方式の販売瓶</x:v>
      </x:c>
      <x:c r="E195" s="165" t="str">
        <x:v>伝統的方式で「二次発酵を販売する瓶の中で行う」ことの意義はどれか。</x:v>
      </x:c>
      <x:c r="F195" s="165" t="str">
        <x:v>瓶内二次発酵後、ワインを加圧タンクへ移して一括して濾過し、再瓶詰めする</x:v>
      </x:c>
      <x:c r="G195" s="165" t="str">
        <x:v>二次発酵と澱熟成を同じ販売瓶で行い、移し替えによる香味・気泡の損失を避ける</x:v>
      </x:c>
      <x:c r="H195" s="165" t="str">
        <x:v>販売瓶ごとに異なるドザージュを加え、ボトル差を意図的に作る</x:v>
      </x:c>
      <x:c r="I195" s="165" t="str">
        <x:v>瓶のガラスからミネラル成分を抽出し、複雑性を高める</x:v>
      </x:c>
      <x:c r="J195" s="171" t="str">
        <x:v>B</x:v>
      </x:c>
      <x:c r="K195" s="165" t="str">
        <x:v>二次発酵と澱熟成を同じ販売瓶で行い、移し替えによる香味・気泡の損失を避ける</x:v>
      </x:c>
      <x:c r="L195" s="165" t="str">
        <x:v>正しい。瓶内で発泡・熟成し、デゴルジュマン後そのまま販売できる。</x:v>
      </x:c>
      <x:c r="M195" s="165" t="str">
        <x:v>誤り。これは同じ知識領域の「トランスファー方式」に当てはまる説明で、設問の「伝統的方式の販売瓶」を最も適切に説明しない。</x:v>
      </x:c>
      <x:c r="N195" s="165" t="str">
        <x:v>正しい。瓶内で発泡・熟成し、デゴルジュマン後そのまま販売できる。</x:v>
      </x:c>
      <x:c r="O195" s="165" t="str">
        <x:v>誤り。一貫性を保つためドザージュは管理され、差を作ることが目的ではない。</x:v>
      </x:c>
      <x:c r="P195" s="165" t="str">
        <x:v>誤り。ガラスから香味を抽出しない。</x:v>
      </x:c>
      <x:c r="Q195" s="165" t="str">
        <x:v>発泡性ワイン製法</x:v>
      </x:c>
      <x:c r="R195" s="165" t="str">
        <x:v>伝統的方式・販売瓶</x:v>
      </x:c>
      <x:c r="S195" s="165" t="str">
        <x:v>発泡性ワイン</x:v>
      </x:c>
      <x:c r="T195" s="165"/>
      <x:c r="U195" s="165"/>
      <x:c r="V195" s="165"/>
      <x:c r="W195" s="165" t="str">
        <x:v>比較</x:v>
      </x:c>
      <x:c r="X195" s="171" t="str">
        <x:v>D2</x:v>
      </x:c>
      <x:c r="Y195" s="165" t="str">
        <x:v>伝統的方式の販売瓶をトランスファー方式の特徴と混同; 販売瓶発酵はボトル差を作るため; 販売瓶からミネラル抽出</x:v>
      </x:c>
      <x:c r="Z195" s="171" t="str">
        <x:v>N</x:v>
      </x:c>
      <x:c r="AA195" s="165"/>
      <x:c r="AB195" s="165" t="str">
        <x:v>オリジナル</x:v>
      </x:c>
      <x:c r="AC195" s="165" t="str">
        <x:v>公式Specificationの範囲＋ユーザー作成コーパスの論点と問題設計例を参考に独自作成</x:v>
      </x:c>
      <x:c r="AD195" s="171" t="str">
        <x:v>改稿済み・専門家未承認</x:v>
      </x:c>
      <x:c r="AE195" s="171" t="str">
        <x:v>AI誤答レビュー</x:v>
      </x:c>
      <x:c r="AF195" s="171" t="str">
        <x:v>2026-07-12</x:v>
      </x:c>
      <x:c r="AG195" s="166" t="str">
        <x:v>第4バッチ：同一論点内の典型的誤概念へ置換。正答位置は維持。</x:v>
      </x:c>
    </x:row>
    <x:row r="196" ht="84" customHeight="1">
      <x:c r="A196" s="164" t="str">
        <x:v>LO3-035</x:v>
      </x:c>
      <x:c r="B196" s="171" t="str">
        <x:v>LO3</x:v>
      </x:c>
      <x:c r="C196" s="165" t="str">
        <x:v>世界の主要な発泡性ワイン</x:v>
      </x:c>
      <x:c r="D196" s="165" t="str">
        <x:v>タンク方式と果実香</x:v>
      </x:c>
      <x:c r="E196" s="165" t="str">
        <x:v>タンク方式の発泡性ワインが、一次的な果実香を保ちやすい主な理由はどれか。</x:v>
      </x:c>
      <x:c r="F196" s="165" t="str">
        <x:v>瓶内で長期間澱熟成し、自己分解香が果実香を保護する</x:v>
      </x:c>
      <x:c r="G196" s="165" t="str">
        <x:v>発酵温度が高く、揮発性香気を早く固定できる</x:v>
      </x:c>
      <x:c r="H196" s="165" t="str">
        <x:v>一般に澱との接触が短く、密閉タンクで比較的迅速に造られる</x:v>
      </x:c>
      <x:c r="I196" s="165" t="str">
        <x:v>酸化熟成を行い、果実香をナッツ香へ変化させる</x:v>
      </x:c>
      <x:c r="J196" s="171" t="str">
        <x:v>C</x:v>
      </x:c>
      <x:c r="K196" s="165" t="str">
        <x:v>一般に澱との接触が短く、密閉タンクで比較的迅速に造られる</x:v>
      </x:c>
      <x:c r="L196" s="165" t="str">
        <x:v>正しい。短い製造期間と低温・密閉環境が、フレッシュな一次香を保つ。</x:v>
      </x:c>
      <x:c r="M196" s="165" t="str">
        <x:v>誤り。長期澱熟成では自己分解香が増え、一次香中心ではなくなる。</x:v>
      </x:c>
      <x:c r="N196" s="165" t="str">
        <x:v>誤り。低温で香りを保つことが多く、高温固定という説明は不適切である。</x:v>
      </x:c>
      <x:c r="O196" s="165" t="str">
        <x:v>正しい。短い製造期間と低温・密閉環境が、フレッシュな一次香を保つ。</x:v>
      </x:c>
      <x:c r="P196" s="165" t="str">
        <x:v>誤り。酸化では果実香が失われ、スタイルが変わる。</x:v>
      </x:c>
      <x:c r="Q196" s="165" t="str">
        <x:v>発泡性ワイン製法</x:v>
      </x:c>
      <x:c r="R196" s="165" t="str">
        <x:v>タンク方式・香り保持</x:v>
      </x:c>
      <x:c r="S196" s="165" t="str">
        <x:v>発泡性ワイン</x:v>
      </x:c>
      <x:c r="T196" s="165"/>
      <x:c r="U196" s="165"/>
      <x:c r="V196" s="165"/>
      <x:c r="W196" s="165" t="str">
        <x:v>因果説明</x:v>
      </x:c>
      <x:c r="X196" s="171" t="str">
        <x:v>D2</x:v>
      </x:c>
      <x:c r="Y196" s="165" t="str">
        <x:v>長期澱熟成で一次果実香を保護; 高温発酵で揮発性香気を固定; 酸化熟成で果実香を保つ</x:v>
      </x:c>
      <x:c r="Z196" s="171" t="str">
        <x:v>N</x:v>
      </x:c>
      <x:c r="AA196" s="165"/>
      <x:c r="AB196" s="165" t="str">
        <x:v>オリジナル</x:v>
      </x:c>
      <x:c r="AC196" s="165" t="str">
        <x:v>公式Specificationの範囲＋ユーザー作成コーパスの論点と問題設計例を参考に独自作成</x:v>
      </x:c>
      <x:c r="AD196" s="171" t="str">
        <x:v>改稿済み・専門家未承認</x:v>
      </x:c>
      <x:c r="AE196" s="171" t="str">
        <x:v>AI誤答レビュー</x:v>
      </x:c>
      <x:c r="AF196" s="171" t="str">
        <x:v>2026-07-12</x:v>
      </x:c>
      <x:c r="AG196" s="166" t="str">
        <x:v>第3バッチ：同一論点内の典型的誤概念へ置換。正答位置は維持。</x:v>
      </x:c>
    </x:row>
    <x:row r="197" ht="84" customHeight="1">
      <x:c r="A197" s="164" t="str">
        <x:v>LO3-036</x:v>
      </x:c>
      <x:c r="B197" s="171" t="str">
        <x:v>LO3</x:v>
      </x:c>
      <x:c r="C197" s="165" t="str">
        <x:v>世界の主要な発泡性ワイン</x:v>
      </x:c>
      <x:c r="D197" s="165" t="str">
        <x:v>炭酸ガス注入方式の泡</x:v>
      </x:c>
      <x:c r="E197" s="165" t="str">
        <x:v>炭酸ガス注入方式の発泡性ワインが、発酵由来の発泡性ワインより泡が粗く感じられることがある理由はどれか。</x:v>
      </x:c>
      <x:c r="F197" s="165" t="str">
        <x:v>炭酸注入方式では長期澱熟成により泡が粗くなる</x:v>
      </x:c>
      <x:c r="G197" s="165" t="str">
        <x:v>炭酸注入方式は瓶内圧力が常に最も高いため</x:v>
      </x:c>
      <x:c r="H197" s="165" t="str">
        <x:v>注入CO2には酸素が多く含まれ、泡が大きくなるため</x:v>
      </x:c>
      <x:c r="I197" s="165" t="str">
        <x:v>外部から急速に溶かしたCO2は、発酵中にゆっくり溶けたCO2より泡の統合が弱いことがある</x:v>
      </x:c>
      <x:c r="J197" s="171" t="str">
        <x:v>D</x:v>
      </x:c>
      <x:c r="K197" s="165" t="str">
        <x:v>外部から急速に溶かしたCO2は、発酵中にゆっくり溶けたCO2より泡の統合が弱いことがある</x:v>
      </x:c>
      <x:c r="L197" s="165" t="str">
        <x:v>正しい。長期熟成と自己分解を伴わないため、泡が大きく短く感じられる場合がある。</x:v>
      </x:c>
      <x:c r="M197" s="165" t="str">
        <x:v>誤り。炭酸注入方式では二次発酵と長期澱熟成を行わず、外部CO2を急速に溶かす。</x:v>
      </x:c>
      <x:c r="N197" s="165" t="str">
        <x:v>誤り。圧力は製品設計で異なり、粗さの主因ではない。</x:v>
      </x:c>
      <x:c r="O197" s="165" t="str">
        <x:v>誤り。食品用CO2の酸素含有が主因ではない。</x:v>
      </x:c>
      <x:c r="P197" s="165" t="str">
        <x:v>正しい。長期熟成と自己分解を伴わないため、泡が大きく短く感じられる場合がある。</x:v>
      </x:c>
      <x:c r="Q197" s="165" t="str">
        <x:v>発泡性ワイン製法</x:v>
      </x:c>
      <x:c r="R197" s="165" t="str">
        <x:v>炭酸ガス注入・質感</x:v>
      </x:c>
      <x:c r="S197" s="165" t="str">
        <x:v>発泡性ワイン</x:v>
      </x:c>
      <x:c r="T197" s="165"/>
      <x:c r="U197" s="165"/>
      <x:c r="V197" s="165"/>
      <x:c r="W197" s="165" t="str">
        <x:v>因果説明</x:v>
      </x:c>
      <x:c r="X197" s="171" t="str">
        <x:v>D2</x:v>
      </x:c>
      <x:c r="Y197" s="165" t="str">
        <x:v>炭酸注入方式は長期澱熟成を行う; 炭酸注入は最高圧力だから泡が粗い; 注入CO2の酸素で泡が粗い</x:v>
      </x:c>
      <x:c r="Z197" s="171" t="str">
        <x:v>N</x:v>
      </x:c>
      <x:c r="AA197" s="165"/>
      <x:c r="AB197" s="165" t="str">
        <x:v>オリジナル</x:v>
      </x:c>
      <x:c r="AC197" s="165" t="str">
        <x:v>公式Specificationの範囲＋ユーザー作成コーパスの論点と問題設計例を参考に独自作成</x:v>
      </x:c>
      <x:c r="AD197" s="171" t="str">
        <x:v>改稿済み・専門家未承認</x:v>
      </x:c>
      <x:c r="AE197" s="171" t="str">
        <x:v>AI誤答レビュー</x:v>
      </x:c>
      <x:c r="AF197" s="171" t="str">
        <x:v>2026-07-12</x:v>
      </x:c>
      <x:c r="AG197" s="166" t="str">
        <x:v>第4バッチ：同一論点内の典型的誤概念へ置換。正答位置は維持。</x:v>
      </x:c>
    </x:row>
    <x:row r="198" ht="84" customHeight="1">
      <x:c r="A198" s="164" t="str">
        <x:v>LO3-037</x:v>
      </x:c>
      <x:c r="B198" s="171" t="str">
        <x:v>LO3</x:v>
      </x:c>
      <x:c r="C198" s="165" t="str">
        <x:v>世界の主要な発泡性ワイン</x:v>
      </x:c>
      <x:c r="D198" s="165" t="str">
        <x:v>ロゼ・シャンパーニュ</x:v>
      </x:c>
      <x:c r="E198" s="165" t="str">
        <x:v>ロゼ・シャンパーニュの色を得る方法として、認められる代表的なものはどれか。</x:v>
      </x:c>
      <x:c r="F198" s="165" t="str">
        <x:v>白ワインに少量の赤ワインをブレンドする、または黒ブドウを短時間醸す</x:v>
      </x:c>
      <x:c r="G198" s="165" t="str">
        <x:v>完成した白シャンパーニュへ果汁濃縮物を加えて着色する</x:v>
      </x:c>
      <x:c r="H198" s="165" t="str">
        <x:v>長期澱熟成でピノ・ノワールの色素を酵母から抽出する</x:v>
      </x:c>
      <x:c r="I198" s="165" t="str">
        <x:v>デゴルジュマン後に黒ブドウの果皮を瓶へ加える</x:v>
      </x:c>
      <x:c r="J198" s="171" t="str">
        <x:v>A</x:v>
      </x:c>
      <x:c r="K198" s="165" t="str">
        <x:v>白ワインに少量の赤ワインをブレンドする、または黒ブドウを短時間醸す</x:v>
      </x:c>
      <x:c r="L198" s="165" t="str">
        <x:v>正しい。赤ワインのブレンドまたはセニエ／短時間浸漬が代表的である。</x:v>
      </x:c>
      <x:c r="M198" s="165" t="str">
        <x:v>正しい。赤ワインのブレンドまたはセニエ／短時間浸漬が代表的である。</x:v>
      </x:c>
      <x:c r="N198" s="165" t="str">
        <x:v>誤り。果汁濃縮物で着色する製法ではない。</x:v>
      </x:c>
      <x:c r="O198" s="165" t="str">
        <x:v>誤り。澱にピノ・ノワール色素があり、そこから抽出するわけではない。</x:v>
      </x:c>
      <x:c r="P198" s="165" t="str">
        <x:v>誤り。デゴルジュマン後に果皮を入れることはない。</x:v>
      </x:c>
      <x:c r="Q198" s="165" t="str">
        <x:v>発泡性ワイン製法・法律</x:v>
      </x:c>
      <x:c r="R198" s="165" t="str">
        <x:v>ロゼ・ブレンド／セニエ</x:v>
      </x:c>
      <x:c r="S198" s="165" t="str">
        <x:v>ロゼ発泡性ワイン</x:v>
      </x:c>
      <x:c r="T198" s="165" t="str">
        <x:v>フランス</x:v>
      </x:c>
      <x:c r="U198" s="165" t="str">
        <x:v>シャンパーニュ</x:v>
      </x:c>
      <x:c r="V198" s="165" t="str">
        <x:v>シャルドネ、ピノ・ノワール、ムーニエ</x:v>
      </x:c>
      <x:c r="W198" s="165" t="str">
        <x:v>知識確認</x:v>
      </x:c>
      <x:c r="X198" s="171" t="str">
        <x:v>D2</x:v>
      </x:c>
      <x:c r="Y198" s="165" t="str">
        <x:v>濃縮果汁でロゼ色を付ける; 澱から黒ブドウ色素を抽出; デゴルジュマン後に果皮添加</x:v>
      </x:c>
      <x:c r="Z198" s="171" t="str">
        <x:v>Y</x:v>
      </x:c>
      <x:c r="AA198" s="165" t="str">
        <x:v>ロゼ・シャンパーニュの許容製法に関する表現を最新規定と教材で最終照合推奨</x:v>
      </x:c>
      <x:c r="AB198" s="165" t="str">
        <x:v>オリジナル</x:v>
      </x:c>
      <x:c r="AC198" s="165" t="str">
        <x:v>公式Specificationの範囲＋ユーザー作成コーパスの論点と問題設計例を参考に独自作成</x:v>
      </x:c>
      <x:c r="AD198" s="171" t="str">
        <x:v>改稿済み・専門家未承認</x:v>
      </x:c>
      <x:c r="AE198" s="171" t="str">
        <x:v>AI誤答レビュー</x:v>
      </x:c>
      <x:c r="AF198" s="171" t="str">
        <x:v>2026-07-12</x:v>
      </x:c>
      <x:c r="AG198" s="166" t="str">
        <x:v>第3バッチ：同一論点内の典型的誤概念へ置換。正答位置は維持。</x:v>
      </x:c>
    </x:row>
    <x:row r="199" ht="84" customHeight="1">
      <x:c r="A199" s="164" t="str">
        <x:v>LO3-038</x:v>
      </x:c>
      <x:c r="B199" s="171" t="str">
        <x:v>LO3</x:v>
      </x:c>
      <x:c r="C199" s="165" t="str">
        <x:v>世界の主要な発泡性ワイン</x:v>
      </x:c>
      <x:c r="D199" s="165" t="str">
        <x:v>ブラン・ドゥ・ノワール</x:v>
      </x:c>
      <x:c r="E199" s="165" t="str">
        <x:v>ブラン・ドゥ・ノワールを黒ブドウから白く造れる主な理由はどれか。</x:v>
      </x:c>
      <x:c r="F199" s="165" t="str">
        <x:v>赤ワインとして長く果皮浸漬した後、清澄剤で色素の大部分を除くため</x:v>
      </x:c>
      <x:c r="G199" s="165" t="str">
        <x:v>果肉と果汁は通常ほぼ無色で、穏やかに圧搾して果皮との接触を抑えるため</x:v>
      </x:c>
      <x:c r="H199" s="165" t="str">
        <x:v>黒ブドウを炭酸ガス浸漬すると、色素が果皮内へ戻って果汁が白くなるため</x:v>
      </x:c>
      <x:c r="I199" s="165" t="str">
        <x:v>発酵後に酸素へ触れさせると、アントシアニンが無色へ変わるため</x:v>
      </x:c>
      <x:c r="J199" s="171" t="str">
        <x:v>B</x:v>
      </x:c>
      <x:c r="K199" s="165" t="str">
        <x:v>果肉と果汁は通常ほぼ無色で、穏やかに圧搾して果皮との接触を抑えるため</x:v>
      </x:c>
      <x:c r="L199" s="165" t="str">
        <x:v>正しい。色素は主に果皮にあり、果汁への移行を抑えれば淡いベースワインを得られる。</x:v>
      </x:c>
      <x:c r="M199" s="165" t="str">
        <x:v>誤り。長い果皮浸漬では強く着色し、清澄で白ワインへ戻す製法ではない。</x:v>
      </x:c>
      <x:c r="N199" s="165" t="str">
        <x:v>正しい。色素は主に果皮にあり、果汁への移行を抑えれば淡いベースワインを得られる。</x:v>
      </x:c>
      <x:c r="O199" s="165" t="str">
        <x:v>誤り。炭酸ガス浸漬でも果皮色素は存在し、果汁を白くする機構ではない。</x:v>
      </x:c>
      <x:c r="P199" s="165" t="str">
        <x:v>誤り。酸化は褐変や色調変化を生むが、赤ワインを白く造る方法ではない。</x:v>
      </x:c>
      <x:c r="Q199" s="165" t="str">
        <x:v>発泡性ワイン製法</x:v>
      </x:c>
      <x:c r="R199" s="165" t="str">
        <x:v>黒ブドウ・圧搾</x:v>
      </x:c>
      <x:c r="S199" s="165" t="str">
        <x:v>白発泡性ワイン</x:v>
      </x:c>
      <x:c r="T199" s="165" t="str">
        <x:v>フランス</x:v>
      </x:c>
      <x:c r="U199" s="165" t="str">
        <x:v>シャンパーニュ</x:v>
      </x:c>
      <x:c r="V199" s="165" t="str">
        <x:v>ピノ・ノワール、ムーニエ</x:v>
      </x:c>
      <x:c r="W199" s="165" t="str">
        <x:v>因果説明</x:v>
      </x:c>
      <x:c r="X199" s="171" t="str">
        <x:v>D1</x:v>
      </x:c>
      <x:c r="Y199" s="165" t="str">
        <x:v>赤ワインを脱色してブラン・ドゥ・ノワールにする; 炭酸ガス浸漬で色素が果皮へ戻る; 酸化でアントシアニンが無色化する</x:v>
      </x:c>
      <x:c r="Z199" s="171" t="str">
        <x:v>N</x:v>
      </x:c>
      <x:c r="AA199" s="165"/>
      <x:c r="AB199" s="165" t="str">
        <x:v>オリジナル</x:v>
      </x:c>
      <x:c r="AC199" s="165" t="str">
        <x:v>公式Specificationの範囲＋ユーザー作成コーパスの論点と問題設計例を参考に独自作成</x:v>
      </x:c>
      <x:c r="AD199" s="171" t="str">
        <x:v>改稿済み・専門家未承認</x:v>
      </x:c>
      <x:c r="AE199" s="171" t="str">
        <x:v>AI誤答レビュー</x:v>
      </x:c>
      <x:c r="AF199" s="171" t="str">
        <x:v>2026-07-12</x:v>
      </x:c>
      <x:c r="AG199" s="166" t="str">
        <x:v>第2バッチ：誤答を同一論点内の典型的誤概念へ置換。正答位置は維持。</x:v>
      </x:c>
    </x:row>
    <x:row r="200" ht="84" customHeight="1">
      <x:c r="A200" s="164" t="str">
        <x:v>LO3-039</x:v>
      </x:c>
      <x:c r="B200" s="171" t="str">
        <x:v>LO3</x:v>
      </x:c>
      <x:c r="C200" s="165" t="str">
        <x:v>世界の主要な発泡性ワイン</x:v>
      </x:c>
      <x:c r="D200" s="165" t="str">
        <x:v>モンターニュ・ド・ランス</x:v>
      </x:c>
      <x:c r="E200" s="165" t="str">
        <x:v>モンターニュ・ド・ランスで、ピノ・ノワールが重要となる主な理由はどれか。</x:v>
      </x:c>
      <x:c r="F200" s="165" t="str">
        <x:v>北向き斜面だけが多く、果実の成熟を抑えて酸だけを高めるため</x:v>
      </x:c>
      <x:c r="G200" s="165" t="str">
        <x:v>粘土のない砂質平地で、黒ブドウが早熟になるため</x:v>
      </x:c>
      <x:c r="H200" s="165" t="str">
        <x:v>日照を受ける斜面と白亜質土壌が、黒ブドウの成熟と酸の保持を支える</x:v>
      </x:c>
      <x:c r="I200" s="165" t="str">
        <x:v>ムニエより晩熟で霜に強いため、谷底に適する</x:v>
      </x:c>
      <x:c r="J200" s="171" t="str">
        <x:v>C</x:v>
      </x:c>
      <x:c r="K200" s="165" t="str">
        <x:v>日照を受ける斜面と白亜質土壌が、黒ブドウの成熟と酸の保持を支える</x:v>
      </x:c>
      <x:c r="L200" s="165" t="str">
        <x:v>正しい。ピノ・ノワールの構造と果実を支える条件がそろう。</x:v>
      </x:c>
      <x:c r="M200" s="165" t="str">
        <x:v>誤り。優良斜面は日照を受け、成熟と酸のバランスを取る。</x:v>
      </x:c>
      <x:c r="N200" s="165" t="str">
        <x:v>誤り。白亜質土壌が重要で、砂質平地だけの説明ではない。</x:v>
      </x:c>
      <x:c r="O200" s="165" t="str">
        <x:v>正しい。ピノ・ノワールの構造と果実を支える条件がそろう。</x:v>
      </x:c>
      <x:c r="P200" s="165" t="str">
        <x:v>誤り。谷底・霜リスク対応はムニエの適性に近い。</x:v>
      </x:c>
      <x:c r="Q200" s="165" t="str">
        <x:v>自然要因・産地</x:v>
      </x:c>
      <x:c r="R200" s="165" t="str">
        <x:v>斜面・品種適性</x:v>
      </x:c>
      <x:c r="S200" s="165" t="str">
        <x:v>発泡性ワイン</x:v>
      </x:c>
      <x:c r="T200" s="165" t="str">
        <x:v>フランス</x:v>
      </x:c>
      <x:c r="U200" s="165" t="str">
        <x:v>シャンパーニュ／モンターニュ・ド・ランス</x:v>
      </x:c>
      <x:c r="V200" s="165" t="str">
        <x:v>ピノ・ノワール</x:v>
      </x:c>
      <x:c r="W200" s="165" t="str">
        <x:v>因果説明</x:v>
      </x:c>
      <x:c r="X200" s="171" t="str">
        <x:v>D2</x:v>
      </x:c>
      <x:c r="Y200" s="165" t="str">
        <x:v>モンターニュは北向き斜面だけで酸を高める; 砂質平地がピノ重要性の主因; ピノは谷底の霜対策品種</x:v>
      </x:c>
      <x:c r="Z200" s="171" t="str">
        <x:v>N</x:v>
      </x:c>
      <x:c r="AA200" s="165"/>
      <x:c r="AB200" s="165" t="str">
        <x:v>オリジナル</x:v>
      </x:c>
      <x:c r="AC200" s="165" t="str">
        <x:v>公式Specificationの範囲＋ユーザー作成コーパスの論点と問題設計例を参考に独自作成</x:v>
      </x:c>
      <x:c r="AD200" s="171" t="str">
        <x:v>改稿済み・専門家未承認</x:v>
      </x:c>
      <x:c r="AE200" s="171" t="str">
        <x:v>AI誤答レビュー</x:v>
      </x:c>
      <x:c r="AF200" s="171" t="str">
        <x:v>2026-07-12</x:v>
      </x:c>
      <x:c r="AG200" s="166" t="str">
        <x:v>第3バッチ：同一論点内の典型的誤概念へ置換。正答位置は維持。</x:v>
      </x:c>
    </x:row>
    <x:row r="201" ht="84" customHeight="1">
      <x:c r="A201" s="164" t="str">
        <x:v>LO3-040</x:v>
      </x:c>
      <x:c r="B201" s="171" t="str">
        <x:v>LO3</x:v>
      </x:c>
      <x:c r="C201" s="165" t="str">
        <x:v>世界の主要な発泡性ワイン</x:v>
      </x:c>
      <x:c r="D201" s="165" t="str">
        <x:v>コート・デ・バール</x:v>
      </x:c>
      <x:c r="E201" s="165" t="str">
        <x:v>コート・デ・バールのシャンパーニュでピノ・ノワールが重要な理由として最も適切なものはどれか。</x:v>
      </x:c>
      <x:c r="F201" s="165" t="str">
        <x:v>最北端の極寒地域で、白ブドウだけが育つ</x:v>
      </x:c>
      <x:c r="G201" s="165" t="str">
        <x:v>アスティ方式でマスカットだけを発酵する</x:v>
      </x:c>
      <x:c r="H201" s="165" t="str">
        <x:v>炭酸ガス注入方式しか認められない</x:v>
      </x:c>
      <x:c r="I201" s="165" t="str">
        <x:v>シャンパーニュ南部の比較的温暖な条件で、ピノ・ノワールが十分に成熟しやすい</x:v>
      </x:c>
      <x:c r="J201" s="171" t="str">
        <x:v>D</x:v>
      </x:c>
      <x:c r="K201" s="165" t="str">
        <x:v>シャンパーニュ南部の比較的温暖な条件で、ピノ・ノワールが十分に成熟しやすい</x:v>
      </x:c>
      <x:c r="L201" s="165" t="str">
        <x:v>正しい。コート・デ・バールは南に位置し、キンメリジャン系土壌も見られ、ピノ・ノワールから熟した果実味と構造を得やすい。</x:v>
      </x:c>
      <x:c r="M201" s="165" t="str">
        <x:v>誤り。コート・デ・バールは南部に位置し、ピノ・ノワールが主要である。</x:v>
      </x:c>
      <x:c r="N201" s="165" t="str">
        <x:v>誤り。これはアスティの品種と方式で、シャンパーニュとは異なる。</x:v>
      </x:c>
      <x:c r="O201" s="165" t="str">
        <x:v>誤り。シャンパーニュは瓶内二次発酵の伝統的方式で造られる。</x:v>
      </x:c>
      <x:c r="P201" s="165" t="str">
        <x:v>正しい。コート・デ・バールは南に位置し、キンメリジャン系土壌も見られ、ピノ・ノワールから熟した果実味と構造を得やすい。</x:v>
      </x:c>
      <x:c r="Q201" s="165" t="str">
        <x:v>自然要因・産地</x:v>
      </x:c>
      <x:c r="R201" s="165" t="str">
        <x:v>南部・ピノ・ノワール</x:v>
      </x:c>
      <x:c r="S201" s="165" t="str">
        <x:v>発泡性ワイン</x:v>
      </x:c>
      <x:c r="T201" s="165" t="str">
        <x:v>フランス</x:v>
      </x:c>
      <x:c r="U201" s="165" t="str">
        <x:v>シャンパーニュ／コート・デ・バール</x:v>
      </x:c>
      <x:c r="V201" s="165" t="str">
        <x:v>ピノ・ノワール</x:v>
      </x:c>
      <x:c r="W201" s="165" t="str">
        <x:v>因果説明</x:v>
      </x:c>
      <x:c r="X201" s="171" t="str">
        <x:v>D2</x:v>
      </x:c>
      <x:c r="Y201" s="165" t="str">
        <x:v>コート・デ・バールに関する別の特徴・要因と混同; コート・デ・バールに関する別の特徴・要因と混同; コート・デ・バールに関する別の特徴・要因と混同</x:v>
      </x:c>
      <x:c r="Z201" s="171" t="str">
        <x:v>N</x:v>
      </x:c>
      <x:c r="AA201" s="165"/>
      <x:c r="AB201" s="165" t="str">
        <x:v>オリジナル</x:v>
      </x:c>
      <x:c r="AC201" s="165" t="str">
        <x:v>公式Specificationの範囲＋ユーザー作成コーパスの論点と問題設計例を参考に独自作成</x:v>
      </x:c>
      <x:c r="AD201" s="171" t="str">
        <x:v>改稿済み・専門家未承認</x:v>
      </x:c>
      <x:c r="AE201" s="171" t="str">
        <x:v>AI誤答レビュー</x:v>
      </x:c>
      <x:c r="AF201" s="171" t="str">
        <x:v>2026-07-12</x:v>
      </x:c>
      <x:c r="AG201" s="166" t="str">
        <x:v>最終バッチ：有効な誤答を維持し、絶対語・物理的不可能な誤答のみ置換。正答位置は維持。</x:v>
      </x:c>
    </x:row>
    <x:row r="202" ht="84" customHeight="1">
      <x:c r="A202" s="164" t="str">
        <x:v>LO3-041</x:v>
      </x:c>
      <x:c r="B202" s="171" t="str">
        <x:v>LO3</x:v>
      </x:c>
      <x:c r="C202" s="165" t="str">
        <x:v>世界の主要な発泡性ワイン</x:v>
      </x:c>
      <x:c r="D202" s="165" t="str">
        <x:v>シャンパーニュの冷涼気候</x:v>
      </x:c>
      <x:c r="E202" s="165" t="str">
        <x:v>シャンパーニュの冷涼な気候が、発泡性ワインのベースに有利な点はどれか。</x:v>
      </x:c>
      <x:c r="F202" s="165" t="str">
        <x:v>ブドウが高い酸と低めの糖度を保ち、繊細な香りのベースワインになる</x:v>
      </x:c>
      <x:c r="G202" s="165" t="str">
        <x:v>果実が過熟し、高いアルコールと低い酸を得やすい</x:v>
      </x:c>
      <x:c r="H202" s="165" t="str">
        <x:v>貴腐が安定して発生し、糖度とボディを高められる</x:v>
      </x:c>
      <x:c r="I202" s="165" t="str">
        <x:v>黒ブドウのタンニンが最大化し、長期果皮浸漬に適する</x:v>
      </x:c>
      <x:c r="J202" s="171" t="str">
        <x:v>A</x:v>
      </x:c>
      <x:c r="K202" s="165" t="str">
        <x:v>ブドウが高い酸と低めの糖度を保ち、繊細な香りのベースワインになる</x:v>
      </x:c>
      <x:c r="L202" s="165" t="str">
        <x:v>正しい。二次発酵でアルコールが増えるため、高酸・低潜在アルコールの果実が適する。</x:v>
      </x:c>
      <x:c r="M202" s="165" t="str">
        <x:v>正しい。二次発酵でアルコールが増えるため、高酸・低潜在アルコールの果実が適する。</x:v>
      </x:c>
      <x:c r="N202" s="165" t="str">
        <x:v>誤り。冷涼さは過熟を抑え、低酸・高アルコールとは逆である。</x:v>
      </x:c>
      <x:c r="O202" s="165" t="str">
        <x:v>誤り。健全な高酸果実を重視し、貴腐が主要な利点ではない。</x:v>
      </x:c>
      <x:c r="P202" s="165" t="str">
        <x:v>誤り。発泡性ベースでは色とタンニンを抑える。</x:v>
      </x:c>
      <x:c r="Q202" s="165" t="str">
        <x:v>自然要因・産地</x:v>
      </x:c>
      <x:c r="R202" s="165" t="str">
        <x:v>冷涼気候・ベースワイン</x:v>
      </x:c>
      <x:c r="S202" s="165" t="str">
        <x:v>発泡性ワイン</x:v>
      </x:c>
      <x:c r="T202" s="165" t="str">
        <x:v>フランス</x:v>
      </x:c>
      <x:c r="U202" s="165" t="str">
        <x:v>シャンパーニュ</x:v>
      </x:c>
      <x:c r="V202" s="165" t="str">
        <x:v>シャルドネ、ピノ・ノワール、ムーニエ</x:v>
      </x:c>
      <x:c r="W202" s="165" t="str">
        <x:v>因果説明</x:v>
      </x:c>
      <x:c r="X202" s="171" t="str">
        <x:v>D1</x:v>
      </x:c>
      <x:c r="Y202" s="165" t="str">
        <x:v>冷涼気候で過熟・低酸・高アルコール; シャンパーニュの利点は安定した貴腐; 冷涼気候で黒ブドウタンニン最大化</x:v>
      </x:c>
      <x:c r="Z202" s="171" t="str">
        <x:v>N</x:v>
      </x:c>
      <x:c r="AA202" s="165"/>
      <x:c r="AB202" s="165" t="str">
        <x:v>オリジナル</x:v>
      </x:c>
      <x:c r="AC202" s="165" t="str">
        <x:v>公式Specificationの範囲＋ユーザー作成コーパスの論点と問題設計例を参考に独自作成</x:v>
      </x:c>
      <x:c r="AD202" s="171" t="str">
        <x:v>改稿済み・専門家未承認</x:v>
      </x:c>
      <x:c r="AE202" s="171" t="str">
        <x:v>AI誤答レビュー</x:v>
      </x:c>
      <x:c r="AF202" s="171" t="str">
        <x:v>2026-07-12</x:v>
      </x:c>
      <x:c r="AG202" s="166" t="str">
        <x:v>第3バッチ：同一論点内の典型的誤概念へ置換。正答位置は維持。</x:v>
      </x:c>
    </x:row>
    <x:row r="203" ht="84" customHeight="1">
      <x:c r="A203" s="164" t="str">
        <x:v>LO3-042</x:v>
      </x:c>
      <x:c r="B203" s="171" t="str">
        <x:v>LO3</x:v>
      </x:c>
      <x:c r="C203" s="165" t="str">
        <x:v>世界の主要な発泡性ワイン</x:v>
      </x:c>
      <x:c r="D203" s="165" t="str">
        <x:v>リザーヴワインとヴィンテージ差</x:v>
      </x:c>
      <x:c r="E203" s="165" t="str">
        <x:v>ノン・ヴィンテージ・シャンパーニュで複数年のリザーヴワインを用いることが、ヴィンテージ差への対策となる理由はどれか。</x:v>
      </x:c>
      <x:c r="F203" s="165" t="str">
        <x:v>不足する酸、果実味、熟成香を他年のワインで補い、ハウス・スタイルを維持できる</x:v>
      </x:c>
      <x:c r="G203" s="165" t="str">
        <x:v>古いワインを加えると、二次発酵を行わずに泡を得られる</x:v>
      </x:c>
      <x:c r="H203" s="165" t="str">
        <x:v>複数年を混ぜることで、各年の特徴がより強く表れる</x:v>
      </x:c>
      <x:c r="I203" s="165" t="str">
        <x:v>リザーヴワインは甘味だけを加え、酸や香りには影響しない</x:v>
      </x:c>
      <x:c r="J203" s="171" t="str">
        <x:v>B</x:v>
      </x:c>
      <x:c r="K203" s="165" t="str">
        <x:v>古いワインを加えると、二次発酵を行わずに泡を得られる</x:v>
      </x:c>
      <x:c r="L203" s="165" t="str">
        <x:v>正しい。泡は二次発酵で得るため、リザーヴワインが代替しない。</x:v>
      </x:c>
      <x:c r="M203" s="165" t="str">
        <x:v>誤り。異なる年の長所を組み合わせ、年差を平準化できる。</x:v>
      </x:c>
      <x:c r="N203" s="165" t="str">
        <x:v>正しい。泡は二次発酵で得るため、リザーヴワインが代替しない。</x:v>
      </x:c>
      <x:c r="O203" s="165" t="str">
        <x:v>誤り。ブレンドは年差を強調するより均す方向に働く。</x:v>
      </x:c>
      <x:c r="P203" s="165" t="str">
        <x:v>誤り。酸、熟成香、果実味、ボディへも影響する。</x:v>
      </x:c>
      <x:c r="Q203" s="165" t="str">
        <x:v>ブレンド・商業</x:v>
      </x:c>
      <x:c r="R203" s="165" t="str">
        <x:v>ヴィンテージ差・一貫性</x:v>
      </x:c>
      <x:c r="S203" s="165" t="str">
        <x:v>発泡性ワイン</x:v>
      </x:c>
      <x:c r="T203" s="165" t="str">
        <x:v>フランス</x:v>
      </x:c>
      <x:c r="U203" s="165" t="str">
        <x:v>シャンパーニュ</x:v>
      </x:c>
      <x:c r="V203" s="165"/>
      <x:c r="W203" s="165" t="str">
        <x:v>統合判断</x:v>
      </x:c>
      <x:c r="X203" s="171" t="str">
        <x:v>D3</x:v>
      </x:c>
      <x:c r="Y203" s="165" t="str">
        <x:v>複数年ブレンドはヴィンテージ差を強調; リザーヴワインは甘味だけを加える</x:v>
      </x:c>
      <x:c r="Z203" s="171" t="str">
        <x:v>N</x:v>
      </x:c>
      <x:c r="AA203" s="165"/>
      <x:c r="AB203" s="165" t="str">
        <x:v>オリジナル</x:v>
      </x:c>
      <x:c r="AC203" s="165" t="str">
        <x:v>公式Specificationの範囲＋ユーザー作成コーパスの論点と問題設計例を参考に独自作成</x:v>
      </x:c>
      <x:c r="AD203" s="171" t="str">
        <x:v>改稿済み・専門家未承認</x:v>
      </x:c>
      <x:c r="AE203" s="171" t="str">
        <x:v>AI誤答レビュー</x:v>
      </x:c>
      <x:c r="AF203" s="171" t="str">
        <x:v>2026-07-12</x:v>
      </x:c>
      <x:c r="AG203" s="166" t="str">
        <x:v>第3バッチ：同一論点内の典型的誤概念へ置換。正答位置は維持。</x:v>
      </x:c>
    </x:row>
    <x:row r="204" ht="84" customHeight="1">
      <x:c r="A204" s="164" t="str">
        <x:v>LO3-043</x:v>
      </x:c>
      <x:c r="B204" s="171" t="str">
        <x:v>LO3</x:v>
      </x:c>
      <x:c r="C204" s="165" t="str">
        <x:v>世界の主要な発泡性ワイン</x:v>
      </x:c>
      <x:c r="D204" s="165" t="str">
        <x:v>カバの高標高畑</x:v>
      </x:c>
      <x:c r="E204" s="165" t="str">
        <x:v>温暖なスペインで、カバ用ブドウを高標高の畑から得る利点はどれか。</x:v>
      </x:c>
      <x:c r="F204" s="165" t="str">
        <x:v>気温が高くなり糖度が上がるため、二次発酵後のアルコールを高められる</x:v>
      </x:c>
      <x:c r="G204" s="165" t="str">
        <x:v>湿度が高まり貴腐が発生し、果汁を濃縮できる</x:v>
      </x:c>
      <x:c r="H204" s="165" t="str">
        <x:v>低い気温と涼しい夜により、ベースワインに必要な酸を保持しやすい</x:v>
      </x:c>
      <x:c r="I204" s="165" t="str">
        <x:v>果皮タンニンが高まり、長期マセレーションに適する</x:v>
      </x:c>
      <x:c r="J204" s="171" t="str">
        <x:v>C</x:v>
      </x:c>
      <x:c r="K204" s="165" t="str">
        <x:v>低い気温と涼しい夜により、ベースワインに必要な酸を保持しやすい</x:v>
      </x:c>
      <x:c r="L204" s="165" t="str">
        <x:v>正しい。夜間冷却が酸を保ち、伝統的方式用のバランスを作る。</x:v>
      </x:c>
      <x:c r="M204" s="165" t="str">
        <x:v>誤り。標高は冷却し、過度な糖上昇を抑える方向に働く。</x:v>
      </x:c>
      <x:c r="N204" s="165" t="str">
        <x:v>誤り。貴腐ではなく、高酸の健全果実を得ることが主な利点である。</x:v>
      </x:c>
      <x:c r="O204" s="165" t="str">
        <x:v>正しい。夜間冷却が酸を保ち、伝統的方式用のバランスを作る。</x:v>
      </x:c>
      <x:c r="P204" s="165" t="str">
        <x:v>誤り。発泡性ベースでは強いタンニン抽出を求めない。</x:v>
      </x:c>
      <x:c r="Q204" s="165" t="str">
        <x:v>自然要因・産地</x:v>
      </x:c>
      <x:c r="R204" s="165" t="str">
        <x:v>標高・酸</x:v>
      </x:c>
      <x:c r="S204" s="165" t="str">
        <x:v>発泡性ワイン</x:v>
      </x:c>
      <x:c r="T204" s="165" t="str">
        <x:v>スペイン</x:v>
      </x:c>
      <x:c r="U204" s="165" t="str">
        <x:v>カバ</x:v>
      </x:c>
      <x:c r="V204" s="165" t="str">
        <x:v>マカベオ、チャレッロ、パレリャーダ</x:v>
      </x:c>
      <x:c r="W204" s="165" t="str">
        <x:v>因果説明</x:v>
      </x:c>
      <x:c r="X204" s="171" t="str">
        <x:v>D2</x:v>
      </x:c>
      <x:c r="Y204" s="165" t="str">
        <x:v>高標高で気温・糖度が上がる; 高標高の利点は貴腐; 高標高で果皮タンニンを高める</x:v>
      </x:c>
      <x:c r="Z204" s="171" t="str">
        <x:v>N</x:v>
      </x:c>
      <x:c r="AA204" s="165"/>
      <x:c r="AB204" s="165" t="str">
        <x:v>オリジナル</x:v>
      </x:c>
      <x:c r="AC204" s="165" t="str">
        <x:v>公式Specificationの範囲＋ユーザー作成コーパスの論点と問題設計例を参考に独自作成</x:v>
      </x:c>
      <x:c r="AD204" s="171" t="str">
        <x:v>改稿済み・専門家未承認</x:v>
      </x:c>
      <x:c r="AE204" s="171" t="str">
        <x:v>AI誤答レビュー</x:v>
      </x:c>
      <x:c r="AF204" s="171" t="str">
        <x:v>2026-07-12</x:v>
      </x:c>
      <x:c r="AG204" s="166" t="str">
        <x:v>第3バッチ：同一論点内の典型的誤概念へ置換。正答位置は維持。</x:v>
      </x:c>
    </x:row>
    <x:row r="205" ht="84" customHeight="1">
      <x:c r="A205" s="164" t="str">
        <x:v>LO3-044</x:v>
      </x:c>
      <x:c r="B205" s="171" t="str">
        <x:v>LO3</x:v>
      </x:c>
      <x:c r="C205" s="165" t="str">
        <x:v>世界の主要な発泡性ワイン</x:v>
      </x:c>
      <x:c r="D205" s="165" t="str">
        <x:v>チャレッロ</x:v>
      </x:c>
      <x:c r="E205" s="165" t="str">
        <x:v>カバのブレンドで、チャレッロが貢献しやすい特徴はどれか。</x:v>
      </x:c>
      <x:c r="F205" s="165" t="str">
        <x:v>強いマスカット香と低い酸を与え、若飲みの甘口にする</x:v>
      </x:c>
      <x:c r="G205" s="165" t="str">
        <x:v>柔らかな洋梨香だけを与え、構造や熟成力には寄与しない</x:v>
      </x:c>
      <x:c r="H205" s="165" t="str">
        <x:v>深い赤色と高いタンニンを与える</x:v>
      </x:c>
      <x:c r="I205" s="165" t="str">
        <x:v>酸、ボディ、構造を与え、熟成に耐える骨格を作る</x:v>
      </x:c>
      <x:c r="J205" s="171" t="str">
        <x:v>D</x:v>
      </x:c>
      <x:c r="K205" s="165" t="str">
        <x:v>酸、ボディ、構造を与え、熟成に耐える骨格を作る</x:v>
      </x:c>
      <x:c r="L205" s="165" t="str">
        <x:v>正しい。ブレンドへ酸、構造、熟成能力を与える。</x:v>
      </x:c>
      <x:c r="M205" s="165" t="str">
        <x:v>誤り。チャレッロは芳香性マスカット品種ではなく、酸と構造が重要である。</x:v>
      </x:c>
      <x:c r="N205" s="165" t="str">
        <x:v>誤り。果実味だけでなく、ボディと熟成力へ寄与する。</x:v>
      </x:c>
      <x:c r="O205" s="165" t="str">
        <x:v>誤り。白品種であり、赤色と高タンニンの供給源ではない。</x:v>
      </x:c>
      <x:c r="P205" s="165" t="str">
        <x:v>正しい。ブレンドへ酸、構造、熟成能力を与える。</x:v>
      </x:c>
      <x:c r="Q205" s="165" t="str">
        <x:v>品種・産地</x:v>
      </x:c>
      <x:c r="R205" s="165" t="str">
        <x:v>カバ・品種役割</x:v>
      </x:c>
      <x:c r="S205" s="165" t="str">
        <x:v>発泡性ワイン</x:v>
      </x:c>
      <x:c r="T205" s="165" t="str">
        <x:v>スペイン</x:v>
      </x:c>
      <x:c r="U205" s="165" t="str">
        <x:v>カバ</x:v>
      </x:c>
      <x:c r="V205" s="165" t="str">
        <x:v>チャレッロ</x:v>
      </x:c>
      <x:c r="W205" s="165" t="str">
        <x:v>知識確認</x:v>
      </x:c>
      <x:c r="X205" s="171" t="str">
        <x:v>D2</x:v>
      </x:c>
      <x:c r="Y205" s="165" t="str">
        <x:v>チャレッロは低酸の芳香性品種; チャレッロは果実香だけで構造を与えない; チャレッロは黒品種で高タンニン</x:v>
      </x:c>
      <x:c r="Z205" s="171" t="str">
        <x:v>N</x:v>
      </x:c>
      <x:c r="AA205" s="165"/>
      <x:c r="AB205" s="165" t="str">
        <x:v>オリジナル</x:v>
      </x:c>
      <x:c r="AC205" s="165" t="str">
        <x:v>公式Specificationの範囲＋ユーザー作成コーパスの論点と問題設計例を参考に独自作成</x:v>
      </x:c>
      <x:c r="AD205" s="171" t="str">
        <x:v>改稿済み・専門家未承認</x:v>
      </x:c>
      <x:c r="AE205" s="171" t="str">
        <x:v>AI誤答レビュー</x:v>
      </x:c>
      <x:c r="AF205" s="171" t="str">
        <x:v>2026-07-12</x:v>
      </x:c>
      <x:c r="AG205" s="166" t="str">
        <x:v>第3バッチ：同一論点内の典型的誤概念へ置換。正答位置は維持。</x:v>
      </x:c>
    </x:row>
    <x:row r="206" ht="84" customHeight="1">
      <x:c r="A206" s="164" t="str">
        <x:v>LO3-045</x:v>
      </x:c>
      <x:c r="B206" s="171" t="str">
        <x:v>LO3</x:v>
      </x:c>
      <x:c r="C206" s="165" t="str">
        <x:v>世界の主要な発泡性ワイン</x:v>
      </x:c>
      <x:c r="D206" s="165" t="str">
        <x:v>グレーラ</x:v>
      </x:c>
      <x:c r="E206" s="165" t="str">
        <x:v>プロセッコの主要品種グレーラに典型的な香りはどれか。</x:v>
      </x:c>
      <x:c r="F206" s="165" t="str">
        <x:v>洋梨、青リンゴ、白い花を思わせる繊細な香り</x:v>
      </x:c>
      <x:c r="G206" s="165" t="str">
        <x:v>黒コショウ、燻製肉、濃い黒果実だけ</x:v>
      </x:c>
      <x:c r="H206" s="165" t="str">
        <x:v>クルミ、ランシオ、強い酸化香だけ</x:v>
      </x:c>
      <x:c r="I206" s="165" t="str">
        <x:v>湿った段ボールとカビの香り</x:v>
      </x:c>
      <x:c r="J206" s="171" t="str">
        <x:v>A</x:v>
      </x:c>
      <x:c r="K206" s="165" t="str">
        <x:v>洋梨、青リンゴ、白い花を思わせる繊細な香り</x:v>
      </x:c>
      <x:c r="L206" s="165" t="str">
        <x:v>正しい。グレーラは比較的軽いボディと高めの酸を持ち、洋梨、リンゴ、メロン、花などのフレッシュな香りを示す。</x:v>
      </x:c>
      <x:c r="M206" s="165" t="str">
        <x:v>正しい。グレーラは比較的軽いボディと高めの酸を持ち、洋梨、リンゴ、メロン、花などのフレッシュな香りを示す。</x:v>
      </x:c>
      <x:c r="N206" s="165" t="str">
        <x:v>誤り。これはシラーなど黒ブドウの赤ワインに関連する。</x:v>
      </x:c>
      <x:c r="O206" s="165" t="str">
        <x:v>誤り。長期酸化熟成の酒精強化ワインに近い特徴で、若いプロセッコの典型ではない。</x:v>
      </x:c>
      <x:c r="P206" s="165" t="str">
        <x:v>誤り。これはコルク汚染を示す可能性があり、望ましい品種香ではない。</x:v>
      </x:c>
      <x:c r="Q206" s="165" t="str">
        <x:v>品種・産地</x:v>
      </x:c>
      <x:c r="R206" s="165" t="str">
        <x:v>グレーラ・香り</x:v>
      </x:c>
      <x:c r="S206" s="165" t="str">
        <x:v>発泡性ワイン</x:v>
      </x:c>
      <x:c r="T206" s="165" t="str">
        <x:v>イタリア</x:v>
      </x:c>
      <x:c r="U206" s="165" t="str">
        <x:v>プロセッコ</x:v>
      </x:c>
      <x:c r="V206" s="165" t="str">
        <x:v>グレーラ</x:v>
      </x:c>
      <x:c r="W206" s="165" t="str">
        <x:v>知識確認</x:v>
      </x:c>
      <x:c r="X206" s="171" t="str">
        <x:v>D1</x:v>
      </x:c>
      <x:c r="Y206" s="165" t="str">
        <x:v>グレーラに関する別の特徴・要因と混同; グレーラに関する別の特徴・要因と混同; グレーラに関する別の特徴・要因と混同</x:v>
      </x:c>
      <x:c r="Z206" s="171" t="str">
        <x:v>N</x:v>
      </x:c>
      <x:c r="AA206" s="165"/>
      <x:c r="AB206" s="165" t="str">
        <x:v>オリジナル</x:v>
      </x:c>
      <x:c r="AC206" s="165" t="str">
        <x:v>公式Specificationの範囲＋ユーザー作成コーパスの論点と問題設計例を参考に独自作成</x:v>
      </x:c>
      <x:c r="AD206" s="171" t="str">
        <x:v>改稿済み・専門家未承認</x:v>
      </x:c>
      <x:c r="AE206" s="171" t="str">
        <x:v>AI誤答レビュー</x:v>
      </x:c>
      <x:c r="AF206" s="171" t="str">
        <x:v>2026-07-12</x:v>
      </x:c>
      <x:c r="AG206" s="166" t="str">
        <x:v>最終バッチ：有効な誤答を維持し、絶対語・物理的不可能な誤答のみ置換。正答位置は維持。</x:v>
      </x:c>
    </x:row>
    <x:row r="207" ht="84" customHeight="1">
      <x:c r="A207" s="164" t="str">
        <x:v>LO3-046</x:v>
      </x:c>
      <x:c r="B207" s="171" t="str">
        <x:v>LO3</x:v>
      </x:c>
      <x:c r="C207" s="165" t="str">
        <x:v>世界の主要な発泡性ワイン</x:v>
      </x:c>
      <x:c r="D207" s="165" t="str">
        <x:v>プロセッコの迅速な瓶詰め</x:v>
      </x:c>
      <x:c r="E207" s="165" t="str">
        <x:v>プロセッコを二次発酵後に比較的早く濾過・瓶詰めする主な理由はどれか。</x:v>
      </x:c>
      <x:c r="F207" s="165" t="str">
        <x:v>瓶詰め後に長期澱熟成し、パンやビスケット香を増やすため</x:v>
      </x:c>
      <x:c r="G207" s="165" t="str">
        <x:v>グレーラの洋梨、リンゴ、花の一次香を保ち、自己分解香を増やし過ぎないため</x:v>
      </x:c>
      <x:c r="H207" s="165" t="str">
        <x:v>長期澱熟成を始める前に瓶詰めし、瓶内で数年間熟成させるため</x:v>
      </x:c>
      <x:c r="I207" s="165" t="str">
        <x:v>濾過後に再発酵させ、泡をより細かくするため</x:v>
      </x:c>
      <x:c r="J207" s="171" t="str">
        <x:v>B</x:v>
      </x:c>
      <x:c r="K207" s="165" t="str">
        <x:v>グレーラの洋梨、リンゴ、花の一次香を保ち、自己分解香を増やし過ぎないため</x:v>
      </x:c>
      <x:c r="L207" s="165" t="str">
        <x:v>正しい。タンク発酵後に早く安定化・瓶詰めし、若々しい香りを保つ。</x:v>
      </x:c>
      <x:c r="M207" s="165" t="str">
        <x:v>誤り。プロセッコは通常、若いグレーラの一次香を重視し、長期瓶内澱熟成を目的としない。</x:v>
      </x:c>
      <x:c r="N207" s="165" t="str">
        <x:v>正しい。タンク発酵後に早く安定化・瓶詰めし、若々しい香りを保つ。</x:v>
      </x:c>
      <x:c r="O207" s="165" t="str">
        <x:v>誤り。プロセッコは通常、長期瓶内澱熟成を狙わない。</x:v>
      </x:c>
      <x:c r="P207" s="165" t="str">
        <x:v>誤り。濾過・瓶詰めで製品を安定させ、再発酵を避ける。</x:v>
      </x:c>
      <x:c r="Q207" s="165" t="str">
        <x:v>発泡性ワイン製法・産地</x:v>
      </x:c>
      <x:c r="R207" s="165" t="str">
        <x:v>タンク方式・早期瓶詰め</x:v>
      </x:c>
      <x:c r="S207" s="165" t="str">
        <x:v>発泡性ワイン</x:v>
      </x:c>
      <x:c r="T207" s="165" t="str">
        <x:v>イタリア</x:v>
      </x:c>
      <x:c r="U207" s="165" t="str">
        <x:v>プロセッコ</x:v>
      </x:c>
      <x:c r="V207" s="165" t="str">
        <x:v>グレーラ</x:v>
      </x:c>
      <x:c r="W207" s="165" t="str">
        <x:v>因果説明</x:v>
      </x:c>
      <x:c r="X207" s="171" t="str">
        <x:v>D2</x:v>
      </x:c>
      <x:c r="Y207" s="165" t="str">
        <x:v>プロセッコは長期瓶内澱熟成型; プロセッコは瓶詰め後長期澱熟成; プロセッコは瓶詰め後再発酵</x:v>
      </x:c>
      <x:c r="Z207" s="171" t="str">
        <x:v>N</x:v>
      </x:c>
      <x:c r="AA207" s="165"/>
      <x:c r="AB207" s="165" t="str">
        <x:v>オリジナル</x:v>
      </x:c>
      <x:c r="AC207" s="165" t="str">
        <x:v>公式Specificationの範囲＋ユーザー作成コーパスの論点と問題設計例を参考に独自作成</x:v>
      </x:c>
      <x:c r="AD207" s="171" t="str">
        <x:v>改稿済み・専門家未承認</x:v>
      </x:c>
      <x:c r="AE207" s="171" t="str">
        <x:v>AI誤答レビュー</x:v>
      </x:c>
      <x:c r="AF207" s="171" t="str">
        <x:v>2026-07-12</x:v>
      </x:c>
      <x:c r="AG207" s="166" t="str">
        <x:v>第4バッチ：同一論点内の典型的誤概念へ置換。正答位置は維持。</x:v>
      </x:c>
    </x:row>
    <x:row r="208" ht="84" customHeight="1">
      <x:c r="A208" s="164" t="str">
        <x:v>LO3-047</x:v>
      </x:c>
      <x:c r="B208" s="171" t="str">
        <x:v>LO3</x:v>
      </x:c>
      <x:c r="C208" s="165" t="str">
        <x:v>世界の主要な発泡性ワイン</x:v>
      </x:c>
      <x:c r="D208" s="165" t="str">
        <x:v>アスティの果汁保存</x:v>
      </x:c>
      <x:c r="E208" s="165" t="str">
        <x:v>アスティの生産で、未発酵のマスカット果汁を冷却保存する利点はどれか。</x:v>
      </x:c>
      <x:c r="F208" s="165" t="str">
        <x:v>冷却中に果汁の酸を減らし、低酸の甘口ベースを作る</x:v>
      </x:c>
      <x:c r="G208" s="165" t="str">
        <x:v>冷却保存中に糖を徐々に減らし、辛口ベースを作る</x:v>
      </x:c>
      <x:c r="H208" s="165" t="str">
        <x:v>収穫時のマスカット香を保ち、需要に合わせて発酵時期を選べる</x:v>
      </x:c>
      <x:c r="I208" s="165" t="str">
        <x:v>酸化を進めてナッツ香を増やし、品種香を弱める</x:v>
      </x:c>
      <x:c r="J208" s="171" t="str">
        <x:v>C</x:v>
      </x:c>
      <x:c r="K208" s="165" t="str">
        <x:v>収穫時のマスカット香を保ち、需要に合わせて発酵時期を選べる</x:v>
      </x:c>
      <x:c r="L208" s="165" t="str">
        <x:v>正しい。未発酵果汁を低温で安定させ、必要な時期にタンク発酵できる。</x:v>
      </x:c>
      <x:c r="M208" s="165" t="str">
        <x:v>誤り。冷却保存は酸を減らすためでなく、発酵を止めてマスカット香と糖を保持する。</x:v>
      </x:c>
      <x:c r="N208" s="165" t="str">
        <x:v>誤り。低温で発酵を止め、糖を保つ。</x:v>
      </x:c>
      <x:c r="O208" s="165" t="str">
        <x:v>正しい。未発酵果汁を低温で安定させ、必要な時期にタンク発酵できる。</x:v>
      </x:c>
      <x:c r="P208" s="165" t="str">
        <x:v>誤り。新鮮な芳香を保護する。</x:v>
      </x:c>
      <x:c r="Q208" s="165" t="str">
        <x:v>発泡性ワイン製法・産地</x:v>
      </x:c>
      <x:c r="R208" s="165" t="str">
        <x:v>アスティ方式・果汁保存</x:v>
      </x:c>
      <x:c r="S208" s="165" t="str">
        <x:v>甘口発泡性ワイン</x:v>
      </x:c>
      <x:c r="T208" s="165" t="str">
        <x:v>イタリア</x:v>
      </x:c>
      <x:c r="U208" s="165" t="str">
        <x:v>アスティ</x:v>
      </x:c>
      <x:c r="V208" s="165" t="str">
        <x:v>モスカート・ビアンコ</x:v>
      </x:c>
      <x:c r="W208" s="165" t="str">
        <x:v>因果説明</x:v>
      </x:c>
      <x:c r="X208" s="171" t="str">
        <x:v>D2</x:v>
      </x:c>
      <x:c r="Y208" s="165" t="str">
        <x:v>アスティ果汁冷却で酸を減らす; 冷却保存で糖を減らす; 冷却保存で酸化熟成</x:v>
      </x:c>
      <x:c r="Z208" s="171" t="str">
        <x:v>N</x:v>
      </x:c>
      <x:c r="AA208" s="165"/>
      <x:c r="AB208" s="165" t="str">
        <x:v>オリジナル</x:v>
      </x:c>
      <x:c r="AC208" s="165" t="str">
        <x:v>公式Specificationの範囲＋ユーザー作成コーパスの論点と問題設計例を参考に独自作成</x:v>
      </x:c>
      <x:c r="AD208" s="171" t="str">
        <x:v>改稿済み・専門家未承認</x:v>
      </x:c>
      <x:c r="AE208" s="171" t="str">
        <x:v>AI誤答レビュー</x:v>
      </x:c>
      <x:c r="AF208" s="171" t="str">
        <x:v>2026-07-12</x:v>
      </x:c>
      <x:c r="AG208" s="166" t="str">
        <x:v>第4バッチ：同一論点内の典型的誤概念へ置換。正答位置は維持。</x:v>
      </x:c>
    </x:row>
    <x:row r="209" ht="84" customHeight="1">
      <x:c r="A209" s="164" t="str">
        <x:v>LO3-048</x:v>
      </x:c>
      <x:c r="B209" s="171" t="str">
        <x:v>LO3</x:v>
      </x:c>
      <x:c r="C209" s="165" t="str">
        <x:v>世界の主要な発泡性ワイン</x:v>
      </x:c>
      <x:c r="D209" s="165" t="str">
        <x:v>ロワールの発泡性シュナン</x:v>
      </x:c>
      <x:c r="E209" s="165" t="str">
        <x:v>ヴーヴレやソーミュールで、シュナン・ブランが発泡性ワインに適する主な理由はどれか。</x:v>
      </x:c>
      <x:c r="F209" s="165" t="str">
        <x:v>酸が低く糖度が上がりやすいため、二次発酵後も柔らかいスタイルになる</x:v>
      </x:c>
      <x:c r="G209" s="165" t="str">
        <x:v>果皮タンニンが高く、発泡性ワインへ強い構造を与える</x:v>
      </x:c>
      <x:c r="H209" s="165" t="str">
        <x:v>一次果実香が非常に中立的なため、長期澱熟成を行わなければ品質を得られない</x:v>
      </x:c>
      <x:c r="I209" s="165" t="str">
        <x:v>高い酸を保ち、リンゴや柑橘の風味と熟成能力を持つ</x:v>
      </x:c>
      <x:c r="J209" s="171" t="str">
        <x:v>D</x:v>
      </x:c>
      <x:c r="K209" s="165" t="str">
        <x:v>高い酸を保ち、リンゴや柑橘の風味と熟成能力を持つ</x:v>
      </x:c>
      <x:c r="L209" s="165" t="str">
        <x:v>正しい。高い酸が二次発酵と熟成後も鮮度を支え、品種の熟成力も複雑性へ寄与する。</x:v>
      </x:c>
      <x:c r="M209" s="165" t="str">
        <x:v>誤り。シュナン・ブランの重要な利点は高い酸であり、低酸が適性の理由ではない。</x:v>
      </x:c>
      <x:c r="N209" s="165" t="str">
        <x:v>誤り。白品種として果皮タンニンは低く、発泡性用に高タンニンを求めない。</x:v>
      </x:c>
      <x:c r="O209" s="165" t="str">
        <x:v>誤り。リンゴ、カリン、柑橘などの品種・発酵由来の風味を持ち、澱熟成なしでは品質が得られないわけではない。</x:v>
      </x:c>
      <x:c r="P209" s="165" t="str">
        <x:v>正しい。高い酸が二次発酵と熟成後も鮮度を支え、品種の熟成力も複雑性へ寄与する。</x:v>
      </x:c>
      <x:c r="Q209" s="165" t="str">
        <x:v>品種・産地</x:v>
      </x:c>
      <x:c r="R209" s="165" t="str">
        <x:v>シュナン・ブラン・酸</x:v>
      </x:c>
      <x:c r="S209" s="165" t="str">
        <x:v>発泡性ワイン</x:v>
      </x:c>
      <x:c r="T209" s="165" t="str">
        <x:v>フランス</x:v>
      </x:c>
      <x:c r="U209" s="165" t="str">
        <x:v>ロワール／ヴーヴレ・ソーミュール</x:v>
      </x:c>
      <x:c r="V209" s="165" t="str">
        <x:v>シュナン・ブラン</x:v>
      </x:c>
      <x:c r="W209" s="165" t="str">
        <x:v>因果説明</x:v>
      </x:c>
      <x:c r="X209" s="171" t="str">
        <x:v>D2</x:v>
      </x:c>
      <x:c r="Y209" s="165" t="str">
        <x:v>シュナンは低酸だから発泡性向き; 発泡性に高い果皮タンニンが必要; シュナンは完全中立で長期澱熟成必須</x:v>
      </x:c>
      <x:c r="Z209" s="171" t="str">
        <x:v>N</x:v>
      </x:c>
      <x:c r="AA209" s="165"/>
      <x:c r="AB209" s="165" t="str">
        <x:v>オリジナル</x:v>
      </x:c>
      <x:c r="AC209" s="165" t="str">
        <x:v>公式Specificationの範囲＋ユーザー作成コーパスの論点と問題設計例を参考に独自作成</x:v>
      </x:c>
      <x:c r="AD209" s="171" t="str">
        <x:v>改稿済み・専門家未承認</x:v>
      </x:c>
      <x:c r="AE209" s="171" t="str">
        <x:v>AI誤答レビュー</x:v>
      </x:c>
      <x:c r="AF209" s="171" t="str">
        <x:v>2026-07-12</x:v>
      </x:c>
      <x:c r="AG209" s="166" t="str">
        <x:v>第2バッチ：誤答を同一論点内の典型的誤概念へ置換。正答位置は維持。</x:v>
      </x:c>
    </x:row>
    <x:row r="210" ht="84" customHeight="1">
      <x:c r="A210" s="164" t="str">
        <x:v>LO3-049</x:v>
      </x:c>
      <x:c r="B210" s="171" t="str">
        <x:v>LO3</x:v>
      </x:c>
      <x:c r="C210" s="165" t="str">
        <x:v>世界の主要な発泡性ワイン</x:v>
      </x:c>
      <x:c r="D210" s="165" t="str">
        <x:v>ドイチャー・ゼクト</x:v>
      </x:c>
      <x:c r="E210" s="165" t="str">
        <x:v>ドイチャー・ゼクト（Deutscher Sekt）の表示が示すものとして、最も適切なものはどれか。</x:v>
      </x:c>
      <x:c r="F210" s="165" t="str">
        <x:v>ベースとなるブドウがドイツ産である発泡性ワイン</x:v>
      </x:c>
      <x:c r="G210" s="165" t="str">
        <x:v>ドイツで瓶詰めされたが、原料ワインはどの国でもよい発泡性ワイン</x:v>
      </x:c>
      <x:c r="H210" s="165" t="str">
        <x:v>ドイツ産リースリングを伝統的方式で造った発泡性ワインだけ</x:v>
      </x:c>
      <x:c r="I210" s="165" t="str">
        <x:v>生産者自身の畑のブドウだけを使用したゼクト</x:v>
      </x:c>
      <x:c r="J210" s="171" t="str">
        <x:v>A</x:v>
      </x:c>
      <x:c r="K210" s="165" t="str">
        <x:v>ベースとなるブドウがドイツ産である発泡性ワイン</x:v>
      </x:c>
      <x:c r="L210" s="165" t="str">
        <x:v>正しい。原料ブドウのドイツ産を示す表示である。</x:v>
      </x:c>
      <x:c r="M210" s="165" t="str">
        <x:v>正しい。原料ブドウのドイツ産を示す表示である。</x:v>
      </x:c>
      <x:c r="N210" s="165" t="str">
        <x:v>誤り。一般的なSektでは輸入原料もあり得るが、Deutscher Sektは区別される。</x:v>
      </x:c>
      <x:c r="O210" s="165" t="str">
        <x:v>誤り。品種や製法をリースリング・伝統的方式に限定する表示ではない。</x:v>
      </x:c>
      <x:c r="P210" s="165" t="str">
        <x:v>誤り。自社畑要件はヴィンツァーゼクト等の別の概念に近い。</x:v>
      </x:c>
      <x:c r="Q210" s="165" t="str">
        <x:v>法律面・産地</x:v>
      </x:c>
      <x:c r="R210" s="165" t="str">
        <x:v>ゼクト・原産地表示</x:v>
      </x:c>
      <x:c r="S210" s="165" t="str">
        <x:v>発泡性ワイン</x:v>
      </x:c>
      <x:c r="T210" s="165" t="str">
        <x:v>ドイツ</x:v>
      </x:c>
      <x:c r="U210" s="165" t="str">
        <x:v>ドイツ</x:v>
      </x:c>
      <x:c r="V210" s="165"/>
      <x:c r="W210" s="165" t="str">
        <x:v>知識確認</x:v>
      </x:c>
      <x:c r="X210" s="171" t="str">
        <x:v>D2</x:v>
      </x:c>
      <x:c r="Y210" s="165" t="str">
        <x:v>ドイツ瓶詰めだけでDeutscher Sekt; リースリング伝統的方式だけ; 自社畑ブドウだけが要件</x:v>
      </x:c>
      <x:c r="Z210" s="171" t="str">
        <x:v>Y</x:v>
      </x:c>
      <x:c r="AA210" s="165" t="str">
        <x:v>SektおよびDeutscher Sektの現行表示規定を最新教材と照合推奨</x:v>
      </x:c>
      <x:c r="AB210" s="165" t="str">
        <x:v>オリジナル</x:v>
      </x:c>
      <x:c r="AC210" s="165" t="str">
        <x:v>公式Specificationの範囲＋ユーザー作成コーパスの論点と問題設計例を参考に独自作成</x:v>
      </x:c>
      <x:c r="AD210" s="171" t="str">
        <x:v>改稿済み・専門家未承認</x:v>
      </x:c>
      <x:c r="AE210" s="171" t="str">
        <x:v>AI誤答レビュー</x:v>
      </x:c>
      <x:c r="AF210" s="171" t="str">
        <x:v>2026-07-12</x:v>
      </x:c>
      <x:c r="AG210" s="166" t="str">
        <x:v>第3バッチ：同一論点内の典型的誤概念へ置換。正答位置は維持。</x:v>
      </x:c>
    </x:row>
    <x:row r="211" ht="84" customHeight="1">
      <x:c r="A211" s="164" t="str">
        <x:v>LO3-050</x:v>
      </x:c>
      <x:c r="B211" s="171" t="str">
        <x:v>LO3</x:v>
      </x:c>
      <x:c r="C211" s="165" t="str">
        <x:v>世界の主要な発泡性ワイン</x:v>
      </x:c>
      <x:c r="D211" s="165" t="str">
        <x:v>キャップ・クラシックの品種</x:v>
      </x:c>
      <x:c r="E211" s="165" t="str">
        <x:v>上質なキャップ・クラシックで、シャルドネとピノ・ノワールがよく用いられる理由はどれか。</x:v>
      </x:c>
      <x:c r="F211" s="165" t="str">
        <x:v>温暖な地区で高糖度まで成熟し、低い酸の豊かなベースワインを造れる</x:v>
      </x:c>
      <x:c r="G211" s="165" t="str">
        <x:v>冷涼な地区で高い酸を保ち、伝統的方式の澱熟成に適した構造と繊細さを与える</x:v>
      </x:c>
      <x:c r="H211" s="165" t="str">
        <x:v>両品種とも強いマスカット香を持ち、短期タンク発酵に適する</x:v>
      </x:c>
      <x:c r="I211" s="165" t="str">
        <x:v>両品種の高いタンニンが、長期果皮浸漬に耐える</x:v>
      </x:c>
      <x:c r="J211" s="171" t="str">
        <x:v>B</x:v>
      </x:c>
      <x:c r="K211" s="165" t="str">
        <x:v>冷涼な地区で高い酸を保ち、伝統的方式の澱熟成に適した構造と繊細さを与える</x:v>
      </x:c>
      <x:c r="L211" s="165" t="str">
        <x:v>正しい。二品種は酸、構造、果実、熟成力を与える。</x:v>
      </x:c>
      <x:c r="M211" s="165" t="str">
        <x:v>誤り。発泡性用には高酸・低潜在アルコールが望ましく、低酸高糖度が主眼ではない。</x:v>
      </x:c>
      <x:c r="N211" s="165" t="str">
        <x:v>正しい。二品種は酸、構造、果実、熟成力を与える。</x:v>
      </x:c>
      <x:c r="O211" s="165" t="str">
        <x:v>誤り。芳香性マスカット品種ではなく、伝統的方式との調和が重要である。</x:v>
      </x:c>
      <x:c r="P211" s="165" t="str">
        <x:v>誤り。強いタンニン抽出を目的としない。</x:v>
      </x:c>
      <x:c r="Q211" s="165" t="str">
        <x:v>品種・産地</x:v>
      </x:c>
      <x:c r="R211" s="165" t="str">
        <x:v>キャップ・クラシック・品種</x:v>
      </x:c>
      <x:c r="S211" s="165" t="str">
        <x:v>発泡性ワイン</x:v>
      </x:c>
      <x:c r="T211" s="165" t="str">
        <x:v>南アフリカ</x:v>
      </x:c>
      <x:c r="U211" s="165" t="str">
        <x:v>キャップ・クラシック</x:v>
      </x:c>
      <x:c r="V211" s="165" t="str">
        <x:v>シャルドネ、ピノ・ノワール</x:v>
      </x:c>
      <x:c r="W211" s="165" t="str">
        <x:v>統合判断</x:v>
      </x:c>
      <x:c r="X211" s="171" t="str">
        <x:v>D2</x:v>
      </x:c>
      <x:c r="Y211" s="165" t="str">
        <x:v>キャップ・クラシックは低酸高糖度ベース; シャルドネとピノはマスカット香・タンク方式向き; 高タンニン・長期果皮浸漬向き</x:v>
      </x:c>
      <x:c r="Z211" s="171" t="str">
        <x:v>N</x:v>
      </x:c>
      <x:c r="AA211" s="165"/>
      <x:c r="AB211" s="165" t="str">
        <x:v>オリジナル</x:v>
      </x:c>
      <x:c r="AC211" s="165" t="str">
        <x:v>公式Specificationの範囲＋ユーザー作成コーパスの論点と問題設計例を参考に独自作成</x:v>
      </x:c>
      <x:c r="AD211" s="171" t="str">
        <x:v>改稿済み・専門家未承認</x:v>
      </x:c>
      <x:c r="AE211" s="171" t="str">
        <x:v>AI誤答レビュー</x:v>
      </x:c>
      <x:c r="AF211" s="171" t="str">
        <x:v>2026-07-12</x:v>
      </x:c>
      <x:c r="AG211" s="166" t="str">
        <x:v>第3バッチ：同一論点内の典型的誤概念へ置換。正答位置は維持。</x:v>
      </x:c>
    </x:row>
    <x:row r="212" ht="84" customHeight="1">
      <x:c r="A212" s="164" t="str">
        <x:v>LO3-051</x:v>
      </x:c>
      <x:c r="B212" s="171" t="str">
        <x:v>LO3</x:v>
      </x:c>
      <x:c r="C212" s="165" t="str">
        <x:v>世界の主要な発泡性ワイン</x:v>
      </x:c>
      <x:c r="D212" s="165" t="str">
        <x:v>タスマニアの発泡性ワイン</x:v>
      </x:c>
      <x:c r="E212" s="165" t="str">
        <x:v>タスマニアが、オーストラリアの上質発泡性ワイン産地として評価される主な理由はどれか。</x:v>
      </x:c>
      <x:c r="F212" s="165" t="str">
        <x:v>北部内陸の温暖な大陸性気候により、高糖度・低酸のシャルドネを得られる</x:v>
      </x:c>
      <x:c r="G212" s="165" t="str">
        <x:v>高標高の乾燥気候が中心で、海洋の影響をほとんど受けない</x:v>
      </x:c>
      <x:c r="H212" s="165" t="str">
        <x:v>南方の冷涼な海洋性気候により、シャルドネとピノ・ノワールが酸を保って成熟する</x:v>
      </x:c>
      <x:c r="I212" s="165" t="str">
        <x:v>冷涼さで果実が成熟しにくいため、主に残糖の高い甘口発泡性ワインへ用いる</x:v>
      </x:c>
      <x:c r="J212" s="171" t="str">
        <x:v>C</x:v>
      </x:c>
      <x:c r="K212" s="165" t="str">
        <x:v>南方の冷涼な海洋性気候により、シャルドネとピノ・ノワールが酸を保って成熟する</x:v>
      </x:c>
      <x:c r="L212" s="165" t="str">
        <x:v>正しい。冷涼な長い生育期が、高酸で繊細なシャルドネとピノ・ノワールを生む。</x:v>
      </x:c>
      <x:c r="M212" s="165" t="str">
        <x:v>誤り。タスマニアは南方の島で、温暖な内陸気候ではない。</x:v>
      </x:c>
      <x:c r="N212" s="165" t="str">
        <x:v>誤り。島全体が海洋の影響を強く受け、乾燥した高地だけで説明できない。</x:v>
      </x:c>
      <x:c r="O212" s="165" t="str">
        <x:v>正しい。冷涼な長い生育期が、高酸で繊細なシャルドネとピノ・ノワールを生む。</x:v>
      </x:c>
      <x:c r="P212" s="165" t="str">
        <x:v>誤り。十分な日照で辛口用の果実も成熟し、甘口だけに限られない。</x:v>
      </x:c>
      <x:c r="Q212" s="165" t="str">
        <x:v>自然要因・産地</x:v>
      </x:c>
      <x:c r="R212" s="165" t="str">
        <x:v>冷涼海洋性・品種</x:v>
      </x:c>
      <x:c r="S212" s="165" t="str">
        <x:v>発泡性ワイン</x:v>
      </x:c>
      <x:c r="T212" s="165" t="str">
        <x:v>オーストラリア</x:v>
      </x:c>
      <x:c r="U212" s="165" t="str">
        <x:v>タスマニア</x:v>
      </x:c>
      <x:c r="V212" s="165" t="str">
        <x:v>シャルドネ、ピノ・ノワール</x:v>
      </x:c>
      <x:c r="W212" s="165" t="str">
        <x:v>因果説明</x:v>
      </x:c>
      <x:c r="X212" s="171" t="str">
        <x:v>D2</x:v>
      </x:c>
      <x:c r="Y212" s="165" t="str">
        <x:v>タスマニアは温暖内陸・低酸; タスマニアは海洋影響のない乾燥高地; 冷涼で成熟せず甘口専用</x:v>
      </x:c>
      <x:c r="Z212" s="171" t="str">
        <x:v>N</x:v>
      </x:c>
      <x:c r="AA212" s="165"/>
      <x:c r="AB212" s="165" t="str">
        <x:v>オリジナル</x:v>
      </x:c>
      <x:c r="AC212" s="165" t="str">
        <x:v>公式Specificationの範囲＋ユーザー作成コーパスの論点と問題設計例を参考に独自作成</x:v>
      </x:c>
      <x:c r="AD212" s="171" t="str">
        <x:v>改稿済み・専門家未承認</x:v>
      </x:c>
      <x:c r="AE212" s="171" t="str">
        <x:v>AI誤答レビュー</x:v>
      </x:c>
      <x:c r="AF212" s="171" t="str">
        <x:v>2026-07-12</x:v>
      </x:c>
      <x:c r="AG212" s="166" t="str">
        <x:v>第2バッチ：誤答を同一論点内の典型的誤概念へ置換。正答位置は維持。</x:v>
      </x:c>
    </x:row>
    <x:row r="213" ht="84" customHeight="1">
      <x:c r="A213" s="164" t="str">
        <x:v>LO3-052</x:v>
      </x:c>
      <x:c r="B213" s="171" t="str">
        <x:v>LO3</x:v>
      </x:c>
      <x:c r="C213" s="165" t="str">
        <x:v>世界の主要な発泡性ワイン</x:v>
      </x:c>
      <x:c r="D213" s="165" t="str">
        <x:v>アデレード・ヒルズ</x:v>
      </x:c>
      <x:c r="E213" s="165" t="str">
        <x:v>アデレード・ヒルズで発泡性ワイン用ブドウが栽培される主な理由はどれか。</x:v>
      </x:c>
      <x:c r="F213" s="165" t="str">
        <x:v>乾燥した低地で高収量のブドウを栽培し、酸を後から調整できるため</x:v>
      </x:c>
      <x:c r="G213" s="165" t="str">
        <x:v>低地の高温で糖度を最大化し、発酵後に酸を加えるため</x:v>
      </x:c>
      <x:c r="H213" s="165" t="str">
        <x:v>多雨と貴腐で果実を濃縮し、甘口発泡性にするため</x:v>
      </x:c>
      <x:c r="I213" s="165" t="str">
        <x:v>高標高と冷涼な夜が、シャルドネとピノ・ノワールの酸を保持するため</x:v>
      </x:c>
      <x:c r="J213" s="171" t="str">
        <x:v>D</x:v>
      </x:c>
      <x:c r="K213" s="165" t="str">
        <x:v>高標高と冷涼な夜が、シャルドネとピノ・ノワールの酸を保持するため</x:v>
      </x:c>
      <x:c r="L213" s="165" t="str">
        <x:v>正しい。温暖な南オーストラリアの中で、発泡性用の低糖・高酸果実を得られる。</x:v>
      </x:c>
      <x:c r="M213" s="165" t="str">
        <x:v>誤り。アデレード・ヒルズの適性は高標高の冷却と自然な酸保持にあり、低地高収量が主因ではない。</x:v>
      </x:c>
      <x:c r="N213" s="165" t="str">
        <x:v>誤り。自然な高酸を得る高地。</x:v>
      </x:c>
      <x:c r="O213" s="165" t="str">
        <x:v>誤り。健全な早摘み果実を用いる。</x:v>
      </x:c>
      <x:c r="P213" s="165" t="str">
        <x:v>正しい。温暖な南オーストラリアの中で、発泡性用の低糖・高酸果実を得られる。</x:v>
      </x:c>
      <x:c r="Q213" s="165" t="str">
        <x:v>自然要因・産地</x:v>
      </x:c>
      <x:c r="R213" s="165" t="str">
        <x:v>標高・酸</x:v>
      </x:c>
      <x:c r="S213" s="165" t="str">
        <x:v>発泡性ワイン</x:v>
      </x:c>
      <x:c r="T213" s="165" t="str">
        <x:v>オーストラリア</x:v>
      </x:c>
      <x:c r="U213" s="165" t="str">
        <x:v>アデレード・ヒルズ</x:v>
      </x:c>
      <x:c r="V213" s="165" t="str">
        <x:v>シャルドネ、ピノ・ノワール</x:v>
      </x:c>
      <x:c r="W213" s="165" t="str">
        <x:v>因果説明</x:v>
      </x:c>
      <x:c r="X213" s="171" t="str">
        <x:v>D2</x:v>
      </x:c>
      <x:c r="Y213" s="165" t="str">
        <x:v>アデレード・ヒルズを低地高収量・酸調整型と混同; アデレードヒルズを低地高温・酸添加型とみなす; アデレードヒルズ発泡性を貴腐甘口型と混同</x:v>
      </x:c>
      <x:c r="Z213" s="171" t="str">
        <x:v>N</x:v>
      </x:c>
      <x:c r="AA213" s="165"/>
      <x:c r="AB213" s="165" t="str">
        <x:v>オリジナル</x:v>
      </x:c>
      <x:c r="AC213" s="165" t="str">
        <x:v>公式Specificationの範囲＋ユーザー作成コーパスの論点と問題設計例を参考に独自作成</x:v>
      </x:c>
      <x:c r="AD213" s="171" t="str">
        <x:v>改稿済み・専門家未承認</x:v>
      </x:c>
      <x:c r="AE213" s="171" t="str">
        <x:v>AI誤答レビュー</x:v>
      </x:c>
      <x:c r="AF213" s="171" t="str">
        <x:v>2026-07-12</x:v>
      </x:c>
      <x:c r="AG213" s="166" t="str">
        <x:v>第4バッチ：同一論点内の典型的誤概念へ置換。正答位置は維持。</x:v>
      </x:c>
    </x:row>
    <x:row r="214" ht="84" customHeight="1">
      <x:c r="A214" s="164" t="str">
        <x:v>LO3-053</x:v>
      </x:c>
      <x:c r="B214" s="171" t="str">
        <x:v>LO3</x:v>
      </x:c>
      <x:c r="C214" s="165" t="str">
        <x:v>世界の主要な発泡性ワイン</x:v>
      </x:c>
      <x:c r="D214" s="165" t="str">
        <x:v>マールボロの発泡性ワイン</x:v>
      </x:c>
      <x:c r="E214" s="165" t="str">
        <x:v>マールボロの伝統的方式発泡性ワインに適する自然条件はどれか。</x:v>
      </x:c>
      <x:c r="F214" s="165" t="str">
        <x:v>日照が多く夜間が冷涼で、シャルドネとピノ・ノワールが酸を保って成熟する</x:v>
      </x:c>
      <x:c r="G214" s="165" t="str">
        <x:v>日照が多く夜間も暖かいため、糖度が上がり酸が低下する</x:v>
      </x:c>
      <x:c r="H214" s="165" t="str">
        <x:v>高温多湿で貴腐が安定し、甘口のベースワインを得られる</x:v>
      </x:c>
      <x:c r="I214" s="165" t="str">
        <x:v>内陸砂漠の高温で糖度を高め、酸を後から添加する</x:v>
      </x:c>
      <x:c r="J214" s="171" t="str">
        <x:v>A</x:v>
      </x:c>
      <x:c r="K214" s="165" t="str">
        <x:v>日照が多く夜間が冷涼で、シャルドネとピノ・ノワールが酸を保って成熟する</x:v>
      </x:c>
      <x:c r="L214" s="165" t="str">
        <x:v>正しい。暖かな日中に香りが発達し、冷涼な夜が酸を保持する。</x:v>
      </x:c>
      <x:c r="M214" s="165" t="str">
        <x:v>正しい。暖かな日中に香りが発達し、冷涼な夜が酸を保持する。</x:v>
      </x:c>
      <x:c r="N214" s="165" t="str">
        <x:v>誤り。マールボロの発泡性用果実には冷涼な夜による酸保持が重要である。</x:v>
      </x:c>
      <x:c r="O214" s="165" t="str">
        <x:v>誤り。発泡性用には健全で高酸の果実が望ましく、貴腐が主因ではない。</x:v>
      </x:c>
      <x:c r="P214" s="165" t="str">
        <x:v>誤り。マールボロは日照が多い一方、海洋性の冷却と夜間低温が重要。</x:v>
      </x:c>
      <x:c r="Q214" s="165" t="str">
        <x:v>自然要因・産地</x:v>
      </x:c>
      <x:c r="R214" s="165" t="str">
        <x:v>日照・夜間冷却</x:v>
      </x:c>
      <x:c r="S214" s="165" t="str">
        <x:v>発泡性ワイン</x:v>
      </x:c>
      <x:c r="T214" s="165" t="str">
        <x:v>ニュージーランド</x:v>
      </x:c>
      <x:c r="U214" s="165" t="str">
        <x:v>マールボロ</x:v>
      </x:c>
      <x:c r="V214" s="165" t="str">
        <x:v>シャルドネ、ピノ・ノワール</x:v>
      </x:c>
      <x:c r="W214" s="165" t="str">
        <x:v>因果説明</x:v>
      </x:c>
      <x:c r="X214" s="171" t="str">
        <x:v>D2</x:v>
      </x:c>
      <x:c r="Y214" s="165" t="str">
        <x:v>マールボロは暖かい夜で低酸になる; マールボロ発泡性を貴腐甘口型と混同; マールボロを砂漠高温・酸添加型とみなす</x:v>
      </x:c>
      <x:c r="Z214" s="171" t="str">
        <x:v>N</x:v>
      </x:c>
      <x:c r="AA214" s="165"/>
      <x:c r="AB214" s="165" t="str">
        <x:v>オリジナル</x:v>
      </x:c>
      <x:c r="AC214" s="165" t="str">
        <x:v>公式Specificationの範囲＋ユーザー作成コーパスの論点と問題設計例を参考に独自作成</x:v>
      </x:c>
      <x:c r="AD214" s="171" t="str">
        <x:v>改稿済み・専門家未承認</x:v>
      </x:c>
      <x:c r="AE214" s="171" t="str">
        <x:v>AI誤答レビュー</x:v>
      </x:c>
      <x:c r="AF214" s="171" t="str">
        <x:v>2026-07-12</x:v>
      </x:c>
      <x:c r="AG214" s="166" t="str">
        <x:v>第4バッチ：同一論点内の典型的誤概念へ置換。正答位置は維持。</x:v>
      </x:c>
    </x:row>
    <x:row r="215" ht="84" customHeight="1">
      <x:c r="A215" s="164" t="str">
        <x:v>LO3-054</x:v>
      </x:c>
      <x:c r="B215" s="171" t="str">
        <x:v>LO3</x:v>
      </x:c>
      <x:c r="C215" s="165" t="str">
        <x:v>世界の主要な発泡性ワイン</x:v>
      </x:c>
      <x:c r="D215" s="165" t="str">
        <x:v>アンダーソン・ヴァレー</x:v>
      </x:c>
      <x:c r="E215" s="165" t="str">
        <x:v>アンダーソン・ヴァレーがカリフォルニアの発泡性ワイン用ブドウに適する主な理由はどれか。</x:v>
      </x:c>
      <x:c r="F215" s="165" t="str">
        <x:v>太平洋の冷たい霧と風が谷へ入り、成熟を早めるため</x:v>
      </x:c>
      <x:c r="G215" s="165" t="str">
        <x:v>太平洋の冷たい霧と風が谷へ入り、成熟を遅らせるため</x:v>
      </x:c>
      <x:c r="H215" s="165" t="str">
        <x:v>内陸の高温乾燥で果実を過熟させ、酸を後から添加するため</x:v>
      </x:c>
      <x:c r="I215" s="165" t="str">
        <x:v>高標高だけが冷却要因で、海洋影響は小さい</x:v>
      </x:c>
      <x:c r="J215" s="171" t="str">
        <x:v>B</x:v>
      </x:c>
      <x:c r="K215" s="165" t="str">
        <x:v>太平洋の冷たい霧と風が谷へ入り、成熟を遅らせるため</x:v>
      </x:c>
      <x:c r="L215" s="165" t="str">
        <x:v>正しい。ピノ・ノワールとシャルドネが高い酸と繊細な果実香を保つ。</x:v>
      </x:c>
      <x:c r="M215" s="165" t="str">
        <x:v>誤り。正答では「成熟を遅らせ」ことが重要であり、この選択肢は「成熟を早め」へ置き換えて関係を逆にしている。</x:v>
      </x:c>
      <x:c r="N215" s="165" t="str">
        <x:v>正しい。ピノ・ノワールとシャルドネが高い酸と繊細な果実香を保つ。</x:v>
      </x:c>
      <x:c r="O215" s="165" t="str">
        <x:v>誤り。沿岸冷却が品質の主因。</x:v>
      </x:c>
      <x:c r="P215" s="165" t="str">
        <x:v>誤り。太平洋の霧と風が重要。</x:v>
      </x:c>
      <x:c r="Q215" s="165" t="str">
        <x:v>自然要因・産地</x:v>
      </x:c>
      <x:c r="R215" s="165" t="str">
        <x:v>霧・海洋冷却</x:v>
      </x:c>
      <x:c r="S215" s="165" t="str">
        <x:v>発泡性ワイン</x:v>
      </x:c>
      <x:c r="T215" s="165" t="str">
        <x:v>米国</x:v>
      </x:c>
      <x:c r="U215" s="165" t="str">
        <x:v>カリフォルニア／アンダーソン・ヴァレー</x:v>
      </x:c>
      <x:c r="V215" s="165" t="str">
        <x:v>シャルドネ、ピノ・ノワール</x:v>
      </x:c>
      <x:c r="W215" s="165" t="str">
        <x:v>因果説明</x:v>
      </x:c>
      <x:c r="X215" s="171" t="str">
        <x:v>D2</x:v>
      </x:c>
      <x:c r="Y215" s="165" t="str">
        <x:v>「成熟を遅らせ」と「成熟を早め」の関係を逆転; アンダーソンを内陸高温型とみなす; アンダーソンの海洋影響を無視</x:v>
      </x:c>
      <x:c r="Z215" s="171" t="str">
        <x:v>N</x:v>
      </x:c>
      <x:c r="AA215" s="165"/>
      <x:c r="AB215" s="165" t="str">
        <x:v>オリジナル</x:v>
      </x:c>
      <x:c r="AC215" s="165" t="str">
        <x:v>公式Specificationの範囲＋ユーザー作成コーパスの論点と問題設計例を参考に独自作成</x:v>
      </x:c>
      <x:c r="AD215" s="171" t="str">
        <x:v>改稿済み・専門家未承認</x:v>
      </x:c>
      <x:c r="AE215" s="171" t="str">
        <x:v>AI誤答レビュー</x:v>
      </x:c>
      <x:c r="AF215" s="171" t="str">
        <x:v>2026-07-12</x:v>
      </x:c>
      <x:c r="AG215" s="166" t="str">
        <x:v>第4バッチ：同一論点内の典型的誤概念へ置換。正答位置は維持。</x:v>
      </x:c>
    </x:row>
    <x:row r="216" ht="84" customHeight="1">
      <x:c r="A216" s="164" t="str">
        <x:v>LO3-055</x:v>
      </x:c>
      <x:c r="B216" s="171" t="str">
        <x:v>LO3</x:v>
      </x:c>
      <x:c r="C216" s="165" t="str">
        <x:v>世界の主要な発泡性ワイン</x:v>
      </x:c>
      <x:c r="D216" s="165" t="str">
        <x:v>ロス・カーネロス</x:v>
      </x:c>
      <x:c r="E216" s="165" t="str">
        <x:v>ロス・カーネロスがナパとソノマの他の多くの地区より冷涼な主な理由はどれか。</x:v>
      </x:c>
      <x:c r="F216" s="165" t="str">
        <x:v>高い酸と低めの糖度を持つ健全なベースワインを得やすいから</x:v>
      </x:c>
      <x:c r="G216" s="165" t="str">
        <x:v>ナパ北部の山地から暖かい空気が流れ込み、夜温を高めるため</x:v>
      </x:c>
      <x:c r="H216" s="165" t="str">
        <x:v>サン・パブロ湾からの風と霧が、日中の気温を下げるため</x:v>
      </x:c>
      <x:c r="I216" s="165" t="str">
        <x:v>標高がナパで最も高く、年間を通じて雪が残るため</x:v>
      </x:c>
      <x:c r="J216" s="171" t="str">
        <x:v>C</x:v>
      </x:c>
      <x:c r="K216" s="165" t="str">
        <x:v>サン・パブロ湾からの風と霧が、日中の気温を下げるため</x:v>
      </x:c>
      <x:c r="L216" s="165" t="str">
        <x:v>正しい。湾からの冷気が成熟を遅らせ、シャルドネとピノ・ノワールの酸を保つ。</x:v>
      </x:c>
      <x:c r="M216" s="165" t="str">
        <x:v>誤り。これは同じ知識領域の「ニューワールド上質発泡性ワイン」に当てはまる説明で、設問の「ロス・カーネロス」を最も適切に説明しない。</x:v>
      </x:c>
      <x:c r="N216" s="165" t="str">
        <x:v>誤り。品質上の冷涼さは湾からの冷却による。</x:v>
      </x:c>
      <x:c r="O216" s="165" t="str">
        <x:v>正しい。湾からの冷気が成熟を遅らせ、シャルドネとピノ・ノワールの酸を保つ。</x:v>
      </x:c>
      <x:c r="P216" s="165" t="str">
        <x:v>誤り。低い丘陵と湾の影響が中心で、極端な高標高ではない。</x:v>
      </x:c>
      <x:c r="Q216" s="165" t="str">
        <x:v>自然要因・産地</x:v>
      </x:c>
      <x:c r="R216" s="165" t="str">
        <x:v>湾・霧・風</x:v>
      </x:c>
      <x:c r="S216" s="165" t="str">
        <x:v>発泡性ワイン</x:v>
      </x:c>
      <x:c r="T216" s="165" t="str">
        <x:v>米国</x:v>
      </x:c>
      <x:c r="U216" s="165" t="str">
        <x:v>カリフォルニア／ロス・カーネロス</x:v>
      </x:c>
      <x:c r="V216" s="165" t="str">
        <x:v>シャルドネ、ピノ・ノワール</x:v>
      </x:c>
      <x:c r="W216" s="165" t="str">
        <x:v>因果説明</x:v>
      </x:c>
      <x:c r="X216" s="171" t="str">
        <x:v>D1</x:v>
      </x:c>
      <x:c r="Y216" s="165" t="str">
        <x:v>ロス・カーネロスをニューワールド上質発泡性ワインの特徴と混同; ロス・カーネロスの冷涼さを山地暖気で説明; ロス・カーネロスを高山雪地とみなす</x:v>
      </x:c>
      <x:c r="Z216" s="171" t="str">
        <x:v>N</x:v>
      </x:c>
      <x:c r="AA216" s="165"/>
      <x:c r="AB216" s="165" t="str">
        <x:v>オリジナル</x:v>
      </x:c>
      <x:c r="AC216" s="165" t="str">
        <x:v>公式Specificationの範囲＋ユーザー作成コーパスの論点と問題設計例を参考に独自作成</x:v>
      </x:c>
      <x:c r="AD216" s="171" t="str">
        <x:v>改稿済み・専門家未承認</x:v>
      </x:c>
      <x:c r="AE216" s="171" t="str">
        <x:v>AI誤答レビュー</x:v>
      </x:c>
      <x:c r="AF216" s="171" t="str">
        <x:v>2026-07-12</x:v>
      </x:c>
      <x:c r="AG216" s="166" t="str">
        <x:v>第4バッチ：同一論点内の典型的誤概念へ置換。正答位置は維持。</x:v>
      </x:c>
    </x:row>
    <x:row r="217" ht="84" customHeight="1">
      <x:c r="A217" s="164" t="str">
        <x:v>LO3-056</x:v>
      </x:c>
      <x:c r="B217" s="171" t="str">
        <x:v>LO3</x:v>
      </x:c>
      <x:c r="C217" s="165" t="str">
        <x:v>世界の主要な発泡性ワイン</x:v>
      </x:c>
      <x:c r="D217" s="165" t="str">
        <x:v>手摘みと生産コスト</x:v>
      </x:c>
      <x:c r="E217" s="165" t="str">
        <x:v>上質な伝統的方式発泡性ワインで手摘みが生産コストを高める一方、品質に寄与する理由はどれか。</x:v>
      </x:c>
      <x:c r="F217" s="165" t="str">
        <x:v>収穫時点で二次発酵と澱抜きを完了できる</x:v>
      </x:c>
      <x:c r="G217" s="165" t="str">
        <x:v>果房を強く破砕し、タンニンを最大化する</x:v>
      </x:c>
      <x:c r="H217" s="165" t="str">
        <x:v>機械収穫より速く、労働者が不要になる</x:v>
      </x:c>
      <x:c r="I217" s="165" t="str">
        <x:v>健全な房を選び、果皮を傷めず全房のまま穏やかに圧搾しやすい</x:v>
      </x:c>
      <x:c r="J217" s="171" t="str">
        <x:v>D</x:v>
      </x:c>
      <x:c r="K217" s="165" t="str">
        <x:v>健全な房を選び、果皮を傷めず全房のまま穏やかに圧搾しやすい</x:v>
      </x:c>
      <x:c r="L217" s="165" t="str">
        <x:v>正しい。手摘みは労働費が高いが、腐敗果を除き、酸化や色素抽出を抑えた繊細な果汁を得るのに適する。</x:v>
      </x:c>
      <x:c r="M217" s="165" t="str">
        <x:v>誤り。二次発酵と澱抜きはワイナリーで後に行う。</x:v>
      </x:c>
      <x:c r="N217" s="165" t="str">
        <x:v>誤り。発泡性用では果皮損傷と過度な抽出を避けることが多い。</x:v>
      </x:c>
      <x:c r="O217" s="165" t="str">
        <x:v>誤り。手摘みは人手と時間を要し、一般にコストが高い。</x:v>
      </x:c>
      <x:c r="P217" s="165" t="str">
        <x:v>正しい。手摘みは労働費が高いが、腐敗果を除き、酸化や色素抽出を抑えた繊細な果汁を得るのに適する。</x:v>
      </x:c>
      <x:c r="Q217" s="165" t="str">
        <x:v>人的要因・商業</x:v>
      </x:c>
      <x:c r="R217" s="165" t="str">
        <x:v>手摘み・品質・価格</x:v>
      </x:c>
      <x:c r="S217" s="165" t="str">
        <x:v>発泡性ワイン</x:v>
      </x:c>
      <x:c r="T217" s="165"/>
      <x:c r="U217" s="165"/>
      <x:c r="V217" s="165"/>
      <x:c r="W217" s="165" t="str">
        <x:v>統合判断</x:v>
      </x:c>
      <x:c r="X217" s="171" t="str">
        <x:v>D3</x:v>
      </x:c>
      <x:c r="Y217" s="165" t="str">
        <x:v>手摘みと生産コストについて関連要因を主因とみなす; 手摘みと生産コストについて関連要因を主因とみなす; 手摘みと生産コストについて関連要因を主因とみなす</x:v>
      </x:c>
      <x:c r="Z217" s="171" t="str">
        <x:v>N</x:v>
      </x:c>
      <x:c r="AA217" s="165"/>
      <x:c r="AB217" s="165" t="str">
        <x:v>オリジナル</x:v>
      </x:c>
      <x:c r="AC217" s="165" t="str">
        <x:v>公式Specificationの範囲＋ユーザー作成コーパスの論点と問題設計例を参考に独自作成</x:v>
      </x:c>
      <x:c r="AD217" s="171" t="str">
        <x:v>改稿済み・専門家未承認</x:v>
      </x:c>
      <x:c r="AE217" s="171" t="str">
        <x:v>AI誤答レビュー</x:v>
      </x:c>
      <x:c r="AF217" s="171" t="str">
        <x:v>2026-07-12</x:v>
      </x:c>
      <x:c r="AG217" s="166" t="str">
        <x:v>第5バッチ：使用可能な誤答を維持し、弱い誤答を因果逆転・隣接概念へ置換。正答位置は維持。</x:v>
      </x:c>
    </x:row>
    <x:row r="218" ht="84" customHeight="1">
      <x:c r="A218" s="164" t="str">
        <x:v>LO3-057</x:v>
      </x:c>
      <x:c r="B218" s="171" t="str">
        <x:v>LO3</x:v>
      </x:c>
      <x:c r="C218" s="165" t="str">
        <x:v>世界の主要な発泡性ワイン</x:v>
      </x:c>
      <x:c r="D218" s="165" t="str">
        <x:v>長期澱熟成と価格</x:v>
      </x:c>
      <x:c r="E218" s="165" t="str">
        <x:v>長期間の瓶内澱熟成が発泡性ワインの価格を上げる主な理由はどれか。</x:v>
      </x:c>
      <x:c r="F218" s="165" t="str">
        <x:v>在庫を長く保管する資金、貯蔵空間、瓶の取り扱いが必要になる</x:v>
      </x:c>
      <x:c r="G218" s="165" t="str">
        <x:v>瓶内圧力がゼロになり、再び炭酸ガスを注入する必要がある</x:v>
      </x:c>
      <x:c r="H218" s="165" t="str">
        <x:v>澱が金へ変化し、原材料費が上がる</x:v>
      </x:c>
      <x:c r="I218" s="165" t="str">
        <x:v>熟成中にワイン量が倍になり、税金が倍になる</x:v>
      </x:c>
      <x:c r="J218" s="171" t="str">
        <x:v>A</x:v>
      </x:c>
      <x:c r="K218" s="165" t="str">
        <x:v>在庫を長く保管する資金、貯蔵空間、瓶の取り扱いが必要になる</x:v>
      </x:c>
      <x:c r="L218" s="165" t="str">
        <x:v>正しい。販売まで資金が回収できず、温度管理された貯蔵スペースと作業が必要な一方、自己分解香と質感が発達する。</x:v>
      </x:c>
      <x:c r="M218" s="165" t="str">
        <x:v>正しい。販売まで資金が回収できず、温度管理された貯蔵スペースと作業が必要な一方、自己分解香と質感が発達する。</x:v>
      </x:c>
      <x:c r="N218" s="165" t="str">
        <x:v>誤り。適切な密閉下では二酸化炭素を保持し、長期澱熟成だけで圧力がゼロにならない。</x:v>
      </x:c>
      <x:c r="O218" s="165" t="str">
        <x:v>誤り。澱は酵母由来で、金へ変わらない。</x:v>
      </x:c>
      <x:c r="P218" s="165" t="str">
        <x:v>誤り。熟成でワイン量が倍になることはない。</x:v>
      </x:c>
      <x:c r="Q218" s="165" t="str">
        <x:v>商業面・製法</x:v>
      </x:c>
      <x:c r="R218" s="165" t="str">
        <x:v>在庫・熟成コスト</x:v>
      </x:c>
      <x:c r="S218" s="165" t="str">
        <x:v>発泡性ワイン</x:v>
      </x:c>
      <x:c r="T218" s="165"/>
      <x:c r="U218" s="165"/>
      <x:c r="V218" s="165"/>
      <x:c r="W218" s="165" t="str">
        <x:v>統合判断</x:v>
      </x:c>
      <x:c r="X218" s="171" t="str">
        <x:v>D3</x:v>
      </x:c>
      <x:c r="Y218" s="165" t="str">
        <x:v>長期澱熟成と価格について関連要因を主因とみなす; 長期澱熟成と価格について関連要因を主因とみなす; 長期澱熟成と価格について関連要因を主因とみなす</x:v>
      </x:c>
      <x:c r="Z218" s="171" t="str">
        <x:v>N</x:v>
      </x:c>
      <x:c r="AA218" s="165"/>
      <x:c r="AB218" s="165" t="str">
        <x:v>オリジナル</x:v>
      </x:c>
      <x:c r="AC218" s="165" t="str">
        <x:v>公式Specificationの範囲＋ユーザー作成コーパスの論点と問題設計例を参考に独自作成</x:v>
      </x:c>
      <x:c r="AD218" s="171" t="str">
        <x:v>改稿済み・専門家未承認</x:v>
      </x:c>
      <x:c r="AE218" s="171" t="str">
        <x:v>AI誤答レビュー</x:v>
      </x:c>
      <x:c r="AF218" s="171" t="str">
        <x:v>2026-07-12</x:v>
      </x:c>
      <x:c r="AG218" s="166" t="str">
        <x:v>第5バッチ：使用可能な誤答を維持し、弱い誤答を因果逆転・隣接概念へ置換。正答位置は維持。</x:v>
      </x:c>
    </x:row>
    <x:row r="219" ht="84" customHeight="1">
      <x:c r="A219" s="164" t="str">
        <x:v>LO3-058</x:v>
      </x:c>
      <x:c r="B219" s="171" t="str">
        <x:v>LO3</x:v>
      </x:c>
      <x:c r="C219" s="165" t="str">
        <x:v>世界の主要な発泡性ワイン</x:v>
      </x:c>
      <x:c r="D219" s="165" t="str">
        <x:v>ドザージュと酸のバランス</x:v>
      </x:c>
      <x:c r="E219" s="165" t="str">
        <x:v>高い酸を持つ発泡性ワインに少量のドザージュを行う効果として最も適切なものはどれか。</x:v>
      </x:c>
      <x:c r="F219" s="165" t="str">
        <x:v>二次発酵前のブドウを成熟させる</x:v>
      </x:c>
      <x:c r="G219" s="165" t="str">
        <x:v>酸味を和らげ、果実味と全体のバランスを整える</x:v>
      </x:c>
      <x:c r="H219" s="165" t="str">
        <x:v>タンニンと色を最大限抽出する</x:v>
      </x:c>
      <x:c r="I219" s="165" t="str">
        <x:v>酸を化学的に多く除去し、pHを中性にする</x:v>
      </x:c>
      <x:c r="J219" s="171" t="str">
        <x:v>B</x:v>
      </x:c>
      <x:c r="K219" s="165" t="str">
        <x:v>酸味を和らげ、果実味と全体のバランスを整える</x:v>
      </x:c>
      <x:c r="L219" s="165" t="str">
        <x:v>正しい。残糖が少量でも高い酸の鋭さを和らげ、ワインを調和させることがある。目的は単に甘口にすることだけではない。</x:v>
      </x:c>
      <x:c r="M219" s="165" t="str">
        <x:v>誤り。ドザージュは澱抜き後に行われ、畑の成熟には影響しない。</x:v>
      </x:c>
      <x:c r="N219" s="165" t="str">
        <x:v>正しい。残糖が少量でも高い酸の鋭さを和らげ、ワインを調和させることがある。目的は単に甘口にすることだけではない。</x:v>
      </x:c>
      <x:c r="O219" s="165" t="str">
        <x:v>誤り。瓶詰め後の甘味調整で、果皮抽出とは関係しない。</x:v>
      </x:c>
      <x:c r="P219" s="165" t="str">
        <x:v>誤り。ドザージュは知覚上のバランスを変えるが、酸をすべて除去しない。</x:v>
      </x:c>
      <x:c r="Q219" s="165" t="str">
        <x:v>発泡性ワイン製法</x:v>
      </x:c>
      <x:c r="R219" s="165" t="str">
        <x:v>ドザージュ・バランス</x:v>
      </x:c>
      <x:c r="S219" s="165" t="str">
        <x:v>発泡性ワイン</x:v>
      </x:c>
      <x:c r="T219" s="165"/>
      <x:c r="U219" s="165"/>
      <x:c r="V219" s="165"/>
      <x:c r="W219" s="165" t="str">
        <x:v>因果説明</x:v>
      </x:c>
      <x:c r="X219" s="171" t="str">
        <x:v>D2</x:v>
      </x:c>
      <x:c r="Y219" s="165" t="str">
        <x:v>ドザージュと酸のバランスについて関連要因を主因とみなす; ドザージュと酸のバランスについて関連要因を主因とみなす; ドザージュと酸のバランスについて関連要因を主因とみなす</x:v>
      </x:c>
      <x:c r="Z219" s="171" t="str">
        <x:v>N</x:v>
      </x:c>
      <x:c r="AA219" s="165"/>
      <x:c r="AB219" s="165" t="str">
        <x:v>オリジナル</x:v>
      </x:c>
      <x:c r="AC219" s="165" t="str">
        <x:v>公式Specificationの範囲＋ユーザー作成コーパスの論点と問題設計例を参考に独自作成</x:v>
      </x:c>
      <x:c r="AD219" s="171" t="str">
        <x:v>改稿済み・専門家未承認</x:v>
      </x:c>
      <x:c r="AE219" s="171" t="str">
        <x:v>AI誤答レビュー</x:v>
      </x:c>
      <x:c r="AF219" s="171" t="str">
        <x:v>2026-07-12</x:v>
      </x:c>
      <x:c r="AG219" s="166" t="str">
        <x:v>第5バッチ：使用可能な誤答を維持し、弱い誤答を因果逆転・隣接概念へ置換。正答位置は維持。</x:v>
      </x:c>
    </x:row>
    <x:row r="220" ht="84" customHeight="1">
      <x:c r="A220" s="164" t="str">
        <x:v>LO3-059</x:v>
      </x:c>
      <x:c r="B220" s="171" t="str">
        <x:v>LO3</x:v>
      </x:c>
      <x:c r="C220" s="165" t="str">
        <x:v>世界の主要な発泡性ワイン</x:v>
      </x:c>
      <x:c r="D220" s="165" t="str">
        <x:v>発泡性ワインの栓とミュズレ</x:v>
      </x:c>
      <x:c r="E220" s="165" t="str">
        <x:v>発泡性ワインのコルク栓をミュズレ（ワイヤー留め）で固定する主な理由はどれか。</x:v>
      </x:c>
      <x:c r="F220" s="165" t="str">
        <x:v>ワイヤーが二次発酵の糖を供給する</x:v>
      </x:c>
      <x:c r="G220" s="165" t="str">
        <x:v>ワイヤーからオーク香を抽出する</x:v>
      </x:c>
      <x:c r="H220" s="165" t="str">
        <x:v>高い瓶内圧力で栓が飛び出すのを防ぐ</x:v>
      </x:c>
      <x:c r="I220" s="165" t="str">
        <x:v>栓を外した後に圧力を増やす</x:v>
      </x:c>
      <x:c r="J220" s="171" t="str">
        <x:v>C</x:v>
      </x:c>
      <x:c r="K220" s="165" t="str">
        <x:v>高い瓶内圧力で栓が飛び出すのを防ぐ</x:v>
      </x:c>
      <x:c r="L220" s="165" t="str">
        <x:v>正しい。発泡性ワインは数気圧の圧力を持つため、圧縮した栓をワイヤーで固定して輸送・保管中の安全と密閉性を保つ。</x:v>
      </x:c>
      <x:c r="M220" s="165" t="str">
        <x:v>誤り。糖はティラージュで加え、ワイヤーは栓の固定具である。</x:v>
      </x:c>
      <x:c r="N220" s="165" t="str">
        <x:v>誤り。ミュズレは香味付与のためではない。</x:v>
      </x:c>
      <x:c r="O220" s="165" t="str">
        <x:v>正しい。発泡性ワインは数気圧の圧力を持つため、圧縮した栓をワイヤーで固定して輸送・保管中の安全と密閉性を保つ。</x:v>
      </x:c>
      <x:c r="P220" s="165" t="str">
        <x:v>誤り。目的は開栓前に栓を保持することで、開栓後に圧力を増やさない。</x:v>
      </x:c>
      <x:c r="Q220" s="165" t="str">
        <x:v>包装・サービス</x:v>
      </x:c>
      <x:c r="R220" s="165" t="str">
        <x:v>栓・圧力</x:v>
      </x:c>
      <x:c r="S220" s="165" t="str">
        <x:v>発泡性ワイン</x:v>
      </x:c>
      <x:c r="T220" s="165"/>
      <x:c r="U220" s="165"/>
      <x:c r="V220" s="165"/>
      <x:c r="W220" s="165" t="str">
        <x:v>知識確認</x:v>
      </x:c>
      <x:c r="X220" s="171" t="str">
        <x:v>D1</x:v>
      </x:c>
      <x:c r="Y220" s="165" t="str">
        <x:v>発泡性ワインの栓とミュズレに関する別の特徴・要因と混同; 発泡性ワインの栓とミュズレに関する別の特徴・要因と混同; 発泡性ワインの栓とミュズレに関する別の特徴・要因と混同</x:v>
      </x:c>
      <x:c r="Z220" s="171" t="str">
        <x:v>N</x:v>
      </x:c>
      <x:c r="AA220" s="165"/>
      <x:c r="AB220" s="165" t="str">
        <x:v>オリジナル</x:v>
      </x:c>
      <x:c r="AC220" s="165" t="str">
        <x:v>公式Specificationの範囲＋ユーザー作成コーパスの論点と問題設計例を参考に独自作成</x:v>
      </x:c>
      <x:c r="AD220" s="171" t="str">
        <x:v>改稿済み・専門家未承認</x:v>
      </x:c>
      <x:c r="AE220" s="171" t="str">
        <x:v>AI誤答レビュー</x:v>
      </x:c>
      <x:c r="AF220" s="171" t="str">
        <x:v>2026-07-12</x:v>
      </x:c>
      <x:c r="AG220" s="166" t="str">
        <x:v>最終バッチ：有効な誤答を維持し、絶対語・物理的不可能な誤答のみ置換。正答位置は維持。</x:v>
      </x:c>
    </x:row>
    <x:row r="221" ht="84" customHeight="1">
      <x:c r="A221" s="164" t="str">
        <x:v>LO3-060</x:v>
      </x:c>
      <x:c r="B221" s="171" t="str">
        <x:v>LO3</x:v>
      </x:c>
      <x:c r="C221" s="165" t="str">
        <x:v>世界の主要な発泡性ワイン</x:v>
      </x:c>
      <x:c r="D221" s="165" t="str">
        <x:v>シャンパーニュの品種ブレンド</x:v>
      </x:c>
      <x:c r="E221" s="165" t="str">
        <x:v>シャンパーニュのブレンドにおける主要三品種の役割を、最も適切に説明しているものはどれか。</x:v>
      </x:c>
      <x:c r="F221" s="165" t="str">
        <x:v>シャルドネはボディと赤系果実、ピノ・ノワールは酸と花、ムニエは最も長い熟成力を与える</x:v>
      </x:c>
      <x:c r="G221" s="165" t="str">
        <x:v>シャルドネは早い親しみやすさ、ピノ・ノワールは繊細な柑橘、ムニエは強いタンニンを与える</x:v>
      </x:c>
      <x:c r="H221" s="165" t="str">
        <x:v>シャルドネは酸と繊細さ、ピノ・ノワールは果実味だけ、ムニエは主にオーク香を与える</x:v>
      </x:c>
      <x:c r="I221" s="165" t="str">
        <x:v>シャルドネは酸と繊細さ、ピノ・ノワールはボディと構造、ムニエは果実味と早い親しみやすさを与えやすい</x:v>
      </x:c>
      <x:c r="J221" s="171" t="str">
        <x:v>D</x:v>
      </x:c>
      <x:c r="K221" s="165" t="str">
        <x:v>シャルドネは酸と繊細さ、ピノ・ノワールはボディと構造、ムニエは果実味と早い親しみやすさを与えやすい</x:v>
      </x:c>
      <x:c r="L221" s="165" t="str">
        <x:v>正しい。三品種の代表的な役割を正しく組み合わせている。</x:v>
      </x:c>
      <x:c r="M221" s="165" t="str">
        <x:v>誤り。ボディと赤系果実は主にピノ・ノワール、酸と繊細さはシャルドネ、早い親しみやすさはムニエの役割である。</x:v>
      </x:c>
      <x:c r="N221" s="165" t="str">
        <x:v>誤り。ムニエは強いタンニンではなく果実味を与え、シャルドネは柑橘と酸に寄与する。</x:v>
      </x:c>
      <x:c r="O221" s="165" t="str">
        <x:v>誤り。ピノ・ノワールは果実味だけでなく構造も与え、オーク香はムニエ固有の役割ではない。</x:v>
      </x:c>
      <x:c r="P221" s="165" t="str">
        <x:v>正しい。三品種の代表的な役割を正しく組み合わせている。</x:v>
      </x:c>
      <x:c r="Q221" s="165" t="str">
        <x:v>品種・ブレンド</x:v>
      </x:c>
      <x:c r="R221" s="165" t="str">
        <x:v>シャンパーニュ・品種役割</x:v>
      </x:c>
      <x:c r="S221" s="165" t="str">
        <x:v>発泡性ワイン</x:v>
      </x:c>
      <x:c r="T221" s="165" t="str">
        <x:v>フランス</x:v>
      </x:c>
      <x:c r="U221" s="165" t="str">
        <x:v>シャンパーニュ</x:v>
      </x:c>
      <x:c r="V221" s="165" t="str">
        <x:v>シャルドネ、ピノ・ノワール、ムーニエ</x:v>
      </x:c>
      <x:c r="W221" s="165" t="str">
        <x:v>統合判断</x:v>
      </x:c>
      <x:c r="X221" s="171" t="str">
        <x:v>D3</x:v>
      </x:c>
      <x:c r="Y221" s="165" t="str">
        <x:v>三品種の役割を相互に入れ替える; ムニエを高タンニン品種とみなす; ピノの構造を無視しムニエをオーク香源とする</x:v>
      </x:c>
      <x:c r="Z221" s="171" t="str">
        <x:v>N</x:v>
      </x:c>
      <x:c r="AA221" s="165"/>
      <x:c r="AB221" s="165" t="str">
        <x:v>オリジナル</x:v>
      </x:c>
      <x:c r="AC221" s="165" t="str">
        <x:v>公式Specificationの範囲＋ユーザー作成コーパスの論点と問題設計例を参考に独自作成</x:v>
      </x:c>
      <x:c r="AD221" s="171" t="str">
        <x:v>改稿済み・専門家未承認</x:v>
      </x:c>
      <x:c r="AE221" s="171" t="str">
        <x:v>AI誤答レビュー</x:v>
      </x:c>
      <x:c r="AF221" s="171" t="str">
        <x:v>2026-07-12</x:v>
      </x:c>
      <x:c r="AG221" s="166" t="str">
        <x:v>第2バッチ：誤答を同一論点内の典型的誤概念へ置換。正答位置は維持。</x:v>
      </x:c>
    </x:row>
    <x:row r="222" ht="84" customHeight="1">
      <x:c r="A222" s="164" t="str">
        <x:v>LO4-021</x:v>
      </x:c>
      <x:c r="B222" s="171" t="str">
        <x:v>LO4</x:v>
      </x:c>
      <x:c r="C222" s="165" t="str">
        <x:v>世界の主要な酒精強化ワイン</x:v>
      </x:c>
      <x:c r="D222" s="165" t="str">
        <x:v>トウリガ・ナシオナル</x:v>
      </x:c>
      <x:c r="E222" s="165" t="str">
        <x:v>ポートのブレンドでトウリガ・ナシオナルが貢献しやすい特徴はどれか。</x:v>
      </x:c>
      <x:c r="F222" s="165" t="str">
        <x:v>深い色、高いタンニン、黒系果実と花の香り、長期熟成力</x:v>
      </x:c>
      <x:c r="G222" s="165" t="str">
        <x:v>淡い色、低いタンニン、柔らかな赤系果実を与える早熟品種</x:v>
      </x:c>
      <x:c r="H222" s="165" t="str">
        <x:v>低い色とタンニン、早い成熟、柔らかな赤果実</x:v>
      </x:c>
      <x:c r="I222" s="165" t="str">
        <x:v>白い花と柑橘、高い酸を与える白品種</x:v>
      </x:c>
      <x:c r="J222" s="171" t="str">
        <x:v>A</x:v>
      </x:c>
      <x:c r="K222" s="165" t="str">
        <x:v>深い色、高いタンニン、黒系果実と花の香り、長期熟成力</x:v>
      </x:c>
      <x:c r="L222" s="165" t="str">
        <x:v>正しい。低収量ながら高級ポートの骨格と複雑性を与える。</x:v>
      </x:c>
      <x:c r="M222" s="165" t="str">
        <x:v>正しい。低収量ながら高級ポートの骨格と複雑性を与える。</x:v>
      </x:c>
      <x:c r="N222" s="165" t="str">
        <x:v>誤り。トウリガ・ナシオナルは深い色、高いタンニン、芳香、長期熟成力を持つ。</x:v>
      </x:c>
      <x:c r="O222" s="165" t="str">
        <x:v>誤り。トウリガ・ナシオナルは低収量で構造が強い。</x:v>
      </x:c>
      <x:c r="P222" s="165" t="str">
        <x:v>誤り。黒品種。</x:v>
      </x:c>
      <x:c r="Q222" s="165" t="str">
        <x:v>品種・産地</x:v>
      </x:c>
      <x:c r="R222" s="165" t="str">
        <x:v>ポート主要品種</x:v>
      </x:c>
      <x:c r="S222" s="165" t="str">
        <x:v>酒精強化ワイン</x:v>
      </x:c>
      <x:c r="T222" s="165" t="str">
        <x:v>ポルトガル</x:v>
      </x:c>
      <x:c r="U222" s="165" t="str">
        <x:v>ドウロ</x:v>
      </x:c>
      <x:c r="V222" s="165" t="str">
        <x:v>トウリガ・ナシオナル</x:v>
      </x:c>
      <x:c r="W222" s="165" t="str">
        <x:v>知識確認</x:v>
      </x:c>
      <x:c r="X222" s="171" t="str">
        <x:v>D1</x:v>
      </x:c>
      <x:c r="Y222" s="165" t="str">
        <x:v>トウリガ・ナシオナルを淡色・低タンニン品種と混同; トウリガ・ナシオナルを柔らか低色品種と混同; トウリガ・ナシオナルを白品種と混同</x:v>
      </x:c>
      <x:c r="Z222" s="171" t="str">
        <x:v>N</x:v>
      </x:c>
      <x:c r="AA222" s="165"/>
      <x:c r="AB222" s="165" t="str">
        <x:v>オリジナル</x:v>
      </x:c>
      <x:c r="AC222" s="165" t="str">
        <x:v>公式Specificationの範囲＋ユーザー作成コーパスの論点と問題設計例を参考に独自作成</x:v>
      </x:c>
      <x:c r="AD222" s="171" t="str">
        <x:v>改稿済み・専門家未承認</x:v>
      </x:c>
      <x:c r="AE222" s="171" t="str">
        <x:v>AI誤答レビュー</x:v>
      </x:c>
      <x:c r="AF222" s="171" t="str">
        <x:v>2026-07-12</x:v>
      </x:c>
      <x:c r="AG222" s="166" t="str">
        <x:v>第4バッチ：同一論点内の典型的誤概念へ置換。正答位置は維持。</x:v>
      </x:c>
    </x:row>
    <x:row r="223" ht="84" customHeight="1">
      <x:c r="A223" s="164" t="str">
        <x:v>LO4-022</x:v>
      </x:c>
      <x:c r="B223" s="171" t="str">
        <x:v>LO4</x:v>
      </x:c>
      <x:c r="C223" s="165" t="str">
        <x:v>世界の主要な酒精強化ワイン</x:v>
      </x:c>
      <x:c r="D223" s="165" t="str">
        <x:v>トウリガ・フランカ</x:v>
      </x:c>
      <x:c r="E223" s="165" t="str">
        <x:v>ポートのブレンドでトウリガ・フランカが重要となる理由として最も適切なものはどれか。</x:v>
      </x:c>
      <x:c r="F223" s="165" t="str">
        <x:v>高い酸だけを与え、色と花・果実香にはほとんど寄与しない</x:v>
      </x:c>
      <x:c r="G223" s="165" t="str">
        <x:v>香り高い赤・黒系果実、花、色、比較的安定した収量</x:v>
      </x:c>
      <x:c r="H223" s="165" t="str">
        <x:v>高い酸だけを与え、色と香りはほとんどない</x:v>
      </x:c>
      <x:c r="I223" s="165" t="str">
        <x:v>非常に早熟で低糖度のため、アルコールを下げる</x:v>
      </x:c>
      <x:c r="J223" s="171" t="str">
        <x:v>B</x:v>
      </x:c>
      <x:c r="K223" s="165" t="str">
        <x:v>香り高い赤・黒系果実、花、色、比較的安定した収量</x:v>
      </x:c>
      <x:c r="L223" s="165" t="str">
        <x:v>正しい。栽培しやすく、トウリガ・ナシオナルを補完する重要品種である。</x:v>
      </x:c>
      <x:c r="M223" s="165" t="str">
        <x:v>誤り。トウリガ・フランカは色と芳香、赤・黒系果実を与える重要品種である。</x:v>
      </x:c>
      <x:c r="N223" s="165" t="str">
        <x:v>正しい。栽培しやすく、トウリガ・ナシオナルを補完する重要品種である。</x:v>
      </x:c>
      <x:c r="O223" s="165" t="str">
        <x:v>誤り。色と芳香も重要。</x:v>
      </x:c>
      <x:c r="P223" s="165" t="str">
        <x:v>誤り。温暖地で成熟し、果実と構造を与える。</x:v>
      </x:c>
      <x:c r="Q223" s="165" t="str">
        <x:v>品種・産地</x:v>
      </x:c>
      <x:c r="R223" s="165" t="str">
        <x:v>ポート主要品種</x:v>
      </x:c>
      <x:c r="S223" s="165" t="str">
        <x:v>酒精強化ワイン</x:v>
      </x:c>
      <x:c r="T223" s="165" t="str">
        <x:v>ポルトガル</x:v>
      </x:c>
      <x:c r="U223" s="165" t="str">
        <x:v>ドウロ</x:v>
      </x:c>
      <x:c r="V223" s="165" t="str">
        <x:v>トウリガ・フランカ</x:v>
      </x:c>
      <x:c r="W223" s="165" t="str">
        <x:v>因果説明</x:v>
      </x:c>
      <x:c r="X223" s="171" t="str">
        <x:v>D2</x:v>
      </x:c>
      <x:c r="Y223" s="165" t="str">
        <x:v>トウリガ・フランカを酸だけの品種と混同; トウリガ・フランカは酸だけ; トウリガ・フランカは早熟低糖</x:v>
      </x:c>
      <x:c r="Z223" s="171" t="str">
        <x:v>N</x:v>
      </x:c>
      <x:c r="AA223" s="165"/>
      <x:c r="AB223" s="165" t="str">
        <x:v>オリジナル</x:v>
      </x:c>
      <x:c r="AC223" s="165" t="str">
        <x:v>公式Specificationの範囲＋ユーザー作成コーパスの論点と問題設計例を参考に独自作成</x:v>
      </x:c>
      <x:c r="AD223" s="171" t="str">
        <x:v>改稿済み・専門家未承認</x:v>
      </x:c>
      <x:c r="AE223" s="171" t="str">
        <x:v>AI誤答レビュー</x:v>
      </x:c>
      <x:c r="AF223" s="171" t="str">
        <x:v>2026-07-12</x:v>
      </x:c>
      <x:c r="AG223" s="166" t="str">
        <x:v>第4バッチ：同一論点内の典型的誤概念へ置換。正答位置は維持。</x:v>
      </x:c>
    </x:row>
    <x:row r="224" ht="84" customHeight="1">
      <x:c r="A224" s="164" t="str">
        <x:v>LO4-023</x:v>
      </x:c>
      <x:c r="B224" s="171" t="str">
        <x:v>LO4</x:v>
      </x:c>
      <x:c r="C224" s="165" t="str">
        <x:v>世界の主要な酒精強化ワイン</x:v>
      </x:c>
      <x:c r="D224" s="165" t="str">
        <x:v>ティンタ・ロリス</x:v>
      </x:c>
      <x:c r="E224" s="165" t="str">
        <x:v>ティンタ・ロリスが、ポートのブレンドへ与えやすい特徴はどれか。</x:v>
      </x:c>
      <x:c r="F224" s="165" t="str">
        <x:v>強い花香と非常に高い酸だけを与える</x:v>
      </x:c>
      <x:c r="G224" s="165" t="str">
        <x:v>低い色とタンニンで、ブレンドを軽くする</x:v>
      </x:c>
      <x:c r="H224" s="165" t="str">
        <x:v>熟した赤・黒系果実、ボディ、タンニンによる構造</x:v>
      </x:c>
      <x:c r="I224" s="165" t="str">
        <x:v>強いマスカット香と高い残糖を与える</x:v>
      </x:c>
      <x:c r="J224" s="171" t="str">
        <x:v>C</x:v>
      </x:c>
      <x:c r="K224" s="165" t="str">
        <x:v>熟した赤・黒系果実、ボディ、タンニンによる構造</x:v>
      </x:c>
      <x:c r="L224" s="165" t="str">
        <x:v>正しい。テンプラニーリョ系品種として、熟した果実と骨格を加える。</x:v>
      </x:c>
      <x:c r="M224" s="165" t="str">
        <x:v>誤り。花香と高酸だけの品種ではなく、果実と構造を与える。</x:v>
      </x:c>
      <x:c r="N224" s="165" t="str">
        <x:v>誤り。黒品種で、色・ボディ・タンニンを持つ。</x:v>
      </x:c>
      <x:c r="O224" s="165" t="str">
        <x:v>正しい。テンプラニーリョ系品種として、熟した果実と骨格を加える。</x:v>
      </x:c>
      <x:c r="P224" s="165" t="str">
        <x:v>誤り。芳香性白品種ではなく、残糖を品種自体が与えるわけではない。</x:v>
      </x:c>
      <x:c r="Q224" s="165" t="str">
        <x:v>品種・産地</x:v>
      </x:c>
      <x:c r="R224" s="165" t="str">
        <x:v>ポート主要品種</x:v>
      </x:c>
      <x:c r="S224" s="165" t="str">
        <x:v>酒精強化ワイン</x:v>
      </x:c>
      <x:c r="T224" s="165" t="str">
        <x:v>ポルトガル</x:v>
      </x:c>
      <x:c r="U224" s="165" t="str">
        <x:v>ドウロ</x:v>
      </x:c>
      <x:c r="V224" s="165" t="str">
        <x:v>ティンタ・ロリス</x:v>
      </x:c>
      <x:c r="W224" s="165" t="str">
        <x:v>知識確認</x:v>
      </x:c>
      <x:c r="X224" s="171" t="str">
        <x:v>D1</x:v>
      </x:c>
      <x:c r="Y224" s="165" t="str">
        <x:v>ティンタ・ロリスは花香・高酸だけ; 低色低タンニンで軽量化; マスカット香・高残糖を与える</x:v>
      </x:c>
      <x:c r="Z224" s="171" t="str">
        <x:v>N</x:v>
      </x:c>
      <x:c r="AA224" s="165"/>
      <x:c r="AB224" s="165" t="str">
        <x:v>オリジナル</x:v>
      </x:c>
      <x:c r="AC224" s="165" t="str">
        <x:v>公式Specificationの範囲＋ユーザー作成コーパスの論点と問題設計例を参考に独自作成</x:v>
      </x:c>
      <x:c r="AD224" s="171" t="str">
        <x:v>改稿済み・専門家未承認</x:v>
      </x:c>
      <x:c r="AE224" s="171" t="str">
        <x:v>AI誤答レビュー</x:v>
      </x:c>
      <x:c r="AF224" s="171" t="str">
        <x:v>2026-07-12</x:v>
      </x:c>
      <x:c r="AG224" s="166" t="str">
        <x:v>第3バッチ：同一論点内の典型的誤概念へ置換。正答位置は維持。</x:v>
      </x:c>
    </x:row>
    <x:row r="225" ht="84" customHeight="1">
      <x:c r="A225" s="164" t="str">
        <x:v>LO4-024</x:v>
      </x:c>
      <x:c r="B225" s="171" t="str">
        <x:v>LO4</x:v>
      </x:c>
      <x:c r="C225" s="165" t="str">
        <x:v>世界の主要な酒精強化ワイン</x:v>
      </x:c>
      <x:c r="D225" s="165" t="str">
        <x:v>ポートの品種ブレンド</x:v>
      </x:c>
      <x:c r="E225" s="165" t="str">
        <x:v>複数のポート用黒ブドウ品種をブレンドする主な利点はどれか。</x:v>
      </x:c>
      <x:c r="F225" s="165" t="str">
        <x:v>成熟時期を近づけ、複数品種を同じ日に収穫しやすくする</x:v>
      </x:c>
      <x:c r="G225" s="165" t="str">
        <x:v>各品種の色、酸、タンニン、香りが似ているため、抽出とブレンド判断を単純化できる</x:v>
      </x:c>
      <x:c r="H225" s="165" t="str">
        <x:v>色とタンニンの強い品種を薄い品種で希釈し、軽いスタイルへすることが主な目的</x:v>
      </x:c>
      <x:c r="I225" s="165" t="str">
        <x:v>色、香り、酸、タンニン、成熟時期の違いを組み合わせ、バランスとヴィンテージへの対応力を高める</x:v>
      </x:c>
      <x:c r="J225" s="171" t="str">
        <x:v>D</x:v>
      </x:c>
      <x:c r="K225" s="165" t="str">
        <x:v>色、香り、酸、タンニン、成熟時期の違いを組み合わせ、バランスとヴィンテージへの対応力を高める</x:v>
      </x:c>
      <x:c r="L225" s="165" t="str">
        <x:v>正しい。複数品種の長所を組み合わせ、年ごとの条件にも対応しやすくする。</x:v>
      </x:c>
      <x:c r="M225" s="165" t="str">
        <x:v>誤り。品種ごとの成熟差は残り、同じ収穫日に統一することが目的ではない。</x:v>
      </x:c>
      <x:c r="N225" s="165" t="str">
        <x:v>誤り。品種の成分が異なるからこそ、相互に補完する価値がある。</x:v>
      </x:c>
      <x:c r="O225" s="165" t="str">
        <x:v>誤り。一部のブレンドでは構造を調整するが、主目的は単なる希釈ではなく複雑性と均衡である。</x:v>
      </x:c>
      <x:c r="P225" s="165" t="str">
        <x:v>正しい。複数品種の長所を組み合わせ、年ごとの条件にも対応しやすくする。</x:v>
      </x:c>
      <x:c r="Q225" s="165" t="str">
        <x:v>品種・ブレンド</x:v>
      </x:c>
      <x:c r="R225" s="165" t="str">
        <x:v>複数品種・バランス</x:v>
      </x:c>
      <x:c r="S225" s="165" t="str">
        <x:v>酒精強化ワイン</x:v>
      </x:c>
      <x:c r="T225" s="165" t="str">
        <x:v>ポルトガル</x:v>
      </x:c>
      <x:c r="U225" s="165" t="str">
        <x:v>ドウロ</x:v>
      </x:c>
      <x:c r="V225" s="165"/>
      <x:c r="W225" s="165" t="str">
        <x:v>統合判断</x:v>
      </x:c>
      <x:c r="X225" s="171" t="str">
        <x:v>D2</x:v>
      </x:c>
      <x:c r="Y225" s="165" t="str">
        <x:v>ブレンドで品種の成熟時期が同一になる; ポート品種は成分が似ているからブレンドする; 品種ブレンドの主目的は色とタンニンの希釈</x:v>
      </x:c>
      <x:c r="Z225" s="171" t="str">
        <x:v>N</x:v>
      </x:c>
      <x:c r="AA225" s="165"/>
      <x:c r="AB225" s="165" t="str">
        <x:v>オリジナル</x:v>
      </x:c>
      <x:c r="AC225" s="165" t="str">
        <x:v>公式Specificationの範囲＋ユーザー作成コーパスの論点と問題設計例を参考に独自作成</x:v>
      </x:c>
      <x:c r="AD225" s="171" t="str">
        <x:v>改稿済み・専門家未承認</x:v>
      </x:c>
      <x:c r="AE225" s="171" t="str">
        <x:v>AI誤答レビュー</x:v>
      </x:c>
      <x:c r="AF225" s="171" t="str">
        <x:v>2026-07-12</x:v>
      </x:c>
      <x:c r="AG225" s="166" t="str">
        <x:v>第2バッチ：誤答を同一論点内の典型的誤概念へ置換。正答位置は維持。</x:v>
      </x:c>
    </x:row>
    <x:row r="226" ht="84" customHeight="1">
      <x:c r="A226" s="164" t="str">
        <x:v>LO4-025</x:v>
      </x:c>
      <x:c r="B226" s="171" t="str">
        <x:v>LO4</x:v>
      </x:c>
      <x:c r="C226" s="165" t="str">
        <x:v>世界の主要な酒精強化ワイン</x:v>
      </x:c>
      <x:c r="D226" s="165" t="str">
        <x:v>バイショ・コルゴ</x:v>
      </x:c>
      <x:c r="E226" s="165" t="str">
        <x:v>バイショ・コルゴの気候をドウロ・スペリオールと比較した説明として最も適切なものはどれか。</x:v>
      </x:c>
      <x:c r="F226" s="165" t="str">
        <x:v>バイショ・コルゴはより西で湿潤、ドウロ・スペリオールはより東で暑く乾燥する</x:v>
      </x:c>
      <x:c r="G226" s="165" t="str">
        <x:v>両地域とも同程度に湿潤で、主な違いは標高だけである</x:v>
      </x:c>
      <x:c r="H226" s="165" t="str">
        <x:v>バイショ・コルゴは最も暑く乾燥し、ドウロ・スペリオールは大西洋の影響で湿潤</x:v>
      </x:c>
      <x:c r="I226" s="165" t="str">
        <x:v>両地域の気候は同じで、違いは土壌品種だけ</x:v>
      </x:c>
      <x:c r="J226" s="171" t="str">
        <x:v>A</x:v>
      </x:c>
      <x:c r="K226" s="165" t="str">
        <x:v>バイショ・コルゴはより西で湿潤、ドウロ・スペリオールはより東で暑く乾燥する</x:v>
      </x:c>
      <x:c r="L226" s="165" t="str">
        <x:v>正しい。大西洋影響が西から東へ弱まり、降水が減って暑さが増す。</x:v>
      </x:c>
      <x:c r="M226" s="165" t="str">
        <x:v>正しい。大西洋影響が西から東へ弱まり、降水が減って暑さが増す。</x:v>
      </x:c>
      <x:c r="N226" s="165" t="str">
        <x:v>誤り。西から東へ大西洋の影響が弱まり、降水量と気温に明確な差がある。</x:v>
      </x:c>
      <x:c r="O226" s="165" t="str">
        <x:v>誤り。位置と気候が逆。</x:v>
      </x:c>
      <x:c r="P226" s="165" t="str">
        <x:v>誤り。降水・気温・水不足が大きく異なる。</x:v>
      </x:c>
      <x:c r="Q226" s="165" t="str">
        <x:v>自然要因・産地</x:v>
      </x:c>
      <x:c r="R226" s="165" t="str">
        <x:v>ドウロ小地域・気候</x:v>
      </x:c>
      <x:c r="S226" s="165" t="str">
        <x:v>酒精強化ワイン</x:v>
      </x:c>
      <x:c r="T226" s="165" t="str">
        <x:v>ポルトガル</x:v>
      </x:c>
      <x:c r="U226" s="165" t="str">
        <x:v>ドウロ／バイショ・コルゴ</x:v>
      </x:c>
      <x:c r="V226" s="165"/>
      <x:c r="W226" s="165" t="str">
        <x:v>比較</x:v>
      </x:c>
      <x:c r="X226" s="171" t="str">
        <x:v>D2</x:v>
      </x:c>
      <x:c r="Y226" s="165" t="str">
        <x:v>ドウロ小地域の気候差を標高だけで説明; 二地域の気候を逆転; ドウロ下位地域の気候差はない</x:v>
      </x:c>
      <x:c r="Z226" s="171" t="str">
        <x:v>N</x:v>
      </x:c>
      <x:c r="AA226" s="165"/>
      <x:c r="AB226" s="165" t="str">
        <x:v>オリジナル</x:v>
      </x:c>
      <x:c r="AC226" s="165" t="str">
        <x:v>公式Specificationの範囲＋ユーザー作成コーパスの論点と問題設計例を参考に独自作成</x:v>
      </x:c>
      <x:c r="AD226" s="171" t="str">
        <x:v>改稿済み・専門家未承認</x:v>
      </x:c>
      <x:c r="AE226" s="171" t="str">
        <x:v>AI誤答レビュー</x:v>
      </x:c>
      <x:c r="AF226" s="171" t="str">
        <x:v>2026-07-12</x:v>
      </x:c>
      <x:c r="AG226" s="166" t="str">
        <x:v>第4バッチ：同一論点内の典型的誤概念へ置換。正答位置は維持。</x:v>
      </x:c>
    </x:row>
    <x:row r="227" ht="84" customHeight="1">
      <x:c r="A227" s="164" t="str">
        <x:v>LO4-026</x:v>
      </x:c>
      <x:c r="B227" s="171" t="str">
        <x:v>LO4</x:v>
      </x:c>
      <x:c r="C227" s="165" t="str">
        <x:v>世界の主要な酒精強化ワイン</x:v>
      </x:c>
      <x:c r="D227" s="165" t="str">
        <x:v>シマ・コルゴ</x:v>
      </x:c>
      <x:c r="E227" s="165" t="str">
        <x:v>シマ・コルゴが、上質なヴィンテージ・ポートの重要な供給地となる理由はどれか。</x:v>
      </x:c>
      <x:c r="F227" s="165" t="str">
        <x:v>バイショ・コルゴより湿潤で肥沃なため、高収量の大粒果を得やすい</x:v>
      </x:c>
      <x:c r="G227" s="165" t="str">
        <x:v>十分に温暖で乾燥しながら、極端な暑さがやや緩和され、凝縮した成熟ブドウを得やすい</x:v>
      </x:c>
      <x:c r="H227" s="165" t="str">
        <x:v>ドウロ・スペリオールより常に冷涼で、成熟不足の高酸果実を得る</x:v>
      </x:c>
      <x:c r="I227" s="165" t="str">
        <x:v>平坦な土地が多く、機械収穫による低コストが品質を高める</x:v>
      </x:c>
      <x:c r="J227" s="171" t="str">
        <x:v>B</x:v>
      </x:c>
      <x:c r="K227" s="165" t="str">
        <x:v>十分に温暖で乾燥しながら、極端な暑さがやや緩和され、凝縮した成熟ブドウを得やすい</x:v>
      </x:c>
      <x:c r="L227" s="165" t="str">
        <x:v>正しい。成熟に十分な熱と乾燥を持ちつつ、極端さが比較的抑えられる。</x:v>
      </x:c>
      <x:c r="M227" s="165" t="str">
        <x:v>誤り。高収量・大粒ではなく、低収量の凝縮果が重要である。</x:v>
      </x:c>
      <x:c r="N227" s="165" t="str">
        <x:v>正しい。成熟に十分な熱と乾燥を持ちつつ、極端さが比較的抑えられる。</x:v>
      </x:c>
      <x:c r="O227" s="165" t="str">
        <x:v>誤り。成熟不足の高酸果実がヴィンテージ・ポート品質の主因ではない。</x:v>
      </x:c>
      <x:c r="P227" s="165" t="str">
        <x:v>誤り。急斜面が多く、平坦・低コストが品質理由ではない。</x:v>
      </x:c>
      <x:c r="Q227" s="165" t="str">
        <x:v>自然要因・産地</x:v>
      </x:c>
      <x:c r="R227" s="165" t="str">
        <x:v>ドウロ小地域・品質</x:v>
      </x:c>
      <x:c r="S227" s="165" t="str">
        <x:v>酒精強化ワイン</x:v>
      </x:c>
      <x:c r="T227" s="165" t="str">
        <x:v>ポルトガル</x:v>
      </x:c>
      <x:c r="U227" s="165" t="str">
        <x:v>ドウロ／シマ・コルゴ</x:v>
      </x:c>
      <x:c r="V227" s="165"/>
      <x:c r="W227" s="165" t="str">
        <x:v>統合判断</x:v>
      </x:c>
      <x:c r="X227" s="171" t="str">
        <x:v>D3</x:v>
      </x:c>
      <x:c r="Y227" s="165" t="str">
        <x:v>シマ・コルゴは湿潤肥沃高収量; シマ・コルゴは成熟不足の冷涼地; 平坦・機械化低コストが品質の主因</x:v>
      </x:c>
      <x:c r="Z227" s="171" t="str">
        <x:v>N</x:v>
      </x:c>
      <x:c r="AA227" s="165"/>
      <x:c r="AB227" s="165" t="str">
        <x:v>オリジナル</x:v>
      </x:c>
      <x:c r="AC227" s="165" t="str">
        <x:v>公式Specificationの範囲＋ユーザー作成コーパスの論点と問題設計例を参考に独自作成</x:v>
      </x:c>
      <x:c r="AD227" s="171" t="str">
        <x:v>改稿済み・専門家未承認</x:v>
      </x:c>
      <x:c r="AE227" s="171" t="str">
        <x:v>AI誤答レビュー</x:v>
      </x:c>
      <x:c r="AF227" s="171" t="str">
        <x:v>2026-07-12</x:v>
      </x:c>
      <x:c r="AG227" s="166" t="str">
        <x:v>第3バッチ：同一論点内の典型的誤概念へ置換。正答位置は維持。</x:v>
      </x:c>
    </x:row>
    <x:row r="228" ht="84" customHeight="1">
      <x:c r="A228" s="164" t="str">
        <x:v>LO4-027</x:v>
      </x:c>
      <x:c r="B228" s="171" t="str">
        <x:v>LO4</x:v>
      </x:c>
      <x:c r="C228" s="165" t="str">
        <x:v>世界の主要な酒精強化ワイン</x:v>
      </x:c>
      <x:c r="D228" s="165" t="str">
        <x:v>ドウロ・スペリオール</x:v>
      </x:c>
      <x:c r="E228" s="165" t="str">
        <x:v>ドウロ・スペリオールでブドウ栽培の水分管理が難しくなりやすい主な理由はどれか。</x:v>
      </x:c>
      <x:c r="F228" s="165" t="str">
        <x:v>一年中豪雨で土壌が常に冠水する</x:v>
      </x:c>
      <x:c r="G228" s="165" t="str">
        <x:v>氷河に覆われ、根が水を吸えない</x:v>
      </x:c>
      <x:c r="H228" s="165" t="str">
        <x:v>最も東に位置して暑く乾燥し、降雨が少なく蒸発量が大きい</x:v>
      </x:c>
      <x:c r="I228" s="165" t="str">
        <x:v>大西洋の冷たい霧が一日中畑を覆う</x:v>
      </x:c>
      <x:c r="J228" s="171" t="str">
        <x:v>C</x:v>
      </x:c>
      <x:c r="K228" s="165" t="str">
        <x:v>最も東に位置して暑く乾燥し、降雨が少なく蒸発量が大きい</x:v>
      </x:c>
      <x:c r="L228" s="165" t="str">
        <x:v>正しい。スペイン国境に近い東部は海洋の影響が弱く、極端な高温と乾燥が水不足を招きやすいため、若木などでは灌漑が重要になることがある。</x:v>
      </x:c>
      <x:c r="M228" s="165" t="str">
        <x:v>誤り。ドウロ・スペリオールは最も乾燥した小地域である。</x:v>
      </x:c>
      <x:c r="N228" s="165" t="str">
        <x:v>誤り。温暖で乾燥した地域で、氷河に覆われていない。</x:v>
      </x:c>
      <x:c r="O228" s="165" t="str">
        <x:v>正しい。スペイン国境に近い東部は海洋の影響が弱く、極端な高温と乾燥が水不足を招きやすいため、若木などでは灌漑が重要になることがある。</x:v>
      </x:c>
      <x:c r="P228" s="165" t="str">
        <x:v>誤り。東部は大西洋の影響が弱く、霧が主な問題ではない。</x:v>
      </x:c>
      <x:c r="Q228" s="165" t="str">
        <x:v>自然・人的要因</x:v>
      </x:c>
      <x:c r="R228" s="165" t="str">
        <x:v>乾燥・灌漑</x:v>
      </x:c>
      <x:c r="S228" s="165" t="str">
        <x:v>酒精強化ワイン</x:v>
      </x:c>
      <x:c r="T228" s="165" t="str">
        <x:v>ポルトガル</x:v>
      </x:c>
      <x:c r="U228" s="165" t="str">
        <x:v>ドウロ／ドウロ・スペリオール</x:v>
      </x:c>
      <x:c r="V228" s="165"/>
      <x:c r="W228" s="165" t="str">
        <x:v>因果説明</x:v>
      </x:c>
      <x:c r="X228" s="171" t="str">
        <x:v>D2</x:v>
      </x:c>
      <x:c r="Y228" s="165" t="str">
        <x:v>ドウロ・スペリオールに関する別の特徴・要因と混同; ドウロ・スペリオールに関する別の特徴・要因と混同; ドウロ・スペリオールに関する別の特徴・要因と混同</x:v>
      </x:c>
      <x:c r="Z228" s="171" t="str">
        <x:v>N</x:v>
      </x:c>
      <x:c r="AA228" s="165"/>
      <x:c r="AB228" s="165" t="str">
        <x:v>オリジナル</x:v>
      </x:c>
      <x:c r="AC228" s="165" t="str">
        <x:v>公式Specificationの範囲＋ユーザー作成コーパスの論点と問題設計例を参考に独自作成</x:v>
      </x:c>
      <x:c r="AD228" s="171" t="str">
        <x:v>改稿済み・専門家未承認</x:v>
      </x:c>
      <x:c r="AE228" s="171" t="str">
        <x:v>AI誤答レビュー</x:v>
      </x:c>
      <x:c r="AF228" s="171" t="str">
        <x:v>2026-07-12</x:v>
      </x:c>
      <x:c r="AG228" s="166" t="str">
        <x:v>最終バッチ：有効な誤答を維持し、絶対語・物理的不可能な誤答のみ置換。正答位置は維持。</x:v>
      </x:c>
    </x:row>
    <x:row r="229" ht="84" customHeight="1">
      <x:c r="A229" s="164" t="str">
        <x:v>LO4-028</x:v>
      </x:c>
      <x:c r="B229" s="171" t="str">
        <x:v>LO4</x:v>
      </x:c>
      <x:c r="C229" s="165" t="str">
        <x:v>世界の主要な酒精強化ワイン</x:v>
      </x:c>
      <x:c r="D229" s="165" t="str">
        <x:v>段々畑</x:v>
      </x:c>
      <x:c r="E229" s="165" t="str">
        <x:v>ドウロの急斜面を段々畑にする主な利点と欠点の組み合わせはどれか。</x:v>
      </x:c>
      <x:c r="F229" s="165" t="str">
        <x:v>土壌流出を抑えながら、幅広い段によって大型機械を自由に使用できる</x:v>
      </x:c>
      <x:c r="G229" s="165" t="str">
        <x:v>日照と排水を低下させる一方、肥沃度と収量を大きく高める</x:v>
      </x:c>
      <x:c r="H229" s="165" t="str">
        <x:v>造成費は高いが、完成後は石壁や排水路の維持がほとんど不要になる</x:v>
      </x:c>
      <x:c r="I229" s="165" t="str">
        <x:v>植栽と作業を可能にする一方、造成・維持費が高く、機械化が制限される</x:v>
      </x:c>
      <x:c r="J229" s="171" t="str">
        <x:v>D</x:v>
      </x:c>
      <x:c r="K229" s="165" t="str">
        <x:v>植栽と作業を可能にする一方、造成・維持費が高く、機械化が制限される</x:v>
      </x:c>
      <x:c r="L229" s="165" t="str">
        <x:v>正しい。急斜面を栽培可能にし侵食を管理できる一方、造成・補修・手作業の費用が高く、機械化も制約される。</x:v>
      </x:c>
      <x:c r="M229" s="165" t="str">
        <x:v>誤り。段々畑は侵食を抑え得るが、伝統的な狭い段では大型機械の自由な使用は難しい。</x:v>
      </x:c>
      <x:c r="N229" s="165" t="str">
        <x:v>誤り。良い段々畑は日照と排水を活用するもので、肥沃度と収量を高めることが主目的ではない。</x:v>
      </x:c>
      <x:c r="O229" s="165" t="str">
        <x:v>誤り。石壁、排水路、表土は豪雨や崩落に備えて継続的な維持が必要である。</x:v>
      </x:c>
      <x:c r="P229" s="165" t="str">
        <x:v>正しい。急斜面を栽培可能にし侵食を管理できる一方、造成・補修・手作業の費用が高く、機械化も制約される。</x:v>
      </x:c>
      <x:c r="Q229" s="165" t="str">
        <x:v>人的要因（畑）・商業</x:v>
      </x:c>
      <x:c r="R229" s="165" t="str">
        <x:v>段々畑・生産コスト</x:v>
      </x:c>
      <x:c r="S229" s="165" t="str">
        <x:v>酒精強化ワイン</x:v>
      </x:c>
      <x:c r="T229" s="165" t="str">
        <x:v>ポルトガル</x:v>
      </x:c>
      <x:c r="U229" s="165" t="str">
        <x:v>ドウロ</x:v>
      </x:c>
      <x:c r="V229" s="165"/>
      <x:c r="W229" s="165" t="str">
        <x:v>統合判断</x:v>
      </x:c>
      <x:c r="X229" s="171" t="str">
        <x:v>D3</x:v>
      </x:c>
      <x:c r="Y229" s="165" t="str">
        <x:v>伝統的段々畑は大型機械に有利; 段々畑で肥沃度・収量増加; 造成後は維持不要</x:v>
      </x:c>
      <x:c r="Z229" s="171" t="str">
        <x:v>N</x:v>
      </x:c>
      <x:c r="AA229" s="165"/>
      <x:c r="AB229" s="165" t="str">
        <x:v>オリジナル</x:v>
      </x:c>
      <x:c r="AC229" s="165" t="str">
        <x:v>公式Specificationの範囲＋ユーザー作成コーパスの論点と問題設計例を参考に独自作成</x:v>
      </x:c>
      <x:c r="AD229" s="171" t="str">
        <x:v>改稿済み・専門家未承認</x:v>
      </x:c>
      <x:c r="AE229" s="171" t="str">
        <x:v>AI誤答レビュー</x:v>
      </x:c>
      <x:c r="AF229" s="171" t="str">
        <x:v>2026-07-12</x:v>
      </x:c>
      <x:c r="AG229" s="166" t="str">
        <x:v>誤答を同一論点内の典型的誤概念へ置換。900問本体への反映前に専門家確認推奨。</x:v>
      </x:c>
    </x:row>
    <x:row r="230" ht="84" customHeight="1">
      <x:c r="A230" s="164" t="str">
        <x:v>LO4-029</x:v>
      </x:c>
      <x:c r="B230" s="171" t="str">
        <x:v>LO4</x:v>
      </x:c>
      <x:c r="C230" s="165" t="str">
        <x:v>世界の主要な酒精強化ワイン</x:v>
      </x:c>
      <x:c r="D230" s="165" t="str">
        <x:v>ラガール</x:v>
      </x:c>
      <x:c r="E230" s="165" t="str">
        <x:v>伝統的なラガールで足踏みを行う利点として、最も適切なものはどれか。</x:v>
      </x:c>
      <x:c r="F230" s="165" t="str">
        <x:v>短い発酵時間で、種を過度に砕かずに果皮から色とタンニンを効率よく抽出できる</x:v>
      </x:c>
      <x:c r="G230" s="165" t="str">
        <x:v>果皮接触を減らし、白い果汁を得られる</x:v>
      </x:c>
      <x:c r="H230" s="165" t="str">
        <x:v>発酵温度を低下させ、香りの揮散を防げる</x:v>
      </x:c>
      <x:c r="I230" s="165" t="str">
        <x:v>酒精強化用スピリッツをマストへ均一に混ぜるためだけに行う</x:v>
      </x:c>
      <x:c r="J230" s="171" t="str">
        <x:v>A</x:v>
      </x:c>
      <x:c r="K230" s="165" t="str">
        <x:v>短い発酵時間で、種を過度に砕かずに果皮から色とタンニンを効率よく抽出できる</x:v>
      </x:c>
      <x:c r="L230" s="165" t="str">
        <x:v>正しい。足踏みは穏やかだが広い圧力で強い抽出を得る。</x:v>
      </x:c>
      <x:c r="M230" s="165" t="str">
        <x:v>正しい。足踏みは穏やかだが広い圧力で強い抽出を得る。</x:v>
      </x:c>
      <x:c r="N230" s="165" t="str">
        <x:v>誤り。果皮接触を高める方法で、白い果汁を得る目的ではない。</x:v>
      </x:c>
      <x:c r="O230" s="165" t="str">
        <x:v>誤り。主な利点は抽出で、冷却ではない。</x:v>
      </x:c>
      <x:c r="P230" s="165" t="str">
        <x:v>誤り。強化時の混合にも利用できる場合はあるが、足踏みの主要価値は発酵中の抽出である。</x:v>
      </x:c>
      <x:c r="Q230" s="165" t="str">
        <x:v>酒精強化ワイン製法</x:v>
      </x:c>
      <x:c r="R230" s="165" t="str">
        <x:v>ポート・抽出・ラガール</x:v>
      </x:c>
      <x:c r="S230" s="165" t="str">
        <x:v>酒精強化ワイン</x:v>
      </x:c>
      <x:c r="T230" s="165" t="str">
        <x:v>ポルトガル</x:v>
      </x:c>
      <x:c r="U230" s="165" t="str">
        <x:v>ドウロ</x:v>
      </x:c>
      <x:c r="V230" s="165"/>
      <x:c r="W230" s="165" t="str">
        <x:v>因果説明</x:v>
      </x:c>
      <x:c r="X230" s="171" t="str">
        <x:v>D2</x:v>
      </x:c>
      <x:c r="Y230" s="165" t="str">
        <x:v>ラガール足踏みは果皮接触を減らす; 足踏みは発酵冷却法; 足踏みはスピリッツ混合だけが目的</x:v>
      </x:c>
      <x:c r="Z230" s="171" t="str">
        <x:v>N</x:v>
      </x:c>
      <x:c r="AA230" s="165"/>
      <x:c r="AB230" s="165" t="str">
        <x:v>オリジナル</x:v>
      </x:c>
      <x:c r="AC230" s="165" t="str">
        <x:v>公式Specificationの範囲＋ユーザー作成コーパスの論点と問題設計例を参考に独自作成</x:v>
      </x:c>
      <x:c r="AD230" s="171" t="str">
        <x:v>改稿済み・専門家未承認</x:v>
      </x:c>
      <x:c r="AE230" s="171" t="str">
        <x:v>AI誤答レビュー</x:v>
      </x:c>
      <x:c r="AF230" s="171" t="str">
        <x:v>2026-07-12</x:v>
      </x:c>
      <x:c r="AG230" s="166" t="str">
        <x:v>第3バッチ：同一論点内の典型的誤概念へ置換。正答位置は維持。</x:v>
      </x:c>
    </x:row>
    <x:row r="231" ht="84" customHeight="1">
      <x:c r="A231" s="164" t="str">
        <x:v>LO4-030</x:v>
      </x:c>
      <x:c r="B231" s="171" t="str">
        <x:v>LO4</x:v>
      </x:c>
      <x:c r="C231" s="165" t="str">
        <x:v>世界の主要な酒精強化ワイン</x:v>
      </x:c>
      <x:c r="D231" s="165" t="str">
        <x:v>オートヴィニファイアー</x:v>
      </x:c>
      <x:c r="E231" s="165" t="str">
        <x:v>オートヴィニファイアーがポート生産で抽出を促す仕組みはどれか。</x:v>
      </x:c>
      <x:c r="F231" s="165" t="str">
        <x:v>外部ポンプでマストをキャップ上へ散布する</x:v>
      </x:c>
      <x:c r="G231" s="165" t="str">
        <x:v>発酵で生じる二酸化炭素の圧力を利用し、果汁をキャップ上へ自動循環させる</x:v>
      </x:c>
      <x:c r="H231" s="165" t="str">
        <x:v>機械式の足やピストンで果皮帽を周期的に押し下げる</x:v>
      </x:c>
      <x:c r="I231" s="165" t="str">
        <x:v>機械式の足で果皮を押し下げる</x:v>
      </x:c>
      <x:c r="J231" s="171" t="str">
        <x:v>B</x:v>
      </x:c>
      <x:c r="K231" s="165" t="str">
        <x:v>発酵で生じる二酸化炭素の圧力を利用し、果汁をキャップ上へ自動循環させる</x:v>
      </x:c>
      <x:c r="L231" s="165" t="str">
        <x:v>正しい。発酵ガスを利用して短い発酵中の抽出を促進する。</x:v>
      </x:c>
      <x:c r="M231" s="165" t="str">
        <x:v>誤り。これはポンピング・オーバーで、オートヴィニファイアーは発酵CO2圧を利用する。</x:v>
      </x:c>
      <x:c r="N231" s="165" t="str">
        <x:v>正しい。発酵ガスを利用して短い発酵中の抽出を促進する。</x:v>
      </x:c>
      <x:c r="O231" s="165" t="str">
        <x:v>誤り。これはロボット式ラガールやパンチング・ダウンに近く、発酵ガス圧を使う方式ではない。</x:v>
      </x:c>
      <x:c r="P231" s="165" t="str">
        <x:v>誤り。これはロボット・ラガール等に近い。</x:v>
      </x:c>
      <x:c r="Q231" s="165" t="str">
        <x:v>酒精強化ワイン製法</x:v>
      </x:c>
      <x:c r="R231" s="165" t="str">
        <x:v>ポート・抽出・機械化</x:v>
      </x:c>
      <x:c r="S231" s="165" t="str">
        <x:v>酒精強化ワイン</x:v>
      </x:c>
      <x:c r="T231" s="165" t="str">
        <x:v>ポルトガル</x:v>
      </x:c>
      <x:c r="U231" s="165" t="str">
        <x:v>ドウロ</x:v>
      </x:c>
      <x:c r="V231" s="165"/>
      <x:c r="W231" s="165" t="str">
        <x:v>因果説明</x:v>
      </x:c>
      <x:c r="X231" s="171" t="str">
        <x:v>D2</x:v>
      </x:c>
      <x:c r="Y231" s="165" t="str">
        <x:v>オートヴィニファイアーをポンプオーバーと混同; オートヴィニファイアーを機械式足踏みと混同; オートヴィニファイアーを機械足踏みと混同</x:v>
      </x:c>
      <x:c r="Z231" s="171" t="str">
        <x:v>N</x:v>
      </x:c>
      <x:c r="AA231" s="165"/>
      <x:c r="AB231" s="165" t="str">
        <x:v>オリジナル</x:v>
      </x:c>
      <x:c r="AC231" s="165" t="str">
        <x:v>公式Specificationの範囲＋ユーザー作成コーパスの論点と問題設計例を参考に独自作成</x:v>
      </x:c>
      <x:c r="AD231" s="171" t="str">
        <x:v>改稿済み・専門家未承認</x:v>
      </x:c>
      <x:c r="AE231" s="171" t="str">
        <x:v>AI誤答レビュー</x:v>
      </x:c>
      <x:c r="AF231" s="171" t="str">
        <x:v>2026-07-12</x:v>
      </x:c>
      <x:c r="AG231" s="166" t="str">
        <x:v>第4バッチ：同一論点内の典型的誤概念へ置換。正答位置は維持。</x:v>
      </x:c>
    </x:row>
    <x:row r="232" ht="84" customHeight="1">
      <x:c r="A232" s="164" t="str">
        <x:v>LO4-031</x:v>
      </x:c>
      <x:c r="B232" s="171" t="str">
        <x:v>LO4</x:v>
      </x:c>
      <x:c r="C232" s="165" t="str">
        <x:v>世界の主要な酒精強化ワイン</x:v>
      </x:c>
      <x:c r="D232" s="165" t="str">
        <x:v>酒精強化のタイミング</x:v>
      </x:c>
      <x:c r="E232" s="165" t="str">
        <x:v>同じブドウ果汁から、より甘いポートを造るために最も直接的に調整するものはどれか。</x:v>
      </x:c>
      <x:c r="F232" s="165" t="str">
        <x:v>発酵温度を高くし、糖の消費を速める</x:v>
      </x:c>
      <x:c r="G232" s="165" t="str">
        <x:v>酒精強化後の樽熟成期間を長くする</x:v>
      </x:c>
      <x:c r="H232" s="165" t="str">
        <x:v>発酵のより早い段階で酒精強化し、残る糖を多くする</x:v>
      </x:c>
      <x:c r="I232" s="165" t="str">
        <x:v>果皮浸漬時間を長くし、甘味を抽出する</x:v>
      </x:c>
      <x:c r="J232" s="171" t="str">
        <x:v>C</x:v>
      </x:c>
      <x:c r="K232" s="165" t="str">
        <x:v>発酵のより早い段階で酒精強化し、残る糖を多くする</x:v>
      </x:c>
      <x:c r="L232" s="165" t="str">
        <x:v>正しい。早く酵母を止めるほど、未発酵糖が多く残る。</x:v>
      </x:c>
      <x:c r="M232" s="165" t="str">
        <x:v>誤り。高温で発酵を進めると糖はより消費され、甘味は減る。</x:v>
      </x:c>
      <x:c r="N232" s="165" t="str">
        <x:v>誤り。樽熟成期間は酸化香へ影響するが、残糖の主要決定要因ではない。</x:v>
      </x:c>
      <x:c r="O232" s="165" t="str">
        <x:v>正しい。早く酵母を止めるほど、未発酵糖が多く残る。</x:v>
      </x:c>
      <x:c r="P232" s="165" t="str">
        <x:v>誤り。果皮から糖を抽出して甘味を増やすわけではない。</x:v>
      </x:c>
      <x:c r="Q232" s="165" t="str">
        <x:v>酒精強化ワイン製法</x:v>
      </x:c>
      <x:c r="R232" s="165" t="str">
        <x:v>発酵停止・残糖</x:v>
      </x:c>
      <x:c r="S232" s="165" t="str">
        <x:v>酒精強化ワイン</x:v>
      </x:c>
      <x:c r="T232" s="165" t="str">
        <x:v>ポルトガル</x:v>
      </x:c>
      <x:c r="U232" s="165" t="str">
        <x:v>ドウロ</x:v>
      </x:c>
      <x:c r="V232" s="165"/>
      <x:c r="W232" s="165" t="str">
        <x:v>適用</x:v>
      </x:c>
      <x:c r="X232" s="171" t="str">
        <x:v>D2</x:v>
      </x:c>
      <x:c r="Y232" s="165" t="str">
        <x:v>高温発酵でより甘いポートになる; 樽熟成期間で残糖を決める; 長い果皮浸漬で甘味を抽出する</x:v>
      </x:c>
      <x:c r="Z232" s="171" t="str">
        <x:v>N</x:v>
      </x:c>
      <x:c r="AA232" s="165"/>
      <x:c r="AB232" s="165" t="str">
        <x:v>オリジナル</x:v>
      </x:c>
      <x:c r="AC232" s="165" t="str">
        <x:v>公式Specificationの範囲＋ユーザー作成コーパスの論点と問題設計例を参考に独自作成</x:v>
      </x:c>
      <x:c r="AD232" s="171" t="str">
        <x:v>改稿済み・専門家未承認</x:v>
      </x:c>
      <x:c r="AE232" s="171" t="str">
        <x:v>AI誤答レビュー</x:v>
      </x:c>
      <x:c r="AF232" s="171" t="str">
        <x:v>2026-07-12</x:v>
      </x:c>
      <x:c r="AG232" s="166" t="str">
        <x:v>第3バッチ：同一論点内の典型的誤概念へ置換。正答位置は維持。</x:v>
      </x:c>
    </x:row>
    <x:row r="233" ht="84" customHeight="1">
      <x:c r="A233" s="164" t="str">
        <x:v>LO4-032</x:v>
      </x:c>
      <x:c r="B233" s="171" t="str">
        <x:v>LO4</x:v>
      </x:c>
      <x:c r="C233" s="165" t="str">
        <x:v>世界の主要な酒精強化ワイン</x:v>
      </x:c>
      <x:c r="D233" s="165" t="str">
        <x:v>ポートの酒精</x:v>
      </x:c>
      <x:c r="E233" s="165" t="str">
        <x:v>ポートの酒精強化に用いる蒸留酒に求められる性質として最も適切なものはどれか。</x:v>
      </x:c>
      <x:c r="F233" s="165" t="str">
        <x:v>アルコールを含まず、糖だけを加える</x:v>
      </x:c>
      <x:c r="G233" s="165" t="str">
        <x:v>低いアルコール度を持ち、ブドウ果実の香りを過度に覆わない比較的ニュートラルな性質</x:v>
      </x:c>
      <x:c r="H233" s="165" t="str">
        <x:v>強い香りを持つ蒸留酒を使い、完成ワインへ香味の複雑性を加える</x:v>
      </x:c>
      <x:c r="I233" s="165" t="str">
        <x:v>高いアルコール度を持ち、ブドウ果実の香りを過度に覆わない比較的ニュートラルな性質</x:v>
      </x:c>
      <x:c r="J233" s="171" t="str">
        <x:v>D</x:v>
      </x:c>
      <x:c r="K233" s="165" t="str">
        <x:v>高いアルコール度を持ち、ブドウ果実の香りを過度に覆わない比較的ニュートラルな性質</x:v>
      </x:c>
      <x:c r="L233" s="165" t="str">
        <x:v>正しい。少量で発酵を止め、最終アルコール度を上げる必要があるため、高濃度で清潔、ニュートラルなブドウ由来の蒸留酒が適する。</x:v>
      </x:c>
      <x:c r="M233" s="165" t="str">
        <x:v>誤り。酒精強化にはアルコールを含む蒸留酒が必要である。</x:v>
      </x:c>
      <x:c r="N233" s="165" t="str">
        <x:v>誤り。正答の「高いアルコール」を「低いアルコール」へ置き換えており、アルコールの水準を逆にしている。</x:v>
      </x:c>
      <x:c r="O233" s="165" t="str">
        <x:v>誤り。ポートの果実味を覆わない、比較的ニュートラルなスピリッツが望ましい。</x:v>
      </x:c>
      <x:c r="P233" s="165" t="str">
        <x:v>正しい。少量で発酵を止め、最終アルコール度を上げる必要があるため、高濃度で清潔、ニュートラルなブドウ由来の蒸留酒が適する。</x:v>
      </x:c>
      <x:c r="Q233" s="165" t="str">
        <x:v>酒精強化ワイン製法</x:v>
      </x:c>
      <x:c r="R233" s="165" t="str">
        <x:v>酒精・ニュートラル性</x:v>
      </x:c>
      <x:c r="S233" s="165" t="str">
        <x:v>酒精強化ワイン</x:v>
      </x:c>
      <x:c r="T233" s="165" t="str">
        <x:v>ポルトガル</x:v>
      </x:c>
      <x:c r="U233" s="165" t="str">
        <x:v>ドウロ</x:v>
      </x:c>
      <x:c r="V233" s="165"/>
      <x:c r="W233" s="165" t="str">
        <x:v>知識確認</x:v>
      </x:c>
      <x:c r="X233" s="171" t="str">
        <x:v>D1</x:v>
      </x:c>
      <x:c r="Y233" s="165" t="str">
        <x:v>ポートの酒精について関連要因を主因とみなす; 高いアルコールと低いアルコールを混同; 酒精強化用スピリッツは強い香りほど良い</x:v>
      </x:c>
      <x:c r="Z233" s="171" t="str">
        <x:v>N</x:v>
      </x:c>
      <x:c r="AA233" s="165"/>
      <x:c r="AB233" s="165" t="str">
        <x:v>オリジナル</x:v>
      </x:c>
      <x:c r="AC233" s="165" t="str">
        <x:v>公式Specificationの範囲＋ユーザー作成コーパスの論点と問題設計例を参考に独自作成</x:v>
      </x:c>
      <x:c r="AD233" s="171" t="str">
        <x:v>改稿済み・専門家未承認</x:v>
      </x:c>
      <x:c r="AE233" s="171" t="str">
        <x:v>AI誤答レビュー</x:v>
      </x:c>
      <x:c r="AF233" s="171" t="str">
        <x:v>2026-07-12</x:v>
      </x:c>
      <x:c r="AG233" s="166" t="str">
        <x:v>第5バッチ：使用可能な誤答を維持し、弱い誤答を因果逆転・隣接概念へ置換。正答位置は維持。</x:v>
      </x:c>
    </x:row>
    <x:row r="234" ht="84" customHeight="1">
      <x:c r="A234" s="164" t="str">
        <x:v>LO4-033</x:v>
      </x:c>
      <x:c r="B234" s="171" t="str">
        <x:v>LO4</x:v>
      </x:c>
      <x:c r="C234" s="165" t="str">
        <x:v>世界の主要な酒精強化ワイン</x:v>
      </x:c>
      <x:c r="D234" s="165" t="str">
        <x:v>ルビー・リザーヴ</x:v>
      </x:c>
      <x:c r="E234" s="165" t="str">
        <x:v>ルビー・リザーヴが、基本的なルビー・ポートより豊かなスタイルになりやすい主な理由はどれか。</x:v>
      </x:c>
      <x:c r="F234" s="165" t="str">
        <x:v>より品質の高い、色と果実味の強い複数ロットを選んでブレンドする</x:v>
      </x:c>
      <x:c r="G234" s="165" t="str">
        <x:v>単一収穫年のワインだけを選び、長期瓶熟成してから販売する</x:v>
      </x:c>
      <x:c r="H234" s="165" t="str">
        <x:v>小樽で長期間酸化熟成し、色を淡くしてナッツ香を増やす</x:v>
      </x:c>
      <x:c r="I234" s="165" t="str">
        <x:v>残糖を基本的なルビーより高くすることだけでボディを増す</x:v>
      </x:c>
      <x:c r="J234" s="171" t="str">
        <x:v>A</x:v>
      </x:c>
      <x:c r="K234" s="165" t="str">
        <x:v>より品質の高い、色と果実味の強い複数ロットを選んでブレンドする</x:v>
      </x:c>
      <x:c r="L234" s="165" t="str">
        <x:v>正しい。優良な濃色ロットを選び、果実味と濃度を高める。</x:v>
      </x:c>
      <x:c r="M234" s="165" t="str">
        <x:v>正しい。優良な濃色ロットを選び、果実味と濃度を高める。</x:v>
      </x:c>
      <x:c r="N234" s="165" t="str">
        <x:v>誤り。単一収穫年・長期瓶熟成はヴィンテージ型に近い。</x:v>
      </x:c>
      <x:c r="O234" s="165" t="str">
        <x:v>誤り。長期酸化熟成はトーニー型の特徴である。</x:v>
      </x:c>
      <x:c r="P234" s="165" t="str">
        <x:v>誤り。豊かさは残糖だけでなく、原酒品質とブレンドによる。</x:v>
      </x:c>
      <x:c r="Q234" s="165" t="str">
        <x:v>法律面・スタイル</x:v>
      </x:c>
      <x:c r="R234" s="165" t="str">
        <x:v>ルビー・リザーヴ</x:v>
      </x:c>
      <x:c r="S234" s="165" t="str">
        <x:v>酒精強化ワイン</x:v>
      </x:c>
      <x:c r="T234" s="165" t="str">
        <x:v>ポルトガル</x:v>
      </x:c>
      <x:c r="U234" s="165" t="str">
        <x:v>ポート</x:v>
      </x:c>
      <x:c r="V234" s="165"/>
      <x:c r="W234" s="165" t="str">
        <x:v>比較</x:v>
      </x:c>
      <x:c r="X234" s="171" t="str">
        <x:v>D2</x:v>
      </x:c>
      <x:c r="Y234" s="165" t="str">
        <x:v>ルビー・リザーヴは単一ヴィンテージ瓶熟成型; ルビー・リザーヴは長期酸化樽熟成; 残糖だけでリザーヴの豊かさを作る</x:v>
      </x:c>
      <x:c r="Z234" s="171" t="str">
        <x:v>Y</x:v>
      </x:c>
      <x:c r="AA234" s="165" t="str">
        <x:v>Reserve表示の現行要件と日本語教材での名称表記を最終照合推奨</x:v>
      </x:c>
      <x:c r="AB234" s="165" t="str">
        <x:v>オリジナル</x:v>
      </x:c>
      <x:c r="AC234" s="165" t="str">
        <x:v>公式Specificationの範囲＋ユーザー作成コーパスの論点と問題設計例を参考に独自作成</x:v>
      </x:c>
      <x:c r="AD234" s="171" t="str">
        <x:v>改稿済み・専門家未承認</x:v>
      </x:c>
      <x:c r="AE234" s="171" t="str">
        <x:v>AI誤答レビュー</x:v>
      </x:c>
      <x:c r="AF234" s="171" t="str">
        <x:v>2026-07-12</x:v>
      </x:c>
      <x:c r="AG234" s="166" t="str">
        <x:v>第3バッチ：同一論点内の典型的誤概念へ置換。正答位置は維持。</x:v>
      </x:c>
    </x:row>
    <x:row r="235" ht="84" customHeight="1">
      <x:c r="A235" s="164" t="str">
        <x:v>LO4-034</x:v>
      </x:c>
      <x:c r="B235" s="171" t="str">
        <x:v>LO4</x:v>
      </x:c>
      <x:c r="C235" s="165" t="str">
        <x:v>世界の主要な酒精強化ワイン</x:v>
      </x:c>
      <x:c r="D235" s="165" t="str">
        <x:v>トーニー・リザーヴ</x:v>
      </x:c>
      <x:c r="E235" s="165" t="str">
        <x:v>トーニー・リザーヴをルビー・リザーヴと比較した場合に期待される特徴はどれか。</x:v>
      </x:c>
      <x:c r="F235" s="165" t="str">
        <x:v>濃い紫色と新鮮な黒系果実を保つ、酸素接触の少ないルビー型スタイル</x:v>
      </x:c>
      <x:c r="G235" s="165" t="str">
        <x:v>より淡い色、ナッツやドライフルーツの香り、酸化熟成由来の複雑性</x:v>
      </x:c>
      <x:c r="H235" s="165" t="str">
        <x:v>より濃い紫色と新鮮な黒果実を持ち、酸素接触を避けたスタイル</x:v>
      </x:c>
      <x:c r="I235" s="165" t="str">
        <x:v>単一収穫年を無濾過で瓶詰めし、長期瓶熟成するスタイル</x:v>
      </x:c>
      <x:c r="J235" s="171" t="str">
        <x:v>B</x:v>
      </x:c>
      <x:c r="K235" s="165" t="str">
        <x:v>より淡い色、ナッツやドライフルーツの香り、酸化熟成由来の複雑性</x:v>
      </x:c>
      <x:c r="L235" s="165" t="str">
        <x:v>正しい。木樽で酸素に触れて熟成するため、色が淡くなりナッツ香が発達する。</x:v>
      </x:c>
      <x:c r="M235" s="165" t="str">
        <x:v>誤り。これはルビー・リザーヴの特徴で、トーニー・リザーヴは酸化熟成による淡色とナッツ香を持つ。</x:v>
      </x:c>
      <x:c r="N235" s="165" t="str">
        <x:v>正しい。木樽で酸素に触れて熟成するため、色が淡くなりナッツ香が発達する。</x:v>
      </x:c>
      <x:c r="O235" s="165" t="str">
        <x:v>誤り。これはルビー・リザーヴに近い。</x:v>
      </x:c>
      <x:c r="P235" s="165" t="str">
        <x:v>誤り。これはヴィンテージ型に近い。</x:v>
      </x:c>
      <x:c r="Q235" s="165" t="str">
        <x:v>スタイル・熟成</x:v>
      </x:c>
      <x:c r="R235" s="165" t="str">
        <x:v>トーニー・リザーヴ</x:v>
      </x:c>
      <x:c r="S235" s="165" t="str">
        <x:v>酒精強化ワイン</x:v>
      </x:c>
      <x:c r="T235" s="165" t="str">
        <x:v>ポルトガル</x:v>
      </x:c>
      <x:c r="U235" s="165" t="str">
        <x:v>ポート</x:v>
      </x:c>
      <x:c r="V235" s="165"/>
      <x:c r="W235" s="165" t="str">
        <x:v>比較</x:v>
      </x:c>
      <x:c r="X235" s="171" t="str">
        <x:v>D2</x:v>
      </x:c>
      <x:c r="Y235" s="165" t="str">
        <x:v>トーニー・リザーヴをルビー・リザーヴと混同; トーニー・リザーヴをルビー型と混同; トーニー・リザーヴをヴィンテージ型と混同</x:v>
      </x:c>
      <x:c r="Z235" s="171" t="str">
        <x:v>N</x:v>
      </x:c>
      <x:c r="AA235" s="165"/>
      <x:c r="AB235" s="165" t="str">
        <x:v>オリジナル</x:v>
      </x:c>
      <x:c r="AC235" s="165" t="str">
        <x:v>公式Specificationの範囲＋ユーザー作成コーパスの論点と問題設計例を参考に独自作成</x:v>
      </x:c>
      <x:c r="AD235" s="171" t="str">
        <x:v>改稿済み・専門家未承認</x:v>
      </x:c>
      <x:c r="AE235" s="171" t="str">
        <x:v>AI誤答レビュー</x:v>
      </x:c>
      <x:c r="AF235" s="171" t="str">
        <x:v>2026-07-12</x:v>
      </x:c>
      <x:c r="AG235" s="166" t="str">
        <x:v>第4バッチ：同一論点内の典型的誤概念へ置換。正答位置は維持。</x:v>
      </x:c>
    </x:row>
    <x:row r="236" ht="84" customHeight="1">
      <x:c r="A236" s="164" t="str">
        <x:v>LO4-035</x:v>
      </x:c>
      <x:c r="B236" s="171" t="str">
        <x:v>LO4</x:v>
      </x:c>
      <x:c r="C236" s="165" t="str">
        <x:v>世界の主要な酒精強化ワイン</x:v>
      </x:c>
      <x:c r="D236" s="165" t="str">
        <x:v>無濾過LBV</x:v>
      </x:c>
      <x:c r="E236" s="165" t="str">
        <x:v>無濾過のLBVポートをサービスする際に、濾過済みLBVより注意が必要な点はどれか。</x:v>
      </x:c>
      <x:c r="F236" s="165" t="str">
        <x:v>瓶内で生じた澱を分離するため、デカンティングが必要になることがある</x:v>
      </x:c>
      <x:c r="G236" s="165" t="str">
        <x:v>濾過済みLBVより残糖が高いため、甘味を確認する必要がある</x:v>
      </x:c>
      <x:c r="H236" s="165" t="str">
        <x:v>瓶内で沈殿が生じ得るため、必要に応じてデカンティングする</x:v>
      </x:c>
      <x:c r="I236" s="165" t="str">
        <x:v>開栓後に瓶内二次発酵が再開しやすいため、発泡用ストッパーが必要</x:v>
      </x:c>
      <x:c r="J236" s="171" t="str">
        <x:v>C</x:v>
      </x:c>
      <x:c r="K236" s="165" t="str">
        <x:v>瓶内で沈殿が生じ得るため、必要に応じてデカンティングする</x:v>
      </x:c>
      <x:c r="L236" s="165" t="str">
        <x:v>正しい。無濾過LBVは瓶内で熟成を続け、色素やタンニンが沈殿することがあるため、静置して澱を分けて注ぐ場合がある。</x:v>
      </x:c>
      <x:c r="M236" s="165" t="str">
        <x:v>誤り。正しい注意点である。</x:v>
      </x:c>
      <x:c r="N236" s="165" t="str">
        <x:v>誤り。濾過の有無は主に澱と瓶熟成へ影響し、残糖差が主因ではない。</x:v>
      </x:c>
      <x:c r="O236" s="165" t="str">
        <x:v>正しい。無濾過LBVは瓶内で熟成を続け、色素やタンニンが沈殿することがあるため、静置して澱を分けて注ぐ場合がある。</x:v>
      </x:c>
      <x:c r="P236" s="165" t="str">
        <x:v>誤り。微生物安定化された非発泡性ワインである。</x:v>
      </x:c>
      <x:c r="Q236" s="165" t="str">
        <x:v>法律面・サービス</x:v>
      </x:c>
      <x:c r="R236" s="165" t="str">
        <x:v>LBV・濾過・沈殿</x:v>
      </x:c>
      <x:c r="S236" s="165" t="str">
        <x:v>酒精強化ワイン</x:v>
      </x:c>
      <x:c r="T236" s="165" t="str">
        <x:v>ポルトガル</x:v>
      </x:c>
      <x:c r="U236" s="165" t="str">
        <x:v>ポート</x:v>
      </x:c>
      <x:c r="V236" s="165"/>
      <x:c r="W236" s="165" t="str">
        <x:v>適用</x:v>
      </x:c>
      <x:c r="X236" s="171" t="str">
        <x:v>D2</x:v>
      </x:c>
      <x:c r="Y236" s="165" t="str">
        <x:v>無濾過LBVは高残糖; 無濾過LBVは再発酵しやすい</x:v>
      </x:c>
      <x:c r="Z236" s="171" t="str">
        <x:v>Y</x:v>
      </x:c>
      <x:c r="AA236" s="165" t="str">
        <x:v>濾過済み／無濾過LBVの表示とサービス説明を最新教材で最終照合推奨</x:v>
      </x:c>
      <x:c r="AB236" s="165" t="str">
        <x:v>オリジナル</x:v>
      </x:c>
      <x:c r="AC236" s="165" t="str">
        <x:v>公式Specificationの範囲＋ユーザー作成コーパスの論点と問題設計例を参考に独自作成</x:v>
      </x:c>
      <x:c r="AD236" s="171" t="str">
        <x:v>改稿済み・専門家未承認</x:v>
      </x:c>
      <x:c r="AE236" s="171" t="str">
        <x:v>AI誤答レビュー</x:v>
      </x:c>
      <x:c r="AF236" s="171" t="str">
        <x:v>2026-07-12</x:v>
      </x:c>
      <x:c r="AG236" s="166" t="str">
        <x:v>第4バッチ：同一論点内の典型的誤概念へ置換。正答位置は維持。</x:v>
      </x:c>
    </x:row>
    <x:row r="237" ht="84" customHeight="1">
      <x:c r="A237" s="164" t="str">
        <x:v>LO4-036</x:v>
      </x:c>
      <x:c r="B237" s="171" t="str">
        <x:v>LO4</x:v>
      </x:c>
      <x:c r="C237" s="165" t="str">
        <x:v>世界の主要な酒精強化ワイン</x:v>
      </x:c>
      <x:c r="D237" s="165" t="str">
        <x:v>ヴィンテージ宣言</x:v>
      </x:c>
      <x:c r="E237" s="165" t="str">
        <x:v>ヴィンテージ・ポートが毎年大量に造られるわけではない主な理由はどれか。</x:v>
      </x:c>
      <x:c r="F237" s="165" t="str">
        <x:v>法律でポートの生産が10年に一度だけ許可される</x:v>
      </x:c>
      <x:c r="G237" s="165" t="str">
        <x:v>短期樽熟成に耐える特に高品質な年とロットだけが選ばれ、宣言されるため</x:v>
      </x:c>
      <x:c r="H237" s="165" t="str">
        <x:v>ヴィンテージ・ポートは発泡性で、瓶が不足する</x:v>
      </x:c>
      <x:c r="I237" s="165" t="str">
        <x:v>長期瓶熟成に耐える特に高品質な年とロットだけが選ばれ、宣言されるため</x:v>
      </x:c>
      <x:c r="J237" s="171" t="str">
        <x:v>D</x:v>
      </x:c>
      <x:c r="K237" s="165" t="str">
        <x:v>長期瓶熟成に耐える特に高品質な年とロットだけが選ばれ、宣言されるため</x:v>
      </x:c>
      <x:c r="L237" s="165" t="str">
        <x:v>正しい。優れた成熟度、濃縮度、酸、タンニンを持つ年に、生産者が少量の最上ロットをヴィンテージとして瓶詰めする。</x:v>
      </x:c>
      <x:c r="M237" s="165" t="str">
        <x:v>誤り。固定された周期ではなく、年の品質と生産者の判断による。</x:v>
      </x:c>
      <x:c r="N237" s="165" t="str">
        <x:v>誤り。正答の「長期瓶熟成」を「短期樽熟成」へ置き換えており、熟成経路を混同している。</x:v>
      </x:c>
      <x:c r="O237" s="165" t="str">
        <x:v>誤り。非発泡性の酒精強化ワインで、発泡性であることが生産制限理由ではない。</x:v>
      </x:c>
      <x:c r="P237" s="165" t="str">
        <x:v>正しい。優れた成熟度、濃縮度、酸、タンニンを持つ年に、生産者が少量の最上ロットをヴィンテージとして瓶詰めする。</x:v>
      </x:c>
      <x:c r="Q237" s="165" t="str">
        <x:v>商業面・品質</x:v>
      </x:c>
      <x:c r="R237" s="165" t="str">
        <x:v>ヴィンテージ宣言・選別</x:v>
      </x:c>
      <x:c r="S237" s="165" t="str">
        <x:v>酒精強化ワイン</x:v>
      </x:c>
      <x:c r="T237" s="165" t="str">
        <x:v>ポルトガル</x:v>
      </x:c>
      <x:c r="U237" s="165" t="str">
        <x:v>ポート</x:v>
      </x:c>
      <x:c r="V237" s="165"/>
      <x:c r="W237" s="165" t="str">
        <x:v>統合判断</x:v>
      </x:c>
      <x:c r="X237" s="171" t="str">
        <x:v>D3</x:v>
      </x:c>
      <x:c r="Y237" s="165" t="str">
        <x:v>ヴィンテージ宣言に関する別の特徴・要因と混同; 長期瓶熟成と短期樽熟成を混同; ヴィンテージ宣言に関する別の特徴・要因と混同</x:v>
      </x:c>
      <x:c r="Z237" s="171" t="str">
        <x:v>N</x:v>
      </x:c>
      <x:c r="AA237" s="165"/>
      <x:c r="AB237" s="165" t="str">
        <x:v>オリジナル</x:v>
      </x:c>
      <x:c r="AC237" s="165" t="str">
        <x:v>公式Specificationの範囲＋ユーザー作成コーパスの論点と問題設計例を参考に独自作成</x:v>
      </x:c>
      <x:c r="AD237" s="171" t="str">
        <x:v>改稿済み・専門家未承認</x:v>
      </x:c>
      <x:c r="AE237" s="171" t="str">
        <x:v>AI誤答レビュー</x:v>
      </x:c>
      <x:c r="AF237" s="171" t="str">
        <x:v>2026-07-12</x:v>
      </x:c>
      <x:c r="AG237" s="166" t="str">
        <x:v>最終バッチ：有効な誤答を維持し、絶対語・物理的不可能な誤答のみ置換。正答位置は維持。</x:v>
      </x:c>
    </x:row>
    <x:row r="238" ht="84" customHeight="1">
      <x:c r="A238" s="164" t="str">
        <x:v>LO4-037</x:v>
      </x:c>
      <x:c r="B238" s="171" t="str">
        <x:v>LO4</x:v>
      </x:c>
      <x:c r="C238" s="165" t="str">
        <x:v>世界の主要な酒精強化ワイン</x:v>
      </x:c>
      <x:c r="D238" s="165" t="str">
        <x:v>アルバリサ土壌</x:v>
      </x:c>
      <x:c r="E238" s="165" t="str">
        <x:v>ヘレスのアルバリサ土壌が乾燥した夏のブドウ栽培に適する主な理由はどれか。</x:v>
      </x:c>
      <x:c r="F238" s="165" t="str">
        <x:v>冬の雨を多孔質の白亜質土壌に蓄え、表面を固めて蒸発を抑えられる</x:v>
      </x:c>
      <x:c r="G238" s="165" t="str">
        <x:v>雨水を急速に排出し、夏に根域をほぼ乾燥させるため</x:v>
      </x:c>
      <x:c r="H238" s="165" t="str">
        <x:v>土壌の塩分を果実へ移し、シェリーの塩味を直接作るため</x:v>
      </x:c>
      <x:c r="I238" s="165" t="str">
        <x:v>白亜質土壌が糖を合成し、パロミノの果汁へ供給するため</x:v>
      </x:c>
      <x:c r="J238" s="171" t="str">
        <x:v>A</x:v>
      </x:c>
      <x:c r="K238" s="165" t="str">
        <x:v>冬の雨を多孔質の白亜質土壌に蓄え、表面を固めて蒸発を抑えられる</x:v>
      </x:c>
      <x:c r="L238" s="165" t="str">
        <x:v>正しい。アルバリサは白亜を多く含み、雨季の水を保持して乾季に根へ供給する。表面を耕して土壌に膜を作り、水分損失を減らすこともある。</x:v>
      </x:c>
      <x:c r="M238" s="165" t="str">
        <x:v>正しい。アルバリサは白亜を多く含み、雨季の水を保持して乾季に根へ供給する。表面を耕して土壌に膜を作り、水分損失を減らすこともある。</x:v>
      </x:c>
      <x:c r="N238" s="165" t="str">
        <x:v>誤り。アルバリサは冬の雨を保持し、乾燥した夏に根へ供給することが重要である。</x:v>
      </x:c>
      <x:c r="O238" s="165" t="str">
        <x:v>誤り。塩味を思わせる知覚は熟成や環境に関係し、土壌塩分が果実へ直接移る単純な仕組みではない。</x:v>
      </x:c>
      <x:c r="P238" s="165" t="str">
        <x:v>誤り。糖は葉の光合成で作られ、土壌が糖を生成して果汁へ渡すわけではない。</x:v>
      </x:c>
      <x:c r="Q238" s="165" t="str">
        <x:v>自然要因・産地</x:v>
      </x:c>
      <x:c r="R238" s="165" t="str">
        <x:v>土壌・水分保持</x:v>
      </x:c>
      <x:c r="S238" s="165" t="str">
        <x:v>酒精強化ワイン</x:v>
      </x:c>
      <x:c r="T238" s="165" t="str">
        <x:v>スペイン</x:v>
      </x:c>
      <x:c r="U238" s="165" t="str">
        <x:v>ヘレス</x:v>
      </x:c>
      <x:c r="V238" s="165" t="str">
        <x:v>パロミノ</x:v>
      </x:c>
      <x:c r="W238" s="165" t="str">
        <x:v>因果説明</x:v>
      </x:c>
      <x:c r="X238" s="171" t="str">
        <x:v>D2</x:v>
      </x:c>
      <x:c r="Y238" s="165" t="str">
        <x:v>アルバリサは水を保持せず完全乾燥させる; アルバリサの塩分がワインの塩味へ直接移る; アルバリサ土壌が糖を生成する</x:v>
      </x:c>
      <x:c r="Z238" s="171" t="str">
        <x:v>N</x:v>
      </x:c>
      <x:c r="AA238" s="165"/>
      <x:c r="AB238" s="165" t="str">
        <x:v>オリジナル</x:v>
      </x:c>
      <x:c r="AC238" s="165" t="str">
        <x:v>公式Specificationの範囲＋ユーザー作成コーパスの論点と問題設計例を参考に独自作成</x:v>
      </x:c>
      <x:c r="AD238" s="171" t="str">
        <x:v>改稿済み・専門家未承認</x:v>
      </x:c>
      <x:c r="AE238" s="171" t="str">
        <x:v>AI誤答レビュー</x:v>
      </x:c>
      <x:c r="AF238" s="171" t="str">
        <x:v>2026-07-12</x:v>
      </x:c>
      <x:c r="AG238" s="166" t="str">
        <x:v>最終バッチ：有効な誤答を維持し、絶対語・物理的不可能な誤答のみ置換。正答位置は維持。</x:v>
      </x:c>
    </x:row>
    <x:row r="239" ht="84" customHeight="1">
      <x:c r="A239" s="164" t="str">
        <x:v>LO4-038</x:v>
      </x:c>
      <x:c r="B239" s="171" t="str">
        <x:v>LO4</x:v>
      </x:c>
      <x:c r="C239" s="165" t="str">
        <x:v>世界の主要な酒精強化ワイン</x:v>
      </x:c>
      <x:c r="D239" s="165" t="str">
        <x:v>ヘレスの海洋影響</x:v>
      </x:c>
      <x:c r="E239" s="165" t="str">
        <x:v>ヘレス地域で大西洋からの風がブドウ栽培と熟成に与える重要な影響はどれか。</x:v>
      </x:c>
      <x:c r="F239" s="165" t="str">
        <x:v>乾燥したレバンテが湿度を高め、フロールを厚く維持する</x:v>
      </x:c>
      <x:c r="G239" s="165" t="str">
        <x:v>暑さを和らげ、沿岸部の湿度を高め、フロールの活動を支える</x:v>
      </x:c>
      <x:c r="H239" s="165" t="str">
        <x:v>湿ったポニエンテが果実を乾燥させ、ペドロ・ヒメネスの糖度を高める</x:v>
      </x:c>
      <x:c r="I239" s="165" t="str">
        <x:v>大西洋風がボデガを冷却するが、フロールには低い湿度が必要である</x:v>
      </x:c>
      <x:c r="J239" s="171" t="str">
        <x:v>B</x:v>
      </x:c>
      <x:c r="K239" s="165" t="str">
        <x:v>暑さを和らげ、沿岸部の湿度を高め、フロールの活動を支える</x:v>
      </x:c>
      <x:c r="L239" s="165" t="str">
        <x:v>正しい。大西洋からのポニエンテは暑さを和らげ、湿度を供給し、沿岸の畑とフロール熟成に有利な環境を作る。</x:v>
      </x:c>
      <x:c r="M239" s="165" t="str">
        <x:v>誤り。レバンテは東から吹く暑く乾燥した風で、湿度を高めるのは主にポニエンテである。</x:v>
      </x:c>
      <x:c r="N239" s="165" t="str">
        <x:v>正しい。大西洋からのポニエンテは暑さを和らげ、湿度を供給し、沿岸の畑とフロール熟成に有利な環境を作る。</x:v>
      </x:c>
      <x:c r="O239" s="165" t="str">
        <x:v>誤り。湿ったポニエンテは乾燥を促す風ではなく、PXの天日乾燥には乾燥した条件が必要である。</x:v>
      </x:c>
      <x:c r="P239" s="165" t="str">
        <x:v>誤り。フロールは極端に低い湿度より、温和で比較的湿潤なボデガ環境で活動しやすい。</x:v>
      </x:c>
      <x:c r="Q239" s="165" t="str">
        <x:v>自然要因・産地</x:v>
      </x:c>
      <x:c r="R239" s="165" t="str">
        <x:v>海洋影響・湿度</x:v>
      </x:c>
      <x:c r="S239" s="165" t="str">
        <x:v>酒精強化ワイン</x:v>
      </x:c>
      <x:c r="T239" s="165" t="str">
        <x:v>スペイン</x:v>
      </x:c>
      <x:c r="U239" s="165" t="str">
        <x:v>ヘレス</x:v>
      </x:c>
      <x:c r="V239" s="165"/>
      <x:c r="W239" s="165" t="str">
        <x:v>因果説明</x:v>
      </x:c>
      <x:c r="X239" s="171" t="str">
        <x:v>D2</x:v>
      </x:c>
      <x:c r="Y239" s="165" t="str">
        <x:v>レバンテが湿度供給; ポニエンテが乾燥促進; フロールには低湿度が必要</x:v>
      </x:c>
      <x:c r="Z239" s="171" t="str">
        <x:v>N</x:v>
      </x:c>
      <x:c r="AA239" s="165"/>
      <x:c r="AB239" s="165" t="str">
        <x:v>オリジナル</x:v>
      </x:c>
      <x:c r="AC239" s="165" t="str">
        <x:v>公式Specificationの範囲＋ユーザー作成コーパスの論点と問題設計例を参考に独自作成</x:v>
      </x:c>
      <x:c r="AD239" s="171" t="str">
        <x:v>改稿済み・専門家未承認</x:v>
      </x:c>
      <x:c r="AE239" s="171" t="str">
        <x:v>AI誤答レビュー</x:v>
      </x:c>
      <x:c r="AF239" s="171" t="str">
        <x:v>2026-07-12</x:v>
      </x:c>
      <x:c r="AG239" s="166" t="str">
        <x:v>誤答を同一論点内の典型的誤概念へ置換。900問本体への反映前に専門家確認推奨。</x:v>
      </x:c>
    </x:row>
    <x:row r="240" ht="84" customHeight="1">
      <x:c r="A240" s="164" t="str">
        <x:v>LO4-039</x:v>
      </x:c>
      <x:c r="B240" s="171" t="str">
        <x:v>LO4</x:v>
      </x:c>
      <x:c r="C240" s="165" t="str">
        <x:v>世界の主要な酒精強化ワイン</x:v>
      </x:c>
      <x:c r="D240" s="165" t="str">
        <x:v>パロミノの適性</x:v>
      </x:c>
      <x:c r="E240" s="165" t="str">
        <x:v>パロミノの比較的ニュートラルな香りが辛口シェリーに適する理由はどれか。</x:v>
      </x:c>
      <x:c r="F240" s="165" t="str">
        <x:v>強い花とブドウの品種香が、フロールや酸化熟成香を補うから</x:v>
      </x:c>
      <x:c r="G240" s="165" t="str">
        <x:v>強い品種香がフロールの香りを補い、複雑性を高めるから</x:v>
      </x:c>
      <x:c r="H240" s="165" t="str">
        <x:v>熟成工程の酵母香や酸化香を明確に表現できるから</x:v>
      </x:c>
      <x:c r="I240" s="165" t="str">
        <x:v>高い自然酸が酒精強化後も鋭い酸を保つから</x:v>
      </x:c>
      <x:c r="J240" s="171" t="str">
        <x:v>C</x:v>
      </x:c>
      <x:c r="K240" s="165" t="str">
        <x:v>熟成工程の酵母香や酸化香を明確に表現できるから</x:v>
      </x:c>
      <x:c r="L240" s="165" t="str">
        <x:v>正しい。品種香が控えめなため、フロール、アセトアルデヒド、酸化由来の風味が前面に出る。</x:v>
      </x:c>
      <x:c r="M240" s="165" t="str">
        <x:v>誤り。パロミノは比較的中立的で、品種香を加えるより熟成工程の香りを明確に表す。</x:v>
      </x:c>
      <x:c r="N240" s="165" t="str">
        <x:v>誤り。パロミノは比較的中立的で、熟成香を覆いにくい。</x:v>
      </x:c>
      <x:c r="O240" s="165" t="str">
        <x:v>正しい。品種香が控えめなため、フロール、アセトアルデヒド、酸化由来の風味が前面に出る。</x:v>
      </x:c>
      <x:c r="P240" s="165" t="str">
        <x:v>誤り。パロミノは一般に酸が穏やかで、酸調整を行う場合もある。</x:v>
      </x:c>
      <x:c r="Q240" s="165" t="str">
        <x:v>品種・産地</x:v>
      </x:c>
      <x:c r="R240" s="165" t="str">
        <x:v>パロミノ・熟成表現</x:v>
      </x:c>
      <x:c r="S240" s="165" t="str">
        <x:v>酒精強化ワイン</x:v>
      </x:c>
      <x:c r="T240" s="165" t="str">
        <x:v>スペイン</x:v>
      </x:c>
      <x:c r="U240" s="165" t="str">
        <x:v>ヘレス</x:v>
      </x:c>
      <x:c r="V240" s="165" t="str">
        <x:v>パロミノ</x:v>
      </x:c>
      <x:c r="W240" s="165" t="str">
        <x:v>因果説明</x:v>
      </x:c>
      <x:c r="X240" s="171" t="str">
        <x:v>D2</x:v>
      </x:c>
      <x:c r="Y240" s="165" t="str">
        <x:v>パロミノを強い芳香性品種と混同; パロミノは強い芳香性品種; パロミノは非常に高酸</x:v>
      </x:c>
      <x:c r="Z240" s="171" t="str">
        <x:v>N</x:v>
      </x:c>
      <x:c r="AA240" s="165"/>
      <x:c r="AB240" s="165" t="str">
        <x:v>オリジナル</x:v>
      </x:c>
      <x:c r="AC240" s="165" t="str">
        <x:v>公式Specificationの範囲＋ユーザー作成コーパスの論点と問題設計例を参考に独自作成</x:v>
      </x:c>
      <x:c r="AD240" s="171" t="str">
        <x:v>改稿済み・専門家未承認</x:v>
      </x:c>
      <x:c r="AE240" s="171" t="str">
        <x:v>AI誤答レビュー</x:v>
      </x:c>
      <x:c r="AF240" s="171" t="str">
        <x:v>2026-07-12</x:v>
      </x:c>
      <x:c r="AG240" s="166" t="str">
        <x:v>第4バッチ：同一論点内の典型的誤概念へ置換。正答位置は維持。</x:v>
      </x:c>
    </x:row>
    <x:row r="241" ht="84" customHeight="1">
      <x:c r="A241" s="164" t="str">
        <x:v>LO4-040</x:v>
      </x:c>
      <x:c r="B241" s="171" t="str">
        <x:v>LO4</x:v>
      </x:c>
      <x:c r="C241" s="165" t="str">
        <x:v>世界の主要な酒精強化ワイン</x:v>
      </x:c>
      <x:c r="D241" s="165" t="str">
        <x:v>ベースワインの分類</x:v>
      </x:c>
      <x:c r="E241" s="165" t="str">
        <x:v>辛口シェリーの発酵後にベースワインを分類することが重要な理由はどれか。</x:v>
      </x:c>
      <x:c r="F241" s="165" t="str">
        <x:v>すでに厚いフロールが形成されたロットを、酸化熟成用のオロロソへ振り分けるため</x:v>
      </x:c>
      <x:c r="G241" s="165" t="str">
        <x:v>より力強く色の濃いロットをフィノへ、繊細で淡いロットをオロロソへ振り分けるため</x:v>
      </x:c>
      <x:c r="H241" s="165" t="str">
        <x:v>残糖の高いロットをフィノへ、辛口のロットをオロロソへ振り分けるため</x:v>
      </x:c>
      <x:c r="I241" s="165" t="str">
        <x:v>繊細なワインをフロール熟成へ、より力強いワインを酸化熟成へ振り分けるため</x:v>
      </x:c>
      <x:c r="J241" s="171" t="str">
        <x:v>D</x:v>
      </x:c>
      <x:c r="K241" s="165" t="str">
        <x:v>繊細なワインをフロール熟成へ、より力強いワインを酸化熟成へ振り分けるため</x:v>
      </x:c>
      <x:c r="L241" s="165" t="str">
        <x:v>正しい。試飲と分析により、繊細なロットをフィノ／マンサニーリャ系へ、豊かなロットをオロロソ系へ割り当てる。</x:v>
      </x:c>
      <x:c r="M241" s="165" t="str">
        <x:v>誤り。フロール適性の高い繊細なロットはフィノ系へ向け、オロロソでは高い酒精強化でフロールを防ぐ。</x:v>
      </x:c>
      <x:c r="N241" s="165" t="str">
        <x:v>誤り。分類の方向が逆で、繊細で淡いロットが生物学的熟成、力強いロットが酸化熟成に向く。</x:v>
      </x:c>
      <x:c r="O241" s="165" t="str">
        <x:v>誤り。パロミノのベースワインは通常辛口まで発酵され、残糖の高低でフィノとオロロソを分けるわけではない。</x:v>
      </x:c>
      <x:c r="P241" s="165" t="str">
        <x:v>正しい。試飲と分析により、繊細なロットをフィノ／マンサニーリャ系へ、豊かなロットをオロロソ系へ割り当てる。</x:v>
      </x:c>
      <x:c r="Q241" s="165" t="str">
        <x:v>酒精強化ワイン製法</x:v>
      </x:c>
      <x:c r="R241" s="165" t="str">
        <x:v>シェリー・分類</x:v>
      </x:c>
      <x:c r="S241" s="165" t="str">
        <x:v>酒精強化ワイン</x:v>
      </x:c>
      <x:c r="T241" s="165" t="str">
        <x:v>スペイン</x:v>
      </x:c>
      <x:c r="U241" s="165" t="str">
        <x:v>ヘレス</x:v>
      </x:c>
      <x:c r="V241" s="165"/>
      <x:c r="W241" s="165" t="str">
        <x:v>統合判断</x:v>
      </x:c>
      <x:c r="X241" s="171" t="str">
        <x:v>D3</x:v>
      </x:c>
      <x:c r="Y241" s="165" t="str">
        <x:v>フロール適性ロットをオロロソへ; 繊細・力強いの振分けを逆転; 甘味でフィノ/オロロソ分類</x:v>
      </x:c>
      <x:c r="Z241" s="171" t="str">
        <x:v>N</x:v>
      </x:c>
      <x:c r="AA241" s="165"/>
      <x:c r="AB241" s="165" t="str">
        <x:v>オリジナル</x:v>
      </x:c>
      <x:c r="AC241" s="165" t="str">
        <x:v>公式Specificationの範囲＋ユーザー作成コーパスの論点と問題設計例を参考に独自作成</x:v>
      </x:c>
      <x:c r="AD241" s="171" t="str">
        <x:v>改稿済み・専門家未承認</x:v>
      </x:c>
      <x:c r="AE241" s="171" t="str">
        <x:v>AI誤答レビュー</x:v>
      </x:c>
      <x:c r="AF241" s="171" t="str">
        <x:v>2026-07-12</x:v>
      </x:c>
      <x:c r="AG241" s="166" t="str">
        <x:v>誤答を同一論点内の典型的誤概念へ置換。900問本体への反映前に専門家確認推奨。</x:v>
      </x:c>
    </x:row>
    <x:row r="242" ht="84" customHeight="1">
      <x:c r="A242" s="164" t="str">
        <x:v>LO4-041</x:v>
      </x:c>
      <x:c r="B242" s="171" t="str">
        <x:v>LO4</x:v>
      </x:c>
      <x:c r="C242" s="165" t="str">
        <x:v>世界の主要な酒精強化ワイン</x:v>
      </x:c>
      <x:c r="D242" s="165" t="str">
        <x:v>フロールと樽の空間</x:v>
      </x:c>
      <x:c r="E242" s="165" t="str">
        <x:v>フィノ用の樽を完全に満たさず、上部に空間を残す主な理由はどれか。</x:v>
      </x:c>
      <x:c r="F242" s="165" t="str">
        <x:v>フロールが液面で酸素に触れて成長できるようにする</x:v>
      </x:c>
      <x:c r="G242" s="165" t="str">
        <x:v>果皮を浮かせ、色を抽出するため</x:v>
      </x:c>
      <x:c r="H242" s="165" t="str">
        <x:v>二次発酵の炭酸ガスを閉じ込め、泡を作るため</x:v>
      </x:c>
      <x:c r="I242" s="165" t="str">
        <x:v>ワインを蒸発させ、多くなくすため</x:v>
      </x:c>
      <x:c r="J242" s="171" t="str">
        <x:v>A</x:v>
      </x:c>
      <x:c r="K242" s="165" t="str">
        <x:v>フロールが液面で酸素に触れて成長できるようにする</x:v>
      </x:c>
      <x:c r="L242" s="165" t="str">
        <x:v>正しい。フロール酵母はワイン表面で酸素を利用するため、樽に空間を残し、比較的通気性のある熟成環境を作る。</x:v>
      </x:c>
      <x:c r="M242" s="165" t="str">
        <x:v>正しい。フロール酵母はワイン表面で酸素を利用するため、樽に空間を残し、比較的通気性のある熟成環境を作る。</x:v>
      </x:c>
      <x:c r="N242" s="165" t="str">
        <x:v>誤り。発酵後の白ワイン熟成で、果皮抽出は行わない。</x:v>
      </x:c>
      <x:c r="O242" s="165" t="str">
        <x:v>誤り。樽は密閉せず、フィノは非発泡性である。</x:v>
      </x:c>
      <x:c r="P242" s="165" t="str">
        <x:v>誤り。一定の蒸発はあるが、目的はフロールの成長で、全量を失うことではない。</x:v>
      </x:c>
      <x:c r="Q242" s="165" t="str">
        <x:v>酒精強化ワイン製法</x:v>
      </x:c>
      <x:c r="R242" s="165" t="str">
        <x:v>フロール・酸素</x:v>
      </x:c>
      <x:c r="S242" s="165" t="str">
        <x:v>酒精強化ワイン</x:v>
      </x:c>
      <x:c r="T242" s="165" t="str">
        <x:v>スペイン</x:v>
      </x:c>
      <x:c r="U242" s="165" t="str">
        <x:v>ヘレス</x:v>
      </x:c>
      <x:c r="V242" s="165"/>
      <x:c r="W242" s="165" t="str">
        <x:v>因果説明</x:v>
      </x:c>
      <x:c r="X242" s="171" t="str">
        <x:v>D1</x:v>
      </x:c>
      <x:c r="Y242" s="165" t="str">
        <x:v>フロールと樽の空間について関連要因を主因とみなす; フロールと樽の空間について関連要因を主因とみなす; フロールと樽の空間について関連要因を主因とみなす</x:v>
      </x:c>
      <x:c r="Z242" s="171" t="str">
        <x:v>N</x:v>
      </x:c>
      <x:c r="AA242" s="165"/>
      <x:c r="AB242" s="165" t="str">
        <x:v>オリジナル</x:v>
      </x:c>
      <x:c r="AC242" s="165" t="str">
        <x:v>公式Specificationの範囲＋ユーザー作成コーパスの論点と問題設計例を参考に独自作成</x:v>
      </x:c>
      <x:c r="AD242" s="171" t="str">
        <x:v>改稿済み・専門家未承認</x:v>
      </x:c>
      <x:c r="AE242" s="171" t="str">
        <x:v>AI誤答レビュー</x:v>
      </x:c>
      <x:c r="AF242" s="171" t="str">
        <x:v>2026-07-12</x:v>
      </x:c>
      <x:c r="AG242" s="166" t="str">
        <x:v>第5バッチ：使用可能な誤答を維持し、弱い誤答を因果逆転・隣接概念へ置換。正答位置は維持。</x:v>
      </x:c>
    </x:row>
    <x:row r="243" ht="84" customHeight="1">
      <x:c r="A243" s="164" t="str">
        <x:v>LO4-042</x:v>
      </x:c>
      <x:c r="B243" s="171" t="str">
        <x:v>LO4</x:v>
      </x:c>
      <x:c r="C243" s="165" t="str">
        <x:v>世界の主要な酒精強化ワイン</x:v>
      </x:c>
      <x:c r="D243" s="165" t="str">
        <x:v>フロールとアセトアルデヒド</x:v>
      </x:c>
      <x:c r="E243" s="165" t="str">
        <x:v>フロール熟成によってフィノに生じやすい香りはどれか。</x:v>
      </x:c>
      <x:c r="F243" s="165" t="str">
        <x:v>強い炭酸と泡だけ</x:v>
      </x:c>
      <x:c r="G243" s="165" t="str">
        <x:v>青リンゴ、アーモンド、パン生地を思わせるアセトアルデヒド由来の香り</x:v>
      </x:c>
      <x:c r="H243" s="165" t="str">
        <x:v>湿った段ボールとカビだけ</x:v>
      </x:c>
      <x:c r="I243" s="165" t="str">
        <x:v>濃いジャム、チョコレート、高いタンニンだけ</x:v>
      </x:c>
      <x:c r="J243" s="171" t="str">
        <x:v>B</x:v>
      </x:c>
      <x:c r="K243" s="165" t="str">
        <x:v>青リンゴ、アーモンド、パン生地を思わせるアセトアルデヒド由来の香り</x:v>
      </x:c>
      <x:c r="L243" s="165" t="str">
        <x:v>正しい。フロールの代謝によりアセトアルデヒドが増え、フィノ特有の刺激的で新鮮なリンゴ、アーモンド、酵母系の香りが生まれる。</x:v>
      </x:c>
      <x:c r="M243" s="165" t="str">
        <x:v>誤り。フィノは非発泡性で、フロールが炭酸ガスを保持して泡を作るわけではない。</x:v>
      </x:c>
      <x:c r="N243" s="165" t="str">
        <x:v>正しい。フロールの代謝によりアセトアルデヒドが増え、フィノ特有の刺激的で新鮮なリンゴ、アーモンド、酵母系の香りが生まれる。</x:v>
      </x:c>
      <x:c r="O243" s="165" t="str">
        <x:v>誤り。これはコルク汚染の兆候で、望ましいフロール香ではない。</x:v>
      </x:c>
      <x:c r="P243" s="165" t="str">
        <x:v>誤り。これは温暖地域の濃厚赤ワインに近く、フィノの典型ではない。</x:v>
      </x:c>
      <x:c r="Q243" s="165" t="str">
        <x:v>酒精強化ワイン製法</x:v>
      </x:c>
      <x:c r="R243" s="165" t="str">
        <x:v>フロール・香り</x:v>
      </x:c>
      <x:c r="S243" s="165" t="str">
        <x:v>酒精強化ワイン</x:v>
      </x:c>
      <x:c r="T243" s="165" t="str">
        <x:v>スペイン</x:v>
      </x:c>
      <x:c r="U243" s="165" t="str">
        <x:v>ヘレス</x:v>
      </x:c>
      <x:c r="V243" s="165"/>
      <x:c r="W243" s="165" t="str">
        <x:v>知識確認</x:v>
      </x:c>
      <x:c r="X243" s="171" t="str">
        <x:v>D1</x:v>
      </x:c>
      <x:c r="Y243" s="165" t="str">
        <x:v>フロールとアセトアルデヒドについて関連要因を主因とみなす; フロールとアセトアルデヒドについて関連要因を主因とみなす; フロールとアセトアルデヒドについて関連要因を主因とみなす</x:v>
      </x:c>
      <x:c r="Z243" s="171" t="str">
        <x:v>N</x:v>
      </x:c>
      <x:c r="AA243" s="165"/>
      <x:c r="AB243" s="165" t="str">
        <x:v>オリジナル</x:v>
      </x:c>
      <x:c r="AC243" s="165" t="str">
        <x:v>公式Specificationの範囲＋ユーザー作成コーパスの論点と問題設計例を参考に独自作成</x:v>
      </x:c>
      <x:c r="AD243" s="171" t="str">
        <x:v>改稿済み・専門家未承認</x:v>
      </x:c>
      <x:c r="AE243" s="171" t="str">
        <x:v>AI誤答レビュー</x:v>
      </x:c>
      <x:c r="AF243" s="171" t="str">
        <x:v>2026-07-12</x:v>
      </x:c>
      <x:c r="AG243" s="166" t="str">
        <x:v>第5バッチ：使用可能な誤答を維持し、弱い誤答を因果逆転・隣接概念へ置換。正答位置は維持。</x:v>
      </x:c>
    </x:row>
    <x:row r="244" ht="84" customHeight="1">
      <x:c r="A244" s="164" t="str">
        <x:v>LO4-043</x:v>
      </x:c>
      <x:c r="B244" s="171" t="str">
        <x:v>LO4</x:v>
      </x:c>
      <x:c r="C244" s="165" t="str">
        <x:v>世界の主要な酒精強化ワイン</x:v>
      </x:c>
      <x:c r="D244" s="165" t="str">
        <x:v>生物学的熟成とグリセロール</x:v>
      </x:c>
      <x:c r="E244" s="165" t="str">
        <x:v>長い生物学的熟成がフィノの口当たりを軽く感じさせる理由の一つはどれか。</x:v>
      </x:c>
      <x:c r="F244" s="165" t="str">
        <x:v>フロールがグリセロールを生成し、フィノの粘性を高める</x:v>
      </x:c>
      <x:c r="G244" s="165" t="str">
        <x:v>フロールがグリセロールを生成し、アルコールを減らすため</x:v>
      </x:c>
      <x:c r="H244" s="165" t="str">
        <x:v>フロールがグリセロールを消費し、口当たりの厚みを減らすため</x:v>
      </x:c>
      <x:c r="I244" s="165" t="str">
        <x:v>長期熟成で残糖が減少し、甘味による厚みがなくなるため</x:v>
      </x:c>
      <x:c r="J244" s="171" t="str">
        <x:v>C</x:v>
      </x:c>
      <x:c r="K244" s="165" t="str">
        <x:v>フロールがグリセロールを消費し、口当たりの厚みを減らすため</x:v>
      </x:c>
      <x:c r="L244" s="165" t="str">
        <x:v>正しい。生物学的熟成中にグリセロールが減り、フィノはより軽くドライに感じられる。</x:v>
      </x:c>
      <x:c r="M244" s="165" t="str">
        <x:v>誤り。フロールはグリセロールを消費するため、フィノは軽く感じられる。</x:v>
      </x:c>
      <x:c r="N244" s="165" t="str">
        <x:v>誤り。フロールはグリセロールを消費する。</x:v>
      </x:c>
      <x:c r="O244" s="165" t="str">
        <x:v>正しい。生物学的熟成中にグリセロールが減り、フィノはより軽くドライに感じられる。</x:v>
      </x:c>
      <x:c r="P244" s="165" t="str">
        <x:v>誤り。フィノは元から辛口で、残糖減少が主要因ではない。</x:v>
      </x:c>
      <x:c r="Q244" s="165" t="str">
        <x:v>酒精強化ワイン製法</x:v>
      </x:c>
      <x:c r="R244" s="165" t="str">
        <x:v>フロール・口当たり</x:v>
      </x:c>
      <x:c r="S244" s="165" t="str">
        <x:v>酒精強化ワイン</x:v>
      </x:c>
      <x:c r="T244" s="165" t="str">
        <x:v>スペイン</x:v>
      </x:c>
      <x:c r="U244" s="165" t="str">
        <x:v>ヘレス</x:v>
      </x:c>
      <x:c r="V244" s="165"/>
      <x:c r="W244" s="165" t="str">
        <x:v>因果説明</x:v>
      </x:c>
      <x:c r="X244" s="171" t="str">
        <x:v>D2</x:v>
      </x:c>
      <x:c r="Y244" s="165" t="str">
        <x:v>フロールがグリセロールを生成する; フロールがグリセロールを生成する; フィノの軽さは残糖減少</x:v>
      </x:c>
      <x:c r="Z244" s="171" t="str">
        <x:v>N</x:v>
      </x:c>
      <x:c r="AA244" s="165"/>
      <x:c r="AB244" s="165" t="str">
        <x:v>オリジナル</x:v>
      </x:c>
      <x:c r="AC244" s="165" t="str">
        <x:v>公式Specificationの範囲＋ユーザー作成コーパスの論点と問題設計例を参考に独自作成</x:v>
      </x:c>
      <x:c r="AD244" s="171" t="str">
        <x:v>改稿済み・専門家未承認</x:v>
      </x:c>
      <x:c r="AE244" s="171" t="str">
        <x:v>AI誤答レビュー</x:v>
      </x:c>
      <x:c r="AF244" s="171" t="str">
        <x:v>2026-07-12</x:v>
      </x:c>
      <x:c r="AG244" s="166" t="str">
        <x:v>第4バッチ：同一論点内の典型的誤概念へ置換。正答位置は維持。</x:v>
      </x:c>
    </x:row>
    <x:row r="245" ht="84" customHeight="1">
      <x:c r="A245" s="164" t="str">
        <x:v>LO4-044</x:v>
      </x:c>
      <x:c r="B245" s="171" t="str">
        <x:v>LO4</x:v>
      </x:c>
      <x:c r="C245" s="165" t="str">
        <x:v>世界の主要な酒精強化ワイン</x:v>
      </x:c>
      <x:c r="D245" s="165" t="str">
        <x:v>フィノのスタイル</x:v>
      </x:c>
      <x:c r="E245" s="165" t="str">
        <x:v>若いフィノの典型的な外観と味わいはどれか。</x:v>
      </x:c>
      <x:c r="F245" s="165" t="str">
        <x:v>濃い褐色で非常に甘く、レーズンと糖蜜の風味</x:v>
      </x:c>
      <x:c r="G245" s="165" t="str">
        <x:v>深い紫色で高タンニンの赤ワイン</x:v>
      </x:c>
      <x:c r="H245" s="165" t="str">
        <x:v>強い泡と低アルコールの発泡性ワイン</x:v>
      </x:c>
      <x:c r="I245" s="165" t="str">
        <x:v>淡いレモン色で非常に辛口、軽いボディ、アーモンドやパン生地の風味</x:v>
      </x:c>
      <x:c r="J245" s="171" t="str">
        <x:v>D</x:v>
      </x:c>
      <x:c r="K245" s="165" t="str">
        <x:v>淡いレモン色で非常に辛口、軽いボディ、アーモンドやパン生地の風味</x:v>
      </x:c>
      <x:c r="L245" s="165" t="str">
        <x:v>正しい。フロールが酸化を抑え、生物学的熟成香を与えるため、色は淡く、辛口で繊細なスタイルとなる。</x:v>
      </x:c>
      <x:c r="M245" s="165" t="str">
        <x:v>誤り。これはPXなど濃厚甘口シェリーに近い。</x:v>
      </x:c>
      <x:c r="N245" s="165" t="str">
        <x:v>誤り。フィノはパロミノから造る白系の酒精強化ワインである。</x:v>
      </x:c>
      <x:c r="O245" s="165" t="str">
        <x:v>誤り。フィノは酒精強化された非発泡性ワインである。</x:v>
      </x:c>
      <x:c r="P245" s="165" t="str">
        <x:v>正しい。フロールが酸化を抑え、生物学的熟成香を与えるため、色は淡く、辛口で繊細なスタイルとなる。</x:v>
      </x:c>
      <x:c r="Q245" s="165" t="str">
        <x:v>産地スタイル</x:v>
      </x:c>
      <x:c r="R245" s="165" t="str">
        <x:v>フィノ・官能特徴</x:v>
      </x:c>
      <x:c r="S245" s="165" t="str">
        <x:v>酒精強化ワイン</x:v>
      </x:c>
      <x:c r="T245" s="165" t="str">
        <x:v>スペイン</x:v>
      </x:c>
      <x:c r="U245" s="165" t="str">
        <x:v>ヘレス</x:v>
      </x:c>
      <x:c r="V245" s="165" t="str">
        <x:v>パロミノ</x:v>
      </x:c>
      <x:c r="W245" s="165" t="str">
        <x:v>知識確認</x:v>
      </x:c>
      <x:c r="X245" s="171" t="str">
        <x:v>D1</x:v>
      </x:c>
      <x:c r="Y245" s="165" t="str">
        <x:v>フィノのスタイルに関する別の特徴・要因と混同; フィノのスタイルに関する別の特徴・要因と混同; フィノのスタイルに関する別の特徴・要因と混同</x:v>
      </x:c>
      <x:c r="Z245" s="171" t="str">
        <x:v>N</x:v>
      </x:c>
      <x:c r="AA245" s="165"/>
      <x:c r="AB245" s="165" t="str">
        <x:v>オリジナル</x:v>
      </x:c>
      <x:c r="AC245" s="165" t="str">
        <x:v>公式Specificationの範囲＋ユーザー作成コーパスの論点と問題設計例を参考に独自作成</x:v>
      </x:c>
      <x:c r="AD245" s="171" t="str">
        <x:v>改稿済み・専門家未承認</x:v>
      </x:c>
      <x:c r="AE245" s="171" t="str">
        <x:v>AI誤答レビュー</x:v>
      </x:c>
      <x:c r="AF245" s="171" t="str">
        <x:v>2026-07-12</x:v>
      </x:c>
      <x:c r="AG245" s="166" t="str">
        <x:v>最終バッチ：有効な誤答を維持し、絶対語・物理的不可能な誤答のみ置換。正答位置は維持。</x:v>
      </x:c>
    </x:row>
    <x:row r="246" ht="84" customHeight="1">
      <x:c r="A246" s="164" t="str">
        <x:v>LO4-045</x:v>
      </x:c>
      <x:c r="B246" s="171" t="str">
        <x:v>LO4</x:v>
      </x:c>
      <x:c r="C246" s="165" t="str">
        <x:v>世界の主要な酒精強化ワイン</x:v>
      </x:c>
      <x:c r="D246" s="165" t="str">
        <x:v>オロロソのスタイル</x:v>
      </x:c>
      <x:c r="E246" s="165" t="str">
        <x:v>オロロソが、フィノより濃い色と豊かなボディを持つ主な理由はどれか。</x:v>
      </x:c>
      <x:c r="F246" s="165" t="str">
        <x:v>フロールを形成させず、長期間酸素に触れて酸化熟成する</x:v>
      </x:c>
      <x:c r="G246" s="165" t="str">
        <x:v>フロールがグリセロールを生成し、色素を濃くする</x:v>
      </x:c>
      <x:c r="H246" s="165" t="str">
        <x:v>パロミノを長期間果皮浸漬し、タンニンと色素を抽出する</x:v>
      </x:c>
      <x:c r="I246" s="165" t="str">
        <x:v>発酵途中に酒精強化して高い残糖を残す</x:v>
      </x:c>
      <x:c r="J246" s="171" t="str">
        <x:v>A</x:v>
      </x:c>
      <x:c r="K246" s="165" t="str">
        <x:v>フロールを形成させず、長期間酸素に触れて酸化熟成する</x:v>
      </x:c>
      <x:c r="L246" s="165" t="str">
        <x:v>正しい。酸化と蒸発濃縮により、色・香り・口当たりが豊かになる。</x:v>
      </x:c>
      <x:c r="M246" s="165" t="str">
        <x:v>正しい。酸化と蒸発濃縮により、色・香り・口当たりが豊かになる。</x:v>
      </x:c>
      <x:c r="N246" s="165" t="str">
        <x:v>誤り。フロールはグリセロールを消費し、色を淡く保つ方向に働く。</x:v>
      </x:c>
      <x:c r="O246" s="165" t="str">
        <x:v>誤り。白ブドウパロミノの果皮抽出が主因ではない。</x:v>
      </x:c>
      <x:c r="P246" s="165" t="str">
        <x:v>誤り。自然なオロロソは辛口まで発酵後に酒精強化する。</x:v>
      </x:c>
      <x:c r="Q246" s="165" t="str">
        <x:v>酒精強化ワイン製法</x:v>
      </x:c>
      <x:c r="R246" s="165" t="str">
        <x:v>オロロソ・酸化熟成</x:v>
      </x:c>
      <x:c r="S246" s="165" t="str">
        <x:v>酒精強化ワイン</x:v>
      </x:c>
      <x:c r="T246" s="165" t="str">
        <x:v>スペイン</x:v>
      </x:c>
      <x:c r="U246" s="165" t="str">
        <x:v>ヘレス</x:v>
      </x:c>
      <x:c r="V246" s="165"/>
      <x:c r="W246" s="165" t="str">
        <x:v>因果説明</x:v>
      </x:c>
      <x:c r="X246" s="171" t="str">
        <x:v>D2</x:v>
      </x:c>
      <x:c r="Y246" s="165" t="str">
        <x:v>フロールがグリセロールと濃色を生む; オロロソは長期果皮浸漬で濃色; オロロソは発酵途中強化の甘口</x:v>
      </x:c>
      <x:c r="Z246" s="171" t="str">
        <x:v>N</x:v>
      </x:c>
      <x:c r="AA246" s="165"/>
      <x:c r="AB246" s="165" t="str">
        <x:v>オリジナル</x:v>
      </x:c>
      <x:c r="AC246" s="165" t="str">
        <x:v>公式Specificationの範囲＋ユーザー作成コーパスの論点と問題設計例を参考に独自作成</x:v>
      </x:c>
      <x:c r="AD246" s="171" t="str">
        <x:v>改稿済み・専門家未承認</x:v>
      </x:c>
      <x:c r="AE246" s="171" t="str">
        <x:v>AI誤答レビュー</x:v>
      </x:c>
      <x:c r="AF246" s="171" t="str">
        <x:v>2026-07-12</x:v>
      </x:c>
      <x:c r="AG246" s="166" t="str">
        <x:v>第3バッチ：同一論点内の典型的誤概念へ置換。正答位置は維持。</x:v>
      </x:c>
    </x:row>
    <x:row r="247" ht="84" customHeight="1">
      <x:c r="A247" s="164" t="str">
        <x:v>LO4-046</x:v>
      </x:c>
      <x:c r="B247" s="171" t="str">
        <x:v>LO4</x:v>
      </x:c>
      <x:c r="C247" s="165" t="str">
        <x:v>世界の主要な酒精強化ワイン</x:v>
      </x:c>
      <x:c r="D247" s="165" t="str">
        <x:v>アモンティリャードの複雑性</x:v>
      </x:c>
      <x:c r="E247" s="165" t="str">
        <x:v>アモンティリャードがフィノとオロロソの両方に似た香りを持ち得る理由はどれか。</x:v>
      </x:c>
      <x:c r="F247" s="165" t="str">
        <x:v>最初にフロール下で熟成し、その後還元的熟成へ移るため</x:v>
      </x:c>
      <x:c r="G247" s="165" t="str">
        <x:v>最初にフロール下で熟成し、その後酸化熟成へ移るため</x:v>
      </x:c>
      <x:c r="H247" s="165" t="str">
        <x:v>フィノとオロロソを瓶詰め直前に同量ブレンドするため</x:v>
      </x:c>
      <x:c r="I247" s="165" t="str">
        <x:v>酸化熟成後にフロールを形成し、色を淡く戻すため</x:v>
      </x:c>
      <x:c r="J247" s="171" t="str">
        <x:v>B</x:v>
      </x:c>
      <x:c r="K247" s="165" t="str">
        <x:v>最初にフロール下で熟成し、その後酸化熟成へ移るため</x:v>
      </x:c>
      <x:c r="L247" s="165" t="str">
        <x:v>正しい。フィノ由来のアセトアルデヒド香と、酸化由来のナッツ香を併せ持つ。</x:v>
      </x:c>
      <x:c r="M247" s="165" t="str">
        <x:v>誤り。正答では「酸化熟成」ことが重要であり、この選択肢は「還元的熟成」へ置き換えて関係を逆にしている。</x:v>
      </x:c>
      <x:c r="N247" s="165" t="str">
        <x:v>正しい。フィノ由来のアセトアルデヒド香と、酸化由来のナッツ香を併せ持つ。</x:v>
      </x:c>
      <x:c r="O247" s="165" t="str">
        <x:v>誤り。二つの熟成段階を同じワインが経験する。</x:v>
      </x:c>
      <x:c r="P247" s="165" t="str">
        <x:v>誤り。熟成順序が逆である。</x:v>
      </x:c>
      <x:c r="Q247" s="165" t="str">
        <x:v>酒精強化ワイン製法</x:v>
      </x:c>
      <x:c r="R247" s="165" t="str">
        <x:v>アモンティリャード・二段階熟成</x:v>
      </x:c>
      <x:c r="S247" s="165" t="str">
        <x:v>酒精強化ワイン</x:v>
      </x:c>
      <x:c r="T247" s="165" t="str">
        <x:v>スペイン</x:v>
      </x:c>
      <x:c r="U247" s="165" t="str">
        <x:v>ヘレス</x:v>
      </x:c>
      <x:c r="V247" s="165"/>
      <x:c r="W247" s="165" t="str">
        <x:v>因果説明</x:v>
      </x:c>
      <x:c r="X247" s="171" t="str">
        <x:v>D2</x:v>
      </x:c>
      <x:c r="Y247" s="165" t="str">
        <x:v>「酸化熟成」と「還元的熟成」の関係を逆転; アモンティリャードはフィノとオロロソの単純ブレンド; アモンティリャードは酸化後にフロール</x:v>
      </x:c>
      <x:c r="Z247" s="171" t="str">
        <x:v>N</x:v>
      </x:c>
      <x:c r="AA247" s="165"/>
      <x:c r="AB247" s="165" t="str">
        <x:v>オリジナル</x:v>
      </x:c>
      <x:c r="AC247" s="165" t="str">
        <x:v>公式Specificationの範囲＋ユーザー作成コーパスの論点と問題設計例を参考に独自作成</x:v>
      </x:c>
      <x:c r="AD247" s="171" t="str">
        <x:v>改稿済み・専門家未承認</x:v>
      </x:c>
      <x:c r="AE247" s="171" t="str">
        <x:v>AI誤答レビュー</x:v>
      </x:c>
      <x:c r="AF247" s="171" t="str">
        <x:v>2026-07-12</x:v>
      </x:c>
      <x:c r="AG247" s="166" t="str">
        <x:v>第4バッチ：同一論点内の典型的誤概念へ置換。正答位置は維持。</x:v>
      </x:c>
    </x:row>
    <x:row r="248" ht="84" customHeight="1">
      <x:c r="A248" s="164" t="str">
        <x:v>LO4-047</x:v>
      </x:c>
      <x:c r="B248" s="171" t="str">
        <x:v>LO4</x:v>
      </x:c>
      <x:c r="C248" s="165" t="str">
        <x:v>世界の主要な酒精強化ワイン</x:v>
      </x:c>
      <x:c r="D248" s="165" t="str">
        <x:v>パロ・コルタド</x:v>
      </x:c>
      <x:c r="E248" s="165" t="str">
        <x:v>パロ・コルタドの一般的なスタイルを最も適切に説明しているものはどれか。</x:v>
      </x:c>
      <x:c r="F248" s="165" t="str">
        <x:v>淡色で軽く、フロール下の生物学的熟成だけを行う若い辛口</x:v>
      </x:c>
      <x:c r="G248" s="165" t="str">
        <x:v>フィノより軽く淡色で、酸化熟成を行わない若い辛口</x:v>
      </x:c>
      <x:c r="H248" s="165" t="str">
        <x:v>アモンティリャードのような香りの繊細さと、オロロソのような豊かなボディを持つ辛口</x:v>
      </x:c>
      <x:c r="I248" s="165" t="str">
        <x:v>PXを多く加えた濃厚な甘口シェリー</x:v>
      </x:c>
      <x:c r="J248" s="171" t="str">
        <x:v>C</x:v>
      </x:c>
      <x:c r="K248" s="165" t="str">
        <x:v>アモンティリャードのような香りの繊細さと、オロロソのような豊かなボディを持つ辛口</x:v>
      </x:c>
      <x:c r="L248" s="165" t="str">
        <x:v>正しい。生産経路は多様だが、洗練した香りと豊かな酸化熟成の口当たりで分類される。</x:v>
      </x:c>
      <x:c r="M248" s="165" t="str">
        <x:v>誤り。これはフィノに近く、パロ・コルタドは酸化熟成による豊かなボディを持つ。</x:v>
      </x:c>
      <x:c r="N248" s="165" t="str">
        <x:v>誤り。パロ・コルタドは酸化的で豊かな熟成スタイル。</x:v>
      </x:c>
      <x:c r="O248" s="165" t="str">
        <x:v>正しい。生産経路は多様だが、洗練した香りと豊かな酸化熟成の口当たりで分類される。</x:v>
      </x:c>
      <x:c r="P248" s="165" t="str">
        <x:v>誤り。通常は辛口で、甘味ブレンドが定義ではない。</x:v>
      </x:c>
      <x:c r="Q248" s="165" t="str">
        <x:v>法律面・スタイル</x:v>
      </x:c>
      <x:c r="R248" s="165" t="str">
        <x:v>パロ・コルタド</x:v>
      </x:c>
      <x:c r="S248" s="165" t="str">
        <x:v>酒精強化ワイン</x:v>
      </x:c>
      <x:c r="T248" s="165" t="str">
        <x:v>スペイン</x:v>
      </x:c>
      <x:c r="U248" s="165" t="str">
        <x:v>ヘレス</x:v>
      </x:c>
      <x:c r="V248" s="165"/>
      <x:c r="W248" s="165" t="str">
        <x:v>知識確認</x:v>
      </x:c>
      <x:c r="X248" s="171" t="str">
        <x:v>D2</x:v>
      </x:c>
      <x:c r="Y248" s="165" t="str">
        <x:v>パロ・コルタドを若いフィノ型と混同; パロコルタドを若いフィノ型と混同; パロコルタドをPX甘口と混同</x:v>
      </x:c>
      <x:c r="Z248" s="171" t="str">
        <x:v>Y</x:v>
      </x:c>
      <x:c r="AA248" s="165" t="str">
        <x:v>パロ・コルタドの生産経路は生産者差が大きいため、スタイル中心の表現を教材と最終照合推奨</x:v>
      </x:c>
      <x:c r="AB248" s="165" t="str">
        <x:v>オリジナル</x:v>
      </x:c>
      <x:c r="AC248" s="165" t="str">
        <x:v>公式Specificationの範囲＋ユーザー作成コーパスの論点と問題設計例を参考に独自作成</x:v>
      </x:c>
      <x:c r="AD248" s="171" t="str">
        <x:v>改稿済み・専門家未承認</x:v>
      </x:c>
      <x:c r="AE248" s="171" t="str">
        <x:v>AI誤答レビュー</x:v>
      </x:c>
      <x:c r="AF248" s="171" t="str">
        <x:v>2026-07-12</x:v>
      </x:c>
      <x:c r="AG248" s="166" t="str">
        <x:v>第4バッチ：同一論点内の典型的誤概念へ置換。正答位置は維持。</x:v>
      </x:c>
    </x:row>
    <x:row r="249" ht="84" customHeight="1">
      <x:c r="A249" s="164" t="str">
        <x:v>LO4-048</x:v>
      </x:c>
      <x:c r="B249" s="171" t="str">
        <x:v>LO4</x:v>
      </x:c>
      <x:c r="C249" s="165" t="str">
        <x:v>世界の主要な酒精強化ワイン</x:v>
      </x:c>
      <x:c r="D249" s="165" t="str">
        <x:v>ソレラの平均年齢</x:v>
      </x:c>
      <x:c r="E249" s="165" t="str">
        <x:v>ソレラ・システムで、瓶詰めワインの年齢が単一の収穫年として示されにくい理由はどれか。</x:v>
      </x:c>
      <x:c r="F249" s="165" t="str">
        <x:v>各クリアデラを単一収穫年で管理し、最下段だけを複数年ブレンドにするため</x:v>
      </x:c>
      <x:c r="G249" s="165" t="str">
        <x:v>毎年ほぼ全量の樽を空にし、新酒へ入れ替えるため</x:v>
      </x:c>
      <x:c r="H249" s="165" t="str">
        <x:v>樽ごとの収穫年を記録せず、年齢を推定できないためだけ</x:v>
      </x:c>
      <x:c r="I249" s="165" t="str">
        <x:v>複数年のワインが継続的に混合され、各樽に幅広い年齢の成分が含まれるため</x:v>
      </x:c>
      <x:c r="J249" s="171" t="str">
        <x:v>D</x:v>
      </x:c>
      <x:c r="K249" s="165" t="str">
        <x:v>複数年のワインが継続的に混合され、各樽に幅広い年齢の成分が含まれるため</x:v>
      </x:c>
      <x:c r="L249" s="165" t="str">
        <x:v>正しい。単一ヴィンテージではなく、多数年の成分が段階的に混ざる。</x:v>
      </x:c>
      <x:c r="M249" s="165" t="str">
        <x:v>誤り。ソレラの各段階自体に複数年の成分が混在する。</x:v>
      </x:c>
      <x:c r="N249" s="165" t="str">
        <x:v>誤り。古いワインを一部残して連続性を保つ。</x:v>
      </x:c>
      <x:c r="O249" s="165" t="str">
        <x:v>誤り。記録の問題ではなく、動的ブレンドそのものが理由。</x:v>
      </x:c>
      <x:c r="P249" s="165" t="str">
        <x:v>正しい。単一ヴィンテージではなく、多数年の成分が段階的に混ざる。</x:v>
      </x:c>
      <x:c r="Q249" s="165" t="str">
        <x:v>酒精強化ワイン製法</x:v>
      </x:c>
      <x:c r="R249" s="165" t="str">
        <x:v>ソレラ・年齢</x:v>
      </x:c>
      <x:c r="S249" s="165" t="str">
        <x:v>酒精強化ワイン</x:v>
      </x:c>
      <x:c r="T249" s="165" t="str">
        <x:v>スペイン</x:v>
      </x:c>
      <x:c r="U249" s="165" t="str">
        <x:v>ヘレス</x:v>
      </x:c>
      <x:c r="V249" s="165"/>
      <x:c r="W249" s="165" t="str">
        <x:v>因果説明</x:v>
      </x:c>
      <x:c r="X249" s="171" t="str">
        <x:v>D2</x:v>
      </x:c>
      <x:c r="Y249" s="165" t="str">
        <x:v>クリアデラは単一ヴィンテージ; ソレラは毎年全量交換; ソレラ年齢不明は記録不足だけ</x:v>
      </x:c>
      <x:c r="Z249" s="171" t="str">
        <x:v>N</x:v>
      </x:c>
      <x:c r="AA249" s="165"/>
      <x:c r="AB249" s="165" t="str">
        <x:v>オリジナル</x:v>
      </x:c>
      <x:c r="AC249" s="165" t="str">
        <x:v>公式Specificationの範囲＋ユーザー作成コーパスの論点と問題設計例を参考に独自作成</x:v>
      </x:c>
      <x:c r="AD249" s="171" t="str">
        <x:v>改稿済み・専門家未承認</x:v>
      </x:c>
      <x:c r="AE249" s="171" t="str">
        <x:v>AI誤答レビュー</x:v>
      </x:c>
      <x:c r="AF249" s="171" t="str">
        <x:v>2026-07-12</x:v>
      </x:c>
      <x:c r="AG249" s="166" t="str">
        <x:v>第4バッチ：同一論点内の典型的誤概念へ置換。正答位置は維持。</x:v>
      </x:c>
    </x:row>
    <x:row r="250" ht="84" customHeight="1">
      <x:c r="A250" s="164" t="str">
        <x:v>LO4-049</x:v>
      </x:c>
      <x:c r="B250" s="171" t="str">
        <x:v>LO4</x:v>
      </x:c>
      <x:c r="C250" s="165" t="str">
        <x:v>世界の主要な酒精強化ワイン</x:v>
      </x:c>
      <x:c r="D250" s="165" t="str">
        <x:v>クリアデラ</x:v>
      </x:c>
      <x:c r="E250" s="165" t="str">
        <x:v>ソレラ・システムでクリアデラの若いワインを段階的に加える効果はどれか。</x:v>
      </x:c>
      <x:c r="F250" s="165" t="str">
        <x:v>若いワインが古いワインと混ざり、平均年齢とハウス・スタイルを保ちながら栄養を補う</x:v>
      </x:c>
      <x:c r="G250" s="165" t="str">
        <x:v>若いワインで古いワインを希釈し、平均年齢を毎年大きく下げる</x:v>
      </x:c>
      <x:c r="H250" s="165" t="str">
        <x:v>若いワインが最古のワインを押し出し、各樽を単一ヴィンテージへ戻す</x:v>
      </x:c>
      <x:c r="I250" s="165" t="str">
        <x:v>補充するたびに残糖を高め、甘口シェリーへ変える</x:v>
      </x:c>
      <x:c r="J250" s="171" t="str">
        <x:v>A</x:v>
      </x:c>
      <x:c r="K250" s="165" t="str">
        <x:v>若いワインが古いワインと混ざり、平均年齢とハウス・スタイルを保ちながら栄養を補う</x:v>
      </x:c>
      <x:c r="L250" s="165" t="str">
        <x:v>正しい。段階的な補充で年差をならし、フロールや熟成システムを維持する。</x:v>
      </x:c>
      <x:c r="M250" s="165" t="str">
        <x:v>正しい。段階的な補充で年差をならし、フロールや熟成システムを維持する。</x:v>
      </x:c>
      <x:c r="N250" s="165" t="str">
        <x:v>誤り。段階的な少量補充で、平均年齢とハウス・スタイルを安定させる。</x:v>
      </x:c>
      <x:c r="O250" s="165" t="str">
        <x:v>誤り。混合を続け、単一ヴィンテージにはならない。</x:v>
      </x:c>
      <x:c r="P250" s="165" t="str">
        <x:v>誤り。辛口ソレラでは辛口ワインを補充する。</x:v>
      </x:c>
      <x:c r="Q250" s="165" t="str">
        <x:v>酒精強化ワイン製法</x:v>
      </x:c>
      <x:c r="R250" s="165" t="str">
        <x:v>ソレラ・クリアデラ</x:v>
      </x:c>
      <x:c r="S250" s="165" t="str">
        <x:v>酒精強化ワイン</x:v>
      </x:c>
      <x:c r="T250" s="165" t="str">
        <x:v>スペイン</x:v>
      </x:c>
      <x:c r="U250" s="165" t="str">
        <x:v>ヘレス</x:v>
      </x:c>
      <x:c r="V250" s="165"/>
      <x:c r="W250" s="165" t="str">
        <x:v>因果説明</x:v>
      </x:c>
      <x:c r="X250" s="171" t="str">
        <x:v>D2</x:v>
      </x:c>
      <x:c r="Y250" s="165" t="str">
        <x:v>クリアデラ補充は平均年齢を大きく下げる; クリアデラ補充で単一ヴィンテージ化; クリアデラ補充で甘口化</x:v>
      </x:c>
      <x:c r="Z250" s="171" t="str">
        <x:v>N</x:v>
      </x:c>
      <x:c r="AA250" s="165"/>
      <x:c r="AB250" s="165" t="str">
        <x:v>オリジナル</x:v>
      </x:c>
      <x:c r="AC250" s="165" t="str">
        <x:v>公式Specificationの範囲＋ユーザー作成コーパスの論点と問題設計例を参考に独自作成</x:v>
      </x:c>
      <x:c r="AD250" s="171" t="str">
        <x:v>改稿済み・専門家未承認</x:v>
      </x:c>
      <x:c r="AE250" s="171" t="str">
        <x:v>AI誤答レビュー</x:v>
      </x:c>
      <x:c r="AF250" s="171" t="str">
        <x:v>2026-07-12</x:v>
      </x:c>
      <x:c r="AG250" s="166" t="str">
        <x:v>第4バッチ：同一論点内の典型的誤概念へ置換。正答位置は維持。</x:v>
      </x:c>
    </x:row>
    <x:row r="251" ht="84" customHeight="1">
      <x:c r="A251" s="164" t="str">
        <x:v>LO4-050</x:v>
      </x:c>
      <x:c r="B251" s="171" t="str">
        <x:v>LO4</x:v>
      </x:c>
      <x:c r="C251" s="165" t="str">
        <x:v>世界の主要な酒精強化ワイン</x:v>
      </x:c>
      <x:c r="D251" s="165" t="str">
        <x:v>PXの圧搾</x:v>
      </x:c>
      <x:c r="E251" s="165" t="str">
        <x:v>天日乾燥したペドロ・ヒメネスを圧搾する際に生じやすい課題はどれか。</x:v>
      </x:c>
      <x:c r="F251" s="165" t="str">
        <x:v>果汁が水のように薄く、糖度が低すぎる</x:v>
      </x:c>
      <x:c r="G251" s="165" t="str">
        <x:v>果汁が非常に粘性が高く量も少ないため、圧搾と発酵が難しい</x:v>
      </x:c>
      <x:c r="H251" s="165" t="str">
        <x:v>果皮がなくなり、圧搾機が不要になる</x:v>
      </x:c>
      <x:c r="I251" s="165" t="str">
        <x:v>二次発酵が自然に起こり、強い泡が生じる</x:v>
      </x:c>
      <x:c r="J251" s="171" t="str">
        <x:v>B</x:v>
      </x:c>
      <x:c r="K251" s="165" t="str">
        <x:v>果汁が非常に粘性が高く量も少ないため、圧搾と発酵が難しい</x:v>
      </x:c>
      <x:c r="L251" s="165" t="str">
        <x:v>正しい。水分を失った果粒は糖度が極めて高く、濃い果汁が少量しか得られず、酵母も高糖度環境で働きにくい。</x:v>
      </x:c>
      <x:c r="M251" s="165" t="str">
        <x:v>誤り。天日乾燥で糖と風味が濃縮し、説明が逆である。</x:v>
      </x:c>
      <x:c r="N251" s="165" t="str">
        <x:v>正しい。水分を失った果粒は糖度が極めて高く、濃い果汁が少量しか得られず、酵母も高糖度環境で働きにくい。</x:v>
      </x:c>
      <x:c r="O251" s="165" t="str">
        <x:v>誤り。乾燥後も果皮と固形物があり、圧搾が必要である。</x:v>
      </x:c>
      <x:c r="P251" s="165" t="str">
        <x:v>誤り。PXは濃厚な非発泡性甘口シェリーである。</x:v>
      </x:c>
      <x:c r="Q251" s="165" t="str">
        <x:v>酒精強化ワイン製法</x:v>
      </x:c>
      <x:c r="R251" s="165" t="str">
        <x:v>PX・乾燥・圧搾</x:v>
      </x:c>
      <x:c r="S251" s="165" t="str">
        <x:v>酒精強化ワイン</x:v>
      </x:c>
      <x:c r="T251" s="165" t="str">
        <x:v>スペイン</x:v>
      </x:c>
      <x:c r="U251" s="165" t="str">
        <x:v>ヘレス</x:v>
      </x:c>
      <x:c r="V251" s="165" t="str">
        <x:v>ペドロ・ヒメネス</x:v>
      </x:c>
      <x:c r="W251" s="165" t="str">
        <x:v>因果説明</x:v>
      </x:c>
      <x:c r="X251" s="171" t="str">
        <x:v>D2</x:v>
      </x:c>
      <x:c r="Y251" s="165" t="str">
        <x:v>PXの圧搾に関する別の特徴・要因と混同; PXの圧搾に関する別の特徴・要因と混同; PXの圧搾に関する別の特徴・要因と混同</x:v>
      </x:c>
      <x:c r="Z251" s="171" t="str">
        <x:v>N</x:v>
      </x:c>
      <x:c r="AA251" s="165"/>
      <x:c r="AB251" s="165" t="str">
        <x:v>オリジナル</x:v>
      </x:c>
      <x:c r="AC251" s="165" t="str">
        <x:v>公式Specificationの範囲＋ユーザー作成コーパスの論点と問題設計例を参考に独自作成</x:v>
      </x:c>
      <x:c r="AD251" s="171" t="str">
        <x:v>改稿済み・専門家未承認</x:v>
      </x:c>
      <x:c r="AE251" s="171" t="str">
        <x:v>AI誤答レビュー</x:v>
      </x:c>
      <x:c r="AF251" s="171" t="str">
        <x:v>2026-07-12</x:v>
      </x:c>
      <x:c r="AG251" s="166" t="str">
        <x:v>最終バッチ：有効な誤答を維持し、絶対語・物理的不可能な誤答のみ置換。正答位置は維持。</x:v>
      </x:c>
    </x:row>
    <x:row r="252" ht="84" customHeight="1">
      <x:c r="A252" s="164" t="str">
        <x:v>LO4-051</x:v>
      </x:c>
      <x:c r="B252" s="171" t="str">
        <x:v>LO4</x:v>
      </x:c>
      <x:c r="C252" s="165" t="str">
        <x:v>世界の主要な酒精強化ワイン</x:v>
      </x:c>
      <x:c r="D252" s="165" t="str">
        <x:v>ミディアムとクリーム</x:v>
      </x:c>
      <x:c r="E252" s="165" t="str">
        <x:v>ミディアム・シェリーとクリーム・シェリーの一般的な違いとして最も適切なものはどれか。</x:v>
      </x:c>
      <x:c r="F252" s="165" t="str">
        <x:v>ミディアムとクリームは同じオロロソを基礎とし、違いは残糖量だけである</x:v>
      </x:c>
      <x:c r="G252" s="165" t="str">
        <x:v>ミディアムは辛口で、クリームだけが甘味を持つ</x:v>
      </x:c>
      <x:c r="H252" s="165" t="str">
        <x:v>ミディアムはアモンティリャード等を基礎に比較的軽く、クリームはオロロソを基礎により豊か</x:v>
      </x:c>
      <x:c r="I252" s="165" t="str">
        <x:v>ミディアムはPX単一、クリームはモスカテル単一で造る</x:v>
      </x:c>
      <x:c r="J252" s="171" t="str">
        <x:v>C</x:v>
      </x:c>
      <x:c r="K252" s="165" t="str">
        <x:v>ミディアムはアモンティリャード等を基礎に比較的軽く、クリームはオロロソを基礎により豊か</x:v>
      </x:c>
      <x:c r="L252" s="165" t="str">
        <x:v>正しい。基礎となる辛口シェリーの熟成経路が、色とボディの差を生む。</x:v>
      </x:c>
      <x:c r="M252" s="165" t="str">
        <x:v>誤り。ミディアムはアモンティリャードなど比較的軽い辛口シェリー、クリームはオロロソを基礎とすることが多く、差は残糖だけではない。</x:v>
      </x:c>
      <x:c r="N252" s="165" t="str">
        <x:v>誤り。ミディアムにも甘味がある。</x:v>
      </x:c>
      <x:c r="O252" s="165" t="str">
        <x:v>正しい。基礎となる辛口シェリーの熟成経路が、色とボディの差を生む。</x:v>
      </x:c>
      <x:c r="P252" s="165" t="str">
        <x:v>誤り。いずれも辛口シェリーへ甘味を加えるブレンド型が一般的。</x:v>
      </x:c>
      <x:c r="Q252" s="165" t="str">
        <x:v>法律面・スタイル</x:v>
      </x:c>
      <x:c r="R252" s="165" t="str">
        <x:v>甘口調整シェリー</x:v>
      </x:c>
      <x:c r="S252" s="165" t="str">
        <x:v>酒精強化ワイン</x:v>
      </x:c>
      <x:c r="T252" s="165" t="str">
        <x:v>スペイン</x:v>
      </x:c>
      <x:c r="U252" s="165" t="str">
        <x:v>ヘレス</x:v>
      </x:c>
      <x:c r="V252" s="165"/>
      <x:c r="W252" s="165" t="str">
        <x:v>比較</x:v>
      </x:c>
      <x:c r="X252" s="171" t="str">
        <x:v>D3</x:v>
      </x:c>
      <x:c r="Y252" s="165" t="str">
        <x:v>ミディアムとクリームの差は残糖量だけ; ミディアムは辛口; MediumとCreamを甘口品種単一と混同</x:v>
      </x:c>
      <x:c r="Z252" s="171" t="str">
        <x:v>Y</x:v>
      </x:c>
      <x:c r="AA252" s="165" t="str">
        <x:v>Medium／Creamの甘味調整方法と表示区分を最新教材・規定と照合推奨</x:v>
      </x:c>
      <x:c r="AB252" s="165" t="str">
        <x:v>オリジナル</x:v>
      </x:c>
      <x:c r="AC252" s="165" t="str">
        <x:v>公式Specificationの範囲＋ユーザー作成コーパスの論点と問題設計例を参考に独自作成</x:v>
      </x:c>
      <x:c r="AD252" s="171" t="str">
        <x:v>改稿済み・専門家未承認</x:v>
      </x:c>
      <x:c r="AE252" s="171" t="str">
        <x:v>AI誤答レビュー</x:v>
      </x:c>
      <x:c r="AF252" s="171" t="str">
        <x:v>2026-07-12</x:v>
      </x:c>
      <x:c r="AG252" s="166" t="str">
        <x:v>第4バッチ：同一論点内の典型的誤概念へ置換。正答位置は維持。</x:v>
      </x:c>
    </x:row>
    <x:row r="253" ht="84" customHeight="1">
      <x:c r="A253" s="164" t="str">
        <x:v>LO4-052</x:v>
      </x:c>
      <x:c r="B253" s="171" t="str">
        <x:v>LO4</x:v>
      </x:c>
      <x:c r="C253" s="165" t="str">
        <x:v>世界の主要な酒精強化ワイン</x:v>
      </x:c>
      <x:c r="D253" s="165" t="str">
        <x:v>マンサニーリャの原産地</x:v>
      </x:c>
      <x:c r="E253" s="165" t="str">
        <x:v>マンサニーリャの名称を使用できる辛口シェリーが熟成される場所はどこか。</x:v>
      </x:c>
      <x:c r="F253" s="165" t="str">
        <x:v>ドウロ・スペリオール</x:v>
      </x:c>
      <x:c r="G253" s="165" t="str">
        <x:v>ラザグレン</x:v>
      </x:c>
      <x:c r="H253" s="165" t="str">
        <x:v>シャンパーニュ</x:v>
      </x:c>
      <x:c r="I253" s="165" t="str">
        <x:v>サンルーカル・デ・バラメダ</x:v>
      </x:c>
      <x:c r="J253" s="171" t="str">
        <x:v>D</x:v>
      </x:c>
      <x:c r="K253" s="165" t="str">
        <x:v>サンルーカル・デ・バラメダ</x:v>
      </x:c>
      <x:c r="L253" s="165" t="str">
        <x:v>正しい。マンサニーリャはサンルーカル・デ・バラメダでフロール下に熟成される生物学的熟成の辛口シェリーである。</x:v>
      </x:c>
      <x:c r="M253" s="165" t="str">
        <x:v>誤り。ドウロはポートの産地で、マンサニーリャの熟成地ではない。</x:v>
      </x:c>
      <x:c r="N253" s="165" t="str">
        <x:v>誤り。ラザグレンはオーストラリアの酒精強化マスカットで知られる。</x:v>
      </x:c>
      <x:c r="O253" s="165" t="str">
        <x:v>誤り。シャンパーニュはフランスの発泡性ワイン産地である。</x:v>
      </x:c>
      <x:c r="P253" s="165" t="str">
        <x:v>正しい。マンサニーリャはサンルーカル・デ・バラメダでフロール下に熟成される生物学的熟成の辛口シェリーである。</x:v>
      </x:c>
      <x:c r="Q253" s="165" t="str">
        <x:v>法律面・産地</x:v>
      </x:c>
      <x:c r="R253" s="165" t="str">
        <x:v>マンサニーリャ・原産地</x:v>
      </x:c>
      <x:c r="S253" s="165" t="str">
        <x:v>酒精強化ワイン</x:v>
      </x:c>
      <x:c r="T253" s="165" t="str">
        <x:v>スペイン</x:v>
      </x:c>
      <x:c r="U253" s="165" t="str">
        <x:v>サンルーカル・デ・バラメダ</x:v>
      </x:c>
      <x:c r="V253" s="165" t="str">
        <x:v>パロミノ</x:v>
      </x:c>
      <x:c r="W253" s="165" t="str">
        <x:v>知識確認</x:v>
      </x:c>
      <x:c r="X253" s="171" t="str">
        <x:v>D1</x:v>
      </x:c>
      <x:c r="Y253" s="165" t="str">
        <x:v>マンサニーリャの原産地に関する別の特徴・要因と混同; マンサニーリャの原産地に関する別の特徴・要因と混同; マンサニーリャの原産地に関する別の特徴・要因と混同</x:v>
      </x:c>
      <x:c r="Z253" s="171" t="str">
        <x:v>Y</x:v>
      </x:c>
      <x:c r="AA253" s="165" t="str">
        <x:v>Manzanillaの原産地表示に関する現行規定を最終照合推奨</x:v>
      </x:c>
      <x:c r="AB253" s="165" t="str">
        <x:v>オリジナル</x:v>
      </x:c>
      <x:c r="AC253" s="165" t="str">
        <x:v>公式Specificationの範囲＋ユーザー作成コーパスの論点と問題設計例を参考に独自作成</x:v>
      </x:c>
      <x:c r="AD253" s="171" t="str">
        <x:v>改稿済み・専門家未承認</x:v>
      </x:c>
      <x:c r="AE253" s="171" t="str">
        <x:v>AI誤答レビュー</x:v>
      </x:c>
      <x:c r="AF253" s="171" t="str">
        <x:v>2026-07-12</x:v>
      </x:c>
      <x:c r="AG253" s="166" t="str">
        <x:v>最終バッチ：有効な誤答を維持し、絶対語・物理的不可能な誤答のみ置換。正答位置は維持。</x:v>
      </x:c>
    </x:row>
    <x:row r="254" ht="84" customHeight="1">
      <x:c r="A254" s="164" t="str">
        <x:v>LO4-053</x:v>
      </x:c>
      <x:c r="B254" s="171" t="str">
        <x:v>LO4</x:v>
      </x:c>
      <x:c r="C254" s="165" t="str">
        <x:v>世界の主要な酒精強化ワイン</x:v>
      </x:c>
      <x:c r="D254" s="165" t="str">
        <x:v>マスカットの品種香</x:v>
      </x:c>
      <x:c r="E254" s="165" t="str">
        <x:v>酒精強化マスカットに、ブドウ、花、オレンジの皮を思わせる強い香りが残りやすい理由はどれか。</x:v>
      </x:c>
      <x:c r="F254" s="165" t="str">
        <x:v>マスカット自体が強い一次香を持ち、早期の酒精強化でその香りを保てる</x:v>
      </x:c>
      <x:c r="G254" s="165" t="str">
        <x:v>フロールがマスカット香を作る</x:v>
      </x:c>
      <x:c r="H254" s="165" t="str">
        <x:v>長い果皮浸漬で黒い色とタンニンを抽出する</x:v>
      </x:c>
      <x:c r="I254" s="165" t="str">
        <x:v>炭酸ガス注入で花の香りを作る</x:v>
      </x:c>
      <x:c r="J254" s="171" t="str">
        <x:v>A</x:v>
      </x:c>
      <x:c r="K254" s="165" t="str">
        <x:v>マスカット自体が強い一次香を持ち、早期の酒精強化でその香りを保てる</x:v>
      </x:c>
      <x:c r="L254" s="165" t="str">
        <x:v>正しい。マスカットはテルペン系の強い品種香を持ち、発酵を早く止めることで残糖と新鮮な芳香を保持しやすい。</x:v>
      </x:c>
      <x:c r="M254" s="165" t="str">
        <x:v>正しい。マスカットはテルペン系の強い品種香を持ち、発酵を早く止めることで残糖と新鮮な芳香を保持しやすい。</x:v>
      </x:c>
      <x:c r="N254" s="165" t="str">
        <x:v>誤り。マスカット香は主にブドウ由来で、フロールによるものではない。</x:v>
      </x:c>
      <x:c r="O254" s="165" t="str">
        <x:v>誤り。多くの酒精強化マスカットは白系または褐色で、強いタンニン抽出が目的ではない。</x:v>
      </x:c>
      <x:c r="P254" s="165" t="str">
        <x:v>誤り。炭酸ガスは泡を与えるが、品種香を作るものではない。</x:v>
      </x:c>
      <x:c r="Q254" s="165" t="str">
        <x:v>品種・製法</x:v>
      </x:c>
      <x:c r="R254" s="165" t="str">
        <x:v>マスカット・一次香</x:v>
      </x:c>
      <x:c r="S254" s="165" t="str">
        <x:v>酒精強化ワイン</x:v>
      </x:c>
      <x:c r="T254" s="165"/>
      <x:c r="U254" s="165"/>
      <x:c r="V254" s="165" t="str">
        <x:v>マスカット</x:v>
      </x:c>
      <x:c r="W254" s="165" t="str">
        <x:v>因果説明</x:v>
      </x:c>
      <x:c r="X254" s="171" t="str">
        <x:v>D2</x:v>
      </x:c>
      <x:c r="Y254" s="165" t="str">
        <x:v>マスカットの品種香に関する別の特徴・要因と混同; マスカットの品種香に関する別の特徴・要因と混同; マスカットの品種香に関する別の特徴・要因と混同</x:v>
      </x:c>
      <x:c r="Z254" s="171" t="str">
        <x:v>N</x:v>
      </x:c>
      <x:c r="AA254" s="165"/>
      <x:c r="AB254" s="165" t="str">
        <x:v>オリジナル</x:v>
      </x:c>
      <x:c r="AC254" s="165" t="str">
        <x:v>公式Specificationの範囲＋ユーザー作成コーパスの論点と問題設計例を参考に独自作成</x:v>
      </x:c>
      <x:c r="AD254" s="171" t="str">
        <x:v>改稿済み・専門家未承認</x:v>
      </x:c>
      <x:c r="AE254" s="171" t="str">
        <x:v>AI誤答レビュー</x:v>
      </x:c>
      <x:c r="AF254" s="171" t="str">
        <x:v>2026-07-12</x:v>
      </x:c>
      <x:c r="AG254" s="166" t="str">
        <x:v>最終バッチ：有効な誤答を維持し、絶対語・物理的不可能な誤答のみ置換。正答位置は維持。</x:v>
      </x:c>
    </x:row>
    <x:row r="255" ht="84" customHeight="1">
      <x:c r="A255" s="164" t="str">
        <x:v>LO4-054</x:v>
      </x:c>
      <x:c r="B255" s="171" t="str">
        <x:v>LO4</x:v>
      </x:c>
      <x:c r="C255" s="165" t="str">
        <x:v>世界の主要な酒精強化ワイン</x:v>
      </x:c>
      <x:c r="D255" s="165" t="str">
        <x:v>早期酒精強化とマスカット</x:v>
      </x:c>
      <x:c r="E255" s="165" t="str">
        <x:v>酒精強化マスカットで発酵を早い段階で止める主な効果はどれか。</x:v>
      </x:c>
      <x:c r="F255" s="165" t="str">
        <x:v>タンニンが最大化し、濃い赤色になる</x:v>
      </x:c>
      <x:c r="G255" s="165" t="str">
        <x:v>高い残糖と低めの発酵由来アルコールを残し、品種香を保持する</x:v>
      </x:c>
      <x:c r="H255" s="165" t="str">
        <x:v>二次発酵が始まり、強い泡が生まれる</x:v>
      </x:c>
      <x:c r="I255" s="165" t="str">
        <x:v>完全な辛口になり、香りが多く消える</x:v>
      </x:c>
      <x:c r="J255" s="171" t="str">
        <x:v>B</x:v>
      </x:c>
      <x:c r="K255" s="165" t="str">
        <x:v>高い残糖と低めの発酵由来アルコールを残し、品種香を保持する</x:v>
      </x:c>
      <x:c r="L255" s="165" t="str">
        <x:v>正しい。発酵される糖が少ないうちに蒸留酒を加えるため、甘味が多く残り、マスカットのフレッシュな香りが前面に出る。</x:v>
      </x:c>
      <x:c r="M255" s="165" t="str">
        <x:v>誤り。甘味と香りの保持が中心で、タンニン抽出が主目的ではない。</x:v>
      </x:c>
      <x:c r="N255" s="165" t="str">
        <x:v>正しい。発酵される糖が少ないうちに蒸留酒を加えるため、甘味が多く残り、マスカットのフレッシュな香りが前面に出る。</x:v>
      </x:c>
      <x:c r="O255" s="165" t="str">
        <x:v>誤り。酒精強化で酵母の働きを止めるため、発泡化が目的ではない。</x:v>
      </x:c>
      <x:c r="P255" s="165" t="str">
        <x:v>誤り。早期停止では残糖が多く、強い品種香を保つ。</x:v>
      </x:c>
      <x:c r="Q255" s="165" t="str">
        <x:v>酒精強化ワイン製法</x:v>
      </x:c>
      <x:c r="R255" s="165" t="str">
        <x:v>マスカット・発酵停止</x:v>
      </x:c>
      <x:c r="S255" s="165" t="str">
        <x:v>酒精強化ワイン</x:v>
      </x:c>
      <x:c r="T255" s="165"/>
      <x:c r="U255" s="165"/>
      <x:c r="V255" s="165" t="str">
        <x:v>マスカット</x:v>
      </x:c>
      <x:c r="W255" s="165" t="str">
        <x:v>因果説明</x:v>
      </x:c>
      <x:c r="X255" s="171" t="str">
        <x:v>D2</x:v>
      </x:c>
      <x:c r="Y255" s="165" t="str">
        <x:v>早期酒精強化とマスカットについて関連要因を主因とみなす; 早期酒精強化とマスカットについて関連要因を主因とみなす; 早期酒精強化とマスカットについて関連要因を主因とみなす</x:v>
      </x:c>
      <x:c r="Z255" s="171" t="str">
        <x:v>N</x:v>
      </x:c>
      <x:c r="AA255" s="165"/>
      <x:c r="AB255" s="165" t="str">
        <x:v>オリジナル</x:v>
      </x:c>
      <x:c r="AC255" s="165" t="str">
        <x:v>公式Specificationの範囲＋ユーザー作成コーパスの論点と問題設計例を参考に独自作成</x:v>
      </x:c>
      <x:c r="AD255" s="171" t="str">
        <x:v>改稿済み・専門家未承認</x:v>
      </x:c>
      <x:c r="AE255" s="171" t="str">
        <x:v>AI誤答レビュー</x:v>
      </x:c>
      <x:c r="AF255" s="171" t="str">
        <x:v>2026-07-12</x:v>
      </x:c>
      <x:c r="AG255" s="166" t="str">
        <x:v>第5バッチ：使用可能な誤答を維持し、弱い誤答を因果逆転・隣接概念へ置換。正答位置は維持。</x:v>
      </x:c>
    </x:row>
    <x:row r="256" ht="84" customHeight="1">
      <x:c r="A256" s="164" t="str">
        <x:v>LO4-055</x:v>
      </x:c>
      <x:c r="B256" s="171" t="str">
        <x:v>LO4</x:v>
      </x:c>
      <x:c r="C256" s="165" t="str">
        <x:v>世界の主要な酒精強化ワイン</x:v>
      </x:c>
      <x:c r="D256" s="165" t="str">
        <x:v>ボーム・ド・ヴニーズの気候</x:v>
      </x:c>
      <x:c r="E256" s="165" t="str">
        <x:v>ミュスカ・ド・ボーム・ド・ヴニーズで熟したマスカットの香りと高い糖度を得やすい主な理由はどれか。</x:v>
      </x:c>
      <x:c r="F256" s="165" t="str">
        <x:v>冷涼な海洋性の夏と頻繁な降雨が、長い乾燥期間を作るため</x:v>
      </x:c>
      <x:c r="G256" s="165" t="str">
        <x:v>北向きの高標高畑で日射を抑えることが、糖の蓄積を速めるため</x:v>
      </x:c>
      <x:c r="H256" s="165" t="str">
        <x:v>南ローヌの温暖で日照の多い地中海性気候</x:v>
      </x:c>
      <x:c r="I256" s="165" t="str">
        <x:v>夜間気温が高く日較差が小さいほど、酸とマスカットの品種香が保持されるため</x:v>
      </x:c>
      <x:c r="J256" s="171" t="str">
        <x:v>C</x:v>
      </x:c>
      <x:c r="K256" s="165" t="str">
        <x:v>南ローヌの温暖で日照の多い地中海性気候</x:v>
      </x:c>
      <x:c r="L256" s="165" t="str">
        <x:v>正しい。温暖で日照の多い条件により、マスカットの糖度とテルペン由来の芳香が十分に発達する。</x:v>
      </x:c>
      <x:c r="M256" s="165" t="str">
        <x:v>誤り。ボーム・ド・ヴニーズは地中海性で、暖かく乾燥した夏と豊富な日照が成熟を支える。</x:v>
      </x:c>
      <x:c r="N256" s="165" t="str">
        <x:v>誤り。日射を抑えることが糖蓄積を速めるのではなく、十分な光と暖かさが成熟を進める。</x:v>
      </x:c>
      <x:c r="O256" s="165" t="str">
        <x:v>正しい。温暖で日照の多い条件により、マスカットの糖度とテルペン由来の芳香が十分に発達する。</x:v>
      </x:c>
      <x:c r="P256" s="165" t="str">
        <x:v>誤り。高い夜温は呼吸による酸の低下を促し、香り保持にも必ず有利とはいえない。</x:v>
      </x:c>
      <x:c r="Q256" s="165" t="str">
        <x:v>自然要因・産地</x:v>
      </x:c>
      <x:c r="R256" s="165" t="str">
        <x:v>地中海性気候・成熟</x:v>
      </x:c>
      <x:c r="S256" s="165" t="str">
        <x:v>酒精強化ワイン</x:v>
      </x:c>
      <x:c r="T256" s="165" t="str">
        <x:v>フランス</x:v>
      </x:c>
      <x:c r="U256" s="165" t="str">
        <x:v>ミュスカ・ド・ボーム・ド・ヴニーズ</x:v>
      </x:c>
      <x:c r="V256" s="165" t="str">
        <x:v>マスカット</x:v>
      </x:c>
      <x:c r="W256" s="165" t="str">
        <x:v>因果説明</x:v>
      </x:c>
      <x:c r="X256" s="171" t="str">
        <x:v>D1</x:v>
      </x:c>
      <x:c r="Y256" s="165" t="str">
        <x:v>ボームは冷涼海洋性; 日射を抑えると糖蓄積が速い; 高い夜温が酸・香りを保持</x:v>
      </x:c>
      <x:c r="Z256" s="171" t="str">
        <x:v>N</x:v>
      </x:c>
      <x:c r="AA256" s="165"/>
      <x:c r="AB256" s="165" t="str">
        <x:v>オリジナル</x:v>
      </x:c>
      <x:c r="AC256" s="165" t="str">
        <x:v>公式Specificationの範囲＋ユーザー作成コーパスの論点と問題設計例を参考に独自作成</x:v>
      </x:c>
      <x:c r="AD256" s="171" t="str">
        <x:v>改稿済み・専門家未承認</x:v>
      </x:c>
      <x:c r="AE256" s="171" t="str">
        <x:v>AI誤答レビュー</x:v>
      </x:c>
      <x:c r="AF256" s="171" t="str">
        <x:v>2026-07-12</x:v>
      </x:c>
      <x:c r="AG256" s="166" t="str">
        <x:v>誤答を同一論点内の典型的誤概念へ置換。900問本体への反映前に専門家確認推奨。</x:v>
      </x:c>
    </x:row>
    <x:row r="257" ht="84" customHeight="1">
      <x:c r="A257" s="164" t="str">
        <x:v>LO4-056</x:v>
      </x:c>
      <x:c r="B257" s="171" t="str">
        <x:v>LO4</x:v>
      </x:c>
      <x:c r="C257" s="165" t="str">
        <x:v>世界の主要な酒精強化ワイン</x:v>
      </x:c>
      <x:c r="D257" s="165" t="str">
        <x:v>ボーム・ド・ヴニーズの熟成</x:v>
      </x:c>
      <x:c r="E257" s="165" t="str">
        <x:v>若々しいミュスカ・ド・ボーム・ド・ヴニーズで不活性容器が選ばれやすい理由はどれか。</x:v>
      </x:c>
      <x:c r="F257" s="165" t="str">
        <x:v>高温の小樽で酸化と蒸発を進め、ナッツとキャラメル香を増やすため</x:v>
      </x:c>
      <x:c r="G257" s="165" t="str">
        <x:v>フロールを育て、アーモンドとパン生地の香りを加えるため</x:v>
      </x:c>
      <x:c r="H257" s="165" t="str">
        <x:v>高温で蒸発を促し、レーズンとキャラメル香を早く作るため</x:v>
      </x:c>
      <x:c r="I257" s="165" t="str">
        <x:v>新鮮なブドウ、花、桃の品種香を酸化から守るため</x:v>
      </x:c>
      <x:c r="J257" s="171" t="str">
        <x:v>D</x:v>
      </x:c>
      <x:c r="K257" s="165" t="str">
        <x:v>新鮮なブドウ、花、桃の品種香を酸化から守るため</x:v>
      </x:c>
      <x:c r="L257" s="165" t="str">
        <x:v>正しい。テルペン系の芳香を保ち、若くフレッシュな甘口に仕上げる。</x:v>
      </x:c>
      <x:c r="M257" s="165" t="str">
        <x:v>誤り。若いミュスカ・ド・ボーム・ド・ヴニーズでは、酸化を避けてマスカットの新鮮な芳香を保つ。</x:v>
      </x:c>
      <x:c r="N257" s="165" t="str">
        <x:v>誤り。酒精強化マスカットはフロール熟成しない。</x:v>
      </x:c>
      <x:c r="O257" s="165" t="str">
        <x:v>誤り。若々しいスタイルでは酸化・蒸発を抑える。</x:v>
      </x:c>
      <x:c r="P257" s="165" t="str">
        <x:v>正しい。テルペン系の芳香を保ち、若くフレッシュな甘口に仕上げる。</x:v>
      </x:c>
      <x:c r="Q257" s="165" t="str">
        <x:v>酒精強化ワイン製法・産地</x:v>
      </x:c>
      <x:c r="R257" s="165" t="str">
        <x:v>不活性熟成・香り保持</x:v>
      </x:c>
      <x:c r="S257" s="165" t="str">
        <x:v>酒精強化ワイン</x:v>
      </x:c>
      <x:c r="T257" s="165" t="str">
        <x:v>フランス</x:v>
      </x:c>
      <x:c r="U257" s="165" t="str">
        <x:v>ミュスカ・ド・ボーム・ド・ヴニーズ</x:v>
      </x:c>
      <x:c r="V257" s="165" t="str">
        <x:v>マスカット</x:v>
      </x:c>
      <x:c r="W257" s="165" t="str">
        <x:v>因果説明</x:v>
      </x:c>
      <x:c r="X257" s="171" t="str">
        <x:v>D2</x:v>
      </x:c>
      <x:c r="Y257" s="165" t="str">
        <x:v>若いボーム・ド・ヴニーズを長期酸化型と混同; ボーム・ド・ヴニーズをフロール熟成; 若いボームを酸化濃縮型と混同</x:v>
      </x:c>
      <x:c r="Z257" s="171" t="str">
        <x:v>N</x:v>
      </x:c>
      <x:c r="AA257" s="165"/>
      <x:c r="AB257" s="165" t="str">
        <x:v>オリジナル</x:v>
      </x:c>
      <x:c r="AC257" s="165" t="str">
        <x:v>公式Specificationの範囲＋ユーザー作成コーパスの論点と問題設計例を参考に独自作成</x:v>
      </x:c>
      <x:c r="AD257" s="171" t="str">
        <x:v>改稿済み・専門家未承認</x:v>
      </x:c>
      <x:c r="AE257" s="171" t="str">
        <x:v>AI誤答レビュー</x:v>
      </x:c>
      <x:c r="AF257" s="171" t="str">
        <x:v>2026-07-12</x:v>
      </x:c>
      <x:c r="AG257" s="166" t="str">
        <x:v>第4バッチ：同一論点内の典型的誤概念へ置換。正答位置は維持。</x:v>
      </x:c>
    </x:row>
    <x:row r="258" ht="84" customHeight="1">
      <x:c r="A258" s="164" t="str">
        <x:v>LO4-057</x:v>
      </x:c>
      <x:c r="B258" s="171" t="str">
        <x:v>LO4</x:v>
      </x:c>
      <x:c r="C258" s="165" t="str">
        <x:v>世界の主要な酒精強化ワイン</x:v>
      </x:c>
      <x:c r="D258" s="165" t="str">
        <x:v>ラザグレンの気候</x:v>
      </x:c>
      <x:c r="E258" s="165" t="str">
        <x:v>ラザグレンで非常に熟したマスカットを得やすい主な自然条件はどれか。</x:v>
      </x:c>
      <x:c r="F258" s="165" t="str">
        <x:v>暑く乾燥した大陸性の影響が強い気候と長い生育期間</x:v>
      </x:c>
      <x:c r="G258" s="165" t="str">
        <x:v>一年中冷涼で日照が少なく、成熟しない</x:v>
      </x:c>
      <x:c r="H258" s="165" t="str">
        <x:v>毎年自然凍結する極寒の谷</x:v>
      </x:c>
      <x:c r="I258" s="165" t="str">
        <x:v>大西洋の冷たい海霧が一日中覆う</x:v>
      </x:c>
      <x:c r="J258" s="171" t="str">
        <x:v>A</x:v>
      </x:c>
      <x:c r="K258" s="165" t="str">
        <x:v>暑く乾燥した大陸性の影響が強い気候と長い生育期間</x:v>
      </x:c>
      <x:c r="L258" s="165" t="str">
        <x:v>正しい。高温と日照によりマスカットが高糖度まで成熟し、濃厚な甘口酒精強化ワインの基礎となる。</x:v>
      </x:c>
      <x:c r="M258" s="165" t="str">
        <x:v>正しい。高温と日照によりマスカットが高糖度まで成熟し、濃厚な甘口酒精強化ワインの基礎となる。</x:v>
      </x:c>
      <x:c r="N258" s="165" t="str">
        <x:v>誤り。ラザグレンはオーストラリア内陸の暑い地域である。</x:v>
      </x:c>
      <x:c r="O258" s="165" t="str">
        <x:v>誤り。凍結ではなく高温と過熟を利用する。</x:v>
      </x:c>
      <x:c r="P258" s="165" t="str">
        <x:v>誤り。内陸に位置し、海霧が主な条件ではない。</x:v>
      </x:c>
      <x:c r="Q258" s="165" t="str">
        <x:v>自然要因・産地</x:v>
      </x:c>
      <x:c r="R258" s="165" t="str">
        <x:v>高温・過熟</x:v>
      </x:c>
      <x:c r="S258" s="165" t="str">
        <x:v>酒精強化ワイン</x:v>
      </x:c>
      <x:c r="T258" s="165" t="str">
        <x:v>オーストラリア</x:v>
      </x:c>
      <x:c r="U258" s="165" t="str">
        <x:v>ラザグレン</x:v>
      </x:c>
      <x:c r="V258" s="165" t="str">
        <x:v>マスカット</x:v>
      </x:c>
      <x:c r="W258" s="165" t="str">
        <x:v>因果説明</x:v>
      </x:c>
      <x:c r="X258" s="171" t="str">
        <x:v>D1</x:v>
      </x:c>
      <x:c r="Y258" s="165" t="str">
        <x:v>ラザグレンの気候に関する別の特徴・要因と混同; ラザグレンの気候に関する別の特徴・要因と混同; ラザグレンの気候に関する別の特徴・要因と混同</x:v>
      </x:c>
      <x:c r="Z258" s="171" t="str">
        <x:v>N</x:v>
      </x:c>
      <x:c r="AA258" s="165"/>
      <x:c r="AB258" s="165" t="str">
        <x:v>オリジナル</x:v>
      </x:c>
      <x:c r="AC258" s="165" t="str">
        <x:v>公式Specificationの範囲＋ユーザー作成コーパスの論点と問題設計例を参考に独自作成</x:v>
      </x:c>
      <x:c r="AD258" s="171" t="str">
        <x:v>改稿済み・専門家未承認</x:v>
      </x:c>
      <x:c r="AE258" s="171" t="str">
        <x:v>AI誤答レビュー</x:v>
      </x:c>
      <x:c r="AF258" s="171" t="str">
        <x:v>2026-07-12</x:v>
      </x:c>
      <x:c r="AG258" s="166" t="str">
        <x:v>最終バッチ：有効な誤答を維持し、絶対語・物理的不可能な誤答のみ置換。正答位置は維持。</x:v>
      </x:c>
    </x:row>
    <x:row r="259" ht="84" customHeight="1">
      <x:c r="A259" s="164" t="str">
        <x:v>LO4-058</x:v>
      </x:c>
      <x:c r="B259" s="171" t="str">
        <x:v>LO4</x:v>
      </x:c>
      <x:c r="C259" s="165" t="str">
        <x:v>世界の主要な酒精強化ワイン</x:v>
      </x:c>
      <x:c r="D259" s="165" t="str">
        <x:v>ラザグレンの酸化熟成</x:v>
      </x:c>
      <x:c r="E259" s="165" t="str">
        <x:v>長期酸化熟成したラザグレン・マスカットに典型的な風味はどれか。</x:v>
      </x:c>
      <x:c r="F259" s="165" t="str">
        <x:v>青リンゴと草だけの軽い辛口</x:v>
      </x:c>
      <x:c r="G259" s="165" t="str">
        <x:v>レーズン、糖蜜、キャラメル、コーヒー、ナッツを思わせる濃厚な風味</x:v>
      </x:c>
      <x:c r="H259" s="165" t="str">
        <x:v>強い泡とパン生地だけの発泡性ワイン</x:v>
      </x:c>
      <x:c r="I259" s="165" t="str">
        <x:v>湿った段ボールとカビだけ</x:v>
      </x:c>
      <x:c r="J259" s="171" t="str">
        <x:v>B</x:v>
      </x:c>
      <x:c r="K259" s="165" t="str">
        <x:v>レーズン、糖蜜、キャラメル、コーヒー、ナッツを思わせる濃厚な風味</x:v>
      </x:c>
      <x:c r="L259" s="165" t="str">
        <x:v>正しい。温暖な環境で樽熟成と蒸発が進み、色が濃くなり、乾燥果実、キャラメル、ランシオなどの複雑な酸化熟成香が発達する。</x:v>
      </x:c>
      <x:c r="M259" s="165" t="str">
        <x:v>誤り。ラザグレンの熟成マスカットは濃厚で甘く、酸化熟成香を持つ。</x:v>
      </x:c>
      <x:c r="N259" s="165" t="str">
        <x:v>正しい。温暖な環境で樽熟成と蒸発が進み、色が濃くなり、乾燥果実、キャラメル、ランシオなどの複雑な酸化熟成香が発達する。</x:v>
      </x:c>
      <x:c r="O259" s="165" t="str">
        <x:v>誤り。非発泡性の酒精強化ワインである。</x:v>
      </x:c>
      <x:c r="P259" s="165" t="str">
        <x:v>誤り。これはコルク汚染の可能性があり、望ましい酸化熟成香ではない。</x:v>
      </x:c>
      <x:c r="Q259" s="165" t="str">
        <x:v>産地スタイル</x:v>
      </x:c>
      <x:c r="R259" s="165" t="str">
        <x:v>酸化熟成・ランシオ</x:v>
      </x:c>
      <x:c r="S259" s="165" t="str">
        <x:v>酒精強化ワイン</x:v>
      </x:c>
      <x:c r="T259" s="165" t="str">
        <x:v>オーストラリア</x:v>
      </x:c>
      <x:c r="U259" s="165" t="str">
        <x:v>ラザグレン</x:v>
      </x:c>
      <x:c r="V259" s="165" t="str">
        <x:v>マスカット</x:v>
      </x:c>
      <x:c r="W259" s="165" t="str">
        <x:v>知識確認</x:v>
      </x:c>
      <x:c r="X259" s="171" t="str">
        <x:v>D1</x:v>
      </x:c>
      <x:c r="Y259" s="165" t="str">
        <x:v>ラザグレンの酸化熟成に関する別の特徴・要因と混同; ラザグレンの酸化熟成に関する別の特徴・要因と混同; ラザグレンの酸化熟成に関する別の特徴・要因と混同</x:v>
      </x:c>
      <x:c r="Z259" s="171" t="str">
        <x:v>N</x:v>
      </x:c>
      <x:c r="AA259" s="165"/>
      <x:c r="AB259" s="165" t="str">
        <x:v>オリジナル</x:v>
      </x:c>
      <x:c r="AC259" s="165" t="str">
        <x:v>公式Specificationの範囲＋ユーザー作成コーパスの論点と問題設計例を参考に独自作成</x:v>
      </x:c>
      <x:c r="AD259" s="171" t="str">
        <x:v>改稿済み・専門家未承認</x:v>
      </x:c>
      <x:c r="AE259" s="171" t="str">
        <x:v>AI誤答レビュー</x:v>
      </x:c>
      <x:c r="AF259" s="171" t="str">
        <x:v>2026-07-12</x:v>
      </x:c>
      <x:c r="AG259" s="166" t="str">
        <x:v>最終バッチ：有効な誤答を維持し、絶対語・物理的不可能な誤答のみ置換。正答位置は維持。</x:v>
      </x:c>
    </x:row>
    <x:row r="260" ht="84" customHeight="1">
      <x:c r="A260" s="164" t="str">
        <x:v>LO4-059</x:v>
      </x:c>
      <x:c r="B260" s="171" t="str">
        <x:v>LO4</x:v>
      </x:c>
      <x:c r="C260" s="165" t="str">
        <x:v>世界の主要な酒精強化ワイン</x:v>
      </x:c>
      <x:c r="D260" s="165" t="str">
        <x:v>ラザグレンのブレンド</x:v>
      </x:c>
      <x:c r="E260" s="165" t="str">
        <x:v>ラザグレン・マスカットで異なる年齢のワインをブレンドする主な利点はどれか。</x:v>
      </x:c>
      <x:c r="F260" s="165" t="str">
        <x:v>若い原酒の酸化熟成香と、古い原酒の新鮮な花・ブドウ香を組み合わせる</x:v>
      </x:c>
      <x:c r="G260" s="165" t="str">
        <x:v>ヴィンテージごとの差を強調するため、各年を同じ比率で混ぜる</x:v>
      </x:c>
      <x:c r="H260" s="165" t="str">
        <x:v>若いワインの果実香と、古いワインの濃厚な酸化熟成香を組み合わせられる</x:v>
      </x:c>
      <x:c r="I260" s="165" t="str">
        <x:v>古い原酒の酸を若い原酒で中和することが、年代ブレンドの主目的である</x:v>
      </x:c>
      <x:c r="J260" s="171" t="str">
        <x:v>C</x:v>
      </x:c>
      <x:c r="K260" s="165" t="str">
        <x:v>若いワインの果実香と、古いワインの濃厚な酸化熟成香を組み合わせられる</x:v>
      </x:c>
      <x:c r="L260" s="165" t="str">
        <x:v>正しい。若いマスカットの花・ブドウ香と、古い原酒のレーズン、キャラメル、ナッツの濃縮感を組み合わせられる。</x:v>
      </x:c>
      <x:c r="M260" s="165" t="str">
        <x:v>誤り。香味の役割が逆で、若い原酒が新鮮な品種香、古い原酒が酸化熟成香を与える。</x:v>
      </x:c>
      <x:c r="N260" s="165" t="str">
        <x:v>誤り。ブレンドはヴィンテージ差を強調するのではなく、比率を調整して一貫性を作る。</x:v>
      </x:c>
      <x:c r="O260" s="165" t="str">
        <x:v>正しい。若いマスカットの花・ブドウ香と、古い原酒のレーズン、キャラメル、ナッツの濃縮感を組み合わせられる。</x:v>
      </x:c>
      <x:c r="P260" s="165" t="str">
        <x:v>誤り。酸の調整も考慮され得るが、主目的は熟成段階の異なる香味、濃度、甘味のバランスと一貫性である。</x:v>
      </x:c>
      <x:c r="Q260" s="165" t="str">
        <x:v>ブレンド・商業</x:v>
      </x:c>
      <x:c r="R260" s="165" t="str">
        <x:v>年齢ブレンド・一貫性</x:v>
      </x:c>
      <x:c r="S260" s="165" t="str">
        <x:v>酒精強化ワイン</x:v>
      </x:c>
      <x:c r="T260" s="165" t="str">
        <x:v>オーストラリア</x:v>
      </x:c>
      <x:c r="U260" s="165" t="str">
        <x:v>ラザグレン</x:v>
      </x:c>
      <x:c r="V260" s="165" t="str">
        <x:v>マスカット</x:v>
      </x:c>
      <x:c r="W260" s="165" t="str">
        <x:v>統合判断</x:v>
      </x:c>
      <x:c r="X260" s="171" t="str">
        <x:v>D3</x:v>
      </x:c>
      <x:c r="Y260" s="165" t="str">
        <x:v>若い原酒と古い原酒の香味を逆認識; 年代ブレンドは年差を強調; 主目的は酸の中和</x:v>
      </x:c>
      <x:c r="Z260" s="171" t="str">
        <x:v>N</x:v>
      </x:c>
      <x:c r="AA260" s="165"/>
      <x:c r="AB260" s="165" t="str">
        <x:v>オリジナル</x:v>
      </x:c>
      <x:c r="AC260" s="165" t="str">
        <x:v>公式Specificationの範囲＋ユーザー作成コーパスの論点と問題設計例を参考に独自作成</x:v>
      </x:c>
      <x:c r="AD260" s="171" t="str">
        <x:v>改稿済み・専門家未承認</x:v>
      </x:c>
      <x:c r="AE260" s="171" t="str">
        <x:v>AI誤答レビュー</x:v>
      </x:c>
      <x:c r="AF260" s="171" t="str">
        <x:v>2026-07-12</x:v>
      </x:c>
      <x:c r="AG260" s="166" t="str">
        <x:v>誤答を同一論点内の典型的誤概念へ置換。900問本体への反映前に専門家確認推奨。</x:v>
      </x:c>
    </x:row>
    <x:row r="261" ht="84" customHeight="1">
      <x:c r="A261" s="164" t="str">
        <x:v>LO4-060</x:v>
      </x:c>
      <x:c r="B261" s="171" t="str">
        <x:v>LO4</x:v>
      </x:c>
      <x:c r="C261" s="165" t="str">
        <x:v>世界の主要な酒精強化ワイン</x:v>
      </x:c>
      <x:c r="D261" s="165" t="str">
        <x:v>蒸発と価格</x:v>
      </x:c>
      <x:c r="E261" s="165" t="str">
        <x:v>長期熟成したラザグレン・マスカットが高価格になりやすい理由はどれか。</x:v>
      </x:c>
      <x:c r="F261" s="165" t="str">
        <x:v>熟成とともに残糖が増え、古い原酒ほど甘味の原料価値が高まるため</x:v>
      </x:c>
      <x:c r="G261" s="165" t="str">
        <x:v>熟成中に糖が増え、原料価値が毎年高まるため</x:v>
      </x:c>
      <x:c r="H261" s="165" t="str">
        <x:v>樽熟成でワイン量が増え、保管容器が多く必要になるため</x:v>
      </x:c>
      <x:c r="I261" s="165" t="str">
        <x:v>長期在庫と蒸発損失で販売量が減り、古い原酒が希少になるため</x:v>
      </x:c>
      <x:c r="J261" s="171" t="str">
        <x:v>D</x:v>
      </x:c>
      <x:c r="K261" s="165" t="str">
        <x:v>長期在庫と蒸発損失で販売量が減り、古い原酒が希少になるため</x:v>
      </x:c>
      <x:c r="L261" s="165" t="str">
        <x:v>正しい。資金と樽・倉庫を長期間拘束し、天使の分け前で販売可能量も減る。</x:v>
      </x:c>
      <x:c r="M261" s="165" t="str">
        <x:v>誤り。熟成中に糖が新たに増えるのではなく、在庫期間、蒸発損失、希少性が価格を高める。</x:v>
      </x:c>
      <x:c r="N261" s="165" t="str">
        <x:v>誤り。糖が新たに生成されるわけではない。</x:v>
      </x:c>
      <x:c r="O261" s="165" t="str">
        <x:v>誤り。蒸発で量は減る。</x:v>
      </x:c>
      <x:c r="P261" s="165" t="str">
        <x:v>正しい。資金と樽・倉庫を長期間拘束し、天使の分け前で販売可能量も減る。</x:v>
      </x:c>
      <x:c r="Q261" s="165" t="str">
        <x:v>商業面・熟成</x:v>
      </x:c>
      <x:c r="R261" s="165" t="str">
        <x:v>蒸発・在庫コスト</x:v>
      </x:c>
      <x:c r="S261" s="165" t="str">
        <x:v>酒精強化ワイン</x:v>
      </x:c>
      <x:c r="T261" s="165" t="str">
        <x:v>オーストラリア</x:v>
      </x:c>
      <x:c r="U261" s="165" t="str">
        <x:v>ラザグレン</x:v>
      </x:c>
      <x:c r="V261" s="165" t="str">
        <x:v>マスカット</x:v>
      </x:c>
      <x:c r="W261" s="165" t="str">
        <x:v>統合判断</x:v>
      </x:c>
      <x:c r="X261" s="171" t="str">
        <x:v>D3</x:v>
      </x:c>
      <x:c r="Y261" s="165" t="str">
        <x:v>古酒の価格上昇を残糖増加で説明; 熟成で糖が増える; 熟成でワイン量が増える</x:v>
      </x:c>
      <x:c r="Z261" s="171" t="str">
        <x:v>N</x:v>
      </x:c>
      <x:c r="AA261" s="165"/>
      <x:c r="AB261" s="165" t="str">
        <x:v>オリジナル</x:v>
      </x:c>
      <x:c r="AC261" s="165" t="str">
        <x:v>公式Specificationの範囲＋ユーザー作成コーパスの論点と問題設計例を参考に独自作成</x:v>
      </x:c>
      <x:c r="AD261" s="171" t="str">
        <x:v>改稿済み・専門家未承認</x:v>
      </x:c>
      <x:c r="AE261" s="171" t="str">
        <x:v>AI誤答レビュー</x:v>
      </x:c>
      <x:c r="AF261" s="171" t="str">
        <x:v>2026-07-12</x:v>
      </x:c>
      <x:c r="AG261" s="166" t="str">
        <x:v>第4バッチ：同一論点内の典型的誤概念へ置換。正答位置は維持。</x:v>
      </x:c>
    </x:row>
    <x:row r="262" ht="84" customHeight="1">
      <x:c r="A262" s="164" t="str">
        <x:v>LO5-021</x:v>
      </x:c>
      <x:c r="B262" s="171" t="str">
        <x:v>LO5</x:v>
      </x:c>
      <x:c r="C262" s="165" t="str">
        <x:v>情報提供・推奨・保管・サービス</x:v>
      </x:c>
      <x:c r="D262" s="165" t="str">
        <x:v>保管温度の変動</x:v>
      </x:c>
      <x:c r="E262" s="165" t="str">
        <x:v>ワインの長期保管で、平均温度が適切でも大きな温度変化を避けるべき主な理由はどれか。</x:v>
      </x:c>
      <x:c r="F262" s="165" t="str">
        <x:v>液体の膨張と収縮を繰り返し、栓から空気が入りやすくなって熟成を早める可能性がある</x:v>
      </x:c>
      <x:c r="G262" s="165" t="str">
        <x:v>温度変化によってワインの残糖が増減し、甘味が不安定になる</x:v>
      </x:c>
      <x:c r="H262" s="165" t="str">
        <x:v>高温と低温が交互に来ると、酸とタンニンが相殺される</x:v>
      </x:c>
      <x:c r="I262" s="165" t="str">
        <x:v>温度変化が瓶内のアルコールを水へ変え、液面を下げる</x:v>
      </x:c>
      <x:c r="J262" s="171" t="str">
        <x:v>A</x:v>
      </x:c>
      <x:c r="K262" s="165" t="str">
        <x:v>液体の膨張と収縮を繰り返し、栓から空気が入りやすくなって熟成を早める可能性がある</x:v>
      </x:c>
      <x:c r="L262" s="165" t="str">
        <x:v>正しい。膨張・収縮と栓への負荷が、酸素侵入や漏れを促す。</x:v>
      </x:c>
      <x:c r="M262" s="165" t="str">
        <x:v>正しい。膨張・収縮と栓への負荷が、酸素侵入や漏れを促す。</x:v>
      </x:c>
      <x:c r="N262" s="165" t="str">
        <x:v>誤り。糖量は温度変化で増減しない。</x:v>
      </x:c>
      <x:c r="O262" s="165" t="str">
        <x:v>誤り。酸とタンニンが温度サイクルで化学的に相殺されるわけではない。</x:v>
      </x:c>
      <x:c r="P262" s="165" t="str">
        <x:v>誤り。アルコールが水へ変化することはない。</x:v>
      </x:c>
      <x:c r="Q262" s="165" t="str">
        <x:v>保管・サービス</x:v>
      </x:c>
      <x:c r="R262" s="165" t="str">
        <x:v>温度変動・密閉性</x:v>
      </x:c>
      <x:c r="S262" s="165" t="str">
        <x:v>全般</x:v>
      </x:c>
      <x:c r="T262" s="165"/>
      <x:c r="U262" s="165"/>
      <x:c r="V262" s="165"/>
      <x:c r="W262" s="165" t="str">
        <x:v>因果説明</x:v>
      </x:c>
      <x:c r="X262" s="171" t="str">
        <x:v>D2</x:v>
      </x:c>
      <x:c r="Y262" s="165" t="str">
        <x:v>温度変化で残糖が増減する; 温度変化で酸とタンニンが相殺; アルコールが水へ変化する</x:v>
      </x:c>
      <x:c r="Z262" s="171" t="str">
        <x:v>N</x:v>
      </x:c>
      <x:c r="AA262" s="165"/>
      <x:c r="AB262" s="165" t="str">
        <x:v>オリジナル</x:v>
      </x:c>
      <x:c r="AC262" s="165" t="str">
        <x:v>公式Specificationの範囲＋ユーザー作成コーパスの論点と問題設計例を参考に独自作成</x:v>
      </x:c>
      <x:c r="AD262" s="171" t="str">
        <x:v>改稿済み・専門家未承認</x:v>
      </x:c>
      <x:c r="AE262" s="171" t="str">
        <x:v>AI誤答レビュー</x:v>
      </x:c>
      <x:c r="AF262" s="171" t="str">
        <x:v>2026-07-12</x:v>
      </x:c>
      <x:c r="AG262" s="166" t="str">
        <x:v>第3バッチ：同一論点内の典型的誤概念へ置換。正答位置は維持。</x:v>
      </x:c>
    </x:row>
    <x:row r="263" ht="84" customHeight="1">
      <x:c r="A263" s="164" t="str">
        <x:v>LO5-022</x:v>
      </x:c>
      <x:c r="B263" s="171" t="str">
        <x:v>LO5</x:v>
      </x:c>
      <x:c r="C263" s="165" t="str">
        <x:v>情報提供・推奨・保管・サービス</x:v>
      </x:c>
      <x:c r="D263" s="165" t="str">
        <x:v>保管湿度</x:v>
      </x:c>
      <x:c r="E263" s="165" t="str">
        <x:v>天然コルク栓のワインを非常に乾燥した場所で長期保管した場合に起こり得る問題はどれか。</x:v>
      </x:c>
      <x:c r="F263" s="165" t="str">
        <x:v>涼しく、温度変化が小さく、暗く、振動の少ない場所</x:v>
      </x:c>
      <x:c r="G263" s="165" t="str">
        <x:v>コルクが乾燥・収縮し、酸素侵入や液漏れのリスクが高まる</x:v>
      </x:c>
      <x:c r="H263" s="165" t="str">
        <x:v>コルクが水分を吸って膨張し、瓶口を割る</x:v>
      </x:c>
      <x:c r="I263" s="165" t="str">
        <x:v>ワインの残糖が蒸発し、辛口へ変化する</x:v>
      </x:c>
      <x:c r="J263" s="171" t="str">
        <x:v>B</x:v>
      </x:c>
      <x:c r="K263" s="165" t="str">
        <x:v>コルクが乾燥・収縮し、酸素侵入や液漏れのリスクが高まる</x:v>
      </x:c>
      <x:c r="L263" s="165" t="str">
        <x:v>正しい。適度な湿度と横置きで、コルクの弾力と密閉性を保つ。</x:v>
      </x:c>
      <x:c r="M263" s="165" t="str">
        <x:v>誤り。これは同じ知識領域の「保管温度」に当てはまる説明で、設問の「保管湿度」を最も適切に説明しない。</x:v>
      </x:c>
      <x:c r="N263" s="165" t="str">
        <x:v>正しい。適度な湿度と横置きで、コルクの弾力と密閉性を保つ。</x:v>
      </x:c>
      <x:c r="O263" s="165" t="str">
        <x:v>誤り。非常に乾燥した環境では収縮が問題。</x:v>
      </x:c>
      <x:c r="P263" s="165" t="str">
        <x:v>誤り。糖は栓を通じて選択的に蒸発しない。</x:v>
      </x:c>
      <x:c r="Q263" s="165" t="str">
        <x:v>保管・サービス</x:v>
      </x:c>
      <x:c r="R263" s="165" t="str">
        <x:v>湿度・コルク</x:v>
      </x:c>
      <x:c r="S263" s="165" t="str">
        <x:v>全般</x:v>
      </x:c>
      <x:c r="T263" s="165"/>
      <x:c r="U263" s="165"/>
      <x:c r="V263" s="165"/>
      <x:c r="W263" s="165" t="str">
        <x:v>因果説明</x:v>
      </x:c>
      <x:c r="X263" s="171" t="str">
        <x:v>D2</x:v>
      </x:c>
      <x:c r="Y263" s="165" t="str">
        <x:v>保管湿度を保管温度の特徴と混同; 乾燥でコルクが膨張する; 乾燥保管で残糖蒸発</x:v>
      </x:c>
      <x:c r="Z263" s="171" t="str">
        <x:v>N</x:v>
      </x:c>
      <x:c r="AA263" s="165"/>
      <x:c r="AB263" s="165" t="str">
        <x:v>オリジナル</x:v>
      </x:c>
      <x:c r="AC263" s="165" t="str">
        <x:v>公式Specificationの範囲＋ユーザー作成コーパスの論点と問題設計例を参考に独自作成</x:v>
      </x:c>
      <x:c r="AD263" s="171" t="str">
        <x:v>改稿済み・専門家未承認</x:v>
      </x:c>
      <x:c r="AE263" s="171" t="str">
        <x:v>AI誤答レビュー</x:v>
      </x:c>
      <x:c r="AF263" s="171" t="str">
        <x:v>2026-07-12</x:v>
      </x:c>
      <x:c r="AG263" s="166" t="str">
        <x:v>第4バッチ：同一論点内の典型的誤概念へ置換。正答位置は維持。</x:v>
      </x:c>
    </x:row>
    <x:row r="264" ht="84" customHeight="1">
      <x:c r="A264" s="164" t="str">
        <x:v>LO5-023</x:v>
      </x:c>
      <x:c r="B264" s="171" t="str">
        <x:v>LO5</x:v>
      </x:c>
      <x:c r="C264" s="165" t="str">
        <x:v>情報提供・推奨・保管・サービス</x:v>
      </x:c>
      <x:c r="D264" s="165" t="str">
        <x:v>振動の影響</x:v>
      </x:c>
      <x:c r="E264" s="165" t="str">
        <x:v>熟成用ワインを、継続的な振動のある場所で保管しない方がよい主な理由はどれか。</x:v>
      </x:c>
      <x:c r="F264" s="165" t="str">
        <x:v>振動で瓶内温度が上昇し、熱損傷が起こりやすくなる</x:v>
      </x:c>
      <x:c r="G264" s="165" t="str">
        <x:v>振動でコルク汚染物質が生成される</x:v>
      </x:c>
      <x:c r="H264" s="165" t="str">
        <x:v>澱が舞い続け、熟成やサービス時の清澄性に悪影響を与える可能性がある</x:v>
      </x:c>
      <x:c r="I264" s="165" t="str">
        <x:v>振動でワインの残糖が発酵し、非発泡性ワインが発泡する</x:v>
      </x:c>
      <x:c r="J264" s="171" t="str">
        <x:v>C</x:v>
      </x:c>
      <x:c r="K264" s="165" t="str">
        <x:v>澱が舞い続け、熟成やサービス時の清澄性に悪影響を与える可能性がある</x:v>
      </x:c>
      <x:c r="L264" s="165" t="str">
        <x:v>正しい。沈殿が安定せず、熟成とデカンティング時の清澄性を損なう可能性がある。</x:v>
      </x:c>
      <x:c r="M264" s="165" t="str">
        <x:v>誤り。振動自体が高温を生むことが主な問題ではない。</x:v>
      </x:c>
      <x:c r="N264" s="165" t="str">
        <x:v>誤り。TCAは振動で生成されない。</x:v>
      </x:c>
      <x:c r="O264" s="165" t="str">
        <x:v>正しい。沈殿が安定せず、熟成とデカンティング時の清澄性を損なう可能性がある。</x:v>
      </x:c>
      <x:c r="P264" s="165" t="str">
        <x:v>誤り。振動だけで再発酵は起こらない。</x:v>
      </x:c>
      <x:c r="Q264" s="165" t="str">
        <x:v>保管・サービス</x:v>
      </x:c>
      <x:c r="R264" s="165" t="str">
        <x:v>振動・澱</x:v>
      </x:c>
      <x:c r="S264" s="165" t="str">
        <x:v>全般</x:v>
      </x:c>
      <x:c r="T264" s="165"/>
      <x:c r="U264" s="165"/>
      <x:c r="V264" s="165"/>
      <x:c r="W264" s="165" t="str">
        <x:v>因果説明</x:v>
      </x:c>
      <x:c r="X264" s="171" t="str">
        <x:v>D2</x:v>
      </x:c>
      <x:c r="Y264" s="165" t="str">
        <x:v>振動の主な問題は熱損傷; 振動でTCAが生成される; 振動で残糖が再発酵する</x:v>
      </x:c>
      <x:c r="Z264" s="171" t="str">
        <x:v>N</x:v>
      </x:c>
      <x:c r="AA264" s="165"/>
      <x:c r="AB264" s="165" t="str">
        <x:v>オリジナル</x:v>
      </x:c>
      <x:c r="AC264" s="165" t="str">
        <x:v>公式Specificationの範囲＋ユーザー作成コーパスの論点と問題設計例を参考に独自作成</x:v>
      </x:c>
      <x:c r="AD264" s="171" t="str">
        <x:v>改稿済み・専門家未承認</x:v>
      </x:c>
      <x:c r="AE264" s="171" t="str">
        <x:v>AI誤答レビュー</x:v>
      </x:c>
      <x:c r="AF264" s="171" t="str">
        <x:v>2026-07-12</x:v>
      </x:c>
      <x:c r="AG264" s="166" t="str">
        <x:v>第3バッチ：同一論点内の典型的誤概念へ置換。正答位置は維持。</x:v>
      </x:c>
    </x:row>
    <x:row r="265" ht="84" customHeight="1">
      <x:c r="A265" s="164" t="str">
        <x:v>LO5-024</x:v>
      </x:c>
      <x:c r="B265" s="171" t="str">
        <x:v>LO5</x:v>
      </x:c>
      <x:c r="C265" s="165" t="str">
        <x:v>情報提供・推奨・保管・サービス</x:v>
      </x:c>
      <x:c r="D265" s="165" t="str">
        <x:v>保管場所の臭い</x:v>
      </x:c>
      <x:c r="E265" s="165" t="str">
        <x:v>ワインを強い塗料や溶剤の臭いがある場所で長期間保管することが望ましくない理由はどれか。</x:v>
      </x:c>
      <x:c r="F265" s="165" t="str">
        <x:v>澱が舞い続け、熟成やサービス時の清澄性に悪影響を与える可能性がある</x:v>
      </x:c>
      <x:c r="G265" s="165" t="str">
        <x:v>塗料臭がボトル内の酸素を消費し、還元臭を作るため</x:v>
      </x:c>
      <x:c r="H265" s="165" t="str">
        <x:v>溶剤がガラスを溶かし、ワインへ混ざるため</x:v>
      </x:c>
      <x:c r="I265" s="165" t="str">
        <x:v>一部の強い揮発性化合物が栓や包装を通じてワインへ影響する可能性があるため</x:v>
      </x:c>
      <x:c r="J265" s="171" t="str">
        <x:v>D</x:v>
      </x:c>
      <x:c r="K265" s="165" t="str">
        <x:v>一部の強い揮発性化合物が栓や包装を通じてワインへ影響する可能性があるため</x:v>
      </x:c>
      <x:c r="L265" s="165" t="str">
        <x:v>正しい。長期保管では無臭で清潔な環境が望ましい。</x:v>
      </x:c>
      <x:c r="M265" s="165" t="str">
        <x:v>誤り。これは同じ知識領域の「振動の影響」に当てはまる説明で、設問の「保管場所の臭い」を最も適切に説明しない。</x:v>
      </x:c>
      <x:c r="N265" s="165" t="str">
        <x:v>誤り。保管場所の臭いと瓶内酸素消費は直接関係しない。</x:v>
      </x:c>
      <x:c r="O265" s="165" t="str">
        <x:v>誤り。通常のガラスが保管臭で溶解するわけではない。</x:v>
      </x:c>
      <x:c r="P265" s="165" t="str">
        <x:v>正しい。長期保管では無臭で清潔な環境が望ましい。</x:v>
      </x:c>
      <x:c r="Q265" s="165" t="str">
        <x:v>保管・サービス</x:v>
      </x:c>
      <x:c r="R265" s="165" t="str">
        <x:v>臭い・保管環境</x:v>
      </x:c>
      <x:c r="S265" s="165" t="str">
        <x:v>全般</x:v>
      </x:c>
      <x:c r="T265" s="165"/>
      <x:c r="U265" s="165"/>
      <x:c r="V265" s="165"/>
      <x:c r="W265" s="165" t="str">
        <x:v>適用</x:v>
      </x:c>
      <x:c r="X265" s="171" t="str">
        <x:v>D2</x:v>
      </x:c>
      <x:c r="Y265" s="165" t="str">
        <x:v>保管場所の臭いを振動の影響の特徴と混同; 塗料臭が瓶内酸素を消費; 溶剤がガラスを溶かす</x:v>
      </x:c>
      <x:c r="Z265" s="171" t="str">
        <x:v>N</x:v>
      </x:c>
      <x:c r="AA265" s="165"/>
      <x:c r="AB265" s="165" t="str">
        <x:v>オリジナル</x:v>
      </x:c>
      <x:c r="AC265" s="165" t="str">
        <x:v>公式Specificationの範囲＋ユーザー作成コーパスの論点と問題設計例を参考に独自作成</x:v>
      </x:c>
      <x:c r="AD265" s="171" t="str">
        <x:v>改稿済み・専門家未承認</x:v>
      </x:c>
      <x:c r="AE265" s="171" t="str">
        <x:v>AI誤答レビュー</x:v>
      </x:c>
      <x:c r="AF265" s="171" t="str">
        <x:v>2026-07-12</x:v>
      </x:c>
      <x:c r="AG265" s="166" t="str">
        <x:v>第4バッチ：同一論点内の典型的誤概念へ置換。正答位置は維持。</x:v>
      </x:c>
    </x:row>
    <x:row r="266" ht="84" customHeight="1">
      <x:c r="A266" s="164" t="str">
        <x:v>LO5-025</x:v>
      </x:c>
      <x:c r="B266" s="171" t="str">
        <x:v>LO5</x:v>
      </x:c>
      <x:c r="C266" s="165" t="str">
        <x:v>情報提供・推奨・保管・サービス</x:v>
      </x:c>
      <x:c r="D266" s="165" t="str">
        <x:v>在庫回転</x:v>
      </x:c>
      <x:c r="E266" s="165" t="str">
        <x:v>同じ銘柄・同じスタイルのワインを複数回入荷した場合、一般に先に入荷した在庫から提供する主な利点はどれか。</x:v>
      </x:c>
      <x:c r="F266" s="165" t="str">
        <x:v>適切な飲み頃を過ぎる在庫を減らし、保管期間を管理しやすい</x:v>
      </x:c>
      <x:c r="G266" s="165" t="str">
        <x:v>新しい在庫から先に提供すると、古い在庫をより熟成した商品として販売しやすい</x:v>
      </x:c>
      <x:c r="H266" s="165" t="str">
        <x:v>先入れ先出しは天然コルク栓だけに必要で、スクリューキャップには関係しない</x:v>
      </x:c>
      <x:c r="I266" s="165" t="str">
        <x:v>同じヴィンテージであれば、入荷時期と保管期間は品質や在庫管理へ影響しない</x:v>
      </x:c>
      <x:c r="J266" s="171" t="str">
        <x:v>A</x:v>
      </x:c>
      <x:c r="K266" s="165" t="str">
        <x:v>適切な飲み頃を過ぎる在庫を減らし、保管期間を管理しやすい</x:v>
      </x:c>
      <x:c r="L266" s="165" t="str">
        <x:v>正しい。早飲みワインの鮮度を保ち、古いロットの滞留と廃棄を防ぎやすい。</x:v>
      </x:c>
      <x:c r="M266" s="165" t="str">
        <x:v>正しい。早飲みワインの鮮度を保ち、古いロットの滞留と廃棄を防ぎやすい。</x:v>
      </x:c>
      <x:c r="N266" s="165" t="str">
        <x:v>誤り。日常消費用ワインは保管で価値が上がるとは限らず、古い在庫の滞留と劣化を招く。</x:v>
      </x:c>
      <x:c r="O266" s="165" t="str">
        <x:v>誤り。栓の種類にかかわらず、保管期間と在庫回転の管理は必要である。</x:v>
      </x:c>
      <x:c r="P266" s="165" t="str">
        <x:v>誤り。同じヴィンテージでも、入荷時期と保管履歴が異なれば状態と在庫効率へ影響する。</x:v>
      </x:c>
      <x:c r="Q266" s="165" t="str">
        <x:v>保管・サービス・商業</x:v>
      </x:c>
      <x:c r="R266" s="165" t="str">
        <x:v>在庫管理・先入れ先出し</x:v>
      </x:c>
      <x:c r="S266" s="165" t="str">
        <x:v>全般</x:v>
      </x:c>
      <x:c r="T266" s="165"/>
      <x:c r="U266" s="165"/>
      <x:c r="V266" s="165"/>
      <x:c r="W266" s="165" t="str">
        <x:v>適用</x:v>
      </x:c>
      <x:c r="X266" s="171" t="str">
        <x:v>D2</x:v>
      </x:c>
      <x:c r="Y266" s="165" t="str">
        <x:v>古い在庫は保管するほど商品価値が上がる; FIFOは天然コルクだけに必要; 同じヴィンテージなら入荷時期は無関係</x:v>
      </x:c>
      <x:c r="Z266" s="171" t="str">
        <x:v>N</x:v>
      </x:c>
      <x:c r="AA266" s="165"/>
      <x:c r="AB266" s="165" t="str">
        <x:v>オリジナル</x:v>
      </x:c>
      <x:c r="AC266" s="165" t="str">
        <x:v>公式Specificationの範囲＋ユーザー作成コーパスの論点と問題設計例を参考に独自作成</x:v>
      </x:c>
      <x:c r="AD266" s="171" t="str">
        <x:v>改稿済み・専門家未承認</x:v>
      </x:c>
      <x:c r="AE266" s="171" t="str">
        <x:v>AI誤答レビュー</x:v>
      </x:c>
      <x:c r="AF266" s="171" t="str">
        <x:v>2026-07-12</x:v>
      </x:c>
      <x:c r="AG266" s="166" t="str">
        <x:v>第2バッチ：誤答を同一論点内の典型的誤概念へ置換。正答位置は維持。</x:v>
      </x:c>
    </x:row>
    <x:row r="267" ht="84" customHeight="1">
      <x:c r="A267" s="164" t="str">
        <x:v>LO5-026</x:v>
      </x:c>
      <x:c r="B267" s="171" t="str">
        <x:v>LO5</x:v>
      </x:c>
      <x:c r="C267" s="165" t="str">
        <x:v>情報提供・推奨・保管・サービス</x:v>
      </x:c>
      <x:c r="D267" s="165" t="str">
        <x:v>熟成ワインの事前準備</x:v>
      </x:c>
      <x:c r="E267" s="165" t="str">
        <x:v>澱がある可能性の高い熟成赤ワインをサービスする前に、瓶を立てて静置する主な目的はどれか。</x:v>
      </x:c>
      <x:c r="F267" s="165" t="str">
        <x:v>コルクを乾燥させて瓶内へ落としやすくする</x:v>
      </x:c>
      <x:c r="G267" s="165" t="str">
        <x:v>澱を瓶底へ沈め、開栓やデカンティング時に分離しやすくする</x:v>
      </x:c>
      <x:c r="H267" s="165" t="str">
        <x:v>瓶内のワインを空気へ触れさせ、開栓前から香りを開かせる</x:v>
      </x:c>
      <x:c r="I267" s="165" t="str">
        <x:v>タンニンを沈殿させて、数時間でワインを甘く柔らかくする</x:v>
      </x:c>
      <x:c r="J267" s="171" t="str">
        <x:v>B</x:v>
      </x:c>
      <x:c r="K267" s="165" t="str">
        <x:v>澱を瓶底へ沈め、開栓やデカンティング時に分離しやすくする</x:v>
      </x:c>
      <x:c r="L267" s="165" t="str">
        <x:v>正しい。輸送や横置きで広がった沈殿を底へ集め、澄んだワインを移しやすくする。</x:v>
      </x:c>
      <x:c r="M267" s="165" t="str">
        <x:v>誤り。長期保管ではコルク乾燥を目的とせず、開栓トラブルを増やす。</x:v>
      </x:c>
      <x:c r="N267" s="165" t="str">
        <x:v>正しい。輸送や横置きで広がった沈殿を底へ集め、澄んだワインを移しやすくする。</x:v>
      </x:c>
      <x:c r="O267" s="165" t="str">
        <x:v>誤り。未開栓の瓶を立てても、瓶内への空気接触は大きく増えない。</x:v>
      </x:c>
      <x:c r="P267" s="165" t="str">
        <x:v>誤り。既に形成された澱を沈める操作で、短時間にタンニンを新たに沈殿させ甘味を変えるものではない。</x:v>
      </x:c>
      <x:c r="Q267" s="165" t="str">
        <x:v>保管・サービス</x:v>
      </x:c>
      <x:c r="R267" s="165" t="str">
        <x:v>熟成ワイン・澱</x:v>
      </x:c>
      <x:c r="S267" s="165" t="str">
        <x:v>非発泡性赤ワイン</x:v>
      </x:c>
      <x:c r="T267" s="165"/>
      <x:c r="U267" s="165"/>
      <x:c r="V267" s="165"/>
      <x:c r="W267" s="165" t="str">
        <x:v>適用</x:v>
      </x:c>
      <x:c r="X267" s="171" t="str">
        <x:v>D2</x:v>
      </x:c>
      <x:c r="Y267" s="165" t="str">
        <x:v>静置はコルクを乾燥させるため; 立てると開栓前から酸素が入り香りが開く; 静置でタンニンが急速に沈殿し甘くなる</x:v>
      </x:c>
      <x:c r="Z267" s="171" t="str">
        <x:v>N</x:v>
      </x:c>
      <x:c r="AA267" s="165"/>
      <x:c r="AB267" s="165" t="str">
        <x:v>オリジナル</x:v>
      </x:c>
      <x:c r="AC267" s="165" t="str">
        <x:v>公式Specificationの範囲＋ユーザー作成コーパスの論点と問題設計例を参考に独自作成</x:v>
      </x:c>
      <x:c r="AD267" s="171" t="str">
        <x:v>改稿済み・専門家未承認</x:v>
      </x:c>
      <x:c r="AE267" s="171" t="str">
        <x:v>AI誤答レビュー</x:v>
      </x:c>
      <x:c r="AF267" s="171" t="str">
        <x:v>2026-07-12</x:v>
      </x:c>
      <x:c r="AG267" s="166" t="str">
        <x:v>第2バッチ：誤答を同一論点内の典型的誤概念へ置換。正答位置は維持。</x:v>
      </x:c>
    </x:row>
    <x:row r="268" ht="84" customHeight="1">
      <x:c r="A268" s="164" t="str">
        <x:v>LO5-027</x:v>
      </x:c>
      <x:c r="B268" s="171" t="str">
        <x:v>LO5</x:v>
      </x:c>
      <x:c r="C268" s="165" t="str">
        <x:v>情報提供・推奨・保管・サービス</x:v>
      </x:c>
      <x:c r="D268" s="165" t="str">
        <x:v>開栓後の非発泡性ワイン</x:v>
      </x:c>
      <x:c r="E268" s="165" t="str">
        <x:v>開栓した非発泡性ワインを翌日まで比較的良い状態で保つ方法として、最も適切なものはどれか。</x:v>
      </x:c>
      <x:c r="F268" s="165" t="str">
        <x:v>開栓した非発泡性ワインを室温で開放し、酸化で香りを安定させる</x:v>
      </x:c>
      <x:c r="G268" s="165" t="str">
        <x:v>室温で開栓したまま置き、揮発性の欠陥を飛ばす</x:v>
      </x:c>
      <x:c r="H268" s="165" t="str">
        <x:v>再栓して冷蔵し、必要なら不活性ガスを用いて酸素接触を減らす</x:v>
      </x:c>
      <x:c r="I268" s="165" t="str">
        <x:v>真空ポンプで完全な真空にし、数週間品質を固定する</x:v>
      </x:c>
      <x:c r="J268" s="171" t="str">
        <x:v>C</x:v>
      </x:c>
      <x:c r="K268" s="165" t="str">
        <x:v>再栓して冷蔵し、必要なら不活性ガスを用いて酸素接触を減らす</x:v>
      </x:c>
      <x:c r="L268" s="165" t="str">
        <x:v>正しい。低温とヘッドスペース酸素の削減で酸化を遅らせる。</x:v>
      </x:c>
      <x:c r="M268" s="165" t="str">
        <x:v>誤り。再栓・冷蔵・不活性ガスで酸素接触を減らす方が保存に適する。</x:v>
      </x:c>
      <x:c r="N268" s="165" t="str">
        <x:v>誤り。酸化が進む。</x:v>
      </x:c>
      <x:c r="O268" s="165" t="str">
        <x:v>正しい。低温とヘッドスペース酸素の削減で酸化を遅らせる。</x:v>
      </x:c>
      <x:c r="P268" s="165" t="str">
        <x:v>誤り。完全真空・長期保証はできない。</x:v>
      </x:c>
      <x:c r="Q268" s="165" t="str">
        <x:v>保管・サービス</x:v>
      </x:c>
      <x:c r="R268" s="165" t="str">
        <x:v>開栓後保存・酸化</x:v>
      </x:c>
      <x:c r="S268" s="165" t="str">
        <x:v>非発泡性ワイン</x:v>
      </x:c>
      <x:c r="T268" s="165"/>
      <x:c r="U268" s="165"/>
      <x:c r="V268" s="165"/>
      <x:c r="W268" s="165" t="str">
        <x:v>適用</x:v>
      </x:c>
      <x:c r="X268" s="171" t="str">
        <x:v>D1</x:v>
      </x:c>
      <x:c r="Y268" s="165" t="str">
        <x:v>開栓ワインは室温開放で保存する; 開栓したまま室温保存; 真空ポンプで数週間完全保存</x:v>
      </x:c>
      <x:c r="Z268" s="171" t="str">
        <x:v>N</x:v>
      </x:c>
      <x:c r="AA268" s="165"/>
      <x:c r="AB268" s="165" t="str">
        <x:v>オリジナル</x:v>
      </x:c>
      <x:c r="AC268" s="165" t="str">
        <x:v>公式Specificationの範囲＋ユーザー作成コーパスの論点と問題設計例を参考に独自作成</x:v>
      </x:c>
      <x:c r="AD268" s="171" t="str">
        <x:v>改稿済み・専門家未承認</x:v>
      </x:c>
      <x:c r="AE268" s="171" t="str">
        <x:v>AI誤答レビュー</x:v>
      </x:c>
      <x:c r="AF268" s="171" t="str">
        <x:v>2026-07-12</x:v>
      </x:c>
      <x:c r="AG268" s="166" t="str">
        <x:v>第4バッチ：同一論点内の典型的誤概念へ置換。正答位置は維持。</x:v>
      </x:c>
    </x:row>
    <x:row r="269" ht="84" customHeight="1">
      <x:c r="A269" s="164" t="str">
        <x:v>LO5-028</x:v>
      </x:c>
      <x:c r="B269" s="171" t="str">
        <x:v>LO5</x:v>
      </x:c>
      <x:c r="C269" s="165" t="str">
        <x:v>情報提供・推奨・保管・サービス</x:v>
      </x:c>
      <x:c r="D269" s="165" t="str">
        <x:v>開栓後の発泡性ワイン</x:v>
      </x:c>
      <x:c r="E269" s="165" t="str">
        <x:v>開栓した発泡性ワインの炭酸ガスを短時間保つために最も有効な方法はどれか。</x:v>
      </x:c>
      <x:c r="F269" s="165" t="str">
        <x:v>普通の紙を瓶口に置き、常温で保管する</x:v>
      </x:c>
      <x:c r="G269" s="165" t="str">
        <x:v>瓶を振ってから栓を外したままにする</x:v>
      </x:c>
      <x:c r="H269" s="165" t="str">
        <x:v>温めて炭酸ガスを液体中へ押し戻す</x:v>
      </x:c>
      <x:c r="I269" s="165" t="str">
        <x:v>発泡性ワイン用ストッパーで密閉し、冷蔵する</x:v>
      </x:c>
      <x:c r="J269" s="171" t="str">
        <x:v>D</x:v>
      </x:c>
      <x:c r="K269" s="165" t="str">
        <x:v>発泡性ワイン用ストッパーで密閉し、冷蔵する</x:v>
      </x:c>
      <x:c r="L269" s="165" t="str">
        <x:v>正しい。専用ストッパーは瓶内圧を保持しやすく、低温は炭酸ガスが液体中に溶けた状態を保つのに役立つ。</x:v>
      </x:c>
      <x:c r="M269" s="165" t="str">
        <x:v>誤り。密閉できず、炭酸ガスが逃げやすい。</x:v>
      </x:c>
      <x:c r="N269" s="165" t="str">
        <x:v>誤り。振動と開放は炭酸ガスの放出を促す。</x:v>
      </x:c>
      <x:c r="O269" s="165" t="str">
        <x:v>誤り。温度が上がると炭酸ガスは液体から抜けやすくなる。</x:v>
      </x:c>
      <x:c r="P269" s="165" t="str">
        <x:v>正しい。専用ストッパーは瓶内圧を保持しやすく、低温は炭酸ガスが液体中に溶けた状態を保つのに役立つ。</x:v>
      </x:c>
      <x:c r="Q269" s="165" t="str">
        <x:v>保管・サービス</x:v>
      </x:c>
      <x:c r="R269" s="165" t="str">
        <x:v>発泡性ワイン・開栓後保存</x:v>
      </x:c>
      <x:c r="S269" s="165" t="str">
        <x:v>発泡性ワイン</x:v>
      </x:c>
      <x:c r="T269" s="165"/>
      <x:c r="U269" s="165"/>
      <x:c r="V269" s="165"/>
      <x:c r="W269" s="165" t="str">
        <x:v>適用</x:v>
      </x:c>
      <x:c r="X269" s="171" t="str">
        <x:v>D1</x:v>
      </x:c>
      <x:c r="Y269" s="165" t="str">
        <x:v>開栓後の発泡性ワインに関する別の特徴・要因と混同; 開栓後の発泡性ワインに関する別の特徴・要因と混同; 開栓後の発泡性ワインに関する別の特徴・要因と混同</x:v>
      </x:c>
      <x:c r="Z269" s="171" t="str">
        <x:v>N</x:v>
      </x:c>
      <x:c r="AA269" s="165"/>
      <x:c r="AB269" s="165" t="str">
        <x:v>オリジナル</x:v>
      </x:c>
      <x:c r="AC269" s="165" t="str">
        <x:v>公式Specificationの範囲＋ユーザー作成コーパスの論点と問題設計例を参考に独自作成</x:v>
      </x:c>
      <x:c r="AD269" s="171" t="str">
        <x:v>改稿済み・専門家未承認</x:v>
      </x:c>
      <x:c r="AE269" s="171" t="str">
        <x:v>AI誤答レビュー</x:v>
      </x:c>
      <x:c r="AF269" s="171" t="str">
        <x:v>2026-07-12</x:v>
      </x:c>
      <x:c r="AG269" s="166" t="str">
        <x:v>最終バッチ：有効な誤答を維持し、絶対語・物理的不可能な誤答のみ置換。正答位置は維持。</x:v>
      </x:c>
    </x:row>
    <x:row r="270" ht="84" customHeight="1">
      <x:c r="A270" s="164" t="str">
        <x:v>LO5-029</x:v>
      </x:c>
      <x:c r="B270" s="171" t="str">
        <x:v>LO5</x:v>
      </x:c>
      <x:c r="C270" s="165" t="str">
        <x:v>情報提供・推奨・保管・サービス</x:v>
      </x:c>
      <x:c r="D270" s="165" t="str">
        <x:v>ボトルの提示</x:v>
      </x:c>
      <x:c r="E270" s="165" t="str">
        <x:v>レストランで注文されたワインを開栓前に顧客へ提示する主な目的はどれか。</x:v>
      </x:c>
      <x:c r="F270" s="165" t="str">
        <x:v>生産者、ワイン名、ヴィンテージなどが注文内容と一致するか確認してもらう</x:v>
      </x:c>
      <x:c r="G270" s="165" t="str">
        <x:v>顧客にラベルを剥がしてもらう</x:v>
      </x:c>
      <x:c r="H270" s="165" t="str">
        <x:v>ボトルを振って澱を均一に混ぜてもらう</x:v>
      </x:c>
      <x:c r="I270" s="165" t="str">
        <x:v>顧客に未開栓のまま香りを評価してもらう</x:v>
      </x:c>
      <x:c r="J270" s="171" t="str">
        <x:v>A</x:v>
      </x:c>
      <x:c r="K270" s="165" t="str">
        <x:v>生産者、ワイン名、ヴィンテージなどが注文内容と一致するか確認してもらう</x:v>
      </x:c>
      <x:c r="L270" s="165" t="str">
        <x:v>正しい。開栓前の提示は、誤った銘柄やヴィンテージを開けることを防ぎ、注文内容を相互に確認するために行う。</x:v>
      </x:c>
      <x:c r="M270" s="165" t="str">
        <x:v>正しい。開栓前の提示は、誤った銘柄やヴィンテージを開けることを防ぎ、注文内容を相互に確認するために行う。</x:v>
      </x:c>
      <x:c r="N270" s="165" t="str">
        <x:v>誤り。ラベルを剥がすことが目的ではない。</x:v>
      </x:c>
      <x:c r="O270" s="165" t="str">
        <x:v>誤り。特に熟成ワインでは澱を舞い上げるため不適切である。</x:v>
      </x:c>
      <x:c r="P270" s="165" t="str">
        <x:v>誤り。栓をしたままではワインの香りを適切に評価できない。</x:v>
      </x:c>
      <x:c r="Q270" s="165" t="str">
        <x:v>保管・サービス</x:v>
      </x:c>
      <x:c r="R270" s="165" t="str">
        <x:v>サービス手順・確認</x:v>
      </x:c>
      <x:c r="S270" s="165" t="str">
        <x:v>全般</x:v>
      </x:c>
      <x:c r="T270" s="165"/>
      <x:c r="U270" s="165"/>
      <x:c r="V270" s="165"/>
      <x:c r="W270" s="165" t="str">
        <x:v>適用</x:v>
      </x:c>
      <x:c r="X270" s="171" t="str">
        <x:v>D1</x:v>
      </x:c>
      <x:c r="Y270" s="165" t="str">
        <x:v>ボトルの提示に関する別の特徴・要因と混同; ボトルの提示に関する別の特徴・要因と混同; ボトルの提示に関する別の特徴・要因と混同</x:v>
      </x:c>
      <x:c r="Z270" s="171" t="str">
        <x:v>N</x:v>
      </x:c>
      <x:c r="AA270" s="165"/>
      <x:c r="AB270" s="165" t="str">
        <x:v>オリジナル</x:v>
      </x:c>
      <x:c r="AC270" s="165" t="str">
        <x:v>公式Specificationの範囲＋ユーザー作成コーパスの論点と問題設計例を参考に独自作成</x:v>
      </x:c>
      <x:c r="AD270" s="171" t="str">
        <x:v>改稿済み・専門家未承認</x:v>
      </x:c>
      <x:c r="AE270" s="171" t="str">
        <x:v>AI誤答レビュー</x:v>
      </x:c>
      <x:c r="AF270" s="171" t="str">
        <x:v>2026-07-12</x:v>
      </x:c>
      <x:c r="AG270" s="166" t="str">
        <x:v>最終バッチ：有効な誤答を維持し、絶対語・物理的不可能な誤答のみ置換。正答位置は維持。</x:v>
      </x:c>
    </x:row>
    <x:row r="271" ht="84" customHeight="1">
      <x:c r="A271" s="164" t="str">
        <x:v>LO5-030</x:v>
      </x:c>
      <x:c r="B271" s="171" t="str">
        <x:v>LO5</x:v>
      </x:c>
      <x:c r="C271" s="165" t="str">
        <x:v>情報提供・推奨・保管・サービス</x:v>
      </x:c>
      <x:c r="D271" s="165" t="str">
        <x:v>グラスの清潔さ</x:v>
      </x:c>
      <x:c r="E271" s="165" t="str">
        <x:v>ワイングラスを清潔で無臭に保つことが重要な主な理由はどれか。</x:v>
      </x:c>
      <x:c r="F271" s="165" t="str">
        <x:v>グラスの臭いがワインのアルコール度を下げるため</x:v>
      </x:c>
      <x:c r="G271" s="165" t="str">
        <x:v>洗剤や保管場所の臭いがワインの香りを覆い、評価や楽しみを妨げるため</x:v>
      </x:c>
      <x:c r="H271" s="165" t="str">
        <x:v>無臭のグラスではワインの色が見えなくなるため</x:v>
      </x:c>
      <x:c r="I271" s="165" t="str">
        <x:v>洗剤の香りが強いほど品質が高く感じられるため</x:v>
      </x:c>
      <x:c r="J271" s="171" t="str">
        <x:v>B</x:v>
      </x:c>
      <x:c r="K271" s="165" t="str">
        <x:v>洗剤や保管場所の臭いがワインの香りを覆い、評価や楽しみを妨げるため</x:v>
      </x:c>
      <x:c r="L271" s="165" t="str">
        <x:v>正しい。ワインの香りは繊細であり、グラスに残った洗剤、布、収納場所などの臭いが品質評価を歪める可能性がある。</x:v>
      </x:c>
      <x:c r="M271" s="165" t="str">
        <x:v>誤り。外部の臭いはアルコール度を下げない。</x:v>
      </x:c>
      <x:c r="N271" s="165" t="str">
        <x:v>正しい。ワインの香りは繊細であり、グラスに残った洗剤、布、収納場所などの臭いが品質評価を歪める可能性がある。</x:v>
      </x:c>
      <x:c r="O271" s="165" t="str">
        <x:v>誤り。清潔さと色の視認性は矛盾せず、透明なグラスなら色を観察できる。</x:v>
      </x:c>
      <x:c r="P271" s="165" t="str">
        <x:v>誤り。外部香はワイン本来の香りを妨げ、品質評価には不利である。</x:v>
      </x:c>
      <x:c r="Q271" s="165" t="str">
        <x:v>保管・サービス</x:v>
      </x:c>
      <x:c r="R271" s="165" t="str">
        <x:v>グラスウェア・清潔さ</x:v>
      </x:c>
      <x:c r="S271" s="165" t="str">
        <x:v>全般</x:v>
      </x:c>
      <x:c r="T271" s="165"/>
      <x:c r="U271" s="165"/>
      <x:c r="V271" s="165"/>
      <x:c r="W271" s="165" t="str">
        <x:v>因果説明</x:v>
      </x:c>
      <x:c r="X271" s="171" t="str">
        <x:v>D1</x:v>
      </x:c>
      <x:c r="Y271" s="165" t="str">
        <x:v>グラスの清潔さに関する別の特徴・要因と混同; グラスの清潔さに関する別の特徴・要因と混同; グラスの清潔さに関する別の特徴・要因と混同</x:v>
      </x:c>
      <x:c r="Z271" s="171" t="str">
        <x:v>N</x:v>
      </x:c>
      <x:c r="AA271" s="165"/>
      <x:c r="AB271" s="165" t="str">
        <x:v>オリジナル</x:v>
      </x:c>
      <x:c r="AC271" s="165" t="str">
        <x:v>公式Specificationの範囲＋ユーザー作成コーパスの論点と問題設計例を参考に独自作成</x:v>
      </x:c>
      <x:c r="AD271" s="171" t="str">
        <x:v>改稿済み・専門家未承認</x:v>
      </x:c>
      <x:c r="AE271" s="171" t="str">
        <x:v>AI誤答レビュー</x:v>
      </x:c>
      <x:c r="AF271" s="171" t="str">
        <x:v>2026-07-12</x:v>
      </x:c>
      <x:c r="AG271" s="166" t="str">
        <x:v>最終バッチ：有効な誤答を維持し、絶対語・物理的不可能な誤答のみ置換。正答位置は維持。</x:v>
      </x:c>
    </x:row>
    <x:row r="272" ht="84" customHeight="1">
      <x:c r="A272" s="164" t="str">
        <x:v>LO5-031</x:v>
      </x:c>
      <x:c r="B272" s="171" t="str">
        <x:v>LO5</x:v>
      </x:c>
      <x:c r="C272" s="165" t="str">
        <x:v>情報提供・推奨・保管・サービス</x:v>
      </x:c>
      <x:c r="D272" s="165" t="str">
        <x:v>グラスの形状</x:v>
      </x:c>
      <x:c r="E272" s="165" t="str">
        <x:v>一般的なテイスティング用グラスで、ボウルがある程度広く、口がやや狭くなっている利点はどれか。</x:v>
      </x:c>
      <x:c r="F272" s="165" t="str">
        <x:v>広いボウルで香りを外へ逃がし、狭い口でアルコールだけをグラス内に保持する</x:v>
      </x:c>
      <x:c r="G272" s="165" t="str">
        <x:v>狭い口によってワインが舌先だけへ流れ、実際の残糖が増えたように感じさせる</x:v>
      </x:c>
      <x:c r="H272" s="165" t="str">
        <x:v>香りを発散させつつグラス上部へ集め、外観と香りを観察しやすくする</x:v>
      </x:c>
      <x:c r="I272" s="165" t="str">
        <x:v>広いボウルがワインの温度を下げ続け、酸を実際より高く保つ</x:v>
      </x:c>
      <x:c r="J272" s="171" t="str">
        <x:v>C</x:v>
      </x:c>
      <x:c r="K272" s="165" t="str">
        <x:v>香りを発散させつつグラス上部へ集め、外観と香りを観察しやすくする</x:v>
      </x:c>
      <x:c r="L272" s="165" t="str">
        <x:v>正しい。十分な液面で香りを揮発させ、狭い開口部で香りを集中させながら、スワリングと外観観察を行える。</x:v>
      </x:c>
      <x:c r="M272" s="165" t="str">
        <x:v>誤り。広いボウルは香りを揮発させるが、狭い口は香り全体を集めるためで、アルコールだけを保持するわけではない。</x:v>
      </x:c>
      <x:c r="N272" s="165" t="str">
        <x:v>誤り。グラス形状は香りと口中での広がりに影響するが、残糖そのものを増やさない。</x:v>
      </x:c>
      <x:c r="O272" s="165" t="str">
        <x:v>正しい。十分な液面で香りを揮発させ、狭い開口部で香りを集中させながら、スワリングと外観観察を行える。</x:v>
      </x:c>
      <x:c r="P272" s="165" t="str">
        <x:v>誤り。ボウルは手や室温の影響を受け、ワインを継続的に冷却する装置ではない。</x:v>
      </x:c>
      <x:c r="Q272" s="165" t="str">
        <x:v>保管・サービス</x:v>
      </x:c>
      <x:c r="R272" s="165" t="str">
        <x:v>グラス形状・香り</x:v>
      </x:c>
      <x:c r="S272" s="165" t="str">
        <x:v>全般</x:v>
      </x:c>
      <x:c r="T272" s="165"/>
      <x:c r="U272" s="165"/>
      <x:c r="V272" s="165"/>
      <x:c r="W272" s="165" t="str">
        <x:v>因果説明</x:v>
      </x:c>
      <x:c r="X272" s="171" t="str">
        <x:v>D1</x:v>
      </x:c>
      <x:c r="Y272" s="165" t="str">
        <x:v>狭い口はアルコールだけを保持; グラス形状で残糖増加; ボウルが継続冷却</x:v>
      </x:c>
      <x:c r="Z272" s="171" t="str">
        <x:v>N</x:v>
      </x:c>
      <x:c r="AA272" s="165"/>
      <x:c r="AB272" s="165" t="str">
        <x:v>オリジナル</x:v>
      </x:c>
      <x:c r="AC272" s="165" t="str">
        <x:v>公式Specificationの範囲＋ユーザー作成コーパスの論点と問題設計例を参考に独自作成</x:v>
      </x:c>
      <x:c r="AD272" s="171" t="str">
        <x:v>改稿済み・専門家未承認</x:v>
      </x:c>
      <x:c r="AE272" s="171" t="str">
        <x:v>AI誤答レビュー</x:v>
      </x:c>
      <x:c r="AF272" s="171" t="str">
        <x:v>2026-07-12</x:v>
      </x:c>
      <x:c r="AG272" s="166" t="str">
        <x:v>誤答を同一論点内の典型的誤概念へ置換。900問本体への反映前に専門家確認推奨。</x:v>
      </x:c>
    </x:row>
    <x:row r="273" ht="84" customHeight="1">
      <x:c r="A273" s="164" t="str">
        <x:v>LO5-032</x:v>
      </x:c>
      <x:c r="B273" s="171" t="str">
        <x:v>LO5</x:v>
      </x:c>
      <x:c r="C273" s="165" t="str">
        <x:v>情報提供・推奨・保管・サービス</x:v>
      </x:c>
      <x:c r="D273" s="165" t="str">
        <x:v>注ぐ量</x:v>
      </x:c>
      <x:c r="E273" s="165" t="str">
        <x:v>ワインをグラスいっぱいまで注がず、一定の空間を残す主な利点はどれか。</x:v>
      </x:c>
      <x:c r="F273" s="165" t="str">
        <x:v>香りを発散させつつグラス上部へ集め、観察しやすくする</x:v>
      </x:c>
      <x:c r="G273" s="165" t="str">
        <x:v>空間があるほどアルコールが蒸発し、ワインが低アルコールになる</x:v>
      </x:c>
      <x:c r="H273" s="165" t="str">
        <x:v>グラス内の空気が残糖を増やし、果実味を強める</x:v>
      </x:c>
      <x:c r="I273" s="165" t="str">
        <x:v>ワインを回す空間と、揮発した香りが集まる空間を残す</x:v>
      </x:c>
      <x:c r="J273" s="171" t="str">
        <x:v>D</x:v>
      </x:c>
      <x:c r="K273" s="165" t="str">
        <x:v>ワインを回す空間と、揮発した香りが集まる空間を残す</x:v>
      </x:c>
      <x:c r="L273" s="165" t="str">
        <x:v>正しい。こぼさずスワリングし、ボウル内に香りを集めて評価できる。</x:v>
      </x:c>
      <x:c r="M273" s="165" t="str">
        <x:v>誤り。これは同じ知識領域の「グラスの形状」に当てはまる説明で、設問の「注ぐ量」を最も適切に説明しない。</x:v>
      </x:c>
      <x:c r="N273" s="165" t="str">
        <x:v>誤り。サービス中の蒸発で度数は大きく変わらない。</x:v>
      </x:c>
      <x:c r="O273" s="165" t="str">
        <x:v>誤り。空気が糖を生成しない。</x:v>
      </x:c>
      <x:c r="P273" s="165" t="str">
        <x:v>正しい。こぼさずスワリングし、ボウル内に香りを集めて評価できる。</x:v>
      </x:c>
      <x:c r="Q273" s="165" t="str">
        <x:v>保管・サービス</x:v>
      </x:c>
      <x:c r="R273" s="165" t="str">
        <x:v>注量・香り</x:v>
      </x:c>
      <x:c r="S273" s="165" t="str">
        <x:v>全般</x:v>
      </x:c>
      <x:c r="T273" s="165"/>
      <x:c r="U273" s="165"/>
      <x:c r="V273" s="165"/>
      <x:c r="W273" s="165" t="str">
        <x:v>適用</x:v>
      </x:c>
      <x:c r="X273" s="171" t="str">
        <x:v>D1</x:v>
      </x:c>
      <x:c r="Y273" s="165" t="str">
        <x:v>注ぐ量をグラスの形状の特徴と混同; グラス空間で脱アルコール; ヘッドスペースで残糖増加</x:v>
      </x:c>
      <x:c r="Z273" s="171" t="str">
        <x:v>N</x:v>
      </x:c>
      <x:c r="AA273" s="165"/>
      <x:c r="AB273" s="165" t="str">
        <x:v>オリジナル</x:v>
      </x:c>
      <x:c r="AC273" s="165" t="str">
        <x:v>公式Specificationの範囲＋ユーザー作成コーパスの論点と問題設計例を参考に独自作成</x:v>
      </x:c>
      <x:c r="AD273" s="171" t="str">
        <x:v>改稿済み・専門家未承認</x:v>
      </x:c>
      <x:c r="AE273" s="171" t="str">
        <x:v>AI誤答レビュー</x:v>
      </x:c>
      <x:c r="AF273" s="171" t="str">
        <x:v>2026-07-12</x:v>
      </x:c>
      <x:c r="AG273" s="166" t="str">
        <x:v>第4バッチ：同一論点内の典型的誤概念へ置換。正答位置は維持。</x:v>
      </x:c>
    </x:row>
    <x:row r="274" ht="84" customHeight="1">
      <x:c r="A274" s="164" t="str">
        <x:v>LO5-033</x:v>
      </x:c>
      <x:c r="B274" s="171" t="str">
        <x:v>LO5</x:v>
      </x:c>
      <x:c r="C274" s="165" t="str">
        <x:v>情報提供・推奨・保管・サービス</x:v>
      </x:c>
      <x:c r="D274" s="165" t="str">
        <x:v>発泡性ワインの開栓</x:v>
      </x:c>
      <x:c r="E274" s="165" t="str">
        <x:v>発泡性ワインを安全に開栓する方法として最も適切なものはどれか。</x:v>
      </x:c>
      <x:c r="F274" s="165" t="str">
        <x:v>瓶を人から離して傾け、コルクを押さえながら瓶底側をゆっくり回す</x:v>
      </x:c>
      <x:c r="G274" s="165" t="str">
        <x:v>コルクを人へ向け、栓を一気に飛ばす</x:v>
      </x:c>
      <x:c r="H274" s="165" t="str">
        <x:v>瓶を強く振ってからワイヤーを外す</x:v>
      </x:c>
      <x:c r="I274" s="165" t="str">
        <x:v>瓶を温めて内圧を高めてから開ける</x:v>
      </x:c>
      <x:c r="J274" s="171" t="str">
        <x:v>A</x:v>
      </x:c>
      <x:c r="K274" s="165" t="str">
        <x:v>瓶を人から離して傾け、コルクを押さえながら瓶底側をゆっくり回す</x:v>
      </x:c>
      <x:c r="L274" s="165" t="str">
        <x:v>正しい。瓶内圧が高いため、コルクを常に管理し、瓶をゆっくり回して小さな音で圧を逃がす方法が安全である。</x:v>
      </x:c>
      <x:c r="M274" s="165" t="str">
        <x:v>正しい。瓶内圧が高いため、コルクを常に管理し、瓶をゆっくり回して小さな音で圧を逃がす方法が安全である。</x:v>
      </x:c>
      <x:c r="N274" s="165" t="str">
        <x:v>誤り。高速で飛ぶコルクは事故につながる。</x:v>
      </x:c>
      <x:c r="O274" s="165" t="str">
        <x:v>誤り。振ると泡が噴き出しやすくなり危険である。</x:v>
      </x:c>
      <x:c r="P274" s="165" t="str">
        <x:v>誤り。加温は圧力を上げ、危険性を高める。</x:v>
      </x:c>
      <x:c r="Q274" s="165" t="str">
        <x:v>保管・サービス</x:v>
      </x:c>
      <x:c r="R274" s="165" t="str">
        <x:v>発泡性ワイン・安全な開栓</x:v>
      </x:c>
      <x:c r="S274" s="165" t="str">
        <x:v>発泡性ワイン</x:v>
      </x:c>
      <x:c r="T274" s="165"/>
      <x:c r="U274" s="165"/>
      <x:c r="V274" s="165"/>
      <x:c r="W274" s="165" t="str">
        <x:v>適用</x:v>
      </x:c>
      <x:c r="X274" s="171" t="str">
        <x:v>D2</x:v>
      </x:c>
      <x:c r="Y274" s="165" t="str">
        <x:v>発泡性ワインの開栓に関する別の特徴・要因と混同; 発泡性ワインの開栓に関する別の特徴・要因と混同; 発泡性ワインの開栓に関する別の特徴・要因と混同</x:v>
      </x:c>
      <x:c r="Z274" s="171" t="str">
        <x:v>N</x:v>
      </x:c>
      <x:c r="AA274" s="165"/>
      <x:c r="AB274" s="165" t="str">
        <x:v>オリジナル</x:v>
      </x:c>
      <x:c r="AC274" s="165" t="str">
        <x:v>公式Specificationの範囲＋ユーザー作成コーパスの論点と問題設計例を参考に独自作成</x:v>
      </x:c>
      <x:c r="AD274" s="171" t="str">
        <x:v>改稿済み・専門家未承認</x:v>
      </x:c>
      <x:c r="AE274" s="171" t="str">
        <x:v>AI誤答レビュー</x:v>
      </x:c>
      <x:c r="AF274" s="171" t="str">
        <x:v>2026-07-12</x:v>
      </x:c>
      <x:c r="AG274" s="166" t="str">
        <x:v>最終バッチ：有効な誤答を維持し、絶対語・物理的不可能な誤答のみ置換。正答位置は維持。</x:v>
      </x:c>
    </x:row>
    <x:row r="275" ht="84" customHeight="1">
      <x:c r="A275" s="164" t="str">
        <x:v>LO5-034</x:v>
      </x:c>
      <x:c r="B275" s="171" t="str">
        <x:v>LO5</x:v>
      </x:c>
      <x:c r="C275" s="165" t="str">
        <x:v>情報提供・推奨・保管・サービス</x:v>
      </x:c>
      <x:c r="D275" s="165" t="str">
        <x:v>天然コルク栓の開栓</x:v>
      </x:c>
      <x:c r="E275" s="165" t="str">
        <x:v>天然コルク栓の非発泡性ワインを開ける際、スクリューをコルクの中央へまっすぐ入れる主な理由はどれか。</x:v>
      </x:c>
      <x:c r="F275" s="165" t="str">
        <x:v>中心を避けて斜めに入れるより、短いスクリューでも大きな横方向の力を加えられるため</x:v>
      </x:c>
      <x:c r="G275" s="165" t="str">
        <x:v>コルクを崩しにくくし、安定して引き抜くため</x:v>
      </x:c>
      <x:c r="H275" s="165" t="str">
        <x:v>スクリュー先端をコルク下端まで貫通させると、コルクをより確実に保持できる</x:v>
      </x:c>
      <x:c r="I275" s="165" t="str">
        <x:v>古い脆いコルクほど斜めに刺すことで、コルク全体へ力を分散できるため</x:v>
      </x:c>
      <x:c r="J275" s="171" t="str">
        <x:v>B</x:v>
      </x:c>
      <x:c r="K275" s="165" t="str">
        <x:v>コルクを崩しにくくし、安定して引き抜くため</x:v>
      </x:c>
      <x:c r="L275" s="165" t="str">
        <x:v>正しい。中央へ適切な深さで入れると力が均等にかかり、破損を抑えられる。</x:v>
      </x:c>
      <x:c r="M275" s="165" t="str">
        <x:v>誤り。斜め挿入はコルク側面を破りやすく、安定した引き抜きには不利である。</x:v>
      </x:c>
      <x:c r="N275" s="165" t="str">
        <x:v>正しい。中央へ適切な深さで入れると力が均等にかかり、破損を抑えられる。</x:v>
      </x:c>
      <x:c r="O275" s="165" t="str">
        <x:v>誤り。下端を貫通するとコルク片をワインへ落とす可能性があり、適切な深さで止める。</x:v>
      </x:c>
      <x:c r="P275" s="165" t="str">
        <x:v>誤り。脆いコルクには二枚刃式などを検討し、斜めのスクリューで保護するわけではない。</x:v>
      </x:c>
      <x:c r="Q275" s="165" t="str">
        <x:v>保管・サービス</x:v>
      </x:c>
      <x:c r="R275" s="165" t="str">
        <x:v>コルク栓・開栓</x:v>
      </x:c>
      <x:c r="S275" s="165" t="str">
        <x:v>非発泡性ワイン</x:v>
      </x:c>
      <x:c r="T275" s="165"/>
      <x:c r="U275" s="165"/>
      <x:c r="V275" s="165"/>
      <x:c r="W275" s="165" t="str">
        <x:v>適用</x:v>
      </x:c>
      <x:c r="X275" s="171" t="str">
        <x:v>D1</x:v>
      </x:c>
      <x:c r="Y275" s="165" t="str">
        <x:v>斜め挿入の方が横方向の力で安定する; コルクを貫通するほど保持が安定する; 古いコルクは斜め挿入で保護できる</x:v>
      </x:c>
      <x:c r="Z275" s="171" t="str">
        <x:v>N</x:v>
      </x:c>
      <x:c r="AA275" s="165"/>
      <x:c r="AB275" s="165" t="str">
        <x:v>オリジナル</x:v>
      </x:c>
      <x:c r="AC275" s="165" t="str">
        <x:v>公式Specificationの範囲＋ユーザー作成コーパスの論点と問題設計例を参考に独自作成</x:v>
      </x:c>
      <x:c r="AD275" s="171" t="str">
        <x:v>改稿済み・専門家未承認</x:v>
      </x:c>
      <x:c r="AE275" s="171" t="str">
        <x:v>AI誤答レビュー</x:v>
      </x:c>
      <x:c r="AF275" s="171" t="str">
        <x:v>2026-07-12</x:v>
      </x:c>
      <x:c r="AG275" s="166" t="str">
        <x:v>第2バッチ：誤答を同一論点内の典型的誤概念へ置換。正答位置は維持。</x:v>
      </x:c>
    </x:row>
    <x:row r="276" ht="84" customHeight="1">
      <x:c r="A276" s="164" t="str">
        <x:v>LO5-035</x:v>
      </x:c>
      <x:c r="B276" s="171" t="str">
        <x:v>LO5</x:v>
      </x:c>
      <x:c r="C276" s="165" t="str">
        <x:v>情報提供・推奨・保管・サービス</x:v>
      </x:c>
      <x:c r="D276" s="165" t="str">
        <x:v>アイスバケット</x:v>
      </x:c>
      <x:c r="E276" s="165" t="str">
        <x:v>ワインをアイスバケットで効率よく冷やす方法として最も適切なものはどれか。</x:v>
      </x:c>
      <x:c r="F276" s="165" t="str">
        <x:v>氷だけを少量入れ、瓶に触れないようにする</x:v>
      </x:c>
      <x:c r="G276" s="165" t="str">
        <x:v>温水を入れ、瓶を振り続ける</x:v>
      </x:c>
      <x:c r="H276" s="165" t="str">
        <x:v>氷と水を一緒に入れ、瓶の広い面を冷却液へ接触させる</x:v>
      </x:c>
      <x:c r="I276" s="165" t="str">
        <x:v>瓶を直射日光へ置き、外側だけ氷で覆う</x:v>
      </x:c>
      <x:c r="J276" s="171" t="str">
        <x:v>C</x:v>
      </x:c>
      <x:c r="K276" s="165" t="str">
        <x:v>氷と水を一緒に入れ、瓶の広い面を冷却液へ接触させる</x:v>
      </x:c>
      <x:c r="L276" s="165" t="str">
        <x:v>正しい。水が氷と瓶の間を満たして接触面積を増やすため、氷だけの場合より熱が移動しやすく、均一に冷却できる。</x:v>
      </x:c>
      <x:c r="M276" s="165" t="str">
        <x:v>誤り。接触が少ないと冷却効率が低い。</x:v>
      </x:c>
      <x:c r="N276" s="165" t="str">
        <x:v>誤り。温水は冷却にならず、振動も望ましくない。</x:v>
      </x:c>
      <x:c r="O276" s="165" t="str">
        <x:v>正しい。水が氷と瓶の間を満たして接触面積を増やすため、氷だけの場合より熱が移動しやすく、均一に冷却できる。</x:v>
      </x:c>
      <x:c r="P276" s="165" t="str">
        <x:v>誤り。日光による加熱と光劣化のリスクがある。</x:v>
      </x:c>
      <x:c r="Q276" s="165" t="str">
        <x:v>保管・サービス</x:v>
      </x:c>
      <x:c r="R276" s="165" t="str">
        <x:v>冷却・設備</x:v>
      </x:c>
      <x:c r="S276" s="165" t="str">
        <x:v>全般</x:v>
      </x:c>
      <x:c r="T276" s="165"/>
      <x:c r="U276" s="165"/>
      <x:c r="V276" s="165"/>
      <x:c r="W276" s="165" t="str">
        <x:v>適用</x:v>
      </x:c>
      <x:c r="X276" s="171" t="str">
        <x:v>D2</x:v>
      </x:c>
      <x:c r="Y276" s="165" t="str">
        <x:v>アイスバケットに関する別の特徴・要因と混同; アイスバケットに関する別の特徴・要因と混同; アイスバケットに関する別の特徴・要因と混同</x:v>
      </x:c>
      <x:c r="Z276" s="171" t="str">
        <x:v>N</x:v>
      </x:c>
      <x:c r="AA276" s="165"/>
      <x:c r="AB276" s="165" t="str">
        <x:v>オリジナル</x:v>
      </x:c>
      <x:c r="AC276" s="165" t="str">
        <x:v>公式Specificationの範囲＋ユーザー作成コーパスの論点と問題設計例を参考に独自作成</x:v>
      </x:c>
      <x:c r="AD276" s="171" t="str">
        <x:v>改稿済み・専門家未承認</x:v>
      </x:c>
      <x:c r="AE276" s="171" t="str">
        <x:v>AI誤答レビュー</x:v>
      </x:c>
      <x:c r="AF276" s="171" t="str">
        <x:v>2026-07-12</x:v>
      </x:c>
      <x:c r="AG276" s="166" t="str">
        <x:v>最終バッチ：有効な誤答を維持し、絶対語・物理的不可能な誤答のみ置換。正答位置は維持。</x:v>
      </x:c>
    </x:row>
    <x:row r="277" ht="84" customHeight="1">
      <x:c r="A277" s="164" t="str">
        <x:v>LO5-036</x:v>
      </x:c>
      <x:c r="B277" s="171" t="str">
        <x:v>LO5</x:v>
      </x:c>
      <x:c r="C277" s="165" t="str">
        <x:v>情報提供・推奨・保管・サービス</x:v>
      </x:c>
      <x:c r="D277" s="165" t="str">
        <x:v>冷やしすぎたワイン</x:v>
      </x:c>
      <x:c r="E277" s="165" t="str">
        <x:v>冷やしすぎたワインを適切な温度へ戻す方法として最も適切なものはどれか。</x:v>
      </x:c>
      <x:c r="F277" s="165" t="str">
        <x:v>氷と水を一緒に入れ、瓶の広い面を冷却液へ接触させる</x:v>
      </x:c>
      <x:c r="G277" s="165" t="str">
        <x:v>電子レンジで短時間加熱し、温度を均一にする</x:v>
      </x:c>
      <x:c r="H277" s="165" t="str">
        <x:v>ボトルを熱湯へ浸し、香りが開くまで急速に温める</x:v>
      </x:c>
      <x:c r="I277" s="165" t="str">
        <x:v>室温の環境でゆっくり温度を上げ、グラス内の変化を確認する</x:v>
      </x:c>
      <x:c r="J277" s="171" t="str">
        <x:v>D</x:v>
      </x:c>
      <x:c r="K277" s="165" t="str">
        <x:v>室温の環境でゆっくり温度を上げ、グラス内の変化を確認する</x:v>
      </x:c>
      <x:c r="L277" s="165" t="str">
        <x:v>正しい。急激な加熱を避け、自然に香りと質感を開かせる。</x:v>
      </x:c>
      <x:c r="M277" s="165" t="str">
        <x:v>誤り。これは同じ知識領域の「アイスバケット」に当てはまる説明で、設問の「冷やしすぎたワイン」を最も適切に説明しない。</x:v>
      </x:c>
      <x:c r="N277" s="165" t="str">
        <x:v>誤り。局所過熱と香味劣化のリスクがある。</x:v>
      </x:c>
      <x:c r="O277" s="165" t="str">
        <x:v>誤り。急激な加熱は品質を損なう。</x:v>
      </x:c>
      <x:c r="P277" s="165" t="str">
        <x:v>正しい。急激な加熱を避け、自然に香りと質感を開かせる。</x:v>
      </x:c>
      <x:c r="Q277" s="165" t="str">
        <x:v>保管・サービス</x:v>
      </x:c>
      <x:c r="R277" s="165" t="str">
        <x:v>サービス温度・調整</x:v>
      </x:c>
      <x:c r="S277" s="165" t="str">
        <x:v>全般</x:v>
      </x:c>
      <x:c r="T277" s="165"/>
      <x:c r="U277" s="165"/>
      <x:c r="V277" s="165"/>
      <x:c r="W277" s="165" t="str">
        <x:v>適用</x:v>
      </x:c>
      <x:c r="X277" s="171" t="str">
        <x:v>D1</x:v>
      </x:c>
      <x:c r="Y277" s="165" t="str">
        <x:v>冷やしすぎたワインをアイスバケットの特徴と混同; 電子レンジでワインを加熱; 熱湯で急速加熱</x:v>
      </x:c>
      <x:c r="Z277" s="171" t="str">
        <x:v>N</x:v>
      </x:c>
      <x:c r="AA277" s="165"/>
      <x:c r="AB277" s="165" t="str">
        <x:v>オリジナル</x:v>
      </x:c>
      <x:c r="AC277" s="165" t="str">
        <x:v>公式Specificationの範囲＋ユーザー作成コーパスの論点と問題設計例を参考に独自作成</x:v>
      </x:c>
      <x:c r="AD277" s="171" t="str">
        <x:v>改稿済み・専門家未承認</x:v>
      </x:c>
      <x:c r="AE277" s="171" t="str">
        <x:v>AI誤答レビュー</x:v>
      </x:c>
      <x:c r="AF277" s="171" t="str">
        <x:v>2026-07-12</x:v>
      </x:c>
      <x:c r="AG277" s="166" t="str">
        <x:v>第4バッチ：同一論点内の典型的誤概念へ置換。正答位置は維持。</x:v>
      </x:c>
    </x:row>
    <x:row r="278" ht="84" customHeight="1">
      <x:c r="A278" s="164" t="str">
        <x:v>LO5-037</x:v>
      </x:c>
      <x:c r="B278" s="171" t="str">
        <x:v>LO5</x:v>
      </x:c>
      <x:c r="C278" s="165" t="str">
        <x:v>情報提供・推奨・保管・サービス</x:v>
      </x:c>
      <x:c r="D278" s="165" t="str">
        <x:v>ホストによる試飲</x:v>
      </x:c>
      <x:c r="E278" s="165" t="str">
        <x:v>レストランでホストに少量のワインを試してもらう主な目的はどれか。</x:v>
      </x:c>
      <x:c r="F278" s="165" t="str">
        <x:v>ワインに欠陥がなく、注文したボトルが提供可能な状態か確認してもらう</x:v>
      </x:c>
      <x:c r="G278" s="165" t="str">
        <x:v>ホストがワインを全部飲み切れるか試す</x:v>
      </x:c>
      <x:c r="H278" s="165" t="str">
        <x:v>注文した料理の価格を決める</x:v>
      </x:c>
      <x:c r="I278" s="165" t="str">
        <x:v>ワインの法律上の原産地を変更する</x:v>
      </x:c>
      <x:c r="J278" s="171" t="str">
        <x:v>A</x:v>
      </x:c>
      <x:c r="K278" s="165" t="str">
        <x:v>ワインに欠陥がなく、注文したボトルが提供可能な状態か確認してもらう</x:v>
      </x:c>
      <x:c r="L278" s="165" t="str">
        <x:v>正しい。ホストの試飲は、個人の好みで返品するためではなく、コルク汚染や酸化などの状態確認を主な目的とする。</x:v>
      </x:c>
      <x:c r="M278" s="165" t="str">
        <x:v>正しい。ホストの試飲は、個人の好みで返品するためではなく、コルク汚染や酸化などの状態確認を主な目的とする。</x:v>
      </x:c>
      <x:c r="N278" s="165" t="str">
        <x:v>誤り。試飲量は状態確認に必要な少量である。</x:v>
      </x:c>
      <x:c r="O278" s="165" t="str">
        <x:v>誤り。ワインの試飲は料理の価格決定と関係しない。</x:v>
      </x:c>
      <x:c r="P278" s="165" t="str">
        <x:v>誤り。試飲によって原産地や表示は変わらない。</x:v>
      </x:c>
      <x:c r="Q278" s="165" t="str">
        <x:v>保管・サービス</x:v>
      </x:c>
      <x:c r="R278" s="165" t="str">
        <x:v>サービス手順・状態確認</x:v>
      </x:c>
      <x:c r="S278" s="165" t="str">
        <x:v>全般</x:v>
      </x:c>
      <x:c r="T278" s="165"/>
      <x:c r="U278" s="165"/>
      <x:c r="V278" s="165"/>
      <x:c r="W278" s="165" t="str">
        <x:v>適用</x:v>
      </x:c>
      <x:c r="X278" s="171" t="str">
        <x:v>D1</x:v>
      </x:c>
      <x:c r="Y278" s="165" t="str">
        <x:v>ホストによる試飲に関する別の特徴・要因と混同; ホストによる試飲に関する別の特徴・要因と混同; ホストによる試飲に関する別の特徴・要因と混同</x:v>
      </x:c>
      <x:c r="Z278" s="171" t="str">
        <x:v>N</x:v>
      </x:c>
      <x:c r="AA278" s="165"/>
      <x:c r="AB278" s="165" t="str">
        <x:v>オリジナル</x:v>
      </x:c>
      <x:c r="AC278" s="165" t="str">
        <x:v>公式Specificationの範囲＋ユーザー作成コーパスの論点と問題設計例を参考に独自作成</x:v>
      </x:c>
      <x:c r="AD278" s="171" t="str">
        <x:v>改稿済み・専門家未承認</x:v>
      </x:c>
      <x:c r="AE278" s="171" t="str">
        <x:v>AI誤答レビュー</x:v>
      </x:c>
      <x:c r="AF278" s="171" t="str">
        <x:v>2026-07-12</x:v>
      </x:c>
      <x:c r="AG278" s="166" t="str">
        <x:v>最終バッチ：有効な誤答を維持し、絶対語・物理的不可能な誤答のみ置換。正答位置は維持。</x:v>
      </x:c>
    </x:row>
    <x:row r="279" ht="84" customHeight="1">
      <x:c r="A279" s="164" t="str">
        <x:v>LO5-038</x:v>
      </x:c>
      <x:c r="B279" s="171" t="str">
        <x:v>LO5</x:v>
      </x:c>
      <x:c r="C279" s="165" t="str">
        <x:v>情報提供・推奨・保管・サービス</x:v>
      </x:c>
      <x:c r="D279" s="165" t="str">
        <x:v>グラスの持ち方</x:v>
      </x:c>
      <x:c r="E279" s="165" t="str">
        <x:v>脚付きワイングラスを脚または台座で持つ利点はどれか。</x:v>
      </x:c>
      <x:c r="F279" s="165" t="str">
        <x:v>脚から空気がボウル内へ入り、ワインの香りを開く</x:v>
      </x:c>
      <x:c r="G279" s="165" t="str">
        <x:v>手の熱でワイン温度が上がるのを抑え、ボウルへ指紋を付けにくい</x:v>
      </x:c>
      <x:c r="H279" s="165" t="str">
        <x:v>脚からワインへ酸素が入り、香りが開く</x:v>
      </x:c>
      <x:c r="I279" s="165" t="str">
        <x:v>台座を持つと残糖が低く感じられ、辛口評価が正確になる</x:v>
      </x:c>
      <x:c r="J279" s="171" t="str">
        <x:v>B</x:v>
      </x:c>
      <x:c r="K279" s="165" t="str">
        <x:v>手の熱でワイン温度が上がるのを抑え、ボウルへ指紋を付けにくい</x:v>
      </x:c>
      <x:c r="L279" s="165" t="str">
        <x:v>正しい。温度と外観を保ちながらスワリングできる。</x:v>
      </x:c>
      <x:c r="M279" s="165" t="str">
        <x:v>誤り。グラスの脚は空気の通路ではなく、持ち方による温度上昇と指紋を防ぐために使う。</x:v>
      </x:c>
      <x:c r="N279" s="165" t="str">
        <x:v>正しい。温度と外観を保ちながらスワリングできる。</x:v>
      </x:c>
      <x:c r="O279" s="165" t="str">
        <x:v>誤り。脚は中空の通気路ではない。</x:v>
      </x:c>
      <x:c r="P279" s="165" t="str">
        <x:v>誤り。持ち方が残糖知覚を直接変えない。</x:v>
      </x:c>
      <x:c r="Q279" s="165" t="str">
        <x:v>保管・サービス</x:v>
      </x:c>
      <x:c r="R279" s="165" t="str">
        <x:v>グラスウェア・温度</x:v>
      </x:c>
      <x:c r="S279" s="165" t="str">
        <x:v>全般</x:v>
      </x:c>
      <x:c r="T279" s="165"/>
      <x:c r="U279" s="165"/>
      <x:c r="V279" s="165"/>
      <x:c r="W279" s="165" t="str">
        <x:v>適用</x:v>
      </x:c>
      <x:c r="X279" s="171" t="str">
        <x:v>D1</x:v>
      </x:c>
      <x:c r="Y279" s="165" t="str">
        <x:v>グラスの脚が通気路になる; グラス脚から酸素が入る; 台座で甘味知覚が変わる</x:v>
      </x:c>
      <x:c r="Z279" s="171" t="str">
        <x:v>N</x:v>
      </x:c>
      <x:c r="AA279" s="165"/>
      <x:c r="AB279" s="165" t="str">
        <x:v>オリジナル</x:v>
      </x:c>
      <x:c r="AC279" s="165" t="str">
        <x:v>公式Specificationの範囲＋ユーザー作成コーパスの論点と問題設計例を参考に独自作成</x:v>
      </x:c>
      <x:c r="AD279" s="171" t="str">
        <x:v>改稿済み・専門家未承認</x:v>
      </x:c>
      <x:c r="AE279" s="171" t="str">
        <x:v>AI誤答レビュー</x:v>
      </x:c>
      <x:c r="AF279" s="171" t="str">
        <x:v>2026-07-12</x:v>
      </x:c>
      <x:c r="AG279" s="166" t="str">
        <x:v>第4バッチ：同一論点内の典型的誤概念へ置換。正答位置は維持。</x:v>
      </x:c>
    </x:row>
    <x:row r="280" ht="84" customHeight="1">
      <x:c r="A280" s="164" t="str">
        <x:v>LO5-039</x:v>
      </x:c>
      <x:c r="B280" s="171" t="str">
        <x:v>LO5</x:v>
      </x:c>
      <x:c r="C280" s="165" t="str">
        <x:v>情報提供・推奨・保管・サービス</x:v>
      </x:c>
      <x:c r="D280" s="165" t="str">
        <x:v>予算と機会</x:v>
      </x:c>
      <x:c r="E280" s="165" t="str">
        <x:v>顧客が「記念日の贈り物として、予算内で熟成可能な赤ワイン」を求めている場合、推奨で最も重視すべき組み合わせはどれか。</x:v>
      </x:c>
      <x:c r="F280" s="165" t="str">
        <x:v>ラベルの色だけ</x:v>
      </x:c>
      <x:c r="G280" s="165" t="str">
        <x:v>ボトルの重さだけ</x:v>
      </x:c>
      <x:c r="H280" s="165" t="str">
        <x:v>価格、機会、品質、ワインのスタイルと熟成能力</x:v>
      </x:c>
      <x:c r="I280" s="165" t="str">
        <x:v>アルコール度が最も高いことだけ</x:v>
      </x:c>
      <x:c r="J280" s="171" t="str">
        <x:v>C</x:v>
      </x:c>
      <x:c r="K280" s="165" t="str">
        <x:v>価格、機会、品質、ワインのスタイルと熟成能力</x:v>
      </x:c>
      <x:c r="L280" s="165" t="str">
        <x:v>正しい。推奨は単一要因ではなく、予算、用途、期待するスタイル、品質、保存期間を総合して選ぶ必要がある。</x:v>
      </x:c>
      <x:c r="M280" s="165" t="str">
        <x:v>誤り。ラベルの色は熟成能力や品質を十分に示さない。</x:v>
      </x:c>
      <x:c r="N280" s="165" t="str">
        <x:v>誤り。重い瓶はワインの品質や熟成能力を保証しない。</x:v>
      </x:c>
      <x:c r="O280" s="165" t="str">
        <x:v>正しい。推奨は単一要因ではなく、予算、用途、期待するスタイル、品質、保存期間を総合して選ぶ必要がある。</x:v>
      </x:c>
      <x:c r="P280" s="165" t="str">
        <x:v>誤り。高アルコールだけでは品質、好み、熟成能力、予算への適合を判断できない。</x:v>
      </x:c>
      <x:c r="Q280" s="165" t="str">
        <x:v>推奨・助言</x:v>
      </x:c>
      <x:c r="R280" s="165" t="str">
        <x:v>選択基準・機会・価格</x:v>
      </x:c>
      <x:c r="S280" s="165" t="str">
        <x:v>全般</x:v>
      </x:c>
      <x:c r="T280" s="165"/>
      <x:c r="U280" s="165"/>
      <x:c r="V280" s="165"/>
      <x:c r="W280" s="165" t="str">
        <x:v>統合判断</x:v>
      </x:c>
      <x:c r="X280" s="171" t="str">
        <x:v>D3</x:v>
      </x:c>
      <x:c r="Y280" s="165" t="str">
        <x:v>予算と機会に関する別の特徴・要因と混同; 予算と機会に関する別の特徴・要因と混同; 予算と機会に関する別の特徴・要因と混同</x:v>
      </x:c>
      <x:c r="Z280" s="171" t="str">
        <x:v>N</x:v>
      </x:c>
      <x:c r="AA280" s="165"/>
      <x:c r="AB280" s="165" t="str">
        <x:v>オリジナル</x:v>
      </x:c>
      <x:c r="AC280" s="165" t="str">
        <x:v>公式Specificationの範囲＋ユーザー作成コーパスの論点と問題設計例を参考に独自作成</x:v>
      </x:c>
      <x:c r="AD280" s="171" t="str">
        <x:v>改稿済み・専門家未承認</x:v>
      </x:c>
      <x:c r="AE280" s="171" t="str">
        <x:v>AI誤答レビュー</x:v>
      </x:c>
      <x:c r="AF280" s="171" t="str">
        <x:v>2026-07-12</x:v>
      </x:c>
      <x:c r="AG280" s="166" t="str">
        <x:v>最終バッチ：有効な誤答を維持し、絶対語・物理的不可能な誤答のみ置換。正答位置は維持。</x:v>
      </x:c>
    </x:row>
    <x:row r="281" ht="84" customHeight="1">
      <x:c r="A281" s="164" t="str">
        <x:v>LO5-040</x:v>
      </x:c>
      <x:c r="B281" s="171" t="str">
        <x:v>LO5</x:v>
      </x:c>
      <x:c r="C281" s="165" t="str">
        <x:v>情報提供・推奨・保管・サービス</x:v>
      </x:c>
      <x:c r="D281" s="165" t="str">
        <x:v>個人の好みと感受性</x:v>
      </x:c>
      <x:c r="E281" s="165" t="str">
        <x:v>ワインを推奨する前に、顧客の個人的な好みや感受性を確認する理由として、最も適切なものはどれか。</x:v>
      </x:c>
      <x:c r="F281" s="165" t="str">
        <x:v>同じ品質のワインでも、甘味、酸、タンニン、香りなどへの好みや反応が人によって異なるため</x:v>
      </x:c>
      <x:c r="G281" s="165" t="str">
        <x:v>品質評価が高ければ、個人の好みは満足度へ影響しないため</x:v>
      </x:c>
      <x:c r="H281" s="165" t="str">
        <x:v>高価格のワインほど、酸やタンニンへの感受性を考慮する必要がないため</x:v>
      </x:c>
      <x:c r="I281" s="165" t="str">
        <x:v>品種名が同じなら、産地や醸造にかかわらず同じ好みになるため</x:v>
      </x:c>
      <x:c r="J281" s="171" t="str">
        <x:v>D</x:v>
      </x:c>
      <x:c r="K281" s="165" t="str">
        <x:v>品種名が同じなら、産地や醸造にかかわらず同じ好みになるため</x:v>
      </x:c>
      <x:c r="L281" s="165" t="str">
        <x:v>正しい。同品種でも産地・熟度・醸造でスタイルは変わる。</x:v>
      </x:c>
      <x:c r="M281" s="165" t="str">
        <x:v>誤り。客観的品質と個人的嗜好は別で、構造要素への反応も異なる。</x:v>
      </x:c>
      <x:c r="N281" s="165" t="str">
        <x:v>誤り。高品質でも好みに合わなければ満足度は低くなり得る。</x:v>
      </x:c>
      <x:c r="O281" s="165" t="str">
        <x:v>誤り。価格に関係なく、酸・タンニン・アルコールへの感受性は重要である。</x:v>
      </x:c>
      <x:c r="P281" s="165" t="str">
        <x:v>正しい。同品種でも産地・熟度・醸造でスタイルは変わる。</x:v>
      </x:c>
      <x:c r="Q281" s="165" t="str">
        <x:v>推奨・助言</x:v>
      </x:c>
      <x:c r="R281" s="165" t="str">
        <x:v>個人嗜好・感受性</x:v>
      </x:c>
      <x:c r="S281" s="165" t="str">
        <x:v>全般</x:v>
      </x:c>
      <x:c r="T281" s="165"/>
      <x:c r="U281" s="165"/>
      <x:c r="V281" s="165"/>
      <x:c r="W281" s="165" t="str">
        <x:v>判断</x:v>
      </x:c>
      <x:c r="X281" s="171" t="str">
        <x:v>D2</x:v>
      </x:c>
      <x:c r="Y281" s="165" t="str">
        <x:v>高品質なら個人の好みは無関係; 高価格なら感受性を考慮不要</x:v>
      </x:c>
      <x:c r="Z281" s="171" t="str">
        <x:v>Y</x:v>
      </x:c>
      <x:c r="AA281" s="165" t="str">
        <x:v>「感受性」の具体例をアプリ実装時に過度な医療助言へ広げないよう表現確認推奨</x:v>
      </x:c>
      <x:c r="AB281" s="165" t="str">
        <x:v>オリジナル</x:v>
      </x:c>
      <x:c r="AC281" s="165" t="str">
        <x:v>公式Specificationの範囲＋ユーザー作成コーパスの論点と問題設計例を参考に独自作成</x:v>
      </x:c>
      <x:c r="AD281" s="171" t="str">
        <x:v>改稿済み・専門家未承認</x:v>
      </x:c>
      <x:c r="AE281" s="171" t="str">
        <x:v>AI誤答レビュー</x:v>
      </x:c>
      <x:c r="AF281" s="171" t="str">
        <x:v>2026-07-12</x:v>
      </x:c>
      <x:c r="AG281" s="166" t="str">
        <x:v>第3バッチ：同一論点内の典型的誤概念へ置換。正答位置は維持。</x:v>
      </x:c>
    </x:row>
    <x:row r="282" ht="84" customHeight="1">
      <x:c r="A282" s="164" t="str">
        <x:v>LO5-041</x:v>
      </x:c>
      <x:c r="B282" s="171" t="str">
        <x:v>LO5</x:v>
      </x:c>
      <x:c r="C282" s="165" t="str">
        <x:v>情報提供・推奨・保管・サービス</x:v>
      </x:c>
      <x:c r="D282" s="165" t="str">
        <x:v>品質と価格の推奨</x:v>
      </x:c>
      <x:c r="E282" s="165" t="str">
        <x:v>同じ予算内で二つのワインを比較し、一方を推奨する際の説明として最も適切なものはどれか。</x:v>
      </x:c>
      <x:c r="F282" s="165" t="str">
        <x:v>品質、スタイル、用途への適合を具体的に示し、価格差があればその理由も説明する</x:v>
      </x:c>
      <x:c r="G282" s="165" t="str">
        <x:v>知名度の高い産地であることだけを理由に推奨する</x:v>
      </x:c>
      <x:c r="H282" s="165" t="str">
        <x:v>個人的に好きなワインを、顧客の好みを確認せず勧める</x:v>
      </x:c>
      <x:c r="I282" s="165" t="str">
        <x:v>価格が同じなら品質とスタイルの違いを説明する必要はない</x:v>
      </x:c>
      <x:c r="J282" s="171" t="str">
        <x:v>A</x:v>
      </x:c>
      <x:c r="K282" s="165" t="str">
        <x:v>品質、スタイル、用途への適合を具体的に示し、価格差があればその理由も説明する</x:v>
      </x:c>
      <x:c r="L282" s="165" t="str">
        <x:v>正しい。比較の根拠を具体的に示し、顧客の用途へ結び付ける。</x:v>
      </x:c>
      <x:c r="M282" s="165" t="str">
        <x:v>正しい。比較の根拠を具体的に示し、顧客の用途へ結び付ける。</x:v>
      </x:c>
      <x:c r="N282" s="165" t="str">
        <x:v>誤り。産地名だけで品質・適合を判断しない。</x:v>
      </x:c>
      <x:c r="O282" s="165" t="str">
        <x:v>誤り。スタッフの嗜好より顧客の希望を優先する。</x:v>
      </x:c>
      <x:c r="P282" s="165" t="str">
        <x:v>誤り。同価格でもスタイルや品質、用途は異なる。</x:v>
      </x:c>
      <x:c r="Q282" s="165" t="str">
        <x:v>推奨・助言</x:v>
      </x:c>
      <x:c r="R282" s="165" t="str">
        <x:v>品質・価格・用途</x:v>
      </x:c>
      <x:c r="S282" s="165" t="str">
        <x:v>全般</x:v>
      </x:c>
      <x:c r="T282" s="165"/>
      <x:c r="U282" s="165"/>
      <x:c r="V282" s="165"/>
      <x:c r="W282" s="165" t="str">
        <x:v>統合判断</x:v>
      </x:c>
      <x:c r="X282" s="171" t="str">
        <x:v>D3</x:v>
      </x:c>
      <x:c r="Y282" s="165" t="str">
        <x:v>知名度だけで推奨する; スタッフの好みを優先する; 同価格なら説明不要</x:v>
      </x:c>
      <x:c r="Z282" s="171" t="str">
        <x:v>N</x:v>
      </x:c>
      <x:c r="AA282" s="165"/>
      <x:c r="AB282" s="165" t="str">
        <x:v>オリジナル</x:v>
      </x:c>
      <x:c r="AC282" s="165" t="str">
        <x:v>公式Specificationの範囲＋ユーザー作成コーパスの論点と問題設計例を参考に独自作成</x:v>
      </x:c>
      <x:c r="AD282" s="171" t="str">
        <x:v>改稿済み・専門家未承認</x:v>
      </x:c>
      <x:c r="AE282" s="171" t="str">
        <x:v>AI誤答レビュー</x:v>
      </x:c>
      <x:c r="AF282" s="171" t="str">
        <x:v>2026-07-12</x:v>
      </x:c>
      <x:c r="AG282" s="166" t="str">
        <x:v>第3バッチ：同一論点内の典型的誤概念へ置換。正答位置は維持。</x:v>
      </x:c>
    </x:row>
    <x:row r="283" ht="84" customHeight="1">
      <x:c r="A283" s="164" t="str">
        <x:v>LO5-042</x:v>
      </x:c>
      <x:c r="B283" s="171" t="str">
        <x:v>LO5</x:v>
      </x:c>
      <x:c r="C283" s="165" t="str">
        <x:v>情報提供・推奨・保管・サービス</x:v>
      </x:c>
      <x:c r="D283" s="165" t="str">
        <x:v>料理に合わせた推奨</x:v>
      </x:c>
      <x:c r="E283" s="165" t="str">
        <x:v>濃厚で風味の強い煮込み料理にワインを推奨する際、最初に検討すべきワイン側の要素はどれか。</x:v>
      </x:c>
      <x:c r="F283" s="165" t="str">
        <x:v>料理と同じ色のワインであること</x:v>
      </x:c>
      <x:c r="G283" s="165" t="str">
        <x:v>料理に負けない十分な風味の強さとボディがあること</x:v>
      </x:c>
      <x:c r="H283" s="165" t="str">
        <x:v>アルコール度が最も高いこと</x:v>
      </x:c>
      <x:c r="I283" s="165" t="str">
        <x:v>新樽香が最も強いこと</x:v>
      </x:c>
      <x:c r="J283" s="171" t="str">
        <x:v>B</x:v>
      </x:c>
      <x:c r="K283" s="165" t="str">
        <x:v>料理に負けない十分な風味の強さとボディがあること</x:v>
      </x:c>
      <x:c r="L283" s="165" t="str">
        <x:v>正しい。料理の強度とソースへ釣り合うボディと香味が必要である。</x:v>
      </x:c>
      <x:c r="M283" s="165" t="str">
        <x:v>誤り。色の一致だけでは相性を判断できない。</x:v>
      </x:c>
      <x:c r="N283" s="165" t="str">
        <x:v>正しい。料理の強度とソースへ釣り合うボディと香味が必要である。</x:v>
      </x:c>
      <x:c r="O283" s="165" t="str">
        <x:v>誤り。高アルコールだけでは重くなり、相性を保証しない。</x:v>
      </x:c>
      <x:c r="P283" s="165" t="str">
        <x:v>誤り。強い樽香が料理へ合うとは限らない。</x:v>
      </x:c>
      <x:c r="Q283" s="165" t="str">
        <x:v>推奨・フードペアリング</x:v>
      </x:c>
      <x:c r="R283" s="165" t="str">
        <x:v>風味の強さ・料理</x:v>
      </x:c>
      <x:c r="S283" s="165" t="str">
        <x:v>全般</x:v>
      </x:c>
      <x:c r="T283" s="165"/>
      <x:c r="U283" s="165"/>
      <x:c r="V283" s="165"/>
      <x:c r="W283" s="165" t="str">
        <x:v>判断</x:v>
      </x:c>
      <x:c r="X283" s="171" t="str">
        <x:v>D2</x:v>
      </x:c>
      <x:c r="Y283" s="165" t="str">
        <x:v>料理とワインは色を合わせる; 最も高いアルコールが最適; 最も強い新樽香が最適</x:v>
      </x:c>
      <x:c r="Z283" s="171" t="str">
        <x:v>N</x:v>
      </x:c>
      <x:c r="AA283" s="165"/>
      <x:c r="AB283" s="165" t="str">
        <x:v>オリジナル</x:v>
      </x:c>
      <x:c r="AC283" s="165" t="str">
        <x:v>公式Specificationの範囲＋ユーザー作成コーパスの論点と問題設計例を参考に独自作成</x:v>
      </x:c>
      <x:c r="AD283" s="171" t="str">
        <x:v>改稿済み・専門家未承認</x:v>
      </x:c>
      <x:c r="AE283" s="171" t="str">
        <x:v>AI誤答レビュー</x:v>
      </x:c>
      <x:c r="AF283" s="171" t="str">
        <x:v>2026-07-12</x:v>
      </x:c>
      <x:c r="AG283" s="166" t="str">
        <x:v>第3バッチ：同一論点内の典型的誤概念へ置換。正答位置は維持。</x:v>
      </x:c>
    </x:row>
    <x:row r="284" ht="84" customHeight="1">
      <x:c r="A284" s="164" t="str">
        <x:v>LO5-043</x:v>
      </x:c>
      <x:c r="B284" s="171" t="str">
        <x:v>LO5</x:v>
      </x:c>
      <x:c r="C284" s="165" t="str">
        <x:v>情報提供・推奨・保管・サービス</x:v>
      </x:c>
      <x:c r="D284" s="165" t="str">
        <x:v>状態不良</x:v>
      </x:c>
      <x:c r="E284" s="165" t="str">
        <x:v>本来は若々しく果実味があるはずのワインが、香りに乏しく平板で疲れ、飲み頃を過ぎている場合の表現として最も適切なものはどれか。</x:v>
      </x:c>
      <x:c r="F284" s="165" t="str">
        <x:v>開栓時の還元状態であり、空気に触れれば若い果実味へ戻る</x:v>
      </x:c>
      <x:c r="G284" s="165" t="str">
        <x:v>還元的で、空気に触れれば果実味が戻る</x:v>
      </x:c>
      <x:c r="H284" s="165" t="str">
        <x:v>衰退している、または飲み頃を過ぎている</x:v>
      </x:c>
      <x:c r="I284" s="165" t="str">
        <x:v>コルク汚染で、湿った段ボール香が主な原因である</x:v>
      </x:c>
      <x:c r="J284" s="171" t="str">
        <x:v>C</x:v>
      </x:c>
      <x:c r="K284" s="165" t="str">
        <x:v>衰退している、または飲み頃を過ぎている</x:v>
      </x:c>
      <x:c r="L284" s="165" t="str">
        <x:v>正しい。若々しさを期待するワインが平板で疲れているなら、熟成のピークを越えた可能性がある。</x:v>
      </x:c>
      <x:c r="M284" s="165" t="str">
        <x:v>誤り。衰退したワインは果実味と鮮度を失っており、軽い還元とは異なる。</x:v>
      </x:c>
      <x:c r="N284" s="165" t="str">
        <x:v>誤り。平板で疲れた香味は必ずしも軽い還元ではない。</x:v>
      </x:c>
      <x:c r="O284" s="165" t="str">
        <x:v>正しい。若々しさを期待するワインが平板で疲れているなら、熟成のピークを越えた可能性がある。</x:v>
      </x:c>
      <x:c r="P284" s="165" t="str">
        <x:v>誤り。衰退はTCAとは別で、TCA香がない場合もある。</x:v>
      </x:c>
      <x:c r="Q284" s="165" t="str">
        <x:v>ワインの欠陥</x:v>
      </x:c>
      <x:c r="R284" s="165" t="str">
        <x:v>状態不良・経年</x:v>
      </x:c>
      <x:c r="S284" s="165" t="str">
        <x:v>全般</x:v>
      </x:c>
      <x:c r="T284" s="165"/>
      <x:c r="U284" s="165"/>
      <x:c r="V284" s="165"/>
      <x:c r="W284" s="165" t="str">
        <x:v>知識確認</x:v>
      </x:c>
      <x:c r="X284" s="171" t="str">
        <x:v>D1</x:v>
      </x:c>
      <x:c r="Y284" s="165" t="str">
        <x:v>衰退したワインを一時的な還元と混同; 衰退を還元と混同; 衰退をTCAと混同</x:v>
      </x:c>
      <x:c r="Z284" s="171" t="str">
        <x:v>N</x:v>
      </x:c>
      <x:c r="AA284" s="165"/>
      <x:c r="AB284" s="165" t="str">
        <x:v>オリジナル</x:v>
      </x:c>
      <x:c r="AC284" s="165" t="str">
        <x:v>公式Specificationの範囲＋ユーザー作成コーパスの論点と問題設計例を参考に独自作成</x:v>
      </x:c>
      <x:c r="AD284" s="171" t="str">
        <x:v>改稿済み・専門家未承認</x:v>
      </x:c>
      <x:c r="AE284" s="171" t="str">
        <x:v>AI誤答レビュー</x:v>
      </x:c>
      <x:c r="AF284" s="171" t="str">
        <x:v>2026-07-12</x:v>
      </x:c>
      <x:c r="AG284" s="166" t="str">
        <x:v>第4バッチ：同一論点内の典型的誤概念へ置換。正答位置は維持。</x:v>
      </x:c>
    </x:row>
    <x:row r="285" ht="84" customHeight="1">
      <x:c r="A285" s="164" t="str">
        <x:v>LO5-044</x:v>
      </x:c>
      <x:c r="B285" s="171" t="str">
        <x:v>LO5</x:v>
      </x:c>
      <x:c r="C285" s="165" t="str">
        <x:v>情報提供・推奨・保管・サービス</x:v>
      </x:c>
      <x:c r="D285" s="165" t="str">
        <x:v>熱による損傷</x:v>
      </x:c>
      <x:c r="E285" s="165" t="str">
        <x:v>ワインが高温にさらされて損傷した可能性を示す組み合わせとして、最も適切なものはどれか。</x:v>
      </x:c>
      <x:c r="F285" s="165" t="str">
        <x:v>高い液面、引き締まった果実香、沈んだコルク</x:v>
      </x:c>
      <x:c r="G285" s="165" t="str">
        <x:v>酒石酸結晶、澄んだ外観、正常な果実香</x:v>
      </x:c>
      <x:c r="H285" s="165" t="str">
        <x:v>湿った段ボール香と正常な液面だけ</x:v>
      </x:c>
      <x:c r="I285" s="165" t="str">
        <x:v>果実味の低下、煮詰めたような風味、早い酸化、液漏れや押し上がったコルク</x:v>
      </x:c>
      <x:c r="J285" s="171" t="str">
        <x:v>D</x:v>
      </x:c>
      <x:c r="K285" s="165" t="str">
        <x:v>果実味の低下、煮詰めたような風味、早い酸化、液漏れや押し上がったコルク</x:v>
      </x:c>
      <x:c r="L285" s="165" t="str">
        <x:v>正しい。熱で化学反応が進み、漏れ・栓の突出・加熱臭が起こり得る。</x:v>
      </x:c>
      <x:c r="M285" s="165" t="str">
        <x:v>誤り。高温損傷では液体膨張と劣化が起こり、高液面・新鮮さは典型ではない。</x:v>
      </x:c>
      <x:c r="N285" s="165" t="str">
        <x:v>誤り。酒石酸結晶は低温由来で、熱損傷の証拠ではない。</x:v>
      </x:c>
      <x:c r="O285" s="165" t="str">
        <x:v>誤り。湿った段ボール香は主にTCAで、熱損傷の組み合わせではない。</x:v>
      </x:c>
      <x:c r="P285" s="165" t="str">
        <x:v>正しい。熱で化学反応が進み、漏れ・栓の突出・加熱臭が起こり得る。</x:v>
      </x:c>
      <x:c r="Q285" s="165" t="str">
        <x:v>ワインの欠陥・保管</x:v>
      </x:c>
      <x:c r="R285" s="165" t="str">
        <x:v>熱損傷・酸化</x:v>
      </x:c>
      <x:c r="S285" s="165" t="str">
        <x:v>全般</x:v>
      </x:c>
      <x:c r="T285" s="165"/>
      <x:c r="U285" s="165"/>
      <x:c r="V285" s="165"/>
      <x:c r="W285" s="165" t="str">
        <x:v>因果説明</x:v>
      </x:c>
      <x:c r="X285" s="171" t="str">
        <x:v>D2</x:v>
      </x:c>
      <x:c r="Y285" s="165" t="str">
        <x:v>熱損傷で高液面・新鮮な果実香; 酒石酸結晶は熱損傷の徴候; TCA香だけで熱損傷を判断</x:v>
      </x:c>
      <x:c r="Z285" s="171" t="str">
        <x:v>N</x:v>
      </x:c>
      <x:c r="AA285" s="165"/>
      <x:c r="AB285" s="165" t="str">
        <x:v>オリジナル</x:v>
      </x:c>
      <x:c r="AC285" s="165" t="str">
        <x:v>公式Specificationの範囲＋ユーザー作成コーパスの論点と問題設計例を参考に独自作成</x:v>
      </x:c>
      <x:c r="AD285" s="171" t="str">
        <x:v>改稿済み・専門家未承認</x:v>
      </x:c>
      <x:c r="AE285" s="171" t="str">
        <x:v>AI誤答レビュー</x:v>
      </x:c>
      <x:c r="AF285" s="171" t="str">
        <x:v>2026-07-12</x:v>
      </x:c>
      <x:c r="AG285" s="166" t="str">
        <x:v>第3バッチ：同一論点内の典型的誤概念へ置換。正答位置は維持。</x:v>
      </x:c>
    </x:row>
    <x:row r="286" ht="84" customHeight="1">
      <x:c r="A286" s="164" t="str">
        <x:v>LO5-045</x:v>
      </x:c>
      <x:c r="B286" s="171" t="str">
        <x:v>LO5</x:v>
      </x:c>
      <x:c r="C286" s="165" t="str">
        <x:v>情報提供・推奨・保管・サービス</x:v>
      </x:c>
      <x:c r="D286" s="165" t="str">
        <x:v>酸化したボトルへの対応</x:v>
      </x:c>
      <x:c r="E286" s="165" t="str">
        <x:v>若い白ワインに明らかな酸化臭と褐色化があり、欠陥と判断した場合の対応として最も適切なものはどれか。</x:v>
      </x:c>
      <x:c r="F286" s="165" t="str">
        <x:v>別の健全なボトルへ交換し、欠陥のあるワインは提供しない</x:v>
      </x:c>
      <x:c r="G286" s="165" t="str">
        <x:v>砂糖を加えて酸化を消す</x:v>
      </x:c>
      <x:c r="H286" s="165" t="str">
        <x:v>強く振って酸素をさらに加える</x:v>
      </x:c>
      <x:c r="I286" s="165" t="str">
        <x:v>高温にして若々しい香りを再生する</x:v>
      </x:c>
      <x:c r="J286" s="171" t="str">
        <x:v>A</x:v>
      </x:c>
      <x:c r="K286" s="165" t="str">
        <x:v>別の健全なボトルへ交換し、欠陥のあるワインは提供しない</x:v>
      </x:c>
      <x:c r="L286" s="165" t="str">
        <x:v>正しい。欠陥として進んだ酸化はサービス時の操作で元へ戻せないため、顧客へ提供せず代替ボトルを用意する。</x:v>
      </x:c>
      <x:c r="M286" s="165" t="str">
        <x:v>正しい。欠陥として進んだ酸化はサービス時の操作で元へ戻せないため、顧客へ提供せず代替ボトルを用意する。</x:v>
      </x:c>
      <x:c r="N286" s="165" t="str">
        <x:v>誤り。甘味を加えても酸化した香りや色は元に戻らない。</x:v>
      </x:c>
      <x:c r="O286" s="165" t="str">
        <x:v>誤り。酸素を増やすと酸化を悪化させる可能性がある。</x:v>
      </x:c>
      <x:c r="P286" s="165" t="str">
        <x:v>誤り。加温は劣化を進め得る。</x:v>
      </x:c>
      <x:c r="Q286" s="165" t="str">
        <x:v>ワインの欠陥・サービス</x:v>
      </x:c>
      <x:c r="R286" s="165" t="str">
        <x:v>酸化・対応</x:v>
      </x:c>
      <x:c r="S286" s="165" t="str">
        <x:v>非発泡性白ワイン</x:v>
      </x:c>
      <x:c r="T286" s="165"/>
      <x:c r="U286" s="165"/>
      <x:c r="V286" s="165"/>
      <x:c r="W286" s="165" t="str">
        <x:v>適用</x:v>
      </x:c>
      <x:c r="X286" s="171" t="str">
        <x:v>D2</x:v>
      </x:c>
      <x:c r="Y286" s="165" t="str">
        <x:v>酸化したボトルへの対応に関する別の特徴・要因と混同; 酸化したボトルへの対応に関する別の特徴・要因と混同; 酸化したボトルへの対応に関する別の特徴・要因と混同</x:v>
      </x:c>
      <x:c r="Z286" s="171" t="str">
        <x:v>N</x:v>
      </x:c>
      <x:c r="AA286" s="165"/>
      <x:c r="AB286" s="165" t="str">
        <x:v>オリジナル</x:v>
      </x:c>
      <x:c r="AC286" s="165" t="str">
        <x:v>公式Specificationの範囲＋ユーザー作成コーパスの論点と問題設計例を参考に独自作成</x:v>
      </x:c>
      <x:c r="AD286" s="171" t="str">
        <x:v>改稿済み・専門家未承認</x:v>
      </x:c>
      <x:c r="AE286" s="171" t="str">
        <x:v>AI誤答レビュー</x:v>
      </x:c>
      <x:c r="AF286" s="171" t="str">
        <x:v>2026-07-12</x:v>
      </x:c>
      <x:c r="AG286" s="166" t="str">
        <x:v>最終バッチ：有効な誤答を維持し、絶対語・物理的不可能な誤答のみ置換。正答位置は維持。</x:v>
      </x:c>
    </x:row>
    <x:row r="287" ht="84" customHeight="1">
      <x:c r="A287" s="164" t="str">
        <x:v>LO5-046</x:v>
      </x:c>
      <x:c r="B287" s="171" t="str">
        <x:v>LO5</x:v>
      </x:c>
      <x:c r="C287" s="165" t="str">
        <x:v>情報提供・推奨・保管・サービス</x:v>
      </x:c>
      <x:c r="D287" s="165" t="str">
        <x:v>還元と空気接触</x:v>
      </x:c>
      <x:c r="E287" s="165" t="str">
        <x:v>開栓直後に軽い硫黄系の還元臭があるワインへ、最初に試す対応として最も適切なものはどれか。</x:v>
      </x:c>
      <x:c r="F287" s="165" t="str">
        <x:v>瓶を再栓して温度を上げ、還元臭が自然に強くなるまで待つ</x:v>
      </x:c>
      <x:c r="G287" s="165" t="str">
        <x:v>グラスへ注ぐ、またはデカンティングして少量の空気に触れさせ、臭いが弱まるか確認する</x:v>
      </x:c>
      <x:c r="H287" s="165" t="str">
        <x:v>香りを隠すため、強い香りを持つ別のワインを少量ブレンドする</x:v>
      </x:c>
      <x:c r="I287" s="165" t="str">
        <x:v>ワインをさらに強く冷やし、香りが感じにくい状態でそのまま提供する</x:v>
      </x:c>
      <x:c r="J287" s="171" t="str">
        <x:v>B</x:v>
      </x:c>
      <x:c r="K287" s="165" t="str">
        <x:v>グラスへ注ぐ、またはデカンティングして少量の空気に触れさせ、臭いが弱まるか確認する</x:v>
      </x:c>
      <x:c r="L287" s="165" t="str">
        <x:v>正しい。揮発性の軽い硫黄化合物なら、穏やかなエアレーションで減少することがある。</x:v>
      </x:c>
      <x:c r="M287" s="165" t="str">
        <x:v>誤り。軽い還元臭は空気で弱まる可能性があり、密閉・加温は改善策にならない。</x:v>
      </x:c>
      <x:c r="N287" s="165" t="str">
        <x:v>正しい。揮発性の軽い硫黄化合物なら、穏やかなエアレーションで減少することがある。</x:v>
      </x:c>
      <x:c r="O287" s="165" t="str">
        <x:v>誤り。別ワインの混合は注文内容を変え、欠陥を隠す不適切な対応である。</x:v>
      </x:c>
      <x:c r="P287" s="165" t="str">
        <x:v>誤り。冷却は香りを弱く感じさせるだけで、状態を改善したことにはならない。</x:v>
      </x:c>
      <x:c r="Q287" s="165" t="str">
        <x:v>ワインの欠陥・サービス</x:v>
      </x:c>
      <x:c r="R287" s="165" t="str">
        <x:v>還元・空気接触</x:v>
      </x:c>
      <x:c r="S287" s="165" t="str">
        <x:v>全般</x:v>
      </x:c>
      <x:c r="T287" s="165"/>
      <x:c r="U287" s="165"/>
      <x:c r="V287" s="165"/>
      <x:c r="W287" s="165" t="str">
        <x:v>適用</x:v>
      </x:c>
      <x:c r="X287" s="171" t="str">
        <x:v>D2</x:v>
      </x:c>
      <x:c r="Y287" s="165" t="str">
        <x:v>還元臭は密閉加温で改善する; 欠陥は別ワインのブレンドで隠してよい; 香りを感じなくすれば状態は改善した</x:v>
      </x:c>
      <x:c r="Z287" s="171" t="str">
        <x:v>N</x:v>
      </x:c>
      <x:c r="AA287" s="165"/>
      <x:c r="AB287" s="165" t="str">
        <x:v>オリジナル</x:v>
      </x:c>
      <x:c r="AC287" s="165" t="str">
        <x:v>公式Specificationの範囲＋ユーザー作成コーパスの論点と問題設計例を参考に独自作成</x:v>
      </x:c>
      <x:c r="AD287" s="171" t="str">
        <x:v>改稿済み・専門家未承認</x:v>
      </x:c>
      <x:c r="AE287" s="171" t="str">
        <x:v>AI誤答レビュー</x:v>
      </x:c>
      <x:c r="AF287" s="171" t="str">
        <x:v>2026-07-12</x:v>
      </x:c>
      <x:c r="AG287" s="166" t="str">
        <x:v>第2バッチ：誤答を同一論点内の典型的誤概念へ置換。正答位置は維持。</x:v>
      </x:c>
    </x:row>
    <x:row r="288" ht="84" customHeight="1">
      <x:c r="A288" s="164" t="str">
        <x:v>LO5-047</x:v>
      </x:c>
      <x:c r="B288" s="171" t="str">
        <x:v>LO5</x:v>
      </x:c>
      <x:c r="C288" s="165" t="str">
        <x:v>情報提供・推奨・保管・サービス</x:v>
      </x:c>
      <x:c r="D288" s="165" t="str">
        <x:v>コルク汚染への対応</x:v>
      </x:c>
      <x:c r="E288" s="165" t="str">
        <x:v>湿った段ボールを思わせる香りがあり、コルク汚染と判断したボトルへの対応として最も適切なものはどれか。</x:v>
      </x:c>
      <x:c r="F288" s="165" t="str">
        <x:v>デカンティングして30分待ち、果実香が戻ればそのまま提供する</x:v>
      </x:c>
      <x:c r="G288" s="165" t="str">
        <x:v>強く冷やして香りを感じにくくし、そのまま提供する</x:v>
      </x:c>
      <x:c r="H288" s="165" t="str">
        <x:v>別の健全なボトルへ交換する</x:v>
      </x:c>
      <x:c r="I288" s="165" t="str">
        <x:v>少量の健全なワインをブレンドし、香りを薄めて提供する</x:v>
      </x:c>
      <x:c r="J288" s="171" t="str">
        <x:v>C</x:v>
      </x:c>
      <x:c r="K288" s="165" t="str">
        <x:v>別の健全なボトルへ交換する</x:v>
      </x:c>
      <x:c r="L288" s="165" t="str">
        <x:v>正しい。状態不良として扱い、健全な代替ボトルへ交換する。</x:v>
      </x:c>
      <x:c r="M288" s="165" t="str">
        <x:v>誤り。TCAは空気接触で確実に消える欠陥ではない。</x:v>
      </x:c>
      <x:c r="N288" s="165" t="str">
        <x:v>誤り。冷却は知覚を弱めるだけで、欠陥を解消しない。</x:v>
      </x:c>
      <x:c r="O288" s="165" t="str">
        <x:v>正しい。状態不良として扱い、健全な代替ボトルへ交換する。</x:v>
      </x:c>
      <x:c r="P288" s="165" t="str">
        <x:v>誤り。別ワインで隠す対応は不適切で、注文内容も変わる。</x:v>
      </x:c>
      <x:c r="Q288" s="165" t="str">
        <x:v>ワインの欠陥・サービス</x:v>
      </x:c>
      <x:c r="R288" s="165" t="str">
        <x:v>コルク汚染・対応</x:v>
      </x:c>
      <x:c r="S288" s="165" t="str">
        <x:v>全般</x:v>
      </x:c>
      <x:c r="T288" s="165"/>
      <x:c r="U288" s="165"/>
      <x:c r="V288" s="165"/>
      <x:c r="W288" s="165" t="str">
        <x:v>適用</x:v>
      </x:c>
      <x:c r="X288" s="171" t="str">
        <x:v>D1</x:v>
      </x:c>
      <x:c r="Y288" s="165" t="str">
        <x:v>TCAはデカンティングで治る; 冷却で欠陥を実質解消できる; 健全なワインのブレンドで欠陥を隠してよい</x:v>
      </x:c>
      <x:c r="Z288" s="171" t="str">
        <x:v>N</x:v>
      </x:c>
      <x:c r="AA288" s="165"/>
      <x:c r="AB288" s="165" t="str">
        <x:v>オリジナル</x:v>
      </x:c>
      <x:c r="AC288" s="165" t="str">
        <x:v>公式Specificationの範囲＋ユーザー作成コーパスの論点と問題設計例を参考に独自作成</x:v>
      </x:c>
      <x:c r="AD288" s="171" t="str">
        <x:v>改稿済み・専門家未承認</x:v>
      </x:c>
      <x:c r="AE288" s="171" t="str">
        <x:v>AI誤答レビュー</x:v>
      </x:c>
      <x:c r="AF288" s="171" t="str">
        <x:v>2026-07-12</x:v>
      </x:c>
      <x:c r="AG288" s="166" t="str">
        <x:v>第3バッチ：同一論点内の典型的誤概念へ置換。正答位置は維持。</x:v>
      </x:c>
    </x:row>
    <x:row r="289" ht="84" customHeight="1">
      <x:c r="A289" s="164" t="str">
        <x:v>LO5-048</x:v>
      </x:c>
      <x:c r="B289" s="171" t="str">
        <x:v>LO5</x:v>
      </x:c>
      <x:c r="C289" s="165" t="str">
        <x:v>情報提供・推奨・保管・サービス</x:v>
      </x:c>
      <x:c r="D289" s="165" t="str">
        <x:v>高濃度亜硫酸と空気</x:v>
      </x:c>
      <x:c r="E289" s="165" t="str">
        <x:v>開栓直後に過剰な亜硫酸を思わせる刺激臭があるワインについて、最も適切な判断はどれか。</x:v>
      </x:c>
      <x:c r="F289" s="165" t="str">
        <x:v>グラスへ注ぐ、またはデカンティングして少量の空気に触れさせ、臭いが弱まるか確認する</x:v>
      </x:c>
      <x:c r="G289" s="165" t="str">
        <x:v>デカンティングで亜硫酸を大幅に除去でき、通常どおり提供できる</x:v>
      </x:c>
      <x:c r="H289" s="165" t="str">
        <x:v>高濃度亜硫酸は熟成能力の証拠で、強いほど高品質</x:v>
      </x:c>
      <x:c r="I289" s="165" t="str">
        <x:v>空気に触れると刺激が弱まる場合があるが、強く残るなら状態不良として判断する</x:v>
      </x:c>
      <x:c r="J289" s="171" t="str">
        <x:v>D</x:v>
      </x:c>
      <x:c r="K289" s="165" t="str">
        <x:v>空気に触れると刺激が弱まる場合があるが、強く残るなら状態不良として判断する</x:v>
      </x:c>
      <x:c r="L289" s="165" t="str">
        <x:v>正しい。遊離亜硫酸由来の刺激は揮発し得るが、過剰なら提供に適さない。</x:v>
      </x:c>
      <x:c r="M289" s="165" t="str">
        <x:v>誤り。これは同じ知識領域の「還元と空気接触」に当てはまる説明で、設問の「高濃度亜硫酸と空気」を最も適切に説明しない。</x:v>
      </x:c>
      <x:c r="N289" s="165" t="str">
        <x:v>誤り。一部の刺激は弱まっても完全除去を保証できない。</x:v>
      </x:c>
      <x:c r="O289" s="165" t="str">
        <x:v>誤り。過剰な刺激臭は品質上の問題となり得る。</x:v>
      </x:c>
      <x:c r="P289" s="165" t="str">
        <x:v>正しい。遊離亜硫酸由来の刺激は揮発し得るが、過剰なら提供に適さない。</x:v>
      </x:c>
      <x:c r="Q289" s="165" t="str">
        <x:v>ワインの欠陥・サービス</x:v>
      </x:c>
      <x:c r="R289" s="165" t="str">
        <x:v>亜硫酸・対応</x:v>
      </x:c>
      <x:c r="S289" s="165" t="str">
        <x:v>全般</x:v>
      </x:c>
      <x:c r="T289" s="165"/>
      <x:c r="U289" s="165"/>
      <x:c r="V289" s="165"/>
      <x:c r="W289" s="165" t="str">
        <x:v>適用</x:v>
      </x:c>
      <x:c r="X289" s="171" t="str">
        <x:v>D3</x:v>
      </x:c>
      <x:c r="Y289" s="165" t="str">
        <x:v>高濃度亜硫酸と空気を還元と空気接触の特徴と混同; デカンティングでSO2完全除去; 高SO2は高品質の証拠</x:v>
      </x:c>
      <x:c r="Z289" s="171" t="str">
        <x:v>Y</x:v>
      </x:c>
      <x:c r="AA289" s="165" t="str">
        <x:v>高濃度亜硫酸の官能表現とサービス対応を日本語教材の説明へ最終照合推奨</x:v>
      </x:c>
      <x:c r="AB289" s="165" t="str">
        <x:v>オリジナル</x:v>
      </x:c>
      <x:c r="AC289" s="165" t="str">
        <x:v>公式Specificationの範囲＋ユーザー作成コーパスの論点と問題設計例を参考に独自作成</x:v>
      </x:c>
      <x:c r="AD289" s="171" t="str">
        <x:v>改稿済み・専門家未承認</x:v>
      </x:c>
      <x:c r="AE289" s="171" t="str">
        <x:v>AI誤答レビュー</x:v>
      </x:c>
      <x:c r="AF289" s="171" t="str">
        <x:v>2026-07-12</x:v>
      </x:c>
      <x:c r="AG289" s="166" t="str">
        <x:v>第4バッチ：同一論点内の典型的誤概念へ置換。正答位置は維持。</x:v>
      </x:c>
    </x:row>
    <x:row r="290" ht="84" customHeight="1">
      <x:c r="A290" s="164" t="str">
        <x:v>LO5-049</x:v>
      </x:c>
      <x:c r="B290" s="171" t="str">
        <x:v>LO5</x:v>
      </x:c>
      <x:c r="C290" s="165" t="str">
        <x:v>情報提供・推奨・保管・サービス</x:v>
      </x:c>
      <x:c r="D290" s="165" t="str">
        <x:v>塩味とワイン</x:v>
      </x:c>
      <x:c r="E290" s="165" t="str">
        <x:v>塩味のある料理が、ワインの知覚へ与えやすい影響として最も適切なものはどれか。</x:v>
      </x:c>
      <x:c r="F290" s="165" t="str">
        <x:v>ワインの苦味や渋味を弱く感じさせ、果実味やボディをより感じやすくする</x:v>
      </x:c>
      <x:c r="G290" s="165" t="str">
        <x:v>酸味と苦味を強め、果実味を弱く感じさせる</x:v>
      </x:c>
      <x:c r="H290" s="165" t="str">
        <x:v>甘味を弱くし、アルコールの熱感を強める</x:v>
      </x:c>
      <x:c r="I290" s="165" t="str">
        <x:v>タンニンを化学的に沈殿させ、ワインの構造を変える</x:v>
      </x:c>
      <x:c r="J290" s="171" t="str">
        <x:v>A</x:v>
      </x:c>
      <x:c r="K290" s="165" t="str">
        <x:v>ワインの苦味や渋味を弱く感じさせ、果実味やボディをより感じやすくする</x:v>
      </x:c>
      <x:c r="L290" s="165" t="str">
        <x:v>正しい。適度な塩味は酸・苦味・渋味を穏やかにし、果実味を引き立てることがある。</x:v>
      </x:c>
      <x:c r="M290" s="165" t="str">
        <x:v>正しい。適度な塩味は酸・苦味・渋味を穏やかにし、果実味を引き立てることがある。</x:v>
      </x:c>
      <x:c r="N290" s="165" t="str">
        <x:v>誤り。この説明は甘味やうま味の一部影響と混同している。</x:v>
      </x:c>
      <x:c r="O290" s="165" t="str">
        <x:v>誤り。塩味は一般に果実味と甘味を強める方向に働き得る。</x:v>
      </x:c>
      <x:c r="P290" s="165" t="str">
        <x:v>誤り。知覚変化であり、タンニンを化学的に除去するわけではない。</x:v>
      </x:c>
      <x:c r="Q290" s="165" t="str">
        <x:v>フードペアリング</x:v>
      </x:c>
      <x:c r="R290" s="165" t="str">
        <x:v>塩味・知覚</x:v>
      </x:c>
      <x:c r="S290" s="165" t="str">
        <x:v>全般</x:v>
      </x:c>
      <x:c r="T290" s="165"/>
      <x:c r="U290" s="165"/>
      <x:c r="V290" s="165"/>
      <x:c r="W290" s="165" t="str">
        <x:v>因果説明</x:v>
      </x:c>
      <x:c r="X290" s="171" t="str">
        <x:v>D2</x:v>
      </x:c>
      <x:c r="Y290" s="165" t="str">
        <x:v>塩味は酸・苦味を強め果実味を弱める; 塩味は甘味を弱めアルコールを強める; 塩味がタンニンを化学沈殿させる</x:v>
      </x:c>
      <x:c r="Z290" s="171" t="str">
        <x:v>N</x:v>
      </x:c>
      <x:c r="AA290" s="165"/>
      <x:c r="AB290" s="165" t="str">
        <x:v>オリジナル</x:v>
      </x:c>
      <x:c r="AC290" s="165" t="str">
        <x:v>公式Specificationの範囲＋ユーザー作成コーパスの論点と問題設計例を参考に独自作成</x:v>
      </x:c>
      <x:c r="AD290" s="171" t="str">
        <x:v>改稿済み・専門家未承認</x:v>
      </x:c>
      <x:c r="AE290" s="171" t="str">
        <x:v>AI誤答レビュー</x:v>
      </x:c>
      <x:c r="AF290" s="171" t="str">
        <x:v>2026-07-12</x:v>
      </x:c>
      <x:c r="AG290" s="166" t="str">
        <x:v>第3バッチ：同一論点内の典型的誤概念へ置換。正答位置は維持。</x:v>
      </x:c>
    </x:row>
    <x:row r="291" ht="84" customHeight="1">
      <x:c r="A291" s="164" t="str">
        <x:v>LO5-050</x:v>
      </x:c>
      <x:c r="B291" s="171" t="str">
        <x:v>LO5</x:v>
      </x:c>
      <x:c r="C291" s="165" t="str">
        <x:v>情報提供・推奨・保管・サービス</x:v>
      </x:c>
      <x:c r="D291" s="165" t="str">
        <x:v>苦味のある料理</x:v>
      </x:c>
      <x:c r="E291" s="165" t="str">
        <x:v>苦味の強い料理に、高タンニンで樽由来の苦味もある赤ワインを合わせた場合に起こりやすいことはどれか。</x:v>
      </x:c>
      <x:c r="F291" s="165" t="str">
        <x:v>料理の苦味がワインの果実味を強め、タンニンを柔らかく感じさせる</x:v>
      </x:c>
      <x:c r="G291" s="165" t="str">
        <x:v>料理とワイン双方の苦味や渋味が強調される</x:v>
      </x:c>
      <x:c r="H291" s="165" t="str">
        <x:v>樽由来の苦味と料理の苦味が相殺され、ワインがより甘く感じられる</x:v>
      </x:c>
      <x:c r="I291" s="165" t="str">
        <x:v>タンニンは苦味の知覚に影響せず、アルコールの熱感だけが強まる</x:v>
      </x:c>
      <x:c r="J291" s="171" t="str">
        <x:v>B</x:v>
      </x:c>
      <x:c r="K291" s="165" t="str">
        <x:v>料理とワイン双方の苦味や渋味が強調される</x:v>
      </x:c>
      <x:c r="L291" s="165" t="str">
        <x:v>正しい。料理とワインの苦味が加算され、高いタンニンの収れん性もより厳しく感じられやすい。</x:v>
      </x:c>
      <x:c r="M291" s="165" t="str">
        <x:v>誤り。苦味のある料理は一般にワインの苦味、酸、アルコールを強く感じさせ、果実味を弱める。</x:v>
      </x:c>
      <x:c r="N291" s="165" t="str">
        <x:v>正しい。料理とワインの苦味が加算され、高いタンニンの収れん性もより厳しく感じられやすい。</x:v>
      </x:c>
      <x:c r="O291" s="165" t="str">
        <x:v>誤り。苦味同士が自動的に相殺されるとは限らず、むしろ強調されることが多い。</x:v>
      </x:c>
      <x:c r="P291" s="165" t="str">
        <x:v>誤り。タンニンは収れん性と苦味に直接関係し、料理の苦味によって知覚が変化する。</x:v>
      </x:c>
      <x:c r="Q291" s="165" t="str">
        <x:v>フードペアリング</x:v>
      </x:c>
      <x:c r="R291" s="165" t="str">
        <x:v>苦味・タンニン・樽</x:v>
      </x:c>
      <x:c r="S291" s="165" t="str">
        <x:v>赤ワイン</x:v>
      </x:c>
      <x:c r="T291" s="165"/>
      <x:c r="U291" s="165"/>
      <x:c r="V291" s="165"/>
      <x:c r="W291" s="165" t="str">
        <x:v>因果説明</x:v>
      </x:c>
      <x:c r="X291" s="171" t="str">
        <x:v>D2</x:v>
      </x:c>
      <x:c r="Y291" s="165" t="str">
        <x:v>料理の苦味が果実味・柔らかさを強める; 苦味同士は相殺する; タンニンは苦味に無関係</x:v>
      </x:c>
      <x:c r="Z291" s="171" t="str">
        <x:v>N</x:v>
      </x:c>
      <x:c r="AA291" s="165"/>
      <x:c r="AB291" s="165" t="str">
        <x:v>オリジナル</x:v>
      </x:c>
      <x:c r="AC291" s="165" t="str">
        <x:v>公式Specificationの範囲＋ユーザー作成コーパスの論点と問題設計例を参考に独自作成</x:v>
      </x:c>
      <x:c r="AD291" s="171" t="str">
        <x:v>改稿済み・専門家未承認</x:v>
      </x:c>
      <x:c r="AE291" s="171" t="str">
        <x:v>AI誤答レビュー</x:v>
      </x:c>
      <x:c r="AF291" s="171" t="str">
        <x:v>2026-07-12</x:v>
      </x:c>
      <x:c r="AG291" s="166" t="str">
        <x:v>誤答を同一論点内の典型的誤概念へ置換。900問本体への反映前に専門家確認推奨。</x:v>
      </x:c>
    </x:row>
    <x:row r="292" ht="84" customHeight="1">
      <x:c r="A292" s="164" t="str">
        <x:v>LO5-051</x:v>
      </x:c>
      <x:c r="B292" s="171" t="str">
        <x:v>LO5</x:v>
      </x:c>
      <x:c r="C292" s="165" t="str">
        <x:v>情報提供・推奨・保管・サービス</x:v>
      </x:c>
      <x:c r="D292" s="165" t="str">
        <x:v>脂肪と酸</x:v>
      </x:c>
      <x:c r="E292" s="165" t="str">
        <x:v>脂肪分の多い料理に、高い酸を持つワインが合いやすい主な理由はどれか。</x:v>
      </x:c>
      <x:c r="F292" s="165" t="str">
        <x:v>酸が料理の脂肪を化学的に分解し、脂肪量を減らす</x:v>
      </x:c>
      <x:c r="G292" s="165" t="str">
        <x:v>酸がワインのアルコールを低く感じさせることだけが理由</x:v>
      </x:c>
      <x:c r="H292" s="165" t="str">
        <x:v>酸が口中をさっぱりさせ、料理の濃厚さとのバランスを取りやすい</x:v>
      </x:c>
      <x:c r="I292" s="165" t="str">
        <x:v>酸が料理の塩味と甘味を消し、ワインだけを目立たせる</x:v>
      </x:c>
      <x:c r="J292" s="171" t="str">
        <x:v>C</x:v>
      </x:c>
      <x:c r="K292" s="165" t="str">
        <x:v>酸が口中をさっぱりさせ、料理の濃厚さとのバランスを取りやすい</x:v>
      </x:c>
      <x:c r="L292" s="165" t="str">
        <x:v>正しい。高い酸が濃厚さに対照を作り、次の一口を新鮮に感じさせる。</x:v>
      </x:c>
      <x:c r="M292" s="165" t="str">
        <x:v>誤り。酸は知覚を爽やかにするが、脂肪を化学分解するわけではない。</x:v>
      </x:c>
      <x:c r="N292" s="165" t="str">
        <x:v>誤り。アルコール知覚だけでなく、口中の重さを切ることが重要である。</x:v>
      </x:c>
      <x:c r="O292" s="165" t="str">
        <x:v>正しい。高い酸が濃厚さに対照を作り、次の一口を新鮮に感じさせる。</x:v>
      </x:c>
      <x:c r="P292" s="165" t="str">
        <x:v>誤り。塩味や甘味を消すことが目的ではない。</x:v>
      </x:c>
      <x:c r="Q292" s="165" t="str">
        <x:v>フードペアリング</x:v>
      </x:c>
      <x:c r="R292" s="165" t="str">
        <x:v>脂肪・酸</x:v>
      </x:c>
      <x:c r="S292" s="165" t="str">
        <x:v>全般</x:v>
      </x:c>
      <x:c r="T292" s="165"/>
      <x:c r="U292" s="165"/>
      <x:c r="V292" s="165"/>
      <x:c r="W292" s="165" t="str">
        <x:v>因果説明</x:v>
      </x:c>
      <x:c r="X292" s="171" t="str">
        <x:v>D1</x:v>
      </x:c>
      <x:c r="Y292" s="165" t="str">
        <x:v>酸が脂肪を化学分解する; 脂肪料理との相性はアルコール知覚だけ; 酸が料理の塩味・甘味を消す</x:v>
      </x:c>
      <x:c r="Z292" s="171" t="str">
        <x:v>N</x:v>
      </x:c>
      <x:c r="AA292" s="165"/>
      <x:c r="AB292" s="165" t="str">
        <x:v>オリジナル</x:v>
      </x:c>
      <x:c r="AC292" s="165" t="str">
        <x:v>公式Specificationの範囲＋ユーザー作成コーパスの論点と問題設計例を参考に独自作成</x:v>
      </x:c>
      <x:c r="AD292" s="171" t="str">
        <x:v>改稿済み・専門家未承認</x:v>
      </x:c>
      <x:c r="AE292" s="171" t="str">
        <x:v>AI誤答レビュー</x:v>
      </x:c>
      <x:c r="AF292" s="171" t="str">
        <x:v>2026-07-12</x:v>
      </x:c>
      <x:c r="AG292" s="166" t="str">
        <x:v>第3バッチ：同一論点内の典型的誤概念へ置換。正答位置は維持。</x:v>
      </x:c>
    </x:row>
    <x:row r="293" ht="84" customHeight="1">
      <x:c r="A293" s="164" t="str">
        <x:v>LO5-052</x:v>
      </x:c>
      <x:c r="B293" s="171" t="str">
        <x:v>LO5</x:v>
      </x:c>
      <x:c r="C293" s="165" t="str">
        <x:v>情報提供・推奨・保管・サービス</x:v>
      </x:c>
      <x:c r="D293" s="165" t="str">
        <x:v>風味の強さ</x:v>
      </x:c>
      <x:c r="E293" s="165" t="str">
        <x:v>繊細な白身魚料理に、非常に力強く樽香の強いフルボディ赤ワインを合わせた場合の主な問題はどれか。</x:v>
      </x:c>
      <x:c r="F293" s="165" t="str">
        <x:v>料理の酸がワインの樽香を消し、赤ワインが軽く感じられる</x:v>
      </x:c>
      <x:c r="G293" s="165" t="str">
        <x:v>魚の脂肪がワインのタンニンの多くを除去し、構造が弱くなる</x:v>
      </x:c>
      <x:c r="H293" s="165" t="str">
        <x:v>料理の塩味がワインの果実味を強め、相性が良くなり過ぎる</x:v>
      </x:c>
      <x:c r="I293" s="165" t="str">
        <x:v>ワインの強い風味が料理を圧倒し、料理の繊細さを感じにくくなる</x:v>
      </x:c>
      <x:c r="J293" s="171" t="str">
        <x:v>D</x:v>
      </x:c>
      <x:c r="K293" s="165" t="str">
        <x:v>ワインの強い風味が料理を圧倒し、料理の繊細さを感じにくくなる</x:v>
      </x:c>
      <x:c r="L293" s="165" t="str">
        <x:v>正しい。風味強度と構造の不均衡で、料理が見えにくくなる。</x:v>
      </x:c>
      <x:c r="M293" s="165" t="str">
        <x:v>誤り。繊細な魚料理では、ワインの強度が過大であることが主問題である。</x:v>
      </x:c>
      <x:c r="N293" s="165" t="str">
        <x:v>誤り。タンニンが化学的に完全除去されるわけではない。</x:v>
      </x:c>
      <x:c r="O293" s="165" t="str">
        <x:v>誤り。塩味による果実味の強調があっても、樽・タンニン・ボディの強さが上回る。</x:v>
      </x:c>
      <x:c r="P293" s="165" t="str">
        <x:v>正しい。風味強度と構造の不均衡で、料理が見えにくくなる。</x:v>
      </x:c>
      <x:c r="Q293" s="165" t="str">
        <x:v>フードペアリング</x:v>
      </x:c>
      <x:c r="R293" s="165" t="str">
        <x:v>風味の強さ・バランス</x:v>
      </x:c>
      <x:c r="S293" s="165" t="str">
        <x:v>全般</x:v>
      </x:c>
      <x:c r="T293" s="165"/>
      <x:c r="U293" s="165"/>
      <x:c r="V293" s="165"/>
      <x:c r="W293" s="165" t="str">
        <x:v>適用</x:v>
      </x:c>
      <x:c r="X293" s="171" t="str">
        <x:v>D1</x:v>
      </x:c>
      <x:c r="Y293" s="165" t="str">
        <x:v>料理の酸が樽香を消す; 魚脂がタンニンを完全除去; 塩味が強い赤との相性を良くする</x:v>
      </x:c>
      <x:c r="Z293" s="171" t="str">
        <x:v>N</x:v>
      </x:c>
      <x:c r="AA293" s="165"/>
      <x:c r="AB293" s="165" t="str">
        <x:v>オリジナル</x:v>
      </x:c>
      <x:c r="AC293" s="165" t="str">
        <x:v>公式Specificationの範囲＋ユーザー作成コーパスの論点と問題設計例を参考に独自作成</x:v>
      </x:c>
      <x:c r="AD293" s="171" t="str">
        <x:v>改稿済み・専門家未承認</x:v>
      </x:c>
      <x:c r="AE293" s="171" t="str">
        <x:v>AI誤答レビュー</x:v>
      </x:c>
      <x:c r="AF293" s="171" t="str">
        <x:v>2026-07-12</x:v>
      </x:c>
      <x:c r="AG293" s="166" t="str">
        <x:v>第3バッチ：同一論点内の典型的誤概念へ置換。正答位置は維持。</x:v>
      </x:c>
    </x:row>
    <x:row r="294" ht="84" customHeight="1">
      <x:c r="A294" s="164" t="str">
        <x:v>LO5-053</x:v>
      </x:c>
      <x:c r="B294" s="171" t="str">
        <x:v>LO5</x:v>
      </x:c>
      <x:c r="C294" s="165" t="str">
        <x:v>情報提供・推奨・保管・サービス</x:v>
      </x:c>
      <x:c r="D294" s="165" t="str">
        <x:v>甘い料理と辛口ワイン</x:v>
      </x:c>
      <x:c r="E294" s="165" t="str">
        <x:v>甘い料理に、料理より甘味の少ない辛口ワインを合わせた場合に起こりやすい知覚はどれか。</x:v>
      </x:c>
      <x:c r="F294" s="165" t="str">
        <x:v>ワインの果実味と甘味が弱く感じられ、酸味や苦味が目立つ</x:v>
      </x:c>
      <x:c r="G294" s="165" t="str">
        <x:v>ワインの甘味が強まり、酸と苦味が穏やかになる</x:v>
      </x:c>
      <x:c r="H294" s="165" t="str">
        <x:v>料理の糖がワインへ移り、残糖が高くなる</x:v>
      </x:c>
      <x:c r="I294" s="165" t="str">
        <x:v>ワインのタンニンだけが弱まり、果実味と酸は変わらない</x:v>
      </x:c>
      <x:c r="J294" s="171" t="str">
        <x:v>A</x:v>
      </x:c>
      <x:c r="K294" s="165" t="str">
        <x:v>ワインの果実味と甘味が弱く感じられ、酸味や苦味が目立つ</x:v>
      </x:c>
      <x:c r="L294" s="165" t="str">
        <x:v>正しい。料理の甘味と比べると、ワインは厳しく薄く感じられやすい。</x:v>
      </x:c>
      <x:c r="M294" s="165" t="str">
        <x:v>正しい。料理の甘味と比べると、ワインは厳しく薄く感じられやすい。</x:v>
      </x:c>
      <x:c r="N294" s="165" t="str">
        <x:v>誤り。知覚は逆で、甘味不足のワインは酸・苦味が目立つ。</x:v>
      </x:c>
      <x:c r="O294" s="165" t="str">
        <x:v>誤り。料理の糖がワイン成分として移るわけではない。</x:v>
      </x:c>
      <x:c r="P294" s="165" t="str">
        <x:v>誤り。タンニンだけでなく、果実味・酸・苦味の知覚も変わる。</x:v>
      </x:c>
      <x:c r="Q294" s="165" t="str">
        <x:v>フードペアリング</x:v>
      </x:c>
      <x:c r="R294" s="165" t="str">
        <x:v>甘味・知覚</x:v>
      </x:c>
      <x:c r="S294" s="165" t="str">
        <x:v>全般</x:v>
      </x:c>
      <x:c r="T294" s="165"/>
      <x:c r="U294" s="165"/>
      <x:c r="V294" s="165"/>
      <x:c r="W294" s="165" t="str">
        <x:v>因果説明</x:v>
      </x:c>
      <x:c r="X294" s="171" t="str">
        <x:v>D2</x:v>
      </x:c>
      <x:c r="Y294" s="165" t="str">
        <x:v>甘い料理で辛口ワインがより甘く感じる; 料理の糖がワインの残糖になる; 甘味差はタンニンだけに影響する</x:v>
      </x:c>
      <x:c r="Z294" s="171" t="str">
        <x:v>N</x:v>
      </x:c>
      <x:c r="AA294" s="165"/>
      <x:c r="AB294" s="165" t="str">
        <x:v>オリジナル</x:v>
      </x:c>
      <x:c r="AC294" s="165" t="str">
        <x:v>公式Specificationの範囲＋ユーザー作成コーパスの論点と問題設計例を参考に独自作成</x:v>
      </x:c>
      <x:c r="AD294" s="171" t="str">
        <x:v>改稿済み・専門家未承認</x:v>
      </x:c>
      <x:c r="AE294" s="171" t="str">
        <x:v>AI誤答レビュー</x:v>
      </x:c>
      <x:c r="AF294" s="171" t="str">
        <x:v>2026-07-12</x:v>
      </x:c>
      <x:c r="AG294" s="166" t="str">
        <x:v>第3バッチ：同一論点内の典型的誤概念へ置換。正答位置は維持。</x:v>
      </x:c>
    </x:row>
    <x:row r="295" ht="84" customHeight="1">
      <x:c r="A295" s="164" t="str">
        <x:v>LO5-054</x:v>
      </x:c>
      <x:c r="B295" s="171" t="str">
        <x:v>LO5</x:v>
      </x:c>
      <x:c r="C295" s="165" t="str">
        <x:v>情報提供・推奨・保管・サービス</x:v>
      </x:c>
      <x:c r="D295" s="165" t="str">
        <x:v>酸味のある料理と低酸ワイン</x:v>
      </x:c>
      <x:c r="E295" s="165" t="str">
        <x:v>強い酸味のある料理に、低酸のワインを合わせた場合、ワインはどのように感じられやすいか。</x:v>
      </x:c>
      <x:c r="F295" s="165" t="str">
        <x:v>酸が高く、引き締まって感じられる</x:v>
      </x:c>
      <x:c r="G295" s="165" t="str">
        <x:v>平板で、果実味が弱く、締まりがないように感じられる</x:v>
      </x:c>
      <x:c r="H295" s="165" t="str">
        <x:v>甘味とボディが強くなり、酸との均衡が良くなる</x:v>
      </x:c>
      <x:c r="I295" s="165" t="str">
        <x:v>タンニンだけが弱くなり、酸と果実味は変わらない</x:v>
      </x:c>
      <x:c r="J295" s="171" t="str">
        <x:v>B</x:v>
      </x:c>
      <x:c r="K295" s="165" t="str">
        <x:v>平板で、果実味が弱く、締まりがないように感じられる</x:v>
      </x:c>
      <x:c r="L295" s="165" t="str">
        <x:v>正しい。低酸ワインは料理に負け、ぼやけて果実味が乏しく感じられる。</x:v>
      </x:c>
      <x:c r="M295" s="165" t="str">
        <x:v>誤り。料理の酸がワインの酸を相対的に弱く見せるため、より高酸には感じにくい。</x:v>
      </x:c>
      <x:c r="N295" s="165" t="str">
        <x:v>正しい。低酸ワインは料理に負け、ぼやけて果実味が乏しく感じられる。</x:v>
      </x:c>
      <x:c r="O295" s="165" t="str">
        <x:v>誤り。甘味やボディが必ず強くなるわけではない。</x:v>
      </x:c>
      <x:c r="P295" s="165" t="str">
        <x:v>誤り。影響はタンニンだけでなく、酸・果実味・全体の輪郭へ及ぶ。</x:v>
      </x:c>
      <x:c r="Q295" s="165" t="str">
        <x:v>フードペアリング</x:v>
      </x:c>
      <x:c r="R295" s="165" t="str">
        <x:v>酸味・低酸ワイン</x:v>
      </x:c>
      <x:c r="S295" s="165" t="str">
        <x:v>全般</x:v>
      </x:c>
      <x:c r="T295" s="165"/>
      <x:c r="U295" s="165"/>
      <x:c r="V295" s="165"/>
      <x:c r="W295" s="165" t="str">
        <x:v>因果説明</x:v>
      </x:c>
      <x:c r="X295" s="171" t="str">
        <x:v>D2</x:v>
      </x:c>
      <x:c r="Y295" s="165" t="str">
        <x:v>酸味料理で低酸ワインが高酸に感じる; 酸味料理で甘味・ボディが強まり均衡; 影響はタンニンだけ</x:v>
      </x:c>
      <x:c r="Z295" s="171" t="str">
        <x:v>N</x:v>
      </x:c>
      <x:c r="AA295" s="165"/>
      <x:c r="AB295" s="165" t="str">
        <x:v>オリジナル</x:v>
      </x:c>
      <x:c r="AC295" s="165" t="str">
        <x:v>公式Specificationの範囲＋ユーザー作成コーパスの論点と問題設計例を参考に独自作成</x:v>
      </x:c>
      <x:c r="AD295" s="171" t="str">
        <x:v>改稿済み・専門家未承認</x:v>
      </x:c>
      <x:c r="AE295" s="171" t="str">
        <x:v>AI誤答レビュー</x:v>
      </x:c>
      <x:c r="AF295" s="171" t="str">
        <x:v>2026-07-12</x:v>
      </x:c>
      <x:c r="AG295" s="166" t="str">
        <x:v>第3バッチ：同一論点内の典型的誤概念へ置換。正答位置は維持。</x:v>
      </x:c>
    </x:row>
    <x:row r="296" ht="84" customHeight="1">
      <x:c r="A296" s="164" t="str">
        <x:v>LO5-055</x:v>
      </x:c>
      <x:c r="B296" s="171" t="str">
        <x:v>LO5</x:v>
      </x:c>
      <x:c r="C296" s="165" t="str">
        <x:v>情報提供・推奨・保管・サービス</x:v>
      </x:c>
      <x:c r="D296" s="165" t="str">
        <x:v>タンニンと肉料理</x:v>
      </x:c>
      <x:c r="E296" s="165" t="str">
        <x:v>高タンニンの赤ワインが、脂肪やたんぱく質の多い肉料理と合いやすい主な理由はどれか。</x:v>
      </x:c>
      <x:c r="F296" s="165" t="str">
        <x:v>料理の脂肪がワイン中のタンニンを化学的に分解し、濃度を下げるため</x:v>
      </x:c>
      <x:c r="G296" s="165" t="str">
        <x:v>肉料理であればソースや調理法にかかわらず、高タンニンの赤が常に最も適するため</x:v>
      </x:c>
      <x:c r="H296" s="165" t="str">
        <x:v>料理の脂肪とたんぱく質がタンニンの渋味を和らげ、ワインが柔らかく感じられるため</x:v>
      </x:c>
      <x:c r="I296" s="165" t="str">
        <x:v>肉のうま味がワインのタンニンを甘味へ変え、果実味を増加させるため</x:v>
      </x:c>
      <x:c r="J296" s="171" t="str">
        <x:v>C</x:v>
      </x:c>
      <x:c r="K296" s="165" t="str">
        <x:v>料理の脂肪とたんぱく質がタンニンの渋味を和らげ、ワインが柔らかく感じられるため</x:v>
      </x:c>
      <x:c r="L296" s="165" t="str">
        <x:v>正しい。脂肪とたんぱく質によって収れん性が穏やかに感じられ、ワインの果実味が表れやすくなる。</x:v>
      </x:c>
      <x:c r="M296" s="165" t="str">
        <x:v>誤り。相互作用は主に知覚上のもので、タンニンが化学的に消失するわけではない。</x:v>
      </x:c>
      <x:c r="N296" s="165" t="str">
        <x:v>誤り。赤身の量、脂肪、ソース、辛味、調理法により、低タンニンや白が適する場合もある。</x:v>
      </x:c>
      <x:c r="O296" s="165" t="str">
        <x:v>正しい。脂肪とたんぱく質によって収れん性が穏やかに感じられ、ワインの果実味が表れやすくなる。</x:v>
      </x:c>
      <x:c r="P296" s="165" t="str">
        <x:v>誤り。うま味はタンニンや苦味を強める場合があり、タンニンを甘味へ変換しない。</x:v>
      </x:c>
      <x:c r="Q296" s="165" t="str">
        <x:v>フードペアリング</x:v>
      </x:c>
      <x:c r="R296" s="165" t="str">
        <x:v>タンニン・たんぱく質・脂肪</x:v>
      </x:c>
      <x:c r="S296" s="165" t="str">
        <x:v>赤ワイン</x:v>
      </x:c>
      <x:c r="T296" s="165"/>
      <x:c r="U296" s="165"/>
      <x:c r="V296" s="165"/>
      <x:c r="W296" s="165" t="str">
        <x:v>因果説明</x:v>
      </x:c>
      <x:c r="X296" s="171" t="str">
        <x:v>D2</x:v>
      </x:c>
      <x:c r="Y296" s="165" t="str">
        <x:v>脂肪がタンニンを化学分解する; すべての肉料理には高タンニン赤が最適; うま味がタンニンを甘味へ変える</x:v>
      </x:c>
      <x:c r="Z296" s="171" t="str">
        <x:v>N</x:v>
      </x:c>
      <x:c r="AA296" s="165"/>
      <x:c r="AB296" s="165" t="str">
        <x:v>オリジナル</x:v>
      </x:c>
      <x:c r="AC296" s="165" t="str">
        <x:v>公式Specificationの範囲＋ユーザー作成コーパスの論点と問題設計例を参考に独自作成</x:v>
      </x:c>
      <x:c r="AD296" s="171" t="str">
        <x:v>改稿済み・専門家未承認</x:v>
      </x:c>
      <x:c r="AE296" s="171" t="str">
        <x:v>AI誤答レビュー</x:v>
      </x:c>
      <x:c r="AF296" s="171" t="str">
        <x:v>2026-07-12</x:v>
      </x:c>
      <x:c r="AG296" s="166" t="str">
        <x:v>第2バッチ：誤答を同一論点内の典型的誤概念へ置換。正答位置は維持。</x:v>
      </x:c>
    </x:row>
    <x:row r="297" ht="84" customHeight="1">
      <x:c r="A297" s="164" t="str">
        <x:v>LO5-056</x:v>
      </x:c>
      <x:c r="B297" s="171" t="str">
        <x:v>LO5</x:v>
      </x:c>
      <x:c r="C297" s="165" t="str">
        <x:v>情報提供・推奨・保管・サービス</x:v>
      </x:c>
      <x:c r="D297" s="165" t="str">
        <x:v>うま味と塩味</x:v>
      </x:c>
      <x:c r="E297" s="165" t="str">
        <x:v>うま味の強い料理に塩味が加わると、ワインとの組み合わせが改善することがある理由はどれか。</x:v>
      </x:c>
      <x:c r="F297" s="165" t="str">
        <x:v>酸が口中をさっぱりさせ、料理の濃厚さとのバランスを取りやすい</x:v>
      </x:c>
      <x:c r="G297" s="165" t="str">
        <x:v>塩味が料理のうま味成分を化学的に分解するため</x:v>
      </x:c>
      <x:c r="H297" s="165" t="str">
        <x:v>塩味がワインのタンニンを沈殿させ、実際の濃度を下げるため</x:v>
      </x:c>
      <x:c r="I297" s="165" t="str">
        <x:v>塩味がワインの苦味や渋味を弱く感じさせ、うま味の悪影響を一部和らげるため</x:v>
      </x:c>
      <x:c r="J297" s="171" t="str">
        <x:v>D</x:v>
      </x:c>
      <x:c r="K297" s="165" t="str">
        <x:v>塩味がワインの苦味や渋味を弱く感じさせ、うま味の悪影響を一部和らげるため</x:v>
      </x:c>
      <x:c r="L297" s="165" t="str">
        <x:v>正しい。うま味で厳しくなったワインを、塩味が果実味豊かに感じさせることがある。</x:v>
      </x:c>
      <x:c r="M297" s="165" t="str">
        <x:v>誤り。これは同じ知識領域の「脂肪と酸」に当てはまる説明で、設問の「うま味と塩味」を最も適切に説明しない。</x:v>
      </x:c>
      <x:c r="N297" s="165" t="str">
        <x:v>誤り。知覚上の相互作用で、うま味成分を分解しない。</x:v>
      </x:c>
      <x:c r="O297" s="165" t="str">
        <x:v>誤り。タンニン濃度を物理的に下げるわけではない。</x:v>
      </x:c>
      <x:c r="P297" s="165" t="str">
        <x:v>正しい。うま味で厳しくなったワインを、塩味が果実味豊かに感じさせることがある。</x:v>
      </x:c>
      <x:c r="Q297" s="165" t="str">
        <x:v>フードペアリング</x:v>
      </x:c>
      <x:c r="R297" s="165" t="str">
        <x:v>うま味・塩味・知覚</x:v>
      </x:c>
      <x:c r="S297" s="165" t="str">
        <x:v>全般</x:v>
      </x:c>
      <x:c r="T297" s="165"/>
      <x:c r="U297" s="165"/>
      <x:c r="V297" s="165"/>
      <x:c r="W297" s="165" t="str">
        <x:v>因果説明</x:v>
      </x:c>
      <x:c r="X297" s="171" t="str">
        <x:v>D3</x:v>
      </x:c>
      <x:c r="Y297" s="165" t="str">
        <x:v>うま味と塩味を脂肪と酸の特徴と混同; 塩味がうま味を化学分解; 塩味でタンニン沈殿</x:v>
      </x:c>
      <x:c r="Z297" s="171" t="str">
        <x:v>N</x:v>
      </x:c>
      <x:c r="AA297" s="165"/>
      <x:c r="AB297" s="165" t="str">
        <x:v>オリジナル</x:v>
      </x:c>
      <x:c r="AC297" s="165" t="str">
        <x:v>公式Specificationの範囲＋ユーザー作成コーパスの論点と問題設計例を参考に独自作成</x:v>
      </x:c>
      <x:c r="AD297" s="171" t="str">
        <x:v>改稿済み・専門家未承認</x:v>
      </x:c>
      <x:c r="AE297" s="171" t="str">
        <x:v>AI誤答レビュー</x:v>
      </x:c>
      <x:c r="AF297" s="171" t="str">
        <x:v>2026-07-12</x:v>
      </x:c>
      <x:c r="AG297" s="166" t="str">
        <x:v>第4バッチ：同一論点内の典型的誤概念へ置換。正答位置は維持。</x:v>
      </x:c>
    </x:row>
    <x:row r="298" ht="84" customHeight="1">
      <x:c r="A298" s="164" t="str">
        <x:v>LO5-057</x:v>
      </x:c>
      <x:c r="B298" s="171" t="str">
        <x:v>LO5</x:v>
      </x:c>
      <x:c r="C298" s="165" t="str">
        <x:v>情報提供・推奨・保管・サービス</x:v>
      </x:c>
      <x:c r="D298" s="165" t="str">
        <x:v>トウガラシとワイン選択</x:v>
      </x:c>
      <x:c r="E298" s="165" t="str">
        <x:v>トウガラシの辛味が強い料理に合わせるワインとして、一般に選びやすいスタイルはどれか。</x:v>
      </x:c>
      <x:c r="F298" s="165" t="str">
        <x:v>低めのアルコール、柔らかなタンニン、十分な果実味、必要に応じて少量の残糖</x:v>
      </x:c>
      <x:c r="G298" s="165" t="str">
        <x:v>高いアルコールと高いタンニンを持ち、果実味は控えめな力強い辛口赤</x:v>
      </x:c>
      <x:c r="H298" s="165" t="str">
        <x:v>酸と果実味が控えめで、残糖もほとんどない中立的な辛口ワイン</x:v>
      </x:c>
      <x:c r="I298" s="165" t="str">
        <x:v>強い新樽香と高いアルコールを持ち、ボディの豊かな辛口白ワイン</x:v>
      </x:c>
      <x:c r="J298" s="171" t="str">
        <x:v>A</x:v>
      </x:c>
      <x:c r="K298" s="165" t="str">
        <x:v>低めのアルコール、柔らかなタンニン、十分な果実味、必要に応じて少量の残糖</x:v>
      </x:c>
      <x:c r="L298" s="165" t="str">
        <x:v>正しい。低アルコールと果実味、少量の甘味が辛味を和らげやすい。</x:v>
      </x:c>
      <x:c r="M298" s="165" t="str">
        <x:v>正しい。低アルコールと果実味、少量の甘味が辛味を和らげやすい。</x:v>
      </x:c>
      <x:c r="N298" s="165" t="str">
        <x:v>誤り。アルコールとタンニンは辛味・熱感を強調しやすい。</x:v>
      </x:c>
      <x:c r="O298" s="165" t="str">
        <x:v>誤り。果実味と酸が不足すると、料理に負けやすい。</x:v>
      </x:c>
      <x:c r="P298" s="165" t="str">
        <x:v>誤り。新樽と高アルコールは辛味を増幅しやすい。</x:v>
      </x:c>
      <x:c r="Q298" s="165" t="str">
        <x:v>フードペアリング</x:v>
      </x:c>
      <x:c r="R298" s="165" t="str">
        <x:v>トウガラシ・アルコール・甘味</x:v>
      </x:c>
      <x:c r="S298" s="165" t="str">
        <x:v>全般</x:v>
      </x:c>
      <x:c r="T298" s="165"/>
      <x:c r="U298" s="165"/>
      <x:c r="V298" s="165"/>
      <x:c r="W298" s="165" t="str">
        <x:v>判断</x:v>
      </x:c>
      <x:c r="X298" s="171" t="str">
        <x:v>D2</x:v>
      </x:c>
      <x:c r="Y298" s="165" t="str">
        <x:v>辛い料理には高アルコール高タンニン; 低酸・低果実・辛口が辛味に適する; 高アルコール新樽白が辛味に適する</x:v>
      </x:c>
      <x:c r="Z298" s="171" t="str">
        <x:v>N</x:v>
      </x:c>
      <x:c r="AA298" s="165"/>
      <x:c r="AB298" s="165" t="str">
        <x:v>オリジナル</x:v>
      </x:c>
      <x:c r="AC298" s="165" t="str">
        <x:v>公式Specificationの範囲＋ユーザー作成コーパスの論点と問題設計例を参考に独自作成</x:v>
      </x:c>
      <x:c r="AD298" s="171" t="str">
        <x:v>改稿済み・専門家未承認</x:v>
      </x:c>
      <x:c r="AE298" s="171" t="str">
        <x:v>AI誤答レビュー</x:v>
      </x:c>
      <x:c r="AF298" s="171" t="str">
        <x:v>2026-07-12</x:v>
      </x:c>
      <x:c r="AG298" s="166" t="str">
        <x:v>第3バッチ：同一論点内の典型的誤概念へ置換。正答位置は維持。</x:v>
      </x:c>
    </x:row>
    <x:row r="299" ht="84" customHeight="1">
      <x:c r="A299" s="164" t="str">
        <x:v>LO5-058</x:v>
      </x:c>
      <x:c r="B299" s="171" t="str">
        <x:v>LO5</x:v>
      </x:c>
      <x:c r="C299" s="165" t="str">
        <x:v>情報提供・推奨・保管・サービス</x:v>
      </x:c>
      <x:c r="D299" s="165" t="str">
        <x:v>甘口ワインと塩味のある食品</x:v>
      </x:c>
      <x:c r="E299" s="165" t="str">
        <x:v>甘口ワインと塩味のあるブルーチーズが、良い組み合わせになり得る主な理由はどれか。</x:v>
      </x:c>
      <x:c r="F299" s="165" t="str">
        <x:v>ワインの糖がチーズの塩分を化学的に除去する</x:v>
      </x:c>
      <x:c r="G299" s="165" t="str">
        <x:v>甘味と塩味の対比が互いを引き立て、ワインの果実味とチーズの濃厚さを調和させる</x:v>
      </x:c>
      <x:c r="H299" s="165" t="str">
        <x:v>ブルーチーズのうま味がワインの残糖を増やす</x:v>
      </x:c>
      <x:c r="I299" s="165" t="str">
        <x:v>高いタンニンがチーズの塩味を弱めるため、甘味は重要でない</x:v>
      </x:c>
      <x:c r="J299" s="171" t="str">
        <x:v>B</x:v>
      </x:c>
      <x:c r="K299" s="165" t="str">
        <x:v>甘味と塩味の対比が互いを引き立て、ワインの果実味とチーズの濃厚さを調和させる</x:v>
      </x:c>
      <x:c r="L299" s="165" t="str">
        <x:v>正しい。甘味、酸、塩味、風味強度の対比が調和を作る。</x:v>
      </x:c>
      <x:c r="M299" s="165" t="str">
        <x:v>誤り。知覚上の対比であり、塩分を化学除去するわけではない。</x:v>
      </x:c>
      <x:c r="N299" s="165" t="str">
        <x:v>正しい。甘味、酸、塩味、風味強度の対比が調和を作る。</x:v>
      </x:c>
      <x:c r="O299" s="165" t="str">
        <x:v>誤り。料理がワインの実際の残糖量を変えるわけではない。</x:v>
      </x:c>
      <x:c r="P299" s="165" t="str">
        <x:v>誤り。高タンニンはうま味と塩味で厳しく感じることがあり、甘味が重要である。</x:v>
      </x:c>
      <x:c r="Q299" s="165" t="str">
        <x:v>フードペアリング</x:v>
      </x:c>
      <x:c r="R299" s="165" t="str">
        <x:v>甘味・塩味・脂肪</x:v>
      </x:c>
      <x:c r="S299" s="165" t="str">
        <x:v>甘口ワイン</x:v>
      </x:c>
      <x:c r="T299" s="165"/>
      <x:c r="U299" s="165"/>
      <x:c r="V299" s="165"/>
      <x:c r="W299" s="165" t="str">
        <x:v>因果説明</x:v>
      </x:c>
      <x:c r="X299" s="171" t="str">
        <x:v>D2</x:v>
      </x:c>
      <x:c r="Y299" s="165" t="str">
        <x:v>糖が塩分を化学除去する; ブルーチーズがワインの残糖を増やす; 高タンニンだけで塩味を弱め甘味不要</x:v>
      </x:c>
      <x:c r="Z299" s="171" t="str">
        <x:v>N</x:v>
      </x:c>
      <x:c r="AA299" s="165"/>
      <x:c r="AB299" s="165" t="str">
        <x:v>オリジナル</x:v>
      </x:c>
      <x:c r="AC299" s="165" t="str">
        <x:v>公式Specificationの範囲＋ユーザー作成コーパスの論点と問題設計例を参考に独自作成</x:v>
      </x:c>
      <x:c r="AD299" s="171" t="str">
        <x:v>改稿済み・専門家未承認</x:v>
      </x:c>
      <x:c r="AE299" s="171" t="str">
        <x:v>AI誤答レビュー</x:v>
      </x:c>
      <x:c r="AF299" s="171" t="str">
        <x:v>2026-07-12</x:v>
      </x:c>
      <x:c r="AG299" s="166" t="str">
        <x:v>第3バッチ：同一論点内の典型的誤概念へ置換。正答位置は維持。</x:v>
      </x:c>
    </x:row>
    <x:row r="300" ht="84" customHeight="1">
      <x:c r="A300" s="164" t="str">
        <x:v>LO5-059</x:v>
      </x:c>
      <x:c r="B300" s="171" t="str">
        <x:v>LO5</x:v>
      </x:c>
      <x:c r="C300" s="165" t="str">
        <x:v>情報提供・推奨・保管・サービス</x:v>
      </x:c>
      <x:c r="D300" s="165" t="str">
        <x:v>過剰摂取と短期的影響</x:v>
      </x:c>
      <x:c r="E300" s="165" t="str">
        <x:v>ワインの過剰摂取によって、短期的に生じ得る社会的・健康上の問題として最も適切なものはどれか。</x:v>
      </x:c>
      <x:c r="F300" s="165" t="str">
        <x:v>判断力は保たれるが、味覚だけが鈍くなる</x:v>
      </x:c>
      <x:c r="G300" s="165" t="str">
        <x:v>水を飲めば協調運動はすぐ回復し、事故リスクは低下する</x:v>
      </x:c>
      <x:c r="H300" s="165" t="str">
        <x:v>判断力や協調運動の低下により、事故や不適切な行動のリスクが高まる</x:v>
      </x:c>
      <x:c r="I300" s="165" t="str">
        <x:v>高品質ワインであれば、同じアルコール量でも短期的影響は小さい</x:v>
      </x:c>
      <x:c r="J300" s="171" t="str">
        <x:v>C</x:v>
      </x:c>
      <x:c r="K300" s="165" t="str">
        <x:v>判断力や協調運動の低下により、事故や不適切な行動のリスクが高まる</x:v>
      </x:c>
      <x:c r="L300" s="165" t="str">
        <x:v>正しい。判断力と協調運動の低下が安全上の主要リスクとなる。</x:v>
      </x:c>
      <x:c r="M300" s="165" t="str">
        <x:v>誤り。過剰摂取は味覚だけでなく、認知・運動・行動へ影響する。</x:v>
      </x:c>
      <x:c r="N300" s="165" t="str">
        <x:v>誤り。水は脱水を補うが、血中アルコールを直ちに下げない。</x:v>
      </x:c>
      <x:c r="O300" s="165" t="str">
        <x:v>正しい。判断力と協調運動の低下が安全上の主要リスクとなる。</x:v>
      </x:c>
      <x:c r="P300" s="165" t="str">
        <x:v>誤り。品質や価格でアルコールの急性影響は避けられない。</x:v>
      </x:c>
      <x:c r="Q300" s="165" t="str">
        <x:v>社会的・健康上の問題</x:v>
      </x:c>
      <x:c r="R300" s="165" t="str">
        <x:v>過剰摂取・短期的影響</x:v>
      </x:c>
      <x:c r="S300" s="165" t="str">
        <x:v>全般</x:v>
      </x:c>
      <x:c r="T300" s="165"/>
      <x:c r="U300" s="165"/>
      <x:c r="V300" s="165"/>
      <x:c r="W300" s="165" t="str">
        <x:v>知識確認</x:v>
      </x:c>
      <x:c r="X300" s="171" t="str">
        <x:v>D1</x:v>
      </x:c>
      <x:c r="Y300" s="165" t="str">
        <x:v>過剰摂取は味覚だけに影響; 水で協調運動が即回復; 高品質ワインは急性影響が小さい</x:v>
      </x:c>
      <x:c r="Z300" s="171" t="str">
        <x:v>Y</x:v>
      </x:c>
      <x:c r="AA300" s="165" t="str">
        <x:v>健康関連表現は一般的説明に限定し、地域別の医療・法的助言として使用しないことを確認推奨</x:v>
      </x:c>
      <x:c r="AB300" s="165" t="str">
        <x:v>オリジナル</x:v>
      </x:c>
      <x:c r="AC300" s="165" t="str">
        <x:v>公式Specificationの範囲＋ユーザー作成コーパスの論点と問題設計例を参考に独自作成</x:v>
      </x:c>
      <x:c r="AD300" s="171" t="str">
        <x:v>改稿済み・専門家未承認</x:v>
      </x:c>
      <x:c r="AE300" s="171" t="str">
        <x:v>AI誤答レビュー</x:v>
      </x:c>
      <x:c r="AF300" s="171" t="str">
        <x:v>2026-07-12</x:v>
      </x:c>
      <x:c r="AG300" s="166" t="str">
        <x:v>第3バッチ：同一論点内の典型的誤概念へ置換。正答位置は維持。</x:v>
      </x:c>
    </x:row>
    <x:row r="301" ht="84" customHeight="1">
      <x:c r="A301" s="167" t="str">
        <x:v>LO5-060</x:v>
      </x:c>
      <x:c r="B301" s="172" t="str">
        <x:v>LO5</x:v>
      </x:c>
      <x:c r="C301" s="168" t="str">
        <x:v>情報提供・推奨・保管・サービス</x:v>
      </x:c>
      <x:c r="D301" s="168" t="str">
        <x:v>酔いを早く覚ますという誤解</x:v>
      </x:c>
      <x:c r="E301" s="168" t="str">
        <x:v>過剰に飲酒した人について、最も適切な助言はどれか。</x:v>
      </x:c>
      <x:c r="F301" s="168" t="str">
        <x:v>コーヒーを飲んで覚醒感が戻れば、運転できる程度まで血中アルコールも下がる</x:v>
      </x:c>
      <x:c r="G301" s="168" t="str">
        <x:v>コーヒーと冷水シャワーで覚醒すれば、血中アルコールも下がる</x:v>
      </x:c>
      <x:c r="H301" s="168" t="str">
        <x:v>運動して汗をかけば、肝臓の代謝より速くアルコールを排出できる</x:v>
      </x:c>
      <x:c r="I301" s="168" t="str">
        <x:v>安全な場所で休み、水分を取り、時間をかけて代謝を待ち、運転しない</x:v>
      </x:c>
      <x:c r="J301" s="172" t="str">
        <x:v>D</x:v>
      </x:c>
      <x:c r="K301" s="168" t="str">
        <x:v>安全な場所で休み、水分を取り、時間をかけて代謝を待ち、運転しない</x:v>
      </x:c>
      <x:c r="L301" s="168" t="str">
        <x:v>正しい。コーヒーやシャワーは覚醒感を変えても、血中アルコールを急速に下げない。</x:v>
      </x:c>
      <x:c r="M301" s="168" t="str">
        <x:v>誤り。覚醒感と血中アルコール濃度は別で、代謝には時間が必要である。</x:v>
      </x:c>
      <x:c r="N301" s="168" t="str">
        <x:v>誤り。覚醒感と血中濃度は別である。</x:v>
      </x:c>
      <x:c r="O301" s="168" t="str">
        <x:v>誤り。主要な代謝は肝臓で時間が必要。</x:v>
      </x:c>
      <x:c r="P301" s="168" t="str">
        <x:v>正しい。コーヒーやシャワーは覚醒感を変えても、血中アルコールを急速に下げない。</x:v>
      </x:c>
      <x:c r="Q301" s="168" t="str">
        <x:v>社会的・健康上の問題</x:v>
      </x:c>
      <x:c r="R301" s="168" t="str">
        <x:v>過剰摂取・安全</x:v>
      </x:c>
      <x:c r="S301" s="168" t="str">
        <x:v>全般</x:v>
      </x:c>
      <x:c r="T301" s="168"/>
      <x:c r="U301" s="168"/>
      <x:c r="V301" s="168"/>
      <x:c r="W301" s="168" t="str">
        <x:v>適用</x:v>
      </x:c>
      <x:c r="X301" s="172" t="str">
        <x:v>D2</x:v>
      </x:c>
      <x:c r="Y301" s="168" t="str">
        <x:v>覚醒感の回復を酔いの解消と混同; コーヒー・シャワーでアルコール低下; 運動・発汗で急速排出</x:v>
      </x:c>
      <x:c r="Z301" s="172" t="str">
        <x:v>Y</x:v>
      </x:c>
      <x:c r="AA301" s="168" t="str">
        <x:v>健康・安全に関する一般論として扱い、医療判断や地域別法規の代替にしないことを確認推奨</x:v>
      </x:c>
      <x:c r="AB301" s="168" t="str">
        <x:v>オリジナル</x:v>
      </x:c>
      <x:c r="AC301" s="168" t="str">
        <x:v>公式Specificationの範囲＋ユーザー作成コーパスの論点と問題設計例を参考に独自作成</x:v>
      </x:c>
      <x:c r="AD301" s="172" t="str">
        <x:v>改稿済み・専門家未承認</x:v>
      </x:c>
      <x:c r="AE301" s="172" t="str">
        <x:v>AI誤答レビュー</x:v>
      </x:c>
      <x:c r="AF301" s="172" t="str">
        <x:v>2026-07-12</x:v>
      </x:c>
      <x:c r="AG301" s="169" t="str">
        <x:v>第4バッチ：同一論点内の典型的誤概念へ置換。正答位置は維持。</x:v>
      </x:c>
    </x:row>
    <x:row r="302" ht="84" customHeight="1">
      <x:c r="A302" s="308" t="str">
        <x:v>LO1-061</x:v>
      </x:c>
      <x:c r="B302" s="316" t="str">
        <x:v>LO1</x:v>
      </x:c>
      <x:c r="C302" s="309" t="str">
        <x:v>ブドウ畑・ワイナリーの自然要因と人的要因</x:v>
      </x:c>
      <x:c r="D302" s="309" t="str">
        <x:v>冬季休眠</x:v>
      </x:c>
      <x:c r="E302" s="309" t="str">
        <x:v>冬季休眠がブドウ樹の翌春の生育に重要である理由として、最も適切なものはどれか。</x:v>
      </x:c>
      <x:c r="F302" s="309" t="str">
        <x:v>代謝活動を低下させ、貯蔵炭水化物を温存しながら低温期を耐えるため</x:v>
      </x:c>
      <x:c r="G302" s="309" t="str">
        <x:v>低温期にも葉の光合成を維持し、翌春に使う糖を新たに生産するため</x:v>
      </x:c>
      <x:c r="H302" s="309" t="str">
        <x:v>貯蔵炭水化物を冬季に積極的に消費し、翌春の新梢伸長を抑えるため</x:v>
      </x:c>
      <x:c r="I302" s="309" t="str">
        <x:v>低温にさらされるほど芽の休眠が深まり続け、翌春の芽吹きが均一になるため</x:v>
      </x:c>
      <x:c r="J302" s="316" t="str">
        <x:v>A</x:v>
      </x:c>
      <x:c r="K302" s="309" t="str">
        <x:v>代謝活動を低下させ、貯蔵炭水化物を温存しながら低温期を耐えるため</x:v>
      </x:c>
      <x:c r="L302" s="309" t="str">
        <x:v>正しい。落葉後は代謝を低下させ、幹や根に蓄えた炭水化物を温存しながら冬を耐え、芽吹き初期の生育に利用する。</x:v>
      </x:c>
      <x:c r="M302" s="309" t="str">
        <x:v>正しい。落葉後は代謝を低下させ、幹や根に蓄えた炭水化物を温存しながら冬を耐え、芽吹き初期の生育に利用する。</x:v>
      </x:c>
      <x:c r="N302" s="309" t="str">
        <x:v>誤り。休眠期には落葉して光合成が大幅に低下するため、冬季に葉で新たな糖を生産することが主目的ではない。</x:v>
      </x:c>
      <x:c r="O302" s="309" t="str">
        <x:v>誤り。貯蔵炭水化物は冬に使い切るのではなく、翌春の芽吹きと新梢生育のために温存される。</x:v>
      </x:c>
      <x:c r="P302" s="309" t="str">
        <x:v>誤り。十分な低温への曝露は休眠解除に関係するが、低温が続くほど休眠が無制限に深まるわけではない。</x:v>
      </x:c>
      <x:c r="Q302" s="309" t="str">
        <x:v>ブドウ樹</x:v>
      </x:c>
      <x:c r="R302" s="309" t="str">
        <x:v>生育サイクル</x:v>
      </x:c>
      <x:c r="S302" s="309" t="str">
        <x:v>非発泡性ワイン</x:v>
      </x:c>
      <x:c r="T302" s="309"/>
      <x:c r="U302" s="309"/>
      <x:c r="V302" s="309"/>
      <x:c r="W302" s="309" t="str">
        <x:v>知識確認</x:v>
      </x:c>
      <x:c r="X302" s="316" t="str">
        <x:v>D1</x:v>
      </x:c>
      <x:c r="Y302" s="309" t="str">
        <x:v>落葉後も光合成を継続する; 冬季に貯蔵養分を消費する; 低温は休眠を深め続ける</x:v>
      </x:c>
      <x:c r="Z302" s="316" t="str">
        <x:v>N</x:v>
      </x:c>
      <x:c r="AA302" s="309"/>
      <x:c r="AB302" s="309" t="str">
        <x:v>オリジナル</x:v>
      </x:c>
      <x:c r="AC302" s="309" t="str">
        <x:v>公式Specificationの範囲＋ユーザー作成コーパスの論点を参考に独自作成</x:v>
      </x:c>
      <x:c r="AD302" s="316" t="str">
        <x:v>改稿済み・専門家未承認</x:v>
      </x:c>
      <x:c r="AE302" s="316" t="str">
        <x:v>AI誤答レビュー</x:v>
      </x:c>
      <x:c r="AF302" s="316" t="str">
        <x:v>2026-07-12</x:v>
      </x:c>
      <x:c r="AG302" s="310" t="str">
        <x:v>誤答を同一論点内の典型的誤概念へ置換。900問本体への反映前に専門家確認推奨。</x:v>
      </x:c>
    </x:row>
    <x:row r="303" ht="84" customHeight="1">
      <x:c r="A303" s="311" t="str">
        <x:v>LO1-062</x:v>
      </x:c>
      <x:c r="B303" s="171" t="str">
        <x:v>LO1</x:v>
      </x:c>
      <x:c r="C303" s="165" t="str">
        <x:v>ブドウ畑・ワイナリーの自然要因と人的要因</x:v>
      </x:c>
      <x:c r="D303" s="165" t="str">
        <x:v>芽吹きと春霜</x:v>
      </x:c>
      <x:c r="E303" s="165" t="str">
        <x:v>芽吹きの早い品種が春霜の被害を受けやすい主な理由はどれか。</x:v>
      </x:c>
      <x:c r="F303" s="165" t="str">
        <x:v>芽吹きが早い品種は根が土壌から水を吸収できないため</x:v>
      </x:c>
      <x:c r="G303" s="165" t="str">
        <x:v>若い芽や新梢が、霜の起こる時期にすでに露出しているため</x:v>
      </x:c>
      <x:c r="H303" s="165" t="str">
        <x:v>早く芽吹くと収穫が冬になるため</x:v>
      </x:c>
      <x:c r="I303" s="165" t="str">
        <x:v>早く芽吹くと果皮が厚くなりすぎるため</x:v>
      </x:c>
      <x:c r="J303" s="171" t="str">
        <x:v>B</x:v>
      </x:c>
      <x:c r="K303" s="165" t="str">
        <x:v>若い芽や新梢が、霜の起こる時期にすでに露出しているため</x:v>
      </x:c>
      <x:c r="L303" s="165" t="str">
        <x:v>正しい。芽吹きが早いほど、春先の低温に弱い若い組織が早く外気にさらされ、凍結による損傷を受けやすい。</x:v>
      </x:c>
      <x:c r="M303" s="165" t="str">
        <x:v>誤り。根の吸水能力そのものが芽吹き時期によって失われるわけではない。</x:v>
      </x:c>
      <x:c r="N303" s="165" t="str">
        <x:v>正しい。芽吹きが早いほど、春先の低温に弱い若い組織が早く外気にさらされ、凍結による損傷を受けやすい。</x:v>
      </x:c>
      <x:c r="O303" s="165" t="str">
        <x:v>誤り。芽吹きが早くても収穫時期は品種、気候、成熟速度に左右される。</x:v>
      </x:c>
      <x:c r="P303" s="165" t="str">
        <x:v>誤り。春霜の被害は果皮ではなく、芽や新梢の凍結が中心である。</x:v>
      </x:c>
      <x:c r="Q303" s="165" t="str">
        <x:v>自然要因</x:v>
      </x:c>
      <x:c r="R303" s="165" t="str">
        <x:v>霜害</x:v>
      </x:c>
      <x:c r="S303" s="165" t="str">
        <x:v>非発泡性ワイン</x:v>
      </x:c>
      <x:c r="T303" s="165"/>
      <x:c r="U303" s="165"/>
      <x:c r="V303" s="165"/>
      <x:c r="W303" s="165" t="str">
        <x:v>因果説明</x:v>
      </x:c>
      <x:c r="X303" s="171" t="str">
        <x:v>D2</x:v>
      </x:c>
      <x:c r="Y303" s="165" t="str">
        <x:v>芽吹きと春霜について関連要因を主因とみなす; 芽吹きと春霜について関連要因を主因とみなす; 芽吹きと春霜について関連要因を主因とみなす</x:v>
      </x:c>
      <x:c r="Z303" s="171" t="str">
        <x:v>N</x:v>
      </x:c>
      <x:c r="AA303" s="165"/>
      <x:c r="AB303" s="165" t="str">
        <x:v>オリジナル</x:v>
      </x:c>
      <x:c r="AC303" s="165" t="str">
        <x:v>公式Specificationの範囲＋ユーザー作成コーパスの論点を参考に独自作成</x:v>
      </x:c>
      <x:c r="AD303" s="171" t="str">
        <x:v>改稿済み・専門家未承認</x:v>
      </x:c>
      <x:c r="AE303" s="171" t="str">
        <x:v>AI誤答レビュー</x:v>
      </x:c>
      <x:c r="AF303" s="171" t="str">
        <x:v>2026-07-12</x:v>
      </x:c>
      <x:c r="AG303" s="312" t="str">
        <x:v>第5バッチ：使用可能な誤答を維持し、弱い誤答を因果逆転・隣接概念へ置換。正答位置は維持。</x:v>
      </x:c>
    </x:row>
    <x:row r="304" ht="84" customHeight="1">
      <x:c r="A304" s="311" t="str">
        <x:v>LO1-063</x:v>
      </x:c>
      <x:c r="B304" s="171" t="str">
        <x:v>LO1</x:v>
      </x:c>
      <x:c r="C304" s="165" t="str">
        <x:v>ブドウ畑・ワイナリーの自然要因と人的要因</x:v>
      </x:c>
      <x:c r="D304" s="165" t="str">
        <x:v>花振るい</x:v>
      </x:c>
      <x:c r="E304" s="165" t="str">
        <x:v>開花期の低温や強い雨によって花振るいが起きた場合、最も直接的な結果はどれか。</x:v>
      </x:c>
      <x:c r="F304" s="165" t="str">
        <x:v>残った果粒が大きく成長して、総収量が増える</x:v>
      </x:c>
      <x:c r="G304" s="165" t="str">
        <x:v>結実した果粒が大きくなり、総収量が増える</x:v>
      </x:c>
      <x:c r="H304" s="165" t="str">
        <x:v>果粒数が減り、収量が低下する</x:v>
      </x:c>
      <x:c r="I304" s="165" t="str">
        <x:v>翌年の芽の結実性だけが低下し、当年収量は変わらない</x:v>
      </x:c>
      <x:c r="J304" s="171" t="str">
        <x:v>C</x:v>
      </x:c>
      <x:c r="K304" s="165" t="str">
        <x:v>果粒数が減り、収量が低下する</x:v>
      </x:c>
      <x:c r="L304" s="165" t="str">
        <x:v>正しい。受粉・受精が不十分となり、花が果粒へ発達せず落下する。</x:v>
      </x:c>
      <x:c r="M304" s="165" t="str">
        <x:v>誤り。一部の補償成長はあっても、花振るいでは結実果粒数が減り、通常は収量が低下する。</x:v>
      </x:c>
      <x:c r="N304" s="165" t="str">
        <x:v>誤り。一部の補償成長はあり得るが、花振るいの直接結果は果粒数減少である。</x:v>
      </x:c>
      <x:c r="O304" s="165" t="str">
        <x:v>正しい。受粉・受精が不十分となり、花が果粒へ発達せず落下する。</x:v>
      </x:c>
      <x:c r="P304" s="165" t="str">
        <x:v>誤り。開花・受精不良は当年の果粒数へ直接影響する。</x:v>
      </x:c>
      <x:c r="Q304" s="165" t="str">
        <x:v>ブドウ樹</x:v>
      </x:c>
      <x:c r="R304" s="165" t="str">
        <x:v>開花・結実</x:v>
      </x:c>
      <x:c r="S304" s="165" t="str">
        <x:v>非発泡性ワイン</x:v>
      </x:c>
      <x:c r="T304" s="165"/>
      <x:c r="U304" s="165"/>
      <x:c r="V304" s="165"/>
      <x:c r="W304" s="165" t="str">
        <x:v>因果説明</x:v>
      </x:c>
      <x:c r="X304" s="171" t="str">
        <x:v>D1</x:v>
      </x:c>
      <x:c r="Y304" s="165" t="str">
        <x:v>花振るいで総収量が増える; 花振るいで収量が増える; 花振るいは翌年だけに影響</x:v>
      </x:c>
      <x:c r="Z304" s="171" t="str">
        <x:v>N</x:v>
      </x:c>
      <x:c r="AA304" s="165"/>
      <x:c r="AB304" s="165" t="str">
        <x:v>オリジナル</x:v>
      </x:c>
      <x:c r="AC304" s="165" t="str">
        <x:v>公式Specificationの範囲＋ユーザー作成コーパスの論点を参考に独自作成</x:v>
      </x:c>
      <x:c r="AD304" s="171" t="str">
        <x:v>改稿済み・専門家未承認</x:v>
      </x:c>
      <x:c r="AE304" s="171" t="str">
        <x:v>AI誤答レビュー</x:v>
      </x:c>
      <x:c r="AF304" s="171" t="str">
        <x:v>2026-07-12</x:v>
      </x:c>
      <x:c r="AG304" s="312" t="str">
        <x:v>第4バッチ：同一論点内の典型的誤概念へ置換。正答位置は維持。</x:v>
      </x:c>
    </x:row>
    <x:row r="305" ht="84" customHeight="1">
      <x:c r="A305" s="311" t="str">
        <x:v>LO1-064</x:v>
      </x:c>
      <x:c r="B305" s="171" t="str">
        <x:v>LO1</x:v>
      </x:c>
      <x:c r="C305" s="165" t="str">
        <x:v>ブドウ畑・ワイナリーの自然要因と人的要因</x:v>
      </x:c>
      <x:c r="D305" s="165" t="str">
        <x:v>ミルランダージュ</x:v>
      </x:c>
      <x:c r="E305" s="165" t="str">
        <x:v>ミルランダージュが起きた果房の特徴として最も適切なものはどれか。</x:v>
      </x:c>
      <x:c r="F305" s="165" t="str">
        <x:v>果粒の大きさと種子数がほぼ均一な果房</x:v>
      </x:c>
      <x:c r="G305" s="165" t="str">
        <x:v>結実する果粒が少なく、花梗の多い疎らな果房になる</x:v>
      </x:c>
      <x:c r="H305" s="165" t="str">
        <x:v>結実果粒がほとんどなく、花梗だけが残る果房</x:v>
      </x:c>
      <x:c r="I305" s="165" t="str">
        <x:v>種なしの小粒と正常な果粒が混在する果房</x:v>
      </x:c>
      <x:c r="J305" s="171" t="str">
        <x:v>D</x:v>
      </x:c>
      <x:c r="K305" s="165" t="str">
        <x:v>種なしの小粒と正常な果粒が混在する果房</x:v>
      </x:c>
      <x:c r="L305" s="165" t="str">
        <x:v>正しい。受精や種子発達が不完全な果粒が小さいまま残り、正常果粒と混在する。</x:v>
      </x:c>
      <x:c r="M305" s="165" t="str">
        <x:v>誤り。ミルランダージュでは大小の果粒が混在する。</x:v>
      </x:c>
      <x:c r="N305" s="165" t="str">
        <x:v>誤り。これは花振るいに近く、ミルランダージュでは小粒の種なし果と正常果が混在する。</x:v>
      </x:c>
      <x:c r="O305" s="165" t="str">
        <x:v>誤り。これは重度の花振るいに近い。</x:v>
      </x:c>
      <x:c r="P305" s="165" t="str">
        <x:v>正しい。受精や種子発達が不完全な果粒が小さいまま残り、正常果粒と混在する。</x:v>
      </x:c>
      <x:c r="Q305" s="165" t="str">
        <x:v>ブドウ樹</x:v>
      </x:c>
      <x:c r="R305" s="165" t="str">
        <x:v>結実不良</x:v>
      </x:c>
      <x:c r="S305" s="165" t="str">
        <x:v>非発泡性ワイン</x:v>
      </x:c>
      <x:c r="T305" s="165"/>
      <x:c r="U305" s="165"/>
      <x:c r="V305" s="165"/>
      <x:c r="W305" s="165" t="str">
        <x:v>知識確認</x:v>
      </x:c>
      <x:c r="X305" s="171" t="str">
        <x:v>D1</x:v>
      </x:c>
      <x:c r="Y305" s="165" t="str">
        <x:v>ミルランダージュは均一果粒; ミルランダージュを花振るいと混同; ミルランダージュと花振るいを混同</x:v>
      </x:c>
      <x:c r="Z305" s="171" t="str">
        <x:v>N</x:v>
      </x:c>
      <x:c r="AA305" s="165"/>
      <x:c r="AB305" s="165" t="str">
        <x:v>オリジナル</x:v>
      </x:c>
      <x:c r="AC305" s="165" t="str">
        <x:v>公式Specificationの範囲＋ユーザー作成コーパスの論点を参考に独自作成</x:v>
      </x:c>
      <x:c r="AD305" s="171" t="str">
        <x:v>改稿済み・専門家未承認</x:v>
      </x:c>
      <x:c r="AE305" s="171" t="str">
        <x:v>AI誤答レビュー</x:v>
      </x:c>
      <x:c r="AF305" s="171" t="str">
        <x:v>2026-07-12</x:v>
      </x:c>
      <x:c r="AG305" s="312" t="str">
        <x:v>第4バッチ：同一論点内の典型的誤概念へ置換。正答位置は維持。</x:v>
      </x:c>
    </x:row>
    <x:row r="306" ht="84" customHeight="1">
      <x:c r="A306" s="311" t="str">
        <x:v>LO1-065</x:v>
      </x:c>
      <x:c r="B306" s="171" t="str">
        <x:v>LO1</x:v>
      </x:c>
      <x:c r="C306" s="165" t="str">
        <x:v>ブドウ畑・ワイナリーの自然要因と人的要因</x:v>
      </x:c>
      <x:c r="D306" s="165" t="str">
        <x:v>葉面積と成熟</x:v>
      </x:c>
      <x:c r="E306" s="165" t="str">
        <x:v>ブドウ樹の健全な葉面積が不足すると、果実の成熟が遅れやすい主な理由はどれか。</x:v>
      </x:c>
      <x:c r="F306" s="165" t="str">
        <x:v>光合成で生産できる糖が減り、果実へ供給される炭水化物が不足するため</x:v>
      </x:c>
      <x:c r="G306" s="165" t="str">
        <x:v>果房への日射が増える効果が常に上回り、糖度上昇はむしろ速くなるため</x:v>
      </x:c>
      <x:c r="H306" s="165" t="str">
        <x:v>根と幹の貯蔵炭水化物だけで成熟期全体を補えるため、葉面積は糖蓄積へほとんど影響しない</x:v>
      </x:c>
      <x:c r="I306" s="165" t="str">
        <x:v>蒸散量が減ると果実への水分供給だけが増え、風味成熟が糖成熟より先に完了するため</x:v>
      </x:c>
      <x:c r="J306" s="171" t="str">
        <x:v>A</x:v>
      </x:c>
      <x:c r="K306" s="165" t="str">
        <x:v>光合成で生産できる糖が減り、果実へ供給される炭水化物が不足するため</x:v>
      </x:c>
      <x:c r="L306" s="165" t="str">
        <x:v>正しい。葉は成熟期の糖生産源であり、葉面積不足では果実負荷に対する糖供給が不足する。</x:v>
      </x:c>
      <x:c r="M306" s="165" t="str">
        <x:v>正しい。葉は成熟期の糖生産源であり、葉面積不足では果実負荷に対する糖供給が不足する。</x:v>
      </x:c>
      <x:c r="N306" s="165" t="str">
        <x:v>誤り。適度な除葉で果房環境は改善するが、葉が不足すれば光合成量の低下を補えない。</x:v>
      </x:c>
      <x:c r="O306" s="165" t="str">
        <x:v>誤り。貯蔵養分は芽吹き初期には重要だが、成熟期を通じた糖蓄積の主役は健全な葉である。</x:v>
      </x:c>
      <x:c r="P306" s="165" t="str">
        <x:v>誤り。蒸散の変化だけで風味成熟が先に完了するとはいえず、主要因は光合成能力の低下である。</x:v>
      </x:c>
      <x:c r="Q306" s="165" t="str">
        <x:v>ブドウ樹</x:v>
      </x:c>
      <x:c r="R306" s="165" t="str">
        <x:v>光合成</x:v>
      </x:c>
      <x:c r="S306" s="165" t="str">
        <x:v>非発泡性ワイン</x:v>
      </x:c>
      <x:c r="T306" s="165"/>
      <x:c r="U306" s="165"/>
      <x:c r="V306" s="165"/>
      <x:c r="W306" s="165" t="str">
        <x:v>因果説明</x:v>
      </x:c>
      <x:c r="X306" s="171" t="str">
        <x:v>D2</x:v>
      </x:c>
      <x:c r="Y306" s="165" t="str">
        <x:v>除葉の日照効果は光合成不足を常に上回る; 成熟期も貯蔵炭水化物だけで十分; 葉面積不足は風味成熟を先行させる</x:v>
      </x:c>
      <x:c r="Z306" s="171" t="str">
        <x:v>N</x:v>
      </x:c>
      <x:c r="AA306" s="165"/>
      <x:c r="AB306" s="165" t="str">
        <x:v>オリジナル</x:v>
      </x:c>
      <x:c r="AC306" s="165" t="str">
        <x:v>公式Specificationの範囲＋ユーザー作成コーパスの論点を参考に独自作成</x:v>
      </x:c>
      <x:c r="AD306" s="171" t="str">
        <x:v>改稿済み・専門家未承認</x:v>
      </x:c>
      <x:c r="AE306" s="171" t="str">
        <x:v>AI誤答レビュー</x:v>
      </x:c>
      <x:c r="AF306" s="171" t="str">
        <x:v>2026-07-12</x:v>
      </x:c>
      <x:c r="AG306" s="312" t="str">
        <x:v>第2バッチ：誤答を同一論点内の典型的誤概念へ置換。正答位置は維持。</x:v>
      </x:c>
    </x:row>
    <x:row r="307" ht="84" customHeight="1">
      <x:c r="A307" s="311" t="str">
        <x:v>LO1-066</x:v>
      </x:c>
      <x:c r="B307" s="171" t="str">
        <x:v>LO1</x:v>
      </x:c>
      <x:c r="C307" s="165" t="str">
        <x:v>ブドウ畑・ワイナリーの自然要因と人的要因</x:v>
      </x:c>
      <x:c r="D307" s="165" t="str">
        <x:v>キャノピーの遮光</x:v>
      </x:c>
      <x:c r="E307" s="165" t="str">
        <x:v>過度に密なキャノピーがワイン品質を低下させる主な理由はどれか。</x:v>
      </x:c>
      <x:c r="F307" s="165" t="str">
        <x:v>果房への直射日光が増え、日焼けと酸の低下が進みやすくなるため</x:v>
      </x:c>
      <x:c r="G307" s="165" t="str">
        <x:v>葉と果房が遮光され、成熟が遅れ、湿度と病害リスクが高まりやすいため</x:v>
      </x:c>
      <x:c r="H307" s="165" t="str">
        <x:v>果房周辺が乾燥し過ぎ、ボトリティスによる腐敗が広がりやすくなるため</x:v>
      </x:c>
      <x:c r="I307" s="165" t="str">
        <x:v>葉面積が多いほど成熟が速まり、収穫前に果実が過熟しやすくなるため</x:v>
      </x:c>
      <x:c r="J307" s="171" t="str">
        <x:v>B</x:v>
      </x:c>
      <x:c r="K307" s="165" t="str">
        <x:v>葉と果房が遮光され、成熟が遅れ、湿度と病害リスクが高まりやすいため</x:v>
      </x:c>
      <x:c r="L307" s="165" t="str">
        <x:v>正しい。遮光は糖・色・風味の成熟を遅らせ、風通しの悪化と高湿度が菌類病リスクを高める。</x:v>
      </x:c>
      <x:c r="M307" s="165" t="str">
        <x:v>誤り。密なキャノピーでは果房が遮光されやすく、直射日光と日焼けは一般に減る。</x:v>
      </x:c>
      <x:c r="N307" s="165" t="str">
        <x:v>正しい。遮光は糖・色・風味の成熟を遅らせ、風通しの悪化と高湿度が菌類病リスクを高める。</x:v>
      </x:c>
      <x:c r="O307" s="165" t="str">
        <x:v>誤り。密なキャノピーでは果房周辺が乾燥するのではなく、湿度が高く乾きにくくなる。</x:v>
      </x:c>
      <x:c r="P307" s="165" t="str">
        <x:v>誤り。葉量が多くても相互遮光が強いと有効な光合成と果実成熟はむしろ遅れる。</x:v>
      </x:c>
      <x:c r="Q307" s="165" t="str">
        <x:v>栽培</x:v>
      </x:c>
      <x:c r="R307" s="165" t="str">
        <x:v>キャノピー・マネジメント</x:v>
      </x:c>
      <x:c r="S307" s="165" t="str">
        <x:v>非発泡性ワイン</x:v>
      </x:c>
      <x:c r="T307" s="165"/>
      <x:c r="U307" s="165"/>
      <x:c r="V307" s="165"/>
      <x:c r="W307" s="165" t="str">
        <x:v>統合判断</x:v>
      </x:c>
      <x:c r="X307" s="171" t="str">
        <x:v>D2</x:v>
      </x:c>
      <x:c r="Y307" s="165" t="str">
        <x:v>密なキャノピーで露光増加; 密なキャノピーで乾燥; 葉量が多ければ成熟は常に速い</x:v>
      </x:c>
      <x:c r="Z307" s="171" t="str">
        <x:v>N</x:v>
      </x:c>
      <x:c r="AA307" s="165"/>
      <x:c r="AB307" s="165" t="str">
        <x:v>オリジナル</x:v>
      </x:c>
      <x:c r="AC307" s="165" t="str">
        <x:v>公式Specificationの範囲＋ユーザー作成コーパスの論点を参考に独自作成</x:v>
      </x:c>
      <x:c r="AD307" s="171" t="str">
        <x:v>改稿済み・専門家未承認</x:v>
      </x:c>
      <x:c r="AE307" s="171" t="str">
        <x:v>AI誤答レビュー</x:v>
      </x:c>
      <x:c r="AF307" s="171" t="str">
        <x:v>2026-07-12</x:v>
      </x:c>
      <x:c r="AG307" s="312" t="str">
        <x:v>誤答を同一論点内の典型的誤概念へ置換。900問本体への反映前に専門家確認推奨。</x:v>
      </x:c>
    </x:row>
    <x:row r="308" ht="84" customHeight="1">
      <x:c r="A308" s="311" t="str">
        <x:v>LO1-067</x:v>
      </x:c>
      <x:c r="B308" s="171" t="str">
        <x:v>LO1</x:v>
      </x:c>
      <x:c r="C308" s="165" t="str">
        <x:v>ブドウ畑・ワイナリーの自然要因と人的要因</x:v>
      </x:c>
      <x:c r="D308" s="165" t="str">
        <x:v>果粒サイズ</x:v>
      </x:c>
      <x:c r="E308" s="165" t="str">
        <x:v>同じ品種であれば、小さい果粒が赤ワインの色とタンニンを高めやすい主な理由はどれか。</x:v>
      </x:c>
      <x:c r="F308" s="165" t="str">
        <x:v>果肉に対する果皮の比率が高くても、色素とタンニンの抽出量は少なくなるため</x:v>
      </x:c>
      <x:c r="G308" s="165" t="str">
        <x:v>小粒ほど果汁中の糖が低く、長い果皮接触が必要になるため</x:v>
      </x:c>
      <x:c r="H308" s="165" t="str">
        <x:v>果肉に対する果皮の比率が高く、色素とタンニンの抽出量が増えるため</x:v>
      </x:c>
      <x:c r="I308" s="165" t="str">
        <x:v>小粒では種子が存在せず、果皮タンニンだけを抽出できるため</x:v>
      </x:c>
      <x:c r="J308" s="171" t="str">
        <x:v>C</x:v>
      </x:c>
      <x:c r="K308" s="165" t="str">
        <x:v>果肉に対する果皮の比率が高く、色素とタンニンの抽出量が増えるため</x:v>
      </x:c>
      <x:c r="L308" s="165" t="str">
        <x:v>正しい。色素とタンニンは主に果皮にあるため、果皮比率の高い小粒果は抽出成分が多い。</x:v>
      </x:c>
      <x:c r="M308" s="165" t="str">
        <x:v>誤り。果皮比率が高いほど、色素とタンニンの抽出可能量は一般に増える。</x:v>
      </x:c>
      <x:c r="N308" s="165" t="str">
        <x:v>誤り。小粒だから糖が低いとは限らず、果皮比率が主因である。</x:v>
      </x:c>
      <x:c r="O308" s="165" t="str">
        <x:v>正しい。色素とタンニンは主に果皮にあるため、果皮比率の高い小粒果は抽出成分が多い。</x:v>
      </x:c>
      <x:c r="P308" s="165" t="str">
        <x:v>誤り。小粒でも種子はあり得る。</x:v>
      </x:c>
      <x:c r="Q308" s="165" t="str">
        <x:v>ブドウ樹</x:v>
      </x:c>
      <x:c r="R308" s="165" t="str">
        <x:v>果粒構造</x:v>
      </x:c>
      <x:c r="S308" s="165" t="str">
        <x:v>赤ワイン</x:v>
      </x:c>
      <x:c r="T308" s="165"/>
      <x:c r="U308" s="165"/>
      <x:c r="V308" s="165"/>
      <x:c r="W308" s="165" t="str">
        <x:v>因果説明</x:v>
      </x:c>
      <x:c r="X308" s="171" t="str">
        <x:v>D2</x:v>
      </x:c>
      <x:c r="Y308" s="165" t="str">
        <x:v>高い果皮比率で抽出量が減る; 小粒果は低糖だから高抽出; 小粒果には種子がない</x:v>
      </x:c>
      <x:c r="Z308" s="171" t="str">
        <x:v>N</x:v>
      </x:c>
      <x:c r="AA308" s="165"/>
      <x:c r="AB308" s="165" t="str">
        <x:v>オリジナル</x:v>
      </x:c>
      <x:c r="AC308" s="165" t="str">
        <x:v>公式Specificationの範囲＋ユーザー作成コーパスの論点を参考に独自作成</x:v>
      </x:c>
      <x:c r="AD308" s="171" t="str">
        <x:v>改稿済み・専門家未承認</x:v>
      </x:c>
      <x:c r="AE308" s="171" t="str">
        <x:v>AI誤答レビュー</x:v>
      </x:c>
      <x:c r="AF308" s="171" t="str">
        <x:v>2026-07-12</x:v>
      </x:c>
      <x:c r="AG308" s="312" t="str">
        <x:v>第4バッチ：同一論点内の典型的誤概念へ置換。正答位置は維持。</x:v>
      </x:c>
    </x:row>
    <x:row r="309" ht="84" customHeight="1">
      <x:c r="A309" s="311" t="str">
        <x:v>LO1-068</x:v>
      </x:c>
      <x:c r="B309" s="171" t="str">
        <x:v>LO1</x:v>
      </x:c>
      <x:c r="C309" s="165" t="str">
        <x:v>ブドウ畑・ワイナリーの自然要因と人的要因</x:v>
      </x:c>
      <x:c r="D309" s="165" t="str">
        <x:v>緯度</x:v>
      </x:c>
      <x:c r="E309" s="165" t="str">
        <x:v>一般に、緯度が高い地域が低い地域より冷涼になりやすい主な理由はどれか。</x:v>
      </x:c>
      <x:c r="F309" s="165" t="str">
        <x:v>高緯度ほど地球の中心に近くなるため</x:v>
      </x:c>
      <x:c r="G309" s="165" t="str">
        <x:v>高緯度では海が存在しないため</x:v>
      </x:c>
      <x:c r="H309" s="165" t="str">
        <x:v>高緯度ほど夜間に光合成が活発になるため</x:v>
      </x:c>
      <x:c r="I309" s="165" t="str">
        <x:v>太陽光がより低い角度で届き、単位面積当たりの受熱量が小さくなりやすい</x:v>
      </x:c>
      <x:c r="J309" s="171" t="str">
        <x:v>D</x:v>
      </x:c>
      <x:c r="K309" s="165" t="str">
        <x:v>太陽光がより低い角度で届き、単位面積当たりの受熱量が小さくなりやすい</x:v>
      </x:c>
      <x:c r="L309" s="165" t="str">
        <x:v>正しい。高緯度では太陽光の入射角が低くなり、同じ光が広い面積へ分散するため、平均気温が低くなりやすい。</x:v>
      </x:c>
      <x:c r="M309" s="165" t="str">
        <x:v>誤り。地球中心までの距離は緯度差による気候を説明しない。</x:v>
      </x:c>
      <x:c r="N309" s="165" t="str">
        <x:v>誤り。高緯度にも海洋はあり、海の有無は緯度だけで決まらない。</x:v>
      </x:c>
      <x:c r="O309" s="165" t="str">
        <x:v>誤り。光合成には光が必要であり、夜間に活発になるわけではない。</x:v>
      </x:c>
      <x:c r="P309" s="165" t="str">
        <x:v>正しい。高緯度では太陽光の入射角が低くなり、同じ光が広い面積へ分散するため、平均気温が低くなりやすい。</x:v>
      </x:c>
      <x:c r="Q309" s="165" t="str">
        <x:v>自然要因</x:v>
      </x:c>
      <x:c r="R309" s="165" t="str">
        <x:v>緯度</x:v>
      </x:c>
      <x:c r="S309" s="165" t="str">
        <x:v>非発泡性ワイン</x:v>
      </x:c>
      <x:c r="T309" s="165"/>
      <x:c r="U309" s="165"/>
      <x:c r="V309" s="165"/>
      <x:c r="W309" s="165" t="str">
        <x:v>因果説明</x:v>
      </x:c>
      <x:c r="X309" s="171" t="str">
        <x:v>D2</x:v>
      </x:c>
      <x:c r="Y309" s="165" t="str">
        <x:v>緯度に関する別の特徴・要因と混同; 緯度に関する別の特徴・要因と混同; 緯度に関する別の特徴・要因と混同</x:v>
      </x:c>
      <x:c r="Z309" s="171" t="str">
        <x:v>N</x:v>
      </x:c>
      <x:c r="AA309" s="165"/>
      <x:c r="AB309" s="165" t="str">
        <x:v>オリジナル</x:v>
      </x:c>
      <x:c r="AC309" s="165" t="str">
        <x:v>公式Specificationの範囲＋ユーザー作成コーパスの論点を参考に独自作成</x:v>
      </x:c>
      <x:c r="AD309" s="171" t="str">
        <x:v>改稿済み・専門家未承認</x:v>
      </x:c>
      <x:c r="AE309" s="171" t="str">
        <x:v>AI誤答レビュー</x:v>
      </x:c>
      <x:c r="AF309" s="171" t="str">
        <x:v>2026-07-12</x:v>
      </x:c>
      <x:c r="AG309" s="312" t="str">
        <x:v>最終バッチ：有効な誤答を維持し、絶対語・物理的不可能な誤答のみ置換。正答位置は維持。</x:v>
      </x:c>
    </x:row>
    <x:row r="310" ht="84" customHeight="1">
      <x:c r="A310" s="311" t="str">
        <x:v>LO1-069</x:v>
      </x:c>
      <x:c r="B310" s="171" t="str">
        <x:v>LO1</x:v>
      </x:c>
      <x:c r="C310" s="165" t="str">
        <x:v>ブドウ畑・ワイナリーの自然要因と人的要因</x:v>
      </x:c>
      <x:c r="D310" s="165" t="str">
        <x:v>海流</x:v>
      </x:c>
      <x:c r="E310" s="165" t="str">
        <x:v>冷たい海流が沿岸のブドウ産地へ与えやすい影響として最も適切なものはどれか。</x:v>
      </x:c>
      <x:c r="F310" s="165" t="str">
        <x:v>沿岸の空気を冷却し、霧や風を通じて成熟を遅らせる</x:v>
      </x:c>
      <x:c r="G310" s="165" t="str">
        <x:v>沿岸の空気を冷却し、霧や風を通じて成熟を早める</x:v>
      </x:c>
      <x:c r="H310" s="165" t="str">
        <x:v>海水温が低いほど降水が増え、菌類病が高まりやすい</x:v>
      </x:c>
      <x:c r="I310" s="165" t="str">
        <x:v>海流が土壌を冷却し、根から果実へ酸を供給する</x:v>
      </x:c>
      <x:c r="J310" s="171" t="str">
        <x:v>A</x:v>
      </x:c>
      <x:c r="K310" s="165" t="str">
        <x:v>沿岸の空気を冷却し、霧や風を通じて成熟を遅らせる</x:v>
      </x:c>
      <x:c r="L310" s="165" t="str">
        <x:v>正しい。冷たい海面が沿岸気温を下げ、霧や冷風が日射と熱を抑える。</x:v>
      </x:c>
      <x:c r="M310" s="165" t="str">
        <x:v>正しい。冷たい海面が沿岸気温を下げ、霧や冷風が日射と熱を抑える。</x:v>
      </x:c>
      <x:c r="N310" s="165" t="str">
        <x:v>誤り。正答では「成熟を遅らせ」ことが重要であり、この選択肢は「成熟を早め」へ置き換えて関係を逆にしている。</x:v>
      </x:c>
      <x:c r="O310" s="165" t="str">
        <x:v>誤り。冷流はしばしば乾燥や霧を伴い、降水増加が一律ではない。</x:v>
      </x:c>
      <x:c r="P310" s="165" t="str">
        <x:v>誤り。酸は果実内の代謝で保持され、根から供給されるものではない。</x:v>
      </x:c>
      <x:c r="Q310" s="165" t="str">
        <x:v>自然要因</x:v>
      </x:c>
      <x:c r="R310" s="165" t="str">
        <x:v>海洋影響</x:v>
      </x:c>
      <x:c r="S310" s="165" t="str">
        <x:v>非発泡性ワイン</x:v>
      </x:c>
      <x:c r="T310" s="165"/>
      <x:c r="U310" s="165"/>
      <x:c r="V310" s="165"/>
      <x:c r="W310" s="165" t="str">
        <x:v>因果説明</x:v>
      </x:c>
      <x:c r="X310" s="171" t="str">
        <x:v>D2</x:v>
      </x:c>
      <x:c r="Y310" s="165" t="str">
        <x:v>「成熟を遅らせ」と「成熟を早め」の関係を逆転; 冷流で必ず多雨になる; 海流・根が果実へ酸を供給</x:v>
      </x:c>
      <x:c r="Z310" s="171" t="str">
        <x:v>N</x:v>
      </x:c>
      <x:c r="AA310" s="165"/>
      <x:c r="AB310" s="165" t="str">
        <x:v>オリジナル</x:v>
      </x:c>
      <x:c r="AC310" s="165" t="str">
        <x:v>公式Specificationの範囲＋ユーザー作成コーパスの論点を参考に独自作成</x:v>
      </x:c>
      <x:c r="AD310" s="171" t="str">
        <x:v>改稿済み・専門家未承認</x:v>
      </x:c>
      <x:c r="AE310" s="171" t="str">
        <x:v>AI誤答レビュー</x:v>
      </x:c>
      <x:c r="AF310" s="171" t="str">
        <x:v>2026-07-12</x:v>
      </x:c>
      <x:c r="AG310" s="312" t="str">
        <x:v>第4バッチ：同一論点内の典型的誤概念へ置換。正答位置は維持。</x:v>
      </x:c>
    </x:row>
    <x:row r="311" ht="84" customHeight="1">
      <x:c r="A311" s="311" t="str">
        <x:v>LO1-070</x:v>
      </x:c>
      <x:c r="B311" s="171" t="str">
        <x:v>LO1</x:v>
      </x:c>
      <x:c r="C311" s="165" t="str">
        <x:v>ブドウ畑・ワイナリーの自然要因と人的要因</x:v>
      </x:c>
      <x:c r="D311" s="165" t="str">
        <x:v>雨陰</x:v>
      </x:c>
      <x:c r="E311" s="165" t="str">
        <x:v>山脈の風下側に乾燥したブドウ産地が形成されやすい主な理由はどれか。</x:v>
      </x:c>
      <x:c r="F311" s="165" t="str">
        <x:v>湿った空気が山を越える際に下降して冷却され、雨を降らせるため</x:v>
      </x:c>
      <x:c r="G311" s="165" t="str">
        <x:v>風上で水分を失った空気が風下で下降・昇温し、乾燥するため</x:v>
      </x:c>
      <x:c r="H311" s="165" t="str">
        <x:v>風上で水分を吸収した空気が、風下で下降・昇温して乾燥するため</x:v>
      </x:c>
      <x:c r="I311" s="165" t="str">
        <x:v>山脈が地下水を風下へ流さず、土壌水分だけを減らすため</x:v>
      </x:c>
      <x:c r="J311" s="171" t="str">
        <x:v>B</x:v>
      </x:c>
      <x:c r="K311" s="165" t="str">
        <x:v>風上で水分を失った空気が風下で下降・昇温し、乾燥するため</x:v>
      </x:c>
      <x:c r="L311" s="165" t="str">
        <x:v>正しい。風上で冷却・降雨した空気は、風下へ下降する際に暖まり相対湿度が下がる。</x:v>
      </x:c>
      <x:c r="M311" s="165" t="str">
        <x:v>誤り。風下では下降する空気が暖まり乾燥する。</x:v>
      </x:c>
      <x:c r="N311" s="165" t="str">
        <x:v>正しい。風上で冷却・降雨した空気は、風下へ下降する際に暖まり相対湿度が下がる。</x:v>
      </x:c>
      <x:c r="O311" s="165" t="str">
        <x:v>誤り。風上では空気が冷却されて水分を失い、その後の下降・昇温で風下が乾燥する。</x:v>
      </x:c>
      <x:c r="P311" s="165" t="str">
        <x:v>誤り。主要因は大気の上昇・降水・下降昇温である。</x:v>
      </x:c>
      <x:c r="Q311" s="165" t="str">
        <x:v>自然要因</x:v>
      </x:c>
      <x:c r="R311" s="165" t="str">
        <x:v>地形</x:v>
      </x:c>
      <x:c r="S311" s="165" t="str">
        <x:v>非発泡性ワイン</x:v>
      </x:c>
      <x:c r="T311" s="165"/>
      <x:c r="U311" s="165"/>
      <x:c r="V311" s="165"/>
      <x:c r="W311" s="165" t="str">
        <x:v>因果説明</x:v>
      </x:c>
      <x:c r="X311" s="171" t="str">
        <x:v>D2</x:v>
      </x:c>
      <x:c r="Y311" s="165" t="str">
        <x:v>風下下降気流が冷却・降雨する; 風上で空気が水分を吸収する; 雨陰を地下水遮断だけで説明</x:v>
      </x:c>
      <x:c r="Z311" s="171" t="str">
        <x:v>N</x:v>
      </x:c>
      <x:c r="AA311" s="165"/>
      <x:c r="AB311" s="165" t="str">
        <x:v>オリジナル</x:v>
      </x:c>
      <x:c r="AC311" s="165" t="str">
        <x:v>公式Specificationの範囲＋ユーザー作成コーパスの論点を参考に独自作成</x:v>
      </x:c>
      <x:c r="AD311" s="171" t="str">
        <x:v>改稿済み・専門家未承認</x:v>
      </x:c>
      <x:c r="AE311" s="171" t="str">
        <x:v>AI誤答レビュー</x:v>
      </x:c>
      <x:c r="AF311" s="171" t="str">
        <x:v>2026-07-12</x:v>
      </x:c>
      <x:c r="AG311" s="312" t="str">
        <x:v>第4バッチ：同一論点内の典型的誤概念へ置換。正答位置は維持。</x:v>
      </x:c>
    </x:row>
    <x:row r="312" ht="84" customHeight="1">
      <x:c r="A312" s="311" t="str">
        <x:v>LO1-071</x:v>
      </x:c>
      <x:c r="B312" s="171" t="str">
        <x:v>LO1</x:v>
      </x:c>
      <x:c r="C312" s="165" t="str">
        <x:v>ブドウ畑・ワイナリーの自然要因と人的要因</x:v>
      </x:c>
      <x:c r="D312" s="165" t="str">
        <x:v>土壌の保水性</x:v>
      </x:c>
      <x:c r="E312" s="165" t="str">
        <x:v>乾燥した地域で、粘土質土壌が砂質土壌よりブドウ樹へ水を供給しやすい主な理由はどれか。</x:v>
      </x:c>
      <x:c r="F312" s="165" t="str">
        <x:v>粘土は大きな孔隙が多く、水が速く排出されるため</x:v>
      </x:c>
      <x:c r="G312" s="165" t="str">
        <x:v>粘土は大きな孔隙だけを持ち、水が速く流れ去るため</x:v>
      </x:c>
      <x:c r="H312" s="165" t="str">
        <x:v>粘土の細かい粒子と大きな表面積が、水を保持しやすいため</x:v>
      </x:c>
      <x:c r="I312" s="165" t="str">
        <x:v>粘土中の有機物が水を化学的に生成するため</x:v>
      </x:c>
      <x:c r="J312" s="171" t="str">
        <x:v>C</x:v>
      </x:c>
      <x:c r="K312" s="165" t="str">
        <x:v>粘土の細かい粒子と大きな表面積が、水を保持しやすいため</x:v>
      </x:c>
      <x:c r="L312" s="165" t="str">
        <x:v>正しい。粘土は微細孔と高い表面積を持ち、砂質土壌より水を長く保持する。</x:v>
      </x:c>
      <x:c r="M312" s="165" t="str">
        <x:v>誤り。粘土は微細粒子と微細孔が多く、水を保持しやすい。</x:v>
      </x:c>
      <x:c r="N312" s="165" t="str">
        <x:v>誤り。粘土は微細孔が多く保水性が高い。</x:v>
      </x:c>
      <x:c r="O312" s="165" t="str">
        <x:v>正しい。粘土は微細孔と高い表面積を持ち、砂質土壌より水を長く保持する。</x:v>
      </x:c>
      <x:c r="P312" s="165" t="str">
        <x:v>誤り。保水は粒子・孔隙構造によるもので、水を生成しない。</x:v>
      </x:c>
      <x:c r="Q312" s="165" t="str">
        <x:v>自然要因</x:v>
      </x:c>
      <x:c r="R312" s="165" t="str">
        <x:v>土壌</x:v>
      </x:c>
      <x:c r="S312" s="165" t="str">
        <x:v>非発泡性ワイン</x:v>
      </x:c>
      <x:c r="T312" s="165"/>
      <x:c r="U312" s="165"/>
      <x:c r="V312" s="165"/>
      <x:c r="W312" s="165" t="str">
        <x:v>因果説明</x:v>
      </x:c>
      <x:c r="X312" s="171" t="str">
        <x:v>D1</x:v>
      </x:c>
      <x:c r="Y312" s="165" t="str">
        <x:v>粘土は大孔隙で排水が速い; 粘土は大孔隙で排水が速い; 粘土が水を生成する</x:v>
      </x:c>
      <x:c r="Z312" s="171" t="str">
        <x:v>N</x:v>
      </x:c>
      <x:c r="AA312" s="165"/>
      <x:c r="AB312" s="165" t="str">
        <x:v>オリジナル</x:v>
      </x:c>
      <x:c r="AC312" s="165" t="str">
        <x:v>公式Specificationの範囲＋ユーザー作成コーパスの論点を参考に独自作成</x:v>
      </x:c>
      <x:c r="AD312" s="171" t="str">
        <x:v>改稿済み・専門家未承認</x:v>
      </x:c>
      <x:c r="AE312" s="171" t="str">
        <x:v>AI誤答レビュー</x:v>
      </x:c>
      <x:c r="AF312" s="171" t="str">
        <x:v>2026-07-12</x:v>
      </x:c>
      <x:c r="AG312" s="312" t="str">
        <x:v>第4バッチ：同一論点内の典型的誤概念へ置換。正答位置は維持。</x:v>
      </x:c>
    </x:row>
    <x:row r="313" ht="84" customHeight="1">
      <x:c r="A313" s="311" t="str">
        <x:v>LO1-072</x:v>
      </x:c>
      <x:c r="B313" s="171" t="str">
        <x:v>LO1</x:v>
      </x:c>
      <x:c r="C313" s="165" t="str">
        <x:v>ブドウ畑・ワイナリーの自然要因と人的要因</x:v>
      </x:c>
      <x:c r="D313" s="165" t="str">
        <x:v>石の多い畑の熱</x:v>
      </x:c>
      <x:c r="E313" s="165" t="str">
        <x:v>石の多い畑が冷涼な地域で成熟を助ける場合、その主な仕組みはどれか。</x:v>
      </x:c>
      <x:c r="F313" s="165" t="str">
        <x:v>石が果実を発酵させる酵母を生産する</x:v>
      </x:c>
      <x:c r="G313" s="165" t="str">
        <x:v>石が土壌中の酸を多く中和する</x:v>
      </x:c>
      <x:c r="H313" s="165" t="str">
        <x:v>石が光合成を行い、糖を果実へ送る</x:v>
      </x:c>
      <x:c r="I313" s="165" t="str">
        <x:v>石が日中の熱を吸収し、夜間に周囲へ放出する</x:v>
      </x:c>
      <x:c r="J313" s="171" t="str">
        <x:v>D</x:v>
      </x:c>
      <x:c r="K313" s="165" t="str">
        <x:v>石が日中の熱を吸収し、夜間に周囲へ放出する</x:v>
      </x:c>
      <x:c r="L313" s="165" t="str">
        <x:v>正しい。石は土壌表面を暖め、日中に蓄えた熱を夜間に放出することで、果房周辺の温度をわずかに高く保つことがある。</x:v>
      </x:c>
      <x:c r="M313" s="165" t="str">
        <x:v>誤り。酵母の供給が熱保持効果の主因ではない。</x:v>
      </x:c>
      <x:c r="N313" s="165" t="str">
        <x:v>誤り。石の存在がブドウ果実の酸を直接中和するわけではない。</x:v>
      </x:c>
      <x:c r="O313" s="165" t="str">
        <x:v>誤り。光合成を行うのは緑色の植物組織であり、石ではない。</x:v>
      </x:c>
      <x:c r="P313" s="165" t="str">
        <x:v>正しい。石は土壌表面を暖め、日中に蓄えた熱を夜間に放出することで、果房周辺の温度をわずかに高く保つことがある。</x:v>
      </x:c>
      <x:c r="Q313" s="165" t="str">
        <x:v>自然要因</x:v>
      </x:c>
      <x:c r="R313" s="165" t="str">
        <x:v>土壌と熱</x:v>
      </x:c>
      <x:c r="S313" s="165" t="str">
        <x:v>非発泡性ワイン</x:v>
      </x:c>
      <x:c r="T313" s="165"/>
      <x:c r="U313" s="165"/>
      <x:c r="V313" s="165"/>
      <x:c r="W313" s="165" t="str">
        <x:v>因果説明</x:v>
      </x:c>
      <x:c r="X313" s="171" t="str">
        <x:v>D1</x:v>
      </x:c>
      <x:c r="Y313" s="165" t="str">
        <x:v>石の多い畑の熱について関連要因を主因とみなす; 石の多い畑の熱について関連要因を主因とみなす; 石の多い畑の熱について関連要因を主因とみなす</x:v>
      </x:c>
      <x:c r="Z313" s="171" t="str">
        <x:v>N</x:v>
      </x:c>
      <x:c r="AA313" s="165"/>
      <x:c r="AB313" s="165" t="str">
        <x:v>オリジナル</x:v>
      </x:c>
      <x:c r="AC313" s="165" t="str">
        <x:v>公式Specificationの範囲＋ユーザー作成コーパスの論点を参考に独自作成</x:v>
      </x:c>
      <x:c r="AD313" s="171" t="str">
        <x:v>改稿済み・専門家未承認</x:v>
      </x:c>
      <x:c r="AE313" s="171" t="str">
        <x:v>AI誤答レビュー</x:v>
      </x:c>
      <x:c r="AF313" s="171" t="str">
        <x:v>2026-07-12</x:v>
      </x:c>
      <x:c r="AG313" s="312" t="str">
        <x:v>第5バッチ：使用可能な誤答を維持し、弱い誤答を因果逆転・隣接概念へ置換。正答位置は維持。</x:v>
      </x:c>
    </x:row>
    <x:row r="314" ht="84" customHeight="1">
      <x:c r="A314" s="311" t="str">
        <x:v>LO1-073</x:v>
      </x:c>
      <x:c r="B314" s="171" t="str">
        <x:v>LO1</x:v>
      </x:c>
      <x:c r="C314" s="165" t="str">
        <x:v>ブドウ畑・ワイナリーの自然要因と人的要因</x:v>
      </x:c>
      <x:c r="D314" s="165" t="str">
        <x:v>深い根</x:v>
      </x:c>
      <x:c r="E314" s="165" t="str">
        <x:v>深く根を張るブドウ樹が干ばつに比較的耐えやすい主な理由はどれか。</x:v>
      </x:c>
      <x:c r="F314" s="165" t="str">
        <x:v>表層が乾いても、深い土層に残る水分へアクセスできるため</x:v>
      </x:c>
      <x:c r="G314" s="165" t="str">
        <x:v>深い根が果汁を直接果房へ送り込むため</x:v>
      </x:c>
      <x:c r="H314" s="165" t="str">
        <x:v>深い根ほど冬季休眠を必要としないため</x:v>
      </x:c>
      <x:c r="I314" s="165" t="str">
        <x:v>根が深いと降雨量が自動的に増えるため</x:v>
      </x:c>
      <x:c r="J314" s="171" t="str">
        <x:v>A</x:v>
      </x:c>
      <x:c r="K314" s="165" t="str">
        <x:v>表層が乾いても、深い土層に残る水分へアクセスできるため</x:v>
      </x:c>
      <x:c r="L314" s="165" t="str">
        <x:v>正しい。深根性の樹は表層の水分変動の影響を受けにくく、より深い水源を利用できる場合がある。</x:v>
      </x:c>
      <x:c r="M314" s="165" t="str">
        <x:v>正しい。深根性の樹は表層の水分変動の影響を受けにくく、より深い水源を利用できる場合がある。</x:v>
      </x:c>
      <x:c r="N314" s="165" t="str">
        <x:v>誤り。根が吸収するのは主に水と無機養分であり、果汁を直接送るわけではない。</x:v>
      </x:c>
      <x:c r="O314" s="165" t="str">
        <x:v>誤り。休眠は気候とブドウ樹の生理に関係し、根の深さだけで不要にならない。</x:v>
      </x:c>
      <x:c r="P314" s="165" t="str">
        <x:v>誤り。根の深さは降雨量を変えない。</x:v>
      </x:c>
      <x:c r="Q314" s="165" t="str">
        <x:v>栽培</x:v>
      </x:c>
      <x:c r="R314" s="165" t="str">
        <x:v>根系</x:v>
      </x:c>
      <x:c r="S314" s="165" t="str">
        <x:v>非発泡性ワイン</x:v>
      </x:c>
      <x:c r="T314" s="165"/>
      <x:c r="U314" s="165"/>
      <x:c r="V314" s="165"/>
      <x:c r="W314" s="165" t="str">
        <x:v>因果説明</x:v>
      </x:c>
      <x:c r="X314" s="171" t="str">
        <x:v>D2</x:v>
      </x:c>
      <x:c r="Y314" s="165" t="str">
        <x:v>深い根に関する別の特徴・要因と混同; 深い根に関する別の特徴・要因と混同; 深い根に関する別の特徴・要因と混同</x:v>
      </x:c>
      <x:c r="Z314" s="171" t="str">
        <x:v>N</x:v>
      </x:c>
      <x:c r="AA314" s="165"/>
      <x:c r="AB314" s="165" t="str">
        <x:v>オリジナル</x:v>
      </x:c>
      <x:c r="AC314" s="165" t="str">
        <x:v>公式Specificationの範囲＋ユーザー作成コーパスの論点を参考に独自作成</x:v>
      </x:c>
      <x:c r="AD314" s="171" t="str">
        <x:v>改稿済み・専門家未承認</x:v>
      </x:c>
      <x:c r="AE314" s="171" t="str">
        <x:v>AI誤答レビュー</x:v>
      </x:c>
      <x:c r="AF314" s="171" t="str">
        <x:v>2026-07-12</x:v>
      </x:c>
      <x:c r="AG314" s="312" t="str">
        <x:v>最終バッチ：有効な誤答を維持し、絶対語・物理的不可能な誤答のみ置換。正答位置は維持。</x:v>
      </x:c>
    </x:row>
    <x:row r="315" ht="84" customHeight="1">
      <x:c r="A315" s="311" t="str">
        <x:v>LO1-074</x:v>
      </x:c>
      <x:c r="B315" s="171" t="str">
        <x:v>LO1</x:v>
      </x:c>
      <x:c r="C315" s="165" t="str">
        <x:v>ブドウ畑・ワイナリーの自然要因と人的要因</x:v>
      </x:c>
      <x:c r="D315" s="165" t="str">
        <x:v>耐乾性台木</x:v>
      </x:c>
      <x:c r="E315" s="165" t="str">
        <x:v>乾燥した畑で耐乾性の高い台木を選ぶ主な目的はどれか。</x:v>
      </x:c>
      <x:c r="F315" s="165" t="str">
        <x:v>浅い根を増やし、短い降雨から表面水だけを利用するため</x:v>
      </x:c>
      <x:c r="G315" s="165" t="str">
        <x:v>根を深く広く発達させ、限られた水を効率よく利用するため</x:v>
      </x:c>
      <x:c r="H315" s="165" t="str">
        <x:v>穂木の気孔を常に開かせ、蒸散を増やして葉温を下げるため</x:v>
      </x:c>
      <x:c r="I315" s="165" t="str">
        <x:v>浅い根を増やし、少量の降雨だけを素早く吸収するため</x:v>
      </x:c>
      <x:c r="J315" s="171" t="str">
        <x:v>B</x:v>
      </x:c>
      <x:c r="K315" s="165" t="str">
        <x:v>根を深く広く発達させ、限られた水を効率よく利用するため</x:v>
      </x:c>
      <x:c r="L315" s="165" t="str">
        <x:v>正しい。耐乾性台木は深い根系や効率的な水分利用によって水ストレスを軽減する。</x:v>
      </x:c>
      <x:c r="M315" s="165" t="str">
        <x:v>誤り。耐乾性台木では深根性と水利用効率が重要である。</x:v>
      </x:c>
      <x:c r="N315" s="165" t="str">
        <x:v>正しい。耐乾性台木は深い根系や効率的な水分利用によって水ストレスを軽減する。</x:v>
      </x:c>
      <x:c r="O315" s="165" t="str">
        <x:v>誤り。耐乾性では水損失を抑える性質も重要である。</x:v>
      </x:c>
      <x:c r="P315" s="165" t="str">
        <x:v>誤り。深い水源を利用できる根系が有利である。</x:v>
      </x:c>
      <x:c r="Q315" s="165" t="str">
        <x:v>栽培</x:v>
      </x:c>
      <x:c r="R315" s="165" t="str">
        <x:v>台木</x:v>
      </x:c>
      <x:c r="S315" s="165" t="str">
        <x:v>非発泡性ワイン</x:v>
      </x:c>
      <x:c r="T315" s="165"/>
      <x:c r="U315" s="165"/>
      <x:c r="V315" s="165"/>
      <x:c r="W315" s="165" t="str">
        <x:v>適用</x:v>
      </x:c>
      <x:c r="X315" s="171" t="str">
        <x:v>D2</x:v>
      </x:c>
      <x:c r="Y315" s="165" t="str">
        <x:v>耐乾性台木は浅根化する; 耐乾性台木は蒸散を増やす; 耐乾性台木は浅根化する</x:v>
      </x:c>
      <x:c r="Z315" s="171" t="str">
        <x:v>N</x:v>
      </x:c>
      <x:c r="AA315" s="165"/>
      <x:c r="AB315" s="165" t="str">
        <x:v>オリジナル</x:v>
      </x:c>
      <x:c r="AC315" s="165" t="str">
        <x:v>公式Specificationの範囲＋ユーザー作成コーパスの論点を参考に独自作成</x:v>
      </x:c>
      <x:c r="AD315" s="171" t="str">
        <x:v>改稿済み・専門家未承認</x:v>
      </x:c>
      <x:c r="AE315" s="171" t="str">
        <x:v>AI誤答レビュー</x:v>
      </x:c>
      <x:c r="AF315" s="171" t="str">
        <x:v>2026-07-12</x:v>
      </x:c>
      <x:c r="AG315" s="312" t="str">
        <x:v>第4バッチ：同一論点内の典型的誤概念へ置換。正答位置は維持。</x:v>
      </x:c>
    </x:row>
    <x:row r="316" ht="84" customHeight="1">
      <x:c r="A316" s="311" t="str">
        <x:v>LO1-075</x:v>
      </x:c>
      <x:c r="B316" s="171" t="str">
        <x:v>LO1</x:v>
      </x:c>
      <x:c r="C316" s="165" t="str">
        <x:v>ブドウ畑・ワイナリーの自然要因と人的要因</x:v>
      </x:c>
      <x:c r="D316" s="165" t="str">
        <x:v>台木と樹勢</x:v>
      </x:c>
      <x:c r="E316" s="165" t="str">
        <x:v>肥沃で水分供給の多い畑に、低樹勢の台木を選ぶ主な目的はどれか。</x:v>
      </x:c>
      <x:c r="F316" s="165" t="str">
        <x:v>根の吸水を強く促し、穂木の新梢成長をさらに増加させる</x:v>
      </x:c>
      <x:c r="G316" s="165" t="str">
        <x:v>穂木の品種にかかわらず、収量を一定の低水準へ固定する</x:v>
      </x:c>
      <x:c r="H316" s="165" t="str">
        <x:v>過度な新梢成長を抑え、果房への光と風通しを確保しやすくする</x:v>
      </x:c>
      <x:c r="I316" s="165" t="str">
        <x:v>乾燥した痩せた土壌で樹勢を最大化し、成熟の遅れを防ぐ</x:v>
      </x:c>
      <x:c r="J316" s="171" t="str">
        <x:v>C</x:v>
      </x:c>
      <x:c r="K316" s="165" t="str">
        <x:v>過度な新梢成長を抑え、果房への光と風通しを確保しやすくする</x:v>
      </x:c>
      <x:c r="L316" s="165" t="str">
        <x:v>正しい。低樹勢台木は過剰なキャノピーを抑え、遮光や病害リスクを減らし、果実成熟を助ける。</x:v>
      </x:c>
      <x:c r="M316" s="165" t="str">
        <x:v>誤り。低樹勢台木は、肥沃な条件で強くなりすぎる栄養成長をさらに促すものではない。</x:v>
      </x:c>
      <x:c r="N316" s="165" t="str">
        <x:v>誤り。台木は樹勢へ影響するが、収量は品種、剪定、結実、天候などにも左右され、一定値には固定されない。</x:v>
      </x:c>
      <x:c r="O316" s="165" t="str">
        <x:v>正しい。低樹勢台木は過剰なキャノピーを抑え、遮光や病害リスクを減らし、果実成熟を助ける。</x:v>
      </x:c>
      <x:c r="P316" s="165" t="str">
        <x:v>誤り。乾燥・痩せた畑では、一般により樹勢や耐乾性を支える台木が必要となる場合がある。</x:v>
      </x:c>
      <x:c r="Q316" s="165" t="str">
        <x:v>栽培</x:v>
      </x:c>
      <x:c r="R316" s="165" t="str">
        <x:v>台木と樹勢</x:v>
      </x:c>
      <x:c r="S316" s="165" t="str">
        <x:v>非発泡性ワイン</x:v>
      </x:c>
      <x:c r="T316" s="165"/>
      <x:c r="U316" s="165"/>
      <x:c r="V316" s="165"/>
      <x:c r="W316" s="165" t="str">
        <x:v>適用</x:v>
      </x:c>
      <x:c r="X316" s="171" t="str">
        <x:v>D2</x:v>
      </x:c>
      <x:c r="Y316" s="165" t="str">
        <x:v>低樹勢台木は吸水と新梢を促進する; 台木だけで収量を固定できる; 低樹勢台木は痩せた乾燥地で樹勢最大化に使う</x:v>
      </x:c>
      <x:c r="Z316" s="171" t="str">
        <x:v>N</x:v>
      </x:c>
      <x:c r="AA316" s="165"/>
      <x:c r="AB316" s="165" t="str">
        <x:v>オリジナル</x:v>
      </x:c>
      <x:c r="AC316" s="165" t="str">
        <x:v>公式Specificationの範囲＋ユーザー作成コーパスの論点を参考に独自作成</x:v>
      </x:c>
      <x:c r="AD316" s="171" t="str">
        <x:v>改稿済み・専門家未承認</x:v>
      </x:c>
      <x:c r="AE316" s="171" t="str">
        <x:v>AI誤答レビュー</x:v>
      </x:c>
      <x:c r="AF316" s="171" t="str">
        <x:v>2026-07-12</x:v>
      </x:c>
      <x:c r="AG316" s="312" t="str">
        <x:v>第2バッチ：誤答を同一論点内の典型的誤概念へ置換。正答位置は維持。</x:v>
      </x:c>
    </x:row>
    <x:row r="317" ht="84" customHeight="1">
      <x:c r="A317" s="311" t="str">
        <x:v>LO1-076</x:v>
      </x:c>
      <x:c r="B317" s="171" t="str">
        <x:v>LO1</x:v>
      </x:c>
      <x:c r="C317" s="165" t="str">
        <x:v>ブドウ畑・ワイナリーの自然要因と人的要因</x:v>
      </x:c>
      <x:c r="D317" s="165" t="str">
        <x:v>遅延剪定</x:v>
      </x:c>
      <x:c r="E317" s="165" t="str">
        <x:v>春霜リスクの高い畑で遅延剪定を行う狙いとして最も適切なものはどれか。</x:v>
      </x:c>
      <x:c r="F317" s="165" t="str">
        <x:v>果実の収穫を前年へ早める</x:v>
      </x:c>
      <x:c r="G317" s="165" t="str">
        <x:v>土壌の保水性を急に高める</x:v>
      </x:c>
      <x:c r="H317" s="165" t="str">
        <x:v>果汁のアルコール度を直接下げる</x:v>
      </x:c>
      <x:c r="I317" s="165" t="str">
        <x:v>芽吹きを遅らせ、霜の危険が高い時期を避けやすくする</x:v>
      </x:c>
      <x:c r="J317" s="171" t="str">
        <x:v>D</x:v>
      </x:c>
      <x:c r="K317" s="165" t="str">
        <x:v>芽吹きを遅らせ、霜の危険が高い時期を避けやすくする</x:v>
      </x:c>
      <x:c r="L317" s="165" t="str">
        <x:v>正しい。剪定を遅らせると先端芽の優勢が残り、基部芽の芽吹きが遅れるため、霜害回避に役立つ場合がある。</x:v>
      </x:c>
      <x:c r="M317" s="165" t="str">
        <x:v>誤り。剪定は翌季の生育を管理する作業で、前年へ収穫を移すことはできない。</x:v>
      </x:c>
      <x:c r="N317" s="165" t="str">
        <x:v>誤り。剪定時期は土壌の物理的保水性を変えない。</x:v>
      </x:c>
      <x:c r="O317" s="165" t="str">
        <x:v>誤り。アルコール度は成熟と発酵に関係し、剪定時期が直接下げるものではない。</x:v>
      </x:c>
      <x:c r="P317" s="165" t="str">
        <x:v>正しい。剪定を遅らせると先端芽の優勢が残り、基部芽の芽吹きが遅れるため、霜害回避に役立つ場合がある。</x:v>
      </x:c>
      <x:c r="Q317" s="165" t="str">
        <x:v>栽培</x:v>
      </x:c>
      <x:c r="R317" s="165" t="str">
        <x:v>霜害対策</x:v>
      </x:c>
      <x:c r="S317" s="165" t="str">
        <x:v>非発泡性ワイン</x:v>
      </x:c>
      <x:c r="T317" s="165"/>
      <x:c r="U317" s="165"/>
      <x:c r="V317" s="165"/>
      <x:c r="W317" s="165" t="str">
        <x:v>適用</x:v>
      </x:c>
      <x:c r="X317" s="171" t="str">
        <x:v>D2</x:v>
      </x:c>
      <x:c r="Y317" s="165" t="str">
        <x:v>遅延剪定に関する別の特徴・要因と混同; 遅延剪定に関する別の特徴・要因と混同; 遅延剪定に関する別の特徴・要因と混同</x:v>
      </x:c>
      <x:c r="Z317" s="171" t="str">
        <x:v>N</x:v>
      </x:c>
      <x:c r="AA317" s="165"/>
      <x:c r="AB317" s="165" t="str">
        <x:v>オリジナル</x:v>
      </x:c>
      <x:c r="AC317" s="165" t="str">
        <x:v>公式Specificationの範囲＋ユーザー作成コーパスの論点を参考に独自作成</x:v>
      </x:c>
      <x:c r="AD317" s="171" t="str">
        <x:v>改稿済み・専門家未承認</x:v>
      </x:c>
      <x:c r="AE317" s="171" t="str">
        <x:v>AI誤答レビュー</x:v>
      </x:c>
      <x:c r="AF317" s="171" t="str">
        <x:v>2026-07-12</x:v>
      </x:c>
      <x:c r="AG317" s="312" t="str">
        <x:v>最終バッチ：有効な誤答を維持し、絶対語・物理的不可能な誤答のみ置換。正答位置は維持。</x:v>
      </x:c>
    </x:row>
    <x:row r="318" ht="84" customHeight="1">
      <x:c r="A318" s="311" t="str">
        <x:v>LO1-077</x:v>
      </x:c>
      <x:c r="B318" s="171" t="str">
        <x:v>LO1</x:v>
      </x:c>
      <x:c r="C318" s="165" t="str">
        <x:v>ブドウ畑・ワイナリーの自然要因と人的要因</x:v>
      </x:c>
      <x:c r="D318" s="165" t="str">
        <x:v>スプリンクラー霜対策</x:v>
      </x:c>
      <x:c r="E318" s="165" t="str">
        <x:v>霜害対策としてブドウ樹へ散水を続ける方法が有効な主な理由はどれか。</x:v>
      </x:c>
      <x:c r="F318" s="165" t="str">
        <x:v>水が凍る際に放出する潜熱が、植物組織をおよそ0℃付近に保つため</x:v>
      </x:c>
      <x:c r="G318" s="165" t="str">
        <x:v>氷が芽を乾燥させ、凍結点を大幅に下げるため</x:v>
      </x:c>
      <x:c r="H318" s="165" t="str">
        <x:v>散水すると霜が蒸発し、夏の気温になるため</x:v>
      </x:c>
      <x:c r="I318" s="165" t="str">
        <x:v>水が樹上で発酵し、アルコールが不凍液になるため</x:v>
      </x:c>
      <x:c r="J318" s="171" t="str">
        <x:v>A</x:v>
      </x:c>
      <x:c r="K318" s="165" t="str">
        <x:v>水が凍る際に放出する潜熱が、植物組織をおよそ0℃付近に保つため</x:v>
      </x:c>
      <x:c r="L318" s="165" t="str">
        <x:v>正しい。水が継続して凍結するときに熱が放出され、散水が続く限り芽や新梢の温度低下を抑えられる。</x:v>
      </x:c>
      <x:c r="M318" s="165" t="str">
        <x:v>正しい。水が継続して凍結するときに熱が放出され、散水が続く限り芽や新梢の温度低下を抑えられる。</x:v>
      </x:c>
      <x:c r="N318" s="165" t="str">
        <x:v>誤り。保護効果は乾燥ではなく、凍結時に放出される熱による。</x:v>
      </x:c>
      <x:c r="O318" s="165" t="str">
        <x:v>誤り。気温が夏の水準になるのではなく、組織を凍結損傷温度より高く保つ。</x:v>
      </x:c>
      <x:c r="P318" s="165" t="str">
        <x:v>誤り。樹上の散水がアルコール発酵するわけではない。</x:v>
      </x:c>
      <x:c r="Q318" s="165" t="str">
        <x:v>栽培</x:v>
      </x:c>
      <x:c r="R318" s="165" t="str">
        <x:v>霜害対策</x:v>
      </x:c>
      <x:c r="S318" s="165" t="str">
        <x:v>非発泡性ワイン</x:v>
      </x:c>
      <x:c r="T318" s="165"/>
      <x:c r="U318" s="165"/>
      <x:c r="V318" s="165"/>
      <x:c r="W318" s="165" t="str">
        <x:v>因果説明</x:v>
      </x:c>
      <x:c r="X318" s="171" t="str">
        <x:v>D3</x:v>
      </x:c>
      <x:c r="Y318" s="165" t="str">
        <x:v>スプリンクラー霜対策に関する別の特徴・要因と混同; スプリンクラー霜対策に関する別の特徴・要因と混同; スプリンクラー霜対策に関する別の特徴・要因と混同</x:v>
      </x:c>
      <x:c r="Z318" s="171" t="str">
        <x:v>N</x:v>
      </x:c>
      <x:c r="AA318" s="165"/>
      <x:c r="AB318" s="165" t="str">
        <x:v>オリジナル</x:v>
      </x:c>
      <x:c r="AC318" s="165" t="str">
        <x:v>公式Specificationの範囲＋ユーザー作成コーパスの論点を参考に独自作成</x:v>
      </x:c>
      <x:c r="AD318" s="171" t="str">
        <x:v>改稿済み・専門家未承認</x:v>
      </x:c>
      <x:c r="AE318" s="171" t="str">
        <x:v>AI誤答レビュー</x:v>
      </x:c>
      <x:c r="AF318" s="171" t="str">
        <x:v>2026-07-12</x:v>
      </x:c>
      <x:c r="AG318" s="312" t="str">
        <x:v>最終バッチ：有効な誤答を維持し、絶対語・物理的不可能な誤答のみ置換。正答位置は維持。</x:v>
      </x:c>
    </x:row>
    <x:row r="319" ht="84" customHeight="1">
      <x:c r="A319" s="311" t="str">
        <x:v>LO1-078</x:v>
      </x:c>
      <x:c r="B319" s="171" t="str">
        <x:v>LO1</x:v>
      </x:c>
      <x:c r="C319" s="165" t="str">
        <x:v>ブドウ畑・ワイナリーの自然要因と人的要因</x:v>
      </x:c>
      <x:c r="D319" s="165" t="str">
        <x:v>防雹ネット</x:v>
      </x:c>
      <x:c r="E319" s="165" t="str">
        <x:v>防雹ネットの主な利点はどれか。</x:v>
      </x:c>
      <x:c r="F319" s="165" t="str">
        <x:v>ネットが果房を日射へ強く露出し、果皮を厚くする</x:v>
      </x:c>
      <x:c r="G319" s="165" t="str">
        <x:v>果房と新梢を雹による物理的損傷から守る</x:v>
      </x:c>
      <x:c r="H319" s="165" t="str">
        <x:v>雹の発生そのものを減らし、畑周辺の気象を安定させる</x:v>
      </x:c>
      <x:c r="I319" s="165" t="str">
        <x:v>ネット下の温度を高め、果実の成熟を促進することが主目的</x:v>
      </x:c>
      <x:c r="J319" s="171" t="str">
        <x:v>B</x:v>
      </x:c>
      <x:c r="K319" s="165" t="str">
        <x:v>果房と新梢を雹による物理的損傷から守る</x:v>
      </x:c>
      <x:c r="L319" s="165" t="str">
        <x:v>正しい。ネットが雹の衝撃を受け止め、果実裂傷や新梢折損を減らす。</x:v>
      </x:c>
      <x:c r="M319" s="165" t="str">
        <x:v>誤り。防雹ネットの目的は物理的保護で、日射露出を強めることではない。</x:v>
      </x:c>
      <x:c r="N319" s="165" t="str">
        <x:v>正しい。ネットが雹の衝撃を受け止め、果実裂傷や新梢折損を減らす。</x:v>
      </x:c>
      <x:c r="O319" s="165" t="str">
        <x:v>誤り。ネットは雹を止めるのではなく、落下時の衝撃を遮る。</x:v>
      </x:c>
      <x:c r="P319" s="165" t="str">
        <x:v>誤り。主目的は物理的保護であり、温度上昇ではない。</x:v>
      </x:c>
      <x:c r="Q319" s="165" t="str">
        <x:v>栽培</x:v>
      </x:c>
      <x:c r="R319" s="165" t="str">
        <x:v>雹害対策</x:v>
      </x:c>
      <x:c r="S319" s="165" t="str">
        <x:v>非発泡性ワイン</x:v>
      </x:c>
      <x:c r="T319" s="165"/>
      <x:c r="U319" s="165"/>
      <x:c r="V319" s="165"/>
      <x:c r="W319" s="165" t="str">
        <x:v>知識確認</x:v>
      </x:c>
      <x:c r="X319" s="171" t="str">
        <x:v>D1</x:v>
      </x:c>
      <x:c r="Y319" s="165" t="str">
        <x:v>防雹ネットは日射露出を高める; 防雹ネットが気象を変える; 防雹ネットの主目的は成熟促進</x:v>
      </x:c>
      <x:c r="Z319" s="171" t="str">
        <x:v>N</x:v>
      </x:c>
      <x:c r="AA319" s="165"/>
      <x:c r="AB319" s="165" t="str">
        <x:v>オリジナル</x:v>
      </x:c>
      <x:c r="AC319" s="165" t="str">
        <x:v>公式Specificationの範囲＋ユーザー作成コーパスの論点を参考に独自作成</x:v>
      </x:c>
      <x:c r="AD319" s="171" t="str">
        <x:v>改稿済み・専門家未承認</x:v>
      </x:c>
      <x:c r="AE319" s="171" t="str">
        <x:v>AI誤答レビュー</x:v>
      </x:c>
      <x:c r="AF319" s="171" t="str">
        <x:v>2026-07-12</x:v>
      </x:c>
      <x:c r="AG319" s="312" t="str">
        <x:v>第4バッチ：同一論点内の典型的誤概念へ置換。正答位置は維持。</x:v>
      </x:c>
    </x:row>
    <x:row r="320" ht="84" customHeight="1">
      <x:c r="A320" s="311" t="str">
        <x:v>LO1-079</x:v>
      </x:c>
      <x:c r="B320" s="171" t="str">
        <x:v>LO1</x:v>
      </x:c>
      <x:c r="C320" s="165" t="str">
        <x:v>ブドウ畑・ワイナリーの自然要因と人的要因</x:v>
      </x:c>
      <x:c r="D320" s="165" t="str">
        <x:v>グリーン・ハーヴェスト</x:v>
      </x:c>
      <x:c r="E320" s="165" t="str">
        <x:v>過剰な着果が見られる畑で、グリーン・ハーヴェストを行う主な目的はどれか。</x:v>
      </x:c>
      <x:c r="F320" s="165" t="str">
        <x:v>成熟した房だけを除き、未熟な房の酸を高く保つ</x:v>
      </x:c>
      <x:c r="G320" s="165" t="str">
        <x:v>葉を減らして果実負荷を変えず、果房の日照だけを増やす</x:v>
      </x:c>
      <x:c r="H320" s="165" t="str">
        <x:v>未熟な房を除き、残った果実へ樹の資源を集中させる</x:v>
      </x:c>
      <x:c r="I320" s="165" t="str">
        <x:v>収穫時期を遅らせるため、果房数を増やして成熟を緩やかにする</x:v>
      </x:c>
      <x:c r="J320" s="171" t="str">
        <x:v>C</x:v>
      </x:c>
      <x:c r="K320" s="165" t="str">
        <x:v>未熟な房を除き、残った果実へ樹の資源を集中させる</x:v>
      </x:c>
      <x:c r="L320" s="165" t="str">
        <x:v>正しい。葉果比を改善し、残った房の糖と風味成熟を促す。</x:v>
      </x:c>
      <x:c r="M320" s="165" t="str">
        <x:v>誤り。通常は収穫前の未熟な余剰房を除き、残す果実を選ぶ。</x:v>
      </x:c>
      <x:c r="N320" s="165" t="str">
        <x:v>誤り。葉を除く作業ではなく、果実負荷そのものを減らす。</x:v>
      </x:c>
      <x:c r="O320" s="165" t="str">
        <x:v>正しい。葉果比を改善し、残った房の糖と風味成熟を促す。</x:v>
      </x:c>
      <x:c r="P320" s="165" t="str">
        <x:v>誤り。果房数を増やすのではなく減らし、成熟を助ける。</x:v>
      </x:c>
      <x:c r="Q320" s="165" t="str">
        <x:v>栽培</x:v>
      </x:c>
      <x:c r="R320" s="165" t="str">
        <x:v>収量管理</x:v>
      </x:c>
      <x:c r="S320" s="165" t="str">
        <x:v>非発泡性ワイン</x:v>
      </x:c>
      <x:c r="T320" s="165"/>
      <x:c r="U320" s="165"/>
      <x:c r="V320" s="165"/>
      <x:c r="W320" s="165" t="str">
        <x:v>適用</x:v>
      </x:c>
      <x:c r="X320" s="171" t="str">
        <x:v>D2</x:v>
      </x:c>
      <x:c r="Y320" s="165" t="str">
        <x:v>グリーンハーヴェストは成熟房を除く; グリーンハーヴェストは除葉作業; グリーンハーヴェストは果房数を増やす</x:v>
      </x:c>
      <x:c r="Z320" s="171" t="str">
        <x:v>N</x:v>
      </x:c>
      <x:c r="AA320" s="165"/>
      <x:c r="AB320" s="165" t="str">
        <x:v>オリジナル</x:v>
      </x:c>
      <x:c r="AC320" s="165" t="str">
        <x:v>公式Specificationの範囲＋ユーザー作成コーパスの論点を参考に独自作成</x:v>
      </x:c>
      <x:c r="AD320" s="171" t="str">
        <x:v>改稿済み・専門家未承認</x:v>
      </x:c>
      <x:c r="AE320" s="171" t="str">
        <x:v>AI誤答レビュー</x:v>
      </x:c>
      <x:c r="AF320" s="171" t="str">
        <x:v>2026-07-12</x:v>
      </x:c>
      <x:c r="AG320" s="312" t="str">
        <x:v>第3バッチ：同一論点内の典型的誤概念へ置換。正答位置は維持。</x:v>
      </x:c>
    </x:row>
    <x:row r="321" ht="84" customHeight="1">
      <x:c r="A321" s="311" t="str">
        <x:v>LO1-080</x:v>
      </x:c>
      <x:c r="B321" s="171" t="str">
        <x:v>LO1</x:v>
      </x:c>
      <x:c r="C321" s="165" t="str">
        <x:v>ブドウ畑・ワイナリーの自然要因と人的要因</x:v>
      </x:c>
      <x:c r="D321" s="165" t="str">
        <x:v>果房周辺の除葉</x:v>
      </x:c>
      <x:c r="E321" s="165" t="str">
        <x:v>湿潤な地域で果房周辺の葉を適度に除く主な利点はどれか。</x:v>
      </x:c>
      <x:c r="F321" s="165" t="str">
        <x:v>果房を常に完全な暗闇に置く</x:v>
      </x:c>
      <x:c r="G321" s="165" t="str">
        <x:v>果実の酸を多く失わせる</x:v>
      </x:c>
      <x:c r="H321" s="165" t="str">
        <x:v>根の深さを数日で倍にする</x:v>
      </x:c>
      <x:c r="I321" s="165" t="str">
        <x:v>風通しと日照を改善し、果房が乾きやすくなることで菌類病を抑える</x:v>
      </x:c>
      <x:c r="J321" s="171" t="str">
        <x:v>D</x:v>
      </x:c>
      <x:c r="K321" s="165" t="str">
        <x:v>風通しと日照を改善し、果房が乾きやすくなることで菌類病を抑える</x:v>
      </x:c>
      <x:c r="L321" s="165" t="str">
        <x:v>正しい。適度な除葉は湿度を下げ、農薬散布の到達性も高めるが、過度に行うと日焼けのリスクがある。</x:v>
      </x:c>
      <x:c r="M321" s="165" t="str">
        <x:v>誤り。葉を除くと果房への光は増え、暗闇にはならない。</x:v>
      </x:c>
      <x:c r="N321" s="165" t="str">
        <x:v>誤り。適度な除葉が必ず酸を完全に失わせるわけではない。</x:v>
      </x:c>
      <x:c r="O321" s="165" t="str">
        <x:v>誤り。除葉は根の深さを直接変えない。</x:v>
      </x:c>
      <x:c r="P321" s="165" t="str">
        <x:v>正しい。適度な除葉は湿度を下げ、農薬散布の到達性も高めるが、過度に行うと日焼けのリスクがある。</x:v>
      </x:c>
      <x:c r="Q321" s="165" t="str">
        <x:v>栽培</x:v>
      </x:c>
      <x:c r="R321" s="165" t="str">
        <x:v>キャノピー・マネジメント</x:v>
      </x:c>
      <x:c r="S321" s="165" t="str">
        <x:v>非発泡性ワイン</x:v>
      </x:c>
      <x:c r="T321" s="165"/>
      <x:c r="U321" s="165"/>
      <x:c r="V321" s="165"/>
      <x:c r="W321" s="165" t="str">
        <x:v>適用</x:v>
      </x:c>
      <x:c r="X321" s="171" t="str">
        <x:v>D2</x:v>
      </x:c>
      <x:c r="Y321" s="165" t="str">
        <x:v>果房周辺の除葉について関連要因を主因とみなす; 果房周辺の除葉について関連要因を主因とみなす; 果房周辺の除葉について関連要因を主因とみなす</x:v>
      </x:c>
      <x:c r="Z321" s="171" t="str">
        <x:v>N</x:v>
      </x:c>
      <x:c r="AA321" s="165"/>
      <x:c r="AB321" s="165" t="str">
        <x:v>オリジナル</x:v>
      </x:c>
      <x:c r="AC321" s="165" t="str">
        <x:v>公式Specificationの範囲＋ユーザー作成コーパスの論点を参考に独自作成</x:v>
      </x:c>
      <x:c r="AD321" s="171" t="str">
        <x:v>改稿済み・専門家未承認</x:v>
      </x:c>
      <x:c r="AE321" s="171" t="str">
        <x:v>AI誤答レビュー</x:v>
      </x:c>
      <x:c r="AF321" s="171" t="str">
        <x:v>2026-07-12</x:v>
      </x:c>
      <x:c r="AG321" s="312" t="str">
        <x:v>第5バッチ：使用可能な誤答を維持し、弱い誤答を因果逆転・隣接概念へ置換。正答位置は維持。</x:v>
      </x:c>
    </x:row>
    <x:row r="322" ht="84" customHeight="1">
      <x:c r="A322" s="311" t="str">
        <x:v>LO1-081</x:v>
      </x:c>
      <x:c r="B322" s="171" t="str">
        <x:v>LO1</x:v>
      </x:c>
      <x:c r="C322" s="165" t="str">
        <x:v>ブドウ畑・ワイナリーの自然要因と人的要因</x:v>
      </x:c>
      <x:c r="D322" s="165" t="str">
        <x:v>シュート・シニング</x:v>
      </x:c>
      <x:c r="E322" s="165" t="str">
        <x:v>シュート・シニングを行う主な目的はどれか。</x:v>
      </x:c>
      <x:c r="F322" s="165" t="str">
        <x:v>不要な新梢を除き、キャノピーの密度と収量を調整する</x:v>
      </x:c>
      <x:c r="G322" s="165" t="str">
        <x:v>成熟した果粒をワイナリーで選別する</x:v>
      </x:c>
      <x:c r="H322" s="165" t="str">
        <x:v>根を切って樹を植え替える</x:v>
      </x:c>
      <x:c r="I322" s="165" t="str">
        <x:v>発酵中の果皮を液中へ沈める</x:v>
      </x:c>
      <x:c r="J322" s="171" t="str">
        <x:v>A</x:v>
      </x:c>
      <x:c r="K322" s="165" t="str">
        <x:v>不要な新梢を除き、キャノピーの密度と収量を調整する</x:v>
      </x:c>
      <x:c r="L322" s="165" t="str">
        <x:v>正しい。新梢数を減らすことで、光と風通しを改善し、果実と葉のバランスを整える。</x:v>
      </x:c>
      <x:c r="M322" s="165" t="str">
        <x:v>正しい。新梢数を減らすことで、光と風通しを改善し、果実と葉のバランスを整える。</x:v>
      </x:c>
      <x:c r="N322" s="165" t="str">
        <x:v>誤り。シュート・シニングは畑で新梢を除く作業であり、選果ではない。</x:v>
      </x:c>
      <x:c r="O322" s="165" t="str">
        <x:v>誤り。新梢の管理であり、根の切断や植え替えではない。</x:v>
      </x:c>
      <x:c r="P322" s="165" t="str">
        <x:v>誤り。これはパンチング・ダウンなどの醸造操作である。</x:v>
      </x:c>
      <x:c r="Q322" s="165" t="str">
        <x:v>栽培</x:v>
      </x:c>
      <x:c r="R322" s="165" t="str">
        <x:v>キャノピー・マネジメント</x:v>
      </x:c>
      <x:c r="S322" s="165" t="str">
        <x:v>非発泡性ワイン</x:v>
      </x:c>
      <x:c r="T322" s="165"/>
      <x:c r="U322" s="165"/>
      <x:c r="V322" s="165"/>
      <x:c r="W322" s="165" t="str">
        <x:v>知識確認</x:v>
      </x:c>
      <x:c r="X322" s="171" t="str">
        <x:v>D1</x:v>
      </x:c>
      <x:c r="Y322" s="165" t="str">
        <x:v>シュート・シニングに関する別の特徴・要因と混同; シュート・シニングに関する別の特徴・要因と混同; シュート・シニングに関する別の特徴・要因と混同</x:v>
      </x:c>
      <x:c r="Z322" s="171" t="str">
        <x:v>N</x:v>
      </x:c>
      <x:c r="AA322" s="165"/>
      <x:c r="AB322" s="165" t="str">
        <x:v>オリジナル</x:v>
      </x:c>
      <x:c r="AC322" s="165" t="str">
        <x:v>公式Specificationの範囲＋ユーザー作成コーパスの論点を参考に独自作成</x:v>
      </x:c>
      <x:c r="AD322" s="171" t="str">
        <x:v>改稿済み・専門家未承認</x:v>
      </x:c>
      <x:c r="AE322" s="171" t="str">
        <x:v>AI誤答レビュー</x:v>
      </x:c>
      <x:c r="AF322" s="171" t="str">
        <x:v>2026-07-12</x:v>
      </x:c>
      <x:c r="AG322" s="312" t="str">
        <x:v>最終バッチ：有効な誤答を維持し、絶対語・物理的不可能な誤答のみ置換。正答位置は維持。</x:v>
      </x:c>
    </x:row>
    <x:row r="323" ht="84" customHeight="1">
      <x:c r="A323" s="311" t="str">
        <x:v>LO1-082</x:v>
      </x:c>
      <x:c r="B323" s="171" t="str">
        <x:v>LO1</x:v>
      </x:c>
      <x:c r="C323" s="165" t="str">
        <x:v>ブドウ畑・ワイナリーの自然要因と人的要因</x:v>
      </x:c>
      <x:c r="D323" s="165" t="str">
        <x:v>選果</x:v>
      </x:c>
      <x:c r="E323" s="165" t="str">
        <x:v>収穫後の選果が高品質ワインの生産に役立つ主な理由はどれか。</x:v>
      </x:c>
      <x:c r="F323" s="165" t="str">
        <x:v>糖度や色が高い果実だけを残し、酸の高い果実を除く</x:v>
      </x:c>
      <x:c r="G323" s="165" t="str">
        <x:v>腐敗果、未熟果、葉や異物を除き、健全で均一な原料を選べる</x:v>
      </x:c>
      <x:c r="H323" s="165" t="str">
        <x:v>糖度の低い果実だけを残し、発酵速度を一定にする</x:v>
      </x:c>
      <x:c r="I323" s="165" t="str">
        <x:v>収穫果を破砕してから選別し、果皮接触を増やす</x:v>
      </x:c>
      <x:c r="J323" s="171" t="str">
        <x:v>B</x:v>
      </x:c>
      <x:c r="K323" s="165" t="str">
        <x:v>腐敗果、未熟果、葉や異物を除き、健全で均一な原料を選べる</x:v>
      </x:c>
      <x:c r="L323" s="165" t="str">
        <x:v>正しい。原料品質をそろえ、腐敗臭、粗い酸、異物由来の問題を減らす。</x:v>
      </x:c>
      <x:c r="M323" s="165" t="str">
        <x:v>誤り。選果は単一成分だけでなく、腐敗、未熟、損傷、異物を総合的に除く。</x:v>
      </x:c>
      <x:c r="N323" s="165" t="str">
        <x:v>正しい。原料品質をそろえ、腐敗臭、粗い酸、異物由来の問題を減らす。</x:v>
      </x:c>
      <x:c r="O323" s="165" t="str">
        <x:v>誤り。高品質目的では未熟果を除くことが多い。</x:v>
      </x:c>
      <x:c r="P323" s="165" t="str">
        <x:v>誤り。選果は破砕前後に行えるが、果皮接触増加が目的ではない。</x:v>
      </x:c>
      <x:c r="Q323" s="165" t="str">
        <x:v>醸造</x:v>
      </x:c>
      <x:c r="R323" s="165" t="str">
        <x:v>原料選別</x:v>
      </x:c>
      <x:c r="S323" s="165" t="str">
        <x:v>全般</x:v>
      </x:c>
      <x:c r="T323" s="165"/>
      <x:c r="U323" s="165"/>
      <x:c r="V323" s="165"/>
      <x:c r="W323" s="165" t="str">
        <x:v>因果説明</x:v>
      </x:c>
      <x:c r="X323" s="171" t="str">
        <x:v>D1</x:v>
      </x:c>
      <x:c r="Y323" s="165" t="str">
        <x:v>選果は高糖・高色だけを残す; 選果で低糖果だけを残す; 選果の目的は果皮接触増加</x:v>
      </x:c>
      <x:c r="Z323" s="171" t="str">
        <x:v>N</x:v>
      </x:c>
      <x:c r="AA323" s="165"/>
      <x:c r="AB323" s="165" t="str">
        <x:v>オリジナル</x:v>
      </x:c>
      <x:c r="AC323" s="165" t="str">
        <x:v>公式Specificationの範囲＋ユーザー作成コーパスの論点を参考に独自作成</x:v>
      </x:c>
      <x:c r="AD323" s="171" t="str">
        <x:v>改稿済み・専門家未承認</x:v>
      </x:c>
      <x:c r="AE323" s="171" t="str">
        <x:v>AI誤答レビュー</x:v>
      </x:c>
      <x:c r="AF323" s="171" t="str">
        <x:v>2026-07-12</x:v>
      </x:c>
      <x:c r="AG323" s="312" t="str">
        <x:v>第4バッチ：同一論点内の典型的誤概念へ置換。正答位置は維持。</x:v>
      </x:c>
    </x:row>
    <x:row r="324" ht="84" customHeight="1">
      <x:c r="A324" s="311" t="str">
        <x:v>LO1-083</x:v>
      </x:c>
      <x:c r="B324" s="171" t="str">
        <x:v>LO1</x:v>
      </x:c>
      <x:c r="C324" s="165" t="str">
        <x:v>ブドウ畑・ワイナリーの自然要因と人的要因</x:v>
      </x:c>
      <x:c r="D324" s="165" t="str">
        <x:v>収穫容器</x:v>
      </x:c>
      <x:c r="E324" s="165" t="str">
        <x:v>高品質な手摘みブドウを小型で浅い容器に入れて運ぶ主な利点はどれか。</x:v>
      </x:c>
      <x:c r="F324" s="165" t="str">
        <x:v>多くの果実を乾燥させてレーズンにする</x:v>
      </x:c>
      <x:c r="G324" s="165" t="str">
        <x:v>果実を意図的に圧搾し、畑で発酵を始める</x:v>
      </x:c>
      <x:c r="H324" s="165" t="str">
        <x:v>果実の自重による潰れを減らし、早期の酸化や微生物活動を抑える</x:v>
      </x:c>
      <x:c r="I324" s="165" t="str">
        <x:v>果皮を薄くして色素を減らす</x:v>
      </x:c>
      <x:c r="J324" s="171" t="str">
        <x:v>C</x:v>
      </x:c>
      <x:c r="K324" s="165" t="str">
        <x:v>果実の自重による潰れを減らし、早期の酸化や微生物活動を抑える</x:v>
      </x:c>
      <x:c r="L324" s="165" t="str">
        <x:v>正しい。浅い容器は下部の果実にかかる圧力を軽減し、果汁漏出と望ましくない発酵開始を防ぎやすい。</x:v>
      </x:c>
      <x:c r="M324" s="165" t="str">
        <x:v>誤り。運搬容器の目的は果実保護であり、乾燥ではない。</x:v>
      </x:c>
      <x:c r="N324" s="165" t="str">
        <x:v>誤り。高品質な収穫では、ワイナリー到着前の潰れと発酵を避ける。</x:v>
      </x:c>
      <x:c r="O324" s="165" t="str">
        <x:v>正しい。浅い容器は下部の果実にかかる圧力を軽減し、果汁漏出と望ましくない発酵開始を防ぎやすい。</x:v>
      </x:c>
      <x:c r="P324" s="165" t="str">
        <x:v>誤り。容器の大きさは果皮の厚さを変えない。</x:v>
      </x:c>
      <x:c r="Q324" s="165" t="str">
        <x:v>栽培</x:v>
      </x:c>
      <x:c r="R324" s="165" t="str">
        <x:v>収穫・運搬</x:v>
      </x:c>
      <x:c r="S324" s="165" t="str">
        <x:v>全般</x:v>
      </x:c>
      <x:c r="T324" s="165"/>
      <x:c r="U324" s="165"/>
      <x:c r="V324" s="165"/>
      <x:c r="W324" s="165" t="str">
        <x:v>因果説明</x:v>
      </x:c>
      <x:c r="X324" s="171" t="str">
        <x:v>D2</x:v>
      </x:c>
      <x:c r="Y324" s="165" t="str">
        <x:v>収穫容器について関連要因を主因とみなす; 収穫容器について関連要因を主因とみなす; 収穫容器について関連要因を主因とみなす</x:v>
      </x:c>
      <x:c r="Z324" s="171" t="str">
        <x:v>N</x:v>
      </x:c>
      <x:c r="AA324" s="165"/>
      <x:c r="AB324" s="165" t="str">
        <x:v>オリジナル</x:v>
      </x:c>
      <x:c r="AC324" s="165" t="str">
        <x:v>公式Specificationの範囲＋ユーザー作成コーパスの論点を参考に独自作成</x:v>
      </x:c>
      <x:c r="AD324" s="171" t="str">
        <x:v>改稿済み・専門家未承認</x:v>
      </x:c>
      <x:c r="AE324" s="171" t="str">
        <x:v>AI誤答レビュー</x:v>
      </x:c>
      <x:c r="AF324" s="171" t="str">
        <x:v>2026-07-12</x:v>
      </x:c>
      <x:c r="AG324" s="312" t="str">
        <x:v>第5バッチ：使用可能な誤答を維持し、弱い誤答を因果逆転・隣接概念へ置換。正答位置は維持。</x:v>
      </x:c>
    </x:row>
    <x:row r="325" ht="84" customHeight="1">
      <x:c r="A325" s="311" t="str">
        <x:v>LO1-084</x:v>
      </x:c>
      <x:c r="B325" s="171" t="str">
        <x:v>LO1</x:v>
      </x:c>
      <x:c r="C325" s="165" t="str">
        <x:v>ブドウ畑・ワイナリーの自然要因と人的要因</x:v>
      </x:c>
      <x:c r="D325" s="165" t="str">
        <x:v>夜間の機械収穫</x:v>
      </x:c>
      <x:c r="E325" s="165" t="str">
        <x:v>温暖な地域で機械収穫を夜間に行う利点として最も適切なものはどれか。</x:v>
      </x:c>
      <x:c r="F325" s="165" t="str">
        <x:v>夜間は機械が果房だけを完全選別できる</x:v>
      </x:c>
      <x:c r="G325" s="165" t="str">
        <x:v>夜間はブドウの糖が多く酸へ変わる</x:v>
      </x:c>
      <x:c r="H325" s="165" t="str">
        <x:v>暗闇によって果皮の色素が増える</x:v>
      </x:c>
      <x:c r="I325" s="165" t="str">
        <x:v>低い果実温度で収穫でき、酸化と微生物活動を抑え、冷却費も減らせる</x:v>
      </x:c>
      <x:c r="J325" s="171" t="str">
        <x:v>D</x:v>
      </x:c>
      <x:c r="K325" s="165" t="str">
        <x:v>低い果実温度で収穫でき、酸化と微生物活動を抑え、冷却費も減らせる</x:v>
      </x:c>
      <x:c r="L325" s="165" t="str">
        <x:v>正しい。夜間の低温はブドウをより良い状態でワイナリーへ運び、香りの保持とエネルギー節約に役立つ。</x:v>
      </x:c>
      <x:c r="M325" s="165" t="str">
        <x:v>誤り。機械収穫は葉や未熟果が混じる場合があり、夜間でも完全選別にはならない。</x:v>
      </x:c>
      <x:c r="N325" s="165" t="str">
        <x:v>誤り。日内変動はあっても、糖が一晩ですべて酸へ変わるわけではない。</x:v>
      </x:c>
      <x:c r="O325" s="165" t="str">
        <x:v>誤り。収穫時の暗さが果皮色素を急増させるわけではない。</x:v>
      </x:c>
      <x:c r="P325" s="165" t="str">
        <x:v>正しい。夜間の低温はブドウをより良い状態でワイナリーへ運び、香りの保持とエネルギー節約に役立つ。</x:v>
      </x:c>
      <x:c r="Q325" s="165" t="str">
        <x:v>栽培</x:v>
      </x:c>
      <x:c r="R325" s="165" t="str">
        <x:v>収穫方法</x:v>
      </x:c>
      <x:c r="S325" s="165" t="str">
        <x:v>全般</x:v>
      </x:c>
      <x:c r="T325" s="165"/>
      <x:c r="U325" s="165"/>
      <x:c r="V325" s="165"/>
      <x:c r="W325" s="165" t="str">
        <x:v>適用</x:v>
      </x:c>
      <x:c r="X325" s="171" t="str">
        <x:v>D2</x:v>
      </x:c>
      <x:c r="Y325" s="165" t="str">
        <x:v>夜間の機械収穫について関連要因を主因とみなす; 夜間の機械収穫について関連要因を主因とみなす; 夜間の機械収穫について関連要因を主因とみなす</x:v>
      </x:c>
      <x:c r="Z325" s="171" t="str">
        <x:v>N</x:v>
      </x:c>
      <x:c r="AA325" s="165"/>
      <x:c r="AB325" s="165" t="str">
        <x:v>オリジナル</x:v>
      </x:c>
      <x:c r="AC325" s="165" t="str">
        <x:v>公式Specificationの範囲＋ユーザー作成コーパスの論点を参考に独自作成</x:v>
      </x:c>
      <x:c r="AD325" s="171" t="str">
        <x:v>改稿済み・専門家未承認</x:v>
      </x:c>
      <x:c r="AE325" s="171" t="str">
        <x:v>AI誤答レビュー</x:v>
      </x:c>
      <x:c r="AF325" s="171" t="str">
        <x:v>2026-07-12</x:v>
      </x:c>
      <x:c r="AG325" s="312" t="str">
        <x:v>第5バッチ：使用可能な誤答を維持し、弱い誤答を因果逆転・隣接概念へ置換。正答位置は維持。</x:v>
      </x:c>
    </x:row>
    <x:row r="326" ht="84" customHeight="1">
      <x:c r="A326" s="311" t="str">
        <x:v>LO1-085</x:v>
      </x:c>
      <x:c r="B326" s="171" t="str">
        <x:v>LO1</x:v>
      </x:c>
      <x:c r="C326" s="165" t="str">
        <x:v>ブドウ畑・ワイナリーの自然要因と人的要因</x:v>
      </x:c>
      <x:c r="D326" s="165" t="str">
        <x:v>複数回収穫</x:v>
      </x:c>
      <x:c r="E326" s="165" t="str">
        <x:v>貴腐甘口ワインで畑を複数回に分けて手摘みする主な理由はどれか。</x:v>
      </x:c>
      <x:c r="F326" s="165" t="str">
        <x:v>貴腐の進行が果粒ごとに異なるため、適切に乾燥した果実だけを選ぶ</x:v>
      </x:c>
      <x:c r="G326" s="165" t="str">
        <x:v>貴腐菌をワイナリーで果実へ注入するため</x:v>
      </x:c>
      <x:c r="H326" s="165" t="str">
        <x:v>果実を機械的に多く同時収穫するため</x:v>
      </x:c>
      <x:c r="I326" s="165" t="str">
        <x:v>同じ果房を毎回収穫して、再び樹へ戻す</x:v>
      </x:c>
      <x:c r="J326" s="171" t="str">
        <x:v>A</x:v>
      </x:c>
      <x:c r="K326" s="165" t="str">
        <x:v>貴腐の進行が果粒ごとに異なるため、適切に乾燥した果実だけを選ぶ</x:v>
      </x:c>
      <x:c r="L326" s="165" t="str">
        <x:v>正しい。ボトリティスの進行は不均一であり、選択的な収穫を繰り返すことで、望ましい濃縮果を集められる。</x:v>
      </x:c>
      <x:c r="M326" s="165" t="str">
        <x:v>正しい。ボトリティスの進行は不均一であり、選択的な収穫を繰り返すことで、望ましい濃縮果を集められる。</x:v>
      </x:c>
      <x:c r="N326" s="165" t="str">
        <x:v>誤り。貴腐は畑の適切な気象条件で発生する。</x:v>
      </x:c>
      <x:c r="O326" s="165" t="str">
        <x:v>誤り。複数回収穫は選択性を高める手摘みであることが多い。</x:v>
      </x:c>
      <x:c r="P326" s="165" t="str">
        <x:v>誤り。一度摘んだ果実を樹へ戻して成熟させることはない。</x:v>
      </x:c>
      <x:c r="Q326" s="165" t="str">
        <x:v>栽培</x:v>
      </x:c>
      <x:c r="R326" s="165" t="str">
        <x:v>選択的収穫</x:v>
      </x:c>
      <x:c r="S326" s="165" t="str">
        <x:v>甘口ワイン</x:v>
      </x:c>
      <x:c r="T326" s="165"/>
      <x:c r="U326" s="165"/>
      <x:c r="V326" s="165"/>
      <x:c r="W326" s="165" t="str">
        <x:v>因果説明</x:v>
      </x:c>
      <x:c r="X326" s="171" t="str">
        <x:v>D2</x:v>
      </x:c>
      <x:c r="Y326" s="165" t="str">
        <x:v>複数回収穫について関連要因を主因とみなす; 複数回収穫について関連要因を主因とみなす; 複数回収穫について関連要因を主因とみなす</x:v>
      </x:c>
      <x:c r="Z326" s="171" t="str">
        <x:v>N</x:v>
      </x:c>
      <x:c r="AA326" s="165"/>
      <x:c r="AB326" s="165" t="str">
        <x:v>オリジナル</x:v>
      </x:c>
      <x:c r="AC326" s="165" t="str">
        <x:v>公式Specificationの範囲＋ユーザー作成コーパスの論点を参考に独自作成</x:v>
      </x:c>
      <x:c r="AD326" s="171" t="str">
        <x:v>改稿済み・専門家未承認</x:v>
      </x:c>
      <x:c r="AE326" s="171" t="str">
        <x:v>AI誤答レビュー</x:v>
      </x:c>
      <x:c r="AF326" s="171" t="str">
        <x:v>2026-07-12</x:v>
      </x:c>
      <x:c r="AG326" s="312" t="str">
        <x:v>第5バッチ：使用可能な誤答を維持し、弱い誤答を因果逆転・隣接概念へ置換。正答位置は維持。</x:v>
      </x:c>
    </x:row>
    <x:row r="327" ht="84" customHeight="1">
      <x:c r="A327" s="311" t="str">
        <x:v>LO1-086</x:v>
      </x:c>
      <x:c r="B327" s="171" t="str">
        <x:v>LO1</x:v>
      </x:c>
      <x:c r="C327" s="165" t="str">
        <x:v>ブドウ畑・ワイナリーの自然要因と人的要因</x:v>
      </x:c>
      <x:c r="D327" s="165" t="str">
        <x:v>全房圧搾</x:v>
      </x:c>
      <x:c r="E327" s="165" t="str">
        <x:v>白ワインや発泡性ワイン用ブドウを、全房圧搾する主な利点はどれか。</x:v>
      </x:c>
      <x:c r="F327" s="165" t="str">
        <x:v>房軸から強い青いタンニンを抽出し、ワインの構造を高める</x:v>
      </x:c>
      <x:c r="G327" s="165" t="str">
        <x:v>果皮や種子の強い抽出を抑えながら、比較的清澄な果汁を得やすい</x:v>
      </x:c>
      <x:c r="H327" s="165" t="str">
        <x:v>除梗・破砕より圧搾効率が高く、より多量の果汁を短時間で得られる</x:v>
      </x:c>
      <x:c r="I327" s="165" t="str">
        <x:v>果汁中の酸を低下させ、アルコール発酵を速める</x:v>
      </x:c>
      <x:c r="J327" s="171" t="str">
        <x:v>B</x:v>
      </x:c>
      <x:c r="K327" s="165" t="str">
        <x:v>果皮や種子の強い抽出を抑えながら、比較的清澄な果汁を得やすい</x:v>
      </x:c>
      <x:c r="L327" s="165" t="str">
        <x:v>正しい。果実を大きく破砕せず、色・苦味・フェノールの抽出を抑えられる。</x:v>
      </x:c>
      <x:c r="M327" s="165" t="str">
        <x:v>誤り。穏やかな圧搾では房軸が排水路となるが、強い軸タンニン抽出が目的ではない。</x:v>
      </x:c>
      <x:c r="N327" s="165" t="str">
        <x:v>正しい。果実を大きく破砕せず、色・苦味・フェノールの抽出を抑えられる。</x:v>
      </x:c>
      <x:c r="O327" s="165" t="str">
        <x:v>誤り。全房はかさばり、収量効率は低くなることもあり、最大果汁量が主目的ではない。</x:v>
      </x:c>
      <x:c r="P327" s="165" t="str">
        <x:v>誤り。圧搾方法が酸を意図的に下げ、発酵を速めるわけではない。</x:v>
      </x:c>
      <x:c r="Q327" s="165" t="str">
        <x:v>醸造</x:v>
      </x:c>
      <x:c r="R327" s="165" t="str">
        <x:v>圧搾</x:v>
      </x:c>
      <x:c r="S327" s="165" t="str">
        <x:v>白・発泡性ワイン</x:v>
      </x:c>
      <x:c r="T327" s="165"/>
      <x:c r="U327" s="165"/>
      <x:c r="V327" s="165"/>
      <x:c r="W327" s="165" t="str">
        <x:v>因果説明</x:v>
      </x:c>
      <x:c r="X327" s="171" t="str">
        <x:v>D2</x:v>
      </x:c>
      <x:c r="Y327" s="165" t="str">
        <x:v>全房圧搾は軸タンニン抽出が目的; 全房圧搾は最大収量・高速圧搾が利点; 全房圧搾で酸低下・発酵加速</x:v>
      </x:c>
      <x:c r="Z327" s="171" t="str">
        <x:v>N</x:v>
      </x:c>
      <x:c r="AA327" s="165"/>
      <x:c r="AB327" s="165" t="str">
        <x:v>オリジナル</x:v>
      </x:c>
      <x:c r="AC327" s="165" t="str">
        <x:v>公式Specificationの範囲＋ユーザー作成コーパスの論点を参考に独自作成</x:v>
      </x:c>
      <x:c r="AD327" s="171" t="str">
        <x:v>改稿済み・専門家未承認</x:v>
      </x:c>
      <x:c r="AE327" s="171" t="str">
        <x:v>AI誤答レビュー</x:v>
      </x:c>
      <x:c r="AF327" s="171" t="str">
        <x:v>2026-07-12</x:v>
      </x:c>
      <x:c r="AG327" s="312" t="str">
        <x:v>第3バッチ：同一論点内の典型的誤概念へ置換。正答位置は維持。</x:v>
      </x:c>
    </x:row>
    <x:row r="328" ht="84" customHeight="1">
      <x:c r="A328" s="311" t="str">
        <x:v>LO1-087</x:v>
      </x:c>
      <x:c r="B328" s="171" t="str">
        <x:v>LO1</x:v>
      </x:c>
      <x:c r="C328" s="165" t="str">
        <x:v>ブドウ畑・ワイナリーの自然要因と人的要因</x:v>
      </x:c>
      <x:c r="D328" s="165" t="str">
        <x:v>破砕</x:v>
      </x:c>
      <x:c r="E328" s="165" t="str">
        <x:v>除梗後にブドウを軽く破砕する主な目的はどれか。</x:v>
      </x:c>
      <x:c r="F328" s="165" t="str">
        <x:v>果汁のアルコールを除去する</x:v>
      </x:c>
      <x:c r="G328" s="165" t="str">
        <x:v>ワインを清澄して瓶詰めする</x:v>
      </x:c>
      <x:c r="H328" s="165" t="str">
        <x:v>果皮を裂いて果汁を放出し、酵母や果皮との接触を始めやすくする</x:v>
      </x:c>
      <x:c r="I328" s="165" t="str">
        <x:v>種子を大きく粉砕し、苦味を最大化する</x:v>
      </x:c>
      <x:c r="J328" s="171" t="str">
        <x:v>C</x:v>
      </x:c>
      <x:c r="K328" s="165" t="str">
        <x:v>果皮を裂いて果汁を放出し、酵母や果皮との接触を始めやすくする</x:v>
      </x:c>
      <x:c r="L328" s="165" t="str">
        <x:v>正しい。破砕により果汁が出て、発酵槽への移送や赤ワインの色・風味抽出が進みやすくなる。</x:v>
      </x:c>
      <x:c r="M328" s="165" t="str">
        <x:v>誤り。破砕時点では通常アルコールはほとんどなく、除去工程でもない。</x:v>
      </x:c>
      <x:c r="N328" s="165" t="str">
        <x:v>誤り。破砕は醸造初期の工程であり、清澄・瓶詰めとは異なる。</x:v>
      </x:c>
      <x:c r="O328" s="165" t="str">
        <x:v>正しい。破砕により果汁が出て、発酵槽への移送や赤ワインの色・風味抽出が進みやすくなる。</x:v>
      </x:c>
      <x:c r="P328" s="165" t="str">
        <x:v>誤り。種子を強く壊すと粗いタンニンや苦味が出るため通常は避ける。</x:v>
      </x:c>
      <x:c r="Q328" s="165" t="str">
        <x:v>醸造</x:v>
      </x:c>
      <x:c r="R328" s="165" t="str">
        <x:v>破砕・除梗</x:v>
      </x:c>
      <x:c r="S328" s="165" t="str">
        <x:v>全般</x:v>
      </x:c>
      <x:c r="T328" s="165"/>
      <x:c r="U328" s="165"/>
      <x:c r="V328" s="165"/>
      <x:c r="W328" s="165" t="str">
        <x:v>知識確認</x:v>
      </x:c>
      <x:c r="X328" s="171" t="str">
        <x:v>D1</x:v>
      </x:c>
      <x:c r="Y328" s="165" t="str">
        <x:v>破砕について関連要因を主因とみなす; 破砕について関連要因を主因とみなす; 破砕について関連要因を主因とみなす</x:v>
      </x:c>
      <x:c r="Z328" s="171" t="str">
        <x:v>N</x:v>
      </x:c>
      <x:c r="AA328" s="165"/>
      <x:c r="AB328" s="165" t="str">
        <x:v>オリジナル</x:v>
      </x:c>
      <x:c r="AC328" s="165" t="str">
        <x:v>公式Specificationの範囲＋ユーザー作成コーパスの論点を参考に独自作成</x:v>
      </x:c>
      <x:c r="AD328" s="171" t="str">
        <x:v>改稿済み・専門家未承認</x:v>
      </x:c>
      <x:c r="AE328" s="171" t="str">
        <x:v>AI誤答レビュー</x:v>
      </x:c>
      <x:c r="AF328" s="171" t="str">
        <x:v>2026-07-12</x:v>
      </x:c>
      <x:c r="AG328" s="312" t="str">
        <x:v>第5バッチ：使用可能な誤答を維持し、弱い誤答を因果逆転・隣接概念へ置換。正答位置は維持。</x:v>
      </x:c>
    </x:row>
    <x:row r="329" ht="84" customHeight="1">
      <x:c r="A329" s="311" t="str">
        <x:v>LO1-088</x:v>
      </x:c>
      <x:c r="B329" s="171" t="str">
        <x:v>LO1</x:v>
      </x:c>
      <x:c r="C329" s="165" t="str">
        <x:v>ブドウ畑・ワイナリーの自然要因と人的要因</x:v>
      </x:c>
      <x:c r="D329" s="165" t="str">
        <x:v>低温浸漬</x:v>
      </x:c>
      <x:c r="E329" s="165" t="str">
        <x:v>赤ワイン醸造で発酵前に低温浸漬を行う主な目的はどれか。</x:v>
      </x:c>
      <x:c r="F329" s="165" t="str">
        <x:v>発酵前の高温で、アルコールを伴わず色と香りの一部を抽出する</x:v>
      </x:c>
      <x:c r="G329" s="165" t="str">
        <x:v>種子タンニンを最大限に抽出し、長期熟成力を高める</x:v>
      </x:c>
      <x:c r="H329" s="165" t="str">
        <x:v>発酵を完了させてから果皮を除く期間を短縮する</x:v>
      </x:c>
      <x:c r="I329" s="165" t="str">
        <x:v>発酵前の低温で、アルコールを伴わず色と香りの一部を抽出する</x:v>
      </x:c>
      <x:c r="J329" s="171" t="str">
        <x:v>D</x:v>
      </x:c>
      <x:c r="K329" s="165" t="str">
        <x:v>発酵前の低温で、アルコールを伴わず色と香りの一部を抽出する</x:v>
      </x:c>
      <x:c r="L329" s="165" t="str">
        <x:v>正しい。低温で酵母活動を抑えつつ、果皮から色素と香気成分を抽出する。</x:v>
      </x:c>
      <x:c r="M329" s="165" t="str">
        <x:v>誤り。正答では「低温」ことが重要であり、この選択肢は「高温」へ置き換えて関係を逆にしている。</x:v>
      </x:c>
      <x:c r="N329" s="165" t="str">
        <x:v>誤り。低温では主に水溶性の色・香りを狙い、強い種子抽出は目的ではない。</x:v>
      </x:c>
      <x:c r="O329" s="165" t="str">
        <x:v>誤り。低温浸漬は発酵前の工程である。</x:v>
      </x:c>
      <x:c r="P329" s="165" t="str">
        <x:v>正しい。低温で酵母活動を抑えつつ、果皮から色素と香気成分を抽出する。</x:v>
      </x:c>
      <x:c r="Q329" s="165" t="str">
        <x:v>醸造</x:v>
      </x:c>
      <x:c r="R329" s="165" t="str">
        <x:v>発酵前処理</x:v>
      </x:c>
      <x:c r="S329" s="165" t="str">
        <x:v>赤ワイン</x:v>
      </x:c>
      <x:c r="T329" s="165"/>
      <x:c r="U329" s="165"/>
      <x:c r="V329" s="165"/>
      <x:c r="W329" s="165" t="str">
        <x:v>因果説明</x:v>
      </x:c>
      <x:c r="X329" s="171" t="str">
        <x:v>D2</x:v>
      </x:c>
      <x:c r="Y329" s="165" t="str">
        <x:v>「低温」と「高温」の関係を逆転; 低温浸漬は種子タンニン最大化; 低温浸漬を発酵後工程と混同</x:v>
      </x:c>
      <x:c r="Z329" s="171" t="str">
        <x:v>N</x:v>
      </x:c>
      <x:c r="AA329" s="165"/>
      <x:c r="AB329" s="165" t="str">
        <x:v>オリジナル</x:v>
      </x:c>
      <x:c r="AC329" s="165" t="str">
        <x:v>公式Specificationの範囲＋ユーザー作成コーパスの論点を参考に独自作成</x:v>
      </x:c>
      <x:c r="AD329" s="171" t="str">
        <x:v>改稿済み・専門家未承認</x:v>
      </x:c>
      <x:c r="AE329" s="171" t="str">
        <x:v>AI誤答レビュー</x:v>
      </x:c>
      <x:c r="AF329" s="171" t="str">
        <x:v>2026-07-12</x:v>
      </x:c>
      <x:c r="AG329" s="312" t="str">
        <x:v>第4バッチ：同一論点内の典型的誤概念へ置換。正答位置は維持。</x:v>
      </x:c>
    </x:row>
    <x:row r="330" ht="84" customHeight="1">
      <x:c r="A330" s="311" t="str">
        <x:v>LO1-089</x:v>
      </x:c>
      <x:c r="B330" s="171" t="str">
        <x:v>LO1</x:v>
      </x:c>
      <x:c r="C330" s="165" t="str">
        <x:v>ブドウ畑・ワイナリーの自然要因と人的要因</x:v>
      </x:c>
      <x:c r="D330" s="165" t="str">
        <x:v>還元的醸造</x:v>
      </x:c>
      <x:c r="E330" s="165" t="str">
        <x:v>フレッシュで果実味中心の白ワインを還元的に醸造する主な目的はどれか。</x:v>
      </x:c>
      <x:c r="F330" s="165" t="str">
        <x:v>酸素との接触を抑え、褐変と繊細な香りの損失を防ぐ</x:v>
      </x:c>
      <x:c r="G330" s="165" t="str">
        <x:v>酸素を大量に加え、ナッツ香を強める</x:v>
      </x:c>
      <x:c r="H330" s="165" t="str">
        <x:v>多くの酸をマロラクティック発酵で除去する</x:v>
      </x:c>
      <x:c r="I330" s="165" t="str">
        <x:v>果汁を長期間高温で放置する</x:v>
      </x:c>
      <x:c r="J330" s="171" t="str">
        <x:v>A</x:v>
      </x:c>
      <x:c r="K330" s="165" t="str">
        <x:v>酸素との接触を抑え、褐変と繊細な香りの損失を防ぐ</x:v>
      </x:c>
      <x:c r="L330" s="165" t="str">
        <x:v>正しい。不活性ガス、密閉容器、亜硫酸などを使って酸化を抑えることで、淡い色と新鮮な果実香を保持する。</x:v>
      </x:c>
      <x:c r="M330" s="165" t="str">
        <x:v>正しい。不活性ガス、密閉容器、亜硫酸などを使って酸化を抑えることで、淡い色と新鮮な果実香を保持する。</x:v>
      </x:c>
      <x:c r="N330" s="165" t="str">
        <x:v>誤り。これは酸化的な醸造に近く、フレッシュな果実香の保持とは逆である。</x:v>
      </x:c>
      <x:c r="O330" s="165" t="str">
        <x:v>誤り。還元的醸造とMLFは別の選択であり、酸をすべて除くものでもない。</x:v>
      </x:c>
      <x:c r="P330" s="165" t="str">
        <x:v>誤り。高温と長時間の放置は酸化や微生物活動を促す。</x:v>
      </x:c>
      <x:c r="Q330" s="165" t="str">
        <x:v>醸造</x:v>
      </x:c>
      <x:c r="R330" s="165" t="str">
        <x:v>酸素管理</x:v>
      </x:c>
      <x:c r="S330" s="165" t="str">
        <x:v>白ワイン</x:v>
      </x:c>
      <x:c r="T330" s="165"/>
      <x:c r="U330" s="165"/>
      <x:c r="V330" s="165"/>
      <x:c r="W330" s="165" t="str">
        <x:v>適用</x:v>
      </x:c>
      <x:c r="X330" s="171" t="str">
        <x:v>D2</x:v>
      </x:c>
      <x:c r="Y330" s="165" t="str">
        <x:v>還元的醸造について関連要因を主因とみなす; 還元的醸造について関連要因を主因とみなす; 還元的醸造について関連要因を主因とみなす</x:v>
      </x:c>
      <x:c r="Z330" s="171" t="str">
        <x:v>N</x:v>
      </x:c>
      <x:c r="AA330" s="165"/>
      <x:c r="AB330" s="165" t="str">
        <x:v>オリジナル</x:v>
      </x:c>
      <x:c r="AC330" s="165" t="str">
        <x:v>公式Specificationの範囲＋ユーザー作成コーパスの論点を参考に独自作成</x:v>
      </x:c>
      <x:c r="AD330" s="171" t="str">
        <x:v>改稿済み・専門家未承認</x:v>
      </x:c>
      <x:c r="AE330" s="171" t="str">
        <x:v>AI誤答レビュー</x:v>
      </x:c>
      <x:c r="AF330" s="171" t="str">
        <x:v>2026-07-12</x:v>
      </x:c>
      <x:c r="AG330" s="312" t="str">
        <x:v>第5バッチ：使用可能な誤答を維持し、弱い誤答を因果逆転・隣接概念へ置換。正答位置は維持。</x:v>
      </x:c>
    </x:row>
    <x:row r="331" ht="84" customHeight="1">
      <x:c r="A331" s="311" t="str">
        <x:v>LO1-090</x:v>
      </x:c>
      <x:c r="B331" s="171" t="str">
        <x:v>LO1</x:v>
      </x:c>
      <x:c r="C331" s="165" t="str">
        <x:v>ブドウ畑・ワイナリーの自然要因と人的要因</x:v>
      </x:c>
      <x:c r="D331" s="165" t="str">
        <x:v>果汁の清澄</x:v>
      </x:c>
      <x:c r="E331" s="165" t="str">
        <x:v>白ワインのアルコール発酵前に果汁を沈殿・清澄する主な利点はどれか。</x:v>
      </x:c>
      <x:c r="F331" s="165" t="str">
        <x:v>果汁中の固形物をほとんど残さないほど、酵母栄養が増え、発酵停止のリスクが下がる</x:v>
      </x:c>
      <x:c r="G331" s="165" t="str">
        <x:v>粗い固形物を除き、よりクリーンで制御しやすい発酵を行える</x:v>
      </x:c>
      <x:c r="H331" s="165" t="str">
        <x:v>果皮片を多く残すことで、白ワインのタンニンと酸化安定性を最大化できる</x:v>
      </x:c>
      <x:c r="I331" s="165" t="str">
        <x:v>果汁を清澄すれば、発酵中の温度管理や衛生管理を省略できる</x:v>
      </x:c>
      <x:c r="J331" s="171" t="str">
        <x:v>B</x:v>
      </x:c>
      <x:c r="K331" s="165" t="str">
        <x:v>粗い固形物を除き、よりクリーンで制御しやすい発酵を行える</x:v>
      </x:c>
      <x:c r="L331" s="165" t="str">
        <x:v>正しい。土、腐敗物、粗い果皮片などを減らすことで、好ましくない香りと微生物リスクを抑えやすい。</x:v>
      </x:c>
      <x:c r="M331" s="165" t="str">
        <x:v>誤り。過度の清澄は酵母に必要な脂質や栄養源まで減らし、発酵を遅らせることがある。</x:v>
      </x:c>
      <x:c r="N331" s="165" t="str">
        <x:v>正しい。土、腐敗物、粗い果皮片などを減らすことで、好ましくない香りと微生物リスクを抑えやすい。</x:v>
      </x:c>
      <x:c r="O331" s="165" t="str">
        <x:v>誤り。一部の固形物は質感へ影響するが、タンニン最大化はフレッシュな白の清澄目的ではない。</x:v>
      </x:c>
      <x:c r="P331" s="165" t="str">
        <x:v>誤り。清澄後も温度、酵母栄養、酸素、衛生を管理する必要がある。</x:v>
      </x:c>
      <x:c r="Q331" s="165" t="str">
        <x:v>醸造</x:v>
      </x:c>
      <x:c r="R331" s="165" t="str">
        <x:v>果汁処理</x:v>
      </x:c>
      <x:c r="S331" s="165" t="str">
        <x:v>白ワイン</x:v>
      </x:c>
      <x:c r="T331" s="165"/>
      <x:c r="U331" s="165"/>
      <x:c r="V331" s="165"/>
      <x:c r="W331" s="165" t="str">
        <x:v>因果説明</x:v>
      </x:c>
      <x:c r="X331" s="171" t="str">
        <x:v>D2</x:v>
      </x:c>
      <x:c r="Y331" s="165" t="str">
        <x:v>清澄は徹底するほど発酵が安定する; 果汁清澄の目的は白ワインのタンニン最大化; 清澄で他の発酵管理が不要になる</x:v>
      </x:c>
      <x:c r="Z331" s="171" t="str">
        <x:v>N</x:v>
      </x:c>
      <x:c r="AA331" s="165"/>
      <x:c r="AB331" s="165" t="str">
        <x:v>オリジナル</x:v>
      </x:c>
      <x:c r="AC331" s="165" t="str">
        <x:v>公式Specificationの範囲＋ユーザー作成コーパスの論点を参考に独自作成</x:v>
      </x:c>
      <x:c r="AD331" s="171" t="str">
        <x:v>改稿済み・専門家未承認</x:v>
      </x:c>
      <x:c r="AE331" s="171" t="str">
        <x:v>AI誤答レビュー</x:v>
      </x:c>
      <x:c r="AF331" s="171" t="str">
        <x:v>2026-07-12</x:v>
      </x:c>
      <x:c r="AG331" s="312" t="str">
        <x:v>第2バッチ：誤答を同一論点内の典型的誤概念へ置換。正答位置は維持。</x:v>
      </x:c>
    </x:row>
    <x:row r="332" ht="84" customHeight="1">
      <x:c r="A332" s="311" t="str">
        <x:v>LO1-091</x:v>
      </x:c>
      <x:c r="B332" s="171" t="str">
        <x:v>LO1</x:v>
      </x:c>
      <x:c r="C332" s="165" t="str">
        <x:v>ブドウ畑・ワイナリーの自然要因と人的要因</x:v>
      </x:c>
      <x:c r="D332" s="165" t="str">
        <x:v>発酵槽の素材</x:v>
      </x:c>
      <x:c r="E332" s="165" t="str">
        <x:v>ステンレス製発酵槽が、フレッシュで果実味を重視する白ワインに適する主な理由はどれか。</x:v>
      </x:c>
      <x:c r="F332" s="165" t="str">
        <x:v>木樽と同程度の微量酸素を自然に与えながら、オーク香だけを付けない</x:v>
      </x:c>
      <x:c r="G332" s="165" t="str">
        <x:v>厚い槽壁が発酵熱を自動的に吸収するため、冷却設備を使わず低温を維持できる</x:v>
      </x:c>
      <x:c r="H332" s="165" t="str">
        <x:v>香味を付与せず、衛生管理と温度管理を行いやすい</x:v>
      </x:c>
      <x:c r="I332" s="165" t="str">
        <x:v>槽内に残る微生物がマロラクティック・コンバージョンを促し、酸を和らげやすい</x:v>
      </x:c>
      <x:c r="J332" s="171" t="str">
        <x:v>C</x:v>
      </x:c>
      <x:c r="K332" s="165" t="str">
        <x:v>香味を付与せず、衛生管理と温度管理を行いやすい</x:v>
      </x:c>
      <x:c r="L332" s="165" t="str">
        <x:v>正しい。不活性で洗浄しやすく、冷却設備によって低温発酵を精密に管理できる。</x:v>
      </x:c>
      <x:c r="M332" s="165" t="str">
        <x:v>誤り。ステンレスは酸素を通しにくく、樽と同じ微量酸素効果を自然に与える容器ではない。</x:v>
      </x:c>
      <x:c r="N332" s="165" t="str">
        <x:v>誤り。熱を保持・伝導する性質はあるが、低温発酵には通常、冷却ジャケット等による制御が必要である。</x:v>
      </x:c>
      <x:c r="O332" s="165" t="str">
        <x:v>正しい。不活性で洗浄しやすく、冷却設備によって低温発酵を精密に管理できる。</x:v>
      </x:c>
      <x:c r="P332" s="165" t="str">
        <x:v>誤り。MLCは乳酸菌、温度、亜硫酸、pHなどで管理され、ステンレス槽自体が促すわけではない。</x:v>
      </x:c>
      <x:c r="Q332" s="165" t="str">
        <x:v>醸造</x:v>
      </x:c>
      <x:c r="R332" s="165" t="str">
        <x:v>発酵容器</x:v>
      </x:c>
      <x:c r="S332" s="165" t="str">
        <x:v>白ワイン</x:v>
      </x:c>
      <x:c r="T332" s="165"/>
      <x:c r="U332" s="165"/>
      <x:c r="V332" s="165"/>
      <x:c r="W332" s="165" t="str">
        <x:v>因果説明</x:v>
      </x:c>
      <x:c r="X332" s="171" t="str">
        <x:v>D1</x:v>
      </x:c>
      <x:c r="Y332" s="165" t="str">
        <x:v>ステンレスは古樽と同じ酸素透過を持つ; ステンレスは冷却設備なしで自動温調する; ステンレス槽自体がMLCを促進する</x:v>
      </x:c>
      <x:c r="Z332" s="171" t="str">
        <x:v>N</x:v>
      </x:c>
      <x:c r="AA332" s="165"/>
      <x:c r="AB332" s="165" t="str">
        <x:v>オリジナル</x:v>
      </x:c>
      <x:c r="AC332" s="165" t="str">
        <x:v>公式Specificationの範囲＋ユーザー作成コーパスの論点を参考に独自作成</x:v>
      </x:c>
      <x:c r="AD332" s="171" t="str">
        <x:v>改稿済み・専門家未承認</x:v>
      </x:c>
      <x:c r="AE332" s="171" t="str">
        <x:v>AI誤答レビュー</x:v>
      </x:c>
      <x:c r="AF332" s="171" t="str">
        <x:v>2026-07-12</x:v>
      </x:c>
      <x:c r="AG332" s="312" t="str">
        <x:v>第2バッチ：誤答を同一論点内の典型的誤概念へ置換。正答位置は維持。</x:v>
      </x:c>
    </x:row>
    <x:row r="333" ht="84" customHeight="1">
      <x:c r="A333" s="311" t="str">
        <x:v>LO1-092</x:v>
      </x:c>
      <x:c r="B333" s="171" t="str">
        <x:v>LO1</x:v>
      </x:c>
      <x:c r="C333" s="165" t="str">
        <x:v>ブドウ畑・ワイナリーの自然要因と人的要因</x:v>
      </x:c>
      <x:c r="D333" s="165" t="str">
        <x:v>野生酵母</x:v>
      </x:c>
      <x:c r="E333" s="165" t="str">
        <x:v>野生酵母による発酵の潜在的な利点とリスクの組み合わせとして、最も適切なものはどれか。</x:v>
      </x:c>
      <x:c r="F333" s="165" t="str">
        <x:v>香味は単純になりやすいが、発酵完了の再現性は培養酵母より高い</x:v>
      </x:c>
      <x:c r="G333" s="165" t="str">
        <x:v>複数酵母種が働くため、発酵速度と最終香味は毎年ほぼ同じになる</x:v>
      </x:c>
      <x:c r="H333" s="165" t="str">
        <x:v>発酵停止のリスクは低いが、アルコール度だけが予測しにくい</x:v>
      </x:c>
      <x:c r="I333" s="165" t="str">
        <x:v>複雑な香味を得られる可能性がある一方、発酵停止や望ましくない風味のリスクが高い</x:v>
      </x:c>
      <x:c r="J333" s="171" t="str">
        <x:v>D</x:v>
      </x:c>
      <x:c r="K333" s="165" t="str">
        <x:v>複雑な香味を得られる可能性がある一方、発酵停止や望ましくない風味のリスクが高い</x:v>
      </x:c>
      <x:c r="L333" s="165" t="str">
        <x:v>正しい。多様な酵母の香味上の利点と、発酵管理上の不確実性を正しく示す。</x:v>
      </x:c>
      <x:c r="M333" s="165" t="str">
        <x:v>誤り。野生酵母は複雑性を与える可能性があり、再現性は一般に低い。</x:v>
      </x:c>
      <x:c r="N333" s="165" t="str">
        <x:v>誤り。菌相は年・畑・ワイナリーで変わるため、毎年同じ結果にはなりにくい。</x:v>
      </x:c>
      <x:c r="O333" s="165" t="str">
        <x:v>誤り。耐アルコール性や栄養要求が不明で、発酵停止リスクも高くなる。</x:v>
      </x:c>
      <x:c r="P333" s="165" t="str">
        <x:v>正しい。多様な酵母の香味上の利点と、発酵管理上の不確実性を正しく示す。</x:v>
      </x:c>
      <x:c r="Q333" s="165" t="str">
        <x:v>醸造</x:v>
      </x:c>
      <x:c r="R333" s="165" t="str">
        <x:v>酵母</x:v>
      </x:c>
      <x:c r="S333" s="165" t="str">
        <x:v>全般</x:v>
      </x:c>
      <x:c r="T333" s="165"/>
      <x:c r="U333" s="165"/>
      <x:c r="V333" s="165"/>
      <x:c r="W333" s="165" t="str">
        <x:v>比較</x:v>
      </x:c>
      <x:c r="X333" s="171" t="str">
        <x:v>D2</x:v>
      </x:c>
      <x:c r="Y333" s="165" t="str">
        <x:v>野生酵母は単純だが再現性が高い; 野生酵母なら毎年同じ発酵; 野生酵母は発酵停止しにくい</x:v>
      </x:c>
      <x:c r="Z333" s="171" t="str">
        <x:v>N</x:v>
      </x:c>
      <x:c r="AA333" s="165"/>
      <x:c r="AB333" s="165" t="str">
        <x:v>オリジナル</x:v>
      </x:c>
      <x:c r="AC333" s="165" t="str">
        <x:v>公式Specificationの範囲＋ユーザー作成コーパスの論点を参考に独自作成</x:v>
      </x:c>
      <x:c r="AD333" s="171" t="str">
        <x:v>改稿済み・専門家未承認</x:v>
      </x:c>
      <x:c r="AE333" s="171" t="str">
        <x:v>AI誤答レビュー</x:v>
      </x:c>
      <x:c r="AF333" s="171" t="str">
        <x:v>2026-07-12</x:v>
      </x:c>
      <x:c r="AG333" s="312" t="str">
        <x:v>第3バッチ：同一論点内の典型的誤概念へ置換。正答位置は維持。</x:v>
      </x:c>
    </x:row>
    <x:row r="334" ht="84" customHeight="1">
      <x:c r="A334" s="311" t="str">
        <x:v>LO1-093</x:v>
      </x:c>
      <x:c r="B334" s="171" t="str">
        <x:v>LO1</x:v>
      </x:c>
      <x:c r="C334" s="165" t="str">
        <x:v>ブドウ畑・ワイナリーの自然要因と人的要因</x:v>
      </x:c>
      <x:c r="D334" s="165" t="str">
        <x:v>酵母栄養</x:v>
      </x:c>
      <x:c r="E334" s="165" t="str">
        <x:v>発酵中に酵母同化性窒素が不足すると起こりやすい問題はどれか。</x:v>
      </x:c>
      <x:c r="F334" s="165" t="str">
        <x:v>発酵が遅延または停止し、硫化水素などの好ましくない香りが出る</x:v>
      </x:c>
      <x:c r="G334" s="165" t="str">
        <x:v>マロラクティック発酵が発酵前に完了する</x:v>
      </x:c>
      <x:c r="H334" s="165" t="str">
        <x:v>ワインの色が無色透明になる</x:v>
      </x:c>
      <x:c r="I334" s="165" t="str">
        <x:v>糖が酵母なしで急速にアルコールへ変わる</x:v>
      </x:c>
      <x:c r="J334" s="171" t="str">
        <x:v>A</x:v>
      </x:c>
      <x:c r="K334" s="165" t="str">
        <x:v>発酵が遅延または停止し、硫化水素などの好ましくない香りが出る</x:v>
      </x:c>
      <x:c r="L334" s="165" t="str">
        <x:v>正しい。酵母は増殖と代謝に窒素を必要とするため、不足するとストレスを受け、発酵不良や還元臭の原因となる。</x:v>
      </x:c>
      <x:c r="M334" s="165" t="str">
        <x:v>正しい。酵母は増殖と代謝に窒素を必要とするため、不足するとストレスを受け、発酵不良や還元臭の原因となる。</x:v>
      </x:c>
      <x:c r="N334" s="165" t="str">
        <x:v>誤り。アルコール発酵中の栄養不足とMLFの時期は別問題である。</x:v>
      </x:c>
      <x:c r="O334" s="165" t="str">
        <x:v>誤り。窒素不足は主に発酵速度と香りへ影響し、色を必ず失わせない。</x:v>
      </x:c>
      <x:c r="P334" s="165" t="str">
        <x:v>誤り。糖からアルコールへの発酵には酵母の代謝が必要である。</x:v>
      </x:c>
      <x:c r="Q334" s="165" t="str">
        <x:v>醸造</x:v>
      </x:c>
      <x:c r="R334" s="165" t="str">
        <x:v>発酵管理</x:v>
      </x:c>
      <x:c r="S334" s="165" t="str">
        <x:v>全般</x:v>
      </x:c>
      <x:c r="T334" s="165"/>
      <x:c r="U334" s="165"/>
      <x:c r="V334" s="165"/>
      <x:c r="W334" s="165" t="str">
        <x:v>因果説明</x:v>
      </x:c>
      <x:c r="X334" s="171" t="str">
        <x:v>D3</x:v>
      </x:c>
      <x:c r="Y334" s="165" t="str">
        <x:v>酵母栄養について関連要因を主因とみなす; 酵母栄養について関連要因を主因とみなす; 酵母栄養について関連要因を主因とみなす</x:v>
      </x:c>
      <x:c r="Z334" s="171" t="str">
        <x:v>N</x:v>
      </x:c>
      <x:c r="AA334" s="165"/>
      <x:c r="AB334" s="165" t="str">
        <x:v>オリジナル</x:v>
      </x:c>
      <x:c r="AC334" s="165" t="str">
        <x:v>公式Specificationの範囲＋ユーザー作成コーパスの論点を参考に独自作成</x:v>
      </x:c>
      <x:c r="AD334" s="171" t="str">
        <x:v>改稿済み・専門家未承認</x:v>
      </x:c>
      <x:c r="AE334" s="171" t="str">
        <x:v>AI誤答レビュー</x:v>
      </x:c>
      <x:c r="AF334" s="171" t="str">
        <x:v>2026-07-12</x:v>
      </x:c>
      <x:c r="AG334" s="312" t="str">
        <x:v>第5バッチ：使用可能な誤答を維持し、弱い誤答を因果逆転・隣接概念へ置換。正答位置は維持。</x:v>
      </x:c>
    </x:row>
    <x:row r="335" ht="84" customHeight="1">
      <x:c r="A335" s="311" t="str">
        <x:v>LO1-094</x:v>
      </x:c>
      <x:c r="B335" s="171" t="str">
        <x:v>LO1</x:v>
      </x:c>
      <x:c r="C335" s="165" t="str">
        <x:v>ブドウ畑・ワイナリーの自然要因と人的要因</x:v>
      </x:c>
      <x:c r="D335" s="165" t="str">
        <x:v>赤ワインの高温発酵</x:v>
      </x:c>
      <x:c r="E335" s="165" t="str">
        <x:v>赤ワインを比較的高い温度で発酵させる利点とリスクの組み合わせとして、最も適切なものはどれか。</x:v>
      </x:c>
      <x:c r="F335" s="165" t="str">
        <x:v>果皮からの色とタンニンの抽出は弱まるが、揮発性の果実香は保持されやすい</x:v>
      </x:c>
      <x:c r="G335" s="165" t="str">
        <x:v>色とタンニンの抽出を促せる一方、揮発性の果実香を失い、発酵が速くなりすぎることがある</x:v>
      </x:c>
      <x:c r="H335" s="165" t="str">
        <x:v>酵母活動は遅くなるが、種子タンニンだけが選択的に抽出される</x:v>
      </x:c>
      <x:c r="I335" s="165" t="str">
        <x:v>抽出と酵母活動にはほとんど影響せず、主にマロラクティック・コンバージョンだけを左右する</x:v>
      </x:c>
      <x:c r="J335" s="171" t="str">
        <x:v>B</x:v>
      </x:c>
      <x:c r="K335" s="165" t="str">
        <x:v>色とタンニンの抽出を促せる一方、揮発性の果実香を失い、発酵が速くなりすぎることがある</x:v>
      </x:c>
      <x:c r="L335" s="165" t="str">
        <x:v>正しい。高温は抽出と酵母代謝を促すが、香りの損失、過熱、停止発酵のリスクを伴う。</x:v>
      </x:c>
      <x:c r="M335" s="165" t="str">
        <x:v>誤り。一般に高温ほど抽出は強くなり、揮発性香気の保持は難しくなる。</x:v>
      </x:c>
      <x:c r="N335" s="165" t="str">
        <x:v>正しい。高温は抽出と酵母代謝を促すが、香りの損失、過熱、停止発酵のリスクを伴う。</x:v>
      </x:c>
      <x:c r="O335" s="165" t="str">
        <x:v>誤り。高温は酵母活動を速める傾向があり、種子成分だけを選択的に抽出するわけではない。</x:v>
      </x:c>
      <x:c r="P335" s="165" t="str">
        <x:v>誤り。発酵温度はアルコール発酵速度、抽出、香気へ直接影響する。</x:v>
      </x:c>
      <x:c r="Q335" s="165" t="str">
        <x:v>醸造</x:v>
      </x:c>
      <x:c r="R335" s="165" t="str">
        <x:v>発酵温度</x:v>
      </x:c>
      <x:c r="S335" s="165" t="str">
        <x:v>赤ワイン</x:v>
      </x:c>
      <x:c r="T335" s="165"/>
      <x:c r="U335" s="165"/>
      <x:c r="V335" s="165"/>
      <x:c r="W335" s="165" t="str">
        <x:v>比較</x:v>
      </x:c>
      <x:c r="X335" s="171" t="str">
        <x:v>D2</x:v>
      </x:c>
      <x:c r="Y335" s="165" t="str">
        <x:v>高温発酵は低抽出・高香気保持; 高温は酵母を遅くし種子タンニンだけ抽出; 高温はMLCにしか影響しない</x:v>
      </x:c>
      <x:c r="Z335" s="171" t="str">
        <x:v>N</x:v>
      </x:c>
      <x:c r="AA335" s="165"/>
      <x:c r="AB335" s="165" t="str">
        <x:v>オリジナル</x:v>
      </x:c>
      <x:c r="AC335" s="165" t="str">
        <x:v>公式Specificationの範囲＋ユーザー作成コーパスの論点を参考に独自作成</x:v>
      </x:c>
      <x:c r="AD335" s="171" t="str">
        <x:v>改稿済み・専門家未承認</x:v>
      </x:c>
      <x:c r="AE335" s="171" t="str">
        <x:v>AI誤答レビュー</x:v>
      </x:c>
      <x:c r="AF335" s="171" t="str">
        <x:v>2026-07-12</x:v>
      </x:c>
      <x:c r="AG335" s="312" t="str">
        <x:v>第2バッチ：誤答を同一論点内の典型的誤概念へ置換。正答位置は維持。</x:v>
      </x:c>
    </x:row>
    <x:row r="336" ht="84" customHeight="1">
      <x:c r="A336" s="311" t="str">
        <x:v>LO1-095</x:v>
      </x:c>
      <x:c r="B336" s="171" t="str">
        <x:v>LO1</x:v>
      </x:c>
      <x:c r="C336" s="165" t="str">
        <x:v>ブドウ畑・ワイナリーの自然要因と人的要因</x:v>
      </x:c>
      <x:c r="D336" s="165" t="str">
        <x:v>白ワインの低温発酵</x:v>
      </x:c>
      <x:c r="E336" s="165" t="str">
        <x:v>白ワインを低温で発酵させる主な利点はどれか。</x:v>
      </x:c>
      <x:c r="F336" s="165" t="str">
        <x:v>アルコールを発酵前に除去する</x:v>
      </x:c>
      <x:c r="G336" s="165" t="str">
        <x:v>酸化を最大化する</x:v>
      </x:c>
      <x:c r="H336" s="165" t="str">
        <x:v>発酵をゆっくり進め、揮発性の果実香を保持しやすい</x:v>
      </x:c>
      <x:c r="I336" s="165" t="str">
        <x:v>種子から強いタンニンを抽出する</x:v>
      </x:c>
      <x:c r="J336" s="171" t="str">
        <x:v>C</x:v>
      </x:c>
      <x:c r="K336" s="165" t="str">
        <x:v>発酵をゆっくり進め、揮発性の果実香を保持しやすい</x:v>
      </x:c>
      <x:c r="L336" s="165" t="str">
        <x:v>正しい。低温は香り成分の揮散を抑え、フレッシュで果実味中心のスタイルを得やすくする。</x:v>
      </x:c>
      <x:c r="M336" s="165" t="str">
        <x:v>誤り。発酵によってアルコールが生成され、低温は除去工程ではない。</x:v>
      </x:c>
      <x:c r="N336" s="165" t="str">
        <x:v>誤り。低温発酵は通常、酸素管理と組み合わせて酸化を抑える。</x:v>
      </x:c>
      <x:c r="O336" s="165" t="str">
        <x:v>正しい。低温は香り成分の揮散を抑え、フレッシュで果実味中心のスタイルを得やすくする。</x:v>
      </x:c>
      <x:c r="P336" s="165" t="str">
        <x:v>誤り。白ワインの低温発酵はタンニン抽出の最大化を目的としない。</x:v>
      </x:c>
      <x:c r="Q336" s="165" t="str">
        <x:v>醸造</x:v>
      </x:c>
      <x:c r="R336" s="165" t="str">
        <x:v>発酵温度</x:v>
      </x:c>
      <x:c r="S336" s="165" t="str">
        <x:v>白ワイン</x:v>
      </x:c>
      <x:c r="T336" s="165"/>
      <x:c r="U336" s="165"/>
      <x:c r="V336" s="165"/>
      <x:c r="W336" s="165" t="str">
        <x:v>因果説明</x:v>
      </x:c>
      <x:c r="X336" s="171" t="str">
        <x:v>D1</x:v>
      </x:c>
      <x:c r="Y336" s="165" t="str">
        <x:v>白ワインの低温発酵について関連要因を主因とみなす; 白ワインの低温発酵について関連要因を主因とみなす; 白ワインの低温発酵について関連要因を主因とみなす</x:v>
      </x:c>
      <x:c r="Z336" s="171" t="str">
        <x:v>N</x:v>
      </x:c>
      <x:c r="AA336" s="165"/>
      <x:c r="AB336" s="165" t="str">
        <x:v>オリジナル</x:v>
      </x:c>
      <x:c r="AC336" s="165" t="str">
        <x:v>公式Specificationの範囲＋ユーザー作成コーパスの論点を参考に独自作成</x:v>
      </x:c>
      <x:c r="AD336" s="171" t="str">
        <x:v>改稿済み・専門家未承認</x:v>
      </x:c>
      <x:c r="AE336" s="171" t="str">
        <x:v>AI誤答レビュー</x:v>
      </x:c>
      <x:c r="AF336" s="171" t="str">
        <x:v>2026-07-12</x:v>
      </x:c>
      <x:c r="AG336" s="312" t="str">
        <x:v>第5バッチ：使用可能な誤答を維持し、弱い誤答を因果逆転・隣接概念へ置換。正答位置は維持。</x:v>
      </x:c>
    </x:row>
    <x:row r="337" ht="84" customHeight="1">
      <x:c r="A337" s="311" t="str">
        <x:v>LO1-096</x:v>
      </x:c>
      <x:c r="B337" s="171" t="str">
        <x:v>LO1</x:v>
      </x:c>
      <x:c r="C337" s="165" t="str">
        <x:v>ブドウ畑・ワイナリーの自然要因と人的要因</x:v>
      </x:c>
      <x:c r="D337" s="165" t="str">
        <x:v>ポンピング・オーバー</x:v>
      </x:c>
      <x:c r="E337" s="165" t="str">
        <x:v>赤ワイン発酵中のポンピング・オーバーの主な効果はどれか。</x:v>
      </x:c>
      <x:c r="F337" s="165" t="str">
        <x:v>果皮を発酵槽から大きく除去する</x:v>
      </x:c>
      <x:c r="G337" s="165" t="str">
        <x:v>瓶内の澱を口元へ集める</x:v>
      </x:c>
      <x:c r="H337" s="165" t="str">
        <x:v>残糖を濾過で取り除く</x:v>
      </x:c>
      <x:c r="I337" s="165" t="str">
        <x:v>発酵液をキャップ上へ散布し、果皮を湿らせて色とタンニンを抽出する</x:v>
      </x:c>
      <x:c r="J337" s="171" t="str">
        <x:v>D</x:v>
      </x:c>
      <x:c r="K337" s="165" t="str">
        <x:v>発酵液をキャップ上へ散布し、果皮を湿らせて色とタンニンを抽出する</x:v>
      </x:c>
      <x:c r="L337" s="165" t="str">
        <x:v>正しい。液を循環させることでキャップを乾燥させず、抽出、温度均一化、適度な酸素供給を行える。</x:v>
      </x:c>
      <x:c r="M337" s="165" t="str">
        <x:v>誤り。ポンピング・オーバーでは果皮を残して液を循環させる。</x:v>
      </x:c>
      <x:c r="N337" s="165" t="str">
        <x:v>誤り。これは発泡性ワインのルミュアージュに関する操作である。</x:v>
      </x:c>
      <x:c r="O337" s="165" t="str">
        <x:v>誤り。糖は酵母が発酵し、ポンピング・オーバーで濾過除去しない。</x:v>
      </x:c>
      <x:c r="P337" s="165" t="str">
        <x:v>正しい。液を循環させることでキャップを乾燥させず、抽出、温度均一化、適度な酸素供給を行える。</x:v>
      </x:c>
      <x:c r="Q337" s="165" t="str">
        <x:v>醸造</x:v>
      </x:c>
      <x:c r="R337" s="165" t="str">
        <x:v>キャップ・マネジメント</x:v>
      </x:c>
      <x:c r="S337" s="165" t="str">
        <x:v>赤ワイン</x:v>
      </x:c>
      <x:c r="T337" s="165"/>
      <x:c r="U337" s="165"/>
      <x:c r="V337" s="165"/>
      <x:c r="W337" s="165" t="str">
        <x:v>知識確認</x:v>
      </x:c>
      <x:c r="X337" s="171" t="str">
        <x:v>D1</x:v>
      </x:c>
      <x:c r="Y337" s="165" t="str">
        <x:v>ポンピング・オーバーについて関連要因を主因とみなす; ポンピング・オーバーについて関連要因を主因とみなす; ポンピング・オーバーについて関連要因を主因とみなす</x:v>
      </x:c>
      <x:c r="Z337" s="171" t="str">
        <x:v>N</x:v>
      </x:c>
      <x:c r="AA337" s="165"/>
      <x:c r="AB337" s="165" t="str">
        <x:v>オリジナル</x:v>
      </x:c>
      <x:c r="AC337" s="165" t="str">
        <x:v>公式Specificationの範囲＋ユーザー作成コーパスの論点を参考に独自作成</x:v>
      </x:c>
      <x:c r="AD337" s="171" t="str">
        <x:v>改稿済み・専門家未承認</x:v>
      </x:c>
      <x:c r="AE337" s="171" t="str">
        <x:v>AI誤答レビュー</x:v>
      </x:c>
      <x:c r="AF337" s="171" t="str">
        <x:v>2026-07-12</x:v>
      </x:c>
      <x:c r="AG337" s="312" t="str">
        <x:v>第5バッチ：使用可能な誤答を維持し、弱い誤答を因果逆転・隣接概念へ置換。正答位置は維持。</x:v>
      </x:c>
    </x:row>
    <x:row r="338" ht="84" customHeight="1">
      <x:c r="A338" s="311" t="str">
        <x:v>LO1-097</x:v>
      </x:c>
      <x:c r="B338" s="171" t="str">
        <x:v>LO1</x:v>
      </x:c>
      <x:c r="C338" s="165" t="str">
        <x:v>ブドウ畑・ワイナリーの自然要因と人的要因</x:v>
      </x:c>
      <x:c r="D338" s="165" t="str">
        <x:v>パンチング・ダウン</x:v>
      </x:c>
      <x:c r="E338" s="165" t="str">
        <x:v>パンチング・ダウンがポンピング・オーバーより比較的適することがある状況はどれか。</x:v>
      </x:c>
      <x:c r="F338" s="165" t="str">
        <x:v>小型の開放発酵槽で、キャップを手作業または機械で穏やかに沈めたい場合</x:v>
      </x:c>
      <x:c r="G338" s="165" t="str">
        <x:v>発泡性ワインの澱を除去する場合</x:v>
      </x:c>
      <x:c r="H338" s="165" t="str">
        <x:v>白ワインの果汁を清澄する場合</x:v>
      </x:c>
      <x:c r="I338" s="165" t="str">
        <x:v>密閉タンクから液を別槽へ大きく移す場合</x:v>
      </x:c>
      <x:c r="J338" s="171" t="str">
        <x:v>A</x:v>
      </x:c>
      <x:c r="K338" s="165" t="str">
        <x:v>小型の開放発酵槽で、キャップを手作業または機械で穏やかに沈めたい場合</x:v>
      </x:c>
      <x:c r="L338" s="165" t="str">
        <x:v>正しい。キャップを直接押し下げるため、小型槽で管理しやすく、全房を含む発酵にも用いられる。</x:v>
      </x:c>
      <x:c r="M338" s="165" t="str">
        <x:v>正しい。キャップを直接押し下げるため、小型槽で管理しやすく、全房を含む発酵にも用いられる。</x:v>
      </x:c>
      <x:c r="N338" s="165" t="str">
        <x:v>誤り。これはデゴルジュマンであり、パンチング・ダウンではない。</x:v>
      </x:c>
      <x:c r="O338" s="165" t="str">
        <x:v>誤り。パンチング・ダウンは赤ワインの果皮キャップ管理である。</x:v>
      </x:c>
      <x:c r="P338" s="165" t="str">
        <x:v>誤り。これはラック・アンド・リターンに近い操作である。</x:v>
      </x:c>
      <x:c r="Q338" s="165" t="str">
        <x:v>醸造</x:v>
      </x:c>
      <x:c r="R338" s="165" t="str">
        <x:v>キャップ・マネジメント</x:v>
      </x:c>
      <x:c r="S338" s="165" t="str">
        <x:v>赤ワイン</x:v>
      </x:c>
      <x:c r="T338" s="165"/>
      <x:c r="U338" s="165"/>
      <x:c r="V338" s="165"/>
      <x:c r="W338" s="165" t="str">
        <x:v>適用</x:v>
      </x:c>
      <x:c r="X338" s="171" t="str">
        <x:v>D2</x:v>
      </x:c>
      <x:c r="Y338" s="165" t="str">
        <x:v>パンチング・ダウンについて関連要因を主因とみなす; パンチング・ダウンについて関連要因を主因とみなす; パンチング・ダウンについて関連要因を主因とみなす</x:v>
      </x:c>
      <x:c r="Z338" s="171" t="str">
        <x:v>N</x:v>
      </x:c>
      <x:c r="AA338" s="165"/>
      <x:c r="AB338" s="165" t="str">
        <x:v>オリジナル</x:v>
      </x:c>
      <x:c r="AC338" s="165" t="str">
        <x:v>公式Specificationの範囲＋ユーザー作成コーパスの論点を参考に独自作成</x:v>
      </x:c>
      <x:c r="AD338" s="171" t="str">
        <x:v>改稿済み・専門家未承認</x:v>
      </x:c>
      <x:c r="AE338" s="171" t="str">
        <x:v>AI誤答レビュー</x:v>
      </x:c>
      <x:c r="AF338" s="171" t="str">
        <x:v>2026-07-12</x:v>
      </x:c>
      <x:c r="AG338" s="312" t="str">
        <x:v>第5バッチ：使用可能な誤答を維持し、弱い誤答を因果逆転・隣接概念へ置換。正答位置は維持。</x:v>
      </x:c>
    </x:row>
    <x:row r="339" ht="84" customHeight="1">
      <x:c r="A339" s="311" t="str">
        <x:v>LO1-098</x:v>
      </x:c>
      <x:c r="B339" s="171" t="str">
        <x:v>LO1</x:v>
      </x:c>
      <x:c r="C339" s="165" t="str">
        <x:v>ブドウ畑・ワイナリーの自然要因と人的要因</x:v>
      </x:c>
      <x:c r="D339" s="165" t="str">
        <x:v>ラック・アンド・リターン</x:v>
      </x:c>
      <x:c r="E339" s="165" t="str">
        <x:v>ラック・アンド・リターンが赤ワインに与えやすい効果はどれか。</x:v>
      </x:c>
      <x:c r="F339" s="165" t="str">
        <x:v>発酵液をキャップ上へ散布し、果皮を湿らせて色とタンニンを抽出する</x:v>
      </x:c>
      <x:c r="G339" s="165" t="str">
        <x:v>発酵中のワインを別槽へ抜き、果皮帽を崩して戻すことで抽出と酸素供給を高める</x:v>
      </x:c>
      <x:c r="H339" s="165" t="str">
        <x:v>果汁を果皮帽の上へ静かに散布し、果皮帽を崩さず湿らせる</x:v>
      </x:c>
      <x:c r="I339" s="165" t="str">
        <x:v>発酵後に粗い澱だけを除き、ワインを元槽へ戻す</x:v>
      </x:c>
      <x:c r="J339" s="171" t="str">
        <x:v>B</x:v>
      </x:c>
      <x:c r="K339" s="165" t="str">
        <x:v>発酵中のワインを別槽へ抜き、果皮帽を崩して戻すことで抽出と酸素供給を高める</x:v>
      </x:c>
      <x:c r="L339" s="165" t="str">
        <x:v>正しい。全液を抜くことでキャップが崩れ、戻す際に果皮を再び浸して酸素も供給する。</x:v>
      </x:c>
      <x:c r="M339" s="165" t="str">
        <x:v>誤り。これは同じ知識領域の「ポンピング・オーバー」に当てはまる説明で、設問の「ラック・アンド・リターン」を最も適切に説明しない。</x:v>
      </x:c>
      <x:c r="N339" s="165" t="str">
        <x:v>正しい。全液を抜くことでキャップが崩れ、戻す際に果皮を再び浸して酸素も供給する。</x:v>
      </x:c>
      <x:c r="O339" s="165" t="str">
        <x:v>誤り。これは通常のポンピング・オーバーに近い。</x:v>
      </x:c>
      <x:c r="P339" s="165" t="str">
        <x:v>誤り。発酵中のキャップ管理であり、澱引きではない。</x:v>
      </x:c>
      <x:c r="Q339" s="165" t="str">
        <x:v>醸造</x:v>
      </x:c>
      <x:c r="R339" s="165" t="str">
        <x:v>キャップ・マネジメント</x:v>
      </x:c>
      <x:c r="S339" s="165" t="str">
        <x:v>赤ワイン</x:v>
      </x:c>
      <x:c r="T339" s="165"/>
      <x:c r="U339" s="165"/>
      <x:c r="V339" s="165"/>
      <x:c r="W339" s="165" t="str">
        <x:v>因果説明</x:v>
      </x:c>
      <x:c r="X339" s="171" t="str">
        <x:v>D3</x:v>
      </x:c>
      <x:c r="Y339" s="165" t="str">
        <x:v>ラック・アンド・リターンをポンピング・オーバーの特徴と混同; ラック・アンド・リターンとポンピングオーバーの混同; ラック・アンド・リターンを澱引きと混同</x:v>
      </x:c>
      <x:c r="Z339" s="171" t="str">
        <x:v>N</x:v>
      </x:c>
      <x:c r="AA339" s="165"/>
      <x:c r="AB339" s="165" t="str">
        <x:v>オリジナル</x:v>
      </x:c>
      <x:c r="AC339" s="165" t="str">
        <x:v>公式Specificationの範囲＋ユーザー作成コーパスの論点を参考に独自作成</x:v>
      </x:c>
      <x:c r="AD339" s="171" t="str">
        <x:v>改稿済み・専門家未承認</x:v>
      </x:c>
      <x:c r="AE339" s="171" t="str">
        <x:v>AI誤答レビュー</x:v>
      </x:c>
      <x:c r="AF339" s="171" t="str">
        <x:v>2026-07-12</x:v>
      </x:c>
      <x:c r="AG339" s="312" t="str">
        <x:v>第4バッチ：同一論点内の典型的誤概念へ置換。正答位置は維持。</x:v>
      </x:c>
    </x:row>
    <x:row r="340" ht="84" customHeight="1">
      <x:c r="A340" s="311" t="str">
        <x:v>LO1-099</x:v>
      </x:c>
      <x:c r="B340" s="171" t="str">
        <x:v>LO1</x:v>
      </x:c>
      <x:c r="C340" s="165" t="str">
        <x:v>ブドウ畑・ワイナリーの自然要因と人的要因</x:v>
      </x:c>
      <x:c r="D340" s="165" t="str">
        <x:v>延長マセレーション</x:v>
      </x:c>
      <x:c r="E340" s="165" t="str">
        <x:v>アルコール発酵後も赤ワインを果皮と接触させる、延長マセレーションの主な狙いはどれか。</x:v>
      </x:c>
      <x:c r="F340" s="165" t="str">
        <x:v>色素だけを追加抽出し、タンニン抽出を抑える</x:v>
      </x:c>
      <x:c r="G340" s="165" t="str">
        <x:v>一次果実香を保持するため、酸素とアルコールの影響を避ける</x:v>
      </x:c>
      <x:c r="H340" s="165" t="str">
        <x:v>タンニンの抽出と重合を進め、構造がありながら口当たりを整えたスタイルを得る</x:v>
      </x:c>
      <x:c r="I340" s="165" t="str">
        <x:v>残糖を増やし、アルコール度を下げて甘口赤にする</x:v>
      </x:c>
      <x:c r="J340" s="171" t="str">
        <x:v>C</x:v>
      </x:c>
      <x:c r="K340" s="165" t="str">
        <x:v>タンニンの抽出と重合を進め、構造がありながら口当たりを整えたスタイルを得る</x:v>
      </x:c>
      <x:c r="L340" s="165" t="str">
        <x:v>正しい。追加抽出とタンニン反応により、力強さと質感の調整を狙う。</x:v>
      </x:c>
      <x:c r="M340" s="165" t="str">
        <x:v>誤り。発酵後の接触ではタンニン抽出も続き、色素だけを選択できない。</x:v>
      </x:c>
      <x:c r="N340" s="165" t="str">
        <x:v>誤り。アルコール存在下で抽出を続ける方法で、一次香保持だけを目的としない。</x:v>
      </x:c>
      <x:c r="O340" s="165" t="str">
        <x:v>正しい。追加抽出とタンニン反応により、力強さと質感の調整を狙う。</x:v>
      </x:c>
      <x:c r="P340" s="165" t="str">
        <x:v>誤り。果皮接触は残糖を増やしたりアルコールを下げたりしない。</x:v>
      </x:c>
      <x:c r="Q340" s="165" t="str">
        <x:v>醸造</x:v>
      </x:c>
      <x:c r="R340" s="165" t="str">
        <x:v>マセレーション</x:v>
      </x:c>
      <x:c r="S340" s="165" t="str">
        <x:v>赤ワイン</x:v>
      </x:c>
      <x:c r="T340" s="165"/>
      <x:c r="U340" s="165"/>
      <x:c r="V340" s="165"/>
      <x:c r="W340" s="165" t="str">
        <x:v>統合判断</x:v>
      </x:c>
      <x:c r="X340" s="171" t="str">
        <x:v>D3</x:v>
      </x:c>
      <x:c r="Y340" s="165" t="str">
        <x:v>延長マセレーションは色素だけを抽出; 延長マセレーションは一次香保持が主目的; 延長マセレーションで甘口・低アルコール化</x:v>
      </x:c>
      <x:c r="Z340" s="171" t="str">
        <x:v>N</x:v>
      </x:c>
      <x:c r="AA340" s="165"/>
      <x:c r="AB340" s="165" t="str">
        <x:v>オリジナル</x:v>
      </x:c>
      <x:c r="AC340" s="165" t="str">
        <x:v>公式Specificationの範囲＋ユーザー作成コーパスの論点を参考に独自作成</x:v>
      </x:c>
      <x:c r="AD340" s="171" t="str">
        <x:v>改稿済み・専門家未承認</x:v>
      </x:c>
      <x:c r="AE340" s="171" t="str">
        <x:v>AI誤答レビュー</x:v>
      </x:c>
      <x:c r="AF340" s="171" t="str">
        <x:v>2026-07-12</x:v>
      </x:c>
      <x:c r="AG340" s="312" t="str">
        <x:v>第3バッチ：同一論点内の典型的誤概念へ置換。正答位置は維持。</x:v>
      </x:c>
    </x:row>
    <x:row r="341" ht="84" customHeight="1">
      <x:c r="A341" s="311" t="str">
        <x:v>LO1-100</x:v>
      </x:c>
      <x:c r="B341" s="171" t="str">
        <x:v>LO1</x:v>
      </x:c>
      <x:c r="C341" s="165" t="str">
        <x:v>ブドウ畑・ワイナリーの自然要因と人的要因</x:v>
      </x:c>
      <x:c r="D341" s="165" t="str">
        <x:v>共発酵</x:v>
      </x:c>
      <x:c r="E341" s="165" t="str">
        <x:v>複数品種を共発酵する潜在的な利点と制約として最も適切なものはどれか。</x:v>
      </x:c>
      <x:c r="F341" s="165" t="str">
        <x:v>品種ごとの最適収穫日と発酵条件を別々に選べる</x:v>
      </x:c>
      <x:c r="G341" s="165" t="str">
        <x:v>各品種を別々に発酵するより、後からブレンド比率を自由に調整できる</x:v>
      </x:c>
      <x:c r="H341" s="165" t="str">
        <x:v>成熟度の異なる品種も、共発酵すれば同じ酸と糖度になる</x:v>
      </x:c>
      <x:c r="I341" s="165" t="str">
        <x:v>品種間の香味が発酵中に統合される一方、収穫時期を別々に選べない</x:v>
      </x:c>
      <x:c r="J341" s="171" t="str">
        <x:v>D</x:v>
      </x:c>
      <x:c r="K341" s="165" t="str">
        <x:v>品種間の香味が発酵中に統合される一方、収穫時期を別々に選べない</x:v>
      </x:c>
      <x:c r="L341" s="165" t="str">
        <x:v>正しい。共発酵は早期の香味統合を得られるが、品種ごとの最適収穫や後のブレンド調整が難しい。</x:v>
      </x:c>
      <x:c r="M341" s="165" t="str">
        <x:v>誤り。共発酵では同時に仕込みやすい一方、品種ごとの収穫・発酵条件を個別最適化しにくい。</x:v>
      </x:c>
      <x:c r="N341" s="165" t="str">
        <x:v>誤り。共発酵では発酵後に品種比率を変えにくい。</x:v>
      </x:c>
      <x:c r="O341" s="165" t="str">
        <x:v>誤り。原料差は統合されるが、成分が同一になるわけではない。</x:v>
      </x:c>
      <x:c r="P341" s="165" t="str">
        <x:v>正しい。共発酵は早期の香味統合を得られるが、品種ごとの最適収穫や後のブレンド調整が難しい。</x:v>
      </x:c>
      <x:c r="Q341" s="165" t="str">
        <x:v>醸造</x:v>
      </x:c>
      <x:c r="R341" s="165" t="str">
        <x:v>ブレンド・共発酵</x:v>
      </x:c>
      <x:c r="S341" s="165" t="str">
        <x:v>赤ワイン</x:v>
      </x:c>
      <x:c r="T341" s="165"/>
      <x:c r="U341" s="165"/>
      <x:c r="V341" s="165"/>
      <x:c r="W341" s="165" t="str">
        <x:v>比較</x:v>
      </x:c>
      <x:c r="X341" s="171" t="str">
        <x:v>D3</x:v>
      </x:c>
      <x:c r="Y341" s="165" t="str">
        <x:v>共発酵でも品種ごとに収穫・発酵を個別最適化できる; 共発酵は後から比率を自由調整できる; 共発酵で品種成分が同一化</x:v>
      </x:c>
      <x:c r="Z341" s="171" t="str">
        <x:v>N</x:v>
      </x:c>
      <x:c r="AA341" s="165"/>
      <x:c r="AB341" s="165" t="str">
        <x:v>オリジナル</x:v>
      </x:c>
      <x:c r="AC341" s="165" t="str">
        <x:v>公式Specificationの範囲＋ユーザー作成コーパスの論点を参考に独自作成</x:v>
      </x:c>
      <x:c r="AD341" s="171" t="str">
        <x:v>改稿済み・専門家未承認</x:v>
      </x:c>
      <x:c r="AE341" s="171" t="str">
        <x:v>AI誤答レビュー</x:v>
      </x:c>
      <x:c r="AF341" s="171" t="str">
        <x:v>2026-07-12</x:v>
      </x:c>
      <x:c r="AG341" s="312" t="str">
        <x:v>第4バッチ：同一論点内の典型的誤概念へ置換。正答位置は維持。</x:v>
      </x:c>
    </x:row>
    <x:row r="342" ht="84" customHeight="1">
      <x:c r="A342" s="311" t="str">
        <x:v>LO1-101</x:v>
      </x:c>
      <x:c r="B342" s="171" t="str">
        <x:v>LO1</x:v>
      </x:c>
      <x:c r="C342" s="165" t="str">
        <x:v>ブドウ畑・ワイナリーの自然要因と人的要因</x:v>
      </x:c>
      <x:c r="D342" s="165" t="str">
        <x:v>MLFとジアセチル</x:v>
      </x:c>
      <x:c r="E342" s="165" t="str">
        <x:v>マロラクティック発酵後にバターを思わせる香りが現れる場合、主に関係する化合物はどれか。</x:v>
      </x:c>
      <x:c r="F342" s="165" t="str">
        <x:v>ジアセチル</x:v>
      </x:c>
      <x:c r="G342" s="165" t="str">
        <x:v>アセトアルデヒドだけ</x:v>
      </x:c>
      <x:c r="H342" s="165" t="str">
        <x:v>二酸化炭素</x:v>
      </x:c>
      <x:c r="I342" s="165" t="str">
        <x:v>酒石酸結晶</x:v>
      </x:c>
      <x:c r="J342" s="171" t="str">
        <x:v>A</x:v>
      </x:c>
      <x:c r="K342" s="165" t="str">
        <x:v>ジアセチル</x:v>
      </x:c>
      <x:c r="L342" s="165" t="str">
        <x:v>正しい。乳酸菌の代謝で生じるジアセチルは、量によってバターやクリームを思わせる香りを与える。</x:v>
      </x:c>
      <x:c r="M342" s="165" t="str">
        <x:v>正しい。乳酸菌の代謝で生じるジアセチルは、量によってバターやクリームを思わせる香りを与える。</x:v>
      </x:c>
      <x:c r="N342" s="165" t="str">
        <x:v>誤り。アセトアルデヒドは酸化したリンゴやフロール由来の香りに関係し、典型的なバター香の主因ではない。</x:v>
      </x:c>
      <x:c r="O342" s="165" t="str">
        <x:v>誤り。二酸化炭素は泡や刺激に関係し、バター香を生まない。</x:v>
      </x:c>
      <x:c r="P342" s="165" t="str">
        <x:v>誤り。酒石酸塩は無臭の結晶で、バター香の原因ではない。</x:v>
      </x:c>
      <x:c r="Q342" s="165" t="str">
        <x:v>醸造</x:v>
      </x:c>
      <x:c r="R342" s="165" t="str">
        <x:v>マロラクティック発酵</x:v>
      </x:c>
      <x:c r="S342" s="165" t="str">
        <x:v>全般</x:v>
      </x:c>
      <x:c r="T342" s="165"/>
      <x:c r="U342" s="165"/>
      <x:c r="V342" s="165"/>
      <x:c r="W342" s="165" t="str">
        <x:v>知識確認</x:v>
      </x:c>
      <x:c r="X342" s="171" t="str">
        <x:v>D1</x:v>
      </x:c>
      <x:c r="Y342" s="165" t="str">
        <x:v>MLFとジアセチルに関する別の特徴・要因と混同; MLFとジアセチルに関する別の特徴・要因と混同; MLFとジアセチルに関する別の特徴・要因と混同</x:v>
      </x:c>
      <x:c r="Z342" s="171" t="str">
        <x:v>N</x:v>
      </x:c>
      <x:c r="AA342" s="165"/>
      <x:c r="AB342" s="165" t="str">
        <x:v>オリジナル</x:v>
      </x:c>
      <x:c r="AC342" s="165" t="str">
        <x:v>公式Specificationの範囲＋ユーザー作成コーパスの論点を参考に独自作成</x:v>
      </x:c>
      <x:c r="AD342" s="171" t="str">
        <x:v>改稿済み・専門家未承認</x:v>
      </x:c>
      <x:c r="AE342" s="171" t="str">
        <x:v>AI誤答レビュー</x:v>
      </x:c>
      <x:c r="AF342" s="171" t="str">
        <x:v>2026-07-12</x:v>
      </x:c>
      <x:c r="AG342" s="312" t="str">
        <x:v>最終バッチ：有効な誤答を維持し、絶対語・物理的不可能な誤答のみ置換。正答位置は維持。</x:v>
      </x:c>
    </x:row>
    <x:row r="343" ht="84" customHeight="1">
      <x:c r="A343" s="311" t="str">
        <x:v>LO1-102</x:v>
      </x:c>
      <x:c r="B343" s="171" t="str">
        <x:v>LO1</x:v>
      </x:c>
      <x:c r="C343" s="165" t="str">
        <x:v>ブドウ畑・ワイナリーの自然要因と人的要因</x:v>
      </x:c>
      <x:c r="D343" s="165" t="str">
        <x:v>バトナージュ</x:v>
      </x:c>
      <x:c r="E343" s="165" t="str">
        <x:v>澱熟成中にバトナージュを行う主な目的はどれか。</x:v>
      </x:c>
      <x:c r="F343" s="165" t="str">
        <x:v>ワインを大きく脱アルコールする</x:v>
      </x:c>
      <x:c r="G343" s="165" t="str">
        <x:v>澱をワイン中へ攪拌し、口当たりと複雑性を高める</x:v>
      </x:c>
      <x:c r="H343" s="165" t="str">
        <x:v>果皮から色を最大限抽出する</x:v>
      </x:c>
      <x:c r="I343" s="165" t="str">
        <x:v>澱を瓶口へ集めて凍結除去する</x:v>
      </x:c>
      <x:c r="J343" s="171" t="str">
        <x:v>B</x:v>
      </x:c>
      <x:c r="K343" s="165" t="str">
        <x:v>澱をワイン中へ攪拌し、口当たりと複雑性を高める</x:v>
      </x:c>
      <x:c r="L343" s="165" t="str">
        <x:v>正しい。酵母由来のマンノプロテインなどが溶出しやすくなり、質感、風味、酸の知覚が丸くなることがある。</x:v>
      </x:c>
      <x:c r="M343" s="165" t="str">
        <x:v>誤り。澱攪拌でアルコールは除去されない。</x:v>
      </x:c>
      <x:c r="N343" s="165" t="str">
        <x:v>正しい。酵母由来のマンノプロテインなどが溶出しやすくなり、質感、風味、酸の知覚が丸くなることがある。</x:v>
      </x:c>
      <x:c r="O343" s="165" t="str">
        <x:v>誤り。バトナージュは主に澱の攪拌で、果皮抽出ではない。</x:v>
      </x:c>
      <x:c r="P343" s="165" t="str">
        <x:v>誤り。これは発泡性ワインのルミュアージュとデゴルジュマンに関係する。</x:v>
      </x:c>
      <x:c r="Q343" s="165" t="str">
        <x:v>醸造</x:v>
      </x:c>
      <x:c r="R343" s="165" t="str">
        <x:v>澱熟成</x:v>
      </x:c>
      <x:c r="S343" s="165" t="str">
        <x:v>白ワイン</x:v>
      </x:c>
      <x:c r="T343" s="165"/>
      <x:c r="U343" s="165"/>
      <x:c r="V343" s="165"/>
      <x:c r="W343" s="165" t="str">
        <x:v>因果説明</x:v>
      </x:c>
      <x:c r="X343" s="171" t="str">
        <x:v>D2</x:v>
      </x:c>
      <x:c r="Y343" s="165" t="str">
        <x:v>バトナージュについて関連要因を主因とみなす; バトナージュについて関連要因を主因とみなす; バトナージュについて関連要因を主因とみなす</x:v>
      </x:c>
      <x:c r="Z343" s="171" t="str">
        <x:v>N</x:v>
      </x:c>
      <x:c r="AA343" s="165"/>
      <x:c r="AB343" s="165" t="str">
        <x:v>オリジナル</x:v>
      </x:c>
      <x:c r="AC343" s="165" t="str">
        <x:v>公式Specificationの範囲＋ユーザー作成コーパスの論点を参考に独自作成</x:v>
      </x:c>
      <x:c r="AD343" s="171" t="str">
        <x:v>改稿済み・専門家未承認</x:v>
      </x:c>
      <x:c r="AE343" s="171" t="str">
        <x:v>AI誤答レビュー</x:v>
      </x:c>
      <x:c r="AF343" s="171" t="str">
        <x:v>2026-07-12</x:v>
      </x:c>
      <x:c r="AG343" s="312" t="str">
        <x:v>第5バッチ：使用可能な誤答を維持し、弱い誤答を因果逆転・隣接概念へ置換。正答位置は維持。</x:v>
      </x:c>
    </x:row>
    <x:row r="344" ht="84" customHeight="1">
      <x:c r="A344" s="311" t="str">
        <x:v>LO1-103</x:v>
      </x:c>
      <x:c r="B344" s="171" t="str">
        <x:v>LO1</x:v>
      </x:c>
      <x:c r="C344" s="165" t="str">
        <x:v>ブドウ畑・ワイナリーの自然要因と人的要因</x:v>
      </x:c>
      <x:c r="D344" s="165" t="str">
        <x:v>樽サイズ</x:v>
      </x:c>
      <x:c r="E344" s="165" t="str">
        <x:v>同じ材質と新しさであれば、大樽が小樽よりワインへ与えるオーク風味が弱くなりやすい主な理由はどれか。</x:v>
      </x:c>
      <x:c r="F344" s="165" t="str">
        <x:v>小樽ではワインが光合成するため</x:v>
      </x:c>
      <x:c r="G344" s="165" t="str">
        <x:v>大樽は発酵を停止させるため</x:v>
      </x:c>
      <x:c r="H344" s="165" t="str">
        <x:v>ワイン量に対する木材接触面積の比率が小さいため</x:v>
      </x:c>
      <x:c r="I344" s="165" t="str">
        <x:v>大樽では木材が存在しないため</x:v>
      </x:c>
      <x:c r="J344" s="171" t="str">
        <x:v>C</x:v>
      </x:c>
      <x:c r="K344" s="165" t="str">
        <x:v>ワイン量に対する木材接触面積の比率が小さいため</x:v>
      </x:c>
      <x:c r="L344" s="165" t="str">
        <x:v>正しい。大樽では単位体積当たりの木材接触が少なく、風味成分と酸素の影響が比較的穏やかになる。</x:v>
      </x:c>
      <x:c r="M344" s="165" t="str">
        <x:v>誤り。ワインは光合成しない。</x:v>
      </x:c>
      <x:c r="N344" s="165" t="str">
        <x:v>誤り。樽サイズだけで発酵が必ず停止するわけではない。</x:v>
      </x:c>
      <x:c r="O344" s="165" t="str">
        <x:v>正しい。大樽では単位体積当たりの木材接触が少なく、風味成分と酸素の影響が比較的穏やかになる。</x:v>
      </x:c>
      <x:c r="P344" s="165" t="str">
        <x:v>誤り。大樽も木製であり、接触比率が異なるだけである。</x:v>
      </x:c>
      <x:c r="Q344" s="165" t="str">
        <x:v>醸造</x:v>
      </x:c>
      <x:c r="R344" s="165" t="str">
        <x:v>オーク熟成</x:v>
      </x:c>
      <x:c r="S344" s="165" t="str">
        <x:v>全般</x:v>
      </x:c>
      <x:c r="T344" s="165"/>
      <x:c r="U344" s="165"/>
      <x:c r="V344" s="165"/>
      <x:c r="W344" s="165" t="str">
        <x:v>因果説明</x:v>
      </x:c>
      <x:c r="X344" s="171" t="str">
        <x:v>D2</x:v>
      </x:c>
      <x:c r="Y344" s="165" t="str">
        <x:v>樽サイズについて関連要因を主因とみなす; 樽サイズについて関連要因を主因とみなす; 樽サイズについて関連要因を主因とみなす</x:v>
      </x:c>
      <x:c r="Z344" s="171" t="str">
        <x:v>N</x:v>
      </x:c>
      <x:c r="AA344" s="165"/>
      <x:c r="AB344" s="165" t="str">
        <x:v>オリジナル</x:v>
      </x:c>
      <x:c r="AC344" s="165" t="str">
        <x:v>公式Specificationの範囲＋ユーザー作成コーパスの論点を参考に独自作成</x:v>
      </x:c>
      <x:c r="AD344" s="171" t="str">
        <x:v>改稿済み・専門家未承認</x:v>
      </x:c>
      <x:c r="AE344" s="171" t="str">
        <x:v>AI誤答レビュー</x:v>
      </x:c>
      <x:c r="AF344" s="171" t="str">
        <x:v>2026-07-12</x:v>
      </x:c>
      <x:c r="AG344" s="312" t="str">
        <x:v>第5バッチ：使用可能な誤答を維持し、弱い誤答を因果逆転・隣接概念へ置換。正答位置は維持。</x:v>
      </x:c>
    </x:row>
    <x:row r="345" ht="84" customHeight="1">
      <x:c r="A345" s="311" t="str">
        <x:v>LO1-104</x:v>
      </x:c>
      <x:c r="B345" s="171" t="str">
        <x:v>LO1</x:v>
      </x:c>
      <x:c r="C345" s="165" t="str">
        <x:v>ブドウ畑・ワイナリーの自然要因と人的要因</x:v>
      </x:c>
      <x:c r="D345" s="165" t="str">
        <x:v>新樽比率</x:v>
      </x:c>
      <x:c r="E345" s="165" t="str">
        <x:v>熟成に用いる新樽の比率を高めた場合に起こりやすい変化はどれか。</x:v>
      </x:c>
      <x:c r="F345" s="165" t="str">
        <x:v>ワインが無色透明になる</x:v>
      </x:c>
      <x:c r="G345" s="165" t="str">
        <x:v>ワインの酸がゼロになる</x:v>
      </x:c>
      <x:c r="H345" s="165" t="str">
        <x:v>果実の糖度が発酵前の値へ戻る</x:v>
      </x:c>
      <x:c r="I345" s="165" t="str">
        <x:v>ヴァニラ、トースト、木質香とオーク由来タンニンの影響が強くなる</x:v>
      </x:c>
      <x:c r="J345" s="171" t="str">
        <x:v>D</x:v>
      </x:c>
      <x:c r="K345" s="165" t="str">
        <x:v>ヴァニラ、トースト、木質香とオーク由来タンニンの影響が強くなる</x:v>
      </x:c>
      <x:c r="L345" s="165" t="str">
        <x:v>正しい。新しい木材は抽出可能な香味成分とタンニンを多く含み、使用済み樽よりワインへの影響が強い。</x:v>
      </x:c>
      <x:c r="M345" s="165" t="str">
        <x:v>誤り。樽熟成で色が変化しても、赤ワインが必ず無色にならない。</x:v>
      </x:c>
      <x:c r="N345" s="165" t="str">
        <x:v>誤り。新樽は酸を完全に除去しない。</x:v>
      </x:c>
      <x:c r="O345" s="165" t="str">
        <x:v>誤り。樽熟成は発酵済みワインの糖度を元へ戻さない。</x:v>
      </x:c>
      <x:c r="P345" s="165" t="str">
        <x:v>正しい。新しい木材は抽出可能な香味成分とタンニンを多く含み、使用済み樽よりワインへの影響が強い。</x:v>
      </x:c>
      <x:c r="Q345" s="165" t="str">
        <x:v>醸造</x:v>
      </x:c>
      <x:c r="R345" s="165" t="str">
        <x:v>オーク熟成</x:v>
      </x:c>
      <x:c r="S345" s="165" t="str">
        <x:v>全般</x:v>
      </x:c>
      <x:c r="T345" s="165"/>
      <x:c r="U345" s="165"/>
      <x:c r="V345" s="165"/>
      <x:c r="W345" s="165" t="str">
        <x:v>因果説明</x:v>
      </x:c>
      <x:c r="X345" s="171" t="str">
        <x:v>D1</x:v>
      </x:c>
      <x:c r="Y345" s="165" t="str">
        <x:v>新樽比率について関連要因を主因とみなす; 新樽比率について関連要因を主因とみなす; 新樽比率について関連要因を主因とみなす</x:v>
      </x:c>
      <x:c r="Z345" s="171" t="str">
        <x:v>N</x:v>
      </x:c>
      <x:c r="AA345" s="165"/>
      <x:c r="AB345" s="165" t="str">
        <x:v>オリジナル</x:v>
      </x:c>
      <x:c r="AC345" s="165" t="str">
        <x:v>公式Specificationの範囲＋ユーザー作成コーパスの論点を参考に独自作成</x:v>
      </x:c>
      <x:c r="AD345" s="171" t="str">
        <x:v>改稿済み・専門家未承認</x:v>
      </x:c>
      <x:c r="AE345" s="171" t="str">
        <x:v>AI誤答レビュー</x:v>
      </x:c>
      <x:c r="AF345" s="171" t="str">
        <x:v>2026-07-12</x:v>
      </x:c>
      <x:c r="AG345" s="312" t="str">
        <x:v>第5バッチ：使用可能な誤答を維持し、弱い誤答を因果逆転・隣接概念へ置換。正答位置は維持。</x:v>
      </x:c>
    </x:row>
    <x:row r="346" ht="84" customHeight="1">
      <x:c r="A346" s="311" t="str">
        <x:v>LO1-105</x:v>
      </x:c>
      <x:c r="B346" s="171" t="str">
        <x:v>LO1</x:v>
      </x:c>
      <x:c r="C346" s="165" t="str">
        <x:v>ブドウ畑・ワイナリーの自然要因と人的要因</x:v>
      </x:c>
      <x:c r="D346" s="165" t="str">
        <x:v>樽のトースト度</x:v>
      </x:c>
      <x:c r="E346" s="165" t="str">
        <x:v>強くトーストしたオーク樽がワインへ与えやすい香りはどれか。</x:v>
      </x:c>
      <x:c r="F346" s="165" t="str">
        <x:v>煙、焦げ、コーヒーを思わせる香り</x:v>
      </x:c>
      <x:c r="G346" s="165" t="str">
        <x:v>未熟な青ピーマンの香りだけ</x:v>
      </x:c>
      <x:c r="H346" s="165" t="str">
        <x:v>新鮮なライム果汁の香りだけ</x:v>
      </x:c>
      <x:c r="I346" s="165" t="str">
        <x:v>海水の塩味を直接加える</x:v>
      </x:c>
      <x:c r="J346" s="171" t="str">
        <x:v>A</x:v>
      </x:c>
      <x:c r="K346" s="165" t="str">
        <x:v>煙、焦げ、コーヒーを思わせる香り</x:v>
      </x:c>
      <x:c r="L346" s="165" t="str">
        <x:v>正しい。高いトースト度は木材の熱分解を進め、スモーキー、焦げ、コーヒー様の香りを生みやすい。</x:v>
      </x:c>
      <x:c r="M346" s="165" t="str">
        <x:v>正しい。高いトースト度は木材の熱分解を進め、スモーキー、焦げ、コーヒー様の香りを生みやすい。</x:v>
      </x:c>
      <x:c r="N346" s="165" t="str">
        <x:v>誤り。青ピーマン香は主にメトキシピラジンに関係し、樽トーストの典型ではない。</x:v>
      </x:c>
      <x:c r="O346" s="165" t="str">
        <x:v>誤り。柑橘香は主にブドウや発酵由来で、強いトーストの主な特徴ではない。</x:v>
      </x:c>
      <x:c r="P346" s="165" t="str">
        <x:v>誤り。樽のトーストは塩分を加える工程ではない。</x:v>
      </x:c>
      <x:c r="Q346" s="165" t="str">
        <x:v>醸造</x:v>
      </x:c>
      <x:c r="R346" s="165" t="str">
        <x:v>オーク熟成</x:v>
      </x:c>
      <x:c r="S346" s="165" t="str">
        <x:v>全般</x:v>
      </x:c>
      <x:c r="T346" s="165"/>
      <x:c r="U346" s="165"/>
      <x:c r="V346" s="165"/>
      <x:c r="W346" s="165" t="str">
        <x:v>知識確認</x:v>
      </x:c>
      <x:c r="X346" s="171" t="str">
        <x:v>D1</x:v>
      </x:c>
      <x:c r="Y346" s="165" t="str">
        <x:v>樽のトースト度に関する別の特徴・要因と混同; 樽のトースト度に関する別の特徴・要因と混同; 樽のトースト度に関する別の特徴・要因と混同</x:v>
      </x:c>
      <x:c r="Z346" s="171" t="str">
        <x:v>N</x:v>
      </x:c>
      <x:c r="AA346" s="165"/>
      <x:c r="AB346" s="165" t="str">
        <x:v>オリジナル</x:v>
      </x:c>
      <x:c r="AC346" s="165" t="str">
        <x:v>公式Specificationの範囲＋ユーザー作成コーパスの論点を参考に独自作成</x:v>
      </x:c>
      <x:c r="AD346" s="171" t="str">
        <x:v>改稿済み・専門家未承認</x:v>
      </x:c>
      <x:c r="AE346" s="171" t="str">
        <x:v>AI誤答レビュー</x:v>
      </x:c>
      <x:c r="AF346" s="171" t="str">
        <x:v>2026-07-12</x:v>
      </x:c>
      <x:c r="AG346" s="312" t="str">
        <x:v>最終バッチ：有効な誤答を維持し、絶対語・物理的不可能な誤答のみ置換。正答位置は維持。</x:v>
      </x:c>
    </x:row>
    <x:row r="347" ht="84" customHeight="1">
      <x:c r="A347" s="311" t="str">
        <x:v>LO1-106</x:v>
      </x:c>
      <x:c r="B347" s="171" t="str">
        <x:v>LO1</x:v>
      </x:c>
      <x:c r="C347" s="165" t="str">
        <x:v>ブドウ畑・ワイナリーの自然要因と人的要因</x:v>
      </x:c>
      <x:c r="D347" s="165" t="str">
        <x:v>樽熟成と酸素</x:v>
      </x:c>
      <x:c r="E347" s="165" t="str">
        <x:v>オーク樽を通じた少量の酸素接触が、若い赤ワインへ与えやすい効果はどれか。</x:v>
      </x:c>
      <x:c r="F347" s="165" t="str">
        <x:v>一次果実香を保護し、タンニンと色素の結合を抑える</x:v>
      </x:c>
      <x:c r="G347" s="165" t="str">
        <x:v>タンニンの重合と色素の安定化を促し、口当たりを穏やかにする</x:v>
      </x:c>
      <x:c r="H347" s="165" t="str">
        <x:v>重合したタンニンをより小さな分子へ分解し、収れん性を強める</x:v>
      </x:c>
      <x:c r="I347" s="165" t="str">
        <x:v>ワインの総酸を増やすことで色を安定させ、タンニンを柔らかくする</x:v>
      </x:c>
      <x:c r="J347" s="171" t="str">
        <x:v>B</x:v>
      </x:c>
      <x:c r="K347" s="165" t="str">
        <x:v>タンニンの重合と色素の安定化を促し、口当たりを穏やかにする</x:v>
      </x:c>
      <x:c r="L347" s="165" t="str">
        <x:v>正しい。穏やかな酸素接触は色素とタンニンの結合を助け、若い収れん性を和らげる。</x:v>
      </x:c>
      <x:c r="M347" s="165" t="str">
        <x:v>誤り。酸素は果実香を徐々に変化させ、タンニンと色素の反応を促す。</x:v>
      </x:c>
      <x:c r="N347" s="165" t="str">
        <x:v>正しい。穏やかな酸素接触は色素とタンニンの結合を助け、若い収れん性を和らげる。</x:v>
      </x:c>
      <x:c r="O347" s="165" t="str">
        <x:v>誤り。熟成では一般に小分子へ分解して粗くするのではなく、重合と沈殿が進む。</x:v>
      </x:c>
      <x:c r="P347" s="165" t="str">
        <x:v>誤り。酸素接触がワインの総酸を増やすことが主要な軟化機構ではない。</x:v>
      </x:c>
      <x:c r="Q347" s="165" t="str">
        <x:v>醸造</x:v>
      </x:c>
      <x:c r="R347" s="165" t="str">
        <x:v>酸素と熟成</x:v>
      </x:c>
      <x:c r="S347" s="165" t="str">
        <x:v>赤ワイン</x:v>
      </x:c>
      <x:c r="T347" s="165"/>
      <x:c r="U347" s="165"/>
      <x:c r="V347" s="165"/>
      <x:c r="W347" s="165" t="str">
        <x:v>因果説明</x:v>
      </x:c>
      <x:c r="X347" s="171" t="str">
        <x:v>D3</x:v>
      </x:c>
      <x:c r="Y347" s="165" t="str">
        <x:v>微量酸素は一次香だけを保護し重合を抑える; 熟成でタンニンが小分子化し粗くなる; 酸素が総酸を増やしてタンニンを軟化する</x:v>
      </x:c>
      <x:c r="Z347" s="171" t="str">
        <x:v>N</x:v>
      </x:c>
      <x:c r="AA347" s="165"/>
      <x:c r="AB347" s="165" t="str">
        <x:v>オリジナル</x:v>
      </x:c>
      <x:c r="AC347" s="165" t="str">
        <x:v>公式Specificationの範囲＋ユーザー作成コーパスの論点を参考に独自作成</x:v>
      </x:c>
      <x:c r="AD347" s="171" t="str">
        <x:v>改稿済み・専門家未承認</x:v>
      </x:c>
      <x:c r="AE347" s="171" t="str">
        <x:v>AI誤答レビュー</x:v>
      </x:c>
      <x:c r="AF347" s="171" t="str">
        <x:v>2026-07-12</x:v>
      </x:c>
      <x:c r="AG347" s="312" t="str">
        <x:v>第2バッチ：誤答を同一論点内の典型的誤概念へ置換。正答位置は維持。</x:v>
      </x:c>
    </x:row>
    <x:row r="348" ht="84" customHeight="1">
      <x:c r="A348" s="311" t="str">
        <x:v>LO1-107</x:v>
      </x:c>
      <x:c r="B348" s="171" t="str">
        <x:v>LO1</x:v>
      </x:c>
      <x:c r="C348" s="165" t="str">
        <x:v>ブドウ畑・ワイナリーの自然要因と人的要因</x:v>
      </x:c>
      <x:c r="D348" s="165" t="str">
        <x:v>コンクリート槽</x:v>
      </x:c>
      <x:c r="E348" s="165" t="str">
        <x:v>コンクリート槽をワインの発酵・熟成に用いる特徴として、最も適切なものはどれか。</x:v>
      </x:c>
      <x:c r="F348" s="165" t="str">
        <x:v>新しいオーク樽に近いヴァニラ香を与えるが、酸素はほとんど通さない</x:v>
      </x:c>
      <x:c r="G348" s="165" t="str">
        <x:v>ステンレスより温度変化が速く、発酵温度を精密に下げやすい</x:v>
      </x:c>
      <x:c r="H348" s="165" t="str">
        <x:v>温度が比較的安定し、オーク香を付けずに微量の酸素接触を得られる場合がある</x:v>
      </x:c>
      <x:c r="I348" s="165" t="str">
        <x:v>内面をどのように処理しても酸素透過性と香味への影響は同じである</x:v>
      </x:c>
      <x:c r="J348" s="171" t="str">
        <x:v>C</x:v>
      </x:c>
      <x:c r="K348" s="165" t="str">
        <x:v>温度が比較的安定し、オーク香を付けずに微量の酸素接触を得られる場合がある</x:v>
      </x:c>
      <x:c r="L348" s="165" t="str">
        <x:v>正しい。熱容量が大きく、無釉や処理方法によっては穏やかな酸素交換が起こる。</x:v>
      </x:c>
      <x:c r="M348" s="165" t="str">
        <x:v>誤り。コンクリートは木材由来のヴァニラ香を付与しない。</x:v>
      </x:c>
      <x:c r="N348" s="165" t="str">
        <x:v>誤り。熱慣性が大きく温度変化は緩やかだが、急速で精密な冷却には設備が必要である。</x:v>
      </x:c>
      <x:c r="O348" s="165" t="str">
        <x:v>正しい。熱容量が大きく、無釉や処理方法によっては穏やかな酸素交換が起こる。</x:v>
      </x:c>
      <x:c r="P348" s="165" t="str">
        <x:v>誤り。内面のコーティングや容器構造によって、酸素交換と衛生管理の性質は変わる。</x:v>
      </x:c>
      <x:c r="Q348" s="165" t="str">
        <x:v>醸造</x:v>
      </x:c>
      <x:c r="R348" s="165" t="str">
        <x:v>発酵・熟成容器</x:v>
      </x:c>
      <x:c r="S348" s="165" t="str">
        <x:v>全般</x:v>
      </x:c>
      <x:c r="T348" s="165"/>
      <x:c r="U348" s="165"/>
      <x:c r="V348" s="165"/>
      <x:c r="W348" s="165" t="str">
        <x:v>比較</x:v>
      </x:c>
      <x:c r="X348" s="171" t="str">
        <x:v>D2</x:v>
      </x:c>
      <x:c r="Y348" s="165" t="str">
        <x:v>コンクリートは新樽香を与える; コンクリートはステンレスより急速温調に優れる; 内面処理はコンクリート槽の性質へ影響しない</x:v>
      </x:c>
      <x:c r="Z348" s="171" t="str">
        <x:v>N</x:v>
      </x:c>
      <x:c r="AA348" s="165"/>
      <x:c r="AB348" s="165" t="str">
        <x:v>オリジナル</x:v>
      </x:c>
      <x:c r="AC348" s="165" t="str">
        <x:v>公式Specificationの範囲＋ユーザー作成コーパスの論点を参考に独自作成</x:v>
      </x:c>
      <x:c r="AD348" s="171" t="str">
        <x:v>改稿済み・専門家未承認</x:v>
      </x:c>
      <x:c r="AE348" s="171" t="str">
        <x:v>AI誤答レビュー</x:v>
      </x:c>
      <x:c r="AF348" s="171" t="str">
        <x:v>2026-07-12</x:v>
      </x:c>
      <x:c r="AG348" s="312" t="str">
        <x:v>第2バッチ：誤答を同一論点内の典型的誤概念へ置換。正答位置は維持。</x:v>
      </x:c>
    </x:row>
    <x:row r="349" ht="84" customHeight="1">
      <x:c r="A349" s="311" t="str">
        <x:v>LO1-108</x:v>
      </x:c>
      <x:c r="B349" s="171" t="str">
        <x:v>LO1</x:v>
      </x:c>
      <x:c r="C349" s="165" t="str">
        <x:v>ブドウ畑・ワイナリーの自然要因と人的要因</x:v>
      </x:c>
      <x:c r="D349" s="165" t="str">
        <x:v>アンフォラ</x:v>
      </x:c>
      <x:c r="E349" s="165" t="str">
        <x:v>アンフォラなどの陶器製容器を用いる場合の特徴として、最も適切なものはどれか。</x:v>
      </x:c>
      <x:c r="F349" s="165" t="str">
        <x:v>新しいオーク樽に似たバニラとトースト香を与える</x:v>
      </x:c>
      <x:c r="G349" s="165" t="str">
        <x:v>釉薬の有無にかかわらず、酸素透過性はステンレスと同じである</x:v>
      </x:c>
      <x:c r="H349" s="165" t="str">
        <x:v>容器の形状だけで果皮からのタンニン抽出が決まる</x:v>
      </x:c>
      <x:c r="I349" s="165" t="str">
        <x:v>オーク香を付けず、素材や密封方法により穏やかな酸素接触を得られる</x:v>
      </x:c>
      <x:c r="J349" s="171" t="str">
        <x:v>D</x:v>
      </x:c>
      <x:c r="K349" s="165" t="str">
        <x:v>オーク香を付けず、素材や密封方法により穏やかな酸素接触を得られる</x:v>
      </x:c>
      <x:c r="L349" s="165" t="str">
        <x:v>正しい。中立的な香味を保ちながら、仕様に応じた酸素交換を得られる。</x:v>
      </x:c>
      <x:c r="M349" s="165" t="str">
        <x:v>誤り。陶器は木材由来の香りを付与しない。</x:v>
      </x:c>
      <x:c r="N349" s="165" t="str">
        <x:v>誤り。無釉、釉薬、蜜蝋などの処理で酸素交換は変わり、ステンレスと一律ではない。</x:v>
      </x:c>
      <x:c r="O349" s="165" t="str">
        <x:v>誤り。形状は対流へ影響するが、タンニン抽出は果皮接触時間・温度等にも依存する。</x:v>
      </x:c>
      <x:c r="P349" s="165" t="str">
        <x:v>正しい。中立的な香味を保ちながら、仕様に応じた酸素交換を得られる。</x:v>
      </x:c>
      <x:c r="Q349" s="165" t="str">
        <x:v>醸造</x:v>
      </x:c>
      <x:c r="R349" s="165" t="str">
        <x:v>発酵・熟成容器</x:v>
      </x:c>
      <x:c r="S349" s="165" t="str">
        <x:v>全般</x:v>
      </x:c>
      <x:c r="T349" s="165"/>
      <x:c r="U349" s="165"/>
      <x:c r="V349" s="165"/>
      <x:c r="W349" s="165" t="str">
        <x:v>比較</x:v>
      </x:c>
      <x:c r="X349" s="171" t="str">
        <x:v>D2</x:v>
      </x:c>
      <x:c r="Y349" s="165" t="str">
        <x:v>アンフォラは新樽香を与える; 陶器は処理にかかわらずステンレス同等; 容器形状だけでタンニン抽出が決まる</x:v>
      </x:c>
      <x:c r="Z349" s="171" t="str">
        <x:v>N</x:v>
      </x:c>
      <x:c r="AA349" s="165"/>
      <x:c r="AB349" s="165" t="str">
        <x:v>オリジナル</x:v>
      </x:c>
      <x:c r="AC349" s="165" t="str">
        <x:v>公式Specificationの範囲＋ユーザー作成コーパスの論点を参考に独自作成</x:v>
      </x:c>
      <x:c r="AD349" s="171" t="str">
        <x:v>改稿済み・専門家未承認</x:v>
      </x:c>
      <x:c r="AE349" s="171" t="str">
        <x:v>AI誤答レビュー</x:v>
      </x:c>
      <x:c r="AF349" s="171" t="str">
        <x:v>2026-07-12</x:v>
      </x:c>
      <x:c r="AG349" s="312" t="str">
        <x:v>第3バッチ：同一論点内の典型的誤概念へ置換。正答位置は維持。</x:v>
      </x:c>
    </x:row>
    <x:row r="350" ht="84" customHeight="1">
      <x:c r="A350" s="311" t="str">
        <x:v>LO1-109</x:v>
      </x:c>
      <x:c r="B350" s="171" t="str">
        <x:v>LO1</x:v>
      </x:c>
      <x:c r="C350" s="165" t="str">
        <x:v>ブドウ畑・ワイナリーの自然要因と人的要因</x:v>
      </x:c>
      <x:c r="D350" s="165" t="str">
        <x:v>マイクロオキシジェネーション</x:v>
      </x:c>
      <x:c r="E350" s="165" t="str">
        <x:v>マイクロオキシジェネーションの主な目的はどれか。</x:v>
      </x:c>
      <x:c r="F350" s="165" t="str">
        <x:v>管理した少量の酸素を加え、色の安定とタンニンの軟化を促す</x:v>
      </x:c>
      <x:c r="G350" s="165" t="str">
        <x:v>ワインを急速に酢へ変える</x:v>
      </x:c>
      <x:c r="H350" s="165" t="str">
        <x:v>瓶内の圧力を発泡性ワインの水準へ上げる</x:v>
      </x:c>
      <x:c r="I350" s="165" t="str">
        <x:v>残糖を甘味として増やす</x:v>
      </x:c>
      <x:c r="J350" s="171" t="str">
        <x:v>A</x:v>
      </x:c>
      <x:c r="K350" s="165" t="str">
        <x:v>管理した少量の酸素を加え、色の安定とタンニンの軟化を促す</x:v>
      </x:c>
      <x:c r="L350" s="165" t="str">
        <x:v>正しい。樽熟成に似た緩やかな酸素効果をタンク内で再現し、若い赤ワインの構造を整えるために用いられる。</x:v>
      </x:c>
      <x:c r="M350" s="165" t="str">
        <x:v>正しい。樽熟成に似た緩やかな酸素効果をタンク内で再現し、若い赤ワインの構造を整えるために用いられる。</x:v>
      </x:c>
      <x:c r="N350" s="165" t="str">
        <x:v>誤り。過剰酸素は酢酸菌リスクを高めるが、目的は極少量を制御して加えることにある。</x:v>
      </x:c>
      <x:c r="O350" s="165" t="str">
        <x:v>誤り。酸素添加で炭酸ガス圧は上がらない。</x:v>
      </x:c>
      <x:c r="P350" s="165" t="str">
        <x:v>誤り。酸素添加で糖が増えることはない。</x:v>
      </x:c>
      <x:c r="Q350" s="165" t="str">
        <x:v>醸造</x:v>
      </x:c>
      <x:c r="R350" s="165" t="str">
        <x:v>酸素管理</x:v>
      </x:c>
      <x:c r="S350" s="165" t="str">
        <x:v>赤ワイン</x:v>
      </x:c>
      <x:c r="T350" s="165"/>
      <x:c r="U350" s="165"/>
      <x:c r="V350" s="165"/>
      <x:c r="W350" s="165" t="str">
        <x:v>因果説明</x:v>
      </x:c>
      <x:c r="X350" s="171" t="str">
        <x:v>D3</x:v>
      </x:c>
      <x:c r="Y350" s="165" t="str">
        <x:v>マイクロオキシジェネーションに関する別の特徴・要因と混同; マイクロオキシジェネーションに関する別の特徴・要因と混同; マイクロオキシジェネーションに関する別の特徴・要因と混同</x:v>
      </x:c>
      <x:c r="Z350" s="171" t="str">
        <x:v>N</x:v>
      </x:c>
      <x:c r="AA350" s="165"/>
      <x:c r="AB350" s="165" t="str">
        <x:v>オリジナル</x:v>
      </x:c>
      <x:c r="AC350" s="165" t="str">
        <x:v>公式Specificationの範囲＋ユーザー作成コーパスの論点を参考に独自作成</x:v>
      </x:c>
      <x:c r="AD350" s="171" t="str">
        <x:v>改稿済み・専門家未承認</x:v>
      </x:c>
      <x:c r="AE350" s="171" t="str">
        <x:v>AI誤答レビュー</x:v>
      </x:c>
      <x:c r="AF350" s="171" t="str">
        <x:v>2026-07-12</x:v>
      </x:c>
      <x:c r="AG350" s="312" t="str">
        <x:v>最終バッチ：有効な誤答を維持し、絶対語・物理的不可能な誤答のみ置換。正答位置は維持。</x:v>
      </x:c>
    </x:row>
    <x:row r="351" ht="84" customHeight="1">
      <x:c r="A351" s="311" t="str">
        <x:v>LO1-110</x:v>
      </x:c>
      <x:c r="B351" s="171" t="str">
        <x:v>LO1</x:v>
      </x:c>
      <x:c r="C351" s="165" t="str">
        <x:v>ブドウ畑・ワイナリーの自然要因と人的要因</x:v>
      </x:c>
      <x:c r="D351" s="165" t="str">
        <x:v>不活性ガスの利用</x:v>
      </x:c>
      <x:c r="E351" s="165" t="str">
        <x:v>ワイン貯蔵タンクの空隙へ窒素や二酸化炭素を入れる主な目的はどれか。</x:v>
      </x:c>
      <x:c r="F351" s="165" t="str">
        <x:v>管理した少量の酸素を加え、色の安定とタンニンの軟化を促す</x:v>
      </x:c>
      <x:c r="G351" s="165" t="str">
        <x:v>タンク内の酸素を置換し、酸化と好気性微生物の活動を抑える</x:v>
      </x:c>
      <x:c r="H351" s="165" t="str">
        <x:v>窒素や二酸化炭素を酵母の栄養源として供給し、発酵を再開する</x:v>
      </x:c>
      <x:c r="I351" s="165" t="str">
        <x:v>タンク内圧を上げ、非発泡性ワインへ持続的な泡を付ける</x:v>
      </x:c>
      <x:c r="J351" s="171" t="str">
        <x:v>B</x:v>
      </x:c>
      <x:c r="K351" s="165" t="str">
        <x:v>タンク内の酸素を置換し、酸化と好気性微生物の活動を抑える</x:v>
      </x:c>
      <x:c r="L351" s="165" t="str">
        <x:v>正しい。窒素や二酸化炭素で空隙を覆い、ワインと酸素の接触を減らす。</x:v>
      </x:c>
      <x:c r="M351" s="165" t="str">
        <x:v>誤り。これは同じ知識領域の「マイクロオキシジェネーション」に当てはまる説明で、設問の「不活性ガスの利用」を最も適切に説明しない。</x:v>
      </x:c>
      <x:c r="N351" s="165" t="str">
        <x:v>正しい。窒素や二酸化炭素で空隙を覆い、ワインと酸素の接触を減らす。</x:v>
      </x:c>
      <x:c r="O351" s="165" t="str">
        <x:v>誤り。不活性ガスは酵母栄養ではない。</x:v>
      </x:c>
      <x:c r="P351" s="165" t="str">
        <x:v>誤り。貯蔵時のヘッドスペース置換が目的で、発泡化ではない。</x:v>
      </x:c>
      <x:c r="Q351" s="165" t="str">
        <x:v>醸造</x:v>
      </x:c>
      <x:c r="R351" s="165" t="str">
        <x:v>酸素管理</x:v>
      </x:c>
      <x:c r="S351" s="165" t="str">
        <x:v>全般</x:v>
      </x:c>
      <x:c r="T351" s="165"/>
      <x:c r="U351" s="165"/>
      <x:c r="V351" s="165"/>
      <x:c r="W351" s="165" t="str">
        <x:v>知識確認</x:v>
      </x:c>
      <x:c r="X351" s="171" t="str">
        <x:v>D1</x:v>
      </x:c>
      <x:c r="Y351" s="165" t="str">
        <x:v>不活性ガスの利用をマイクロオキシジェネーションの特徴と混同; 不活性ガスで発酵再開; ヘッドスペースガスで発泡化</x:v>
      </x:c>
      <x:c r="Z351" s="171" t="str">
        <x:v>N</x:v>
      </x:c>
      <x:c r="AA351" s="165"/>
      <x:c r="AB351" s="165" t="str">
        <x:v>オリジナル</x:v>
      </x:c>
      <x:c r="AC351" s="165" t="str">
        <x:v>公式Specificationの範囲＋ユーザー作成コーパスの論点を参考に独自作成</x:v>
      </x:c>
      <x:c r="AD351" s="171" t="str">
        <x:v>改稿済み・専門家未承認</x:v>
      </x:c>
      <x:c r="AE351" s="171" t="str">
        <x:v>AI誤答レビュー</x:v>
      </x:c>
      <x:c r="AF351" s="171" t="str">
        <x:v>2026-07-12</x:v>
      </x:c>
      <x:c r="AG351" s="312" t="str">
        <x:v>第4バッチ：同一論点内の典型的誤概念へ置換。正答位置は維持。</x:v>
      </x:c>
    </x:row>
    <x:row r="352" ht="84" customHeight="1">
      <x:c r="A352" s="311" t="str">
        <x:v>LO1-111</x:v>
      </x:c>
      <x:c r="B352" s="171" t="str">
        <x:v>LO1</x:v>
      </x:c>
      <x:c r="C352" s="165" t="str">
        <x:v>ブドウ畑・ワイナリーの自然要因と人的要因</x:v>
      </x:c>
      <x:c r="D352" s="165" t="str">
        <x:v>滅菌濾過</x:v>
      </x:c>
      <x:c r="E352" s="165" t="str">
        <x:v>瓶内での再発酵を防ぐため、残糖を含むワインに滅菌濾過を行う主な目的はどれか。</x:v>
      </x:c>
      <x:c r="F352" s="165" t="str">
        <x:v>ワインを意図的に酸化させる</x:v>
      </x:c>
      <x:c r="G352" s="165" t="str">
        <x:v>残糖を結晶化して取り除く</x:v>
      </x:c>
      <x:c r="H352" s="165" t="str">
        <x:v>酵母や細菌を物理的に除去して、瓶内での微生物活動を防ぐ</x:v>
      </x:c>
      <x:c r="I352" s="165" t="str">
        <x:v>アルコールを多く蒸発させる</x:v>
      </x:c>
      <x:c r="J352" s="171" t="str">
        <x:v>C</x:v>
      </x:c>
      <x:c r="K352" s="165" t="str">
        <x:v>酵母や細菌を物理的に除去して、瓶内での微生物活動を防ぐ</x:v>
      </x:c>
      <x:c r="L352" s="165" t="str">
        <x:v>正しい。十分に細かい膜で微生物を除くことで、残糖があっても再発酵や腐敗のリスクを下げられる。</x:v>
      </x:c>
      <x:c r="M352" s="165" t="str">
        <x:v>誤り。目的は微生物安定性であり、酸化促進ではない。</x:v>
      </x:c>
      <x:c r="N352" s="165" t="str">
        <x:v>誤り。滅菌濾過は微生物を除去し、溶解糖を除くものではない。</x:v>
      </x:c>
      <x:c r="O352" s="165" t="str">
        <x:v>正しい。十分に細かい膜で微生物を除くことで、残糖があっても再発酵や腐敗のリスクを下げられる。</x:v>
      </x:c>
      <x:c r="P352" s="165" t="str">
        <x:v>誤り。膜濾過でアルコールは除去されない。</x:v>
      </x:c>
      <x:c r="Q352" s="165" t="str">
        <x:v>醸造</x:v>
      </x:c>
      <x:c r="R352" s="165" t="str">
        <x:v>濾過・安定化</x:v>
      </x:c>
      <x:c r="S352" s="165" t="str">
        <x:v>甘口ワイン</x:v>
      </x:c>
      <x:c r="T352" s="165"/>
      <x:c r="U352" s="165"/>
      <x:c r="V352" s="165"/>
      <x:c r="W352" s="165" t="str">
        <x:v>因果説明</x:v>
      </x:c>
      <x:c r="X352" s="171" t="str">
        <x:v>D2</x:v>
      </x:c>
      <x:c r="Y352" s="165" t="str">
        <x:v>滅菌濾過について関連要因を主因とみなす; 滅菌濾過について関連要因を主因とみなす; 滅菌濾過について関連要因を主因とみなす</x:v>
      </x:c>
      <x:c r="Z352" s="171" t="str">
        <x:v>N</x:v>
      </x:c>
      <x:c r="AA352" s="165"/>
      <x:c r="AB352" s="165" t="str">
        <x:v>オリジナル</x:v>
      </x:c>
      <x:c r="AC352" s="165" t="str">
        <x:v>公式Specificationの範囲＋ユーザー作成コーパスの論点を参考に独自作成</x:v>
      </x:c>
      <x:c r="AD352" s="171" t="str">
        <x:v>改稿済み・専門家未承認</x:v>
      </x:c>
      <x:c r="AE352" s="171" t="str">
        <x:v>AI誤答レビュー</x:v>
      </x:c>
      <x:c r="AF352" s="171" t="str">
        <x:v>2026-07-12</x:v>
      </x:c>
      <x:c r="AG352" s="312" t="str">
        <x:v>第5バッチ：使用可能な誤答を維持し、弱い誤答を因果逆転・隣接概念へ置換。正答位置は維持。</x:v>
      </x:c>
    </x:row>
    <x:row r="353" ht="84" customHeight="1">
      <x:c r="A353" s="311" t="str">
        <x:v>LO1-112</x:v>
      </x:c>
      <x:c r="B353" s="171" t="str">
        <x:v>LO1</x:v>
      </x:c>
      <x:c r="C353" s="165" t="str">
        <x:v>ブドウ畑・ワイナリーの自然要因と人的要因</x:v>
      </x:c>
      <x:c r="D353" s="165" t="str">
        <x:v>清澄剤の選択</x:v>
      </x:c>
      <x:c r="E353" s="165" t="str">
        <x:v>清澄剤を選ぶ際に最も重要な考え方はどれか。</x:v>
      </x:c>
      <x:c r="F353" s="165" t="str">
        <x:v>除きたい成分と、ワインから失いたくない香味成分の両方を考慮する</x:v>
      </x:c>
      <x:c r="G353" s="165" t="str">
        <x:v>最も強い清澄剤を最大量使えば、どのワインでも品質が高まる</x:v>
      </x:c>
      <x:c r="H353" s="165" t="str">
        <x:v>赤白を問わず同じ清澄剤を同じ量で使い、再現性を優先する</x:v>
      </x:c>
      <x:c r="I353" s="165" t="str">
        <x:v>除去したい成分に応じて、電荷や結合特性の合う清澄剤を選ぶ</x:v>
      </x:c>
      <x:c r="J353" s="171" t="str">
        <x:v>D</x:v>
      </x:c>
      <x:c r="K353" s="165" t="str">
        <x:v>除去したい成分に応じて、電荷や結合特性の合う清澄剤を選ぶ</x:v>
      </x:c>
      <x:c r="L353" s="165" t="str">
        <x:v>正しい。タンパク質、タンニン、褐色物質など対象が異なるため、目的に合わない清澄剤では効果が弱いか過剰処理となる。</x:v>
      </x:c>
      <x:c r="M353" s="165" t="str">
        <x:v>誤り。正しい考え方である。</x:v>
      </x:c>
      <x:c r="N353" s="165" t="str">
        <x:v>誤り。過剰清澄は香り、色、質感まで除く可能性がある。</x:v>
      </x:c>
      <x:c r="O353" s="165" t="str">
        <x:v>誤り。ワインの成分と目的に応じて剤と量を選ぶ。</x:v>
      </x:c>
      <x:c r="P353" s="165" t="str">
        <x:v>正しい。タンパク質、タンニン、褐色物質など対象が異なるため、目的に合わない清澄剤では効果が弱いか過剰処理となる。</x:v>
      </x:c>
      <x:c r="Q353" s="165" t="str">
        <x:v>醸造</x:v>
      </x:c>
      <x:c r="R353" s="165" t="str">
        <x:v>清澄</x:v>
      </x:c>
      <x:c r="S353" s="165" t="str">
        <x:v>全般</x:v>
      </x:c>
      <x:c r="T353" s="165"/>
      <x:c r="U353" s="165"/>
      <x:c r="V353" s="165"/>
      <x:c r="W353" s="165" t="str">
        <x:v>適用</x:v>
      </x:c>
      <x:c r="X353" s="171" t="str">
        <x:v>D2</x:v>
      </x:c>
      <x:c r="Y353" s="165" t="str">
        <x:v>強い清澄剤は多いほど良い; 全ワインへ同じ清澄剤・量</x:v>
      </x:c>
      <x:c r="Z353" s="171" t="str">
        <x:v>N</x:v>
      </x:c>
      <x:c r="AA353" s="165"/>
      <x:c r="AB353" s="165" t="str">
        <x:v>オリジナル</x:v>
      </x:c>
      <x:c r="AC353" s="165" t="str">
        <x:v>公式Specificationの範囲＋ユーザー作成コーパスの論点を参考に独自作成</x:v>
      </x:c>
      <x:c r="AD353" s="171" t="str">
        <x:v>改稿済み・専門家未承認</x:v>
      </x:c>
      <x:c r="AE353" s="171" t="str">
        <x:v>AI誤答レビュー</x:v>
      </x:c>
      <x:c r="AF353" s="171" t="str">
        <x:v>2026-07-12</x:v>
      </x:c>
      <x:c r="AG353" s="312" t="str">
        <x:v>第4バッチ：同一論点内の典型的誤概念へ置換。正答位置は維持。</x:v>
      </x:c>
    </x:row>
    <x:row r="354" ht="84" customHeight="1">
      <x:c r="A354" s="311" t="str">
        <x:v>LO1-113</x:v>
      </x:c>
      <x:c r="B354" s="171" t="str">
        <x:v>LO1</x:v>
      </x:c>
      <x:c r="C354" s="165" t="str">
        <x:v>ブドウ畑・ワイナリーの自然要因と人的要因</x:v>
      </x:c>
      <x:c r="D354" s="165" t="str">
        <x:v>タンパク質安定化</x:v>
      </x:c>
      <x:c r="E354" s="165" t="str">
        <x:v>白ワインのタンパク質混濁を防ぐために一般的に用いられる処理はどれか。</x:v>
      </x:c>
      <x:c r="F354" s="165" t="str">
        <x:v>ベントナイト清澄</x:v>
      </x:c>
      <x:c r="G354" s="165" t="str">
        <x:v>補糖</x:v>
      </x:c>
      <x:c r="H354" s="165" t="str">
        <x:v>炭酸ガス注入</x:v>
      </x:c>
      <x:c r="I354" s="165" t="str">
        <x:v>長期果皮浸漬だけ</x:v>
      </x:c>
      <x:c r="J354" s="171" t="str">
        <x:v>A</x:v>
      </x:c>
      <x:c r="K354" s="165" t="str">
        <x:v>ベントナイト清澄</x:v>
      </x:c>
      <x:c r="L354" s="165" t="str">
        <x:v>正しい。ベントナイトは正に帯電した不安定タンパク質を吸着し、沈殿として除去することで熱混濁を防ぐ。</x:v>
      </x:c>
      <x:c r="M354" s="165" t="str">
        <x:v>正しい。ベントナイトは正に帯電した不安定タンパク質を吸着し、沈殿として除去することで熱混濁を防ぐ。</x:v>
      </x:c>
      <x:c r="N354" s="165" t="str">
        <x:v>誤り。補糖は発酵前の糖度を上げる工程で、タンパク質混濁を防がない。</x:v>
      </x:c>
      <x:c r="O354" s="165" t="str">
        <x:v>誤り。炭酸ガスは泡を与えるが、タンパク質を除去しない。</x:v>
      </x:c>
      <x:c r="P354" s="165" t="str">
        <x:v>誤り。果皮浸漬は抽出工程で、タンパク質安定化の標準処理ではない。</x:v>
      </x:c>
      <x:c r="Q354" s="165" t="str">
        <x:v>醸造</x:v>
      </x:c>
      <x:c r="R354" s="165" t="str">
        <x:v>安定化</x:v>
      </x:c>
      <x:c r="S354" s="165" t="str">
        <x:v>白ワイン</x:v>
      </x:c>
      <x:c r="T354" s="165"/>
      <x:c r="U354" s="165"/>
      <x:c r="V354" s="165"/>
      <x:c r="W354" s="165" t="str">
        <x:v>知識確認</x:v>
      </x:c>
      <x:c r="X354" s="171" t="str">
        <x:v>D1</x:v>
      </x:c>
      <x:c r="Y354" s="165" t="str">
        <x:v>タンパク質安定化に関する別の特徴・要因と混同; タンパク質安定化に関する別の特徴・要因と混同; タンパク質安定化に関する別の特徴・要因と混同</x:v>
      </x:c>
      <x:c r="Z354" s="171" t="str">
        <x:v>N</x:v>
      </x:c>
      <x:c r="AA354" s="165"/>
      <x:c r="AB354" s="165" t="str">
        <x:v>オリジナル</x:v>
      </x:c>
      <x:c r="AC354" s="165" t="str">
        <x:v>公式Specificationの範囲＋ユーザー作成コーパスの論点を参考に独自作成</x:v>
      </x:c>
      <x:c r="AD354" s="171" t="str">
        <x:v>改稿済み・専門家未承認</x:v>
      </x:c>
      <x:c r="AE354" s="171" t="str">
        <x:v>AI誤答レビュー</x:v>
      </x:c>
      <x:c r="AF354" s="171" t="str">
        <x:v>2026-07-12</x:v>
      </x:c>
      <x:c r="AG354" s="312" t="str">
        <x:v>最終バッチ：有効な誤答を維持し、絶対語・物理的不可能な誤答のみ置換。正答位置は維持。</x:v>
      </x:c>
    </x:row>
    <x:row r="355" ht="84" customHeight="1">
      <x:c r="A355" s="311" t="str">
        <x:v>LO1-114</x:v>
      </x:c>
      <x:c r="B355" s="171" t="str">
        <x:v>LO1</x:v>
      </x:c>
      <x:c r="C355" s="165" t="str">
        <x:v>ブドウ畑・ワイナリーの自然要因と人的要因</x:v>
      </x:c>
      <x:c r="D355" s="165" t="str">
        <x:v>微生物安定性</x:v>
      </x:c>
      <x:c r="E355" s="165" t="str">
        <x:v>瓶詰め前に微生物安定性を高める方法の組み合わせとして最も適切なものはどれか。</x:v>
      </x:c>
      <x:c r="F355" s="165" t="str">
        <x:v>多くの容器を開放し、空気へさらす</x:v>
      </x:c>
      <x:c r="G355" s="165" t="str">
        <x:v>衛生管理、適切な亜硫酸、必要に応じた滅菌濾過</x:v>
      </x:c>
      <x:c r="H355" s="165" t="str">
        <x:v>糖を追加して酵母の活動を促す</x:v>
      </x:c>
      <x:c r="I355" s="165" t="str">
        <x:v>高温の直射日光下へ長期間置く</x:v>
      </x:c>
      <x:c r="J355" s="171" t="str">
        <x:v>B</x:v>
      </x:c>
      <x:c r="K355" s="165" t="str">
        <x:v>衛生管理、適切な亜硫酸、必要に応じた滅菌濾過</x:v>
      </x:c>
      <x:c r="L355" s="165" t="str">
        <x:v>正しい。微生物の侵入を防ぎ、増殖条件を抑え、瓶詰め直前に除去する多段階の管理が有効である。</x:v>
      </x:c>
      <x:c r="M355" s="165" t="str">
        <x:v>誤り。酸素と汚染リスクが増え、微生物安定性を損なう。</x:v>
      </x:c>
      <x:c r="N355" s="165" t="str">
        <x:v>正しい。微生物の侵入を防ぎ、増殖条件を抑え、瓶詰め直前に除去する多段階の管理が有効である。</x:v>
      </x:c>
      <x:c r="O355" s="165" t="str">
        <x:v>誤り。糖の追加は再発酵リスクを高める。</x:v>
      </x:c>
      <x:c r="P355" s="165" t="str">
        <x:v>誤り。熱と光はワインを劣化させ、安定化方法として適切でない。</x:v>
      </x:c>
      <x:c r="Q355" s="165" t="str">
        <x:v>醸造</x:v>
      </x:c>
      <x:c r="R355" s="165" t="str">
        <x:v>衛生・安定化</x:v>
      </x:c>
      <x:c r="S355" s="165" t="str">
        <x:v>全般</x:v>
      </x:c>
      <x:c r="T355" s="165"/>
      <x:c r="U355" s="165"/>
      <x:c r="V355" s="165"/>
      <x:c r="W355" s="165" t="str">
        <x:v>統合判断</x:v>
      </x:c>
      <x:c r="X355" s="171" t="str">
        <x:v>D3</x:v>
      </x:c>
      <x:c r="Y355" s="165" t="str">
        <x:v>微生物安定性について関連要因を主因とみなす; 微生物安定性について関連要因を主因とみなす; 微生物安定性について関連要因を主因とみなす</x:v>
      </x:c>
      <x:c r="Z355" s="171" t="str">
        <x:v>N</x:v>
      </x:c>
      <x:c r="AA355" s="165"/>
      <x:c r="AB355" s="165" t="str">
        <x:v>オリジナル</x:v>
      </x:c>
      <x:c r="AC355" s="165" t="str">
        <x:v>公式Specificationの範囲＋ユーザー作成コーパスの論点を参考に独自作成</x:v>
      </x:c>
      <x:c r="AD355" s="171" t="str">
        <x:v>改稿済み・専門家未承認</x:v>
      </x:c>
      <x:c r="AE355" s="171" t="str">
        <x:v>AI誤答レビュー</x:v>
      </x:c>
      <x:c r="AF355" s="171" t="str">
        <x:v>2026-07-12</x:v>
      </x:c>
      <x:c r="AG355" s="312" t="str">
        <x:v>第5バッチ：使用可能な誤答を維持し、弱い誤答を因果逆転・隣接概念へ置換。正答位置は維持。</x:v>
      </x:c>
    </x:row>
    <x:row r="356" ht="84" customHeight="1">
      <x:c r="A356" s="311" t="str">
        <x:v>LO1-115</x:v>
      </x:c>
      <x:c r="B356" s="171" t="str">
        <x:v>LO1</x:v>
      </x:c>
      <x:c r="C356" s="165" t="str">
        <x:v>ブドウ畑・ワイナリーの自然要因と人的要因</x:v>
      </x:c>
      <x:c r="D356" s="165" t="str">
        <x:v>瓶熟成と色</x:v>
      </x:c>
      <x:c r="E356" s="165" t="str">
        <x:v>瓶熟成による色の変化として、一般的に最も適切なものはどれか。</x:v>
      </x:c>
      <x:c r="F356" s="165" t="str">
        <x:v>赤ワインは紫色がより濃くなり、白ワインは次第に淡くなる</x:v>
      </x:c>
      <x:c r="G356" s="165" t="str">
        <x:v>赤ワインも白ワインも、熟成とともに青色方向へ進む</x:v>
      </x:c>
      <x:c r="H356" s="165" t="str">
        <x:v>赤ワインは紫からガーネット・褐色へ、白ワインは淡い色からより濃い黄金色へ進む</x:v>
      </x:c>
      <x:c r="I356" s="165" t="str">
        <x:v>赤ワインは色が濃くなり続け、白ワインは無色へ近づく</x:v>
      </x:c>
      <x:c r="J356" s="171" t="str">
        <x:v>C</x:v>
      </x:c>
      <x:c r="K356" s="165" t="str">
        <x:v>赤ワインは紫からガーネット・褐色へ、白ワインは淡い色からより濃い黄金色へ進む</x:v>
      </x:c>
      <x:c r="L356" s="165" t="str">
        <x:v>正しい。赤と白では色の変化方向が異なり、この組み合わせが適切である。</x:v>
      </x:c>
      <x:c r="M356" s="165" t="str">
        <x:v>誤り。赤は色素の重合・沈殿で紫からガーネット・褐色へ進み、白は酸化で色が濃くなる。</x:v>
      </x:c>
      <x:c r="N356" s="165" t="str">
        <x:v>誤り。青色方向は一般的な熟成変化ではない。</x:v>
      </x:c>
      <x:c r="O356" s="165" t="str">
        <x:v>正しい。赤と白では色の変化方向が異なり、この組み合わせが適切である。</x:v>
      </x:c>
      <x:c r="P356" s="165" t="str">
        <x:v>誤り。赤は通常淡く褐色化し、白は黄金・琥珀方向へ濃くなる。</x:v>
      </x:c>
      <x:c r="Q356" s="165" t="str">
        <x:v>熟成</x:v>
      </x:c>
      <x:c r="R356" s="165" t="str">
        <x:v>瓶熟成</x:v>
      </x:c>
      <x:c r="S356" s="165" t="str">
        <x:v>全般</x:v>
      </x:c>
      <x:c r="T356" s="165"/>
      <x:c r="U356" s="165"/>
      <x:c r="V356" s="165"/>
      <x:c r="W356" s="165" t="str">
        <x:v>知識確認</x:v>
      </x:c>
      <x:c r="X356" s="171" t="str">
        <x:v>D1</x:v>
      </x:c>
      <x:c r="Y356" s="165" t="str">
        <x:v>熟成で赤は濃く、白は淡くなる; 熟成で赤白とも青色化; 赤は濃くなり続け白は無色化</x:v>
      </x:c>
      <x:c r="Z356" s="171" t="str">
        <x:v>N</x:v>
      </x:c>
      <x:c r="AA356" s="165"/>
      <x:c r="AB356" s="165" t="str">
        <x:v>オリジナル</x:v>
      </x:c>
      <x:c r="AC356" s="165" t="str">
        <x:v>公式Specificationの範囲＋ユーザー作成コーパスの論点を参考に独自作成</x:v>
      </x:c>
      <x:c r="AD356" s="171" t="str">
        <x:v>改稿済み・専門家未承認</x:v>
      </x:c>
      <x:c r="AE356" s="171" t="str">
        <x:v>AI誤答レビュー</x:v>
      </x:c>
      <x:c r="AF356" s="171" t="str">
        <x:v>2026-07-12</x:v>
      </x:c>
      <x:c r="AG356" s="312" t="str">
        <x:v>第3バッチ：同一論点内の典型的誤概念へ置換。正答位置は維持。</x:v>
      </x:c>
    </x:row>
    <x:row r="357" ht="84" customHeight="1">
      <x:c r="A357" s="311" t="str">
        <x:v>LO1-116</x:v>
      </x:c>
      <x:c r="B357" s="171" t="str">
        <x:v>LO1</x:v>
      </x:c>
      <x:c r="C357" s="165" t="str">
        <x:v>ブドウ畑・ワイナリーの自然要因と人的要因</x:v>
      </x:c>
      <x:c r="D357" s="165" t="str">
        <x:v>コルクの酸素透過</x:v>
      </x:c>
      <x:c r="E357" s="165" t="str">
        <x:v>天然コルク栓による瓶熟成で、ボトル差が生じる一因はどれか。</x:v>
      </x:c>
      <x:c r="F357" s="165" t="str">
        <x:v>天然コルクは密度と構造が均一なため、ボトル差は主にラベルの違いから生じる</x:v>
      </x:c>
      <x:c r="G357" s="165" t="str">
        <x:v>コルクごとに酸素透過性や密閉性がわずかに異なる</x:v>
      </x:c>
      <x:c r="H357" s="165" t="str">
        <x:v>ワインと接触したコルクが糖を吸収し、残糖量をボトルごとに変える</x:v>
      </x:c>
      <x:c r="I357" s="165" t="str">
        <x:v>天然コルクは酸素を全く通さないため、差は瓶内温度だけで決まる</x:v>
      </x:c>
      <x:c r="J357" s="171" t="str">
        <x:v>D</x:v>
      </x:c>
      <x:c r="K357" s="165" t="str">
        <x:v>天然コルクは酸素を全く通さないため、差は瓶内温度だけで決まる</x:v>
      </x:c>
      <x:c r="L357" s="165" t="str">
        <x:v>正しい。酸素透過はゼロではなく、そのばらつきがボトル差の一因となる。</x:v>
      </x:c>
      <x:c r="M357" s="165" t="str">
        <x:v>誤り。天然素材には個体差があり、酸素侵入と密閉性に差が生じる。</x:v>
      </x:c>
      <x:c r="N357" s="165" t="str">
        <x:v>誤り。コルクの微細構造差が熟成速度や酸化リスクへ影響する。</x:v>
      </x:c>
      <x:c r="O357" s="165" t="str">
        <x:v>誤り。コルクが糖を選択的に吸収して残糖を変えるわけではない。</x:v>
      </x:c>
      <x:c r="P357" s="165" t="str">
        <x:v>正しい。酸素透過はゼロではなく、そのばらつきがボトル差の一因となる。</x:v>
      </x:c>
      <x:c r="Q357" s="165" t="str">
        <x:v>包装</x:v>
      </x:c>
      <x:c r="R357" s="165" t="str">
        <x:v>栓</x:v>
      </x:c>
      <x:c r="S357" s="165" t="str">
        <x:v>全般</x:v>
      </x:c>
      <x:c r="T357" s="165"/>
      <x:c r="U357" s="165"/>
      <x:c r="V357" s="165"/>
      <x:c r="W357" s="165" t="str">
        <x:v>因果説明</x:v>
      </x:c>
      <x:c r="X357" s="171" t="str">
        <x:v>D2</x:v>
      </x:c>
      <x:c r="Y357" s="165" t="str">
        <x:v>天然コルクは完全均一; コルクが糖を吸収して残糖差を生む</x:v>
      </x:c>
      <x:c r="Z357" s="171" t="str">
        <x:v>N</x:v>
      </x:c>
      <x:c r="AA357" s="165"/>
      <x:c r="AB357" s="165" t="str">
        <x:v>オリジナル</x:v>
      </x:c>
      <x:c r="AC357" s="165" t="str">
        <x:v>公式Specificationの範囲＋ユーザー作成コーパスの論点を参考に独自作成</x:v>
      </x:c>
      <x:c r="AD357" s="171" t="str">
        <x:v>改稿済み・専門家未承認</x:v>
      </x:c>
      <x:c r="AE357" s="171" t="str">
        <x:v>AI誤答レビュー</x:v>
      </x:c>
      <x:c r="AF357" s="171" t="str">
        <x:v>2026-07-12</x:v>
      </x:c>
      <x:c r="AG357" s="312" t="str">
        <x:v>第3バッチ：同一論点内の典型的誤概念へ置換。正答位置は維持。</x:v>
      </x:c>
    </x:row>
    <x:row r="358" ht="84" customHeight="1">
      <x:c r="A358" s="311" t="str">
        <x:v>LO1-117</x:v>
      </x:c>
      <x:c r="B358" s="171" t="str">
        <x:v>LO1</x:v>
      </x:c>
      <x:c r="C358" s="165" t="str">
        <x:v>ブドウ畑・ワイナリーの自然要因と人的要因</x:v>
      </x:c>
      <x:c r="D358" s="165" t="str">
        <x:v>バッグ・イン・ボックス</x:v>
      </x:c>
      <x:c r="E358" s="165" t="str">
        <x:v>バッグ・イン・ボックスが開封後のワイン保存に有利な主な理由はどれか。</x:v>
      </x:c>
      <x:c r="F358" s="165" t="str">
        <x:v>袋が縮むことで、残ったワインへ空気が入りにくい</x:v>
      </x:c>
      <x:c r="G358" s="165" t="str">
        <x:v>ガラスより酸素透過性が高く、時間とともに酸化や香味変化が進みやすい</x:v>
      </x:c>
      <x:c r="H358" s="165" t="str">
        <x:v>箱が光を遮るため、開封後も酸素は全く入らない</x:v>
      </x:c>
      <x:c r="I358" s="165" t="str">
        <x:v>開封後に袋内で二酸化炭素が発生し、酸素を追い出す</x:v>
      </x:c>
      <x:c r="J358" s="171" t="str">
        <x:v>A</x:v>
      </x:c>
      <x:c r="K358" s="165" t="str">
        <x:v>袋が縮むことで、残ったワインへ空気が入りにくい</x:v>
      </x:c>
      <x:c r="L358" s="165" t="str">
        <x:v>正しい。注ぐたびに内袋が収縮し、空気が容器内へ置換されにくい。</x:v>
      </x:c>
      <x:c r="M358" s="165" t="str">
        <x:v>正しい。注ぐたびに内袋が収縮し、空気が容器内へ置換されにくい。</x:v>
      </x:c>
      <x:c r="N358" s="165" t="str">
        <x:v>誤り。これは同じ知識領域の「プラスチック容器」に当てはまる説明で、設問の「バッグ・イン・ボックス」を最も適切に説明しない。</x:v>
      </x:c>
      <x:c r="O358" s="165" t="str">
        <x:v>誤り。光保護はあるが、保存の主因は袋が収縮して空気を入れないこと。</x:v>
      </x:c>
      <x:c r="P358" s="165" t="str">
        <x:v>誤り。通常は再発酵でガスを生成するわけではない。</x:v>
      </x:c>
      <x:c r="Q358" s="165" t="str">
        <x:v>包装</x:v>
      </x:c>
      <x:c r="R358" s="165" t="str">
        <x:v>代替包装</x:v>
      </x:c>
      <x:c r="S358" s="165" t="str">
        <x:v>全般</x:v>
      </x:c>
      <x:c r="T358" s="165"/>
      <x:c r="U358" s="165"/>
      <x:c r="V358" s="165"/>
      <x:c r="W358" s="165" t="str">
        <x:v>因果説明</x:v>
      </x:c>
      <x:c r="X358" s="171" t="str">
        <x:v>D2</x:v>
      </x:c>
      <x:c r="Y358" s="165" t="str">
        <x:v>バッグ・イン・ボックスをプラスチック容器の特徴と混同; 光遮蔽だけで開封後酸化を防ぐ; バッグ内再発酵で酸素排除</x:v>
      </x:c>
      <x:c r="Z358" s="171" t="str">
        <x:v>N</x:v>
      </x:c>
      <x:c r="AA358" s="165"/>
      <x:c r="AB358" s="165" t="str">
        <x:v>オリジナル</x:v>
      </x:c>
      <x:c r="AC358" s="165" t="str">
        <x:v>公式Specificationの範囲＋ユーザー作成コーパスの論点を参考に独自作成</x:v>
      </x:c>
      <x:c r="AD358" s="171" t="str">
        <x:v>改稿済み・専門家未承認</x:v>
      </x:c>
      <x:c r="AE358" s="171" t="str">
        <x:v>AI誤答レビュー</x:v>
      </x:c>
      <x:c r="AF358" s="171" t="str">
        <x:v>2026-07-12</x:v>
      </x:c>
      <x:c r="AG358" s="312" t="str">
        <x:v>第4バッチ：同一論点内の典型的誤概念へ置換。正答位置は維持。</x:v>
      </x:c>
    </x:row>
    <x:row r="359" ht="84" customHeight="1">
      <x:c r="A359" s="311" t="str">
        <x:v>LO1-118</x:v>
      </x:c>
      <x:c r="B359" s="171" t="str">
        <x:v>LO1</x:v>
      </x:c>
      <x:c r="C359" s="165" t="str">
        <x:v>ブドウ畑・ワイナリーの自然要因と人的要因</x:v>
      </x:c>
      <x:c r="D359" s="165" t="str">
        <x:v>軽量ボトル</x:v>
      </x:c>
      <x:c r="E359" s="165" t="str">
        <x:v>軽量ガラス瓶を使用する環境上の主な利点はどれか。</x:v>
      </x:c>
      <x:c r="F359" s="165" t="str">
        <x:v>瓶内の酸素量が減るため、軽量瓶ほど熟成速度も遅くなりやすい</x:v>
      </x:c>
      <x:c r="G359" s="165" t="str">
        <x:v>製造と輸送に必要なエネルギーを減らし、温室効果ガス排出を抑えられる</x:v>
      </x:c>
      <x:c r="H359" s="165" t="str">
        <x:v>軽量瓶は再利用できないため、回収と洗浄の環境負荷を避けられる</x:v>
      </x:c>
      <x:c r="I359" s="165" t="str">
        <x:v>ガラス量が少ないほど紫外線を遮る能力が高まり、光劣化を防ぎやすい</x:v>
      </x:c>
      <x:c r="J359" s="171" t="str">
        <x:v>B</x:v>
      </x:c>
      <x:c r="K359" s="165" t="str">
        <x:v>製造と輸送に必要なエネルギーを減らし、温室効果ガス排出を抑えられる</x:v>
      </x:c>
      <x:c r="L359" s="165" t="str">
        <x:v>正しい。原料使用量と輸送重量を減らし、製造・物流の排出を削減しやすい。</x:v>
      </x:c>
      <x:c r="M359" s="165" t="str">
        <x:v>誤り。瓶重量だけで酸素侵入や熟成速度は決まらない。</x:v>
      </x:c>
      <x:c r="N359" s="165" t="str">
        <x:v>正しい。原料使用量と輸送重量を減らし、製造・物流の排出を削減しやすい。</x:v>
      </x:c>
      <x:c r="O359" s="165" t="str">
        <x:v>誤り。軽量瓶でも再使用・再資源化は可能で、使い捨てが利点ではない。</x:v>
      </x:c>
      <x:c r="P359" s="165" t="str">
        <x:v>誤り。光保護は主にガラス色や厚み等に関係し、軽量化で自動的に高まらない。</x:v>
      </x:c>
      <x:c r="Q359" s="165" t="str">
        <x:v>包装</x:v>
      </x:c>
      <x:c r="R359" s="165" t="str">
        <x:v>持続可能性</x:v>
      </x:c>
      <x:c r="S359" s="165" t="str">
        <x:v>全般</x:v>
      </x:c>
      <x:c r="T359" s="165"/>
      <x:c r="U359" s="165"/>
      <x:c r="V359" s="165"/>
      <x:c r="W359" s="165" t="str">
        <x:v>因果説明</x:v>
      </x:c>
      <x:c r="X359" s="171" t="str">
        <x:v>D1</x:v>
      </x:c>
      <x:c r="Y359" s="165" t="str">
        <x:v>軽量瓶ほど酸素が少なく熟成が遅い; 軽量瓶は再利用不能だから環境に良い; 軽量化で紫外線遮蔽が高まる</x:v>
      </x:c>
      <x:c r="Z359" s="171" t="str">
        <x:v>N</x:v>
      </x:c>
      <x:c r="AA359" s="165"/>
      <x:c r="AB359" s="165" t="str">
        <x:v>オリジナル</x:v>
      </x:c>
      <x:c r="AC359" s="165" t="str">
        <x:v>公式Specificationの範囲＋ユーザー作成コーパスの論点を参考に独自作成</x:v>
      </x:c>
      <x:c r="AD359" s="171" t="str">
        <x:v>改稿済み・専門家未承認</x:v>
      </x:c>
      <x:c r="AE359" s="171" t="str">
        <x:v>AI誤答レビュー</x:v>
      </x:c>
      <x:c r="AF359" s="171" t="str">
        <x:v>2026-07-12</x:v>
      </x:c>
      <x:c r="AG359" s="312" t="str">
        <x:v>第3バッチ：同一論点内の典型的誤概念へ置換。正答位置は維持。</x:v>
      </x:c>
    </x:row>
    <x:row r="360" ht="84" customHeight="1">
      <x:c r="A360" s="311" t="str">
        <x:v>LO1-119</x:v>
      </x:c>
      <x:c r="B360" s="171" t="str">
        <x:v>LO1</x:v>
      </x:c>
      <x:c r="C360" s="165" t="str">
        <x:v>ブドウ畑・ワイナリーの自然要因と人的要因</x:v>
      </x:c>
      <x:c r="D360" s="165" t="str">
        <x:v>輸送中の高温</x:v>
      </x:c>
      <x:c r="E360" s="165" t="str">
        <x:v>ワインが輸送中に高温へ長時間さらされた場合に、最も起こりやすい問題はどれか。</x:v>
      </x:c>
      <x:c r="F360" s="165" t="str">
        <x:v>瓶熟成が穏やかに進み、果実香を保ったまま複雑性だけが増す</x:v>
      </x:c>
      <x:c r="G360" s="165" t="str">
        <x:v>酸素の溶解度が下がるため酸化反応が遅くなり、栓の密閉性も改善する</x:v>
      </x:c>
      <x:c r="H360" s="165" t="str">
        <x:v>熟成が急速に進み、果実香の低下、酸化、液漏れが生じることがある</x:v>
      </x:c>
      <x:c r="I360" s="165" t="str">
        <x:v>非発泡性ワインにはほとんど影響せず、発泡性ワインの圧力だけが問題となる</x:v>
      </x:c>
      <x:c r="J360" s="171" t="str">
        <x:v>C</x:v>
      </x:c>
      <x:c r="K360" s="165" t="str">
        <x:v>熟成が急速に進み、果実香の低下、酸化、液漏れが生じることがある</x:v>
      </x:c>
      <x:c r="L360" s="165" t="str">
        <x:v>正しい。熱で化学反応と液体膨張が進み、加熱した果実、酸化、栓の押し上がりが起こり得る。</x:v>
      </x:c>
      <x:c r="M360" s="165" t="str">
        <x:v>誤り。管理されない高温は熟成を加速し過ぎ、フレッシュさを損なうため、望ましい瓶熟成とは異なる。</x:v>
      </x:c>
      <x:c r="N360" s="165" t="str">
        <x:v>誤り。酸素溶解度だけでなく反応速度と液体膨張が増すため、酸化や漏れのリスクは高まる。</x:v>
      </x:c>
      <x:c r="O360" s="165" t="str">
        <x:v>正しい。熱で化学反応と液体膨張が進み、加熱した果実、酸化、栓の押し上がりが起こり得る。</x:v>
      </x:c>
      <x:c r="P360" s="165" t="str">
        <x:v>誤り。非発泡性でも酸化、液漏れ、加熱臭が起こり、発泡性だけの問題ではない。</x:v>
      </x:c>
      <x:c r="Q360" s="165" t="str">
        <x:v>包装</x:v>
      </x:c>
      <x:c r="R360" s="165" t="str">
        <x:v>輸送・保管</x:v>
      </x:c>
      <x:c r="S360" s="165" t="str">
        <x:v>全般</x:v>
      </x:c>
      <x:c r="T360" s="165"/>
      <x:c r="U360" s="165"/>
      <x:c r="V360" s="165"/>
      <x:c r="W360" s="165" t="str">
        <x:v>因果説明</x:v>
      </x:c>
      <x:c r="X360" s="171" t="str">
        <x:v>D2</x:v>
      </x:c>
      <x:c r="Y360" s="165" t="str">
        <x:v>輸送熱は望ましい熟成だけを進める; 高温は酸化を遅らせ密閉性を改善する; 高温損傷は発泡性ワインだけの問題</x:v>
      </x:c>
      <x:c r="Z360" s="171" t="str">
        <x:v>N</x:v>
      </x:c>
      <x:c r="AA360" s="165"/>
      <x:c r="AB360" s="165" t="str">
        <x:v>オリジナル</x:v>
      </x:c>
      <x:c r="AC360" s="165" t="str">
        <x:v>公式Specificationの範囲＋ユーザー作成コーパスの論点を参考に独自作成</x:v>
      </x:c>
      <x:c r="AD360" s="171" t="str">
        <x:v>改稿済み・専門家未承認</x:v>
      </x:c>
      <x:c r="AE360" s="171" t="str">
        <x:v>AI誤答レビュー</x:v>
      </x:c>
      <x:c r="AF360" s="171" t="str">
        <x:v>2026-07-12</x:v>
      </x:c>
      <x:c r="AG360" s="312" t="str">
        <x:v>第2バッチ：誤答を同一論点内の典型的誤概念へ置換。正答位置は維持。</x:v>
      </x:c>
    </x:row>
    <x:row r="361" ht="84" customHeight="1">
      <x:c r="A361" s="311" t="str">
        <x:v>LO1-120</x:v>
      </x:c>
      <x:c r="B361" s="171" t="str">
        <x:v>LO1</x:v>
      </x:c>
      <x:c r="C361" s="165" t="str">
        <x:v>ブドウ畑・ワイナリーの自然要因と人的要因</x:v>
      </x:c>
      <x:c r="D361" s="165" t="str">
        <x:v>合成コルク</x:v>
      </x:c>
      <x:c r="E361" s="165" t="str">
        <x:v>合成コルク栓の一般的な利点として、最も適切なものはどれか。</x:v>
      </x:c>
      <x:c r="F361" s="165" t="str">
        <x:v>天然コルクより酸素透過性が常に低く、長期熟成へ最も適する</x:v>
      </x:c>
      <x:c r="G361" s="165" t="str">
        <x:v>開栓後に元の形へ戻り、ワインを数週間完全密閉できる</x:v>
      </x:c>
      <x:c r="H361" s="165" t="str">
        <x:v>天然コルクと同じTCAリスクを持つが、外観が均一である</x:v>
      </x:c>
      <x:c r="I361" s="165" t="str">
        <x:v>天然コルク由来のTCAリスクを避け、比較的一貫した密閉性を得やすい</x:v>
      </x:c>
      <x:c r="J361" s="171" t="str">
        <x:v>D</x:v>
      </x:c>
      <x:c r="K361" s="165" t="str">
        <x:v>天然コルク由来のTCAリスクを避け、比較的一貫した密閉性を得やすい</x:v>
      </x:c>
      <x:c r="L361" s="165" t="str">
        <x:v>正しい。工業製品として密閉性のばらつきを小さくしやすい。</x:v>
      </x:c>
      <x:c r="M361" s="165" t="str">
        <x:v>誤り。酸素透過性は製品により異なり、常に最も低いとは限らない。</x:v>
      </x:c>
      <x:c r="N361" s="165" t="str">
        <x:v>誤り。再栓性は製品で異なり、長期保存を保証するものではない。</x:v>
      </x:c>
      <x:c r="O361" s="165" t="str">
        <x:v>誤り。天然コルク由来TCAを避けやすい点が主要な利点である。</x:v>
      </x:c>
      <x:c r="P361" s="165" t="str">
        <x:v>正しい。工業製品として密閉性のばらつきを小さくしやすい。</x:v>
      </x:c>
      <x:c r="Q361" s="165" t="str">
        <x:v>包装</x:v>
      </x:c>
      <x:c r="R361" s="165" t="str">
        <x:v>栓</x:v>
      </x:c>
      <x:c r="S361" s="165" t="str">
        <x:v>全般</x:v>
      </x:c>
      <x:c r="T361" s="165"/>
      <x:c r="U361" s="165"/>
      <x:c r="V361" s="165"/>
      <x:c r="W361" s="165" t="str">
        <x:v>比較</x:v>
      </x:c>
      <x:c r="X361" s="171" t="str">
        <x:v>D2</x:v>
      </x:c>
      <x:c r="Y361" s="165" t="str">
        <x:v>合成コルクは常に最低酸素透過・長期熟成最適; 合成コルクは開栓後も完全密閉できる; 合成コルクも天然コルク同等のTCAリスク</x:v>
      </x:c>
      <x:c r="Z361" s="171" t="str">
        <x:v>Y</x:v>
      </x:c>
      <x:c r="AA361" s="165" t="str">
        <x:v>合成栓の長期熟成適性は製品差が大きいため、アプリ掲載時に表現確認推奨</x:v>
      </x:c>
      <x:c r="AB361" s="165" t="str">
        <x:v>オリジナル</x:v>
      </x:c>
      <x:c r="AC361" s="165" t="str">
        <x:v>公式Specificationの範囲＋ユーザー作成コーパスの論点を参考に独自作成</x:v>
      </x:c>
      <x:c r="AD361" s="171" t="str">
        <x:v>改稿済み・専門家未承認</x:v>
      </x:c>
      <x:c r="AE361" s="171" t="str">
        <x:v>AI誤答レビュー</x:v>
      </x:c>
      <x:c r="AF361" s="171" t="str">
        <x:v>2026-07-12</x:v>
      </x:c>
      <x:c r="AG361" s="312" t="str">
        <x:v>第3バッチ：同一論点内の典型的誤概念へ置換。正答位置は維持。</x:v>
      </x:c>
    </x:row>
    <x:row r="362" ht="84" customHeight="1">
      <x:c r="A362" s="311" t="str">
        <x:v>LO2-061</x:v>
      </x:c>
      <x:c r="B362" s="171" t="str">
        <x:v>LO2</x:v>
      </x:c>
      <x:c r="C362" s="165" t="str">
        <x:v>世界の主要な非発泡性ワイン</x:v>
      </x:c>
      <x:c r="D362" s="165" t="str">
        <x:v>ポイヤック</x:v>
      </x:c>
      <x:c r="E362" s="165" t="str">
        <x:v>ポイヤックの高品質赤ワインの典型的なスタイルを最もよく説明しているものはどれか。</x:v>
      </x:c>
      <x:c r="F362" s="165" t="str">
        <x:v>カベルネ・ソーヴィニヨン主体で、黒系果実、高いタンニン、杉や鉛筆を思わせる香りを持つ</x:v>
      </x:c>
      <x:c r="G362" s="165" t="str">
        <x:v>グレーラ主体で、タンク方式の発泡性ワイン</x:v>
      </x:c>
      <x:c r="H362" s="165" t="str">
        <x:v>コルテーゼ主体で、高酸の軽い白</x:v>
      </x:c>
      <x:c r="I362" s="165" t="str">
        <x:v>ガメイ主体で、低タンニンのバナナ香を持つ早飲み赤</x:v>
      </x:c>
      <x:c r="J362" s="171" t="str">
        <x:v>A</x:v>
      </x:c>
      <x:c r="K362" s="165" t="str">
        <x:v>カベルネ・ソーヴィニヨン主体で、黒系果実、高いタンニン、杉や鉛筆を思わせる香りを持つ</x:v>
      </x:c>
      <x:c r="L362" s="165" t="str">
        <x:v>正しい。水はけのよい砂利質土壌がカベルネ・ソーヴィニヨンの成熟を助け、長期熟成向きの構造あるワインを生む。</x:v>
      </x:c>
      <x:c r="M362" s="165" t="str">
        <x:v>正しい。水はけのよい砂利質土壌がカベルネ・ソーヴィニヨンの成熟を助け、長期熟成向きの構造あるワインを生む。</x:v>
      </x:c>
      <x:c r="N362" s="165" t="str">
        <x:v>誤り。これはプロセッコに関する説明である。</x:v>
      </x:c>
      <x:c r="O362" s="165" t="str">
        <x:v>誤り。コルテーゼはガヴィの主要品種で、ポイヤックの赤とは異なる。</x:v>
      </x:c>
      <x:c r="P362" s="165" t="str">
        <x:v>誤り。これは主にボージョレの炭酸ガス浸漬法を用いたスタイルに近い。</x:v>
      </x:c>
      <x:c r="Q362" s="165" t="str">
        <x:v>産地</x:v>
      </x:c>
      <x:c r="R362" s="165" t="str">
        <x:v>左岸ボルドー</x:v>
      </x:c>
      <x:c r="S362" s="165" t="str">
        <x:v>赤ワイン</x:v>
      </x:c>
      <x:c r="T362" s="165" t="str">
        <x:v>フランス</x:v>
      </x:c>
      <x:c r="U362" s="165" t="str">
        <x:v>ポイヤック</x:v>
      </x:c>
      <x:c r="V362" s="165" t="str">
        <x:v>カベルネ・ソーヴィニヨン、メルロ</x:v>
      </x:c>
      <x:c r="W362" s="165" t="str">
        <x:v>知識確認</x:v>
      </x:c>
      <x:c r="X362" s="171" t="str">
        <x:v>D2</x:v>
      </x:c>
      <x:c r="Y362" s="165" t="str">
        <x:v>ポイヤックについて関連要因を主因とみなす; ポイヤックについて関連要因を主因とみなす; ポイヤックについて関連要因を主因とみなす</x:v>
      </x:c>
      <x:c r="Z362" s="171" t="str">
        <x:v>N</x:v>
      </x:c>
      <x:c r="AA362" s="165"/>
      <x:c r="AB362" s="165" t="str">
        <x:v>オリジナル</x:v>
      </x:c>
      <x:c r="AC362" s="165" t="str">
        <x:v>公式Specificationの範囲＋ユーザー作成コーパスの論点を参考に独自作成</x:v>
      </x:c>
      <x:c r="AD362" s="171" t="str">
        <x:v>改稿済み・専門家未承認</x:v>
      </x:c>
      <x:c r="AE362" s="171" t="str">
        <x:v>AI誤答レビュー</x:v>
      </x:c>
      <x:c r="AF362" s="171" t="str">
        <x:v>2026-07-12</x:v>
      </x:c>
      <x:c r="AG362" s="312" t="str">
        <x:v>第5バッチ：使用可能な誤答を維持し、弱い誤答を因果逆転・隣接概念へ置換。正答位置は維持。</x:v>
      </x:c>
    </x:row>
    <x:row r="363" ht="84" customHeight="1">
      <x:c r="A363" s="311" t="str">
        <x:v>LO2-062</x:v>
      </x:c>
      <x:c r="B363" s="171" t="str">
        <x:v>LO2</x:v>
      </x:c>
      <x:c r="C363" s="165" t="str">
        <x:v>世界の主要な非発泡性ワイン</x:v>
      </x:c>
      <x:c r="D363" s="165" t="str">
        <x:v>マルゴー</x:v>
      </x:c>
      <x:c r="E363" s="165" t="str">
        <x:v>マルゴーの赤ワインがポイヤックと比べてしばしば香り高く、口当たりが洗練される主な理由として最も適切なものはどれか。</x:v>
      </x:c>
      <x:c r="F363" s="165" t="str">
        <x:v>ブドウを樹上で凍結して収穫するため</x:v>
      </x:c>
      <x:c r="G363" s="165" t="str">
        <x:v>砂利質土壌と温和なメソ気候がカベルネ主体のブレンドに十分な成熟と繊細さを与えるため</x:v>
      </x:c>
      <x:c r="H363" s="165" t="str">
        <x:v>多くのワインを炭酸ガス浸漬法で造るため</x:v>
      </x:c>
      <x:c r="I363" s="165" t="str">
        <x:v>冷涼な高山気候でリースリングを栽培するため</x:v>
      </x:c>
      <x:c r="J363" s="171" t="str">
        <x:v>B</x:v>
      </x:c>
      <x:c r="K363" s="165" t="str">
        <x:v>砂利質土壌と温和なメソ気候がカベルネ主体のブレンドに十分な成熟と繊細さを与えるため</x:v>
      </x:c>
      <x:c r="L363" s="165" t="str">
        <x:v>正しい。マルゴーは砂利の多い畑と比較的温和な条件を持ち、黒系果実、花、杉の香りと細やかなタンニンを得やすい。</x:v>
      </x:c>
      <x:c r="M363" s="165" t="str">
        <x:v>誤り。これはアイスワインの製法であり、マルゴーの特徴ではない。</x:v>
      </x:c>
      <x:c r="N363" s="165" t="str">
        <x:v>正しい。マルゴーは砂利の多い畑と比較的温和な条件を持ち、黒系果実、花、杉の香りと細やかなタンニンを得やすい。</x:v>
      </x:c>
      <x:c r="O363" s="165" t="str">
        <x:v>誤り。ボルドーの高級赤は通常、伝統的な赤ワイン醸造と樽熟成を行う。</x:v>
      </x:c>
      <x:c r="P363" s="165" t="str">
        <x:v>誤り。マルゴーはボルドー左岸の赤ワイン産地であり、主要品種はリースリングではない。</x:v>
      </x:c>
      <x:c r="Q363" s="165" t="str">
        <x:v>産地</x:v>
      </x:c>
      <x:c r="R363" s="165" t="str">
        <x:v>左岸ボルドー</x:v>
      </x:c>
      <x:c r="S363" s="165" t="str">
        <x:v>赤ワイン</x:v>
      </x:c>
      <x:c r="T363" s="165" t="str">
        <x:v>フランス</x:v>
      </x:c>
      <x:c r="U363" s="165" t="str">
        <x:v>マルゴー</x:v>
      </x:c>
      <x:c r="V363" s="165" t="str">
        <x:v>カベルネ・ソーヴィニヨン、メルロ</x:v>
      </x:c>
      <x:c r="W363" s="165" t="str">
        <x:v>因果説明</x:v>
      </x:c>
      <x:c r="X363" s="171" t="str">
        <x:v>D3</x:v>
      </x:c>
      <x:c r="Y363" s="165" t="str">
        <x:v>マルゴーについて関連要因を主因とみなす; マルゴーについて関連要因を主因とみなす; マルゴーについて関連要因を主因とみなす</x:v>
      </x:c>
      <x:c r="Z363" s="171" t="str">
        <x:v>N</x:v>
      </x:c>
      <x:c r="AA363" s="165"/>
      <x:c r="AB363" s="165" t="str">
        <x:v>オリジナル</x:v>
      </x:c>
      <x:c r="AC363" s="165" t="str">
        <x:v>公式Specificationの範囲＋ユーザー作成コーパスの論点を参考に独自作成</x:v>
      </x:c>
      <x:c r="AD363" s="171" t="str">
        <x:v>改稿済み・専門家未承認</x:v>
      </x:c>
      <x:c r="AE363" s="171" t="str">
        <x:v>AI誤答レビュー</x:v>
      </x:c>
      <x:c r="AF363" s="171" t="str">
        <x:v>2026-07-12</x:v>
      </x:c>
      <x:c r="AG363" s="312" t="str">
        <x:v>第5バッチ：使用可能な誤答を維持し、弱い誤答を因果逆転・隣接概念へ置換。正答位置は維持。</x:v>
      </x:c>
    </x:row>
    <x:row r="364" ht="84" customHeight="1">
      <x:c r="A364" s="311" t="str">
        <x:v>LO2-063</x:v>
      </x:c>
      <x:c r="B364" s="171" t="str">
        <x:v>LO2</x:v>
      </x:c>
      <x:c r="C364" s="165" t="str">
        <x:v>世界の主要な非発泡性ワイン</x:v>
      </x:c>
      <x:c r="D364" s="165" t="str">
        <x:v>サン・テステフ</x:v>
      </x:c>
      <x:c r="E364" s="165" t="str">
        <x:v>サン・テステフの赤ワインが若いうちは特に堅固になりやすい主な理由はどれか。</x:v>
      </x:c>
      <x:c r="F364" s="165" t="str">
        <x:v>タンク方式の二次発酵を行うため</x:v>
      </x:c>
      <x:c r="G364" s="165" t="str">
        <x:v>多くのワインに残糖を残すため</x:v>
      </x:c>
      <x:c r="H364" s="165" t="str">
        <x:v>粘土を含む比較的冷涼な土壌が成熟を遅らせ、高い酸とタンニンを保ちやすい</x:v>
      </x:c>
      <x:c r="I364" s="165" t="str">
        <x:v>グルナッシュを高収量で栽培し、低酸にするため</x:v>
      </x:c>
      <x:c r="J364" s="171" t="str">
        <x:v>C</x:v>
      </x:c>
      <x:c r="K364" s="165" t="str">
        <x:v>粘土を含む比較的冷涼な土壌が成熟を遅らせ、高い酸とタンニンを保ちやすい</x:v>
      </x:c>
      <x:c r="L364" s="165" t="str">
        <x:v>正しい。左岸北部の位置と粘土分の多い土壌により、力強い構造と熟成能力を持つワインになりやすい。</x:v>
      </x:c>
      <x:c r="M364" s="165" t="str">
        <x:v>誤り。これは発泡性ワインの製法であり、赤ワインの構造を説明しない。</x:v>
      </x:c>
      <x:c r="N364" s="165" t="str">
        <x:v>誤り。サン・テステフの赤は通常辛口で、堅固さは残糖によらない。</x:v>
      </x:c>
      <x:c r="O364" s="165" t="str">
        <x:v>正しい。左岸北部の位置と粘土分の多い土壌により、力強い構造と熟成能力を持つワインになりやすい。</x:v>
      </x:c>
      <x:c r="P364" s="165" t="str">
        <x:v>誤り。サン・テステフの主要品種はカベルネ・ソーヴィニヨンとメルロである。</x:v>
      </x:c>
      <x:c r="Q364" s="165" t="str">
        <x:v>産地</x:v>
      </x:c>
      <x:c r="R364" s="165" t="str">
        <x:v>左岸ボルドー</x:v>
      </x:c>
      <x:c r="S364" s="165" t="str">
        <x:v>赤ワイン</x:v>
      </x:c>
      <x:c r="T364" s="165" t="str">
        <x:v>フランス</x:v>
      </x:c>
      <x:c r="U364" s="165" t="str">
        <x:v>サン・テステフ</x:v>
      </x:c>
      <x:c r="V364" s="165" t="str">
        <x:v>カベルネ・ソーヴィニヨン、メルロ</x:v>
      </x:c>
      <x:c r="W364" s="165" t="str">
        <x:v>因果説明</x:v>
      </x:c>
      <x:c r="X364" s="171" t="str">
        <x:v>D3</x:v>
      </x:c>
      <x:c r="Y364" s="165" t="str">
        <x:v>サン・テステフについて関連要因を主因とみなす; サン・テステフについて関連要因を主因とみなす; サン・テステフについて関連要因を主因とみなす</x:v>
      </x:c>
      <x:c r="Z364" s="171" t="str">
        <x:v>N</x:v>
      </x:c>
      <x:c r="AA364" s="165"/>
      <x:c r="AB364" s="165" t="str">
        <x:v>オリジナル</x:v>
      </x:c>
      <x:c r="AC364" s="165" t="str">
        <x:v>公式Specificationの範囲＋ユーザー作成コーパスの論点を参考に独自作成</x:v>
      </x:c>
      <x:c r="AD364" s="171" t="str">
        <x:v>改稿済み・専門家未承認</x:v>
      </x:c>
      <x:c r="AE364" s="171" t="str">
        <x:v>AI誤答レビュー</x:v>
      </x:c>
      <x:c r="AF364" s="171" t="str">
        <x:v>2026-07-12</x:v>
      </x:c>
      <x:c r="AG364" s="312" t="str">
        <x:v>第5バッチ：使用可能な誤答を維持し、弱い誤答を因果逆転・隣接概念へ置換。正答位置は維持。</x:v>
      </x:c>
    </x:row>
    <x:row r="365" ht="84" customHeight="1">
      <x:c r="A365" s="311" t="str">
        <x:v>LO2-064</x:v>
      </x:c>
      <x:c r="B365" s="171" t="str">
        <x:v>LO2</x:v>
      </x:c>
      <x:c r="C365" s="165" t="str">
        <x:v>世界の主要な非発泡性ワイン</x:v>
      </x:c>
      <x:c r="D365" s="165" t="str">
        <x:v>サン・ジュリアン</x:v>
      </x:c>
      <x:c r="E365" s="165" t="str">
        <x:v>サン・ジュリアンの典型的なスタイルを最も適切に説明しているものはどれか。</x:v>
      </x:c>
      <x:c r="F365" s="165" t="str">
        <x:v>甘口のシュナン・ブランで、貴腐香が中心</x:v>
      </x:c>
      <x:c r="G365" s="165" t="str">
        <x:v>ネッビオーロ主体で、淡い色と高いタンニン</x:v>
      </x:c>
      <x:c r="H365" s="165" t="str">
        <x:v>モスカート主体で、低アルコールの発泡性ワイン</x:v>
      </x:c>
      <x:c r="I365" s="165" t="str">
        <x:v>カベルネ主体で、ポイヤックの構造とマルゴーの香り高さの中間的な均衡を持つ</x:v>
      </x:c>
      <x:c r="J365" s="171" t="str">
        <x:v>D</x:v>
      </x:c>
      <x:c r="K365" s="165" t="str">
        <x:v>カベルネ主体で、ポイヤックの構造とマルゴーの香り高さの中間的な均衡を持つ</x:v>
      </x:c>
      <x:c r="L365" s="165" t="str">
        <x:v>正しい。小規模なアペラシオンながら砂利質の優良畑が多く、黒系果実、杉、引き締まったタンニンと洗練を兼ね備える。</x:v>
      </x:c>
      <x:c r="M365" s="165" t="str">
        <x:v>誤り。これはロワールや貴腐甘口ワインに近い。</x:v>
      </x:c>
      <x:c r="N365" s="165" t="str">
        <x:v>誤り。これはバローロやバルバレスコの特徴である。</x:v>
      </x:c>
      <x:c r="O365" s="165" t="str">
        <x:v>誤り。これはアスティやモスカート・ダスティに近い。</x:v>
      </x:c>
      <x:c r="P365" s="165" t="str">
        <x:v>正しい。小規模なアペラシオンながら砂利質の優良畑が多く、黒系果実、杉、引き締まったタンニンと洗練を兼ね備える。</x:v>
      </x:c>
      <x:c r="Q365" s="165" t="str">
        <x:v>産地</x:v>
      </x:c>
      <x:c r="R365" s="165" t="str">
        <x:v>左岸ボルドー</x:v>
      </x:c>
      <x:c r="S365" s="165" t="str">
        <x:v>赤ワイン</x:v>
      </x:c>
      <x:c r="T365" s="165" t="str">
        <x:v>フランス</x:v>
      </x:c>
      <x:c r="U365" s="165" t="str">
        <x:v>サン・ジュリアン</x:v>
      </x:c>
      <x:c r="V365" s="165" t="str">
        <x:v>カベルネ・ソーヴィニヨン、メルロ</x:v>
      </x:c>
      <x:c r="W365" s="165" t="str">
        <x:v>知識確認</x:v>
      </x:c>
      <x:c r="X365" s="171" t="str">
        <x:v>D2</x:v>
      </x:c>
      <x:c r="Y365" s="165" t="str">
        <x:v>サン・ジュリアンに関する別の特徴・要因と混同; サン・ジュリアンに関する別の特徴・要因と混同; サン・ジュリアンに関する別の特徴・要因と混同</x:v>
      </x:c>
      <x:c r="Z365" s="171" t="str">
        <x:v>N</x:v>
      </x:c>
      <x:c r="AA365" s="165"/>
      <x:c r="AB365" s="165" t="str">
        <x:v>オリジナル</x:v>
      </x:c>
      <x:c r="AC365" s="165" t="str">
        <x:v>公式Specificationの範囲＋ユーザー作成コーパスの論点を参考に独自作成</x:v>
      </x:c>
      <x:c r="AD365" s="171" t="str">
        <x:v>改稿済み・専門家未承認</x:v>
      </x:c>
      <x:c r="AE365" s="171" t="str">
        <x:v>AI誤答レビュー</x:v>
      </x:c>
      <x:c r="AF365" s="171" t="str">
        <x:v>2026-07-12</x:v>
      </x:c>
      <x:c r="AG365" s="312" t="str">
        <x:v>最終バッチ：有効な誤答を維持し、絶対語・物理的不可能な誤答のみ置換。正答位置は維持。</x:v>
      </x:c>
    </x:row>
    <x:row r="366" ht="84" customHeight="1">
      <x:c r="A366" s="311" t="str">
        <x:v>LO2-065</x:v>
      </x:c>
      <x:c r="B366" s="171" t="str">
        <x:v>LO2</x:v>
      </x:c>
      <x:c r="C366" s="165" t="str">
        <x:v>世界の主要な非発泡性ワイン</x:v>
      </x:c>
      <x:c r="D366" s="165" t="str">
        <x:v>コート・ド・ニュイ</x:v>
      </x:c>
      <x:c r="E366" s="165" t="str">
        <x:v>コート・ド・ニュイの最上級ワインの中心となる品種とスタイルはどれか。</x:v>
      </x:c>
      <x:c r="F366" s="165" t="str">
        <x:v>ピノ・ノワールから造る、香り高く複雑で長期熟成可能な赤ワイン</x:v>
      </x:c>
      <x:c r="G366" s="165" t="str">
        <x:v>セミヨンから造る貴腐甘口白</x:v>
      </x:c>
      <x:c r="H366" s="165" t="str">
        <x:v>テンプラニーリョから造る長期樽熟成赤</x:v>
      </x:c>
      <x:c r="I366" s="165" t="str">
        <x:v>シュナン・ブランから造る辛口発泡性ワインだけ</x:v>
      </x:c>
      <x:c r="J366" s="171" t="str">
        <x:v>A</x:v>
      </x:c>
      <x:c r="K366" s="165" t="str">
        <x:v>ピノ・ノワールから造る、香り高く複雑で長期熟成可能な赤ワイン</x:v>
      </x:c>
      <x:c r="L366" s="165" t="str">
        <x:v>正しい。東から南東向きの石灰岩と粘土の斜面に優良畑が集中し、繊細な香りと高い酸を持つ赤を生む。</x:v>
      </x:c>
      <x:c r="M366" s="165" t="str">
        <x:v>正しい。東から南東向きの石灰岩と粘土の斜面に優良畑が集中し、繊細な香りと高い酸を持つ赤を生む。</x:v>
      </x:c>
      <x:c r="N366" s="165" t="str">
        <x:v>誤り。これはソーテルヌなどの特徴である。</x:v>
      </x:c>
      <x:c r="O366" s="165" t="str">
        <x:v>誤り。これはリオハなどの特徴である。</x:v>
      </x:c>
      <x:c r="P366" s="165" t="str">
        <x:v>誤り。コート・ド・ニュイの中心はピノ・ノワールの非発泡性赤である。</x:v>
      </x:c>
      <x:c r="Q366" s="165" t="str">
        <x:v>産地</x:v>
      </x:c>
      <x:c r="R366" s="165" t="str">
        <x:v>ブルゴーニュ</x:v>
      </x:c>
      <x:c r="S366" s="165" t="str">
        <x:v>赤ワイン</x:v>
      </x:c>
      <x:c r="T366" s="165" t="str">
        <x:v>フランス</x:v>
      </x:c>
      <x:c r="U366" s="165" t="str">
        <x:v>コート・ド・ニュイ</x:v>
      </x:c>
      <x:c r="V366" s="165" t="str">
        <x:v>ピノ・ノワール</x:v>
      </x:c>
      <x:c r="W366" s="165" t="str">
        <x:v>知識確認</x:v>
      </x:c>
      <x:c r="X366" s="171" t="str">
        <x:v>D1</x:v>
      </x:c>
      <x:c r="Y366" s="165" t="str">
        <x:v>コート・ド・ニュイに関する別の特徴・要因と混同; コート・ド・ニュイに関する別の特徴・要因と混同; コート・ド・ニュイに関する別の特徴・要因と混同</x:v>
      </x:c>
      <x:c r="Z366" s="171" t="str">
        <x:v>N</x:v>
      </x:c>
      <x:c r="AA366" s="165"/>
      <x:c r="AB366" s="165" t="str">
        <x:v>オリジナル</x:v>
      </x:c>
      <x:c r="AC366" s="165" t="str">
        <x:v>公式Specificationの範囲＋ユーザー作成コーパスの論点を参考に独自作成</x:v>
      </x:c>
      <x:c r="AD366" s="171" t="str">
        <x:v>改稿済み・専門家未承認</x:v>
      </x:c>
      <x:c r="AE366" s="171" t="str">
        <x:v>AI誤答レビュー</x:v>
      </x:c>
      <x:c r="AF366" s="171" t="str">
        <x:v>2026-07-12</x:v>
      </x:c>
      <x:c r="AG366" s="312" t="str">
        <x:v>最終バッチ：有効な誤答を維持し、絶対語・物理的不可能な誤答のみ置換。正答位置は維持。</x:v>
      </x:c>
    </x:row>
    <x:row r="367" ht="84" customHeight="1">
      <x:c r="A367" s="311" t="str">
        <x:v>LO2-066</x:v>
      </x:c>
      <x:c r="B367" s="171" t="str">
        <x:v>LO2</x:v>
      </x:c>
      <x:c r="C367" s="165" t="str">
        <x:v>世界の主要な非発泡性ワイン</x:v>
      </x:c>
      <x:c r="D367" s="165" t="str">
        <x:v>コート・ド・ボーヌ</x:v>
      </x:c>
      <x:c r="E367" s="165" t="str">
        <x:v>コート・ド・ボーヌの高品質白ワインに典型的な特徴はどれか。</x:v>
      </x:c>
      <x:c r="F367" s="165" t="str">
        <x:v>シャルドネから造る、低い酸、熟した柑橘・核果、樽と澱由来の複雑性を持つ辛口白</x:v>
      </x:c>
      <x:c r="G367" s="165" t="str">
        <x:v>シャルドネから造る、高い酸、熟した柑橘・核果、樽と澱由来の複雑性を持つ辛口白</x:v>
      </x:c>
      <x:c r="H367" s="165" t="str">
        <x:v>ソーヴィニヨン・ブランから造る、青草と火打石の無樽白</x:v>
      </x:c>
      <x:c r="I367" s="165" t="str">
        <x:v>ピノ・グリージョから造る、軽いボディと中程度の酸の早飲み白</x:v>
      </x:c>
      <x:c r="J367" s="171" t="str">
        <x:v>B</x:v>
      </x:c>
      <x:c r="K367" s="165" t="str">
        <x:v>シャルドネから造る、高い酸、熟した柑橘・核果、樽と澱由来の複雑性を持つ辛口白</x:v>
      </x:c>
      <x:c r="L367" s="165" t="str">
        <x:v>正しい。石灰質斜面と樽発酵・澱熟成が、酸、果実、質感、熟成力を与える。</x:v>
      </x:c>
      <x:c r="M367" s="165" t="str">
        <x:v>誤り。正答では「高い酸」ことが重要であり、この選択肢は「低い酸」へ置き換えて関係を逆にしている。</x:v>
      </x:c>
      <x:c r="N367" s="165" t="str">
        <x:v>正しい。石灰質斜面と樽発酵・澱熟成が、酸、果実、質感、熟成力を与える。</x:v>
      </x:c>
      <x:c r="O367" s="165" t="str">
        <x:v>誤り。主要品種と地域が異なる。</x:v>
      </x:c>
      <x:c r="P367" s="165" t="str">
        <x:v>誤り。主要品種と品質スタイルが異なる。</x:v>
      </x:c>
      <x:c r="Q367" s="165" t="str">
        <x:v>産地</x:v>
      </x:c>
      <x:c r="R367" s="165" t="str">
        <x:v>ブルゴーニュ</x:v>
      </x:c>
      <x:c r="S367" s="165" t="str">
        <x:v>白ワイン</x:v>
      </x:c>
      <x:c r="T367" s="165" t="str">
        <x:v>フランス</x:v>
      </x:c>
      <x:c r="U367" s="165" t="str">
        <x:v>コート・ド・ボーヌ</x:v>
      </x:c>
      <x:c r="V367" s="165" t="str">
        <x:v>シャルドネ</x:v>
      </x:c>
      <x:c r="W367" s="165" t="str">
        <x:v>知識確認</x:v>
      </x:c>
      <x:c r="X367" s="171" t="str">
        <x:v>D2</x:v>
      </x:c>
      <x:c r="Y367" s="165" t="str">
        <x:v>「高い酸」と「低い酸」の関係を逆転; コート・ド・ボーヌ白をロワールSBと混同; コート・ド・ボーヌ白を高収量ピノグリージョと混同</x:v>
      </x:c>
      <x:c r="Z367" s="171" t="str">
        <x:v>N</x:v>
      </x:c>
      <x:c r="AA367" s="165"/>
      <x:c r="AB367" s="165" t="str">
        <x:v>オリジナル</x:v>
      </x:c>
      <x:c r="AC367" s="165" t="str">
        <x:v>公式Specificationの範囲＋ユーザー作成コーパスの論点を参考に独自作成</x:v>
      </x:c>
      <x:c r="AD367" s="171" t="str">
        <x:v>改稿済み・専門家未承認</x:v>
      </x:c>
      <x:c r="AE367" s="171" t="str">
        <x:v>AI誤答レビュー</x:v>
      </x:c>
      <x:c r="AF367" s="171" t="str">
        <x:v>2026-07-12</x:v>
      </x:c>
      <x:c r="AG367" s="312" t="str">
        <x:v>第4バッチ：同一論点内の典型的誤概念へ置換。正答位置は維持。</x:v>
      </x:c>
    </x:row>
    <x:row r="368" ht="84" customHeight="1">
      <x:c r="A368" s="311" t="str">
        <x:v>LO2-067</x:v>
      </x:c>
      <x:c r="B368" s="171" t="str">
        <x:v>LO2</x:v>
      </x:c>
      <x:c r="C368" s="165" t="str">
        <x:v>世界の主要な非発泡性ワイン</x:v>
      </x:c>
      <x:c r="D368" s="165" t="str">
        <x:v>コート・シャロネーズ</x:v>
      </x:c>
      <x:c r="E368" s="165" t="str">
        <x:v>コート・シャロネーズのワインが、同程度の品質を持つコート・ドールのワインより比較的手頃になりやすい主な理由はどれか。</x:v>
      </x:c>
      <x:c r="F368" s="165" t="str">
        <x:v>より温暖で機械収穫が一般的なため、生産費だけが大幅に低い</x:v>
      </x:c>
      <x:c r="G368" s="165" t="str">
        <x:v>コート・ドールと同じ評価と需要を持つが、熟成規定が短い</x:v>
      </x:c>
      <x:c r="H368" s="165" t="str">
        <x:v>優良なピノ・ノワールとシャルドネを生むが、歴史的評価と需要がコート・ドールほど高くない</x:v>
      </x:c>
      <x:c r="I368" s="165" t="str">
        <x:v>主要品種が異なり、ピノ・ノワールとシャルドネを使用できない</x:v>
      </x:c>
      <x:c r="J368" s="171" t="str">
        <x:v>C</x:v>
      </x:c>
      <x:c r="K368" s="165" t="str">
        <x:v>優良なピノ・ノワールとシャルドネを生むが、歴史的評価と需要がコート・ドールほど高くない</x:v>
      </x:c>
      <x:c r="L368" s="165" t="str">
        <x:v>正しい。品質の高い例がある一方、土地価格、知名度、国際需要が相対的に低い。</x:v>
      </x:c>
      <x:c r="M368" s="165" t="str">
        <x:v>誤り。畑や生産者によっては手作業も多く、価格差を生産費だけで説明できない。</x:v>
      </x:c>
      <x:c r="N368" s="165" t="str">
        <x:v>誤り。市場評価と需要は一般にコート・ドールの方が高く、同じではない。</x:v>
      </x:c>
      <x:c r="O368" s="165" t="str">
        <x:v>正しい。品質の高い例がある一方、土地価格、知名度、国際需要が相対的に低い。</x:v>
      </x:c>
      <x:c r="P368" s="165" t="str">
        <x:v>誤り。主要品種はコート・ドールと同じくピノ・ノワールとシャルドネである。</x:v>
      </x:c>
      <x:c r="Q368" s="165" t="str">
        <x:v>商業・価格</x:v>
      </x:c>
      <x:c r="R368" s="165" t="str">
        <x:v>ブルゴーニュ</x:v>
      </x:c>
      <x:c r="S368" s="165" t="str">
        <x:v>赤・白ワイン</x:v>
      </x:c>
      <x:c r="T368" s="165" t="str">
        <x:v>フランス</x:v>
      </x:c>
      <x:c r="U368" s="165" t="str">
        <x:v>コート・シャロネーズ</x:v>
      </x:c>
      <x:c r="V368" s="165" t="str">
        <x:v>ピノ・ノワール、シャルドネ</x:v>
      </x:c>
      <x:c r="W368" s="165" t="str">
        <x:v>統合判断</x:v>
      </x:c>
      <x:c r="X368" s="171" t="str">
        <x:v>D3</x:v>
      </x:c>
      <x:c r="Y368" s="165" t="str">
        <x:v>価格差を生産費だけで説明する; 両地域の評価と需要は同一; コート・シャロネーズは主要品種が異なる</x:v>
      </x:c>
      <x:c r="Z368" s="171" t="str">
        <x:v>N</x:v>
      </x:c>
      <x:c r="AA368" s="165"/>
      <x:c r="AB368" s="165" t="str">
        <x:v>オリジナル</x:v>
      </x:c>
      <x:c r="AC368" s="165" t="str">
        <x:v>公式Specificationの範囲＋ユーザー作成コーパスの論点を参考に独自作成</x:v>
      </x:c>
      <x:c r="AD368" s="171" t="str">
        <x:v>改稿済み・専門家未承認</x:v>
      </x:c>
      <x:c r="AE368" s="171" t="str">
        <x:v>AI誤答レビュー</x:v>
      </x:c>
      <x:c r="AF368" s="171" t="str">
        <x:v>2026-07-12</x:v>
      </x:c>
      <x:c r="AG368" s="312" t="str">
        <x:v>第2バッチ：誤答を同一論点内の典型的誤概念へ置換。正答位置は維持。</x:v>
      </x:c>
    </x:row>
    <x:row r="369" ht="84" customHeight="1">
      <x:c r="A369" s="311" t="str">
        <x:v>LO2-068</x:v>
      </x:c>
      <x:c r="B369" s="171" t="str">
        <x:v>LO2</x:v>
      </x:c>
      <x:c r="C369" s="165" t="str">
        <x:v>世界の主要な非発泡性ワイン</x:v>
      </x:c>
      <x:c r="D369" s="165" t="str">
        <x:v>プイィ・フュイッセ</x:v>
      </x:c>
      <x:c r="E369" s="165" t="str">
        <x:v>プイィ・フュイッセの典型的なスタイルとして最も適切なものはどれか。</x:v>
      </x:c>
      <x:c r="F369" s="165" t="str">
        <x:v>熟したリンゴや核果、中程度以上の酸、比較的豊かなボディを持つ甘口シャルドネ</x:v>
      </x:c>
      <x:c r="G369" s="165" t="str">
        <x:v>鋭い酸、火打石、軽いボディを持つ無樽シャブリ型</x:v>
      </x:c>
      <x:c r="H369" s="165" t="str">
        <x:v>強い残糖、貴腐香、低アルコールを持つ甘口シャルドネ</x:v>
      </x:c>
      <x:c r="I369" s="165" t="str">
        <x:v>熟したリンゴや核果、中程度以上の酸、比較的豊かなボディを持つ辛口シャルドネ</x:v>
      </x:c>
      <x:c r="J369" s="171" t="str">
        <x:v>D</x:v>
      </x:c>
      <x:c r="K369" s="165" t="str">
        <x:v>熟したリンゴや核果、中程度以上の酸、比較的豊かなボディを持つ辛口シャルドネ</x:v>
      </x:c>
      <x:c r="L369" s="165" t="str">
        <x:v>正しい。マコネの温暖な丘陵で、熟した果実と十分な酸を持つ。</x:v>
      </x:c>
      <x:c r="M369" s="165" t="str">
        <x:v>誤り。正答では「辛口」ことが重要であり、この選択肢は「甘口」へ置き換えて関係を逆にしている。</x:v>
      </x:c>
      <x:c r="N369" s="165" t="str">
        <x:v>誤り。プイィ・フュイッセはより温暖で豊か。</x:v>
      </x:c>
      <x:c r="O369" s="165" t="str">
        <x:v>誤り。通常は辛口。</x:v>
      </x:c>
      <x:c r="P369" s="165" t="str">
        <x:v>正しい。マコネの温暖な丘陵で、熟した果実と十分な酸を持つ。</x:v>
      </x:c>
      <x:c r="Q369" s="165" t="str">
        <x:v>産地</x:v>
      </x:c>
      <x:c r="R369" s="165" t="str">
        <x:v>マコネ</x:v>
      </x:c>
      <x:c r="S369" s="165" t="str">
        <x:v>白ワイン</x:v>
      </x:c>
      <x:c r="T369" s="165" t="str">
        <x:v>フランス</x:v>
      </x:c>
      <x:c r="U369" s="165" t="str">
        <x:v>プイィ・フュイッセ</x:v>
      </x:c>
      <x:c r="V369" s="165" t="str">
        <x:v>シャルドネ</x:v>
      </x:c>
      <x:c r="W369" s="165" t="str">
        <x:v>知識確認</x:v>
      </x:c>
      <x:c r="X369" s="171" t="str">
        <x:v>D2</x:v>
      </x:c>
      <x:c r="Y369" s="165" t="str">
        <x:v>「辛口」と「甘口」の関係を逆転; プイィフュイッセをシャブリ型と混同; プイィフュイッセを貴腐甘口と混同</x:v>
      </x:c>
      <x:c r="Z369" s="171" t="str">
        <x:v>N</x:v>
      </x:c>
      <x:c r="AA369" s="165"/>
      <x:c r="AB369" s="165" t="str">
        <x:v>オリジナル</x:v>
      </x:c>
      <x:c r="AC369" s="165" t="str">
        <x:v>公式Specificationの範囲＋ユーザー作成コーパスの論点を参考に独自作成</x:v>
      </x:c>
      <x:c r="AD369" s="171" t="str">
        <x:v>改稿済み・専門家未承認</x:v>
      </x:c>
      <x:c r="AE369" s="171" t="str">
        <x:v>AI誤答レビュー</x:v>
      </x:c>
      <x:c r="AF369" s="171" t="str">
        <x:v>2026-07-12</x:v>
      </x:c>
      <x:c r="AG369" s="312" t="str">
        <x:v>第4バッチ：同一論点内の典型的誤概念へ置換。正答位置は維持。</x:v>
      </x:c>
    </x:row>
    <x:row r="370" ht="84" customHeight="1">
      <x:c r="A370" s="311" t="str">
        <x:v>LO2-069</x:v>
      </x:c>
      <x:c r="B370" s="171" t="str">
        <x:v>LO2</x:v>
      </x:c>
      <x:c r="C370" s="165" t="str">
        <x:v>世界の主要な非発泡性ワイン</x:v>
      </x:c>
      <x:c r="D370" s="165" t="str">
        <x:v>サヴニエール</x:v>
      </x:c>
      <x:c r="E370" s="165" t="str">
        <x:v>サヴニエールの辛口白ワインが長期熟成に向く主な理由はどれか。</x:v>
      </x:c>
      <x:c r="F370" s="165" t="str">
        <x:v>シュナン・ブランの高い酸と凝縮した風味を持つため</x:v>
      </x:c>
      <x:c r="G370" s="165" t="str">
        <x:v>タンク方式の二次発酵で高圧になるから</x:v>
      </x:c>
      <x:c r="H370" s="165" t="str">
        <x:v>赤品種カベルネ・フランの高いタンニンによる</x:v>
      </x:c>
      <x:c r="I370" s="165" t="str">
        <x:v>残糖が極端に高いから</x:v>
      </x:c>
      <x:c r="J370" s="171" t="str">
        <x:v>A</x:v>
      </x:c>
      <x:c r="K370" s="165" t="str">
        <x:v>シュナン・ブランの高い酸と凝縮した風味を持つため</x:v>
      </x:c>
      <x:c r="L370" s="165" t="str">
        <x:v>正しい。低収量のシュナン・ブランから、石や蜜蝋を思わせる複雑な辛口白が造られ、高い酸が熟成を支える。</x:v>
      </x:c>
      <x:c r="M370" s="165" t="str">
        <x:v>正しい。低収量のシュナン・ブランから、石や蜜蝋を思わせる複雑な辛口白が造られ、高い酸が熟成を支える。</x:v>
      </x:c>
      <x:c r="N370" s="165" t="str">
        <x:v>誤り。サヴニエールは非発泡性白が中心である。</x:v>
      </x:c>
      <x:c r="O370" s="165" t="str">
        <x:v>誤り。主要品種は白のシュナン・ブランである。</x:v>
      </x:c>
      <x:c r="P370" s="165" t="str">
        <x:v>誤り。サヴニエールは主に辛口で、熟成能力は残糖だけによらない。</x:v>
      </x:c>
      <x:c r="Q370" s="165" t="str">
        <x:v>産地</x:v>
      </x:c>
      <x:c r="R370" s="165" t="str">
        <x:v>ロワール</x:v>
      </x:c>
      <x:c r="S370" s="165" t="str">
        <x:v>白ワイン</x:v>
      </x:c>
      <x:c r="T370" s="165" t="str">
        <x:v>フランス</x:v>
      </x:c>
      <x:c r="U370" s="165" t="str">
        <x:v>サヴニエール</x:v>
      </x:c>
      <x:c r="V370" s="165" t="str">
        <x:v>シュナン・ブラン</x:v>
      </x:c>
      <x:c r="W370" s="165" t="str">
        <x:v>因果説明</x:v>
      </x:c>
      <x:c r="X370" s="171" t="str">
        <x:v>D2</x:v>
      </x:c>
      <x:c r="Y370" s="165" t="str">
        <x:v>サヴニエールについて関連要因を主因とみなす; サヴニエールについて関連要因を主因とみなす; サヴニエールについて関連要因を主因とみなす</x:v>
      </x:c>
      <x:c r="Z370" s="171" t="str">
        <x:v>N</x:v>
      </x:c>
      <x:c r="AA370" s="165"/>
      <x:c r="AB370" s="165" t="str">
        <x:v>オリジナル</x:v>
      </x:c>
      <x:c r="AC370" s="165" t="str">
        <x:v>公式Specificationの範囲＋ユーザー作成コーパスの論点を参考に独自作成</x:v>
      </x:c>
      <x:c r="AD370" s="171" t="str">
        <x:v>改稿済み・専門家未承認</x:v>
      </x:c>
      <x:c r="AE370" s="171" t="str">
        <x:v>AI誤答レビュー</x:v>
      </x:c>
      <x:c r="AF370" s="171" t="str">
        <x:v>2026-07-12</x:v>
      </x:c>
      <x:c r="AG370" s="312" t="str">
        <x:v>第5バッチ：使用可能な誤答を維持し、弱い誤答を因果逆転・隣接概念へ置換。正答位置は維持。</x:v>
      </x:c>
    </x:row>
    <x:row r="371" ht="84" customHeight="1">
      <x:c r="A371" s="311" t="str">
        <x:v>LO2-070</x:v>
      </x:c>
      <x:c r="B371" s="171" t="str">
        <x:v>LO2</x:v>
      </x:c>
      <x:c r="C371" s="165" t="str">
        <x:v>世界の主要な非発泡性ワイン</x:v>
      </x:c>
      <x:c r="D371" s="165" t="str">
        <x:v>シノン</x:v>
      </x:c>
      <x:c r="E371" s="165" t="str">
        <x:v>シノンの砂利質の平地から造られるカベルネ・フランに典型的なスタイルはどれか。</x:v>
      </x:c>
      <x:c r="F371" s="165" t="str">
        <x:v>赤い果実、ハーブ、低い酸、軽めのボディと穏やかなタンニン</x:v>
      </x:c>
      <x:c r="G371" s="165" t="str">
        <x:v>赤い果実、ハーブ、高い酸、軽めのボディと穏やかなタンニン</x:v>
      </x:c>
      <x:c r="H371" s="165" t="str">
        <x:v>黒系果実、非常に高いタンニン、長期樽熟成の濃厚赤</x:v>
      </x:c>
      <x:c r="I371" s="165" t="str">
        <x:v>高い残糖と低アルコールを持つ甘口赤</x:v>
      </x:c>
      <x:c r="J371" s="171" t="str">
        <x:v>B</x:v>
      </x:c>
      <x:c r="K371" s="165" t="str">
        <x:v>赤い果実、ハーブ、高い酸、軽めのボディと穏やかなタンニン</x:v>
      </x:c>
      <x:c r="L371" s="165" t="str">
        <x:v>正しい。暖まりやすい砂利土壌から、早く成熟し若飲みしやすい赤を得る。</x:v>
      </x:c>
      <x:c r="M371" s="165" t="str">
        <x:v>誤り。正答では「高い酸」ことが重要であり、この選択肢は「低い酸」へ置き換えて関係を逆にしている。</x:v>
      </x:c>
      <x:c r="N371" s="165" t="str">
        <x:v>正しい。暖まりやすい砂利土壌から、早く成熟し若飲みしやすい赤を得る。</x:v>
      </x:c>
      <x:c r="O371" s="165" t="str">
        <x:v>誤り。砂利平地のシノンはより軽快で早飲み。</x:v>
      </x:c>
      <x:c r="P371" s="165" t="str">
        <x:v>誤り。通常は辛口。</x:v>
      </x:c>
      <x:c r="Q371" s="165" t="str">
        <x:v>産地</x:v>
      </x:c>
      <x:c r="R371" s="165" t="str">
        <x:v>ロワール</x:v>
      </x:c>
      <x:c r="S371" s="165" t="str">
        <x:v>赤ワイン</x:v>
      </x:c>
      <x:c r="T371" s="165" t="str">
        <x:v>フランス</x:v>
      </x:c>
      <x:c r="U371" s="165" t="str">
        <x:v>シノン</x:v>
      </x:c>
      <x:c r="V371" s="165" t="str">
        <x:v>カベルネ・フラン</x:v>
      </x:c>
      <x:c r="W371" s="165" t="str">
        <x:v>適用</x:v>
      </x:c>
      <x:c r="X371" s="171" t="str">
        <x:v>D3</x:v>
      </x:c>
      <x:c r="Y371" s="165" t="str">
        <x:v>「高い酸」と「低い酸」の関係を逆転; シノン平地を濃厚長熟型と混同; シノンを甘口赤と混同</x:v>
      </x:c>
      <x:c r="Z371" s="171" t="str">
        <x:v>N</x:v>
      </x:c>
      <x:c r="AA371" s="165"/>
      <x:c r="AB371" s="165" t="str">
        <x:v>オリジナル</x:v>
      </x:c>
      <x:c r="AC371" s="165" t="str">
        <x:v>公式Specificationの範囲＋ユーザー作成コーパスの論点を参考に独自作成</x:v>
      </x:c>
      <x:c r="AD371" s="171" t="str">
        <x:v>改稿済み・専門家未承認</x:v>
      </x:c>
      <x:c r="AE371" s="171" t="str">
        <x:v>AI誤答レビュー</x:v>
      </x:c>
      <x:c r="AF371" s="171" t="str">
        <x:v>2026-07-12</x:v>
      </x:c>
      <x:c r="AG371" s="312" t="str">
        <x:v>第4バッチ：同一論点内の典型的誤概念へ置換。正答位置は維持。</x:v>
      </x:c>
    </x:row>
    <x:row r="372" ht="84" customHeight="1">
      <x:c r="A372" s="311" t="str">
        <x:v>LO2-071</x:v>
      </x:c>
      <x:c r="B372" s="171" t="str">
        <x:v>LO2</x:v>
      </x:c>
      <x:c r="C372" s="165" t="str">
        <x:v>世界の主要な非発泡性ワイン</x:v>
      </x:c>
      <x:c r="D372" s="165" t="str">
        <x:v>コトー・デュ・レイヨン</x:v>
      </x:c>
      <x:c r="E372" s="165" t="str">
        <x:v>コトー・デュ・レイヨンの甘口ワインが、甘味と高い酸を両立しやすい主な理由はどれか。</x:v>
      </x:c>
      <x:c r="F372" s="165" t="str">
        <x:v>低酸のセミヨンを早摘みし、発酵後に酸を添加するため</x:v>
      </x:c>
      <x:c r="G372" s="165" t="str">
        <x:v>シュナン・ブランを辛口まで発酵し、濃縮果汁だけで甘味を加えるため</x:v>
      </x:c>
      <x:c r="H372" s="165" t="str">
        <x:v>高酸のシュナン・ブランを、貴腐または樹上で濃縮して収穫するため</x:v>
      </x:c>
      <x:c r="I372" s="165" t="str">
        <x:v>高収量のブドウを早摘みし、低アルコールにするため</x:v>
      </x:c>
      <x:c r="J372" s="171" t="str">
        <x:v>C</x:v>
      </x:c>
      <x:c r="K372" s="165" t="str">
        <x:v>高酸のシュナン・ブランを、貴腐または樹上で濃縮して収穫するため</x:v>
      </x:c>
      <x:c r="L372" s="165" t="str">
        <x:v>正しい。品種の高い酸が、貴腐やパスリヤージュによる糖濃縮を支える。</x:v>
      </x:c>
      <x:c r="M372" s="165" t="str">
        <x:v>誤り。主要品種はシュナン・ブランで、セミヨンではない。</x:v>
      </x:c>
      <x:c r="N372" s="165" t="str">
        <x:v>誤り。一部の甘味調整ではなく、濃縮したシュナンの糖と酸が中心である。</x:v>
      </x:c>
      <x:c r="O372" s="165" t="str">
        <x:v>正しい。品種の高い酸が、貴腐やパスリヤージュによる糖濃縮を支える。</x:v>
      </x:c>
      <x:c r="P372" s="165" t="str">
        <x:v>誤り。高収量・早摘みだけでは十分な甘味と濃度を得にくい。</x:v>
      </x:c>
      <x:c r="Q372" s="165" t="str">
        <x:v>産地</x:v>
      </x:c>
      <x:c r="R372" s="165" t="str">
        <x:v>ロワール</x:v>
      </x:c>
      <x:c r="S372" s="165" t="str">
        <x:v>甘口白ワイン</x:v>
      </x:c>
      <x:c r="T372" s="165" t="str">
        <x:v>フランス</x:v>
      </x:c>
      <x:c r="U372" s="165" t="str">
        <x:v>コトー・デュ・レイヨン</x:v>
      </x:c>
      <x:c r="V372" s="165" t="str">
        <x:v>シュナン・ブラン</x:v>
      </x:c>
      <x:c r="W372" s="165" t="str">
        <x:v>因果説明</x:v>
      </x:c>
      <x:c r="X372" s="171" t="str">
        <x:v>D2</x:v>
      </x:c>
      <x:c r="Y372" s="165" t="str">
        <x:v>主要品種は低酸セミヨンで酸添加する; 辛口発酵後の甘味添加が典型; 高収量早摘みで甘口高酸を得る</x:v>
      </x:c>
      <x:c r="Z372" s="171" t="str">
        <x:v>N</x:v>
      </x:c>
      <x:c r="AA372" s="165"/>
      <x:c r="AB372" s="165" t="str">
        <x:v>オリジナル</x:v>
      </x:c>
      <x:c r="AC372" s="165" t="str">
        <x:v>公式Specificationの範囲＋ユーザー作成コーパスの論点を参考に独自作成</x:v>
      </x:c>
      <x:c r="AD372" s="171" t="str">
        <x:v>改稿済み・専門家未承認</x:v>
      </x:c>
      <x:c r="AE372" s="171" t="str">
        <x:v>AI誤答レビュー</x:v>
      </x:c>
      <x:c r="AF372" s="171" t="str">
        <x:v>2026-07-12</x:v>
      </x:c>
      <x:c r="AG372" s="312" t="str">
        <x:v>第3バッチ：同一論点内の典型的誤概念へ置換。正答位置は維持。</x:v>
      </x:c>
    </x:row>
    <x:row r="373" ht="84" customHeight="1">
      <x:c r="A373" s="311" t="str">
        <x:v>LO2-072</x:v>
      </x:c>
      <x:c r="B373" s="171" t="str">
        <x:v>LO2</x:v>
      </x:c>
      <x:c r="C373" s="165" t="str">
        <x:v>世界の主要な非発泡性ワイン</x:v>
      </x:c>
      <x:c r="D373" s="165" t="str">
        <x:v>コート・ロティ</x:v>
      </x:c>
      <x:c r="E373" s="165" t="str">
        <x:v>コート・ロティでヴィオニエを少量シラーと共発酵する場合の主な効果はどれか。</x:v>
      </x:c>
      <x:c r="F373" s="165" t="str">
        <x:v>ヴィオニエの高い酸によってシラーのpHが大きく下がる</x:v>
      </x:c>
      <x:c r="G373" s="165" t="str">
        <x:v>ヴィオニエの果皮色素がシラーより多く、赤色を直接濃くする</x:v>
      </x:c>
      <x:c r="H373" s="165" t="str">
        <x:v>ヴィオニエの高いタンニンによってワインの構造が強くなる</x:v>
      </x:c>
      <x:c r="I373" s="165" t="str">
        <x:v>香りを高め、共色素作用で色の安定に寄与し、質感をやや柔らかくする</x:v>
      </x:c>
      <x:c r="J373" s="171" t="str">
        <x:v>D</x:v>
      </x:c>
      <x:c r="K373" s="165" t="str">
        <x:v>香りを高め、共色素作用で色の安定に寄与し、質感をやや柔らかくする</x:v>
      </x:c>
      <x:c r="L373" s="165" t="str">
        <x:v>正しい。ヴィオニエの花香を加え、共色素作用でシラーの色を安定させ、口当たりを和らげる場合がある。</x:v>
      </x:c>
      <x:c r="M373" s="165" t="str">
        <x:v>誤り。ヴィオニエは一般に酸が特に高い品種ではなく、pHを大きく下げることが主目的ではない。</x:v>
      </x:c>
      <x:c r="N373" s="165" t="str">
        <x:v>誤り。ヴィオニエは白品種で赤色素を多く持たない。色への寄与は直接色素ではなく共色素作用による。</x:v>
      </x:c>
      <x:c r="O373" s="165" t="str">
        <x:v>誤り。ヴィオニエは高タンニン品種ではなく、共発酵は香りと質感を柔らかくする方向に働くことがある。</x:v>
      </x:c>
      <x:c r="P373" s="165" t="str">
        <x:v>正しい。ヴィオニエの花香を加え、共色素作用でシラーの色を安定させ、口当たりを和らげる場合がある。</x:v>
      </x:c>
      <x:c r="Q373" s="165" t="str">
        <x:v>醸造</x:v>
      </x:c>
      <x:c r="R373" s="165" t="str">
        <x:v>北部ローヌ</x:v>
      </x:c>
      <x:c r="S373" s="165" t="str">
        <x:v>赤ワイン</x:v>
      </x:c>
      <x:c r="T373" s="165" t="str">
        <x:v>フランス</x:v>
      </x:c>
      <x:c r="U373" s="165" t="str">
        <x:v>コート・ロティ</x:v>
      </x:c>
      <x:c r="V373" s="165" t="str">
        <x:v>シラー、ヴィオニエ</x:v>
      </x:c>
      <x:c r="W373" s="165" t="str">
        <x:v>因果説明</x:v>
      </x:c>
      <x:c r="X373" s="171" t="str">
        <x:v>D3</x:v>
      </x:c>
      <x:c r="Y373" s="165" t="str">
        <x:v>ヴィオニエは高酸; 白品種が赤色素を直接供給; ヴィオニエは高タンニン</x:v>
      </x:c>
      <x:c r="Z373" s="171" t="str">
        <x:v>N</x:v>
      </x:c>
      <x:c r="AA373" s="165"/>
      <x:c r="AB373" s="165" t="str">
        <x:v>オリジナル</x:v>
      </x:c>
      <x:c r="AC373" s="165" t="str">
        <x:v>公式Specificationの範囲＋ユーザー作成コーパスの論点を参考に独自作成</x:v>
      </x:c>
      <x:c r="AD373" s="171" t="str">
        <x:v>改稿済み・専門家未承認</x:v>
      </x:c>
      <x:c r="AE373" s="171" t="str">
        <x:v>AI誤答レビュー</x:v>
      </x:c>
      <x:c r="AF373" s="171" t="str">
        <x:v>2026-07-12</x:v>
      </x:c>
      <x:c r="AG373" s="312" t="str">
        <x:v>誤答を同一論点内の典型的誤概念へ置換。900問本体への反映前に専門家確認推奨。</x:v>
      </x:c>
    </x:row>
    <x:row r="374" ht="84" customHeight="1">
      <x:c r="A374" s="311" t="str">
        <x:v>LO2-073</x:v>
      </x:c>
      <x:c r="B374" s="171" t="str">
        <x:v>LO2</x:v>
      </x:c>
      <x:c r="C374" s="165" t="str">
        <x:v>世界の主要な非発泡性ワイン</x:v>
      </x:c>
      <x:c r="D374" s="165" t="str">
        <x:v>エルミタージュ</x:v>
      </x:c>
      <x:c r="E374" s="165" t="str">
        <x:v>赤のエルミタージュが長期熟成に向く主な理由はどれか。</x:v>
      </x:c>
      <x:c r="F374" s="165" t="str">
        <x:v>シラーの高い酸とタンニン、凝縮した黒果実、低収量の急斜面</x:v>
      </x:c>
      <x:c r="G374" s="165" t="str">
        <x:v>シラーの低い酸とタンニン、凝縮した黒果実、低収量の急斜面</x:v>
      </x:c>
      <x:c r="H374" s="165" t="str">
        <x:v>グルナッシュ主体で低い酸と柔らかなタンニンを持つため</x:v>
      </x:c>
      <x:c r="I374" s="165" t="str">
        <x:v>高い残糖と酒精強化が酸化を防ぐため</x:v>
      </x:c>
      <x:c r="J374" s="171" t="str">
        <x:v>A</x:v>
      </x:c>
      <x:c r="K374" s="165" t="str">
        <x:v>シラーの高い酸とタンニン、凝縮した黒果実、低収量の急斜面</x:v>
      </x:c>
      <x:c r="L374" s="165" t="str">
        <x:v>正しい。強い構造と果実濃度が、長期瓶熟成と複雑性の発達を支える。</x:v>
      </x:c>
      <x:c r="M374" s="165" t="str">
        <x:v>正しい。強い構造と果実濃度が、長期瓶熟成と複雑性の発達を支える。</x:v>
      </x:c>
      <x:c r="N374" s="165" t="str">
        <x:v>誤り。正答では「高い酸」ことが重要であり、この選択肢は「低い酸」へ置き換えて関係を逆にしている。</x:v>
      </x:c>
      <x:c r="O374" s="165" t="str">
        <x:v>誤り。エルミタージュ赤はシラー主体。</x:v>
      </x:c>
      <x:c r="P374" s="165" t="str">
        <x:v>誤り。辛口非酒精強化赤。</x:v>
      </x:c>
      <x:c r="Q374" s="165" t="str">
        <x:v>産地</x:v>
      </x:c>
      <x:c r="R374" s="165" t="str">
        <x:v>北部ローヌ</x:v>
      </x:c>
      <x:c r="S374" s="165" t="str">
        <x:v>赤ワイン</x:v>
      </x:c>
      <x:c r="T374" s="165" t="str">
        <x:v>フランス</x:v>
      </x:c>
      <x:c r="U374" s="165" t="str">
        <x:v>エルミタージュ</x:v>
      </x:c>
      <x:c r="V374" s="165" t="str">
        <x:v>シラー</x:v>
      </x:c>
      <x:c r="W374" s="165" t="str">
        <x:v>統合判断</x:v>
      </x:c>
      <x:c r="X374" s="171" t="str">
        <x:v>D3</x:v>
      </x:c>
      <x:c r="Y374" s="165" t="str">
        <x:v>「高い酸」と「低い酸」の関係を逆転; エルミタージュを南部ローヌ型と混同; エルミタージュを酒精強化甘口と混同</x:v>
      </x:c>
      <x:c r="Z374" s="171" t="str">
        <x:v>N</x:v>
      </x:c>
      <x:c r="AA374" s="165"/>
      <x:c r="AB374" s="165" t="str">
        <x:v>オリジナル</x:v>
      </x:c>
      <x:c r="AC374" s="165" t="str">
        <x:v>公式Specificationの範囲＋ユーザー作成コーパスの論点を参考に独自作成</x:v>
      </x:c>
      <x:c r="AD374" s="171" t="str">
        <x:v>改稿済み・専門家未承認</x:v>
      </x:c>
      <x:c r="AE374" s="171" t="str">
        <x:v>AI誤答レビュー</x:v>
      </x:c>
      <x:c r="AF374" s="171" t="str">
        <x:v>2026-07-12</x:v>
      </x:c>
      <x:c r="AG374" s="312" t="str">
        <x:v>第4バッチ：同一論点内の典型的誤概念へ置換。正答位置は維持。</x:v>
      </x:c>
    </x:row>
    <x:row r="375" ht="84" customHeight="1">
      <x:c r="A375" s="311" t="str">
        <x:v>LO2-074</x:v>
      </x:c>
      <x:c r="B375" s="171" t="str">
        <x:v>LO2</x:v>
      </x:c>
      <x:c r="C375" s="165" t="str">
        <x:v>世界の主要な非発泡性ワイン</x:v>
      </x:c>
      <x:c r="D375" s="165" t="str">
        <x:v>コルナス</x:v>
      </x:c>
      <x:c r="E375" s="165" t="str">
        <x:v>コルナスのシラーが力強く黒系果実の熟したスタイルになりやすい主な理由はどれか。</x:v>
      </x:c>
      <x:c r="F375" s="165" t="str">
        <x:v>多くの果実を貴腐化するため</x:v>
      </x:c>
      <x:c r="G375" s="165" t="str">
        <x:v>南向きで風から守られた花崗岩の斜面が熱を蓄え、シラーの成熟を促すため</x:v>
      </x:c>
      <x:c r="H375" s="165" t="str">
        <x:v>白品種リースリングを凍結収穫するため</x:v>
      </x:c>
      <x:c r="I375" s="165" t="str">
        <x:v>大西洋の冷たい海水を畑へ灌漑するため</x:v>
      </x:c>
      <x:c r="J375" s="171" t="str">
        <x:v>B</x:v>
      </x:c>
      <x:c r="K375" s="165" t="str">
        <x:v>南向きで風から守られた花崗岩の斜面が熱を蓄え、シラーの成熟を促すため</x:v>
      </x:c>
      <x:c r="L375" s="165" t="str">
        <x:v>正しい。自然の円形劇場のような地形が日照と暖かさを確保し、北部ローヌでも比較的濃厚なシラーを生む。</x:v>
      </x:c>
      <x:c r="M375" s="165" t="str">
        <x:v>誤り。貴腐甘口ワインの産地ではない。</x:v>
      </x:c>
      <x:c r="N375" s="165" t="str">
        <x:v>正しい。自然の円形劇場のような地形が日照と暖かさを確保し、北部ローヌでも比較的濃厚なシラーを生む。</x:v>
      </x:c>
      <x:c r="O375" s="165" t="str">
        <x:v>誤り。主要品種はシラーで、辛口赤を造る。</x:v>
      </x:c>
      <x:c r="P375" s="165" t="str">
        <x:v>誤り。コルナスは内陸で、海水灌漑は行わない。</x:v>
      </x:c>
      <x:c r="Q375" s="165" t="str">
        <x:v>自然要因</x:v>
      </x:c>
      <x:c r="R375" s="165" t="str">
        <x:v>北部ローヌ</x:v>
      </x:c>
      <x:c r="S375" s="165" t="str">
        <x:v>赤ワイン</x:v>
      </x:c>
      <x:c r="T375" s="165" t="str">
        <x:v>フランス</x:v>
      </x:c>
      <x:c r="U375" s="165" t="str">
        <x:v>コルナス</x:v>
      </x:c>
      <x:c r="V375" s="165" t="str">
        <x:v>シラー</x:v>
      </x:c>
      <x:c r="W375" s="165" t="str">
        <x:v>因果説明</x:v>
      </x:c>
      <x:c r="X375" s="171" t="str">
        <x:v>D2</x:v>
      </x:c>
      <x:c r="Y375" s="165" t="str">
        <x:v>コルナスについて関連要因を主因とみなす; コルナスについて関連要因を主因とみなす; コルナスについて関連要因を主因とみなす</x:v>
      </x:c>
      <x:c r="Z375" s="171" t="str">
        <x:v>N</x:v>
      </x:c>
      <x:c r="AA375" s="165"/>
      <x:c r="AB375" s="165" t="str">
        <x:v>オリジナル</x:v>
      </x:c>
      <x:c r="AC375" s="165" t="str">
        <x:v>公式Specificationの範囲＋ユーザー作成コーパスの論点を参考に独自作成</x:v>
      </x:c>
      <x:c r="AD375" s="171" t="str">
        <x:v>改稿済み・専門家未承認</x:v>
      </x:c>
      <x:c r="AE375" s="171" t="str">
        <x:v>AI誤答レビュー</x:v>
      </x:c>
      <x:c r="AF375" s="171" t="str">
        <x:v>2026-07-12</x:v>
      </x:c>
      <x:c r="AG375" s="312" t="str">
        <x:v>第5バッチ：使用可能な誤答を維持し、弱い誤答を因果逆転・隣接概念へ置換。正答位置は維持。</x:v>
      </x:c>
    </x:row>
    <x:row r="376" ht="84" customHeight="1">
      <x:c r="A376" s="311" t="str">
        <x:v>LO2-075</x:v>
      </x:c>
      <x:c r="B376" s="171" t="str">
        <x:v>LO2</x:v>
      </x:c>
      <x:c r="C376" s="165" t="str">
        <x:v>世界の主要な非発泡性ワイン</x:v>
      </x:c>
      <x:c r="D376" s="165" t="str">
        <x:v>シャトーヌフ・デュ・パプ</x:v>
      </x:c>
      <x:c r="E376" s="165" t="str">
        <x:v>シャトーヌフ・デュ・パプの赤ワインに典型的な特徴はどれか。</x:v>
      </x:c>
      <x:c r="F376" s="165" t="str">
        <x:v>グルナッシュ主体で、熟した赤・黒系果実、低いアルコール、ハーブとスパイスを持つ</x:v>
      </x:c>
      <x:c r="G376" s="165" t="str">
        <x:v>シラー単一で、黒胡椒、高い酸、比較的低いアルコールを持つ</x:v>
      </x:c>
      <x:c r="H376" s="165" t="str">
        <x:v>グルナッシュ主体で、熟した赤・黒系果実、高いアルコール、ハーブとスパイスを持つ</x:v>
      </x:c>
      <x:c r="I376" s="165" t="str">
        <x:v>ピノ・ノワール主体で淡色・低タンニンの赤</x:v>
      </x:c>
      <x:c r="J376" s="171" t="str">
        <x:v>C</x:v>
      </x:c>
      <x:c r="K376" s="165" t="str">
        <x:v>グルナッシュ主体で、熟した赤・黒系果実、高いアルコール、ハーブとスパイスを持つ</x:v>
      </x:c>
      <x:c r="L376" s="165" t="str">
        <x:v>正しい。南部ローヌの温暖乾燥気候と複数品種が、豊かな果実とガリーグ香を与える。</x:v>
      </x:c>
      <x:c r="M376" s="165" t="str">
        <x:v>誤り。正答では「高いアルコール」ことが重要であり、この選択肢は「低いアルコール」へ置き換えて関係を逆にしている。</x:v>
      </x:c>
      <x:c r="N376" s="165" t="str">
        <x:v>誤り。北部ローヌ型であり、シャトーヌフはブレンド。</x:v>
      </x:c>
      <x:c r="O376" s="165" t="str">
        <x:v>正しい。南部ローヌの温暖乾燥気候と複数品種が、豊かな果実とガリーグ香を与える。</x:v>
      </x:c>
      <x:c r="P376" s="165" t="str">
        <x:v>誤り。主要品種・気候が異なる。</x:v>
      </x:c>
      <x:c r="Q376" s="165" t="str">
        <x:v>産地</x:v>
      </x:c>
      <x:c r="R376" s="165" t="str">
        <x:v>南部ローヌ</x:v>
      </x:c>
      <x:c r="S376" s="165" t="str">
        <x:v>赤ワイン</x:v>
      </x:c>
      <x:c r="T376" s="165" t="str">
        <x:v>フランス</x:v>
      </x:c>
      <x:c r="U376" s="165" t="str">
        <x:v>シャトーヌフ・デュ・パプ</x:v>
      </x:c>
      <x:c r="V376" s="165" t="str">
        <x:v>グルナッシュ、シラー、ムールヴェードル</x:v>
      </x:c>
      <x:c r="W376" s="165" t="str">
        <x:v>知識確認</x:v>
      </x:c>
      <x:c r="X376" s="171" t="str">
        <x:v>D2</x:v>
      </x:c>
      <x:c r="Y376" s="165" t="str">
        <x:v>「高いアルコール」と「低いアルコール」の関係を逆転; シャトーヌフをシラー単一北部型と混同; シャトーヌフをピノ型と混同</x:v>
      </x:c>
      <x:c r="Z376" s="171" t="str">
        <x:v>N</x:v>
      </x:c>
      <x:c r="AA376" s="165"/>
      <x:c r="AB376" s="165" t="str">
        <x:v>オリジナル</x:v>
      </x:c>
      <x:c r="AC376" s="165" t="str">
        <x:v>公式Specificationの範囲＋ユーザー作成コーパスの論点を参考に独自作成</x:v>
      </x:c>
      <x:c r="AD376" s="171" t="str">
        <x:v>改稿済み・専門家未承認</x:v>
      </x:c>
      <x:c r="AE376" s="171" t="str">
        <x:v>AI誤答レビュー</x:v>
      </x:c>
      <x:c r="AF376" s="171" t="str">
        <x:v>2026-07-12</x:v>
      </x:c>
      <x:c r="AG376" s="312" t="str">
        <x:v>第4バッチ：同一論点内の典型的誤概念へ置換。正答位置は維持。</x:v>
      </x:c>
    </x:row>
    <x:row r="377" ht="84" customHeight="1">
      <x:c r="A377" s="311" t="str">
        <x:v>LO2-076</x:v>
      </x:c>
      <x:c r="B377" s="171" t="str">
        <x:v>LO2</x:v>
      </x:c>
      <x:c r="C377" s="165" t="str">
        <x:v>世界の主要な非発泡性ワイン</x:v>
      </x:c>
      <x:c r="D377" s="165" t="str">
        <x:v>ジゴンダス</x:v>
      </x:c>
      <x:c r="E377" s="165" t="str">
        <x:v>ジゴンダスが南部ローヌの低地産ワインより引き締まった酸とタンニンを保ちやすい理由はどれか。</x:v>
      </x:c>
      <x:c r="F377" s="165" t="str">
        <x:v>大西洋の恒常的な霧で日照がないため</x:v>
      </x:c>
      <x:c r="G377" s="165" t="str">
        <x:v>リースリングを高収量で栽培するため</x:v>
      </x:c>
      <x:c r="H377" s="165" t="str">
        <x:v>発酵を途中で止め、残糖を残すため</x:v>
      </x:c>
      <x:c r="I377" s="165" t="str">
        <x:v>標高の高い斜面と冷涼な夜が成熟を緩やかにするため</x:v>
      </x:c>
      <x:c r="J377" s="171" t="str">
        <x:v>D</x:v>
      </x:c>
      <x:c r="K377" s="165" t="str">
        <x:v>標高の高い斜面と冷涼な夜が成熟を緩やかにするため</x:v>
      </x:c>
      <x:c r="L377" s="165" t="str">
        <x:v>正しい。ダンテル・ド・モンミライユ周辺の高い畑は昼夜差を生み、熟した果実味と構造を両立しやすい。</x:v>
      </x:c>
      <x:c r="M377" s="165" t="str">
        <x:v>誤り。地中海性気候で日照は豊富であり、標高の冷却が重要である。</x:v>
      </x:c>
      <x:c r="N377" s="165" t="str">
        <x:v>誤り。主要品種はグルナッシュ、シラー、ムールヴェードルである。</x:v>
      </x:c>
      <x:c r="O377" s="165" t="str">
        <x:v>誤り。ジゴンダスの赤は通常辛口である。</x:v>
      </x:c>
      <x:c r="P377" s="165" t="str">
        <x:v>正しい。ダンテル・ド・モンミライユ周辺の高い畑は昼夜差を生み、熟した果実味と構造を両立しやすい。</x:v>
      </x:c>
      <x:c r="Q377" s="165" t="str">
        <x:v>自然要因</x:v>
      </x:c>
      <x:c r="R377" s="165" t="str">
        <x:v>南部ローヌ</x:v>
      </x:c>
      <x:c r="S377" s="165" t="str">
        <x:v>赤ワイン</x:v>
      </x:c>
      <x:c r="T377" s="165" t="str">
        <x:v>フランス</x:v>
      </x:c>
      <x:c r="U377" s="165" t="str">
        <x:v>ジゴンダス</x:v>
      </x:c>
      <x:c r="V377" s="165" t="str">
        <x:v>グルナッシュ、シラー、ムールヴェードル</x:v>
      </x:c>
      <x:c r="W377" s="165" t="str">
        <x:v>因果説明</x:v>
      </x:c>
      <x:c r="X377" s="171" t="str">
        <x:v>D3</x:v>
      </x:c>
      <x:c r="Y377" s="165" t="str">
        <x:v>ジゴンダスに関する別の特徴・要因と混同; ジゴンダスに関する別の特徴・要因と混同; ジゴンダスに関する別の特徴・要因と混同</x:v>
      </x:c>
      <x:c r="Z377" s="171" t="str">
        <x:v>N</x:v>
      </x:c>
      <x:c r="AA377" s="165"/>
      <x:c r="AB377" s="165" t="str">
        <x:v>オリジナル</x:v>
      </x:c>
      <x:c r="AC377" s="165" t="str">
        <x:v>公式Specificationの範囲＋ユーザー作成コーパスの論点を参考に独自作成</x:v>
      </x:c>
      <x:c r="AD377" s="171" t="str">
        <x:v>改稿済み・専門家未承認</x:v>
      </x:c>
      <x:c r="AE377" s="171" t="str">
        <x:v>AI誤答レビュー</x:v>
      </x:c>
      <x:c r="AF377" s="171" t="str">
        <x:v>2026-07-12</x:v>
      </x:c>
      <x:c r="AG377" s="312" t="str">
        <x:v>最終バッチ：有効な誤答を維持し、絶対語・物理的不可能な誤答のみ置換。正答位置は維持。</x:v>
      </x:c>
    </x:row>
    <x:row r="378" ht="84" customHeight="1">
      <x:c r="A378" s="311" t="str">
        <x:v>LO2-077</x:v>
      </x:c>
      <x:c r="B378" s="171" t="str">
        <x:v>LO2</x:v>
      </x:c>
      <x:c r="C378" s="165" t="str">
        <x:v>世界の主要な非発泡性ワイン</x:v>
      </x:c>
      <x:c r="D378" s="165" t="str">
        <x:v>タヴェル</x:v>
      </x:c>
      <x:c r="E378" s="165" t="str">
        <x:v>タヴェルのロゼが、多くの淡色プロヴァンス・ロゼより色と構造が強くなりやすい主な理由はどれか。</x:v>
      </x:c>
      <x:c r="F378" s="165" t="str">
        <x:v>黒ブドウを比較的長く果皮と接触させ、複数品種を用いるため</x:v>
      </x:c>
      <x:c r="G378" s="165" t="str">
        <x:v>黒ブドウを収穫後すぐ直接圧搾し、果皮抽出を最小限にするため</x:v>
      </x:c>
      <x:c r="H378" s="165" t="str">
        <x:v>セニエで果汁の一部を抜くが、果皮接触時間は淡色プロヴァンス・ロゼより短いため</x:v>
      </x:c>
      <x:c r="I378" s="165" t="str">
        <x:v>完成した白ワインへ少量の軽い赤ワインを加え、色だけを調整するため</x:v>
      </x:c>
      <x:c r="J378" s="171" t="str">
        <x:v>A</x:v>
      </x:c>
      <x:c r="K378" s="165" t="str">
        <x:v>黒ブドウを比較的長く果皮と接触させ、複数品種を用いるため</x:v>
      </x:c>
      <x:c r="L378" s="165" t="str">
        <x:v>正しい。より長い果皮接触と地中海系品種のブレンドが、色、風味、構造を高める。</x:v>
      </x:c>
      <x:c r="M378" s="165" t="str">
        <x:v>正しい。より長い果皮接触と地中海系品種のブレンドが、色、風味、構造を高める。</x:v>
      </x:c>
      <x:c r="N378" s="165" t="str">
        <x:v>誤り。直接圧搾は一般に淡色で軽いロゼを造る方法である。</x:v>
      </x:c>
      <x:c r="O378" s="165" t="str">
        <x:v>誤り。セニエを用いる場合でも、色と構造が強いのは抽出をより得るためであり、より短い接触ではない。</x:v>
      </x:c>
      <x:c r="P378" s="165" t="str">
        <x:v>誤り。タヴェルの典型的製法を完成ワイン同士の単純なブレンドだけで説明できない。</x:v>
      </x:c>
      <x:c r="Q378" s="165" t="str">
        <x:v>醸造</x:v>
      </x:c>
      <x:c r="R378" s="165" t="str">
        <x:v>南部ローヌ</x:v>
      </x:c>
      <x:c r="S378" s="165" t="str">
        <x:v>ロゼワイン</x:v>
      </x:c>
      <x:c r="T378" s="165" t="str">
        <x:v>フランス</x:v>
      </x:c>
      <x:c r="U378" s="165" t="str">
        <x:v>タヴェル</x:v>
      </x:c>
      <x:c r="V378" s="165" t="str">
        <x:v>グルナッシュ、サンソー</x:v>
      </x:c>
      <x:c r="W378" s="165" t="str">
        <x:v>因果説明</x:v>
      </x:c>
      <x:c r="X378" s="171" t="str">
        <x:v>D2</x:v>
      </x:c>
      <x:c r="Y378" s="165" t="str">
        <x:v>タヴェルは直接圧搾で淡色化する; タヴェルはプロヴァンスより短い果皮接触; タヴェルは白赤ワインの完成後ブレンド</x:v>
      </x:c>
      <x:c r="Z378" s="171" t="str">
        <x:v>N</x:v>
      </x:c>
      <x:c r="AA378" s="165"/>
      <x:c r="AB378" s="165" t="str">
        <x:v>オリジナル</x:v>
      </x:c>
      <x:c r="AC378" s="165" t="str">
        <x:v>公式Specificationの範囲＋ユーザー作成コーパスの論点を参考に独自作成</x:v>
      </x:c>
      <x:c r="AD378" s="171" t="str">
        <x:v>改稿済み・専門家未承認</x:v>
      </x:c>
      <x:c r="AE378" s="171" t="str">
        <x:v>AI誤答レビュー</x:v>
      </x:c>
      <x:c r="AF378" s="171" t="str">
        <x:v>2026-07-12</x:v>
      </x:c>
      <x:c r="AG378" s="312" t="str">
        <x:v>第2バッチ：誤答を同一論点内の典型的誤概念へ置換。正答位置は維持。</x:v>
      </x:c>
    </x:row>
    <x:row r="379" ht="84" customHeight="1">
      <x:c r="A379" s="311" t="str">
        <x:v>LO2-078</x:v>
      </x:c>
      <x:c r="B379" s="171" t="str">
        <x:v>LO2</x:v>
      </x:c>
      <x:c r="C379" s="165" t="str">
        <x:v>世界の主要な非発泡性ワイン</x:v>
      </x:c>
      <x:c r="D379" s="165" t="str">
        <x:v>プロヴァンス・ロゼ</x:v>
      </x:c>
      <x:c r="E379" s="165" t="str">
        <x:v>プロヴァンスの淡色辛口ロゼに一般的な醸造方法はどれか。</x:v>
      </x:c>
      <x:c r="F379" s="165" t="str">
        <x:v>長期の高温マセレーションで高タンニンにする</x:v>
      </x:c>
      <x:c r="G379" s="165" t="str">
        <x:v>黒ブドウを直接圧搾するか、ごく短時間だけ果皮浸漬する</x:v>
      </x:c>
      <x:c r="H379" s="165" t="str">
        <x:v>ブドウを樹上で凍結し、甘口にする</x:v>
      </x:c>
      <x:c r="I379" s="165" t="str">
        <x:v>酸化熟成を数十年行う</x:v>
      </x:c>
      <x:c r="J379" s="171" t="str">
        <x:v>B</x:v>
      </x:c>
      <x:c r="K379" s="165" t="str">
        <x:v>黒ブドウを直接圧搾するか、ごく短時間だけ果皮浸漬する</x:v>
      </x:c>
      <x:c r="L379" s="165" t="str">
        <x:v>正しい。色とタンニンの抽出を抑え、淡い色、柑橘・赤系果実、爽やかな酸を持つスタイルを目指す。</x:v>
      </x:c>
      <x:c r="M379" s="165" t="str">
        <x:v>誤り。これは濃厚な赤ワイン向けの抽出方法である。</x:v>
      </x:c>
      <x:c r="N379" s="165" t="str">
        <x:v>正しい。色とタンニンの抽出を抑え、淡い色、柑橘・赤系果実、爽やかな酸を持つスタイルを目指す。</x:v>
      </x:c>
      <x:c r="O379" s="165" t="str">
        <x:v>誤り。プロヴァンス・ロゼは通常辛口である。</x:v>
      </x:c>
      <x:c r="P379" s="165" t="str">
        <x:v>誤り。フレッシュさを重視し、一般に若いうちに飲まれる。</x:v>
      </x:c>
      <x:c r="Q379" s="165" t="str">
        <x:v>醸造</x:v>
      </x:c>
      <x:c r="R379" s="165" t="str">
        <x:v>プロヴァンス</x:v>
      </x:c>
      <x:c r="S379" s="165" t="str">
        <x:v>ロゼワイン</x:v>
      </x:c>
      <x:c r="T379" s="165" t="str">
        <x:v>フランス</x:v>
      </x:c>
      <x:c r="U379" s="165" t="str">
        <x:v>プロヴァンス</x:v>
      </x:c>
      <x:c r="V379" s="165" t="str">
        <x:v>グルナッシュ、サンソー、シラー</x:v>
      </x:c>
      <x:c r="W379" s="165" t="str">
        <x:v>知識確認</x:v>
      </x:c>
      <x:c r="X379" s="171" t="str">
        <x:v>D1</x:v>
      </x:c>
      <x:c r="Y379" s="165" t="str">
        <x:v>プロヴァンス・ロゼに関する別の特徴・要因と混同; プロヴァンス・ロゼに関する別の特徴・要因と混同; プロヴァンス・ロゼに関する別の特徴・要因と混同</x:v>
      </x:c>
      <x:c r="Z379" s="171" t="str">
        <x:v>N</x:v>
      </x:c>
      <x:c r="AA379" s="165"/>
      <x:c r="AB379" s="165" t="str">
        <x:v>オリジナル</x:v>
      </x:c>
      <x:c r="AC379" s="165" t="str">
        <x:v>公式Specificationの範囲＋ユーザー作成コーパスの論点を参考に独自作成</x:v>
      </x:c>
      <x:c r="AD379" s="171" t="str">
        <x:v>改稿済み・専門家未承認</x:v>
      </x:c>
      <x:c r="AE379" s="171" t="str">
        <x:v>AI誤答レビュー</x:v>
      </x:c>
      <x:c r="AF379" s="171" t="str">
        <x:v>2026-07-12</x:v>
      </x:c>
      <x:c r="AG379" s="312" t="str">
        <x:v>最終バッチ：有効な誤答を維持し、絶対語・物理的不可能な誤答のみ置換。正答位置は維持。</x:v>
      </x:c>
    </x:row>
    <x:row r="380" ht="84" customHeight="1">
      <x:c r="A380" s="311" t="str">
        <x:v>LO2-079</x:v>
      </x:c>
      <x:c r="B380" s="171" t="str">
        <x:v>LO2</x:v>
      </x:c>
      <x:c r="C380" s="165" t="str">
        <x:v>世界の主要な非発泡性ワイン</x:v>
      </x:c>
      <x:c r="D380" s="165" t="str">
        <x:v>ペイ・ドックIGP</x:v>
      </x:c>
      <x:c r="E380" s="165" t="str">
        <x:v>ペイ・ドックIGPが、国際市場向けのワイン生産に適する主な理由はどれか。</x:v>
      </x:c>
      <x:c r="F380" s="165" t="str">
        <x:v>幅広い品種を使用でき、品種名表示と柔軟なブレンドが可能である</x:v>
      </x:c>
      <x:c r="G380" s="165" t="str">
        <x:v>指定された土着品種一種だけを使用し、村名を前面に出せる</x:v>
      </x:c>
      <x:c r="H380" s="165" t="str">
        <x:v>AOCより収量が低く、長期熟成が義務付けられる</x:v>
      </x:c>
      <x:c r="I380" s="165" t="str">
        <x:v>ヴィンテージ表示ができない代わりに、ブランド名だけを表示する</x:v>
      </x:c>
      <x:c r="J380" s="171" t="str">
        <x:v>C</x:v>
      </x:c>
      <x:c r="K380" s="165" t="str">
        <x:v>AOCより収量が低く、長期熟成が義務付けられる</x:v>
      </x:c>
      <x:c r="L380" s="165" t="str">
        <x:v>正しい。AOCより一律に低収量・長期熟成という制度ではない。</x:v>
      </x:c>
      <x:c r="M380" s="165" t="str">
        <x:v>誤り。国際品種と地域品種を柔軟に使い、分かりやすい品種表示を行える。</x:v>
      </x:c>
      <x:c r="N380" s="165" t="str">
        <x:v>誤り。単一土着品種・村名限定ではなく、柔軟性が利点である。</x:v>
      </x:c>
      <x:c r="O380" s="165" t="str">
        <x:v>正しい。AOCより一律に低収量・長期熟成という制度ではない。</x:v>
      </x:c>
      <x:c r="P380" s="165" t="str">
        <x:v>誤り。ヴィンテージや品種を表示できるため、市場向けに説明しやすい。</x:v>
      </x:c>
      <x:c r="Q380" s="165" t="str">
        <x:v>商業・価格</x:v>
      </x:c>
      <x:c r="R380" s="165" t="str">
        <x:v>ラングドック</x:v>
      </x:c>
      <x:c r="S380" s="165" t="str">
        <x:v>全般</x:v>
      </x:c>
      <x:c r="T380" s="165" t="str">
        <x:v>フランス</x:v>
      </x:c>
      <x:c r="U380" s="165" t="str">
        <x:v>ペイ・ドックIGP</x:v>
      </x:c>
      <x:c r="V380" s="165" t="str">
        <x:v>国際品種・地域品種</x:v>
      </x:c>
      <x:c r="W380" s="165" t="str">
        <x:v>統合判断</x:v>
      </x:c>
      <x:c r="X380" s="171" t="str">
        <x:v>D3</x:v>
      </x:c>
      <x:c r="Y380" s="165" t="str">
        <x:v>IGPは単一土着品種・村名限定; IGPはヴィンテージ表示不可</x:v>
      </x:c>
      <x:c r="Z380" s="171" t="str">
        <x:v>N</x:v>
      </x:c>
      <x:c r="AA380" s="165"/>
      <x:c r="AB380" s="165" t="str">
        <x:v>オリジナル</x:v>
      </x:c>
      <x:c r="AC380" s="165" t="str">
        <x:v>公式Specificationの範囲＋ユーザー作成コーパスの論点を参考に独自作成</x:v>
      </x:c>
      <x:c r="AD380" s="171" t="str">
        <x:v>改稿済み・専門家未承認</x:v>
      </x:c>
      <x:c r="AE380" s="171" t="str">
        <x:v>AI誤答レビュー</x:v>
      </x:c>
      <x:c r="AF380" s="171" t="str">
        <x:v>2026-07-12</x:v>
      </x:c>
      <x:c r="AG380" s="312" t="str">
        <x:v>第3バッチ：同一論点内の典型的誤概念へ置換。正答位置は維持。</x:v>
      </x:c>
    </x:row>
    <x:row r="381" ht="84" customHeight="1">
      <x:c r="A381" s="311" t="str">
        <x:v>LO2-080</x:v>
      </x:c>
      <x:c r="B381" s="171" t="str">
        <x:v>LO2</x:v>
      </x:c>
      <x:c r="C381" s="165" t="str">
        <x:v>世界の主要な非発泡性ワイン</x:v>
      </x:c>
      <x:c r="D381" s="165" t="str">
        <x:v>ルーションの辛口赤</x:v>
      </x:c>
      <x:c r="E381" s="165" t="str">
        <x:v>ルーションの古木グルナッシュやカリニャンから凝縮した辛口赤が造られやすい主な理由はどれか。</x:v>
      </x:c>
      <x:c r="F381" s="165" t="str">
        <x:v>冷涼で多雨な気候が果粒を大きく希釈するため</x:v>
      </x:c>
      <x:c r="G381" s="165" t="str">
        <x:v>ブドウを常に早摘みし、低アルコールにするため</x:v>
      </x:c>
      <x:c r="H381" s="165" t="str">
        <x:v>リースリングだけを栽培するため</x:v>
      </x:c>
      <x:c r="I381" s="165" t="str">
        <x:v>暑く乾燥した気候と低収量の古木が、小粒で風味の濃い果実を生むため</x:v>
      </x:c>
      <x:c r="J381" s="171" t="str">
        <x:v>D</x:v>
      </x:c>
      <x:c r="K381" s="165" t="str">
        <x:v>暑く乾燥した気候と低収量の古木が、小粒で風味の濃い果実を生むため</x:v>
      </x:c>
      <x:c r="L381" s="165" t="str">
        <x:v>正しい。乾燥と風が病害を抑え、痩せた斜面の古木は収量が低く、高アルコールで濃厚なワインになりやすい。</x:v>
      </x:c>
      <x:c r="M381" s="165" t="str">
        <x:v>誤り。ルーションはフランスでも特に温暖で乾燥した地域である。</x:v>
      </x:c>
      <x:c r="N381" s="165" t="str">
        <x:v>誤り。十分な成熟と高い糖度が典型である。</x:v>
      </x:c>
      <x:c r="O381" s="165" t="str">
        <x:v>誤り。主要品種はグルナッシュ、カリニャン、シラーなどである。</x:v>
      </x:c>
      <x:c r="P381" s="165" t="str">
        <x:v>正しい。乾燥と風が病害を抑え、痩せた斜面の古木は収量が低く、高アルコールで濃厚なワインになりやすい。</x:v>
      </x:c>
      <x:c r="Q381" s="165" t="str">
        <x:v>自然要因</x:v>
      </x:c>
      <x:c r="R381" s="165" t="str">
        <x:v>ルーション</x:v>
      </x:c>
      <x:c r="S381" s="165" t="str">
        <x:v>赤ワイン</x:v>
      </x:c>
      <x:c r="T381" s="165" t="str">
        <x:v>フランス</x:v>
      </x:c>
      <x:c r="U381" s="165" t="str">
        <x:v>ルーション</x:v>
      </x:c>
      <x:c r="V381" s="165" t="str">
        <x:v>グルナッシュ、カリニャン、シラー</x:v>
      </x:c>
      <x:c r="W381" s="165" t="str">
        <x:v>因果説明</x:v>
      </x:c>
      <x:c r="X381" s="171" t="str">
        <x:v>D2</x:v>
      </x:c>
      <x:c r="Y381" s="165" t="str">
        <x:v>ルーションの辛口赤に関する別の特徴・要因と混同; ルーションの辛口赤に関する別の特徴・要因と混同; ルーションの辛口赤に関する別の特徴・要因と混同</x:v>
      </x:c>
      <x:c r="Z381" s="171" t="str">
        <x:v>N</x:v>
      </x:c>
      <x:c r="AA381" s="165"/>
      <x:c r="AB381" s="165" t="str">
        <x:v>オリジナル</x:v>
      </x:c>
      <x:c r="AC381" s="165" t="str">
        <x:v>公式Specificationの範囲＋ユーザー作成コーパスの論点を参考に独自作成</x:v>
      </x:c>
      <x:c r="AD381" s="171" t="str">
        <x:v>改稿済み・専門家未承認</x:v>
      </x:c>
      <x:c r="AE381" s="171" t="str">
        <x:v>AI誤答レビュー</x:v>
      </x:c>
      <x:c r="AF381" s="171" t="str">
        <x:v>2026-07-12</x:v>
      </x:c>
      <x:c r="AG381" s="312" t="str">
        <x:v>最終バッチ：有効な誤答を維持し、絶対語・物理的不可能な誤答のみ置換。正答位置は維持。</x:v>
      </x:c>
    </x:row>
    <x:row r="382" ht="84" customHeight="1">
      <x:c r="A382" s="311" t="str">
        <x:v>LO2-081</x:v>
      </x:c>
      <x:c r="B382" s="171" t="str">
        <x:v>LO2</x:v>
      </x:c>
      <x:c r="C382" s="165" t="str">
        <x:v>世界の主要な非発泡性ワイン</x:v>
      </x:c>
      <x:c r="D382" s="165" t="str">
        <x:v>ナーエ</x:v>
      </x:c>
      <x:c r="E382" s="165" t="str">
        <x:v>ナーエが多様なスタイルのリースリングを生む主な理由はどれか。</x:v>
      </x:c>
      <x:c r="F382" s="165" t="str">
        <x:v>狭い地域に火山岩、粘板岩、砂岩など多様な土壌と標高差があるため</x:v>
      </x:c>
      <x:c r="G382" s="165" t="str">
        <x:v>地域全体が単一の平坦な粘土土壌だから</x:v>
      </x:c>
      <x:c r="H382" s="165" t="str">
        <x:v>常に高温の砂漠気候だから</x:v>
      </x:c>
      <x:c r="I382" s="165" t="str">
        <x:v>赤品種シラーのみを栽培するから</x:v>
      </x:c>
      <x:c r="J382" s="171" t="str">
        <x:v>A</x:v>
      </x:c>
      <x:c r="K382" s="165" t="str">
        <x:v>狭い地域に火山岩、粘板岩、砂岩など多様な土壌と標高差があるため</x:v>
      </x:c>
      <x:c r="L382" s="165" t="str">
        <x:v>正しい。地質と斜面の違いが成熟度と香味に幅を与え、繊細な辛口から凝縮した甘口まで造られる。</x:v>
      </x:c>
      <x:c r="M382" s="165" t="str">
        <x:v>正しい。地質と斜面の違いが成熟度と香味に幅を与え、繊細な辛口から凝縮した甘口まで造られる。</x:v>
      </x:c>
      <x:c r="N382" s="165" t="str">
        <x:v>誤り。ナーエは地質の多様性で知られる。</x:v>
      </x:c>
      <x:c r="O382" s="165" t="str">
        <x:v>誤り。ドイツの比較的冷涼な地域である。</x:v>
      </x:c>
      <x:c r="P382" s="165" t="str">
        <x:v>誤り。リースリングが重要な品種である。</x:v>
      </x:c>
      <x:c r="Q382" s="165" t="str">
        <x:v>自然要因</x:v>
      </x:c>
      <x:c r="R382" s="165" t="str">
        <x:v>ドイツ</x:v>
      </x:c>
      <x:c r="S382" s="165" t="str">
        <x:v>白ワイン</x:v>
      </x:c>
      <x:c r="T382" s="165" t="str">
        <x:v>ドイツ</x:v>
      </x:c>
      <x:c r="U382" s="165" t="str">
        <x:v>ナーエ</x:v>
      </x:c>
      <x:c r="V382" s="165" t="str">
        <x:v>リースリング</x:v>
      </x:c>
      <x:c r="W382" s="165" t="str">
        <x:v>因果説明</x:v>
      </x:c>
      <x:c r="X382" s="171" t="str">
        <x:v>D2</x:v>
      </x:c>
      <x:c r="Y382" s="165" t="str">
        <x:v>ナーエに関する別の特徴・要因と混同; ナーエに関する別の特徴・要因と混同; ナーエに関する別の特徴・要因と混同</x:v>
      </x:c>
      <x:c r="Z382" s="171" t="str">
        <x:v>N</x:v>
      </x:c>
      <x:c r="AA382" s="165"/>
      <x:c r="AB382" s="165" t="str">
        <x:v>オリジナル</x:v>
      </x:c>
      <x:c r="AC382" s="165" t="str">
        <x:v>公式Specificationの範囲＋ユーザー作成コーパスの論点を参考に独自作成</x:v>
      </x:c>
      <x:c r="AD382" s="171" t="str">
        <x:v>改稿済み・専門家未承認</x:v>
      </x:c>
      <x:c r="AE382" s="171" t="str">
        <x:v>AI誤答レビュー</x:v>
      </x:c>
      <x:c r="AF382" s="171" t="str">
        <x:v>2026-07-12</x:v>
      </x:c>
      <x:c r="AG382" s="312" t="str">
        <x:v>最終バッチ：有効な誤答を維持し、絶対語・物理的不可能な誤答のみ置換。正答位置は維持。</x:v>
      </x:c>
    </x:row>
    <x:row r="383" ht="84" customHeight="1">
      <x:c r="A383" s="311" t="str">
        <x:v>LO2-082</x:v>
      </x:c>
      <x:c r="B383" s="171" t="str">
        <x:v>LO2</x:v>
      </x:c>
      <x:c r="C383" s="165" t="str">
        <x:v>世界の主要な非発泡性ワイン</x:v>
      </x:c>
      <x:c r="D383" s="165" t="str">
        <x:v>ラインヘッセン</x:v>
      </x:c>
      <x:c r="E383" s="165" t="str">
        <x:v>現代の高品質ラインヘッセン産リースリングに、多く見られる特徴はどれか。</x:v>
      </x:c>
      <x:c r="F383" s="165" t="str">
        <x:v>冷涼で多雨な条件から、低い成熟度と軽い甘口スタイルが中心</x:v>
      </x:c>
      <x:c r="G383" s="165" t="str">
        <x:v>比較的温暖で乾燥した条件から、熟した果実と高い酸を備えた辛口スタイル</x:v>
      </x:c>
      <x:c r="H383" s="165" t="str">
        <x:v>高収量の平地で造られ、品種香より新樽香を重視する</x:v>
      </x:c>
      <x:c r="I383" s="165" t="str">
        <x:v>酸が低いため、残糖を高くしてバランスを取ることが品質の中心</x:v>
      </x:c>
      <x:c r="J383" s="171" t="str">
        <x:v>B</x:v>
      </x:c>
      <x:c r="K383" s="165" t="str">
        <x:v>比較的温暖で乾燥した条件から、熟した果実と高い酸を備えた辛口スタイル</x:v>
      </x:c>
      <x:c r="L383" s="165" t="str">
        <x:v>正しい。温暖さで果実成熟を得ながら、リースリングの酸を保つ。</x:v>
      </x:c>
      <x:c r="M383" s="165" t="str">
        <x:v>誤り。現代の優良例は低収量の畑から熟した辛口を造ることが多い。</x:v>
      </x:c>
      <x:c r="N383" s="165" t="str">
        <x:v>正しい。温暖さで果実成熟を得ながら、リースリングの酸を保つ。</x:v>
      </x:c>
      <x:c r="O383" s="165" t="str">
        <x:v>誤り。平地の大量生産だけでなく、優良斜面と品種個性を重視する。</x:v>
      </x:c>
      <x:c r="P383" s="165" t="str">
        <x:v>誤り。高品質の中心は低酸を残糖で隠すことではない。</x:v>
      </x:c>
      <x:c r="Q383" s="165" t="str">
        <x:v>産地</x:v>
      </x:c>
      <x:c r="R383" s="165" t="str">
        <x:v>ドイツ</x:v>
      </x:c>
      <x:c r="S383" s="165" t="str">
        <x:v>白ワイン</x:v>
      </x:c>
      <x:c r="T383" s="165" t="str">
        <x:v>ドイツ</x:v>
      </x:c>
      <x:c r="U383" s="165" t="str">
        <x:v>ラインヘッセン</x:v>
      </x:c>
      <x:c r="V383" s="165" t="str">
        <x:v>リースリング、シルヴァーナー</x:v>
      </x:c>
      <x:c r="W383" s="165" t="str">
        <x:v>知識確認</x:v>
      </x:c>
      <x:c r="X383" s="171" t="str">
        <x:v>D2</x:v>
      </x:c>
      <x:c r="Y383" s="165" t="str">
        <x:v>ラインヘッセンは低熟度甘口のみ; 高品質は高収量平地・新樽中心; 低酸を残糖で補うことが品質の中心</x:v>
      </x:c>
      <x:c r="Z383" s="171" t="str">
        <x:v>N</x:v>
      </x:c>
      <x:c r="AA383" s="165"/>
      <x:c r="AB383" s="165" t="str">
        <x:v>オリジナル</x:v>
      </x:c>
      <x:c r="AC383" s="165" t="str">
        <x:v>公式Specificationの範囲＋ユーザー作成コーパスの論点を参考に独自作成</x:v>
      </x:c>
      <x:c r="AD383" s="171" t="str">
        <x:v>改稿済み・専門家未承認</x:v>
      </x:c>
      <x:c r="AE383" s="171" t="str">
        <x:v>AI誤答レビュー</x:v>
      </x:c>
      <x:c r="AF383" s="171" t="str">
        <x:v>2026-07-12</x:v>
      </x:c>
      <x:c r="AG383" s="312" t="str">
        <x:v>第3バッチ：同一論点内の典型的誤概念へ置換。正答位置は維持。</x:v>
      </x:c>
    </x:row>
    <x:row r="384" ht="84" customHeight="1">
      <x:c r="A384" s="311" t="str">
        <x:v>LO2-083</x:v>
      </x:c>
      <x:c r="B384" s="171" t="str">
        <x:v>LO2</x:v>
      </x:c>
      <x:c r="C384" s="165" t="str">
        <x:v>世界の主要な非発泡性ワイン</x:v>
      </x:c>
      <x:c r="D384" s="165" t="str">
        <x:v>バーデン</x:v>
      </x:c>
      <x:c r="E384" s="165" t="str">
        <x:v>バーデンでシュペートブルグンダーが比較的豊かなスタイルになりやすい主な理由はどれか。</x:v>
      </x:c>
      <x:c r="F384" s="165" t="str">
        <x:v>北極圏に近く、成熟が不可能だから</x:v>
      </x:c>
      <x:c r="G384" s="165" t="str">
        <x:v>海水で灌漑し、塩味を与えるから</x:v>
      </x:c>
      <x:c r="H384" s="165" t="str">
        <x:v>ドイツの中でも温暖で日照が多く、黒ブドウが十分に成熟しやすい</x:v>
      </x:c>
      <x:c r="I384" s="165" t="str">
        <x:v>ブドウを多く凍結収穫するから</x:v>
      </x:c>
      <x:c r="J384" s="171" t="str">
        <x:v>C</x:v>
      </x:c>
      <x:c r="K384" s="165" t="str">
        <x:v>ドイツの中でも温暖で日照が多く、黒ブドウが十分に成熟しやすい</x:v>
      </x:c>
      <x:c r="L384" s="165" t="str">
        <x:v>正しい。南西部の温暖な気候がピノ・ノワールの色、果実味、アルコールを高め、樽熟成に適するワインを生む。</x:v>
      </x:c>
      <x:c r="M384" s="165" t="str">
        <x:v>誤り。バーデンはドイツ南西部の比較的温暖な地域である。</x:v>
      </x:c>
      <x:c r="N384" s="165" t="str">
        <x:v>誤り。海水灌漑は行わず、成熟は気候による。</x:v>
      </x:c>
      <x:c r="O384" s="165" t="str">
        <x:v>正しい。南西部の温暖な気候がピノ・ノワールの色、果実味、アルコールを高め、樽熟成に適するワインを生む。</x:v>
      </x:c>
      <x:c r="P384" s="165" t="str">
        <x:v>誤り。アイスワインは一部で造られるが、赤ワインの典型的な製法ではない。</x:v>
      </x:c>
      <x:c r="Q384" s="165" t="str">
        <x:v>自然要因</x:v>
      </x:c>
      <x:c r="R384" s="165" t="str">
        <x:v>ドイツ</x:v>
      </x:c>
      <x:c r="S384" s="165" t="str">
        <x:v>赤ワイン</x:v>
      </x:c>
      <x:c r="T384" s="165" t="str">
        <x:v>ドイツ</x:v>
      </x:c>
      <x:c r="U384" s="165" t="str">
        <x:v>バーデン</x:v>
      </x:c>
      <x:c r="V384" s="165" t="str">
        <x:v>シュペートブルグンダー</x:v>
      </x:c>
      <x:c r="W384" s="165" t="str">
        <x:v>因果説明</x:v>
      </x:c>
      <x:c r="X384" s="171" t="str">
        <x:v>D2</x:v>
      </x:c>
      <x:c r="Y384" s="165" t="str">
        <x:v>バーデンについて関連要因を主因とみなす; バーデンについて関連要因を主因とみなす; バーデンについて関連要因を主因とみなす</x:v>
      </x:c>
      <x:c r="Z384" s="171" t="str">
        <x:v>N</x:v>
      </x:c>
      <x:c r="AA384" s="165"/>
      <x:c r="AB384" s="165" t="str">
        <x:v>オリジナル</x:v>
      </x:c>
      <x:c r="AC384" s="165" t="str">
        <x:v>公式Specificationの範囲＋ユーザー作成コーパスの論点を参考に独自作成</x:v>
      </x:c>
      <x:c r="AD384" s="171" t="str">
        <x:v>改稿済み・専門家未承認</x:v>
      </x:c>
      <x:c r="AE384" s="171" t="str">
        <x:v>AI誤答レビュー</x:v>
      </x:c>
      <x:c r="AF384" s="171" t="str">
        <x:v>2026-07-12</x:v>
      </x:c>
      <x:c r="AG384" s="312" t="str">
        <x:v>第5バッチ：使用可能な誤答を維持し、弱い誤答を因果逆転・隣接概念へ置換。正答位置は維持。</x:v>
      </x:c>
    </x:row>
    <x:row r="385" ht="84" customHeight="1">
      <x:c r="A385" s="311" t="str">
        <x:v>LO2-084</x:v>
      </x:c>
      <x:c r="B385" s="171" t="str">
        <x:v>LO2</x:v>
      </x:c>
      <x:c r="C385" s="165" t="str">
        <x:v>世界の主要な非発泡性ワイン</x:v>
      </x:c>
      <x:c r="D385" s="165" t="str">
        <x:v>カンプタール</x:v>
      </x:c>
      <x:c r="E385" s="165" t="str">
        <x:v>カンプタールの高品質グリューナー・ヴェルトリーナーとリースリングが熟度と酸を両立しやすい主な理由はどれか。</x:v>
      </x:c>
      <x:c r="F385" s="165" t="str">
        <x:v>暖かな日中、暖かい夜、ドナウ川の影響、標高差</x:v>
      </x:c>
      <x:c r="G385" s="165" t="str">
        <x:v>一年中温暖な夜と高湿度で、酸を後から添加する</x:v>
      </x:c>
      <x:c r="H385" s="165" t="str">
        <x:v>平坦な肥沃地の高収量だけで、成熟と酸を両立する</x:v>
      </x:c>
      <x:c r="I385" s="165" t="str">
        <x:v>暖かな日中、冷涼な夜、ドナウ川の影響、標高差</x:v>
      </x:c>
      <x:c r="J385" s="171" t="str">
        <x:v>D</x:v>
      </x:c>
      <x:c r="K385" s="165" t="str">
        <x:v>暖かな日中、冷涼な夜、ドナウ川の影響、標高差</x:v>
      </x:c>
      <x:c r="L385" s="165" t="str">
        <x:v>正しい。成熟を進めながら夜間に酸を保ち、品種香を発達させる。</x:v>
      </x:c>
      <x:c r="M385" s="165" t="str">
        <x:v>誤り。正答では「冷涼な夜」ことが重要であり、この選択肢は「暖かい夜」へ置き換えて関係を逆にしている。</x:v>
      </x:c>
      <x:c r="N385" s="165" t="str">
        <x:v>誤り。夜間冷却が自然な酸保持に重要。</x:v>
      </x:c>
      <x:c r="O385" s="165" t="str">
        <x:v>誤り。優良畑は斜面・標高・土壌差が重要。</x:v>
      </x:c>
      <x:c r="P385" s="165" t="str">
        <x:v>正しい。成熟を進めながら夜間に酸を保ち、品種香を発達させる。</x:v>
      </x:c>
      <x:c r="Q385" s="165" t="str">
        <x:v>自然要因</x:v>
      </x:c>
      <x:c r="R385" s="165" t="str">
        <x:v>オーストリア</x:v>
      </x:c>
      <x:c r="S385" s="165" t="str">
        <x:v>白ワイン</x:v>
      </x:c>
      <x:c r="T385" s="165" t="str">
        <x:v>オーストリア</x:v>
      </x:c>
      <x:c r="U385" s="165" t="str">
        <x:v>カンプタール</x:v>
      </x:c>
      <x:c r="V385" s="165" t="str">
        <x:v>グリューナー・ヴェルトリーナー、リースリング</x:v>
      </x:c>
      <x:c r="W385" s="165" t="str">
        <x:v>因果説明</x:v>
      </x:c>
      <x:c r="X385" s="171" t="str">
        <x:v>D3</x:v>
      </x:c>
      <x:c r="Y385" s="165" t="str">
        <x:v>「冷涼な夜」と「暖かい夜」の関係を逆転; カンプタールを暖夜・酸添加型とみなす; 高収量平地だけが品質要因</x:v>
      </x:c>
      <x:c r="Z385" s="171" t="str">
        <x:v>N</x:v>
      </x:c>
      <x:c r="AA385" s="165"/>
      <x:c r="AB385" s="165" t="str">
        <x:v>オリジナル</x:v>
      </x:c>
      <x:c r="AC385" s="165" t="str">
        <x:v>公式Specificationの範囲＋ユーザー作成コーパスの論点を参考に独自作成</x:v>
      </x:c>
      <x:c r="AD385" s="171" t="str">
        <x:v>改稿済み・専門家未承認</x:v>
      </x:c>
      <x:c r="AE385" s="171" t="str">
        <x:v>AI誤答レビュー</x:v>
      </x:c>
      <x:c r="AF385" s="171" t="str">
        <x:v>2026-07-12</x:v>
      </x:c>
      <x:c r="AG385" s="312" t="str">
        <x:v>第4バッチ：同一論点内の典型的誤概念へ置換。正答位置は維持。</x:v>
      </x:c>
    </x:row>
    <x:row r="386" ht="84" customHeight="1">
      <x:c r="A386" s="311" t="str">
        <x:v>LO2-085</x:v>
      </x:c>
      <x:c r="B386" s="171" t="str">
        <x:v>LO2</x:v>
      </x:c>
      <x:c r="C386" s="165" t="str">
        <x:v>世界の主要な非発泡性ワイン</x:v>
      </x:c>
      <x:c r="D386" s="165" t="str">
        <x:v>クレムスタール</x:v>
      </x:c>
      <x:c r="E386" s="165" t="str">
        <x:v>クレムスタールの典型的な高品質白ワインを、最も適切に説明しているものはどれか。</x:v>
      </x:c>
      <x:c r="F386" s="165" t="str">
        <x:v>グリューナー・ヴェルトリーナーまたはリースリングから造る、熟した果実と高い酸を持つ辛口</x:v>
      </x:c>
      <x:c r="G386" s="165" t="str">
        <x:v>同じ品種から造るが、低い酸と高い残糖を持つ甘口が中心</x:v>
      </x:c>
      <x:c r="H386" s="165" t="str">
        <x:v>グリューナー・ヴェルトリーナー主体で、強い新樽香と低い品種香を特徴とする</x:v>
      </x:c>
      <x:c r="I386" s="165" t="str">
        <x:v>リースリング主体で、早摘みによる低い果実濃度と中程度以下の酸を持つ</x:v>
      </x:c>
      <x:c r="J386" s="171" t="str">
        <x:v>A</x:v>
      </x:c>
      <x:c r="K386" s="165" t="str">
        <x:v>グリューナー・ヴェルトリーナーまたはリースリングから造る、熟した果実と高い酸を持つ辛口</x:v>
      </x:c>
      <x:c r="L386" s="165" t="str">
        <x:v>正しい。ドナウ沿いの冷涼な夜と暖かな日中から、熟度と酸を両立した辛口白が造られる。</x:v>
      </x:c>
      <x:c r="M386" s="165" t="str">
        <x:v>正しい。ドナウ沿いの冷涼な夜と暖かな日中から、熟度と酸を両立した辛口白が造られる。</x:v>
      </x:c>
      <x:c r="N386" s="165" t="str">
        <x:v>誤り。甘口も造り得るが、典型的な高品質スタイルは辛口で高い酸を持つ。</x:v>
      </x:c>
      <x:c r="O386" s="165" t="str">
        <x:v>誤り。オークを用いる例はあっても、強い新樽香が地域の主要な定義ではない。</x:v>
      </x:c>
      <x:c r="P386" s="165" t="str">
        <x:v>誤り。高品質例は十分な果実濃度と高い酸を持ち、記述は逆である。</x:v>
      </x:c>
      <x:c r="Q386" s="165" t="str">
        <x:v>産地</x:v>
      </x:c>
      <x:c r="R386" s="165" t="str">
        <x:v>オーストリア</x:v>
      </x:c>
      <x:c r="S386" s="165" t="str">
        <x:v>白ワイン</x:v>
      </x:c>
      <x:c r="T386" s="165" t="str">
        <x:v>オーストリア</x:v>
      </x:c>
      <x:c r="U386" s="165" t="str">
        <x:v>クレムスタール</x:v>
      </x:c>
      <x:c r="V386" s="165" t="str">
        <x:v>グリューナー・ヴェルトリーナー、リースリング</x:v>
      </x:c>
      <x:c r="W386" s="165" t="str">
        <x:v>知識確認</x:v>
      </x:c>
      <x:c r="X386" s="171" t="str">
        <x:v>D2</x:v>
      </x:c>
      <x:c r="Y386" s="165" t="str">
        <x:v>クレムスタールは低酸甘口が中心; クレムスタールの個性は新樽香; 高品質リースリングは低濃度・低酸</x:v>
      </x:c>
      <x:c r="Z386" s="171" t="str">
        <x:v>N</x:v>
      </x:c>
      <x:c r="AA386" s="165"/>
      <x:c r="AB386" s="165" t="str">
        <x:v>オリジナル</x:v>
      </x:c>
      <x:c r="AC386" s="165" t="str">
        <x:v>公式Specificationの範囲＋ユーザー作成コーパスの論点を参考に独自作成</x:v>
      </x:c>
      <x:c r="AD386" s="171" t="str">
        <x:v>改稿済み・専門家未承認</x:v>
      </x:c>
      <x:c r="AE386" s="171" t="str">
        <x:v>AI誤答レビュー</x:v>
      </x:c>
      <x:c r="AF386" s="171" t="str">
        <x:v>2026-07-12</x:v>
      </x:c>
      <x:c r="AG386" s="312" t="str">
        <x:v>第2バッチ：誤答を同一論点内の典型的誤概念へ置換。正答位置は維持。</x:v>
      </x:c>
    </x:row>
    <x:row r="387" ht="84" customHeight="1">
      <x:c r="A387" s="311" t="str">
        <x:v>LO2-086</x:v>
      </x:c>
      <x:c r="B387" s="171" t="str">
        <x:v>LO2</x:v>
      </x:c>
      <x:c r="C387" s="165" t="str">
        <x:v>世界の主要な非発泡性ワイン</x:v>
      </x:c>
      <x:c r="D387" s="165" t="str">
        <x:v>ノイジードラーゼーの甘口</x:v>
      </x:c>
      <x:c r="E387" s="165" t="str">
        <x:v>ノイジードラーゼー周辺で貴腐甘口ワインが造られやすい主な理由はどれか。</x:v>
      </x:c>
      <x:c r="F387" s="165" t="str">
        <x:v>高山の凍結した土壌が果実を冷凍し、糖を濃縮する</x:v>
      </x:c>
      <x:c r="G387" s="165" t="str">
        <x:v>浅い湖と湿地が秋の朝に湿度を与え、暖かく乾燥した午後が果実を濃縮するため</x:v>
      </x:c>
      <x:c r="H387" s="165" t="str">
        <x:v>一年中乾燥し、湿度が全くないため</x:v>
      </x:c>
      <x:c r="I387" s="165" t="str">
        <x:v>黒ブドウを長期マセレーションするため</x:v>
      </x:c>
      <x:c r="J387" s="171" t="str">
        <x:v>B</x:v>
      </x:c>
      <x:c r="K387" s="165" t="str">
        <x:v>浅い湖と湿地が秋の朝に湿度を与え、暖かく乾燥した午後が果実を濃縮するため</x:v>
      </x:c>
      <x:c r="L387" s="165" t="str">
        <x:v>正しい。湖による霧がボトリティスの発生を促し、その後の乾燥した条件が水分蒸発と糖の濃縮を助ける。</x:v>
      </x:c>
      <x:c r="M387" s="165" t="str">
        <x:v>誤り。主要因は湖周辺の貴腐条件で、永久凍土ではない。</x:v>
      </x:c>
      <x:c r="N387" s="165" t="str">
        <x:v>正しい。湖による霧がボトリティスの発生を促し、その後の乾燥した条件が水分蒸発と糖の濃縮を助ける。</x:v>
      </x:c>
      <x:c r="O387" s="165" t="str">
        <x:v>誤り。貴腐の発生には適度な湿度が必要である。</x:v>
      </x:c>
      <x:c r="P387" s="165" t="str">
        <x:v>誤り。甘口白はヴェルシュリースリングなど白品種から造られる。</x:v>
      </x:c>
      <x:c r="Q387" s="165" t="str">
        <x:v>自然要因</x:v>
      </x:c>
      <x:c r="R387" s="165" t="str">
        <x:v>ブルゲンラント</x:v>
      </x:c>
      <x:c r="S387" s="165" t="str">
        <x:v>甘口白ワイン</x:v>
      </x:c>
      <x:c r="T387" s="165" t="str">
        <x:v>オーストリア</x:v>
      </x:c>
      <x:c r="U387" s="165" t="str">
        <x:v>ノイジードラーゼー</x:v>
      </x:c>
      <x:c r="V387" s="165" t="str">
        <x:v>ヴェルシュリースリングほか</x:v>
      </x:c>
      <x:c r="W387" s="165" t="str">
        <x:v>因果説明</x:v>
      </x:c>
      <x:c r="X387" s="171" t="str">
        <x:v>D2</x:v>
      </x:c>
      <x:c r="Y387" s="165" t="str">
        <x:v>ノイジードラーゼーの甘口について関連要因を主因とみなす; ノイジードラーゼーの甘口について関連要因を主因とみなす; ノイジードラーゼーの甘口について関連要因を主因とみなす</x:v>
      </x:c>
      <x:c r="Z387" s="171" t="str">
        <x:v>N</x:v>
      </x:c>
      <x:c r="AA387" s="165"/>
      <x:c r="AB387" s="165" t="str">
        <x:v>オリジナル</x:v>
      </x:c>
      <x:c r="AC387" s="165" t="str">
        <x:v>公式Specificationの範囲＋ユーザー作成コーパスの論点を参考に独自作成</x:v>
      </x:c>
      <x:c r="AD387" s="171" t="str">
        <x:v>改稿済み・専門家未承認</x:v>
      </x:c>
      <x:c r="AE387" s="171" t="str">
        <x:v>AI誤答レビュー</x:v>
      </x:c>
      <x:c r="AF387" s="171" t="str">
        <x:v>2026-07-12</x:v>
      </x:c>
      <x:c r="AG387" s="312" t="str">
        <x:v>第5バッチ：使用可能な誤答を維持し、弱い誤答を因果逆転・隣接概念へ置換。正答位置は維持。</x:v>
      </x:c>
    </x:row>
    <x:row r="388" ht="84" customHeight="1">
      <x:c r="A388" s="311" t="str">
        <x:v>LO2-087</x:v>
      </x:c>
      <x:c r="B388" s="171" t="str">
        <x:v>LO2</x:v>
      </x:c>
      <x:c r="C388" s="165" t="str">
        <x:v>世界の主要な非発泡性ワイン</x:v>
      </x:c>
      <x:c r="D388" s="165" t="str">
        <x:v>バルバレスコ</x:v>
      </x:c>
      <x:c r="E388" s="165" t="str">
        <x:v>バルバレスコがバローロより比較的早く飲み頃になりやすい主な理由はどれか。</x:v>
      </x:c>
      <x:c r="F388" s="165" t="str">
        <x:v>法定熟成期間が短いためだけで、畑の気候やタンニン成熟には差がない</x:v>
      </x:c>
      <x:c r="G388" s="165" t="str">
        <x:v>バローロより高標高で冷涼な畑が多く、ネッビオーロのタンニンが早く成熟する</x:v>
      </x:c>
      <x:c r="H388" s="165" t="str">
        <x:v>標高がやや低く温暖な畑が多く、ネッビオーロが早めに成熟し、タンニンがやや穏やかになりやすい</x:v>
      </x:c>
      <x:c r="I388" s="165" t="str">
        <x:v>ネッビオーロへバルベーラを一定割合ブレンドし、酸とタンニンを下げる</x:v>
      </x:c>
      <x:c r="J388" s="171" t="str">
        <x:v>C</x:v>
      </x:c>
      <x:c r="K388" s="165" t="str">
        <x:v>標高がやや低く温暖な畑が多く、ネッビオーロが早めに成熟し、タンニンがやや穏やかになりやすい</x:v>
      </x:c>
      <x:c r="L388" s="165" t="str">
        <x:v>正しい。より温和な条件で成熟が進み、同じネッビオーロでも比較的早く開きやすい。</x:v>
      </x:c>
      <x:c r="M388" s="165" t="str">
        <x:v>誤り。法定熟成期間は販売時期へ影響するが、飲み頃の差は主に果実とタンニンの成熟条件に関係する。</x:v>
      </x:c>
      <x:c r="N388" s="165" t="str">
        <x:v>誤り。一般にバルバレスコはやや低標高・温暖で、記述は逆である。</x:v>
      </x:c>
      <x:c r="O388" s="165" t="str">
        <x:v>正しい。より温和な条件で成熟が進み、同じネッビオーロでも比較的早く開きやすい。</x:v>
      </x:c>
      <x:c r="P388" s="165" t="str">
        <x:v>誤り。バルバレスコはバルベーラを一定割合ブレンドするスタイルではなく、規定上ネッビオーロで造られる。</x:v>
      </x:c>
      <x:c r="Q388" s="165" t="str">
        <x:v>自然要因</x:v>
      </x:c>
      <x:c r="R388" s="165" t="str">
        <x:v>ピエモンテ</x:v>
      </x:c>
      <x:c r="S388" s="165" t="str">
        <x:v>赤ワイン</x:v>
      </x:c>
      <x:c r="T388" s="165" t="str">
        <x:v>イタリア</x:v>
      </x:c>
      <x:c r="U388" s="165" t="str">
        <x:v>バルバレスコ</x:v>
      </x:c>
      <x:c r="V388" s="165" t="str">
        <x:v>ネッビオーロ</x:v>
      </x:c>
      <x:c r="W388" s="165" t="str">
        <x:v>比較</x:v>
      </x:c>
      <x:c r="X388" s="171" t="str">
        <x:v>D3</x:v>
      </x:c>
      <x:c r="Y388" s="165" t="str">
        <x:v>飲み頃の差を法定熟成期間だけで説明する; バルバレスコの標高・気温関係を逆転; バルバレスコはバルベーラをブレンドする</x:v>
      </x:c>
      <x:c r="Z388" s="171" t="str">
        <x:v>N</x:v>
      </x:c>
      <x:c r="AA388" s="165"/>
      <x:c r="AB388" s="165" t="str">
        <x:v>オリジナル</x:v>
      </x:c>
      <x:c r="AC388" s="165" t="str">
        <x:v>公式Specificationの範囲＋ユーザー作成コーパスの論点を参考に独自作成</x:v>
      </x:c>
      <x:c r="AD388" s="171" t="str">
        <x:v>改稿済み・専門家未承認</x:v>
      </x:c>
      <x:c r="AE388" s="171" t="str">
        <x:v>AI誤答レビュー</x:v>
      </x:c>
      <x:c r="AF388" s="171" t="str">
        <x:v>2026-07-12</x:v>
      </x:c>
      <x:c r="AG388" s="312" t="str">
        <x:v>第2バッチ：誤答を同一論点内の典型的誤概念へ置換。正答位置は維持。</x:v>
      </x:c>
    </x:row>
    <x:row r="389" ht="84" customHeight="1">
      <x:c r="A389" s="311" t="str">
        <x:v>LO2-088</x:v>
      </x:c>
      <x:c r="B389" s="171" t="str">
        <x:v>LO2</x:v>
      </x:c>
      <x:c r="C389" s="165" t="str">
        <x:v>世界の主要な非発泡性ワイン</x:v>
      </x:c>
      <x:c r="D389" s="165" t="str">
        <x:v>ブルネッロ・ディ・モンタルチーノ</x:v>
      </x:c>
      <x:c r="E389" s="165" t="str">
        <x:v>ブルネッロ・ディ・モンタルチーノが、力強く長期熟成可能になりやすい主な理由はどれか。</x:v>
      </x:c>
      <x:c r="F389" s="165" t="str">
        <x:v>冷涼で湿潤な平地により、サンジョヴェーゼが低糖度のまま高酸だけを保つため</x:v>
      </x:c>
      <x:c r="G389" s="165" t="str">
        <x:v>温暖な丘陵で成熟するが、主要品種の酸とタンニンが低いため新樽で構造を補う</x:v>
      </x:c>
      <x:c r="H389" s="165" t="str">
        <x:v>モンテプルチアーノ種をブレンドし、色とタンニンを高めるため</x:v>
      </x:c>
      <x:c r="I389" s="165" t="str">
        <x:v>温暖で乾燥した丘陵地でサンジョヴェーゼが十分に成熟し、高い酸とタンニンを保つため</x:v>
      </x:c>
      <x:c r="J389" s="171" t="str">
        <x:v>D</x:v>
      </x:c>
      <x:c r="K389" s="165" t="str">
        <x:v>温暖で乾燥した丘陵地でサンジョヴェーゼが十分に成熟し、高い酸とタンニンを保つため</x:v>
      </x:c>
      <x:c r="L389" s="165" t="str">
        <x:v>正しい。十分な果実成熟と品種の酸・タンニンが長期熟成を支える。</x:v>
      </x:c>
      <x:c r="M389" s="165" t="str">
        <x:v>誤り。モンタルチーノは温暖で乾燥し、成熟度も高い。</x:v>
      </x:c>
      <x:c r="N389" s="165" t="str">
        <x:v>誤り。サンジョヴェーゼ自体が高酸・高タンニンを持ち、樽だけが構造源ではない。</x:v>
      </x:c>
      <x:c r="O389" s="165" t="str">
        <x:v>誤り。ブルネッロはサンジョヴェーゼから造り、モンテプルチアーノ種をブレンドしない。</x:v>
      </x:c>
      <x:c r="P389" s="165" t="str">
        <x:v>正しい。十分な果実成熟と品種の酸・タンニンが長期熟成を支える。</x:v>
      </x:c>
      <x:c r="Q389" s="165" t="str">
        <x:v>自然要因</x:v>
      </x:c>
      <x:c r="R389" s="165" t="str">
        <x:v>トスカーナ</x:v>
      </x:c>
      <x:c r="S389" s="165" t="str">
        <x:v>赤ワイン</x:v>
      </x:c>
      <x:c r="T389" s="165" t="str">
        <x:v>イタリア</x:v>
      </x:c>
      <x:c r="U389" s="165" t="str">
        <x:v>ブルネッロ・ディ・モンタルチーノ</x:v>
      </x:c>
      <x:c r="V389" s="165" t="str">
        <x:v>サンジョヴェーゼ</x:v>
      </x:c>
      <x:c r="W389" s="165" t="str">
        <x:v>統合判断</x:v>
      </x:c>
      <x:c r="X389" s="171" t="str">
        <x:v>D3</x:v>
      </x:c>
      <x:c r="Y389" s="165" t="str">
        <x:v>ブルネッロは冷涼湿潤・低糖度; サンジョヴェーゼは低酸低タンニンで樽が構造源; モンテプルチアーノ種をブレンドする</x:v>
      </x:c>
      <x:c r="Z389" s="171" t="str">
        <x:v>N</x:v>
      </x:c>
      <x:c r="AA389" s="165"/>
      <x:c r="AB389" s="165" t="str">
        <x:v>オリジナル</x:v>
      </x:c>
      <x:c r="AC389" s="165" t="str">
        <x:v>公式Specificationの範囲＋ユーザー作成コーパスの論点を参考に独自作成</x:v>
      </x:c>
      <x:c r="AD389" s="171" t="str">
        <x:v>改稿済み・専門家未承認</x:v>
      </x:c>
      <x:c r="AE389" s="171" t="str">
        <x:v>AI誤答レビュー</x:v>
      </x:c>
      <x:c r="AF389" s="171" t="str">
        <x:v>2026-07-12</x:v>
      </x:c>
      <x:c r="AG389" s="312" t="str">
        <x:v>第3バッチ：同一論点内の典型的誤概念へ置換。正答位置は維持。</x:v>
      </x:c>
    </x:row>
    <x:row r="390" ht="84" customHeight="1">
      <x:c r="A390" s="311" t="str">
        <x:v>LO2-089</x:v>
      </x:c>
      <x:c r="B390" s="171" t="str">
        <x:v>LO2</x:v>
      </x:c>
      <x:c r="C390" s="165" t="str">
        <x:v>世界の主要な非発泡性ワイン</x:v>
      </x:c>
      <x:c r="D390" s="165" t="str">
        <x:v>ヴィーノ・ノービレ・ディ・モンテプルチアーノ</x:v>
      </x:c>
      <x:c r="E390" s="165" t="str">
        <x:v>ヴィーノ・ノービレ・ディ・モンテプルチアーノの主要品種はどれか。</x:v>
      </x:c>
      <x:c r="F390" s="165" t="str">
        <x:v>サンジョヴェーゼ（地域名プルニョーロ・ジェンティーレ）</x:v>
      </x:c>
      <x:c r="G390" s="165" t="str">
        <x:v>モンテプルチアーノ種のみ</x:v>
      </x:c>
      <x:c r="H390" s="165" t="str">
        <x:v>ネッビオーロ</x:v>
      </x:c>
      <x:c r="I390" s="165" t="str">
        <x:v>コルヴィーナ</x:v>
      </x:c>
      <x:c r="J390" s="171" t="str">
        <x:v>A</x:v>
      </x:c>
      <x:c r="K390" s="165" t="str">
        <x:v>サンジョヴェーゼ（地域名プルニョーロ・ジェンティーレ）</x:v>
      </x:c>
      <x:c r="L390" s="165" t="str">
        <x:v>正しい。トスカーナのモンテプルチアーノの町周辺で、サンジョヴェーゼを主体に赤ワインが造られる。</x:v>
      </x:c>
      <x:c r="M390" s="165" t="str">
        <x:v>正しい。トスカーナのモンテプルチアーノの町周辺で、サンジョヴェーゼを主体に赤ワインが造られる。</x:v>
      </x:c>
      <x:c r="N390" s="165" t="str">
        <x:v>誤り。産地名と品種名が混同されやすいが、主要品種はサンジョヴェーゼである。</x:v>
      </x:c>
      <x:c r="O390" s="165" t="str">
        <x:v>誤り。ネッビオーロはピエモンテのバローロやバルバレスコの主要品種である。</x:v>
      </x:c>
      <x:c r="P390" s="165" t="str">
        <x:v>誤り。コルヴィーナはヴァルポリチェッラの主要品種である。</x:v>
      </x:c>
      <x:c r="Q390" s="165" t="str">
        <x:v>品種</x:v>
      </x:c>
      <x:c r="R390" s="165" t="str">
        <x:v>トスカーナ</x:v>
      </x:c>
      <x:c r="S390" s="165" t="str">
        <x:v>赤ワイン</x:v>
      </x:c>
      <x:c r="T390" s="165" t="str">
        <x:v>イタリア</x:v>
      </x:c>
      <x:c r="U390" s="165" t="str">
        <x:v>ヴィーノ・ノービレ・ディ・モンテプルチアーノ</x:v>
      </x:c>
      <x:c r="V390" s="165" t="str">
        <x:v>サンジョヴェーゼ</x:v>
      </x:c>
      <x:c r="W390" s="165" t="str">
        <x:v>知識確認</x:v>
      </x:c>
      <x:c r="X390" s="171" t="str">
        <x:v>D1</x:v>
      </x:c>
      <x:c r="Y390" s="165" t="str">
        <x:v>ヴィーノ・ノービレ・ディ・モンテプルチアーノに関する別の特徴・要因と混同; ヴィーノ・ノービレ・ディ・モンテプルチアーノに関する別の特徴・要因と混同; ヴィーノ・ノービレ・ディ・モンテプルチアーノに関する別の特徴・要因と混同</x:v>
      </x:c>
      <x:c r="Z390" s="171" t="str">
        <x:v>N</x:v>
      </x:c>
      <x:c r="AA390" s="165"/>
      <x:c r="AB390" s="165" t="str">
        <x:v>オリジナル</x:v>
      </x:c>
      <x:c r="AC390" s="165" t="str">
        <x:v>公式Specificationの範囲＋ユーザー作成コーパスの論点を参考に独自作成</x:v>
      </x:c>
      <x:c r="AD390" s="171" t="str">
        <x:v>改稿済み・専門家未承認</x:v>
      </x:c>
      <x:c r="AE390" s="171" t="str">
        <x:v>AI誤答レビュー</x:v>
      </x:c>
      <x:c r="AF390" s="171" t="str">
        <x:v>2026-07-12</x:v>
      </x:c>
      <x:c r="AG390" s="312" t="str">
        <x:v>最終バッチ：有効な誤答を維持し、絶対語・物理的不可能な誤答のみ置換。正答位置は維持。</x:v>
      </x:c>
    </x:row>
    <x:row r="391" ht="84" customHeight="1">
      <x:c r="A391" s="311" t="str">
        <x:v>LO2-090</x:v>
      </x:c>
      <x:c r="B391" s="171" t="str">
        <x:v>LO2</x:v>
      </x:c>
      <x:c r="C391" s="165" t="str">
        <x:v>世界の主要な非発泡性ワイン</x:v>
      </x:c>
      <x:c r="D391" s="165" t="str">
        <x:v>ガヴィ</x:v>
      </x:c>
      <x:c r="E391" s="165" t="str">
        <x:v>ガヴィの典型的なスタイルとして最も適切なものはどれか。</x:v>
      </x:c>
      <x:c r="F391" s="165" t="str">
        <x:v>ネッビオーロから造る高タンニン赤</x:v>
      </x:c>
      <x:c r="G391" s="165" t="str">
        <x:v>コルテーゼから造る、高い酸と柑橘・青リンゴを持つ辛口白</x:v>
      </x:c>
      <x:c r="H391" s="165" t="str">
        <x:v>グルナッシュから造る高アルコール赤</x:v>
      </x:c>
      <x:c r="I391" s="165" t="str">
        <x:v>モスカートから造る甘口発泡性ワイン</x:v>
      </x:c>
      <x:c r="J391" s="171" t="str">
        <x:v>B</x:v>
      </x:c>
      <x:c r="K391" s="165" t="str">
        <x:v>コルテーゼから造る、高い酸と柑橘・青リンゴを持つ辛口白</x:v>
      </x:c>
      <x:c r="L391" s="165" t="str">
        <x:v>正しい。ピエモンテ南東部の比較的冷涼な丘陵でコルテーゼを栽培し、爽やかな酸と繊細な香りを得る。</x:v>
      </x:c>
      <x:c r="M391" s="165" t="str">
        <x:v>誤り。これはバローロなどの特徴である。</x:v>
      </x:c>
      <x:c r="N391" s="165" t="str">
        <x:v>正しい。ピエモンテ南東部の比較的冷涼な丘陵でコルテーゼを栽培し、爽やかな酸と繊細な香りを得る。</x:v>
      </x:c>
      <x:c r="O391" s="165" t="str">
        <x:v>誤り。これは温暖な南部ローヌなどに近い。</x:v>
      </x:c>
      <x:c r="P391" s="165" t="str">
        <x:v>誤り。これはアスティに近い。</x:v>
      </x:c>
      <x:c r="Q391" s="165" t="str">
        <x:v>産地</x:v>
      </x:c>
      <x:c r="R391" s="165" t="str">
        <x:v>ピエモンテ</x:v>
      </x:c>
      <x:c r="S391" s="165" t="str">
        <x:v>白ワイン</x:v>
      </x:c>
      <x:c r="T391" s="165" t="str">
        <x:v>イタリア</x:v>
      </x:c>
      <x:c r="U391" s="165" t="str">
        <x:v>ガヴィ</x:v>
      </x:c>
      <x:c r="V391" s="165" t="str">
        <x:v>コルテーゼ</x:v>
      </x:c>
      <x:c r="W391" s="165" t="str">
        <x:v>知識確認</x:v>
      </x:c>
      <x:c r="X391" s="171" t="str">
        <x:v>D1</x:v>
      </x:c>
      <x:c r="Y391" s="165" t="str">
        <x:v>ガヴィに関する別の特徴・要因と混同; ガヴィに関する別の特徴・要因と混同; ガヴィに関する別の特徴・要因と混同</x:v>
      </x:c>
      <x:c r="Z391" s="171" t="str">
        <x:v>N</x:v>
      </x:c>
      <x:c r="AA391" s="165"/>
      <x:c r="AB391" s="165" t="str">
        <x:v>オリジナル</x:v>
      </x:c>
      <x:c r="AC391" s="165" t="str">
        <x:v>公式Specificationの範囲＋ユーザー作成コーパスの論点を参考に独自作成</x:v>
      </x:c>
      <x:c r="AD391" s="171" t="str">
        <x:v>改稿済み・専門家未承認</x:v>
      </x:c>
      <x:c r="AE391" s="171" t="str">
        <x:v>AI誤答レビュー</x:v>
      </x:c>
      <x:c r="AF391" s="171" t="str">
        <x:v>2026-07-12</x:v>
      </x:c>
      <x:c r="AG391" s="312" t="str">
        <x:v>最終バッチ：有効な誤答を維持し、絶対語・物理的不可能な誤答のみ置換。正答位置は維持。</x:v>
      </x:c>
    </x:row>
    <x:row r="392" ht="84" customHeight="1">
      <x:c r="A392" s="311" t="str">
        <x:v>LO2-091</x:v>
      </x:c>
      <x:c r="B392" s="171" t="str">
        <x:v>LO2</x:v>
      </x:c>
      <x:c r="C392" s="165" t="str">
        <x:v>世界の主要な非発泡性ワイン</x:v>
      </x:c>
      <x:c r="D392" s="165" t="str">
        <x:v>ヴェルディッキオ</x:v>
      </x:c>
      <x:c r="E392" s="165" t="str">
        <x:v>ヴェルディッキオの品質と瓶熟成能力を支える構造として、最も適切なものはどれか。</x:v>
      </x:c>
      <x:c r="F392" s="165" t="str">
        <x:v>高い酸を持つが果実濃度が低く、若いうちにのみ楽しむ軽いスタイル</x:v>
      </x:c>
      <x:c r="G392" s="165" t="str">
        <x:v>中程度以下の酸と高い残糖を持ち、甘味が熟成を支える</x:v>
      </x:c>
      <x:c r="H392" s="165" t="str">
        <x:v>高い酸と十分な果実濃度があり、若いうちは柑橘、熟成するとナッツや蜂蜜の複雑性を持つ</x:v>
      </x:c>
      <x:c r="I392" s="165" t="str">
        <x:v>低い酸と強い新樽香を持ち、オークだけが熟成能力を与える</x:v>
      </x:c>
      <x:c r="J392" s="171" t="str">
        <x:v>C</x:v>
      </x:c>
      <x:c r="K392" s="165" t="str">
        <x:v>高い酸と十分な果実濃度があり、若いうちは柑橘、熟成するとナッツや蜂蜜の複雑性を持つ</x:v>
      </x:c>
      <x:c r="L392" s="165" t="str">
        <x:v>正しい。酸と濃度があり、熟成でアーモンド、蜂蜜、ナッツの複雑性を発達させる。</x:v>
      </x:c>
      <x:c r="M392" s="165" t="str">
        <x:v>誤り。高い酸だけでは不十分で、上質な例は果実濃度と構造も持つ。</x:v>
      </x:c>
      <x:c r="N392" s="165" t="str">
        <x:v>誤り。典型的な高品質ヴェルディッキオは辛口で、高い残糖を熟成の主因としない。</x:v>
      </x:c>
      <x:c r="O392" s="165" t="str">
        <x:v>正しい。酸と濃度があり、熟成でアーモンド、蜂蜜、ナッツの複雑性を発達させる。</x:v>
      </x:c>
      <x:c r="P392" s="165" t="str">
        <x:v>誤り。オークを使う例もあるが、低酸のワインをオークだけで長期熟成型にはできない。</x:v>
      </x:c>
      <x:c r="Q392" s="165" t="str">
        <x:v>スタイル</x:v>
      </x:c>
      <x:c r="R392" s="165" t="str">
        <x:v>マルケ</x:v>
      </x:c>
      <x:c r="S392" s="165" t="str">
        <x:v>白ワイン</x:v>
      </x:c>
      <x:c r="T392" s="165" t="str">
        <x:v>イタリア</x:v>
      </x:c>
      <x:c r="U392" s="165" t="str">
        <x:v>ヴェルディッキオ・デイ・カステッリ・ディ・イエージ</x:v>
      </x:c>
      <x:c r="V392" s="165" t="str">
        <x:v>ヴェルディッキオ</x:v>
      </x:c>
      <x:c r="W392" s="165" t="str">
        <x:v>統合判断</x:v>
      </x:c>
      <x:c r="X392" s="171" t="str">
        <x:v>D2</x:v>
      </x:c>
      <x:c r="Y392" s="165" t="str">
        <x:v>高酸なら低濃度でも熟成可能; ヴェルディッキオは甘口で残糖が熟成を支える; 熟成能力は新樽香だけで決まる</x:v>
      </x:c>
      <x:c r="Z392" s="171" t="str">
        <x:v>N</x:v>
      </x:c>
      <x:c r="AA392" s="165"/>
      <x:c r="AB392" s="165" t="str">
        <x:v>オリジナル</x:v>
      </x:c>
      <x:c r="AC392" s="165" t="str">
        <x:v>公式Specificationの範囲＋ユーザー作成コーパスの論点を参考に独自作成</x:v>
      </x:c>
      <x:c r="AD392" s="171" t="str">
        <x:v>改稿済み・専門家未承認</x:v>
      </x:c>
      <x:c r="AE392" s="171" t="str">
        <x:v>AI誤答レビュー</x:v>
      </x:c>
      <x:c r="AF392" s="171" t="str">
        <x:v>2026-07-12</x:v>
      </x:c>
      <x:c r="AG392" s="312" t="str">
        <x:v>第2バッチ：誤答を同一論点内の典型的誤概念へ置換。正答位置は維持。</x:v>
      </x:c>
    </x:row>
    <x:row r="393" ht="84" customHeight="1">
      <x:c r="A393" s="311" t="str">
        <x:v>LO2-092</x:v>
      </x:c>
      <x:c r="B393" s="171" t="str">
        <x:v>LO2</x:v>
      </x:c>
      <x:c r="C393" s="165" t="str">
        <x:v>世界の主要な非発泡性ワイン</x:v>
      </x:c>
      <x:c r="D393" s="165" t="str">
        <x:v>エトナ・ロッソ</x:v>
      </x:c>
      <x:c r="E393" s="165" t="str">
        <x:v>エトナ・ロッソがシチリアの低地産赤より高い酸と淡い色を持ちやすい主な理由はどれか。</x:v>
      </x:c>
      <x:c r="F393" s="165" t="str">
        <x:v>海面下の熱帯低地でシラーを栽培するため</x:v>
      </x:c>
      <x:c r="G393" s="165" t="str">
        <x:v>発酵を途中で止めて甘口にするため</x:v>
      </x:c>
      <x:c r="H393" s="165" t="str">
        <x:v>白品種グレーラをタンク方式で発泡させるため</x:v>
      </x:c>
      <x:c r="I393" s="165" t="str">
        <x:v>高標高の火山斜面でネレッロ・マスカレーゼを栽培するため</x:v>
      </x:c>
      <x:c r="J393" s="171" t="str">
        <x:v>D</x:v>
      </x:c>
      <x:c r="K393" s="165" t="str">
        <x:v>高標高の火山斜面でネレッロ・マスカレーゼを栽培するため</x:v>
      </x:c>
      <x:c r="L393" s="165" t="str">
        <x:v>正しい。標高による冷涼な夜が酸を保持し、果皮色素が比較的少ない品種から、香り高く引き締まった赤が造られる。</x:v>
      </x:c>
      <x:c r="M393" s="165" t="str">
        <x:v>誤り。エトナは高標高の火山斜面である。</x:v>
      </x:c>
      <x:c r="N393" s="165" t="str">
        <x:v>誤り。通常は辛口赤である。</x:v>
      </x:c>
      <x:c r="O393" s="165" t="str">
        <x:v>誤り。これはプロセッコの特徴である。</x:v>
      </x:c>
      <x:c r="P393" s="165" t="str">
        <x:v>正しい。標高による冷涼な夜が酸を保持し、果皮色素が比較的少ない品種から、香り高く引き締まった赤が造られる。</x:v>
      </x:c>
      <x:c r="Q393" s="165" t="str">
        <x:v>自然要因</x:v>
      </x:c>
      <x:c r="R393" s="165" t="str">
        <x:v>シチリア</x:v>
      </x:c>
      <x:c r="S393" s="165" t="str">
        <x:v>赤ワイン</x:v>
      </x:c>
      <x:c r="T393" s="165" t="str">
        <x:v>イタリア</x:v>
      </x:c>
      <x:c r="U393" s="165" t="str">
        <x:v>エトナ</x:v>
      </x:c>
      <x:c r="V393" s="165" t="str">
        <x:v>ネレッロ・マスカレーゼ</x:v>
      </x:c>
      <x:c r="W393" s="165" t="str">
        <x:v>因果説明</x:v>
      </x:c>
      <x:c r="X393" s="171" t="str">
        <x:v>D3</x:v>
      </x:c>
      <x:c r="Y393" s="165" t="str">
        <x:v>エトナ・ロッソに関する別の特徴・要因と混同; エトナ・ロッソに関する別の特徴・要因と混同; エトナ・ロッソに関する別の特徴・要因と混同</x:v>
      </x:c>
      <x:c r="Z393" s="171" t="str">
        <x:v>N</x:v>
      </x:c>
      <x:c r="AA393" s="165"/>
      <x:c r="AB393" s="165" t="str">
        <x:v>オリジナル</x:v>
      </x:c>
      <x:c r="AC393" s="165" t="str">
        <x:v>公式Specificationの範囲＋ユーザー作成コーパスの論点を参考に独自作成</x:v>
      </x:c>
      <x:c r="AD393" s="171" t="str">
        <x:v>改稿済み・専門家未承認</x:v>
      </x:c>
      <x:c r="AE393" s="171" t="str">
        <x:v>AI誤答レビュー</x:v>
      </x:c>
      <x:c r="AF393" s="171" t="str">
        <x:v>2026-07-12</x:v>
      </x:c>
      <x:c r="AG393" s="312" t="str">
        <x:v>最終バッチ：有効な誤答を維持し、絶対語・物理的不可能な誤答のみ置換。正答位置は維持。</x:v>
      </x:c>
    </x:row>
    <x:row r="394" ht="84" customHeight="1">
      <x:c r="A394" s="311" t="str">
        <x:v>LO2-093</x:v>
      </x:c>
      <x:c r="B394" s="171" t="str">
        <x:v>LO2</x:v>
      </x:c>
      <x:c r="C394" s="165" t="str">
        <x:v>世界の主要な非発泡性ワイン</x:v>
      </x:c>
      <x:c r="D394" s="165" t="str">
        <x:v>モンテプルチアーノ・ダブルッツォ</x:v>
      </x:c>
      <x:c r="E394" s="165" t="str">
        <x:v>モンテプルチアーノ・ダブルッツォの典型的なスタイルはどれか。</x:v>
      </x:c>
      <x:c r="F394" s="165" t="str">
        <x:v>深い色、熟した黒系果実、中程度以上のタンニンを持つ赤ワイン</x:v>
      </x:c>
      <x:c r="G394" s="165" t="str">
        <x:v>コルテーゼから造る淡い高酸白</x:v>
      </x:c>
      <x:c r="H394" s="165" t="str">
        <x:v>ネッビオーロから造る淡色高タンニン赤</x:v>
      </x:c>
      <x:c r="I394" s="165" t="str">
        <x:v>グレーラから造る発泡性白</x:v>
      </x:c>
      <x:c r="J394" s="171" t="str">
        <x:v>A</x:v>
      </x:c>
      <x:c r="K394" s="165" t="str">
        <x:v>深い色、熟した黒系果実、中程度以上のタンニンを持つ赤ワイン</x:v>
      </x:c>
      <x:c r="L394" s="165" t="str">
        <x:v>正しい。アドリア海と山地の影響を受けるアブルッツォで、モンテプルチアーノ種が十分に成熟し、果実味豊かな赤になる。</x:v>
      </x:c>
      <x:c r="M394" s="165" t="str">
        <x:v>正しい。アドリア海と山地の影響を受けるアブルッツォで、モンテプルチアーノ種が十分に成熟し、果実味豊かな赤になる。</x:v>
      </x:c>
      <x:c r="N394" s="165" t="str">
        <x:v>誤り。これはガヴィの特徴である。</x:v>
      </x:c>
      <x:c r="O394" s="165" t="str">
        <x:v>誤り。主要品種はモンテプルチアーノである。</x:v>
      </x:c>
      <x:c r="P394" s="165" t="str">
        <x:v>誤り。これはプロセッコの特徴である。</x:v>
      </x:c>
      <x:c r="Q394" s="165" t="str">
        <x:v>産地</x:v>
      </x:c>
      <x:c r="R394" s="165" t="str">
        <x:v>アブルッツォ</x:v>
      </x:c>
      <x:c r="S394" s="165" t="str">
        <x:v>赤ワイン</x:v>
      </x:c>
      <x:c r="T394" s="165" t="str">
        <x:v>イタリア</x:v>
      </x:c>
      <x:c r="U394" s="165" t="str">
        <x:v>モンテプルチアーノ・ダブルッツォ</x:v>
      </x:c>
      <x:c r="V394" s="165" t="str">
        <x:v>モンテプルチアーノ</x:v>
      </x:c>
      <x:c r="W394" s="165" t="str">
        <x:v>知識確認</x:v>
      </x:c>
      <x:c r="X394" s="171" t="str">
        <x:v>D1</x:v>
      </x:c>
      <x:c r="Y394" s="165" t="str">
        <x:v>モンテプルチアーノ・ダブルッツォに関する別の特徴・要因と混同; モンテプルチアーノ・ダブルッツォに関する別の特徴・要因と混同; モンテプルチアーノ・ダブルッツォに関する別の特徴・要因と混同</x:v>
      </x:c>
      <x:c r="Z394" s="171" t="str">
        <x:v>N</x:v>
      </x:c>
      <x:c r="AA394" s="165"/>
      <x:c r="AB394" s="165" t="str">
        <x:v>オリジナル</x:v>
      </x:c>
      <x:c r="AC394" s="165" t="str">
        <x:v>公式Specificationの範囲＋ユーザー作成コーパスの論点を参考に独自作成</x:v>
      </x:c>
      <x:c r="AD394" s="171" t="str">
        <x:v>改稿済み・専門家未承認</x:v>
      </x:c>
      <x:c r="AE394" s="171" t="str">
        <x:v>AI誤答レビュー</x:v>
      </x:c>
      <x:c r="AF394" s="171" t="str">
        <x:v>2026-07-12</x:v>
      </x:c>
      <x:c r="AG394" s="312" t="str">
        <x:v>最終バッチ：有効な誤答を維持し、絶対語・物理的不可能な誤答のみ置換。正答位置は維持。</x:v>
      </x:c>
    </x:row>
    <x:row r="395" ht="84" customHeight="1">
      <x:c r="A395" s="311" t="str">
        <x:v>LO2-094</x:v>
      </x:c>
      <x:c r="B395" s="171" t="str">
        <x:v>LO2</x:v>
      </x:c>
      <x:c r="C395" s="165" t="str">
        <x:v>世界の主要な非発泡性ワイン</x:v>
      </x:c>
      <x:c r="D395" s="165" t="str">
        <x:v>アルト・アディジェ</x:v>
      </x:c>
      <x:c r="E395" s="165" t="str">
        <x:v>アルト・アディジェのピノ・グリージョがヴェネトの高収量スタイルより香りと酸を持ちやすい主な理由はどれか。</x:v>
      </x:c>
      <x:c r="F395" s="165" t="str">
        <x:v>低標高と大きな日較差により、酸と香りを保ちやすい</x:v>
      </x:c>
      <x:c r="G395" s="165" t="str">
        <x:v>高標高と大きな日較差により、酸と香りを保ちやすい</x:v>
      </x:c>
      <x:c r="H395" s="165" t="str">
        <x:v>ヴェネトより低標高で暖かく、糖度が上がるため</x:v>
      </x:c>
      <x:c r="I395" s="165" t="str">
        <x:v>樽熟成が法的に義務付けられ、香りを補うため</x:v>
      </x:c>
      <x:c r="J395" s="171" t="str">
        <x:v>B</x:v>
      </x:c>
      <x:c r="K395" s="165" t="str">
        <x:v>高標高と大きな日較差により、酸と香りを保ちやすい</x:v>
      </x:c>
      <x:c r="L395" s="165" t="str">
        <x:v>正しい。山岳気候の冷涼な夜が、ピノ・グリージョの鮮度と芳香を保つ。</x:v>
      </x:c>
      <x:c r="M395" s="165" t="str">
        <x:v>誤り。正答では「高標高」ことが重要であり、この選択肢は「低標高」へ置き換えて関係を逆にしている。</x:v>
      </x:c>
      <x:c r="N395" s="165" t="str">
        <x:v>正しい。山岳気候の冷涼な夜が、ピノ・グリージョの鮮度と芳香を保つ。</x:v>
      </x:c>
      <x:c r="O395" s="165" t="str">
        <x:v>誤り。アルト・アディジェは山岳高地で冷涼。</x:v>
      </x:c>
      <x:c r="P395" s="165" t="str">
        <x:v>誤り。香りと酸は自然条件由来で、樽義務ではない。</x:v>
      </x:c>
      <x:c r="Q395" s="165" t="str">
        <x:v>自然要因</x:v>
      </x:c>
      <x:c r="R395" s="165" t="str">
        <x:v>北東イタリア</x:v>
      </x:c>
      <x:c r="S395" s="165" t="str">
        <x:v>白ワイン</x:v>
      </x:c>
      <x:c r="T395" s="165" t="str">
        <x:v>イタリア</x:v>
      </x:c>
      <x:c r="U395" s="165" t="str">
        <x:v>アルト・アディジェ</x:v>
      </x:c>
      <x:c r="V395" s="165" t="str">
        <x:v>ピノ・グリージョ</x:v>
      </x:c>
      <x:c r="W395" s="165" t="str">
        <x:v>比較</x:v>
      </x:c>
      <x:c r="X395" s="171" t="str">
        <x:v>D3</x:v>
      </x:c>
      <x:c r="Y395" s="165" t="str">
        <x:v>「高標高」と「低標高」の関係を逆転; アルトアディジェを低地温暖とみなす; 樽義務で香りを得る</x:v>
      </x:c>
      <x:c r="Z395" s="171" t="str">
        <x:v>N</x:v>
      </x:c>
      <x:c r="AA395" s="165"/>
      <x:c r="AB395" s="165" t="str">
        <x:v>オリジナル</x:v>
      </x:c>
      <x:c r="AC395" s="165" t="str">
        <x:v>公式Specificationの範囲＋ユーザー作成コーパスの論点を参考に独自作成</x:v>
      </x:c>
      <x:c r="AD395" s="171" t="str">
        <x:v>改稿済み・専門家未承認</x:v>
      </x:c>
      <x:c r="AE395" s="171" t="str">
        <x:v>AI誤答レビュー</x:v>
      </x:c>
      <x:c r="AF395" s="171" t="str">
        <x:v>2026-07-12</x:v>
      </x:c>
      <x:c r="AG395" s="312" t="str">
        <x:v>第4バッチ：同一論点内の典型的誤概念へ置換。正答位置は維持。</x:v>
      </x:c>
    </x:row>
    <x:row r="396" ht="84" customHeight="1">
      <x:c r="A396" s="311" t="str">
        <x:v>LO2-095</x:v>
      </x:c>
      <x:c r="B396" s="171" t="str">
        <x:v>LO2</x:v>
      </x:c>
      <x:c r="C396" s="165" t="str">
        <x:v>世界の主要な非発泡性ワイン</x:v>
      </x:c>
      <x:c r="D396" s="165" t="str">
        <x:v>プーリアのプリミティーヴォ</x:v>
      </x:c>
      <x:c r="E396" s="165" t="str">
        <x:v>プーリアのプリミティーヴォに典型的なスタイルとして、最も適切なものはどれか。</x:v>
      </x:c>
      <x:c r="F396" s="165" t="str">
        <x:v>熟した赤系果実、中程度のアルコール、高い酸、軽いボディを持つ赤</x:v>
      </x:c>
      <x:c r="G396" s="165" t="str">
        <x:v>濃い黒系果実と高いタンニンを持つが、糖度が上がりにくく低アルコールとなる赤</x:v>
      </x:c>
      <x:c r="H396" s="165" t="str">
        <x:v>熟した黒系果実、ジャムを思わせる風味、高いアルコールを持つ豊かな赤</x:v>
      </x:c>
      <x:c r="I396" s="165" t="str">
        <x:v>熟した黒系果実と高いアルコールを持つが、色が淡くボディも軽い赤</x:v>
      </x:c>
      <x:c r="J396" s="171" t="str">
        <x:v>C</x:v>
      </x:c>
      <x:c r="K396" s="165" t="str">
        <x:v>熟した黒系果実、ジャムを思わせる風味、高いアルコールを持つ豊かな赤</x:v>
      </x:c>
      <x:c r="L396" s="165" t="str">
        <x:v>正しい。暑く乾燥した条件で高い糖度まで成熟し、濃厚で果実味豊かなスタイルになる。</x:v>
      </x:c>
      <x:c r="M396" s="165" t="str">
        <x:v>誤り。温暖なプーリアでは、一般により熟した果実、高いアルコール、豊かなボディとなる。</x:v>
      </x:c>
      <x:c r="N396" s="165" t="str">
        <x:v>誤り。プリミティーヴォは糖度が上がりやすく、低アルコールが典型ではない。</x:v>
      </x:c>
      <x:c r="O396" s="165" t="str">
        <x:v>正しい。暑く乾燥した条件で高い糖度まで成熟し、濃厚で果実味豊かなスタイルになる。</x:v>
      </x:c>
      <x:c r="P396" s="165" t="str">
        <x:v>誤り。高い成熟度と果実濃度を持つ例は、通常、色とボディも軽くはない。</x:v>
      </x:c>
      <x:c r="Q396" s="165" t="str">
        <x:v>産地</x:v>
      </x:c>
      <x:c r="R396" s="165" t="str">
        <x:v>プーリア</x:v>
      </x:c>
      <x:c r="S396" s="165" t="str">
        <x:v>赤ワイン</x:v>
      </x:c>
      <x:c r="T396" s="165" t="str">
        <x:v>イタリア</x:v>
      </x:c>
      <x:c r="U396" s="165" t="str">
        <x:v>プーリア</x:v>
      </x:c>
      <x:c r="V396" s="165" t="str">
        <x:v>プリミティーヴォ</x:v>
      </x:c>
      <x:c r="W396" s="165" t="str">
        <x:v>知識確認</x:v>
      </x:c>
      <x:c r="X396" s="171" t="str">
        <x:v>D1</x:v>
      </x:c>
      <x:c r="Y396" s="165" t="str">
        <x:v>プリミティーヴォは高酸・軽量な冷涼スタイル; 糖度が上がりにくく低アルコールになる; 濃厚な果実と高アルコールでも淡色・軽量</x:v>
      </x:c>
      <x:c r="Z396" s="171" t="str">
        <x:v>N</x:v>
      </x:c>
      <x:c r="AA396" s="165"/>
      <x:c r="AB396" s="165" t="str">
        <x:v>オリジナル</x:v>
      </x:c>
      <x:c r="AC396" s="165" t="str">
        <x:v>公式Specificationの範囲＋ユーザー作成コーパスの論点を参考に独自作成</x:v>
      </x:c>
      <x:c r="AD396" s="171" t="str">
        <x:v>改稿済み・専門家未承認</x:v>
      </x:c>
      <x:c r="AE396" s="171" t="str">
        <x:v>AI誤答レビュー</x:v>
      </x:c>
      <x:c r="AF396" s="171" t="str">
        <x:v>2026-07-12</x:v>
      </x:c>
      <x:c r="AG396" s="312" t="str">
        <x:v>第2バッチ：誤答を同一論点内の典型的誤概念へ置換。正答位置は維持。</x:v>
      </x:c>
    </x:row>
    <x:row r="397" ht="84" customHeight="1">
      <x:c r="A397" s="311" t="str">
        <x:v>LO2-096</x:v>
      </x:c>
      <x:c r="B397" s="171" t="str">
        <x:v>LO2</x:v>
      </x:c>
      <x:c r="C397" s="165" t="str">
        <x:v>世界の主要な非発泡性ワイン</x:v>
      </x:c>
      <x:c r="D397" s="165" t="str">
        <x:v>ルエダ</x:v>
      </x:c>
      <x:c r="E397" s="165" t="str">
        <x:v>ルエダのヴェルデホが、熟した果実味と爽やかな酸を両立しやすい主な理由はどれか。</x:v>
      </x:c>
      <x:c r="F397" s="165" t="str">
        <x:v>標高が低く夜間も暖かいため、酸の低下と糖の蓄積が同時に進む</x:v>
      </x:c>
      <x:c r="G397" s="165" t="str">
        <x:v>大西洋からの高い降水量により、成熟が遅れ、灌漑なしで酸が保たれる</x:v>
      </x:c>
      <x:c r="H397" s="165" t="str">
        <x:v>高標高が湿度と貴腐の発生を高め、果実を濃縮する</x:v>
      </x:c>
      <x:c r="I397" s="165" t="str">
        <x:v>高い標高による大きな日較差が、昼の成熟と夜の酸保持を両立するため</x:v>
      </x:c>
      <x:c r="J397" s="171" t="str">
        <x:v>D</x:v>
      </x:c>
      <x:c r="K397" s="165" t="str">
        <x:v>高い標高による大きな日較差が、昼の成熟と夜の酸保持を両立するため</x:v>
      </x:c>
      <x:c r="L397" s="165" t="str">
        <x:v>正しい。暖かな日中が風味成熟を進め、冷涼な夜が呼吸による酸の減少を抑える。</x:v>
      </x:c>
      <x:c r="M397" s="165" t="str">
        <x:v>誤り。ルエダは高原にあり、夜間冷却が酸保持へ寄与する。暖かい夜は酸を減らしやすい。</x:v>
      </x:c>
      <x:c r="N397" s="165" t="str">
        <x:v>誤り。内陸の乾燥した大陸性気候で、降水の多い海洋性地域ではない。</x:v>
      </x:c>
      <x:c r="O397" s="165" t="str">
        <x:v>誤り。高標高の主な効果は冷却と日較差で、貴腐を典型的な濃縮手段とはしない。</x:v>
      </x:c>
      <x:c r="P397" s="165" t="str">
        <x:v>正しい。暖かな日中が風味成熟を進め、冷涼な夜が呼吸による酸の減少を抑える。</x:v>
      </x:c>
      <x:c r="Q397" s="165" t="str">
        <x:v>自然要因</x:v>
      </x:c>
      <x:c r="R397" s="165" t="str">
        <x:v>カスティーリャ・イ・レオン</x:v>
      </x:c>
      <x:c r="S397" s="165" t="str">
        <x:v>白ワイン</x:v>
      </x:c>
      <x:c r="T397" s="165" t="str">
        <x:v>スペイン</x:v>
      </x:c>
      <x:c r="U397" s="165" t="str">
        <x:v>ルエダ</x:v>
      </x:c>
      <x:c r="V397" s="165" t="str">
        <x:v>ヴェルデホ</x:v>
      </x:c>
      <x:c r="W397" s="165" t="str">
        <x:v>因果説明</x:v>
      </x:c>
      <x:c r="X397" s="171" t="str">
        <x:v>D2</x:v>
      </x:c>
      <x:c r="Y397" s="165" t="str">
        <x:v>ルエダは低標高・暖夜で酸を保つ; ルエダは多雨の海洋性気候; 標高の利点は湿度と貴腐</x:v>
      </x:c>
      <x:c r="Z397" s="171" t="str">
        <x:v>N</x:v>
      </x:c>
      <x:c r="AA397" s="165"/>
      <x:c r="AB397" s="165" t="str">
        <x:v>オリジナル</x:v>
      </x:c>
      <x:c r="AC397" s="165" t="str">
        <x:v>公式Specificationの範囲＋ユーザー作成コーパスの論点を参考に独自作成</x:v>
      </x:c>
      <x:c r="AD397" s="171" t="str">
        <x:v>改稿済み・専門家未承認</x:v>
      </x:c>
      <x:c r="AE397" s="171" t="str">
        <x:v>AI誤答レビュー</x:v>
      </x:c>
      <x:c r="AF397" s="171" t="str">
        <x:v>2026-07-12</x:v>
      </x:c>
      <x:c r="AG397" s="312" t="str">
        <x:v>第2バッチ：誤答を同一論点内の典型的誤概念へ置換。正答位置は維持。</x:v>
      </x:c>
    </x:row>
    <x:row r="398" ht="84" customHeight="1">
      <x:c r="A398" s="311" t="str">
        <x:v>LO2-097</x:v>
      </x:c>
      <x:c r="B398" s="171" t="str">
        <x:v>LO2</x:v>
      </x:c>
      <x:c r="C398" s="165" t="str">
        <x:v>世界の主要な非発泡性ワイン</x:v>
      </x:c>
      <x:c r="D398" s="165" t="str">
        <x:v>ビエルソ</x:v>
      </x:c>
      <x:c r="E398" s="165" t="str">
        <x:v>ビエルソのメンシアが香り高く高い酸を持つスタイルになりやすい主な理由はどれか。</x:v>
      </x:c>
      <x:c r="F398" s="165" t="str">
        <x:v>北西スペインの比較的冷涼な気候と高い斜面に古木が多いため</x:v>
      </x:c>
      <x:c r="G398" s="165" t="str">
        <x:v>多くの果実を乾燥させるため</x:v>
      </x:c>
      <x:c r="H398" s="165" t="str">
        <x:v>白品種アルバリーニョだけを用いるため</x:v>
      </x:c>
      <x:c r="I398" s="165" t="str">
        <x:v>地中海沿岸の非常に暑い平地だけで栽培するため</x:v>
      </x:c>
      <x:c r="J398" s="171" t="str">
        <x:v>A</x:v>
      </x:c>
      <x:c r="K398" s="165" t="str">
        <x:v>北西スペインの比較的冷涼な気候と高い斜面に古木が多いため</x:v>
      </x:c>
      <x:c r="L398" s="165" t="str">
        <x:v>正しい。大西洋の影響と標高が成熟を緩やかにし、古木の低収量が赤系果実と花の濃度を高める。</x:v>
      </x:c>
      <x:c r="M398" s="165" t="str">
        <x:v>正しい。大西洋の影響と標高が成熟を緩やかにし、古木の低収量が赤系果実と花の濃度を高める。</x:v>
      </x:c>
      <x:c r="N398" s="165" t="str">
        <x:v>誤り。陰干しは標準的な製法ではない。</x:v>
      </x:c>
      <x:c r="O398" s="165" t="str">
        <x:v>誤り。主要な赤品種はメンシアである。</x:v>
      </x:c>
      <x:c r="P398" s="165" t="str">
        <x:v>誤り。ビエルソは内陸北西部で、比較的冷涼な影響を受ける。</x:v>
      </x:c>
      <x:c r="Q398" s="165" t="str">
        <x:v>自然要因</x:v>
      </x:c>
      <x:c r="R398" s="165" t="str">
        <x:v>カスティーリャ・イ・レオン</x:v>
      </x:c>
      <x:c r="S398" s="165" t="str">
        <x:v>赤ワイン</x:v>
      </x:c>
      <x:c r="T398" s="165" t="str">
        <x:v>スペイン</x:v>
      </x:c>
      <x:c r="U398" s="165" t="str">
        <x:v>ビエルソ</x:v>
      </x:c>
      <x:c r="V398" s="165" t="str">
        <x:v>メンシア</x:v>
      </x:c>
      <x:c r="W398" s="165" t="str">
        <x:v>因果説明</x:v>
      </x:c>
      <x:c r="X398" s="171" t="str">
        <x:v>D2</x:v>
      </x:c>
      <x:c r="Y398" s="165" t="str">
        <x:v>ビエルソについて関連要因を主因とみなす; ビエルソについて関連要因を主因とみなす; ビエルソについて関連要因を主因とみなす</x:v>
      </x:c>
      <x:c r="Z398" s="171" t="str">
        <x:v>N</x:v>
      </x:c>
      <x:c r="AA398" s="165"/>
      <x:c r="AB398" s="165" t="str">
        <x:v>オリジナル</x:v>
      </x:c>
      <x:c r="AC398" s="165" t="str">
        <x:v>公式Specificationの範囲＋ユーザー作成コーパスの論点を参考に独自作成</x:v>
      </x:c>
      <x:c r="AD398" s="171" t="str">
        <x:v>改稿済み・専門家未承認</x:v>
      </x:c>
      <x:c r="AE398" s="171" t="str">
        <x:v>AI誤答レビュー</x:v>
      </x:c>
      <x:c r="AF398" s="171" t="str">
        <x:v>2026-07-12</x:v>
      </x:c>
      <x:c r="AG398" s="312" t="str">
        <x:v>第5バッチ：使用可能な誤答を維持し、弱い誤答を因果逆転・隣接概念へ置換。正答位置は維持。</x:v>
      </x:c>
    </x:row>
    <x:row r="399" ht="84" customHeight="1">
      <x:c r="A399" s="311" t="str">
        <x:v>LO2-098</x:v>
      </x:c>
      <x:c r="B399" s="171" t="str">
        <x:v>LO2</x:v>
      </x:c>
      <x:c r="C399" s="165" t="str">
        <x:v>世界の主要な非発泡性ワイン</x:v>
      </x:c>
      <x:c r="D399" s="165" t="str">
        <x:v>トロ</x:v>
      </x:c>
      <x:c r="E399" s="165" t="str">
        <x:v>トロのティンタ・デ・トロから力強い赤ワインが造られやすい主な理由はどれか。</x:v>
      </x:c>
      <x:c r="F399" s="165" t="str">
        <x:v>残糖を高く残す発泡性ワインだから</x:v>
      </x:c>
      <x:c r="G399" s="165" t="str">
        <x:v>暑く乾燥した大陸性気候と古木の低収量により、糖、色、タンニンが高くなるため</x:v>
      </x:c>
      <x:c r="H399" s="165" t="str">
        <x:v>白品種ヴェルデホから造るため</x:v>
      </x:c>
      <x:c r="I399" s="165" t="str">
        <x:v>冷涼な海洋性気候で成熟が困難だから</x:v>
      </x:c>
      <x:c r="J399" s="171" t="str">
        <x:v>B</x:v>
      </x:c>
      <x:c r="K399" s="165" t="str">
        <x:v>暑く乾燥した大陸性気候と古木の低収量により、糖、色、タンニンが高くなるため</x:v>
      </x:c>
      <x:c r="L399" s="165" t="str">
        <x:v>正しい。標高の高い台地でも日中は暑く、厚い果皮のテンプラニーリョ系統が濃縮した果実を生む。</x:v>
      </x:c>
      <x:c r="M399" s="165" t="str">
        <x:v>誤り。通常は辛口の非発泡性赤である。</x:v>
      </x:c>
      <x:c r="N399" s="165" t="str">
        <x:v>正しい。標高の高い台地でも日中は暑く、厚い果皮のテンプラニーリョ系統が濃縮した果実を生む。</x:v>
      </x:c>
      <x:c r="O399" s="165" t="str">
        <x:v>誤り。主要品種は黒のティンタ・デ・トロである。</x:v>
      </x:c>
      <x:c r="P399" s="165" t="str">
        <x:v>誤り。トロは内陸の暑く乾燥した大陸性地域である。</x:v>
      </x:c>
      <x:c r="Q399" s="165" t="str">
        <x:v>自然要因</x:v>
      </x:c>
      <x:c r="R399" s="165" t="str">
        <x:v>カスティーリャ・イ・レオン</x:v>
      </x:c>
      <x:c r="S399" s="165" t="str">
        <x:v>赤ワイン</x:v>
      </x:c>
      <x:c r="T399" s="165" t="str">
        <x:v>スペイン</x:v>
      </x:c>
      <x:c r="U399" s="165" t="str">
        <x:v>トロ</x:v>
      </x:c>
      <x:c r="V399" s="165" t="str">
        <x:v>ティンタ・デ・トロ</x:v>
      </x:c>
      <x:c r="W399" s="165" t="str">
        <x:v>因果説明</x:v>
      </x:c>
      <x:c r="X399" s="171" t="str">
        <x:v>D2</x:v>
      </x:c>
      <x:c r="Y399" s="165" t="str">
        <x:v>トロについて関連要因を主因とみなす; トロについて関連要因を主因とみなす; トロについて関連要因を主因とみなす</x:v>
      </x:c>
      <x:c r="Z399" s="171" t="str">
        <x:v>N</x:v>
      </x:c>
      <x:c r="AA399" s="165"/>
      <x:c r="AB399" s="165" t="str">
        <x:v>オリジナル</x:v>
      </x:c>
      <x:c r="AC399" s="165" t="str">
        <x:v>公式Specificationの範囲＋ユーザー作成コーパスの論点を参考に独自作成</x:v>
      </x:c>
      <x:c r="AD399" s="171" t="str">
        <x:v>改稿済み・専門家未承認</x:v>
      </x:c>
      <x:c r="AE399" s="171" t="str">
        <x:v>AI誤答レビュー</x:v>
      </x:c>
      <x:c r="AF399" s="171" t="str">
        <x:v>2026-07-12</x:v>
      </x:c>
      <x:c r="AG399" s="312" t="str">
        <x:v>第5バッチ：使用可能な誤答を維持し、弱い誤答を因果逆転・隣接概念へ置換。正答位置は維持。</x:v>
      </x:c>
    </x:row>
    <x:row r="400" ht="84" customHeight="1">
      <x:c r="A400" s="311" t="str">
        <x:v>LO2-099</x:v>
      </x:c>
      <x:c r="B400" s="171" t="str">
        <x:v>LO2</x:v>
      </x:c>
      <x:c r="C400" s="165" t="str">
        <x:v>世界の主要な非発泡性ワイン</x:v>
      </x:c>
      <x:c r="D400" s="165" t="str">
        <x:v>ナバーラのロサード</x:v>
      </x:c>
      <x:c r="E400" s="165" t="str">
        <x:v>ナバーラの伝統的なロサードに、典型的な特徴はどれか。</x:v>
      </x:c>
      <x:c r="F400" s="165" t="str">
        <x:v>ガルナッチャから造る、非常に淡い色と低い果実味を持つロゼ</x:v>
      </x:c>
      <x:c r="G400" s="165" t="str">
        <x:v>テンプラニーリョだけから造る、長期樽熟成の濃いロゼ</x:v>
      </x:c>
      <x:c r="H400" s="165" t="str">
        <x:v>ガルナッチャから造る、熟した赤系果実と中程度の色を持つ辛口ロゼ</x:v>
      </x:c>
      <x:c r="I400" s="165" t="str">
        <x:v>モスカテルから造る、甘口で強い花香を持つロゼ</x:v>
      </x:c>
      <x:c r="J400" s="171" t="str">
        <x:v>C</x:v>
      </x:c>
      <x:c r="K400" s="165" t="str">
        <x:v>ガルナッチャから造る、熟した赤系果実と中程度の色を持つ辛口ロゼ</x:v>
      </x:c>
      <x:c r="L400" s="165" t="str">
        <x:v>正しい。熟した赤果実、中程度の色、辛口のスタイルが代表的である。</x:v>
      </x:c>
      <x:c r="M400" s="165" t="str">
        <x:v>誤り。伝統的なナバーラのロサードは、より色と果実味がある。</x:v>
      </x:c>
      <x:c r="N400" s="165" t="str">
        <x:v>誤り。ガルナッチャが重要で、長期樽熟成が典型ではない。</x:v>
      </x:c>
      <x:c r="O400" s="165" t="str">
        <x:v>正しい。熟した赤果実、中程度の色、辛口のスタイルが代表的である。</x:v>
      </x:c>
      <x:c r="P400" s="165" t="str">
        <x:v>誤り。芳香性甘口モスカテル・ロゼが典型ではない。</x:v>
      </x:c>
      <x:c r="Q400" s="165" t="str">
        <x:v>産地</x:v>
      </x:c>
      <x:c r="R400" s="165" t="str">
        <x:v>エブロ川流域</x:v>
      </x:c>
      <x:c r="S400" s="165" t="str">
        <x:v>ロゼワイン</x:v>
      </x:c>
      <x:c r="T400" s="165" t="str">
        <x:v>スペイン</x:v>
      </x:c>
      <x:c r="U400" s="165" t="str">
        <x:v>ナバーラ</x:v>
      </x:c>
      <x:c r="V400" s="165" t="str">
        <x:v>ガルナッチャ</x:v>
      </x:c>
      <x:c r="W400" s="165" t="str">
        <x:v>知識確認</x:v>
      </x:c>
      <x:c r="X400" s="171" t="str">
        <x:v>D2</x:v>
      </x:c>
      <x:c r="Y400" s="165" t="str">
        <x:v>ナバーラ・ロサードは非常に淡色で果実味が弱い; テンプラニーリョ単一・長期樽熟成; モスカテル甘口ロゼ</x:v>
      </x:c>
      <x:c r="Z400" s="171" t="str">
        <x:v>N</x:v>
      </x:c>
      <x:c r="AA400" s="165"/>
      <x:c r="AB400" s="165" t="str">
        <x:v>オリジナル</x:v>
      </x:c>
      <x:c r="AC400" s="165" t="str">
        <x:v>公式Specificationの範囲＋ユーザー作成コーパスの論点を参考に独自作成</x:v>
      </x:c>
      <x:c r="AD400" s="171" t="str">
        <x:v>改稿済み・専門家未承認</x:v>
      </x:c>
      <x:c r="AE400" s="171" t="str">
        <x:v>AI誤答レビュー</x:v>
      </x:c>
      <x:c r="AF400" s="171" t="str">
        <x:v>2026-07-12</x:v>
      </x:c>
      <x:c r="AG400" s="312" t="str">
        <x:v>第3バッチ：同一論点内の典型的誤概念へ置換。正答位置は維持。</x:v>
      </x:c>
    </x:row>
    <x:row r="401" ht="84" customHeight="1">
      <x:c r="A401" s="311" t="str">
        <x:v>LO2-100</x:v>
      </x:c>
      <x:c r="B401" s="171" t="str">
        <x:v>LO2</x:v>
      </x:c>
      <x:c r="C401" s="165" t="str">
        <x:v>世界の主要な非発泡性ワイン</x:v>
      </x:c>
      <x:c r="D401" s="165" t="str">
        <x:v>ドウロの辛口赤</x:v>
      </x:c>
      <x:c r="E401" s="165" t="str">
        <x:v>ドウロの辛口赤ワインが濃厚で高いタンニンを持ちやすい主な理由はどれか。</x:v>
      </x:c>
      <x:c r="F401" s="165" t="str">
        <x:v>高収量の国際品種を灌漑で大粒にし、長期樽熟成で濃度を補うため</x:v>
      </x:c>
      <x:c r="G401" s="165" t="str">
        <x:v>沿岸の冷涼な海洋性気候で、酸とタンニンが極端に高くなるため</x:v>
      </x:c>
      <x:c r="H401" s="165" t="str">
        <x:v>急斜面の高収量畑と厚い果皮の土着黒品種が、濃い果実とタンニンを与えるため</x:v>
      </x:c>
      <x:c r="I401" s="165" t="str">
        <x:v>急斜面の低収量畑と厚い果皮の土着黒品種が、濃い果実とタンニンを与えるため</x:v>
      </x:c>
      <x:c r="J401" s="171" t="str">
        <x:v>D</x:v>
      </x:c>
      <x:c r="K401" s="165" t="str">
        <x:v>急斜面の低収量畑と厚い果皮の土着黒品種が、濃い果実とタンニンを与えるため</x:v>
      </x:c>
      <x:c r="L401" s="165" t="str">
        <x:v>正しい。暑く乾燥した斜面と低収量の品種構成が、濃厚な果実味と強い構造を生む。</x:v>
      </x:c>
      <x:c r="M401" s="165" t="str">
        <x:v>誤り。ドウロの濃度は低収量の土着品種と乾燥した斜面に由来し、高収量大粒が主因ではない。</x:v>
      </x:c>
      <x:c r="N401" s="165" t="str">
        <x:v>誤り。ドウロは内陸性で暑く乾燥し、沿岸冷却が主因ではない。</x:v>
      </x:c>
      <x:c r="O401" s="165" t="str">
        <x:v>誤り。正答では「低収量」ことが重要であり、この選択肢は「高収量」へ置き換えて関係を逆にしている。</x:v>
      </x:c>
      <x:c r="P401" s="165" t="str">
        <x:v>正しい。暑く乾燥した斜面と低収量の品種構成が、濃厚な果実味と強い構造を生む。</x:v>
      </x:c>
      <x:c r="Q401" s="165" t="str">
        <x:v>自然要因</x:v>
      </x:c>
      <x:c r="R401" s="165" t="str">
        <x:v>ドウロ</x:v>
      </x:c>
      <x:c r="S401" s="165" t="str">
        <x:v>赤ワイン</x:v>
      </x:c>
      <x:c r="T401" s="165" t="str">
        <x:v>ポルトガル</x:v>
      </x:c>
      <x:c r="U401" s="165" t="str">
        <x:v>ドウロ</x:v>
      </x:c>
      <x:c r="V401" s="165" t="str">
        <x:v>トウリガ・ナシオナルほか</x:v>
      </x:c>
      <x:c r="W401" s="165" t="str">
        <x:v>因果説明</x:v>
      </x:c>
      <x:c r="X401" s="171" t="str">
        <x:v>D2</x:v>
      </x:c>
      <x:c r="Y401" s="165" t="str">
        <x:v>高収量大粒を樽で補う; ドウロを冷涼海洋性とみなす; 「低収量」と「高収量」の関係を逆転</x:v>
      </x:c>
      <x:c r="Z401" s="171" t="str">
        <x:v>N</x:v>
      </x:c>
      <x:c r="AA401" s="165"/>
      <x:c r="AB401" s="165" t="str">
        <x:v>オリジナル</x:v>
      </x:c>
      <x:c r="AC401" s="165" t="str">
        <x:v>公式Specificationの範囲＋ユーザー作成コーパスの論点を参考に独自作成</x:v>
      </x:c>
      <x:c r="AD401" s="171" t="str">
        <x:v>改稿済み・専門家未承認</x:v>
      </x:c>
      <x:c r="AE401" s="171" t="str">
        <x:v>AI誤答レビュー</x:v>
      </x:c>
      <x:c r="AF401" s="171" t="str">
        <x:v>2026-07-12</x:v>
      </x:c>
      <x:c r="AG401" s="312" t="str">
        <x:v>第4バッチ：同一論点内の典型的誤概念へ置換。正答位置は維持。</x:v>
      </x:c>
    </x:row>
    <x:row r="402" ht="84" customHeight="1">
      <x:c r="A402" s="311" t="str">
        <x:v>LO2-101</x:v>
      </x:c>
      <x:c r="B402" s="171" t="str">
        <x:v>LO2</x:v>
      </x:c>
      <x:c r="C402" s="165" t="str">
        <x:v>世界の主要な非発泡性ワイン</x:v>
      </x:c>
      <x:c r="D402" s="165" t="str">
        <x:v>ダン</x:v>
      </x:c>
      <x:c r="E402" s="165" t="str">
        <x:v>ダンの赤ワインが温暖なポルトガル産地の中でも酸と香りを保ちやすい主な理由はどれか。</x:v>
      </x:c>
      <x:c r="F402" s="165" t="str">
        <x:v>山地に囲まれた高標高の花崗岩畑で夜間が冷涼になるため</x:v>
      </x:c>
      <x:c r="G402" s="165" t="str">
        <x:v>グレーラをタンク方式で発泡させるため</x:v>
      </x:c>
      <x:c r="H402" s="165" t="str">
        <x:v>多くのワインを甘口にするため</x:v>
      </x:c>
      <x:c r="I402" s="165" t="str">
        <x:v>山地に囲まれた低標高の花崗岩畑で夜間が冷涼になるため</x:v>
      </x:c>
      <x:c r="J402" s="171" t="str">
        <x:v>A</x:v>
      </x:c>
      <x:c r="K402" s="165" t="str">
        <x:v>山地に囲まれた高標高の花崗岩畑で夜間が冷涼になるため</x:v>
      </x:c>
      <x:c r="L402" s="165" t="str">
        <x:v>正しい。標高と山の保護が成熟を緩やかにし、トウリガ・ナシオナルなどから香り高く引き締まった赤を生む。</x:v>
      </x:c>
      <x:c r="M402" s="165" t="str">
        <x:v>正しい。標高と山の保護が成熟を緩やかにし、トウリガ・ナシオナルなどから香り高く引き締まった赤を生む。</x:v>
      </x:c>
      <x:c r="N402" s="165" t="str">
        <x:v>誤り。主要品種はポルトガルの土着品種である。</x:v>
      </x:c>
      <x:c r="O402" s="165" t="str">
        <x:v>誤り。辛口赤と白が中心である。</x:v>
      </x:c>
      <x:c r="P402" s="165" t="str">
        <x:v>誤り。正答の「高標高」を「低標高」へ置き換えており、標高の効果を逆にしている。</x:v>
      </x:c>
      <x:c r="Q402" s="165" t="str">
        <x:v>自然要因</x:v>
      </x:c>
      <x:c r="R402" s="165" t="str">
        <x:v>ポルトガル</x:v>
      </x:c>
      <x:c r="S402" s="165" t="str">
        <x:v>赤ワイン</x:v>
      </x:c>
      <x:c r="T402" s="165" t="str">
        <x:v>ポルトガル</x:v>
      </x:c>
      <x:c r="U402" s="165" t="str">
        <x:v>ダン</x:v>
      </x:c>
      <x:c r="V402" s="165" t="str">
        <x:v>トウリガ・ナシオナル、アルフロシェイロ</x:v>
      </x:c>
      <x:c r="W402" s="165" t="str">
        <x:v>因果説明</x:v>
      </x:c>
      <x:c r="X402" s="171" t="str">
        <x:v>D2</x:v>
      </x:c>
      <x:c r="Y402" s="165" t="str">
        <x:v>ダンについて関連要因を主因とみなす; ダンについて関連要因を主因とみなす; 高標高と低標高を混同</x:v>
      </x:c>
      <x:c r="Z402" s="171" t="str">
        <x:v>N</x:v>
      </x:c>
      <x:c r="AA402" s="165"/>
      <x:c r="AB402" s="165" t="str">
        <x:v>オリジナル</x:v>
      </x:c>
      <x:c r="AC402" s="165" t="str">
        <x:v>公式Specificationの範囲＋ユーザー作成コーパスの論点を参考に独自作成</x:v>
      </x:c>
      <x:c r="AD402" s="171" t="str">
        <x:v>改稿済み・専門家未承認</x:v>
      </x:c>
      <x:c r="AE402" s="171" t="str">
        <x:v>AI誤答レビュー</x:v>
      </x:c>
      <x:c r="AF402" s="171" t="str">
        <x:v>2026-07-12</x:v>
      </x:c>
      <x:c r="AG402" s="312" t="str">
        <x:v>第5バッチ：使用可能な誤答を維持し、弱い誤答を因果逆転・隣接概念へ置換。正答位置は維持。</x:v>
      </x:c>
    </x:row>
    <x:row r="403" ht="84" customHeight="1">
      <x:c r="A403" s="311" t="str">
        <x:v>LO2-102</x:v>
      </x:c>
      <x:c r="B403" s="171" t="str">
        <x:v>LO2</x:v>
      </x:c>
      <x:c r="C403" s="165" t="str">
        <x:v>世界の主要な非発泡性ワイン</x:v>
      </x:c>
      <x:c r="D403" s="165" t="str">
        <x:v>アレンテージョ</x:v>
      </x:c>
      <x:c r="E403" s="165" t="str">
        <x:v>アレンテージョの赤ワインに典型的な特徴はどれか。</x:v>
      </x:c>
      <x:c r="F403" s="165" t="str">
        <x:v>淡い色、花と赤い果実、高い酸、低いタンニンを持つ軽快な赤</x:v>
      </x:c>
      <x:c r="G403" s="165" t="str">
        <x:v>熟した黒系果実、高めのアルコール、柔らかなタンニンを持つ豊かな赤</x:v>
      </x:c>
      <x:c r="H403" s="165" t="str">
        <x:v>高い酸、淡い色、赤果実を持つ冷涼ピノ型赤</x:v>
      </x:c>
      <x:c r="I403" s="165" t="str">
        <x:v>低アルコール、青草香、強い酸を持つ軽い赤</x:v>
      </x:c>
      <x:c r="J403" s="171" t="str">
        <x:v>B</x:v>
      </x:c>
      <x:c r="K403" s="165" t="str">
        <x:v>熟した黒系果実、高めのアルコール、柔らかなタンニンを持つ豊かな赤</x:v>
      </x:c>
      <x:c r="L403" s="165" t="str">
        <x:v>正しい。暑く乾燥した内陸気候で、土着・国際品種が十分に成熟する。</x:v>
      </x:c>
      <x:c r="M403" s="165" t="str">
        <x:v>誤り。これは冷涼なピノ・ノワール型の説明に近く、アレンテージョの熟した黒果実と豊かなボディに当てはまらない。</x:v>
      </x:c>
      <x:c r="N403" s="165" t="str">
        <x:v>正しい。暑く乾燥した内陸気候で、土着・国際品種が十分に成熟する。</x:v>
      </x:c>
      <x:c r="O403" s="165" t="str">
        <x:v>誤り。アレンテージョは温暖で、より熟した豊かな赤。</x:v>
      </x:c>
      <x:c r="P403" s="165" t="str">
        <x:v>誤り。温暖成熟型と逆。</x:v>
      </x:c>
      <x:c r="Q403" s="165" t="str">
        <x:v>産地</x:v>
      </x:c>
      <x:c r="R403" s="165" t="str">
        <x:v>ポルトガル</x:v>
      </x:c>
      <x:c r="S403" s="165" t="str">
        <x:v>赤ワイン</x:v>
      </x:c>
      <x:c r="T403" s="165" t="str">
        <x:v>ポルトガル</x:v>
      </x:c>
      <x:c r="U403" s="165" t="str">
        <x:v>アレンテージョ</x:v>
      </x:c>
      <x:c r="V403" s="165" t="str">
        <x:v>アラゴネス、トリンカデイラほか</x:v>
      </x:c>
      <x:c r="W403" s="165" t="str">
        <x:v>知識確認</x:v>
      </x:c>
      <x:c r="X403" s="171" t="str">
        <x:v>D1</x:v>
      </x:c>
      <x:c r="Y403" s="165" t="str">
        <x:v>アレンテージョを冷涼ピノ型と混同; アレンテージョを冷涼ピノ型と混同; アレンテージョを低アルコール青草型と混同</x:v>
      </x:c>
      <x:c r="Z403" s="171" t="str">
        <x:v>N</x:v>
      </x:c>
      <x:c r="AA403" s="165"/>
      <x:c r="AB403" s="165" t="str">
        <x:v>オリジナル</x:v>
      </x:c>
      <x:c r="AC403" s="165" t="str">
        <x:v>公式Specificationの範囲＋ユーザー作成コーパスの論点を参考に独自作成</x:v>
      </x:c>
      <x:c r="AD403" s="171" t="str">
        <x:v>改稿済み・専門家未承認</x:v>
      </x:c>
      <x:c r="AE403" s="171" t="str">
        <x:v>AI誤答レビュー</x:v>
      </x:c>
      <x:c r="AF403" s="171" t="str">
        <x:v>2026-07-12</x:v>
      </x:c>
      <x:c r="AG403" s="312" t="str">
        <x:v>第4バッチ：同一論点内の典型的誤概念へ置換。正答位置は維持。</x:v>
      </x:c>
    </x:row>
    <x:row r="404" ht="84" customHeight="1">
      <x:c r="A404" s="311" t="str">
        <x:v>LO2-103</x:v>
      </x:c>
      <x:c r="B404" s="171" t="str">
        <x:v>LO2</x:v>
      </x:c>
      <x:c r="C404" s="165" t="str">
        <x:v>世界の主要な非発泡性ワイン</x:v>
      </x:c>
      <x:c r="D404" s="165" t="str">
        <x:v>バイラーダ</x:v>
      </x:c>
      <x:c r="E404" s="165" t="str">
        <x:v>バイラーダのバガから造る赤ワインが長期熟成に向く主な理由はどれか。</x:v>
      </x:c>
      <x:c r="F404" s="165" t="str">
        <x:v>低酸でタンニンをほとんど持たないため</x:v>
      </x:c>
      <x:c r="G404" s="165" t="str">
        <x:v>タンク方式で発泡させるため</x:v>
      </x:c>
      <x:c r="H404" s="165" t="str">
        <x:v>海洋性の冷涼な気候で高い酸を保ち、厚い果皮から高いタンニンを得るため</x:v>
      </x:c>
      <x:c r="I404" s="165" t="str">
        <x:v>白品種であるため</x:v>
      </x:c>
      <x:c r="J404" s="171" t="str">
        <x:v>C</x:v>
      </x:c>
      <x:c r="K404" s="165" t="str">
        <x:v>海洋性の冷涼な気候で高い酸を保ち、厚い果皮から高いタンニンを得るため</x:v>
      </x:c>
      <x:c r="L404" s="165" t="str">
        <x:v>正しい。バガは晩熟で色とタンニンが高く、適切に成熟すると赤系果実と土の複雑性を持つ構造的な赤になる。</x:v>
      </x:c>
      <x:c r="M404" s="165" t="str">
        <x:v>誤り。バガは高酸・高タンニンになりやすい。</x:v>
      </x:c>
      <x:c r="N404" s="165" t="str">
        <x:v>誤り。発泡性も造られる地域だが、バガ赤の熟成力は酸とタンニンによる。</x:v>
      </x:c>
      <x:c r="O404" s="165" t="str">
        <x:v>正しい。バガは晩熟で色とタンニンが高く、適切に成熟すると赤系果実と土の複雑性を持つ構造的な赤になる。</x:v>
      </x:c>
      <x:c r="P404" s="165" t="str">
        <x:v>誤り。バガは黒品種である。</x:v>
      </x:c>
      <x:c r="Q404" s="165" t="str">
        <x:v>品種</x:v>
      </x:c>
      <x:c r="R404" s="165" t="str">
        <x:v>ポルトガル</x:v>
      </x:c>
      <x:c r="S404" s="165" t="str">
        <x:v>赤ワイン</x:v>
      </x:c>
      <x:c r="T404" s="165" t="str">
        <x:v>ポルトガル</x:v>
      </x:c>
      <x:c r="U404" s="165" t="str">
        <x:v>バイラーダ</x:v>
      </x:c>
      <x:c r="V404" s="165" t="str">
        <x:v>バガ</x:v>
      </x:c>
      <x:c r="W404" s="165" t="str">
        <x:v>因果説明</x:v>
      </x:c>
      <x:c r="X404" s="171" t="str">
        <x:v>D2</x:v>
      </x:c>
      <x:c r="Y404" s="165" t="str">
        <x:v>バイラーダについて関連要因を主因とみなす; バイラーダについて関連要因を主因とみなす; バイラーダについて関連要因を主因とみなす</x:v>
      </x:c>
      <x:c r="Z404" s="171" t="str">
        <x:v>N</x:v>
      </x:c>
      <x:c r="AA404" s="165"/>
      <x:c r="AB404" s="165" t="str">
        <x:v>オリジナル</x:v>
      </x:c>
      <x:c r="AC404" s="165" t="str">
        <x:v>公式Specificationの範囲＋ユーザー作成コーパスの論点を参考に独自作成</x:v>
      </x:c>
      <x:c r="AD404" s="171" t="str">
        <x:v>改稿済み・専門家未承認</x:v>
      </x:c>
      <x:c r="AE404" s="171" t="str">
        <x:v>AI誤答レビュー</x:v>
      </x:c>
      <x:c r="AF404" s="171" t="str">
        <x:v>2026-07-12</x:v>
      </x:c>
      <x:c r="AG404" s="312" t="str">
        <x:v>第5バッチ：使用可能な誤答を維持し、弱い誤答を因果逆転・隣接概念へ置換。正答位置は維持。</x:v>
      </x:c>
    </x:row>
    <x:row r="405" ht="84" customHeight="1">
      <x:c r="A405" s="311" t="str">
        <x:v>LO2-104</x:v>
      </x:c>
      <x:c r="B405" s="171" t="str">
        <x:v>LO2</x:v>
      </x:c>
      <x:c r="C405" s="165" t="str">
        <x:v>世界の主要な非発泡性ワイン</x:v>
      </x:c>
      <x:c r="D405" s="165" t="str">
        <x:v>ソノマ・コースト</x:v>
      </x:c>
      <x:c r="E405" s="165" t="str">
        <x:v>ソノマ・コーストで高品質ピノ・ノワールとシャルドネが造られやすい主な理由はどれか。</x:v>
      </x:c>
      <x:c r="F405" s="165" t="str">
        <x:v>内陸の高温と乾燥により、低酸で高アルコールの果実を得られるため</x:v>
      </x:c>
      <x:c r="G405" s="165" t="str">
        <x:v>太平洋の霧と冷たい風が成熟を早め、酸と繊細な香りを保つため</x:v>
      </x:c>
      <x:c r="H405" s="165" t="str">
        <x:v>高標高の乾燥地で、海の影響をほとんど受けないため</x:v>
      </x:c>
      <x:c r="I405" s="165" t="str">
        <x:v>太平洋の霧と冷たい風が成熟を遅らせ、酸と繊細な香りを保つため</x:v>
      </x:c>
      <x:c r="J405" s="171" t="str">
        <x:v>D</x:v>
      </x:c>
      <x:c r="K405" s="165" t="str">
        <x:v>太平洋の霧と冷たい風が成熟を遅らせ、酸と繊細な香りを保つため</x:v>
      </x:c>
      <x:c r="L405" s="165" t="str">
        <x:v>正しい。海からの霧と風が日中気温を抑え、ピノ・ノワールとシャルドネの酸を保持する。</x:v>
      </x:c>
      <x:c r="M405" s="165" t="str">
        <x:v>誤り。ソノマ・コーストの品質は海洋冷却による高酸と長い成熟にある。</x:v>
      </x:c>
      <x:c r="N405" s="165" t="str">
        <x:v>誤り。正答では「成熟を遅らせ」ことが重要であり、この選択肢は「成熟を早め」へ置き換えて関係を逆にしている。</x:v>
      </x:c>
      <x:c r="O405" s="165" t="str">
        <x:v>誤り。地域名の通り海洋影響が重要である。</x:v>
      </x:c>
      <x:c r="P405" s="165" t="str">
        <x:v>正しい。海からの霧と風が日中気温を抑え、ピノ・ノワールとシャルドネの酸を保持する。</x:v>
      </x:c>
      <x:c r="Q405" s="165" t="str">
        <x:v>自然要因</x:v>
      </x:c>
      <x:c r="R405" s="165" t="str">
        <x:v>カリフォルニア</x:v>
      </x:c>
      <x:c r="S405" s="165" t="str">
        <x:v>赤・白ワイン</x:v>
      </x:c>
      <x:c r="T405" s="165" t="str">
        <x:v>米国</x:v>
      </x:c>
      <x:c r="U405" s="165" t="str">
        <x:v>ソノマ・コースト</x:v>
      </x:c>
      <x:c r="V405" s="165" t="str">
        <x:v>ピノ・ノワール、シャルドネ</x:v>
      </x:c>
      <x:c r="W405" s="165" t="str">
        <x:v>因果説明</x:v>
      </x:c>
      <x:c r="X405" s="171" t="str">
        <x:v>D2</x:v>
      </x:c>
      <x:c r="Y405" s="165" t="str">
        <x:v>ソノマ・コーストを内陸高温型とみなす; 「成熟を遅らせ」と「成熟を早め」の関係を逆転; ソノマ・コーストは海洋影響が弱い</x:v>
      </x:c>
      <x:c r="Z405" s="171" t="str">
        <x:v>N</x:v>
      </x:c>
      <x:c r="AA405" s="165"/>
      <x:c r="AB405" s="165" t="str">
        <x:v>オリジナル</x:v>
      </x:c>
      <x:c r="AC405" s="165" t="str">
        <x:v>公式Specificationの範囲＋ユーザー作成コーパスの論点を参考に独自作成</x:v>
      </x:c>
      <x:c r="AD405" s="171" t="str">
        <x:v>改稿済み・専門家未承認</x:v>
      </x:c>
      <x:c r="AE405" s="171" t="str">
        <x:v>AI誤答レビュー</x:v>
      </x:c>
      <x:c r="AF405" s="171" t="str">
        <x:v>2026-07-12</x:v>
      </x:c>
      <x:c r="AG405" s="312" t="str">
        <x:v>第4バッチ：同一論点内の典型的誤概念へ置換。正答位置は維持。</x:v>
      </x:c>
    </x:row>
    <x:row r="406" ht="84" customHeight="1">
      <x:c r="A406" s="311" t="str">
        <x:v>LO2-105</x:v>
      </x:c>
      <x:c r="B406" s="171" t="str">
        <x:v>LO2</x:v>
      </x:c>
      <x:c r="C406" s="165" t="str">
        <x:v>世界の主要な非発泡性ワイン</x:v>
      </x:c>
      <x:c r="D406" s="165" t="str">
        <x:v>サンタ・バーバラ</x:v>
      </x:c>
      <x:c r="E406" s="165" t="str">
        <x:v>サンタ・バーバラ郡の一部で太平洋の冷気と霧が内陸深くまで入りやすい主な理由はどれか。</x:v>
      </x:c>
      <x:c r="F406" s="165" t="str">
        <x:v>山脈と谷が東西方向に走り、太平洋からの風と霧の通り道となるため</x:v>
      </x:c>
      <x:c r="G406" s="165" t="str">
        <x:v>山脈が南北方向に走り、内陸の暖気を海へ排出するため</x:v>
      </x:c>
      <x:c r="H406" s="165" t="str">
        <x:v>太平洋沿岸の暖流が空気を加熱し、その上昇気流が谷へ入るため</x:v>
      </x:c>
      <x:c r="I406" s="165" t="str">
        <x:v>山脈が海風を遮る一方、夜間の放射冷却だけが内陸を冷やすため</x:v>
      </x:c>
      <x:c r="J406" s="171" t="str">
        <x:v>A</x:v>
      </x:c>
      <x:c r="K406" s="165" t="str">
        <x:v>山脈と谷が東西方向に走り、太平洋からの風と霧の通り道となるため</x:v>
      </x:c>
      <x:c r="L406" s="165" t="str">
        <x:v>正しい。東西方向の谷が海に開いており、冷たい風と霧が内陸へ流れ込む。</x:v>
      </x:c>
      <x:c r="M406" s="165" t="str">
        <x:v>正しい。東西方向の谷が海に開いており、冷たい風と霧が内陸へ流れ込む。</x:v>
      </x:c>
      <x:c r="N406" s="165" t="str">
        <x:v>誤り。特徴的なのは東西方向の地形であり、南北方向の山脈が内陸暖気を排出することではない。</x:v>
      </x:c>
      <x:c r="O406" s="165" t="str">
        <x:v>誤り。沿岸のカリフォルニア海流は冷たく、海洋冷却をもたらす。</x:v>
      </x:c>
      <x:c r="P406" s="165" t="str">
        <x:v>誤り。海風は遮られるのではなく谷を通って内陸へ入り、主要な冷却要因となる。</x:v>
      </x:c>
      <x:c r="Q406" s="165" t="str">
        <x:v>自然要因</x:v>
      </x:c>
      <x:c r="R406" s="165" t="str">
        <x:v>カリフォルニア</x:v>
      </x:c>
      <x:c r="S406" s="165" t="str">
        <x:v>赤・白ワイン</x:v>
      </x:c>
      <x:c r="T406" s="165" t="str">
        <x:v>米国</x:v>
      </x:c>
      <x:c r="U406" s="165" t="str">
        <x:v>サンタ・バーバラ郡</x:v>
      </x:c>
      <x:c r="V406" s="165" t="str">
        <x:v>ピノ・ノワール、シャルドネ</x:v>
      </x:c>
      <x:c r="W406" s="165" t="str">
        <x:v>因果説明</x:v>
      </x:c>
      <x:c r="X406" s="171" t="str">
        <x:v>D3</x:v>
      </x:c>
      <x:c r="Y406" s="165" t="str">
        <x:v>山脈方向を逆認識; カリフォルニア海流は暖流; 谷が海風を遮る</x:v>
      </x:c>
      <x:c r="Z406" s="171" t="str">
        <x:v>N</x:v>
      </x:c>
      <x:c r="AA406" s="165"/>
      <x:c r="AB406" s="165" t="str">
        <x:v>オリジナル</x:v>
      </x:c>
      <x:c r="AC406" s="165" t="str">
        <x:v>公式Specificationの範囲＋ユーザー作成コーパスの論点を参考に独自作成</x:v>
      </x:c>
      <x:c r="AD406" s="171" t="str">
        <x:v>改稿済み・専門家未承認</x:v>
      </x:c>
      <x:c r="AE406" s="171" t="str">
        <x:v>AI誤答レビュー</x:v>
      </x:c>
      <x:c r="AF406" s="171" t="str">
        <x:v>2026-07-12</x:v>
      </x:c>
      <x:c r="AG406" s="312" t="str">
        <x:v>誤答を同一論点内の典型的誤概念へ置換。900問本体への反映前に専門家確認推奨。</x:v>
      </x:c>
    </x:row>
    <x:row r="407" ht="84" customHeight="1">
      <x:c r="A407" s="311" t="str">
        <x:v>LO2-106</x:v>
      </x:c>
      <x:c r="B407" s="171" t="str">
        <x:v>LO2</x:v>
      </x:c>
      <x:c r="C407" s="165" t="str">
        <x:v>世界の主要な非発泡性ワイン</x:v>
      </x:c>
      <x:c r="D407" s="165" t="str">
        <x:v>パソ・ロブレス</x:v>
      </x:c>
      <x:c r="E407" s="165" t="str">
        <x:v>パソ・ロブレスで熟したカベルネ・ソーヴィニヨンやシラーが高い酸もある程度保ちやすい要因はどれか。</x:v>
      </x:c>
      <x:c r="F407" s="165" t="str">
        <x:v>果実を多く凍結収穫すること</x:v>
      </x:c>
      <x:c r="G407" s="165" t="str">
        <x:v>暑い日中と、海風や大きな日較差による涼しい夜</x:v>
      </x:c>
      <x:c r="H407" s="165" t="str">
        <x:v>高緯度の極夜が続くこと</x:v>
      </x:c>
      <x:c r="I407" s="165" t="str">
        <x:v>一年中霧で日照がないこと</x:v>
      </x:c>
      <x:c r="J407" s="171" t="str">
        <x:v>B</x:v>
      </x:c>
      <x:c r="K407" s="165" t="str">
        <x:v>暑い日中と、海風や大きな日較差による涼しい夜</x:v>
      </x:c>
      <x:c r="L407" s="165" t="str">
        <x:v>正しい。内陸の暖かさが糖と風味を成熟させる一方、西側からの冷気と夜間の冷却が酸の減少を緩やかにする。</x:v>
      </x:c>
      <x:c r="M407" s="165" t="str">
        <x:v>誤り。通常の完熟ブドウから辛口赤を造る。</x:v>
      </x:c>
      <x:c r="N407" s="165" t="str">
        <x:v>正しい。内陸の暖かさが糖と風味を成熟させる一方、西側からの冷気と夜間の冷却が酸の減少を緩やかにする。</x:v>
      </x:c>
      <x:c r="O407" s="165" t="str">
        <x:v>誤り。カリフォルニア中部で、極夜はない。</x:v>
      </x:c>
      <x:c r="P407" s="165" t="str">
        <x:v>誤り。パソ・ロブレスは日中の日照と暖かさに恵まれる。</x:v>
      </x:c>
      <x:c r="Q407" s="165" t="str">
        <x:v>自然要因</x:v>
      </x:c>
      <x:c r="R407" s="165" t="str">
        <x:v>カリフォルニア</x:v>
      </x:c>
      <x:c r="S407" s="165" t="str">
        <x:v>赤ワイン</x:v>
      </x:c>
      <x:c r="T407" s="165" t="str">
        <x:v>米国</x:v>
      </x:c>
      <x:c r="U407" s="165" t="str">
        <x:v>パソ・ロブレス</x:v>
      </x:c>
      <x:c r="V407" s="165" t="str">
        <x:v>カベルネ・ソーヴィニヨン、シラー、ジンファンデル</x:v>
      </x:c>
      <x:c r="W407" s="165" t="str">
        <x:v>因果説明</x:v>
      </x:c>
      <x:c r="X407" s="171" t="str">
        <x:v>D2</x:v>
      </x:c>
      <x:c r="Y407" s="165" t="str">
        <x:v>パソ・ロブレスについて関連要因を主因とみなす; パソ・ロブレスについて関連要因を主因とみなす; パソ・ロブレスについて関連要因を主因とみなす</x:v>
      </x:c>
      <x:c r="Z407" s="171" t="str">
        <x:v>N</x:v>
      </x:c>
      <x:c r="AA407" s="165"/>
      <x:c r="AB407" s="165" t="str">
        <x:v>オリジナル</x:v>
      </x:c>
      <x:c r="AC407" s="165" t="str">
        <x:v>公式Specificationの範囲＋ユーザー作成コーパスの論点を参考に独自作成</x:v>
      </x:c>
      <x:c r="AD407" s="171" t="str">
        <x:v>改稿済み・専門家未承認</x:v>
      </x:c>
      <x:c r="AE407" s="171" t="str">
        <x:v>AI誤答レビュー</x:v>
      </x:c>
      <x:c r="AF407" s="171" t="str">
        <x:v>2026-07-12</x:v>
      </x:c>
      <x:c r="AG407" s="312" t="str">
        <x:v>第5バッチ：使用可能な誤答を維持し、弱い誤答を因果逆転・隣接概念へ置換。正答位置は維持。</x:v>
      </x:c>
    </x:row>
    <x:row r="408" ht="84" customHeight="1">
      <x:c r="A408" s="311" t="str">
        <x:v>LO2-107</x:v>
      </x:c>
      <x:c r="B408" s="171" t="str">
        <x:v>LO2</x:v>
      </x:c>
      <x:c r="C408" s="165" t="str">
        <x:v>世界の主要な非発泡性ワイン</x:v>
      </x:c>
      <x:c r="D408" s="165" t="str">
        <x:v>ワラ・ワラ・ヴァレー</x:v>
      </x:c>
      <x:c r="E408" s="165" t="str">
        <x:v>ワラ・ワラ・ヴァレーで高品質赤ワインが造られやすい主な理由はどれか。</x:v>
      </x:c>
      <x:c r="F408" s="165" t="str">
        <x:v>年間を通じて熱帯雨林のように多雨だから</x:v>
      </x:c>
      <x:c r="G408" s="165" t="str">
        <x:v>ブドウを海水で灌漑するから</x:v>
      </x:c>
      <x:c r="H408" s="165" t="str">
        <x:v>乾燥した暖かい生育期、大きな日較差、灌漑による水分管理</x:v>
      </x:c>
      <x:c r="I408" s="165" t="str">
        <x:v>白品種だけを栽培するから</x:v>
      </x:c>
      <x:c r="J408" s="171" t="str">
        <x:v>C</x:v>
      </x:c>
      <x:c r="K408" s="165" t="str">
        <x:v>乾燥した暖かい生育期、大きな日較差、灌漑による水分管理</x:v>
      </x:c>
      <x:c r="L408" s="165" t="str">
        <x:v>正しい。カスケード山脈の雨陰で病害が少なく、成熟を進めながら夜間の冷却で酸を保てる。</x:v>
      </x:c>
      <x:c r="M408" s="165" t="str">
        <x:v>誤り。ワラ・ワラは乾燥しており、灌漑が必要な場合が多い。</x:v>
      </x:c>
      <x:c r="N408" s="165" t="str">
        <x:v>誤り。淡水灌漑を用い、海水ではない。</x:v>
      </x:c>
      <x:c r="O408" s="165" t="str">
        <x:v>正しい。カスケード山脈の雨陰で病害が少なく、成熟を進めながら夜間の冷却で酸を保てる。</x:v>
      </x:c>
      <x:c r="P408" s="165" t="str">
        <x:v>誤り。カベルネ、メルロ、シラーなど赤品種が重要である。</x:v>
      </x:c>
      <x:c r="Q408" s="165" t="str">
        <x:v>自然要因</x:v>
      </x:c>
      <x:c r="R408" s="165" t="str">
        <x:v>ワシントン州</x:v>
      </x:c>
      <x:c r="S408" s="165" t="str">
        <x:v>赤ワイン</x:v>
      </x:c>
      <x:c r="T408" s="165" t="str">
        <x:v>米国</x:v>
      </x:c>
      <x:c r="U408" s="165" t="str">
        <x:v>ワラ・ワラ・ヴァレー</x:v>
      </x:c>
      <x:c r="V408" s="165" t="str">
        <x:v>カベルネ・ソーヴィニヨン、メルロ、シラー</x:v>
      </x:c>
      <x:c r="W408" s="165" t="str">
        <x:v>統合判断</x:v>
      </x:c>
      <x:c r="X408" s="171" t="str">
        <x:v>D3</x:v>
      </x:c>
      <x:c r="Y408" s="165" t="str">
        <x:v>ワラ・ワラ・ヴァレーに関する別の特徴・要因と混同; ワラ・ワラ・ヴァレーに関する別の特徴・要因と混同; ワラ・ワラ・ヴァレーに関する別の特徴・要因と混同</x:v>
      </x:c>
      <x:c r="Z408" s="171" t="str">
        <x:v>N</x:v>
      </x:c>
      <x:c r="AA408" s="165"/>
      <x:c r="AB408" s="165" t="str">
        <x:v>オリジナル</x:v>
      </x:c>
      <x:c r="AC408" s="165" t="str">
        <x:v>公式Specificationの範囲＋ユーザー作成コーパスの論点を参考に独自作成</x:v>
      </x:c>
      <x:c r="AD408" s="171" t="str">
        <x:v>改稿済み・専門家未承認</x:v>
      </x:c>
      <x:c r="AE408" s="171" t="str">
        <x:v>AI誤答レビュー</x:v>
      </x:c>
      <x:c r="AF408" s="171" t="str">
        <x:v>2026-07-12</x:v>
      </x:c>
      <x:c r="AG408" s="312" t="str">
        <x:v>最終バッチ：有効な誤答を維持し、絶対語・物理的不可能な誤答のみ置換。正答位置は維持。</x:v>
      </x:c>
    </x:row>
    <x:row r="409" ht="84" customHeight="1">
      <x:c r="A409" s="311" t="str">
        <x:v>LO2-108</x:v>
      </x:c>
      <x:c r="B409" s="171" t="str">
        <x:v>LO2</x:v>
      </x:c>
      <x:c r="C409" s="165" t="str">
        <x:v>世界の主要な非発泡性ワイン</x:v>
      </x:c>
      <x:c r="D409" s="165" t="str">
        <x:v>ヤキマ・ヴァレー</x:v>
      </x:c>
      <x:c r="E409" s="165" t="str">
        <x:v>ヤキマ・ヴァレーがリースリングからカベルネ・ソーヴィニヨンまで幅広い品種に適する主な理由はどれか。</x:v>
      </x:c>
      <x:c r="F409" s="165" t="str">
        <x:v>海洋性の多雨気候で灌漑が不要だから</x:v>
      </x:c>
      <x:c r="G409" s="165" t="str">
        <x:v>多くのブドウを貴腐化するため</x:v>
      </x:c>
      <x:c r="H409" s="165" t="str">
        <x:v>全域が単一の温度と土壌であるため</x:v>
      </x:c>
      <x:c r="I409" s="165" t="str">
        <x:v>標高、斜面、日照、冷気のたまり方が多様で、品種に合うメソ気候を選べる</x:v>
      </x:c>
      <x:c r="J409" s="171" t="str">
        <x:v>D</x:v>
      </x:c>
      <x:c r="K409" s="165" t="str">
        <x:v>標高、斜面、日照、冷気のたまり方が多様で、品種に合うメソ気候を選べる</x:v>
      </x:c>
      <x:c r="L409" s="165" t="str">
        <x:v>正しい。乾燥した大陸性地域の中で、冷涼な区画から温暖な区画まで存在し、灌漑で水分を制御できる。</x:v>
      </x:c>
      <x:c r="M409" s="165" t="str">
        <x:v>誤り。乾燥しており、灌漑が重要である。</x:v>
      </x:c>
      <x:c r="N409" s="165" t="str">
        <x:v>誤り。貴腐は地域全体の標準ではない。</x:v>
      </x:c>
      <x:c r="O409" s="165" t="str">
        <x:v>誤り。多様なメソ気候が品種の幅を支える。</x:v>
      </x:c>
      <x:c r="P409" s="165" t="str">
        <x:v>正しい。乾燥した大陸性地域の中で、冷涼な区画から温暖な区画まで存在し、灌漑で水分を制御できる。</x:v>
      </x:c>
      <x:c r="Q409" s="165" t="str">
        <x:v>自然要因</x:v>
      </x:c>
      <x:c r="R409" s="165" t="str">
        <x:v>ワシントン州</x:v>
      </x:c>
      <x:c r="S409" s="165" t="str">
        <x:v>赤・白ワイン</x:v>
      </x:c>
      <x:c r="T409" s="165" t="str">
        <x:v>米国</x:v>
      </x:c>
      <x:c r="U409" s="165" t="str">
        <x:v>ヤキマ・ヴァレー</x:v>
      </x:c>
      <x:c r="V409" s="165" t="str">
        <x:v>リースリング、シャルドネ、カベルネ・ソーヴィニヨン</x:v>
      </x:c>
      <x:c r="W409" s="165" t="str">
        <x:v>統合判断</x:v>
      </x:c>
      <x:c r="X409" s="171" t="str">
        <x:v>D3</x:v>
      </x:c>
      <x:c r="Y409" s="165" t="str">
        <x:v>ヤキマ・ヴァレーについて関連要因を主因とみなす; ヤキマ・ヴァレーについて関連要因を主因とみなす; ヤキマ・ヴァレーについて関連要因を主因とみなす</x:v>
      </x:c>
      <x:c r="Z409" s="171" t="str">
        <x:v>N</x:v>
      </x:c>
      <x:c r="AA409" s="165"/>
      <x:c r="AB409" s="165" t="str">
        <x:v>オリジナル</x:v>
      </x:c>
      <x:c r="AC409" s="165" t="str">
        <x:v>公式Specificationの範囲＋ユーザー作成コーパスの論点を参考に独自作成</x:v>
      </x:c>
      <x:c r="AD409" s="171" t="str">
        <x:v>改稿済み・専門家未承認</x:v>
      </x:c>
      <x:c r="AE409" s="171" t="str">
        <x:v>AI誤答レビュー</x:v>
      </x:c>
      <x:c r="AF409" s="171" t="str">
        <x:v>2026-07-12</x:v>
      </x:c>
      <x:c r="AG409" s="312" t="str">
        <x:v>第5バッチ：使用可能な誤答を維持し、弱い誤答を因果逆転・隣接概念へ置換。正答位置は維持。</x:v>
      </x:c>
    </x:row>
    <x:row r="410" ht="84" customHeight="1">
      <x:c r="A410" s="311" t="str">
        <x:v>LO2-109</x:v>
      </x:c>
      <x:c r="B410" s="171" t="str">
        <x:v>LO2</x:v>
      </x:c>
      <x:c r="C410" s="165" t="str">
        <x:v>世界の主要な非発泡性ワイン</x:v>
      </x:c>
      <x:c r="D410" s="165" t="str">
        <x:v>ナイアガラのリースリング</x:v>
      </x:c>
      <x:c r="E410" s="165" t="str">
        <x:v>ナイアガラ半島のリースリングが高い酸を保ちつつ成熟できる主な理由はどれか。</x:v>
      </x:c>
      <x:c r="F410" s="165" t="str">
        <x:v>湖の温和な影響と長い生育期により、酸を保ちながら成熟できるため</x:v>
      </x:c>
      <x:c r="G410" s="165" t="str">
        <x:v>オンタリオ湖が冬の寒さを強め、芽吹きを遅らせるため</x:v>
      </x:c>
      <x:c r="H410" s="165" t="str">
        <x:v>湖の温和な影響と長い生育期により、酸を失いながら成熟する</x:v>
      </x:c>
      <x:c r="I410" s="165" t="str">
        <x:v>夏の夜温が高く、呼吸によって酸が減るため</x:v>
      </x:c>
      <x:c r="J410" s="171" t="str">
        <x:v>A</x:v>
      </x:c>
      <x:c r="K410" s="165" t="str">
        <x:v>湖の温和な影響と長い生育期により、酸を保ちながら成熟できるため</x:v>
      </x:c>
      <x:c r="L410" s="165" t="str">
        <x:v>正しい。オンタリオ湖が春霜と冬の寒さを緩和し、リースリングの成熟期間を延ばす。</x:v>
      </x:c>
      <x:c r="M410" s="165" t="str">
        <x:v>正しい。オンタリオ湖が春霜と冬の寒さを緩和し、リースリングの成熟期間を延ばす。</x:v>
      </x:c>
      <x:c r="N410" s="165" t="str">
        <x:v>誤り。湖は極端な寒さを緩和する方向に働く。</x:v>
      </x:c>
      <x:c r="O410" s="165" t="str">
        <x:v>誤り。湖の温和効果は生育期を延ばし、高い酸を保ちながら成熟させる。</x:v>
      </x:c>
      <x:c r="P410" s="165" t="str">
        <x:v>誤り。高い酸保持とは逆の作用である。</x:v>
      </x:c>
      <x:c r="Q410" s="165" t="str">
        <x:v>自然要因</x:v>
      </x:c>
      <x:c r="R410" s="165" t="str">
        <x:v>オンタリオ</x:v>
      </x:c>
      <x:c r="S410" s="165" t="str">
        <x:v>白ワイン</x:v>
      </x:c>
      <x:c r="T410" s="165" t="str">
        <x:v>カナダ</x:v>
      </x:c>
      <x:c r="U410" s="165" t="str">
        <x:v>ナイアガラ半島</x:v>
      </x:c>
      <x:c r="V410" s="165" t="str">
        <x:v>リースリング</x:v>
      </x:c>
      <x:c r="W410" s="165" t="str">
        <x:v>因果説明</x:v>
      </x:c>
      <x:c r="X410" s="171" t="str">
        <x:v>D2</x:v>
      </x:c>
      <x:c r="Y410" s="165" t="str">
        <x:v>湖が寒さを強める; 湖の温和効果で酸が失われる; 高夜温で酸保持</x:v>
      </x:c>
      <x:c r="Z410" s="171" t="str">
        <x:v>N</x:v>
      </x:c>
      <x:c r="AA410" s="165"/>
      <x:c r="AB410" s="165" t="str">
        <x:v>オリジナル</x:v>
      </x:c>
      <x:c r="AC410" s="165" t="str">
        <x:v>公式Specificationの範囲＋ユーザー作成コーパスの論点を参考に独自作成</x:v>
      </x:c>
      <x:c r="AD410" s="171" t="str">
        <x:v>改稿済み・専門家未承認</x:v>
      </x:c>
      <x:c r="AE410" s="171" t="str">
        <x:v>AI誤答レビュー</x:v>
      </x:c>
      <x:c r="AF410" s="171" t="str">
        <x:v>2026-07-12</x:v>
      </x:c>
      <x:c r="AG410" s="312" t="str">
        <x:v>第4バッチ：同一論点内の典型的誤概念へ置換。正答位置は維持。</x:v>
      </x:c>
    </x:row>
    <x:row r="411" ht="84" customHeight="1">
      <x:c r="A411" s="311" t="str">
        <x:v>LO2-110</x:v>
      </x:c>
      <x:c r="B411" s="171" t="str">
        <x:v>LO2</x:v>
      </x:c>
      <x:c r="C411" s="165" t="str">
        <x:v>世界の主要な非発泡性ワイン</x:v>
      </x:c>
      <x:c r="D411" s="165" t="str">
        <x:v>オカナガンのシラー</x:v>
      </x:c>
      <x:c r="E411" s="165" t="str">
        <x:v>オカナガン・ヴァレー南部のシラーに典型的なスタイルはどれか。</x:v>
      </x:c>
      <x:c r="F411" s="165" t="str">
        <x:v>黒系果実と黒胡椒を持つが、酸が低くタンニンが非常に高い重厚な赤</x:v>
      </x:c>
      <x:c r="G411" s="165" t="str">
        <x:v>白胡椒、赤系果実、高い酸を持つ中程度のボディの赤</x:v>
      </x:c>
      <x:c r="H411" s="165" t="str">
        <x:v>熟したブラックベリー、低い酸、非常に高いアルコールの濃厚赤</x:v>
      </x:c>
      <x:c r="I411" s="165" t="str">
        <x:v>淡い色、低タンニン、花香中心のピノ・ノワール型赤</x:v>
      </x:c>
      <x:c r="J411" s="171" t="str">
        <x:v>B</x:v>
      </x:c>
      <x:c r="K411" s="165" t="str">
        <x:v>白胡椒、赤系果実、高い酸を持つ中程度のボディの赤</x:v>
      </x:c>
      <x:c r="L411" s="165" t="str">
        <x:v>正しい。乾燥した日中と冷涼な夜が、熟度と酸、胡椒香を両立する。</x:v>
      </x:c>
      <x:c r="M411" s="165" t="str">
        <x:v>誤り。これはより温暖で重厚なシラーの説明に近く、オカナガンの高い酸と中程度のボディを適切に示さない。</x:v>
      </x:c>
      <x:c r="N411" s="165" t="str">
        <x:v>正しい。乾燥した日中と冷涼な夜が、熟度と酸、胡椒香を両立する。</x:v>
      </x:c>
      <x:c r="O411" s="165" t="str">
        <x:v>誤り。南オカナガンでも夜間冷却があり、単純な低酸高アルコール型ではない。</x:v>
      </x:c>
      <x:c r="P411" s="165" t="str">
        <x:v>誤り。シラーはより色と構造を持つ。</x:v>
      </x:c>
      <x:c r="Q411" s="165" t="str">
        <x:v>産地</x:v>
      </x:c>
      <x:c r="R411" s="165" t="str">
        <x:v>ブリティッシュ・コロンビア</x:v>
      </x:c>
      <x:c r="S411" s="165" t="str">
        <x:v>赤ワイン</x:v>
      </x:c>
      <x:c r="T411" s="165" t="str">
        <x:v>カナダ</x:v>
      </x:c>
      <x:c r="U411" s="165" t="str">
        <x:v>オカナガン・ヴァレー</x:v>
      </x:c>
      <x:c r="V411" s="165" t="str">
        <x:v>シラー</x:v>
      </x:c>
      <x:c r="W411" s="165" t="str">
        <x:v>知識確認</x:v>
      </x:c>
      <x:c r="X411" s="171" t="str">
        <x:v>D2</x:v>
      </x:c>
      <x:c r="Y411" s="165" t="str">
        <x:v>オカナガン・シラーを低酸・重厚型と混同; オカナガン・シラーをバロッサ型と混同; シラーをピノ型と混同</x:v>
      </x:c>
      <x:c r="Z411" s="171" t="str">
        <x:v>N</x:v>
      </x:c>
      <x:c r="AA411" s="165"/>
      <x:c r="AB411" s="165" t="str">
        <x:v>オリジナル</x:v>
      </x:c>
      <x:c r="AC411" s="165" t="str">
        <x:v>公式Specificationの範囲＋ユーザー作成コーパスの論点を参考に独自作成</x:v>
      </x:c>
      <x:c r="AD411" s="171" t="str">
        <x:v>改稿済み・専門家未承認</x:v>
      </x:c>
      <x:c r="AE411" s="171" t="str">
        <x:v>AI誤答レビュー</x:v>
      </x:c>
      <x:c r="AF411" s="171" t="str">
        <x:v>2026-07-12</x:v>
      </x:c>
      <x:c r="AG411" s="312" t="str">
        <x:v>第4バッチ：同一論点内の典型的誤概念へ置換。正答位置は維持。</x:v>
      </x:c>
    </x:row>
    <x:row r="412" ht="84" customHeight="1">
      <x:c r="A412" s="311" t="str">
        <x:v>LO2-111</x:v>
      </x:c>
      <x:c r="B412" s="171" t="str">
        <x:v>LO2</x:v>
      </x:c>
      <x:c r="C412" s="165" t="str">
        <x:v>世界の主要な非発泡性ワイン</x:v>
      </x:c>
      <x:c r="D412" s="165" t="str">
        <x:v>アコンカグア・ヴァレー</x:v>
      </x:c>
      <x:c r="E412" s="165" t="str">
        <x:v>アコンカグア・ヴァレー内陸部がカベルネ・ソーヴィニヨンに適する主な理由はどれか。</x:v>
      </x:c>
      <x:c r="F412" s="165" t="str">
        <x:v>リースリングだけを栽培するため</x:v>
      </x:c>
      <x:c r="G412" s="165" t="str">
        <x:v>高緯度の極夜で糖が蓄積しないため</x:v>
      </x:c>
      <x:c r="H412" s="165" t="str">
        <x:v>暖かく乾燥した日中とアンデスからの冷涼な夜風により、完全成熟と酸保持を両立できる</x:v>
      </x:c>
      <x:c r="I412" s="165" t="str">
        <x:v>冷たい海流が内陸畑を常に霧で覆うため</x:v>
      </x:c>
      <x:c r="J412" s="171" t="str">
        <x:v>C</x:v>
      </x:c>
      <x:c r="K412" s="165" t="str">
        <x:v>暖かく乾燥した日中とアンデスからの冷涼な夜風により、完全成熟と酸保持を両立できる</x:v>
      </x:c>
      <x:c r="L412" s="165" t="str">
        <x:v>正しい。日照の多い半乾燥気候で病害が少なく、灌漑を用いて水分を管理しながら黒品種を成熟させる。</x:v>
      </x:c>
      <x:c r="M412" s="165" t="str">
        <x:v>誤り。カベルネ・ソーヴィニヨンやシラーが重要である。</x:v>
      </x:c>
      <x:c r="N412" s="165" t="str">
        <x:v>誤り。チリ中部で日照に恵まれる。</x:v>
      </x:c>
      <x:c r="O412" s="165" t="str">
        <x:v>正しい。日照の多い半乾燥気候で病害が少なく、灌漑を用いて水分を管理しながら黒品種を成熟させる。</x:v>
      </x:c>
      <x:c r="P412" s="165" t="str">
        <x:v>誤り。沿岸部には海洋影響が強いが、内陸部はより暖かい。</x:v>
      </x:c>
      <x:c r="Q412" s="165" t="str">
        <x:v>自然要因</x:v>
      </x:c>
      <x:c r="R412" s="165" t="str">
        <x:v>チリ</x:v>
      </x:c>
      <x:c r="S412" s="165" t="str">
        <x:v>赤ワイン</x:v>
      </x:c>
      <x:c r="T412" s="165" t="str">
        <x:v>チリ</x:v>
      </x:c>
      <x:c r="U412" s="165" t="str">
        <x:v>アコンカグア・ヴァレー</x:v>
      </x:c>
      <x:c r="V412" s="165" t="str">
        <x:v>カベルネ・ソーヴィニヨン、シラー</x:v>
      </x:c>
      <x:c r="W412" s="165" t="str">
        <x:v>因果説明</x:v>
      </x:c>
      <x:c r="X412" s="171" t="str">
        <x:v>D2</x:v>
      </x:c>
      <x:c r="Y412" s="165" t="str">
        <x:v>アコンカグア・ヴァレーについて関連要因を主因とみなす; アコンカグア・ヴァレーについて関連要因を主因とみなす; アコンカグア・ヴァレーについて関連要因を主因とみなす</x:v>
      </x:c>
      <x:c r="Z412" s="171" t="str">
        <x:v>N</x:v>
      </x:c>
      <x:c r="AA412" s="165"/>
      <x:c r="AB412" s="165" t="str">
        <x:v>オリジナル</x:v>
      </x:c>
      <x:c r="AC412" s="165" t="str">
        <x:v>公式Specificationの範囲＋ユーザー作成コーパスの論点を参考に独自作成</x:v>
      </x:c>
      <x:c r="AD412" s="171" t="str">
        <x:v>改稿済み・専門家未承認</x:v>
      </x:c>
      <x:c r="AE412" s="171" t="str">
        <x:v>AI誤答レビュー</x:v>
      </x:c>
      <x:c r="AF412" s="171" t="str">
        <x:v>2026-07-12</x:v>
      </x:c>
      <x:c r="AG412" s="312" t="str">
        <x:v>第5バッチ：使用可能な誤答を維持し、弱い誤答を因果逆転・隣接概念へ置換。正答位置は維持。</x:v>
      </x:c>
    </x:row>
    <x:row r="413" ht="84" customHeight="1">
      <x:c r="A413" s="311" t="str">
        <x:v>LO2-112</x:v>
      </x:c>
      <x:c r="B413" s="171" t="str">
        <x:v>LO2</x:v>
      </x:c>
      <x:c r="C413" s="165" t="str">
        <x:v>世界の主要な非発泡性ワイン</x:v>
      </x:c>
      <x:c r="D413" s="165" t="str">
        <x:v>リマリ・ヴァレー</x:v>
      </x:c>
      <x:c r="E413" s="165" t="str">
        <x:v>リマリ・ヴァレーのシャルドネが高い酸と塩味を思わせるミネラル感を持ちやすい要因はどれか。</x:v>
      </x:c>
      <x:c r="F413" s="165" t="str">
        <x:v>暑い日中と、海風や大きな日較差による涼しい夜</x:v>
      </x:c>
      <x:c r="G413" s="165" t="str">
        <x:v>内陸高温と花崗岩土壌で、低い酸と高いアルコールを得る</x:v>
      </x:c>
      <x:c r="H413" s="165" t="str">
        <x:v>多雨と貴腐によって酸とミネラル感を濃縮する</x:v>
      </x:c>
      <x:c r="I413" s="165" t="str">
        <x:v>太平洋の冷却、海岸山脈の切れ目、石灰質土壌、低降水</x:v>
      </x:c>
      <x:c r="J413" s="171" t="str">
        <x:v>D</x:v>
      </x:c>
      <x:c r="K413" s="165" t="str">
        <x:v>太平洋の冷却、海岸山脈の切れ目、石灰質土壌、低降水</x:v>
      </x:c>
      <x:c r="L413" s="165" t="str">
        <x:v>正しい。冷たい風と霧が酸を保ち、石灰質土壌が引き締まったスタイルに寄与する。</x:v>
      </x:c>
      <x:c r="M413" s="165" t="str">
        <x:v>誤り。これは同じ知識領域の「パソ・ロブレス」に当てはまる説明で、設問の「リマリ・ヴァレー」を最も適切に説明しない。</x:v>
      </x:c>
      <x:c r="N413" s="165" t="str">
        <x:v>誤り。リマリは海洋冷却と石灰質が特徴。</x:v>
      </x:c>
      <x:c r="O413" s="165" t="str">
        <x:v>誤り。乾燥地で、貴腐が主因ではない。</x:v>
      </x:c>
      <x:c r="P413" s="165" t="str">
        <x:v>正しい。冷たい風と霧が酸を保ち、石灰質土壌が引き締まったスタイルに寄与する。</x:v>
      </x:c>
      <x:c r="Q413" s="165" t="str">
        <x:v>自然要因</x:v>
      </x:c>
      <x:c r="R413" s="165" t="str">
        <x:v>チリ</x:v>
      </x:c>
      <x:c r="S413" s="165" t="str">
        <x:v>白ワイン</x:v>
      </x:c>
      <x:c r="T413" s="165" t="str">
        <x:v>チリ</x:v>
      </x:c>
      <x:c r="U413" s="165" t="str">
        <x:v>リマリ・ヴァレー</x:v>
      </x:c>
      <x:c r="V413" s="165" t="str">
        <x:v>シャルドネ</x:v>
      </x:c>
      <x:c r="W413" s="165" t="str">
        <x:v>統合判断</x:v>
      </x:c>
      <x:c r="X413" s="171" t="str">
        <x:v>D3</x:v>
      </x:c>
      <x:c r="Y413" s="165" t="str">
        <x:v>リマリ・ヴァレーをパソ・ロブレスの特徴と混同; リマリを内陸高温花崗岩と混同; リマリを多雨貴腐型とみなす</x:v>
      </x:c>
      <x:c r="Z413" s="171" t="str">
        <x:v>N</x:v>
      </x:c>
      <x:c r="AA413" s="165"/>
      <x:c r="AB413" s="165" t="str">
        <x:v>オリジナル</x:v>
      </x:c>
      <x:c r="AC413" s="165" t="str">
        <x:v>公式Specificationの範囲＋ユーザー作成コーパスの論点を参考に独自作成</x:v>
      </x:c>
      <x:c r="AD413" s="171" t="str">
        <x:v>改稿済み・専門家未承認</x:v>
      </x:c>
      <x:c r="AE413" s="171" t="str">
        <x:v>AI誤答レビュー</x:v>
      </x:c>
      <x:c r="AF413" s="171" t="str">
        <x:v>2026-07-12</x:v>
      </x:c>
      <x:c r="AG413" s="312" t="str">
        <x:v>第4バッチ：同一論点内の典型的誤概念へ置換。正答位置は維持。</x:v>
      </x:c>
    </x:row>
    <x:row r="414" ht="84" customHeight="1">
      <x:c r="A414" s="311" t="str">
        <x:v>LO2-113</x:v>
      </x:c>
      <x:c r="B414" s="171" t="str">
        <x:v>LO2</x:v>
      </x:c>
      <x:c r="C414" s="165" t="str">
        <x:v>世界の主要な非発泡性ワイン</x:v>
      </x:c>
      <x:c r="D414" s="165" t="str">
        <x:v>イタタとビオ・ビオ</x:v>
      </x:c>
      <x:c r="E414" s="165" t="str">
        <x:v>チリ南部のイタタやビオ・ビオが中部の温暖産地より軽快なワインを生みやすい主な理由はどれか。</x:v>
      </x:c>
      <x:c r="F414" s="165" t="str">
        <x:v>南に位置し海洋の影響が強く、気温が低いため</x:v>
      </x:c>
      <x:c r="G414" s="165" t="str">
        <x:v>山脈と谷が東西方向に走り、太平洋からの風と霧の通り道となるため</x:v>
      </x:c>
      <x:c r="H414" s="165" t="str">
        <x:v>標高が低く夜間も暖かいため、酸が減って軽くなる</x:v>
      </x:c>
      <x:c r="I414" s="165" t="str">
        <x:v>中部より乾燥し日照が強く、果実が小さくなるため</x:v>
      </x:c>
      <x:c r="J414" s="171" t="str">
        <x:v>A</x:v>
      </x:c>
      <x:c r="K414" s="165" t="str">
        <x:v>南に位置し海洋の影響が強く、気温が低いため</x:v>
      </x:c>
      <x:c r="L414" s="165" t="str">
        <x:v>正しい。高緯度と海風・降雨により成熟が緩やかで、酸と軽い果実味を保つ。</x:v>
      </x:c>
      <x:c r="M414" s="165" t="str">
        <x:v>正しい。高緯度と海風・降雨により成熟が緩やかで、酸と軽い果実味を保つ。</x:v>
      </x:c>
      <x:c r="N414" s="165" t="str">
        <x:v>誤り。これは同じ知識領域の「サンタ・バーバラ」に当てはまる説明で、設問の「イタタとビオ・ビオ」を最も適切に説明しない。</x:v>
      </x:c>
      <x:c r="O414" s="165" t="str">
        <x:v>誤り。高い夜温は酸を減らし、軽快さの主因ではない。</x:v>
      </x:c>
      <x:c r="P414" s="165" t="str">
        <x:v>誤り。南部はより冷涼で湿潤な傾向がある。</x:v>
      </x:c>
      <x:c r="Q414" s="165" t="str">
        <x:v>自然要因</x:v>
      </x:c>
      <x:c r="R414" s="165" t="str">
        <x:v>チリ南部</x:v>
      </x:c>
      <x:c r="S414" s="165" t="str">
        <x:v>赤・白ワイン</x:v>
      </x:c>
      <x:c r="T414" s="165" t="str">
        <x:v>チリ</x:v>
      </x:c>
      <x:c r="U414" s="165" t="str">
        <x:v>イタタ／ビオ・ビオ</x:v>
      </x:c>
      <x:c r="V414" s="165" t="str">
        <x:v>パイス、サンソー、モスカテル</x:v>
      </x:c>
      <x:c r="W414" s="165" t="str">
        <x:v>比較</x:v>
      </x:c>
      <x:c r="X414" s="171" t="str">
        <x:v>D3</x:v>
      </x:c>
      <x:c r="Y414" s="165" t="str">
        <x:v>イタタとビオ・ビオをサンタ・バーバラの特徴と混同; 暖夜で軽快になる; イタタ・ビオビオをより乾燥高温とみなす</x:v>
      </x:c>
      <x:c r="Z414" s="171" t="str">
        <x:v>N</x:v>
      </x:c>
      <x:c r="AA414" s="165"/>
      <x:c r="AB414" s="165" t="str">
        <x:v>オリジナル</x:v>
      </x:c>
      <x:c r="AC414" s="165" t="str">
        <x:v>公式Specificationの範囲＋ユーザー作成コーパスの論点を参考に独自作成</x:v>
      </x:c>
      <x:c r="AD414" s="171" t="str">
        <x:v>改稿済み・専門家未承認</x:v>
      </x:c>
      <x:c r="AE414" s="171" t="str">
        <x:v>AI誤答レビュー</x:v>
      </x:c>
      <x:c r="AF414" s="171" t="str">
        <x:v>2026-07-12</x:v>
      </x:c>
      <x:c r="AG414" s="312" t="str">
        <x:v>第4バッチ：同一論点内の典型的誤概念へ置換。正答位置は維持。</x:v>
      </x:c>
    </x:row>
    <x:row r="415" ht="84" customHeight="1">
      <x:c r="A415" s="311" t="str">
        <x:v>LO2-114</x:v>
      </x:c>
      <x:c r="B415" s="171" t="str">
        <x:v>LO2</x:v>
      </x:c>
      <x:c r="C415" s="165" t="str">
        <x:v>世界の主要な非発泡性ワイン</x:v>
      </x:c>
      <x:c r="D415" s="165" t="str">
        <x:v>サルタのトロンテス</x:v>
      </x:c>
      <x:c r="E415" s="165" t="str">
        <x:v>サルタのトロンテスが強い花香と高い酸を両立しやすい主な理由はどれか。</x:v>
      </x:c>
      <x:c r="F415" s="165" t="str">
        <x:v>極めて低い標高、強い日照、冷涼な夜</x:v>
      </x:c>
      <x:c r="G415" s="165" t="str">
        <x:v>極めて高い標高、強い日照、冷涼な夜</x:v>
      </x:c>
      <x:c r="H415" s="165" t="str">
        <x:v>低標高の湿潤平地と暖かい夜</x:v>
      </x:c>
      <x:c r="I415" s="165" t="str">
        <x:v>海洋霧と冷たい海流が一日中覆う</x:v>
      </x:c>
      <x:c r="J415" s="171" t="str">
        <x:v>B</x:v>
      </x:c>
      <x:c r="K415" s="165" t="str">
        <x:v>極めて高い標高、強い日照、冷涼な夜</x:v>
      </x:c>
      <x:c r="L415" s="165" t="str">
        <x:v>正しい。日中に芳香を成熟させ、夜間冷却で酸を保持する。</x:v>
      </x:c>
      <x:c r="M415" s="165" t="str">
        <x:v>誤り。正答では「高い標高」ことが重要であり、この選択肢は「低い標高」へ置き換えて関係を逆にしている。</x:v>
      </x:c>
      <x:c r="N415" s="165" t="str">
        <x:v>正しい。日中に芳香を成熟させ、夜間冷却で酸を保持する。</x:v>
      </x:c>
      <x:c r="O415" s="165" t="str">
        <x:v>誤り。酸と芳香保持に不利。</x:v>
      </x:c>
      <x:c r="P415" s="165" t="str">
        <x:v>誤り。内陸高地で海洋霧の影響はない。</x:v>
      </x:c>
      <x:c r="Q415" s="165" t="str">
        <x:v>自然要因</x:v>
      </x:c>
      <x:c r="R415" s="165" t="str">
        <x:v>アルゼンチン</x:v>
      </x:c>
      <x:c r="S415" s="165" t="str">
        <x:v>白ワイン</x:v>
      </x:c>
      <x:c r="T415" s="165" t="str">
        <x:v>アルゼンチン</x:v>
      </x:c>
      <x:c r="U415" s="165" t="str">
        <x:v>サルタ／カファジャテ</x:v>
      </x:c>
      <x:c r="V415" s="165" t="str">
        <x:v>トロンテス</x:v>
      </x:c>
      <x:c r="W415" s="165" t="str">
        <x:v>因果説明</x:v>
      </x:c>
      <x:c r="X415" s="171" t="str">
        <x:v>D2</x:v>
      </x:c>
      <x:c r="Y415" s="165" t="str">
        <x:v>「高い標高」と「低い標高」の関係を逆転; サルタを低地湿潤暖夜とみなす; サルタを海洋霧型とみなす</x:v>
      </x:c>
      <x:c r="Z415" s="171" t="str">
        <x:v>N</x:v>
      </x:c>
      <x:c r="AA415" s="165"/>
      <x:c r="AB415" s="165" t="str">
        <x:v>オリジナル</x:v>
      </x:c>
      <x:c r="AC415" s="165" t="str">
        <x:v>公式Specificationの範囲＋ユーザー作成コーパスの論点を参考に独自作成</x:v>
      </x:c>
      <x:c r="AD415" s="171" t="str">
        <x:v>改稿済み・専門家未承認</x:v>
      </x:c>
      <x:c r="AE415" s="171" t="str">
        <x:v>AI誤答レビュー</x:v>
      </x:c>
      <x:c r="AF415" s="171" t="str">
        <x:v>2026-07-12</x:v>
      </x:c>
      <x:c r="AG415" s="312" t="str">
        <x:v>第4バッチ：同一論点内の典型的誤概念へ置換。正答位置は維持。</x:v>
      </x:c>
    </x:row>
    <x:row r="416" ht="84" customHeight="1">
      <x:c r="A416" s="311" t="str">
        <x:v>LO2-115</x:v>
      </x:c>
      <x:c r="B416" s="171" t="str">
        <x:v>LO2</x:v>
      </x:c>
      <x:c r="C416" s="165" t="str">
        <x:v>世界の主要な非発泡性ワイン</x:v>
      </x:c>
      <x:c r="D416" s="165" t="str">
        <x:v>コンスタンシア</x:v>
      </x:c>
      <x:c r="E416" s="165" t="str">
        <x:v>コンスタンシアのソーヴィニヨン・ブランがフレッシュな酸と香りを持ちやすい主な理由はどれか。</x:v>
      </x:c>
      <x:c r="F416" s="165" t="str">
        <x:v>フォールス湾からの冷たい風と霧が、成熟を早めるため</x:v>
      </x:c>
      <x:c r="G416" s="165" t="str">
        <x:v>内陸の高温乾燥で糖度が上がり、酸を後から添加するため</x:v>
      </x:c>
      <x:c r="H416" s="165" t="str">
        <x:v>フォールス湾からの冷たい風と霧が、成熟を遅らせるため</x:v>
      </x:c>
      <x:c r="I416" s="165" t="str">
        <x:v>高標高だけが酸保持の主因で、海洋影響は小さい</x:v>
      </x:c>
      <x:c r="J416" s="171" t="str">
        <x:v>C</x:v>
      </x:c>
      <x:c r="K416" s="165" t="str">
        <x:v>フォールス湾からの冷たい風と霧が、成熟を遅らせるため</x:v>
      </x:c>
      <x:c r="L416" s="165" t="str">
        <x:v>正しい。海洋冷却が高い酸と青草・柑橘の香りを保つ。</x:v>
      </x:c>
      <x:c r="M416" s="165" t="str">
        <x:v>誤り。正答では「成熟を遅らせ」ことが重要であり、この選択肢は「成熟を早め」へ置き換えて関係を逆にしている。</x:v>
      </x:c>
      <x:c r="N416" s="165" t="str">
        <x:v>誤り。コンスタンシアは海洋冷却を受ける。</x:v>
      </x:c>
      <x:c r="O416" s="165" t="str">
        <x:v>正しい。海洋冷却が高い酸と青草・柑橘の香りを保つ。</x:v>
      </x:c>
      <x:c r="P416" s="165" t="str">
        <x:v>誤り。海に近いことが重要な自然要因である。</x:v>
      </x:c>
      <x:c r="Q416" s="165" t="str">
        <x:v>自然要因</x:v>
      </x:c>
      <x:c r="R416" s="165" t="str">
        <x:v>ケープ・タウン</x:v>
      </x:c>
      <x:c r="S416" s="165" t="str">
        <x:v>白ワイン</x:v>
      </x:c>
      <x:c r="T416" s="165" t="str">
        <x:v>南アフリカ</x:v>
      </x:c>
      <x:c r="U416" s="165" t="str">
        <x:v>コンスタンシア</x:v>
      </x:c>
      <x:c r="V416" s="165" t="str">
        <x:v>ソーヴィニヨン・ブラン</x:v>
      </x:c>
      <x:c r="W416" s="165" t="str">
        <x:v>因果説明</x:v>
      </x:c>
      <x:c r="X416" s="171" t="str">
        <x:v>D2</x:v>
      </x:c>
      <x:c r="Y416" s="165" t="str">
        <x:v>「成熟を遅らせ」と「成熟を早め」の関係を逆転; コンスタンシアを内陸高温型とみなす; 海洋影響を無視する</x:v>
      </x:c>
      <x:c r="Z416" s="171" t="str">
        <x:v>N</x:v>
      </x:c>
      <x:c r="AA416" s="165"/>
      <x:c r="AB416" s="165" t="str">
        <x:v>オリジナル</x:v>
      </x:c>
      <x:c r="AC416" s="165" t="str">
        <x:v>公式Specificationの範囲＋ユーザー作成コーパスの論点を参考に独自作成</x:v>
      </x:c>
      <x:c r="AD416" s="171" t="str">
        <x:v>改稿済み・専門家未承認</x:v>
      </x:c>
      <x:c r="AE416" s="171" t="str">
        <x:v>AI誤答レビュー</x:v>
      </x:c>
      <x:c r="AF416" s="171" t="str">
        <x:v>2026-07-12</x:v>
      </x:c>
      <x:c r="AG416" s="312" t="str">
        <x:v>第4バッチ：同一論点内の典型的誤概念へ置換。正答位置は維持。</x:v>
      </x:c>
    </x:row>
    <x:row r="417" ht="84" customHeight="1">
      <x:c r="A417" s="311" t="str">
        <x:v>LO2-116</x:v>
      </x:c>
      <x:c r="B417" s="171" t="str">
        <x:v>LO2</x:v>
      </x:c>
      <x:c r="C417" s="165" t="str">
        <x:v>世界の主要な非発泡性ワイン</x:v>
      </x:c>
      <x:c r="D417" s="165" t="str">
        <x:v>エルギン</x:v>
      </x:c>
      <x:c r="E417" s="165" t="str">
        <x:v>エルギンのシャルドネが南アフリカの温暖地域より繊細で高い酸を持ちやすい主な理由はどれか。</x:v>
      </x:c>
      <x:c r="F417" s="165" t="str">
        <x:v>内陸で海洋の冷却が弱く、夏の日中がより暑い</x:v>
      </x:c>
      <x:c r="G417" s="165" t="str">
        <x:v>内陸低地の高温で糖度を上げ、酸添加でバランスを取る</x:v>
      </x:c>
      <x:c r="H417" s="165" t="str">
        <x:v>高収量の肥沃土壌で果実味を薄くし、樽で補う</x:v>
      </x:c>
      <x:c r="I417" s="165" t="str">
        <x:v>標高と海洋性の冷却により、成熟が遅く酸が保たれる</x:v>
      </x:c>
      <x:c r="J417" s="171" t="str">
        <x:v>D</x:v>
      </x:c>
      <x:c r="K417" s="165" t="str">
        <x:v>標高と海洋性の冷却により、成熟が遅く酸が保たれる</x:v>
      </x:c>
      <x:c r="L417" s="165" t="str">
        <x:v>正しい。南アフリカの中でも冷涼で、繊細な果実と高い酸を持つ。</x:v>
      </x:c>
      <x:c r="M417" s="165" t="str">
        <x:v>誤り。これは同じ知識領域の「パール」に当てはまる説明で、設問の「エルギン」を最も適切に説明しない。</x:v>
      </x:c>
      <x:c r="N417" s="165" t="str">
        <x:v>誤り。エルギンは冷涼な高地。</x:v>
      </x:c>
      <x:c r="O417" s="165" t="str">
        <x:v>誤り。低収量・冷涼条件が品質を支える。</x:v>
      </x:c>
      <x:c r="P417" s="165" t="str">
        <x:v>正しい。南アフリカの中でも冷涼で、繊細な果実と高い酸を持つ。</x:v>
      </x:c>
      <x:c r="Q417" s="165" t="str">
        <x:v>自然要因</x:v>
      </x:c>
      <x:c r="R417" s="165" t="str">
        <x:v>西ケープ</x:v>
      </x:c>
      <x:c r="S417" s="165" t="str">
        <x:v>白ワイン</x:v>
      </x:c>
      <x:c r="T417" s="165" t="str">
        <x:v>南アフリカ</x:v>
      </x:c>
      <x:c r="U417" s="165" t="str">
        <x:v>エルギン</x:v>
      </x:c>
      <x:c r="V417" s="165" t="str">
        <x:v>シャルドネ</x:v>
      </x:c>
      <x:c r="W417" s="165" t="str">
        <x:v>比較</x:v>
      </x:c>
      <x:c r="X417" s="171" t="str">
        <x:v>D2</x:v>
      </x:c>
      <x:c r="Y417" s="165" t="str">
        <x:v>エルギンをパールの特徴と混同; エルギンを内陸低地高温とみなす; 高収量薄果実を樽で補う</x:v>
      </x:c>
      <x:c r="Z417" s="171" t="str">
        <x:v>N</x:v>
      </x:c>
      <x:c r="AA417" s="165"/>
      <x:c r="AB417" s="165" t="str">
        <x:v>オリジナル</x:v>
      </x:c>
      <x:c r="AC417" s="165" t="str">
        <x:v>公式Specificationの範囲＋ユーザー作成コーパスの論点を参考に独自作成</x:v>
      </x:c>
      <x:c r="AD417" s="171" t="str">
        <x:v>改稿済み・専門家未承認</x:v>
      </x:c>
      <x:c r="AE417" s="171" t="str">
        <x:v>AI誤答レビュー</x:v>
      </x:c>
      <x:c r="AF417" s="171" t="str">
        <x:v>2026-07-12</x:v>
      </x:c>
      <x:c r="AG417" s="312" t="str">
        <x:v>第4バッチ：同一論点内の典型的誤概念へ置換。正答位置は維持。</x:v>
      </x:c>
    </x:row>
    <x:row r="418" ht="84" customHeight="1">
      <x:c r="A418" s="311" t="str">
        <x:v>LO2-117</x:v>
      </x:c>
      <x:c r="B418" s="171" t="str">
        <x:v>LO2</x:v>
      </x:c>
      <x:c r="C418" s="165" t="str">
        <x:v>世界の主要な非発泡性ワイン</x:v>
      </x:c>
      <x:c r="D418" s="165" t="str">
        <x:v>パール</x:v>
      </x:c>
      <x:c r="E418" s="165" t="str">
        <x:v>パールの赤ワインがステレンボッシュの海寄りの畑より熟したスタイルになりやすい主な理由はどれか。</x:v>
      </x:c>
      <x:c r="F418" s="165" t="str">
        <x:v>内陸で海洋の冷却が弱く、夏の日中がより暑い</x:v>
      </x:c>
      <x:c r="G418" s="165" t="str">
        <x:v>多くのワインを発泡性にするから</x:v>
      </x:c>
      <x:c r="H418" s="165" t="str">
        <x:v>リースリングだけを凍結収穫するから</x:v>
      </x:c>
      <x:c r="I418" s="165" t="str">
        <x:v>南極からの霧で一年中低温だから</x:v>
      </x:c>
      <x:c r="J418" s="171" t="str">
        <x:v>A</x:v>
      </x:c>
      <x:c r="K418" s="165" t="str">
        <x:v>内陸で海洋の冷却が弱く、夏の日中がより暑い</x:v>
      </x:c>
      <x:c r="L418" s="165" t="str">
        <x:v>正しい。温暖な気候でシラーやカベルネが高い糖度まで成熟し、豊かな果実味と高いアルコールを得やすい。</x:v>
      </x:c>
      <x:c r="M418" s="165" t="str">
        <x:v>正しい。温暖な気候でシラーやカベルネが高い糖度まで成熟し、豊かな果実味と高いアルコールを得やすい。</x:v>
      </x:c>
      <x:c r="N418" s="165" t="str">
        <x:v>誤り。非発泡性の赤・白が中心である。</x:v>
      </x:c>
      <x:c r="O418" s="165" t="str">
        <x:v>誤り。黒品種の辛口赤が重要である。</x:v>
      </x:c>
      <x:c r="P418" s="165" t="str">
        <x:v>誤り。パールは内陸の比較的温暖な地域である。</x:v>
      </x:c>
      <x:c r="Q418" s="165" t="str">
        <x:v>自然要因</x:v>
      </x:c>
      <x:c r="R418" s="165" t="str">
        <x:v>西ケープ</x:v>
      </x:c>
      <x:c r="S418" s="165" t="str">
        <x:v>赤ワイン</x:v>
      </x:c>
      <x:c r="T418" s="165" t="str">
        <x:v>南アフリカ</x:v>
      </x:c>
      <x:c r="U418" s="165" t="str">
        <x:v>パール</x:v>
      </x:c>
      <x:c r="V418" s="165" t="str">
        <x:v>シラー、カベルネ・ソーヴィニヨン</x:v>
      </x:c>
      <x:c r="W418" s="165" t="str">
        <x:v>比較</x:v>
      </x:c>
      <x:c r="X418" s="171" t="str">
        <x:v>D2</x:v>
      </x:c>
      <x:c r="Y418" s="165" t="str">
        <x:v>パールについて関連要因を主因とみなす; パールについて関連要因を主因とみなす; パールについて関連要因を主因とみなす</x:v>
      </x:c>
      <x:c r="Z418" s="171" t="str">
        <x:v>N</x:v>
      </x:c>
      <x:c r="AA418" s="165"/>
      <x:c r="AB418" s="165" t="str">
        <x:v>オリジナル</x:v>
      </x:c>
      <x:c r="AC418" s="165" t="str">
        <x:v>公式Specificationの範囲＋ユーザー作成コーパスの論点を参考に独自作成</x:v>
      </x:c>
      <x:c r="AD418" s="171" t="str">
        <x:v>改稿済み・専門家未承認</x:v>
      </x:c>
      <x:c r="AE418" s="171" t="str">
        <x:v>AI誤答レビュー</x:v>
      </x:c>
      <x:c r="AF418" s="171" t="str">
        <x:v>2026-07-12</x:v>
      </x:c>
      <x:c r="AG418" s="312" t="str">
        <x:v>第5バッチ：使用可能な誤答を維持し、弱い誤答を因果逆転・隣接概念へ置換。正答位置は維持。</x:v>
      </x:c>
    </x:row>
    <x:row r="419" ht="84" customHeight="1">
      <x:c r="A419" s="311" t="str">
        <x:v>LO2-118</x:v>
      </x:c>
      <x:c r="B419" s="171" t="str">
        <x:v>LO2</x:v>
      </x:c>
      <x:c r="C419" s="165" t="str">
        <x:v>世界の主要な非発泡性ワイン</x:v>
      </x:c>
      <x:c r="D419" s="165" t="str">
        <x:v>ヤラ・ヴァレー</x:v>
      </x:c>
      <x:c r="E419" s="165" t="str">
        <x:v>ヤラ・ヴァレーのピノ・ノワールに、典型的なスタイルはどれか。</x:v>
      </x:c>
      <x:c r="F419" s="165" t="str">
        <x:v>熟したブラックベリー、高いアルコール、高いタンニンを持つ濃厚な赤</x:v>
      </x:c>
      <x:c r="G419" s="165" t="str">
        <x:v>赤いチェリーとラズベリー、高い酸、中程度以下のタンニンを持つ香り高い赤</x:v>
      </x:c>
      <x:c r="H419" s="165" t="str">
        <x:v>低い酸、ジャム状の赤果実、強いアメリカンオーク香を持つ</x:v>
      </x:c>
      <x:c r="I419" s="165" t="str">
        <x:v>淡い色と高い酸を持つが、品種香は乏しく、主に長期酸化熟成香を示す</x:v>
      </x:c>
      <x:c r="J419" s="171" t="str">
        <x:v>B</x:v>
      </x:c>
      <x:c r="K419" s="165" t="str">
        <x:v>赤いチェリーとラズベリー、高い酸、中程度以下のタンニンを持つ香り高い赤</x:v>
      </x:c>
      <x:c r="L419" s="165" t="str">
        <x:v>正しい。赤系果実、酸、香り高さ、穏やかなタンニンが典型である。</x:v>
      </x:c>
      <x:c r="M419" s="165" t="str">
        <x:v>誤り。ヤラの冷涼気候ピノは、濃厚な黒果実・高タンニン型ではない。</x:v>
      </x:c>
      <x:c r="N419" s="165" t="str">
        <x:v>正しい。赤系果実、酸、香り高さ、穏やかなタンニンが典型である。</x:v>
      </x:c>
      <x:c r="O419" s="165" t="str">
        <x:v>誤り。低酸・ジャム状の温暖型ではなく、樽は品種香を補う程度である。</x:v>
      </x:c>
      <x:c r="P419" s="165" t="str">
        <x:v>誤り。品種香が明瞭で、酸化熟成を中心とするスタイルではない。</x:v>
      </x:c>
      <x:c r="Q419" s="165" t="str">
        <x:v>産地</x:v>
      </x:c>
      <x:c r="R419" s="165" t="str">
        <x:v>ヴィクトリア州</x:v>
      </x:c>
      <x:c r="S419" s="165" t="str">
        <x:v>赤ワイン</x:v>
      </x:c>
      <x:c r="T419" s="165" t="str">
        <x:v>オーストラリア</x:v>
      </x:c>
      <x:c r="U419" s="165" t="str">
        <x:v>ヤラ・ヴァレー</x:v>
      </x:c>
      <x:c r="V419" s="165" t="str">
        <x:v>ピノ・ノワール</x:v>
      </x:c>
      <x:c r="W419" s="165" t="str">
        <x:v>知識確認</x:v>
      </x:c>
      <x:c r="X419" s="171" t="str">
        <x:v>D2</x:v>
      </x:c>
      <x:c r="Y419" s="165" t="str">
        <x:v>ヤラ・ピノは濃厚高タンニン黒果実型; ヤラ・ピノは低酸ジャム・強い米国樽型; ヤラ・ピノは品種香が乏しく酸化香中心</x:v>
      </x:c>
      <x:c r="Z419" s="171" t="str">
        <x:v>N</x:v>
      </x:c>
      <x:c r="AA419" s="165"/>
      <x:c r="AB419" s="165" t="str">
        <x:v>オリジナル</x:v>
      </x:c>
      <x:c r="AC419" s="165" t="str">
        <x:v>公式Specificationの範囲＋ユーザー作成コーパスの論点を参考に独自作成</x:v>
      </x:c>
      <x:c r="AD419" s="171" t="str">
        <x:v>改稿済み・専門家未承認</x:v>
      </x:c>
      <x:c r="AE419" s="171" t="str">
        <x:v>AI誤答レビュー</x:v>
      </x:c>
      <x:c r="AF419" s="171" t="str">
        <x:v>2026-07-12</x:v>
      </x:c>
      <x:c r="AG419" s="312" t="str">
        <x:v>第3バッチ：同一論点内の典型的誤概念へ置換。正答位置は維持。</x:v>
      </x:c>
    </x:row>
    <x:row r="420" ht="84" customHeight="1">
      <x:c r="A420" s="311" t="str">
        <x:v>LO2-119</x:v>
      </x:c>
      <x:c r="B420" s="171" t="str">
        <x:v>LO2</x:v>
      </x:c>
      <x:c r="C420" s="165" t="str">
        <x:v>世界の主要な非発泡性ワイン</x:v>
      </x:c>
      <x:c r="D420" s="165" t="str">
        <x:v>マクラーレン・ヴェイル</x:v>
      </x:c>
      <x:c r="E420" s="165" t="str">
        <x:v>マクラーレン・ヴェイルのシラーズやグルナッシュが豊かな果実味を持ちながら過度に重くなりにくい要因はどれか。</x:v>
      </x:c>
      <x:c r="F420" s="165" t="str">
        <x:v>一年中雪に覆われるため</x:v>
      </x:c>
      <x:c r="G420" s="165" t="str">
        <x:v>高湿度の熱帯雨林だから</x:v>
      </x:c>
      <x:c r="H420" s="165" t="str">
        <x:v>温暖な地中海性気候に、湾からの海風と一部の標高差が加わるため</x:v>
      </x:c>
      <x:c r="I420" s="165" t="str">
        <x:v>リースリングのみを栽培するため</x:v>
      </x:c>
      <x:c r="J420" s="171" t="str">
        <x:v>C</x:v>
      </x:c>
      <x:c r="K420" s="165" t="str">
        <x:v>温暖な地中海性気候に、湾からの海風と一部の標高差が加わるため</x:v>
      </x:c>
      <x:c r="L420" s="165" t="str">
        <x:v>正しい。暖かさが完熟を促し、午後の海風が畑を冷却して酸と香りを保つ。</x:v>
      </x:c>
      <x:c r="M420" s="165" t="str">
        <x:v>誤り。温暖な南オーストラリアの沿岸産地である。</x:v>
      </x:c>
      <x:c r="N420" s="165" t="str">
        <x:v>誤り。地中海性で夏は乾燥する。</x:v>
      </x:c>
      <x:c r="O420" s="165" t="str">
        <x:v>正しい。暖かさが完熟を促し、午後の海風が畑を冷却して酸と香りを保つ。</x:v>
      </x:c>
      <x:c r="P420" s="165" t="str">
        <x:v>誤り。シラーズ、グルナッシュ、カベルネが重要である。</x:v>
      </x:c>
      <x:c r="Q420" s="165" t="str">
        <x:v>自然要因</x:v>
      </x:c>
      <x:c r="R420" s="165" t="str">
        <x:v>南オーストラリア州</x:v>
      </x:c>
      <x:c r="S420" s="165" t="str">
        <x:v>赤ワイン</x:v>
      </x:c>
      <x:c r="T420" s="165" t="str">
        <x:v>オーストラリア</x:v>
      </x:c>
      <x:c r="U420" s="165" t="str">
        <x:v>マクラーレン・ヴェイル</x:v>
      </x:c>
      <x:c r="V420" s="165" t="str">
        <x:v>シラーズ、グルナッシュ</x:v>
      </x:c>
      <x:c r="W420" s="165" t="str">
        <x:v>因果説明</x:v>
      </x:c>
      <x:c r="X420" s="171" t="str">
        <x:v>D3</x:v>
      </x:c>
      <x:c r="Y420" s="165" t="str">
        <x:v>マクラーレン・ヴェイルに関する別の特徴・要因と混同; マクラーレン・ヴェイルに関する別の特徴・要因と混同; マクラーレン・ヴェイルに関する別の特徴・要因と混同</x:v>
      </x:c>
      <x:c r="Z420" s="171" t="str">
        <x:v>N</x:v>
      </x:c>
      <x:c r="AA420" s="165"/>
      <x:c r="AB420" s="165" t="str">
        <x:v>オリジナル</x:v>
      </x:c>
      <x:c r="AC420" s="165" t="str">
        <x:v>公式Specificationの範囲＋ユーザー作成コーパスの論点を参考に独自作成</x:v>
      </x:c>
      <x:c r="AD420" s="171" t="str">
        <x:v>改稿済み・専門家未承認</x:v>
      </x:c>
      <x:c r="AE420" s="171" t="str">
        <x:v>AI誤答レビュー</x:v>
      </x:c>
      <x:c r="AF420" s="171" t="str">
        <x:v>2026-07-12</x:v>
      </x:c>
      <x:c r="AG420" s="312" t="str">
        <x:v>最終バッチ：有効な誤答を維持し、絶対語・物理的不可能な誤答のみ置換。正答位置は維持。</x:v>
      </x:c>
    </x:row>
    <x:row r="421" ht="84" customHeight="1">
      <x:c r="A421" s="311" t="str">
        <x:v>LO2-120</x:v>
      </x:c>
      <x:c r="B421" s="171" t="str">
        <x:v>LO2</x:v>
      </x:c>
      <x:c r="C421" s="165" t="str">
        <x:v>世界の主要な非発泡性ワイン</x:v>
      </x:c>
      <x:c r="D421" s="165" t="str">
        <x:v>ホークス・ベイのシラー</x:v>
      </x:c>
      <x:c r="E421" s="165" t="str">
        <x:v>ホークス・ベイのシラーに典型的な特徴はどれか。</x:v>
      </x:c>
      <x:c r="F421" s="165" t="str">
        <x:v>赤い果実と白胡椒、高い酸、低いタンニンを持つ軽い赤</x:v>
      </x:c>
      <x:c r="G421" s="165" t="str">
        <x:v>低い酸、ジャム状果実、高いアルコールのバロッサ型</x:v>
      </x:c>
      <x:c r="H421" s="165" t="str">
        <x:v>淡い色、低タンニン、赤果実中心のピノ型</x:v>
      </x:c>
      <x:c r="I421" s="165" t="str">
        <x:v>黒系果実、黒胡椒、花、高い酸、中程度以上のタンニン</x:v>
      </x:c>
      <x:c r="J421" s="171" t="str">
        <x:v>D</x:v>
      </x:c>
      <x:c r="K421" s="165" t="str">
        <x:v>黒系果実、黒胡椒、花、高い酸、中程度以上のタンニン</x:v>
      </x:c>
      <x:c r="L421" s="165" t="str">
        <x:v>正しい。暖かな日中と海洋性の冷却が、熟度と香り、酸を両立する。</x:v>
      </x:c>
      <x:c r="M421" s="165" t="str">
        <x:v>誤り。ホークス・ベイのシラーは香り高いが、一般により深い色と中程度以上の構造を持つ。</x:v>
      </x:c>
      <x:c r="N421" s="165" t="str">
        <x:v>誤り。ホークス・ベイはより温和で胡椒香・酸を保つ。</x:v>
      </x:c>
      <x:c r="O421" s="165" t="str">
        <x:v>誤り。シラーはより色と構造を持つ。</x:v>
      </x:c>
      <x:c r="P421" s="165" t="str">
        <x:v>正しい。暖かな日中と海洋性の冷却が、熟度と香り、酸を両立する。</x:v>
      </x:c>
      <x:c r="Q421" s="165" t="str">
        <x:v>産地</x:v>
      </x:c>
      <x:c r="R421" s="165" t="str">
        <x:v>ニュージーランド</x:v>
      </x:c>
      <x:c r="S421" s="165" t="str">
        <x:v>赤ワイン</x:v>
      </x:c>
      <x:c r="T421" s="165" t="str">
        <x:v>ニュージーランド</x:v>
      </x:c>
      <x:c r="U421" s="165" t="str">
        <x:v>ホークス・ベイ</x:v>
      </x:c>
      <x:c r="V421" s="165" t="str">
        <x:v>シラー</x:v>
      </x:c>
      <x:c r="W421" s="165" t="str">
        <x:v>知識確認</x:v>
      </x:c>
      <x:c r="X421" s="171" t="str">
        <x:v>D2</x:v>
      </x:c>
      <x:c r="Y421" s="165" t="str">
        <x:v>ホークス・ベイ・シラーを軽量低タンニン型と混同; ホークスベイをバロッサ型と混同; ホークスベイ・シラーをピノ型と混同</x:v>
      </x:c>
      <x:c r="Z421" s="171" t="str">
        <x:v>N</x:v>
      </x:c>
      <x:c r="AA421" s="165"/>
      <x:c r="AB421" s="165" t="str">
        <x:v>オリジナル</x:v>
      </x:c>
      <x:c r="AC421" s="165" t="str">
        <x:v>公式Specificationの範囲＋ユーザー作成コーパスの論点を参考に独自作成</x:v>
      </x:c>
      <x:c r="AD421" s="171" t="str">
        <x:v>改稿済み・専門家未承認</x:v>
      </x:c>
      <x:c r="AE421" s="171" t="str">
        <x:v>AI誤答レビュー</x:v>
      </x:c>
      <x:c r="AF421" s="171" t="str">
        <x:v>2026-07-12</x:v>
      </x:c>
      <x:c r="AG421" s="312" t="str">
        <x:v>第4バッチ：同一論点内の典型的誤概念へ置換。正答位置は維持。</x:v>
      </x:c>
    </x:row>
    <x:row r="422" ht="84" customHeight="1">
      <x:c r="A422" s="311" t="str">
        <x:v>LO3-061</x:v>
      </x:c>
      <x:c r="B422" s="171" t="str">
        <x:v>LO3</x:v>
      </x:c>
      <x:c r="C422" s="165" t="str">
        <x:v>世界の主要な発泡性ワイン</x:v>
      </x:c>
      <x:c r="D422" s="165" t="str">
        <x:v>キュヴェとタイユ</x:v>
      </x:c>
      <x:c r="E422" s="165" t="str">
        <x:v>伝統的方式の発泡性ワイン用ブドウを圧搾したとき、一般に最初の圧搾果汁が後半の果汁より好まれる主な理由はどれか。</x:v>
      </x:c>
      <x:c r="F422" s="165" t="str">
        <x:v>酸が高く、果皮由来のフェノールや色の抽出が比較的少ないため</x:v>
      </x:c>
      <x:c r="G422" s="165" t="str">
        <x:v>房軸と果皮が最初に強く圧搾されるため、色とタンニンが最も高い</x:v>
      </x:c>
      <x:c r="H422" s="165" t="str">
        <x:v>後半の圧搾果汁ほど酸が高く、カリウムとフェノールが少ないため</x:v>
      </x:c>
      <x:c r="I422" s="165" t="str">
        <x:v>最初の圧搾果汁だけが糖度が高く、酸やフェノールの差はほとんどないため</x:v>
      </x:c>
      <x:c r="J422" s="171" t="str">
        <x:v>A</x:v>
      </x:c>
      <x:c r="K422" s="165" t="str">
        <x:v>酸が高く、果皮由来のフェノールや色の抽出が比較的少ないため</x:v>
      </x:c>
      <x:c r="L422" s="165" t="str">
        <x:v>正しい。穏やかな最初の圧搾では、繊細で高酸・低フェノールの果汁を得やすい。</x:v>
      </x:c>
      <x:c r="M422" s="165" t="str">
        <x:v>正しい。穏やかな最初の圧搾では、繊細で高酸・低フェノールの果汁を得やすい。</x:v>
      </x:c>
      <x:c r="N422" s="165" t="str">
        <x:v>誤り。強い圧力は後半に加わるため、最初の果汁が最も高タンニンという説明は逆である。</x:v>
      </x:c>
      <x:c r="O422" s="165" t="str">
        <x:v>誤り。後半の果汁は一般に果皮成分とカリウムが増え、酸が低く粗くなりやすい。</x:v>
      </x:c>
      <x:c r="P422" s="165" t="str">
        <x:v>誤り。選好は糖度だけでなく、酸、色、フェノール、清澄度の違いに基づく。</x:v>
      </x:c>
      <x:c r="Q422" s="165" t="str">
        <x:v>発泡性ワイン製法</x:v>
      </x:c>
      <x:c r="R422" s="165" t="str">
        <x:v>圧搾</x:v>
      </x:c>
      <x:c r="S422" s="165" t="str">
        <x:v>発泡性ワイン</x:v>
      </x:c>
      <x:c r="T422" s="165"/>
      <x:c r="U422" s="165"/>
      <x:c r="V422" s="165"/>
      <x:c r="W422" s="165" t="str">
        <x:v>因果説明</x:v>
      </x:c>
      <x:c r="X422" s="171" t="str">
        <x:v>D2</x:v>
      </x:c>
      <x:c r="Y422" s="165" t="str">
        <x:v>最初の圧搾が最も強く高フェノール; 後半果汁の方が高酸・低フェノール; 圧搾区分の差は糖度だけ</x:v>
      </x:c>
      <x:c r="Z422" s="171" t="str">
        <x:v>N</x:v>
      </x:c>
      <x:c r="AA422" s="165"/>
      <x:c r="AB422" s="165" t="str">
        <x:v>オリジナル</x:v>
      </x:c>
      <x:c r="AC422" s="165" t="str">
        <x:v>公式Specificationの範囲＋ユーザー作成コーパスの論点を参考に独自作成</x:v>
      </x:c>
      <x:c r="AD422" s="171" t="str">
        <x:v>改稿済み・専門家未承認</x:v>
      </x:c>
      <x:c r="AE422" s="171" t="str">
        <x:v>AI誤答レビュー</x:v>
      </x:c>
      <x:c r="AF422" s="171" t="str">
        <x:v>2026-07-12</x:v>
      </x:c>
      <x:c r="AG422" s="312" t="str">
        <x:v>第2バッチ：誤答を同一論点内の典型的誤概念へ置換。正答位置は維持。</x:v>
      </x:c>
    </x:row>
    <x:row r="423" ht="84" customHeight="1">
      <x:c r="A423" s="311" t="str">
        <x:v>LO3-062</x:v>
      </x:c>
      <x:c r="B423" s="171" t="str">
        <x:v>LO3</x:v>
      </x:c>
      <x:c r="C423" s="165" t="str">
        <x:v>世界の主要な発泡性ワイン</x:v>
      </x:c>
      <x:c r="D423" s="165" t="str">
        <x:v>ベースワインの高い酸</x:v>
      </x:c>
      <x:c r="E423" s="165" t="str">
        <x:v>伝統的方式の発泡性ワインで、ベースワインに高い酸が求められる主な理由はどれか。</x:v>
      </x:c>
      <x:c r="F423" s="165" t="str">
        <x:v>瓶内二次発酵でさらにアルコールが生じるため</x:v>
      </x:c>
      <x:c r="G423" s="165" t="str">
        <x:v>二次発酵、澱熟成、ドザージュ後も鮮度とバランスを保つため</x:v>
      </x:c>
      <x:c r="H423" s="165" t="str">
        <x:v>高い酸が二次発酵用酵母の栄養となり、圧力を高めるため</x:v>
      </x:c>
      <x:c r="I423" s="165" t="str">
        <x:v>高い酸がドザージュの糖を発酵前に分解するため</x:v>
      </x:c>
      <x:c r="J423" s="171" t="str">
        <x:v>B</x:v>
      </x:c>
      <x:c r="K423" s="165" t="str">
        <x:v>二次発酵、澱熟成、ドザージュ後も鮮度とバランスを保つため</x:v>
      </x:c>
      <x:c r="L423" s="165" t="str">
        <x:v>正しい。二次発酵と熟成で酸の鋭さが和らぎ、ドザージュが加わるため、出発点には十分な酸が必要である。</x:v>
      </x:c>
      <x:c r="M423" s="165" t="str">
        <x:v>誤り。これは同じ知識領域の「ベースワイン」に当てはまる説明で、設問の「ベースワインの高い酸」を最も適切に説明しない。</x:v>
      </x:c>
      <x:c r="N423" s="165" t="str">
        <x:v>正しい。二次発酵と熟成で酸の鋭さが和らぎ、ドザージュが加わるため、出発点には十分な酸が必要である。</x:v>
      </x:c>
      <x:c r="O423" s="165" t="str">
        <x:v>誤り。酵母は糖を発酵し、酸が圧力源ではない。</x:v>
      </x:c>
      <x:c r="P423" s="165" t="str">
        <x:v>誤り。酸が糖を分解して甘味を除くわけではない。</x:v>
      </x:c>
      <x:c r="Q423" s="165" t="str">
        <x:v>発泡性ワイン製法</x:v>
      </x:c>
      <x:c r="R423" s="165" t="str">
        <x:v>ベースワイン</x:v>
      </x:c>
      <x:c r="S423" s="165" t="str">
        <x:v>発泡性ワイン</x:v>
      </x:c>
      <x:c r="T423" s="165"/>
      <x:c r="U423" s="165"/>
      <x:c r="V423" s="165"/>
      <x:c r="W423" s="165" t="str">
        <x:v>因果説明</x:v>
      </x:c>
      <x:c r="X423" s="171" t="str">
        <x:v>D2</x:v>
      </x:c>
      <x:c r="Y423" s="165" t="str">
        <x:v>ベースワインの高い酸をベースワインの特徴と混同; 酸が酵母栄養・圧力源になる; 酸がドザージュ糖を分解する</x:v>
      </x:c>
      <x:c r="Z423" s="171" t="str">
        <x:v>N</x:v>
      </x:c>
      <x:c r="AA423" s="165"/>
      <x:c r="AB423" s="165" t="str">
        <x:v>オリジナル</x:v>
      </x:c>
      <x:c r="AC423" s="165" t="str">
        <x:v>公式Specificationの範囲＋ユーザー作成コーパスの論点を参考に独自作成</x:v>
      </x:c>
      <x:c r="AD423" s="171" t="str">
        <x:v>改稿済み・専門家未承認</x:v>
      </x:c>
      <x:c r="AE423" s="171" t="str">
        <x:v>AI誤答レビュー</x:v>
      </x:c>
      <x:c r="AF423" s="171" t="str">
        <x:v>2026-07-12</x:v>
      </x:c>
      <x:c r="AG423" s="312" t="str">
        <x:v>第4バッチ：同一論点内の典型的誤概念へ置換。正答位置は維持。</x:v>
      </x:c>
    </x:row>
    <x:row r="424" ht="84" customHeight="1">
      <x:c r="A424" s="311" t="str">
        <x:v>LO3-063</x:v>
      </x:c>
      <x:c r="B424" s="171" t="str">
        <x:v>LO3</x:v>
      </x:c>
      <x:c r="C424" s="165" t="str">
        <x:v>世界の主要な発泡性ワイン</x:v>
      </x:c>
      <x:c r="D424" s="165" t="str">
        <x:v>ベースワインのMLF</x:v>
      </x:c>
      <x:c r="E424" s="165" t="str">
        <x:v>発泡性ワインのベースワインにマロラクティック発酵を行う主な効果はどれか。</x:v>
      </x:c>
      <x:c r="F424" s="165" t="str">
        <x:v>澱を瓶口へ集める</x:v>
      </x:c>
      <x:c r="G424" s="165" t="str">
        <x:v>残糖を増やして甘口にする</x:v>
      </x:c>
      <x:c r="H424" s="165" t="str">
        <x:v>酸を和らげ、微生物安定性を高め、場合によりクリーミーな風味を加える</x:v>
      </x:c>
      <x:c r="I424" s="165" t="str">
        <x:v>瓶内圧力を直接高める</x:v>
      </x:c>
      <x:c r="J424" s="171" t="str">
        <x:v>C</x:v>
      </x:c>
      <x:c r="K424" s="165" t="str">
        <x:v>酸を和らげ、微生物安定性を高め、場合によりクリーミーな風味を加える</x:v>
      </x:c>
      <x:c r="L424" s="165" t="str">
        <x:v>正しい。鋭いリンゴ酸が穏やかな乳酸へ変わるため、冷涼産地の高酸ベースワインを調整できる。</x:v>
      </x:c>
      <x:c r="M424" s="165" t="str">
        <x:v>誤り。これはルミュアージュの役割である。</x:v>
      </x:c>
      <x:c r="N424" s="165" t="str">
        <x:v>誤り。MLFは糖を増やさず、主に酸を変換する。</x:v>
      </x:c>
      <x:c r="O424" s="165" t="str">
        <x:v>正しい。鋭いリンゴ酸が穏やかな乳酸へ変わるため、冷涼産地の高酸ベースワインを調整できる。</x:v>
      </x:c>
      <x:c r="P424" s="165" t="str">
        <x:v>誤り。圧力は二次発酵で生成される二酸化炭素による。</x:v>
      </x:c>
      <x:c r="Q424" s="165" t="str">
        <x:v>発泡性ワイン製法</x:v>
      </x:c>
      <x:c r="R424" s="165" t="str">
        <x:v>マロラクティック発酵</x:v>
      </x:c>
      <x:c r="S424" s="165" t="str">
        <x:v>発泡性ワイン</x:v>
      </x:c>
      <x:c r="T424" s="165"/>
      <x:c r="U424" s="165"/>
      <x:c r="V424" s="165"/>
      <x:c r="W424" s="165" t="str">
        <x:v>因果説明</x:v>
      </x:c>
      <x:c r="X424" s="171" t="str">
        <x:v>D2</x:v>
      </x:c>
      <x:c r="Y424" s="165" t="str">
        <x:v>ベースワインのMLFについて関連要因を主因とみなす; ベースワインのMLFについて関連要因を主因とみなす; ベースワインのMLFについて関連要因を主因とみなす</x:v>
      </x:c>
      <x:c r="Z424" s="171" t="str">
        <x:v>N</x:v>
      </x:c>
      <x:c r="AA424" s="165"/>
      <x:c r="AB424" s="165" t="str">
        <x:v>オリジナル</x:v>
      </x:c>
      <x:c r="AC424" s="165" t="str">
        <x:v>公式Specificationの範囲＋ユーザー作成コーパスの論点を参考に独自作成</x:v>
      </x:c>
      <x:c r="AD424" s="171" t="str">
        <x:v>改稿済み・専門家未承認</x:v>
      </x:c>
      <x:c r="AE424" s="171" t="str">
        <x:v>AI誤答レビュー</x:v>
      </x:c>
      <x:c r="AF424" s="171" t="str">
        <x:v>2026-07-12</x:v>
      </x:c>
      <x:c r="AG424" s="312" t="str">
        <x:v>第5バッチ：使用可能な誤答を維持し、弱い誤答を因果逆転・隣接概念へ置換。正答位置は維持。</x:v>
      </x:c>
    </x:row>
    <x:row r="425" ht="84" customHeight="1">
      <x:c r="A425" s="311" t="str">
        <x:v>LO3-064</x:v>
      </x:c>
      <x:c r="B425" s="171" t="str">
        <x:v>LO3</x:v>
      </x:c>
      <x:c r="C425" s="165" t="str">
        <x:v>世界の主要な発泡性ワイン</x:v>
      </x:c>
      <x:c r="D425" s="165" t="str">
        <x:v>リザーヴワインの保管</x:v>
      </x:c>
      <x:c r="E425" s="165" t="str">
        <x:v>ノン・ヴィンテージ発泡性ワイン用のリザーヴワインを保管する主な目的はどれか。</x:v>
      </x:c>
      <x:c r="F425" s="165" t="str">
        <x:v>多くのリザーヴワインを甘口にする</x:v>
      </x:c>
      <x:c r="G425" s="165" t="str">
        <x:v>ボトルの澱を除去する</x:v>
      </x:c>
      <x:c r="H425" s="165" t="str">
        <x:v>二次発酵を行わずに泡を作る</x:v>
      </x:c>
      <x:c r="I425" s="165" t="str">
        <x:v>年ごとの収穫差を補い、継続的なハウス・スタイルを維持する</x:v>
      </x:c>
      <x:c r="J425" s="171" t="str">
        <x:v>D</x:v>
      </x:c>
      <x:c r="K425" s="165" t="str">
        <x:v>年ごとの収穫差を補い、継続的なハウス・スタイルを維持する</x:v>
      </x:c>
      <x:c r="L425" s="165" t="str">
        <x:v>正しい。複数年のワインをブレンドすることで、気候差をならし、香り、酸、熟成感を毎年一定に近づけられる。</x:v>
      </x:c>
      <x:c r="M425" s="165" t="str">
        <x:v>誤り。リザーヴワインは甘味調整用ではなく、ブレンドの一部である。</x:v>
      </x:c>
      <x:c r="N425" s="165" t="str">
        <x:v>誤り。澱の除去はデゴルジュマンで行う。</x:v>
      </x:c>
      <x:c r="O425" s="165" t="str">
        <x:v>誤り。発泡性は別途二次発酵や炭酸ガス注入で生じる。</x:v>
      </x:c>
      <x:c r="P425" s="165" t="str">
        <x:v>正しい。複数年のワインをブレンドすることで、気候差をならし、香り、酸、熟成感を毎年一定に近づけられる。</x:v>
      </x:c>
      <x:c r="Q425" s="165" t="str">
        <x:v>発泡性ワイン製法</x:v>
      </x:c>
      <x:c r="R425" s="165" t="str">
        <x:v>ブレンド</x:v>
      </x:c>
      <x:c r="S425" s="165" t="str">
        <x:v>発泡性ワイン</x:v>
      </x:c>
      <x:c r="T425" s="165"/>
      <x:c r="U425" s="165"/>
      <x:c r="V425" s="165"/>
      <x:c r="W425" s="165" t="str">
        <x:v>因果説明</x:v>
      </x:c>
      <x:c r="X425" s="171" t="str">
        <x:v>D2</x:v>
      </x:c>
      <x:c r="Y425" s="165" t="str">
        <x:v>リザーヴワインの保管について関連要因を主因とみなす; リザーヴワインの保管について関連要因を主因とみなす; リザーヴワインの保管について関連要因を主因とみなす</x:v>
      </x:c>
      <x:c r="Z425" s="171" t="str">
        <x:v>N</x:v>
      </x:c>
      <x:c r="AA425" s="165"/>
      <x:c r="AB425" s="165" t="str">
        <x:v>オリジナル</x:v>
      </x:c>
      <x:c r="AC425" s="165" t="str">
        <x:v>公式Specificationの範囲＋ユーザー作成コーパスの論点を参考に独自作成</x:v>
      </x:c>
      <x:c r="AD425" s="171" t="str">
        <x:v>改稿済み・専門家未承認</x:v>
      </x:c>
      <x:c r="AE425" s="171" t="str">
        <x:v>AI誤答レビュー</x:v>
      </x:c>
      <x:c r="AF425" s="171" t="str">
        <x:v>2026-07-12</x:v>
      </x:c>
      <x:c r="AG425" s="312" t="str">
        <x:v>第5バッチ：使用可能な誤答を維持し、弱い誤答を因果逆転・隣接概念へ置換。正答位置は維持。</x:v>
      </x:c>
    </x:row>
    <x:row r="426" ht="84" customHeight="1">
      <x:c r="A426" s="311" t="str">
        <x:v>LO3-065</x:v>
      </x:c>
      <x:c r="B426" s="171" t="str">
        <x:v>LO3</x:v>
      </x:c>
      <x:c r="C426" s="165" t="str">
        <x:v>世界の主要な発泡性ワイン</x:v>
      </x:c>
      <x:c r="D426" s="165" t="str">
        <x:v>リクール・ドゥ・ティラージュの構成</x:v>
      </x:c>
      <x:c r="E426" s="165" t="str">
        <x:v>リクール・ドゥ・ティラージュに通常含まれる主要な要素はどれか。</x:v>
      </x:c>
      <x:c r="F426" s="165" t="str">
        <x:v>酵母と糖、および必要に応じて酵母栄養や清澄補助剤</x:v>
      </x:c>
      <x:c r="G426" s="165" t="str">
        <x:v>完成ワインの甘味を決めるドザージュだけ</x:v>
      </x:c>
      <x:c r="H426" s="165" t="str">
        <x:v>ブランデーだけ</x:v>
      </x:c>
      <x:c r="I426" s="165" t="str">
        <x:v>果皮と種子だけ</x:v>
      </x:c>
      <x:c r="J426" s="171" t="str">
        <x:v>A</x:v>
      </x:c>
      <x:c r="K426" s="165" t="str">
        <x:v>酵母と糖、および必要に応じて酵母栄養や清澄補助剤</x:v>
      </x:c>
      <x:c r="L426" s="165" t="str">
        <x:v>正しい。糖は二次発酵の基質となり、酵母がアルコールと二酸化炭素を生成する。</x:v>
      </x:c>
      <x:c r="M426" s="165" t="str">
        <x:v>正しい。糖は二次発酵の基質となり、酵母がアルコールと二酸化炭素を生成する。</x:v>
      </x:c>
      <x:c r="N426" s="165" t="str">
        <x:v>誤り。最終甘味は主にデゴルジュマン後のリクール・デクスペディシオンで調整する。</x:v>
      </x:c>
      <x:c r="O426" s="165" t="str">
        <x:v>誤り。酒精強化ではなく、二次発酵を起こす混合物である。</x:v>
      </x:c>
      <x:c r="P426" s="165" t="str">
        <x:v>誤り。果皮抽出を行う工程ではない。</x:v>
      </x:c>
      <x:c r="Q426" s="165" t="str">
        <x:v>発泡性ワイン製法</x:v>
      </x:c>
      <x:c r="R426" s="165" t="str">
        <x:v>瓶内二次発酵</x:v>
      </x:c>
      <x:c r="S426" s="165" t="str">
        <x:v>発泡性ワイン</x:v>
      </x:c>
      <x:c r="T426" s="165"/>
      <x:c r="U426" s="165"/>
      <x:c r="V426" s="165"/>
      <x:c r="W426" s="165" t="str">
        <x:v>知識確認</x:v>
      </x:c>
      <x:c r="X426" s="171" t="str">
        <x:v>D1</x:v>
      </x:c>
      <x:c r="Y426" s="165" t="str">
        <x:v>リクール・ドゥ・ティラージュの構成に関する別の特徴・要因と混同; リクール・ドゥ・ティラージュの構成に関する別の特徴・要因と混同; リクール・ドゥ・ティラージュの構成に関する別の特徴・要因と混同</x:v>
      </x:c>
      <x:c r="Z426" s="171" t="str">
        <x:v>N</x:v>
      </x:c>
      <x:c r="AA426" s="165"/>
      <x:c r="AB426" s="165" t="str">
        <x:v>オリジナル</x:v>
      </x:c>
      <x:c r="AC426" s="165" t="str">
        <x:v>公式Specificationの範囲＋ユーザー作成コーパスの論点を参考に独自作成</x:v>
      </x:c>
      <x:c r="AD426" s="171" t="str">
        <x:v>改稿済み・専門家未承認</x:v>
      </x:c>
      <x:c r="AE426" s="171" t="str">
        <x:v>AI誤答レビュー</x:v>
      </x:c>
      <x:c r="AF426" s="171" t="str">
        <x:v>2026-07-12</x:v>
      </x:c>
      <x:c r="AG426" s="312" t="str">
        <x:v>最終バッチ：有効な誤答を維持し、絶対語・物理的不可能な誤答のみ置換。正答位置は維持。</x:v>
      </x:c>
    </x:row>
    <x:row r="427" ht="84" customHeight="1">
      <x:c r="A427" s="311" t="str">
        <x:v>LO3-066</x:v>
      </x:c>
      <x:c r="B427" s="171" t="str">
        <x:v>LO3</x:v>
      </x:c>
      <x:c r="C427" s="165" t="str">
        <x:v>世界の主要な発泡性ワイン</x:v>
      </x:c>
      <x:c r="D427" s="165" t="str">
        <x:v>二次発酵の温度</x:v>
      </x:c>
      <x:c r="E427" s="165" t="str">
        <x:v>瓶内二次発酵を比較的低い温度でゆっくり進める利点はどれか。</x:v>
      </x:c>
      <x:c r="F427" s="165" t="str">
        <x:v>低温ほど酵母の代謝が速まり、二次発酵を短期間で終えられる</x:v>
      </x:c>
      <x:c r="G427" s="165" t="str">
        <x:v>発酵を制御しやすく、繊細な香りと均一な発泡性を保ちやすい</x:v>
      </x:c>
      <x:c r="H427" s="165" t="str">
        <x:v>低温ほど酵母が速く糖を消費し、二次発酵期間を短縮できる</x:v>
      </x:c>
      <x:c r="I427" s="165" t="str">
        <x:v>低温で二酸化炭素が抜けやすくなり、泡を細かくできる</x:v>
      </x:c>
      <x:c r="J427" s="171" t="str">
        <x:v>B</x:v>
      </x:c>
      <x:c r="K427" s="165" t="str">
        <x:v>発酵を制御しやすく、繊細な香りと均一な発泡性を保ちやすい</x:v>
      </x:c>
      <x:c r="L427" s="165" t="str">
        <x:v>正しい。低温では酵母活動が穏やかで、香気損失と急激な発酵を抑えられる。</x:v>
      </x:c>
      <x:c r="M427" s="165" t="str">
        <x:v>誤り。低温では発酵は穏やかに進み、制御性と香気保持が高まる。</x:v>
      </x:c>
      <x:c r="N427" s="165" t="str">
        <x:v>正しい。低温では酵母活動が穏やかで、香気損失と急激な発酵を抑えられる。</x:v>
      </x:c>
      <x:c r="O427" s="165" t="str">
        <x:v>誤り。低温では発酵は一般に遅くなる。</x:v>
      </x:c>
      <x:c r="P427" s="165" t="str">
        <x:v>誤り。低温ではCO2が溶けやすく保持される。</x:v>
      </x:c>
      <x:c r="Q427" s="165" t="str">
        <x:v>発泡性ワイン製法</x:v>
      </x:c>
      <x:c r="R427" s="165" t="str">
        <x:v>二次発酵管理</x:v>
      </x:c>
      <x:c r="S427" s="165" t="str">
        <x:v>発泡性ワイン</x:v>
      </x:c>
      <x:c r="T427" s="165"/>
      <x:c r="U427" s="165"/>
      <x:c r="V427" s="165"/>
      <x:c r="W427" s="165" t="str">
        <x:v>因果説明</x:v>
      </x:c>
      <x:c r="X427" s="171" t="str">
        <x:v>D2</x:v>
      </x:c>
      <x:c r="Y427" s="165" t="str">
        <x:v>低温二次発酵で酵母代謝が速まる; 低温で酵母発酵が速くなる; 低温でCO2が抜ける</x:v>
      </x:c>
      <x:c r="Z427" s="171" t="str">
        <x:v>N</x:v>
      </x:c>
      <x:c r="AA427" s="165"/>
      <x:c r="AB427" s="165" t="str">
        <x:v>オリジナル</x:v>
      </x:c>
      <x:c r="AC427" s="165" t="str">
        <x:v>公式Specificationの範囲＋ユーザー作成コーパスの論点を参考に独自作成</x:v>
      </x:c>
      <x:c r="AD427" s="171" t="str">
        <x:v>改稿済み・専門家未承認</x:v>
      </x:c>
      <x:c r="AE427" s="171" t="str">
        <x:v>AI誤答レビュー</x:v>
      </x:c>
      <x:c r="AF427" s="171" t="str">
        <x:v>2026-07-12</x:v>
      </x:c>
      <x:c r="AG427" s="312" t="str">
        <x:v>第4バッチ：同一論点内の典型的誤概念へ置換。正答位置は維持。</x:v>
      </x:c>
    </x:row>
    <x:row r="428" ht="84" customHeight="1">
      <x:c r="A428" s="311" t="str">
        <x:v>LO3-067</x:v>
      </x:c>
      <x:c r="B428" s="171" t="str">
        <x:v>LO3</x:v>
      </x:c>
      <x:c r="C428" s="165" t="str">
        <x:v>世界の主要な発泡性ワイン</x:v>
      </x:c>
      <x:c r="D428" s="165" t="str">
        <x:v>澱熟成中の瓶の向き</x:v>
      </x:c>
      <x:c r="E428" s="165" t="str">
        <x:v>伝統的方式で二次発酵後の瓶を横向きに積んで澱熟成する主な理由はどれか。</x:v>
      </x:c>
      <x:c r="F428" s="165" t="str">
        <x:v>ワインを非発泡性へ戻すため</x:v>
      </x:c>
      <x:c r="G428" s="165" t="str">
        <x:v>コルクを乾燥させ、空気を大量に入れるため</x:v>
      </x:c>
      <x:c r="H428" s="165" t="str">
        <x:v>ワインと澱の接触を保ち、瓶内を安定して熟成させるため</x:v>
      </x:c>
      <x:c r="I428" s="165" t="str">
        <x:v>澱を短時間で瓶口へ集めるため</x:v>
      </x:c>
      <x:c r="J428" s="171" t="str">
        <x:v>C</x:v>
      </x:c>
      <x:c r="K428" s="165" t="str">
        <x:v>ワインと澱の接触を保ち、瓶内を安定して熟成させるため</x:v>
      </x:c>
      <x:c r="L428" s="165" t="str">
        <x:v>正しい。横置きで酵母澱が瓶の側面へ広がり、自己分解由来の風味と質感がワインへ移りやすい。</x:v>
      </x:c>
      <x:c r="M428" s="165" t="str">
        <x:v>誤り。瓶内の二酸化炭素は密閉され、発泡性が保持される。</x:v>
      </x:c>
      <x:c r="N428" s="165" t="str">
        <x:v>誤り。二次発酵中は王冠などで密閉される。</x:v>
      </x:c>
      <x:c r="O428" s="165" t="str">
        <x:v>正しい。横置きで酵母澱が瓶の側面へ広がり、自己分解由来の風味と質感がワインへ移りやすい。</x:v>
      </x:c>
      <x:c r="P428" s="165" t="str">
        <x:v>誤り。瓶口へ集めるのは後のルミュアージュである。</x:v>
      </x:c>
      <x:c r="Q428" s="165" t="str">
        <x:v>発泡性ワイン製法</x:v>
      </x:c>
      <x:c r="R428" s="165" t="str">
        <x:v>澱熟成</x:v>
      </x:c>
      <x:c r="S428" s="165" t="str">
        <x:v>発泡性ワイン</x:v>
      </x:c>
      <x:c r="T428" s="165"/>
      <x:c r="U428" s="165"/>
      <x:c r="V428" s="165"/>
      <x:c r="W428" s="165" t="str">
        <x:v>知識確認</x:v>
      </x:c>
      <x:c r="X428" s="171" t="str">
        <x:v>D1</x:v>
      </x:c>
      <x:c r="Y428" s="165" t="str">
        <x:v>澱熟成中の瓶の向きについて関連要因を主因とみなす; 澱熟成中の瓶の向きについて関連要因を主因とみなす; 澱熟成中の瓶の向きについて関連要因を主因とみなす</x:v>
      </x:c>
      <x:c r="Z428" s="171" t="str">
        <x:v>N</x:v>
      </x:c>
      <x:c r="AA428" s="165"/>
      <x:c r="AB428" s="165" t="str">
        <x:v>オリジナル</x:v>
      </x:c>
      <x:c r="AC428" s="165" t="str">
        <x:v>公式Specificationの範囲＋ユーザー作成コーパスの論点を参考に独自作成</x:v>
      </x:c>
      <x:c r="AD428" s="171" t="str">
        <x:v>改稿済み・専門家未承認</x:v>
      </x:c>
      <x:c r="AE428" s="171" t="str">
        <x:v>AI誤答レビュー</x:v>
      </x:c>
      <x:c r="AF428" s="171" t="str">
        <x:v>2026-07-12</x:v>
      </x:c>
      <x:c r="AG428" s="312" t="str">
        <x:v>第5バッチ：使用可能な誤答を維持し、弱い誤答を因果逆転・隣接概念へ置換。正答位置は維持。</x:v>
      </x:c>
    </x:row>
    <x:row r="429" ht="84" customHeight="1">
      <x:c r="A429" s="311" t="str">
        <x:v>LO3-068</x:v>
      </x:c>
      <x:c r="B429" s="171" t="str">
        <x:v>LO3</x:v>
      </x:c>
      <x:c r="C429" s="165" t="str">
        <x:v>世界の主要な発泡性ワイン</x:v>
      </x:c>
      <x:c r="D429" s="165" t="str">
        <x:v>ルミュアージュの角度</x:v>
      </x:c>
      <x:c r="E429" s="165" t="str">
        <x:v>ルミュアージュの進行中に瓶の角度を徐々に立てて逆さに近づける目的はどれか。</x:v>
      </x:c>
      <x:c r="F429" s="165" t="str">
        <x:v>ドザージュを瓶底へ沈める</x:v>
      </x:c>
      <x:c r="G429" s="165" t="str">
        <x:v>瓶内圧力をゼロにする</x:v>
      </x:c>
      <x:c r="H429" s="165" t="str">
        <x:v>ワインの色を濃くする</x:v>
      </x:c>
      <x:c r="I429" s="165" t="str">
        <x:v>澱を瓶の側面から瓶口へ移動させる</x:v>
      </x:c>
      <x:c r="J429" s="171" t="str">
        <x:v>D</x:v>
      </x:c>
      <x:c r="K429" s="165" t="str">
        <x:v>澱を瓶の側面から瓶口へ移動させる</x:v>
      </x:c>
      <x:c r="L429" s="165" t="str">
        <x:v>正しい。回転と傾斜を繰り返すことで沈殿をまとめ、デゴルジュマンで効率よく除去できる。</x:v>
      </x:c>
      <x:c r="M429" s="165" t="str">
        <x:v>誤り。ドザージュはデゴルジュマン後に加えられる。</x:v>
      </x:c>
      <x:c r="N429" s="165" t="str">
        <x:v>誤り。ルミュアージュ中も瓶は密閉され、圧力は保持される。</x:v>
      </x:c>
      <x:c r="O429" s="165" t="str">
        <x:v>誤り。主目的は澱の移動で、色抽出ではない。</x:v>
      </x:c>
      <x:c r="P429" s="165" t="str">
        <x:v>正しい。回転と傾斜を繰り返すことで沈殿をまとめ、デゴルジュマンで効率よく除去できる。</x:v>
      </x:c>
      <x:c r="Q429" s="165" t="str">
        <x:v>発泡性ワイン製法</x:v>
      </x:c>
      <x:c r="R429" s="165" t="str">
        <x:v>ルミュアージュ</x:v>
      </x:c>
      <x:c r="S429" s="165" t="str">
        <x:v>発泡性ワイン</x:v>
      </x:c>
      <x:c r="T429" s="165"/>
      <x:c r="U429" s="165"/>
      <x:c r="V429" s="165"/>
      <x:c r="W429" s="165" t="str">
        <x:v>因果説明</x:v>
      </x:c>
      <x:c r="X429" s="171" t="str">
        <x:v>D1</x:v>
      </x:c>
      <x:c r="Y429" s="165" t="str">
        <x:v>ルミュアージュの角度に関する別の特徴・要因と混同; ルミュアージュの角度に関する別の特徴・要因と混同; ルミュアージュの角度に関する別の特徴・要因と混同</x:v>
      </x:c>
      <x:c r="Z429" s="171" t="str">
        <x:v>N</x:v>
      </x:c>
      <x:c r="AA429" s="165"/>
      <x:c r="AB429" s="165" t="str">
        <x:v>オリジナル</x:v>
      </x:c>
      <x:c r="AC429" s="165" t="str">
        <x:v>公式Specificationの範囲＋ユーザー作成コーパスの論点を参考に独自作成</x:v>
      </x:c>
      <x:c r="AD429" s="171" t="str">
        <x:v>改稿済み・専門家未承認</x:v>
      </x:c>
      <x:c r="AE429" s="171" t="str">
        <x:v>AI誤答レビュー</x:v>
      </x:c>
      <x:c r="AF429" s="171" t="str">
        <x:v>2026-07-12</x:v>
      </x:c>
      <x:c r="AG429" s="312" t="str">
        <x:v>最終バッチ：有効な誤答を維持し、絶対語・物理的不可能な誤答のみ置換。正答位置は維持。</x:v>
      </x:c>
    </x:row>
    <x:row r="430" ht="84" customHeight="1">
      <x:c r="A430" s="311" t="str">
        <x:v>LO3-069</x:v>
      </x:c>
      <x:c r="B430" s="171" t="str">
        <x:v>LO3</x:v>
      </x:c>
      <x:c r="C430" s="165" t="str">
        <x:v>世界の主要な発泡性ワイン</x:v>
      </x:c>
      <x:c r="D430" s="165" t="str">
        <x:v>凍結デゴルジュマン</x:v>
      </x:c>
      <x:c r="E430" s="165" t="str">
        <x:v>デゴルジュマン前に瓶口部分を凍結する主な理由はどれか。</x:v>
      </x:c>
      <x:c r="F430" s="165" t="str">
        <x:v>瓶口に集めた澱を氷栓としてまとめ、圧力で素早く排出できるようにする</x:v>
      </x:c>
      <x:c r="G430" s="165" t="str">
        <x:v>瓶内のワイン全体を凍結して甘味を濃縮する</x:v>
      </x:c>
      <x:c r="H430" s="165" t="str">
        <x:v>コルクを長期間瓶へ接着する</x:v>
      </x:c>
      <x:c r="I430" s="165" t="str">
        <x:v>二次発酵を再開させる</x:v>
      </x:c>
      <x:c r="J430" s="171" t="str">
        <x:v>A</x:v>
      </x:c>
      <x:c r="K430" s="165" t="str">
        <x:v>瓶口に集めた澱を氷栓としてまとめ、圧力で素早く排出できるようにする</x:v>
      </x:c>
      <x:c r="L430" s="165" t="str">
        <x:v>正しい。澱を凍らせることでワイン損失と濁りを最小限にしながら除去できる。</x:v>
      </x:c>
      <x:c r="M430" s="165" t="str">
        <x:v>正しい。澱を凍らせることでワイン損失と濁りを最小限にしながら除去できる。</x:v>
      </x:c>
      <x:c r="N430" s="165" t="str">
        <x:v>誤り。凍結するのは瓶口の少量部分である。</x:v>
      </x:c>
      <x:c r="O430" s="165" t="str">
        <x:v>誤り。澱除去後にコルクとミュズレで再栓する。</x:v>
      </x:c>
      <x:c r="P430" s="165" t="str">
        <x:v>誤り。デゴルジュマンは二次発酵後の仕上げ工程である。</x:v>
      </x:c>
      <x:c r="Q430" s="165" t="str">
        <x:v>発泡性ワイン製法</x:v>
      </x:c>
      <x:c r="R430" s="165" t="str">
        <x:v>デゴルジュマン</x:v>
      </x:c>
      <x:c r="S430" s="165" t="str">
        <x:v>発泡性ワイン</x:v>
      </x:c>
      <x:c r="T430" s="165"/>
      <x:c r="U430" s="165"/>
      <x:c r="V430" s="165"/>
      <x:c r="W430" s="165" t="str">
        <x:v>因果説明</x:v>
      </x:c>
      <x:c r="X430" s="171" t="str">
        <x:v>D2</x:v>
      </x:c>
      <x:c r="Y430" s="165" t="str">
        <x:v>凍結デゴルジュマンについて関連要因を主因とみなす; 凍結デゴルジュマンについて関連要因を主因とみなす; 凍結デゴルジュマンについて関連要因を主因とみなす</x:v>
      </x:c>
      <x:c r="Z430" s="171" t="str">
        <x:v>N</x:v>
      </x:c>
      <x:c r="AA430" s="165"/>
      <x:c r="AB430" s="165" t="str">
        <x:v>オリジナル</x:v>
      </x:c>
      <x:c r="AC430" s="165" t="str">
        <x:v>公式Specificationの範囲＋ユーザー作成コーパスの論点を参考に独自作成</x:v>
      </x:c>
      <x:c r="AD430" s="171" t="str">
        <x:v>改稿済み・専門家未承認</x:v>
      </x:c>
      <x:c r="AE430" s="171" t="str">
        <x:v>AI誤答レビュー</x:v>
      </x:c>
      <x:c r="AF430" s="171" t="str">
        <x:v>2026-07-12</x:v>
      </x:c>
      <x:c r="AG430" s="312" t="str">
        <x:v>第5バッチ：使用可能な誤答を維持し、弱い誤答を因果逆転・隣接概念へ置換。正答位置は維持。</x:v>
      </x:c>
    </x:row>
    <x:row r="431" ht="84" customHeight="1">
      <x:c r="A431" s="311" t="str">
        <x:v>LO3-070</x:v>
      </x:c>
      <x:c r="B431" s="171" t="str">
        <x:v>LO3</x:v>
      </x:c>
      <x:c r="C431" s="165" t="str">
        <x:v>世界の主要な発泡性ワイン</x:v>
      </x:c>
      <x:c r="D431" s="165" t="str">
        <x:v>リクール・デクスペディシオン</x:v>
      </x:c>
      <x:c r="E431" s="165" t="str">
        <x:v>リクール・デクスペディシオンを加える主な目的はどれか。</x:v>
      </x:c>
      <x:c r="F431" s="165" t="str">
        <x:v>ベースワインへ糖と酵母を加え、瓶内二次発酵を開始する</x:v>
      </x:c>
      <x:c r="G431" s="165" t="str">
        <x:v>デゴルジュマンで失った量を補い、最終的な甘味とスタイルを調整する</x:v>
      </x:c>
      <x:c r="H431" s="165" t="str">
        <x:v>酵母澱を凝集させ、ルミュアージュで瓶口へ移動しやすくする</x:v>
      </x:c>
      <x:c r="I431" s="165" t="str">
        <x:v>二次発酵前に酸とアルコールを調整し、ベースワインのブレンドを完成させる</x:v>
      </x:c>
      <x:c r="J431" s="171" t="str">
        <x:v>B</x:v>
      </x:c>
      <x:c r="K431" s="165" t="str">
        <x:v>デゴルジュマンで失った量を補い、最終的な甘味とスタイルを調整する</x:v>
      </x:c>
      <x:c r="L431" s="165" t="str">
        <x:v>正しい。デゴルジュマン後に加え、液量と残糖、ハウス・スタイルを整える。</x:v>
      </x:c>
      <x:c r="M431" s="165" t="str">
        <x:v>誤り。これはリクール・ドゥ・ティラージュの役割である。</x:v>
      </x:c>
      <x:c r="N431" s="165" t="str">
        <x:v>正しい。デゴルジュマン後に加え、液量と残糖、ハウス・スタイルを整える。</x:v>
      </x:c>
      <x:c r="O431" s="165" t="str">
        <x:v>誤り。澱の凝集にはティラージュ時の補助剤が関係し、デクスペディシオンの目的ではない。</x:v>
      </x:c>
      <x:c r="P431" s="165" t="str">
        <x:v>誤り。二次発酵前のブレンド・調整ではなく、澱抜き後の仕上げ工程である。</x:v>
      </x:c>
      <x:c r="Q431" s="165" t="str">
        <x:v>発泡性ワイン製法</x:v>
      </x:c>
      <x:c r="R431" s="165" t="str">
        <x:v>ドザージュ</x:v>
      </x:c>
      <x:c r="S431" s="165" t="str">
        <x:v>発泡性ワイン</x:v>
      </x:c>
      <x:c r="T431" s="165"/>
      <x:c r="U431" s="165"/>
      <x:c r="V431" s="165"/>
      <x:c r="W431" s="165" t="str">
        <x:v>知識確認</x:v>
      </x:c>
      <x:c r="X431" s="171" t="str">
        <x:v>D1</x:v>
      </x:c>
      <x:c r="Y431" s="165" t="str">
        <x:v>デクスペディシオンとティラージュの混同; デクスペディシオンはルミュアージュ補助剤; デクスペディシオンは二次発酵前の調整</x:v>
      </x:c>
      <x:c r="Z431" s="171" t="str">
        <x:v>N</x:v>
      </x:c>
      <x:c r="AA431" s="165"/>
      <x:c r="AB431" s="165" t="str">
        <x:v>オリジナル</x:v>
      </x:c>
      <x:c r="AC431" s="165" t="str">
        <x:v>公式Specificationの範囲＋ユーザー作成コーパスの論点を参考に独自作成</x:v>
      </x:c>
      <x:c r="AD431" s="171" t="str">
        <x:v>改稿済み・専門家未承認</x:v>
      </x:c>
      <x:c r="AE431" s="171" t="str">
        <x:v>AI誤答レビュー</x:v>
      </x:c>
      <x:c r="AF431" s="171" t="str">
        <x:v>2026-07-12</x:v>
      </x:c>
      <x:c r="AG431" s="312" t="str">
        <x:v>第2バッチ：誤答を同一論点内の典型的誤概念へ置換。正答位置は維持。</x:v>
      </x:c>
    </x:row>
    <x:row r="432" ht="84" customHeight="1">
      <x:c r="A432" s="311" t="str">
        <x:v>LO3-071</x:v>
      </x:c>
      <x:c r="B432" s="171" t="str">
        <x:v>LO3</x:v>
      </x:c>
      <x:c r="C432" s="165" t="str">
        <x:v>世界の主要な発泡性ワイン</x:v>
      </x:c>
      <x:c r="D432" s="165" t="str">
        <x:v>発泡性ワインのコルク</x:v>
      </x:c>
      <x:c r="E432" s="165" t="str">
        <x:v>伝統的方式の発泡性ワイン用コルクが開栓後にキノコ形になる主な理由はどれか。</x:v>
      </x:c>
      <x:c r="F432" s="165" t="str">
        <x:v>二次発酵中にコルクが酵母を吸収するため</x:v>
      </x:c>
      <x:c r="G432" s="165" t="str">
        <x:v>ドザージュの糖がコルクを溶かすため</x:v>
      </x:c>
      <x:c r="H432" s="165" t="str">
        <x:v>瓶口へ強く圧縮されていた下部が、抜栓後に膨張するため</x:v>
      </x:c>
      <x:c r="I432" s="165" t="str">
        <x:v>瓶内の酸がコルクを発酵させるため</x:v>
      </x:c>
      <x:c r="J432" s="171" t="str">
        <x:v>C</x:v>
      </x:c>
      <x:c r="K432" s="165" t="str">
        <x:v>瓶口へ強く圧縮されていた下部が、抜栓後に膨張するため</x:v>
      </x:c>
      <x:c r="L432" s="165" t="str">
        <x:v>正しい。太いコルクを圧縮して挿入し、瓶内圧力に耐えるようミュズレで固定するため、抜くと形が戻る。</x:v>
      </x:c>
      <x:c r="M432" s="165" t="str">
        <x:v>誤り。形状は酵母吸収ではなく、圧縮と膨張による。</x:v>
      </x:c>
      <x:c r="N432" s="165" t="str">
        <x:v>誤り。糖がコルクをキノコ形へ溶解するわけではない。</x:v>
      </x:c>
      <x:c r="O432" s="165" t="str">
        <x:v>正しい。太いコルクを圧縮して挿入し、瓶内圧力に耐えるようミュズレで固定するため、抜くと形が戻る。</x:v>
      </x:c>
      <x:c r="P432" s="165" t="str">
        <x:v>誤り。コルク自体が発酵して形を変えるのではない。</x:v>
      </x:c>
      <x:c r="Q432" s="165" t="str">
        <x:v>包装</x:v>
      </x:c>
      <x:c r="R432" s="165" t="str">
        <x:v>栓と圧力</x:v>
      </x:c>
      <x:c r="S432" s="165" t="str">
        <x:v>発泡性ワイン</x:v>
      </x:c>
      <x:c r="T432" s="165"/>
      <x:c r="U432" s="165"/>
      <x:c r="V432" s="165"/>
      <x:c r="W432" s="165" t="str">
        <x:v>因果説明</x:v>
      </x:c>
      <x:c r="X432" s="171" t="str">
        <x:v>D1</x:v>
      </x:c>
      <x:c r="Y432" s="165" t="str">
        <x:v>発泡性ワインのコルクに関する別の特徴・要因と混同; 発泡性ワインのコルクに関する別の特徴・要因と混同; 発泡性ワインのコルクに関する別の特徴・要因と混同</x:v>
      </x:c>
      <x:c r="Z432" s="171" t="str">
        <x:v>N</x:v>
      </x:c>
      <x:c r="AA432" s="165"/>
      <x:c r="AB432" s="165" t="str">
        <x:v>オリジナル</x:v>
      </x:c>
      <x:c r="AC432" s="165" t="str">
        <x:v>公式Specificationの範囲＋ユーザー作成コーパスの論点を参考に独自作成</x:v>
      </x:c>
      <x:c r="AD432" s="171" t="str">
        <x:v>改稿済み・専門家未承認</x:v>
      </x:c>
      <x:c r="AE432" s="171" t="str">
        <x:v>AI誤答レビュー</x:v>
      </x:c>
      <x:c r="AF432" s="171" t="str">
        <x:v>2026-07-12</x:v>
      </x:c>
      <x:c r="AG432" s="312" t="str">
        <x:v>最終バッチ：有効な誤答を維持し、絶対語・物理的不可能な誤答のみ置換。正答位置は維持。</x:v>
      </x:c>
    </x:row>
    <x:row r="433" ht="84" customHeight="1">
      <x:c r="A433" s="311" t="str">
        <x:v>LO3-072</x:v>
      </x:c>
      <x:c r="B433" s="171" t="str">
        <x:v>LO3</x:v>
      </x:c>
      <x:c r="C433" s="165" t="str">
        <x:v>世界の主要な発泡性ワイン</x:v>
      </x:c>
      <x:c r="D433" s="165" t="str">
        <x:v>マグナム瓶での熟成</x:v>
      </x:c>
      <x:c r="E433" s="165" t="str">
        <x:v>同じワインであれば、マグナム瓶が標準瓶よりゆっくり熟成しやすい主な理由はどれか。</x:v>
      </x:c>
      <x:c r="F433" s="165" t="str">
        <x:v>ガラスがワインへ糖を供給するため</x:v>
      </x:c>
      <x:c r="G433" s="165" t="str">
        <x:v>マグナム瓶には酸素がほとんど存在しないため</x:v>
      </x:c>
      <x:c r="H433" s="165" t="str">
        <x:v>大きな瓶では発酵が永遠に続くため</x:v>
      </x:c>
      <x:c r="I433" s="165" t="str">
        <x:v>ワイン量に対する栓付近の酸素量の比率が小さいため</x:v>
      </x:c>
      <x:c r="J433" s="171" t="str">
        <x:v>D</x:v>
      </x:c>
      <x:c r="K433" s="165" t="str">
        <x:v>ワイン量に対する栓付近の酸素量の比率が小さいため</x:v>
      </x:c>
      <x:c r="L433" s="165" t="str">
        <x:v>正しい。同程度の栓とヘッドスペースに対しワイン量が多く、単位量当たりの酸素影響が小さくなる。</x:v>
      </x:c>
      <x:c r="M433" s="165" t="str">
        <x:v>誤り。ガラスは糖を供給しない。</x:v>
      </x:c>
      <x:c r="N433" s="165" t="str">
        <x:v>誤り。酸素はごく少量存在するが、比率が小さい。</x:v>
      </x:c>
      <x:c r="O433" s="165" t="str">
        <x:v>誤り。熟成中に発酵が続くことが理由ではない。</x:v>
      </x:c>
      <x:c r="P433" s="165" t="str">
        <x:v>正しい。同程度の栓とヘッドスペースに対しワイン量が多く、単位量当たりの酸素影響が小さくなる。</x:v>
      </x:c>
      <x:c r="Q433" s="165" t="str">
        <x:v>熟成</x:v>
      </x:c>
      <x:c r="R433" s="165" t="str">
        <x:v>瓶サイズ</x:v>
      </x:c>
      <x:c r="S433" s="165" t="str">
        <x:v>発泡性ワイン</x:v>
      </x:c>
      <x:c r="T433" s="165"/>
      <x:c r="U433" s="165"/>
      <x:c r="V433" s="165"/>
      <x:c r="W433" s="165" t="str">
        <x:v>因果説明</x:v>
      </x:c>
      <x:c r="X433" s="171" t="str">
        <x:v>D2</x:v>
      </x:c>
      <x:c r="Y433" s="165" t="str">
        <x:v>マグナム瓶での熟成について関連要因を主因とみなす; マグナム瓶での熟成について関連要因を主因とみなす; マグナム瓶での熟成について関連要因を主因とみなす</x:v>
      </x:c>
      <x:c r="Z433" s="171" t="str">
        <x:v>N</x:v>
      </x:c>
      <x:c r="AA433" s="165"/>
      <x:c r="AB433" s="165" t="str">
        <x:v>オリジナル</x:v>
      </x:c>
      <x:c r="AC433" s="165" t="str">
        <x:v>公式Specificationの範囲＋ユーザー作成コーパスの論点を参考に独自作成</x:v>
      </x:c>
      <x:c r="AD433" s="171" t="str">
        <x:v>改稿済み・専門家未承認</x:v>
      </x:c>
      <x:c r="AE433" s="171" t="str">
        <x:v>AI誤答レビュー</x:v>
      </x:c>
      <x:c r="AF433" s="171" t="str">
        <x:v>2026-07-12</x:v>
      </x:c>
      <x:c r="AG433" s="312" t="str">
        <x:v>第5バッチ：使用可能な誤答を維持し、弱い誤答を因果逆転・隣接概念へ置換。正答位置は維持。</x:v>
      </x:c>
    </x:row>
    <x:row r="434" ht="84" customHeight="1">
      <x:c r="A434" s="311" t="str">
        <x:v>LO3-073</x:v>
      </x:c>
      <x:c r="B434" s="171" t="str">
        <x:v>LO3</x:v>
      </x:c>
      <x:c r="C434" s="165" t="str">
        <x:v>世界の主要な発泡性ワイン</x:v>
      </x:c>
      <x:c r="D434" s="165" t="str">
        <x:v>温度と炭酸ガス</x:v>
      </x:c>
      <x:c r="E434" s="165" t="str">
        <x:v>発泡性ワインを十分に冷やして提供すると泡が制御しやすい主な理由はどれか。</x:v>
      </x:c>
      <x:c r="F434" s="165" t="str">
        <x:v>低温では二酸化炭素がワインに溶けた状態を保ちやすい</x:v>
      </x:c>
      <x:c r="G434" s="165" t="str">
        <x:v>低温で二酸化炭素が酸素へ変わるため</x:v>
      </x:c>
      <x:c r="H434" s="165" t="str">
        <x:v>冷却するとワインが甘口へ変わるため</x:v>
      </x:c>
      <x:c r="I434" s="165" t="str">
        <x:v>低温で瓶内圧力が長期間ゼロになるため</x:v>
      </x:c>
      <x:c r="J434" s="171" t="str">
        <x:v>A</x:v>
      </x:c>
      <x:c r="K434" s="165" t="str">
        <x:v>低温では二酸化炭素がワインに溶けた状態を保ちやすい</x:v>
      </x:c>
      <x:c r="L434" s="165" t="str">
        <x:v>正しい。温度が低いほど二酸化炭素の溶解度が高くなり、開栓時の急激な噴出や泡立ちを抑えられる。</x:v>
      </x:c>
      <x:c r="M434" s="165" t="str">
        <x:v>正しい。温度が低いほど二酸化炭素の溶解度が高くなり、開栓時の急激な噴出や泡立ちを抑えられる。</x:v>
      </x:c>
      <x:c r="N434" s="165" t="str">
        <x:v>誤り。二酸化炭素が酸素へ変換されるわけではない。</x:v>
      </x:c>
      <x:c r="O434" s="165" t="str">
        <x:v>誤り。知覚は変わっても残糖量は変化しない。</x:v>
      </x:c>
      <x:c r="P434" s="165" t="str">
        <x:v>誤り。圧力は低下するが、発泡性は保持される。</x:v>
      </x:c>
      <x:c r="Q434" s="165" t="str">
        <x:v>サービス関連理論</x:v>
      </x:c>
      <x:c r="R434" s="165" t="str">
        <x:v>温度と気体</x:v>
      </x:c>
      <x:c r="S434" s="165" t="str">
        <x:v>発泡性ワイン</x:v>
      </x:c>
      <x:c r="T434" s="165"/>
      <x:c r="U434" s="165"/>
      <x:c r="V434" s="165"/>
      <x:c r="W434" s="165" t="str">
        <x:v>因果説明</x:v>
      </x:c>
      <x:c r="X434" s="171" t="str">
        <x:v>D2</x:v>
      </x:c>
      <x:c r="Y434" s="165" t="str">
        <x:v>温度と炭酸ガスについて関連要因を主因とみなす; 温度と炭酸ガスについて関連要因を主因とみなす; 温度と炭酸ガスについて関連要因を主因とみなす</x:v>
      </x:c>
      <x:c r="Z434" s="171" t="str">
        <x:v>N</x:v>
      </x:c>
      <x:c r="AA434" s="165"/>
      <x:c r="AB434" s="165" t="str">
        <x:v>オリジナル</x:v>
      </x:c>
      <x:c r="AC434" s="165" t="str">
        <x:v>公式Specificationの範囲＋ユーザー作成コーパスの論点を参考に独自作成</x:v>
      </x:c>
      <x:c r="AD434" s="171" t="str">
        <x:v>改稿済み・専門家未承認</x:v>
      </x:c>
      <x:c r="AE434" s="171" t="str">
        <x:v>AI誤答レビュー</x:v>
      </x:c>
      <x:c r="AF434" s="171" t="str">
        <x:v>2026-07-12</x:v>
      </x:c>
      <x:c r="AG434" s="312" t="str">
        <x:v>第5バッチ：使用可能な誤答を維持し、弱い誤答を因果逆転・隣接概念へ置換。正答位置は維持。</x:v>
      </x:c>
    </x:row>
    <x:row r="435" ht="84" customHeight="1">
      <x:c r="A435" s="311" t="str">
        <x:v>LO3-074</x:v>
      </x:c>
      <x:c r="B435" s="171" t="str">
        <x:v>LO3</x:v>
      </x:c>
      <x:c r="C435" s="165" t="str">
        <x:v>世界の主要な発泡性ワイン</x:v>
      </x:c>
      <x:c r="D435" s="165" t="str">
        <x:v>酵母の自己分解香</x:v>
      </x:c>
      <x:c r="E435" s="165" t="str">
        <x:v>長期の澱熟成で生じる典型的な香りはどれか。</x:v>
      </x:c>
      <x:c r="F435" s="165" t="str">
        <x:v>新鮮な青ピーマンだけ</x:v>
      </x:c>
      <x:c r="G435" s="165" t="str">
        <x:v>パン生地、ビスケット、トーストを思わせる香り</x:v>
      </x:c>
      <x:c r="H435" s="165" t="str">
        <x:v>強い酢の香りだけ</x:v>
      </x:c>
      <x:c r="I435" s="165" t="str">
        <x:v>海水の塩分だけ</x:v>
      </x:c>
      <x:c r="J435" s="171" t="str">
        <x:v>B</x:v>
      </x:c>
      <x:c r="K435" s="165" t="str">
        <x:v>パン生地、ビスケット、トーストを思わせる香り</x:v>
      </x:c>
      <x:c r="L435" s="165" t="str">
        <x:v>正しい。死滅酵母の自己分解によりアミノ酸や多糖類が放出され、パンや菓子を思わせる複雑性が生まれる。</x:v>
      </x:c>
      <x:c r="M435" s="165" t="str">
        <x:v>誤り。青ピーマン香は主にメトキシピラジンに関係する。</x:v>
      </x:c>
      <x:c r="N435" s="165" t="str">
        <x:v>正しい。死滅酵母の自己分解によりアミノ酸や多糖類が放出され、パンや菓子を思わせる複雑性が生まれる。</x:v>
      </x:c>
      <x:c r="O435" s="165" t="str">
        <x:v>誤り。酢酸は欠陥となり得るが、自己分解の典型香ではない。</x:v>
      </x:c>
      <x:c r="P435" s="165" t="str">
        <x:v>誤り。澱熟成が塩分を加えるわけではない。</x:v>
      </x:c>
      <x:c r="Q435" s="165" t="str">
        <x:v>熟成</x:v>
      </x:c>
      <x:c r="R435" s="165" t="str">
        <x:v>酵母の自己分解</x:v>
      </x:c>
      <x:c r="S435" s="165" t="str">
        <x:v>発泡性ワイン</x:v>
      </x:c>
      <x:c r="T435" s="165"/>
      <x:c r="U435" s="165"/>
      <x:c r="V435" s="165"/>
      <x:c r="W435" s="165" t="str">
        <x:v>知識確認</x:v>
      </x:c>
      <x:c r="X435" s="171" t="str">
        <x:v>D1</x:v>
      </x:c>
      <x:c r="Y435" s="165" t="str">
        <x:v>酵母の自己分解香に関する別の特徴・要因と混同; 酵母の自己分解香に関する別の特徴・要因と混同; 酵母の自己分解香に関する別の特徴・要因と混同</x:v>
      </x:c>
      <x:c r="Z435" s="171" t="str">
        <x:v>N</x:v>
      </x:c>
      <x:c r="AA435" s="165"/>
      <x:c r="AB435" s="165" t="str">
        <x:v>オリジナル</x:v>
      </x:c>
      <x:c r="AC435" s="165" t="str">
        <x:v>公式Specificationの範囲＋ユーザー作成コーパスの論点を参考に独自作成</x:v>
      </x:c>
      <x:c r="AD435" s="171" t="str">
        <x:v>改稿済み・専門家未承認</x:v>
      </x:c>
      <x:c r="AE435" s="171" t="str">
        <x:v>AI誤答レビュー</x:v>
      </x:c>
      <x:c r="AF435" s="171" t="str">
        <x:v>2026-07-12</x:v>
      </x:c>
      <x:c r="AG435" s="312" t="str">
        <x:v>最終バッチ：有効な誤答を維持し、絶対語・物理的不可能な誤答のみ置換。正答位置は維持。</x:v>
      </x:c>
    </x:row>
    <x:row r="436" ht="84" customHeight="1">
      <x:c r="A436" s="311" t="str">
        <x:v>LO3-075</x:v>
      </x:c>
      <x:c r="B436" s="171" t="str">
        <x:v>LO3</x:v>
      </x:c>
      <x:c r="C436" s="165" t="str">
        <x:v>世界の主要な発泡性ワイン</x:v>
      </x:c>
      <x:c r="D436" s="165" t="str">
        <x:v>澱熟成と泡の持続性</x:v>
      </x:c>
      <x:c r="E436" s="165" t="str">
        <x:v>長期の澱熟成が泡のきめ細かさと持続性を高めることがある主な理由はどれか。</x:v>
      </x:c>
      <x:c r="F436" s="165" t="str">
        <x:v>澱熟成中に二酸化炭素が生成され続け、泡の持続性が高まる</x:v>
      </x:c>
      <x:c r="G436" s="165" t="str">
        <x:v>澱が新しい二酸化炭素を継続的に生成し、瓶内圧力を高め続けるため</x:v>
      </x:c>
      <x:c r="H436" s="165" t="str">
        <x:v>酵母由来のタンパク質や多糖類が泡の膜を安定させるため</x:v>
      </x:c>
      <x:c r="I436" s="165" t="str">
        <x:v>澱がワインのアルコールを減らし、気体の溶解度を高めるため</x:v>
      </x:c>
      <x:c r="J436" s="171" t="str">
        <x:v>C</x:v>
      </x:c>
      <x:c r="K436" s="165" t="str">
        <x:v>酵母由来のタンパク質や多糖類が泡の膜を安定させるため</x:v>
      </x:c>
      <x:c r="L436" s="165" t="str">
        <x:v>正しい。自己分解で放出される成分が泡の形成・持続と滑らかな質感を助ける。</x:v>
      </x:c>
      <x:c r="M436" s="165" t="str">
        <x:v>誤り。泡安定性は自己分解由来の多糖類等によるもので、CO2生成が続くためではない。</x:v>
      </x:c>
      <x:c r="N436" s="165" t="str">
        <x:v>誤り。二次発酵完了後、澱熟成中に圧力が増え続けるわけではない。</x:v>
      </x:c>
      <x:c r="O436" s="165" t="str">
        <x:v>正しい。自己分解で放出される成分が泡の形成・持続と滑らかな質感を助ける。</x:v>
      </x:c>
      <x:c r="P436" s="165" t="str">
        <x:v>誤り。自己分解でアルコール度は大きく下がらない。</x:v>
      </x:c>
      <x:c r="Q436" s="165" t="str">
        <x:v>熟成</x:v>
      </x:c>
      <x:c r="R436" s="165" t="str">
        <x:v>泡の質</x:v>
      </x:c>
      <x:c r="S436" s="165" t="str">
        <x:v>発泡性ワイン</x:v>
      </x:c>
      <x:c r="T436" s="165"/>
      <x:c r="U436" s="165"/>
      <x:c r="V436" s="165"/>
      <x:c r="W436" s="165" t="str">
        <x:v>因果説明</x:v>
      </x:c>
      <x:c r="X436" s="171" t="str">
        <x:v>D3</x:v>
      </x:c>
      <x:c r="Y436" s="165" t="str">
        <x:v>長期澱熟成でCO2生成が続く; 澱熟成中もCO2生成が続く; 澱熟成でアルコール低下</x:v>
      </x:c>
      <x:c r="Z436" s="171" t="str">
        <x:v>N</x:v>
      </x:c>
      <x:c r="AA436" s="165"/>
      <x:c r="AB436" s="165" t="str">
        <x:v>オリジナル</x:v>
      </x:c>
      <x:c r="AC436" s="165" t="str">
        <x:v>公式Specificationの範囲＋ユーザー作成コーパスの論点を参考に独自作成</x:v>
      </x:c>
      <x:c r="AD436" s="171" t="str">
        <x:v>改稿済み・専門家未承認</x:v>
      </x:c>
      <x:c r="AE436" s="171" t="str">
        <x:v>AI誤答レビュー</x:v>
      </x:c>
      <x:c r="AF436" s="171" t="str">
        <x:v>2026-07-12</x:v>
      </x:c>
      <x:c r="AG436" s="312" t="str">
        <x:v>第4バッチ：同一論点内の典型的誤概念へ置換。正答位置は維持。</x:v>
      </x:c>
    </x:row>
    <x:row r="437" ht="84" customHeight="1">
      <x:c r="A437" s="311" t="str">
        <x:v>LO3-076</x:v>
      </x:c>
      <x:c r="B437" s="171" t="str">
        <x:v>LO3</x:v>
      </x:c>
      <x:c r="C437" s="165" t="str">
        <x:v>世界の主要な発泡性ワイン</x:v>
      </x:c>
      <x:c r="D437" s="165" t="str">
        <x:v>プレスティージュ・キュヴェ</x:v>
      </x:c>
      <x:c r="E437" s="165" t="str">
        <x:v>プレスティージュ・キュヴェが高価格になりやすい主な理由はどれか。</x:v>
      </x:c>
      <x:c r="F437" s="165" t="str">
        <x:v>ドザージュ量を高くし、糖の原価と甘味を高級感へ結び付けるため</x:v>
      </x:c>
      <x:c r="G437" s="165" t="str">
        <x:v>最も高収量の畑から大量に造り、ブランド広告費だけを加えるため</x:v>
      </x:c>
      <x:c r="H437" s="165" t="str">
        <x:v>ドザージュ量を高くして糖の原価を価格へ反映するため</x:v>
      </x:c>
      <x:c r="I437" s="165" t="str">
        <x:v>優良な畑の果汁を選び、長い澱熟成と厳しい選別を行うため</x:v>
      </x:c>
      <x:c r="J437" s="171" t="str">
        <x:v>D</x:v>
      </x:c>
      <x:c r="K437" s="165" t="str">
        <x:v>優良な畑の果汁を選び、長い澱熟成と厳しい選別を行うため</x:v>
      </x:c>
      <x:c r="L437" s="165" t="str">
        <x:v>正しい。高品質原料、低生産量、長期在庫、ブランド需要が価格を高める。</x:v>
      </x:c>
      <x:c r="M437" s="165" t="str">
        <x:v>誤り。価格の中心は優良原料、選別、長期熟成、在庫、ブランドである。</x:v>
      </x:c>
      <x:c r="N437" s="165" t="str">
        <x:v>誤り。高品質原料・低収量・長期在庫が重要である。</x:v>
      </x:c>
      <x:c r="O437" s="165" t="str">
        <x:v>誤り。価格の主因は原料、熟成、希少性、ブランドで、糖量ではない。</x:v>
      </x:c>
      <x:c r="P437" s="165" t="str">
        <x:v>正しい。高品質原料、低生産量、長期在庫、ブランド需要が価格を高める。</x:v>
      </x:c>
      <x:c r="Q437" s="165" t="str">
        <x:v>商業・価格</x:v>
      </x:c>
      <x:c r="R437" s="165" t="str">
        <x:v>高級発泡性ワイン</x:v>
      </x:c>
      <x:c r="S437" s="165" t="str">
        <x:v>発泡性ワイン</x:v>
      </x:c>
      <x:c r="T437" s="165"/>
      <x:c r="U437" s="165"/>
      <x:c r="V437" s="165"/>
      <x:c r="W437" s="165" t="str">
        <x:v>統合判断</x:v>
      </x:c>
      <x:c r="X437" s="171" t="str">
        <x:v>D3</x:v>
      </x:c>
      <x:c r="Y437" s="165" t="str">
        <x:v>プレスティージュ・キュヴェは高ドザージュで高価; プレスティージュは高収量大量生産; 高価格は高ドザージュが主因</x:v>
      </x:c>
      <x:c r="Z437" s="171" t="str">
        <x:v>N</x:v>
      </x:c>
      <x:c r="AA437" s="165"/>
      <x:c r="AB437" s="165" t="str">
        <x:v>オリジナル</x:v>
      </x:c>
      <x:c r="AC437" s="165" t="str">
        <x:v>公式Specificationの範囲＋ユーザー作成コーパスの論点を参考に独自作成</x:v>
      </x:c>
      <x:c r="AD437" s="171" t="str">
        <x:v>改稿済み・専門家未承認</x:v>
      </x:c>
      <x:c r="AE437" s="171" t="str">
        <x:v>AI誤答レビュー</x:v>
      </x:c>
      <x:c r="AF437" s="171" t="str">
        <x:v>2026-07-12</x:v>
      </x:c>
      <x:c r="AG437" s="312" t="str">
        <x:v>第4バッチ：同一論点内の典型的誤概念へ置換。正答位置は維持。</x:v>
      </x:c>
    </x:row>
    <x:row r="438" ht="84" customHeight="1">
      <x:c r="A438" s="311" t="str">
        <x:v>LO3-077</x:v>
      </x:c>
      <x:c r="B438" s="171" t="str">
        <x:v>LO3</x:v>
      </x:c>
      <x:c r="C438" s="165" t="str">
        <x:v>世界の主要な発泡性ワイン</x:v>
      </x:c>
      <x:c r="D438" s="165" t="str">
        <x:v>シャンパーニュのピノ・ノワール</x:v>
      </x:c>
      <x:c r="E438" s="165" t="str">
        <x:v>シャンパーニュのブレンドでピノ・ノワールが主に与えるものはどれか。</x:v>
      </x:c>
      <x:c r="F438" s="165" t="str">
        <x:v>ボディ、構造、赤系果実の風味</x:v>
      </x:c>
      <x:c r="G438" s="165" t="str">
        <x:v>強いマスカット香と残糖</x:v>
      </x:c>
      <x:c r="H438" s="165" t="str">
        <x:v>軽い洋梨香だけで構造を持たない</x:v>
      </x:c>
      <x:c r="I438" s="165" t="str">
        <x:v>高い酸だけを与え、果実味を持たない</x:v>
      </x:c>
      <x:c r="J438" s="171" t="str">
        <x:v>A</x:v>
      </x:c>
      <x:c r="K438" s="165" t="str">
        <x:v>ボディ、構造、赤系果実の風味</x:v>
      </x:c>
      <x:c r="L438" s="165" t="str">
        <x:v>正しい。黒ブドウのピノ・ノワールは骨格と熟成力を与え、特にモンターニュ・ド・ランスやコート・デ・バールで重要である。</x:v>
      </x:c>
      <x:c r="M438" s="165" t="str">
        <x:v>正しい。黒ブドウのピノ・ノワールは骨格と熟成力を与え、特にモンターニュ・ド・ランスやコート・デ・バールで重要である。</x:v>
      </x:c>
      <x:c r="N438" s="165" t="str">
        <x:v>誤り。これはモスカート系品種に近い。</x:v>
      </x:c>
      <x:c r="O438" s="165" t="str">
        <x:v>誤り。これはグレーラの一般的な特徴に近い。</x:v>
      </x:c>
      <x:c r="P438" s="165" t="str">
        <x:v>誤り。ピノ・ノワールは構造と果実味も与える。</x:v>
      </x:c>
      <x:c r="Q438" s="165" t="str">
        <x:v>品種</x:v>
      </x:c>
      <x:c r="R438" s="165" t="str">
        <x:v>シャンパーニュ</x:v>
      </x:c>
      <x:c r="S438" s="165" t="str">
        <x:v>発泡性ワイン</x:v>
      </x:c>
      <x:c r="T438" s="165" t="str">
        <x:v>フランス</x:v>
      </x:c>
      <x:c r="U438" s="165" t="str">
        <x:v>シャンパーニュ</x:v>
      </x:c>
      <x:c r="V438" s="165" t="str">
        <x:v>ピノ・ノワール</x:v>
      </x:c>
      <x:c r="W438" s="165" t="str">
        <x:v>知識確認</x:v>
      </x:c>
      <x:c r="X438" s="171" t="str">
        <x:v>D1</x:v>
      </x:c>
      <x:c r="Y438" s="165" t="str">
        <x:v>シャンパーニュのピノ・ノワールに関する別の特徴・要因と混同; シャンパーニュのピノ・ノワールに関する別の特徴・要因と混同; シャンパーニュのピノ・ノワールに関する別の特徴・要因と混同</x:v>
      </x:c>
      <x:c r="Z438" s="171" t="str">
        <x:v>N</x:v>
      </x:c>
      <x:c r="AA438" s="165"/>
      <x:c r="AB438" s="165" t="str">
        <x:v>オリジナル</x:v>
      </x:c>
      <x:c r="AC438" s="165" t="str">
        <x:v>公式Specificationの範囲＋ユーザー作成コーパスの論点を参考に独自作成</x:v>
      </x:c>
      <x:c r="AD438" s="171" t="str">
        <x:v>改稿済み・専門家未承認</x:v>
      </x:c>
      <x:c r="AE438" s="171" t="str">
        <x:v>AI誤答レビュー</x:v>
      </x:c>
      <x:c r="AF438" s="171" t="str">
        <x:v>2026-07-12</x:v>
      </x:c>
      <x:c r="AG438" s="312" t="str">
        <x:v>最終バッチ：有効な誤答を維持し、絶対語・物理的不可能な誤答のみ置換。正答位置は維持。</x:v>
      </x:c>
    </x:row>
    <x:row r="439" ht="84" customHeight="1">
      <x:c r="A439" s="311" t="str">
        <x:v>LO3-078</x:v>
      </x:c>
      <x:c r="B439" s="171" t="str">
        <x:v>LO3</x:v>
      </x:c>
      <x:c r="C439" s="165" t="str">
        <x:v>世界の主要な発泡性ワイン</x:v>
      </x:c>
      <x:c r="D439" s="165" t="str">
        <x:v>シャンパーニュのシャルドネ</x:v>
      </x:c>
      <x:c r="E439" s="165" t="str">
        <x:v>シャンパーニュのブレンドでシャルドネが主に与えるものはどれか。</x:v>
      </x:c>
      <x:c r="F439" s="165" t="str">
        <x:v>深い色と非常に高いタンニン</x:v>
      </x:c>
      <x:c r="G439" s="165" t="str">
        <x:v>高い酸、柑橘・花の繊細さ、長期熟成能力</x:v>
      </x:c>
      <x:c r="H439" s="165" t="str">
        <x:v>強い黒胡椒香と高アルコール</x:v>
      </x:c>
      <x:c r="I439" s="165" t="str">
        <x:v>残糖と酒精強化香</x:v>
      </x:c>
      <x:c r="J439" s="171" t="str">
        <x:v>B</x:v>
      </x:c>
      <x:c r="K439" s="165" t="str">
        <x:v>高い酸、柑橘・花の繊細さ、長期熟成能力</x:v>
      </x:c>
      <x:c r="L439" s="165" t="str">
        <x:v>正しい。冷涼なコート・デ・ブランなどで育つシャルドネは、線の細い構造と鮮度を与える。</x:v>
      </x:c>
      <x:c r="M439" s="165" t="str">
        <x:v>誤り。白品種であり、色とタンニンの主な供給源ではない。</x:v>
      </x:c>
      <x:c r="N439" s="165" t="str">
        <x:v>正しい。冷涼なコート・デ・ブランなどで育つシャルドネは、線の細い構造と鮮度を与える。</x:v>
      </x:c>
      <x:c r="O439" s="165" t="str">
        <x:v>誤り。これは温暖なシラーに近い。</x:v>
      </x:c>
      <x:c r="P439" s="165" t="str">
        <x:v>誤り。シャルドネ自体が残糖や酒精強化を与えるわけではない。</x:v>
      </x:c>
      <x:c r="Q439" s="165" t="str">
        <x:v>品種</x:v>
      </x:c>
      <x:c r="R439" s="165" t="str">
        <x:v>シャンパーニュ</x:v>
      </x:c>
      <x:c r="S439" s="165" t="str">
        <x:v>発泡性ワイン</x:v>
      </x:c>
      <x:c r="T439" s="165" t="str">
        <x:v>フランス</x:v>
      </x:c>
      <x:c r="U439" s="165" t="str">
        <x:v>シャンパーニュ</x:v>
      </x:c>
      <x:c r="V439" s="165" t="str">
        <x:v>シャルドネ</x:v>
      </x:c>
      <x:c r="W439" s="165" t="str">
        <x:v>知識確認</x:v>
      </x:c>
      <x:c r="X439" s="171" t="str">
        <x:v>D1</x:v>
      </x:c>
      <x:c r="Y439" s="165" t="str">
        <x:v>シャンパーニュのシャルドネに関する別の特徴・要因と混同; シャンパーニュのシャルドネに関する別の特徴・要因と混同; シャンパーニュのシャルドネに関する別の特徴・要因と混同</x:v>
      </x:c>
      <x:c r="Z439" s="171" t="str">
        <x:v>N</x:v>
      </x:c>
      <x:c r="AA439" s="165"/>
      <x:c r="AB439" s="165" t="str">
        <x:v>オリジナル</x:v>
      </x:c>
      <x:c r="AC439" s="165" t="str">
        <x:v>公式Specificationの範囲＋ユーザー作成コーパスの論点を参考に独自作成</x:v>
      </x:c>
      <x:c r="AD439" s="171" t="str">
        <x:v>改稿済み・専門家未承認</x:v>
      </x:c>
      <x:c r="AE439" s="171" t="str">
        <x:v>AI誤答レビュー</x:v>
      </x:c>
      <x:c r="AF439" s="171" t="str">
        <x:v>2026-07-12</x:v>
      </x:c>
      <x:c r="AG439" s="312" t="str">
        <x:v>最終バッチ：有効な誤答を維持し、絶対語・物理的不可能な誤答のみ置換。正答位置は維持。</x:v>
      </x:c>
    </x:row>
    <x:row r="440" ht="84" customHeight="1">
      <x:c r="A440" s="311" t="str">
        <x:v>LO3-079</x:v>
      </x:c>
      <x:c r="B440" s="171" t="str">
        <x:v>LO3</x:v>
      </x:c>
      <x:c r="C440" s="165" t="str">
        <x:v>世界の主要な発泡性ワイン</x:v>
      </x:c>
      <x:c r="D440" s="165" t="str">
        <x:v>シャンパーニュのムニエ</x:v>
      </x:c>
      <x:c r="E440" s="165" t="str">
        <x:v>シャンパーニュのブレンドでムニエが重視される主な理由はどれか。</x:v>
      </x:c>
      <x:c r="F440" s="165" t="str">
        <x:v>最も晩熟で、暖地でしか成熟しない</x:v>
      </x:c>
      <x:c r="G440" s="165" t="str">
        <x:v>長期熟成専用で若飲みできない</x:v>
      </x:c>
      <x:c r="H440" s="165" t="str">
        <x:v>芽吹きが遅く成熟が早めで、果実味豊かで若いうちから親しみやすいワインを与える</x:v>
      </x:c>
      <x:c r="I440" s="165" t="str">
        <x:v>白品種で高いタンニンを与える</x:v>
      </x:c>
      <x:c r="J440" s="171" t="str">
        <x:v>C</x:v>
      </x:c>
      <x:c r="K440" s="165" t="str">
        <x:v>芽吹きが遅く成熟が早めで、果実味豊かで若いうちから親しみやすいワインを与える</x:v>
      </x:c>
      <x:c r="L440" s="165" t="str">
        <x:v>正しい。霜害を避けやすく冷涼な谷でも成熟しやすいため、ヴィンテージ差のある地域で安定した原料となる。</x:v>
      </x:c>
      <x:c r="M440" s="165" t="str">
        <x:v>誤り。ムニエはピノ・ノワールより早く成熟しやすい。</x:v>
      </x:c>
      <x:c r="N440" s="165" t="str">
        <x:v>誤り。若いうちから果実味を出しやすい。</x:v>
      </x:c>
      <x:c r="O440" s="165" t="str">
        <x:v>正しい。霜害を避けやすく冷涼な谷でも成熟しやすいため、ヴィンテージ差のある地域で安定した原料となる。</x:v>
      </x:c>
      <x:c r="P440" s="165" t="str">
        <x:v>誤り。黒品種だが、一般に柔らかな果実味を与える。</x:v>
      </x:c>
      <x:c r="Q440" s="165" t="str">
        <x:v>品種</x:v>
      </x:c>
      <x:c r="R440" s="165" t="str">
        <x:v>シャンパーニュ</x:v>
      </x:c>
      <x:c r="S440" s="165" t="str">
        <x:v>発泡性ワイン</x:v>
      </x:c>
      <x:c r="T440" s="165" t="str">
        <x:v>フランス</x:v>
      </x:c>
      <x:c r="U440" s="165" t="str">
        <x:v>シャンパーニュ</x:v>
      </x:c>
      <x:c r="V440" s="165" t="str">
        <x:v>ムニエ</x:v>
      </x:c>
      <x:c r="W440" s="165" t="str">
        <x:v>因果説明</x:v>
      </x:c>
      <x:c r="X440" s="171" t="str">
        <x:v>D2</x:v>
      </x:c>
      <x:c r="Y440" s="165" t="str">
        <x:v>シャンパーニュのムニエについて関連要因を主因とみなす; シャンパーニュのムニエについて関連要因を主因とみなす; シャンパーニュのムニエについて関連要因を主因とみなす</x:v>
      </x:c>
      <x:c r="Z440" s="171" t="str">
        <x:v>N</x:v>
      </x:c>
      <x:c r="AA440" s="165"/>
      <x:c r="AB440" s="165" t="str">
        <x:v>オリジナル</x:v>
      </x:c>
      <x:c r="AC440" s="165" t="str">
        <x:v>公式Specificationの範囲＋ユーザー作成コーパスの論点を参考に独自作成</x:v>
      </x:c>
      <x:c r="AD440" s="171" t="str">
        <x:v>改稿済み・専門家未承認</x:v>
      </x:c>
      <x:c r="AE440" s="171" t="str">
        <x:v>AI誤答レビュー</x:v>
      </x:c>
      <x:c r="AF440" s="171" t="str">
        <x:v>2026-07-12</x:v>
      </x:c>
      <x:c r="AG440" s="312" t="str">
        <x:v>第5バッチ：使用可能な誤答を維持し、弱い誤答を因果逆転・隣接概念へ置換。正答位置は維持。</x:v>
      </x:c>
    </x:row>
    <x:row r="441" ht="84" customHeight="1">
      <x:c r="A441" s="311" t="str">
        <x:v>LO3-080</x:v>
      </x:c>
      <x:c r="B441" s="171" t="str">
        <x:v>LO3</x:v>
      </x:c>
      <x:c r="C441" s="165" t="str">
        <x:v>世界の主要な発泡性ワイン</x:v>
      </x:c>
      <x:c r="D441" s="165" t="str">
        <x:v>ハウス・スタイル</x:v>
      </x:c>
      <x:c r="E441" s="165" t="str">
        <x:v>大手シャンパーニュ・メゾンが多数の村と収穫年のワインをブレンドする主な目的はどれか。</x:v>
      </x:c>
      <x:c r="F441" s="165" t="str">
        <x:v>各村と収穫年の違いを強調するため、毎年同じ比率でブレンドする</x:v>
      </x:c>
      <x:c r="G441" s="165" t="str">
        <x:v>若い果実香だけを残すため、リザーヴワインを使わず当年産のみで造る</x:v>
      </x:c>
      <x:c r="H441" s="165" t="str">
        <x:v>瓶内二次発酵後の泡を均一にするため、デゴルジュマン後に各村のワインを混ぜる</x:v>
      </x:c>
      <x:c r="I441" s="165" t="str">
        <x:v>原料の差を組み合わせ、毎年一貫したハウス・スタイルを再現する</x:v>
      </x:c>
      <x:c r="J441" s="171" t="str">
        <x:v>D</x:v>
      </x:c>
      <x:c r="K441" s="165" t="str">
        <x:v>原料の差を組み合わせ、毎年一貫したハウス・スタイルを再現する</x:v>
      </x:c>
      <x:c r="L441" s="165" t="str">
        <x:v>正しい。多数の村、品種、収穫年のワインを組み合わせ、毎年期待される香味と品質を再現する。</x:v>
      </x:c>
      <x:c r="M441" s="165" t="str">
        <x:v>誤り。毎年のロット特性が異なるため、同じ比率ではなく試飲に基づいて調整する。</x:v>
      </x:c>
      <x:c r="N441" s="165" t="str">
        <x:v>誤り。大手メゾンはリザーヴワインを用いて熟成感を加え、収穫年差をならすことが多い。</x:v>
      </x:c>
      <x:c r="O441" s="165" t="str">
        <x:v>誤り。アッサンブラージュはティラージュと瓶内二次発酵の前に行う。</x:v>
      </x:c>
      <x:c r="P441" s="165" t="str">
        <x:v>正しい。多数の村、品種、収穫年のワインを組み合わせ、毎年期待される香味と品質を再現する。</x:v>
      </x:c>
      <x:c r="Q441" s="165" t="str">
        <x:v>商業・価格</x:v>
      </x:c>
      <x:c r="R441" s="165" t="str">
        <x:v>ブレンド</x:v>
      </x:c>
      <x:c r="S441" s="165" t="str">
        <x:v>発泡性ワイン</x:v>
      </x:c>
      <x:c r="T441" s="165" t="str">
        <x:v>フランス</x:v>
      </x:c>
      <x:c r="U441" s="165" t="str">
        <x:v>シャンパーニュ</x:v>
      </x:c>
      <x:c r="V441" s="165"/>
      <x:c r="W441" s="165" t="str">
        <x:v>統合判断</x:v>
      </x:c>
      <x:c r="X441" s="171" t="str">
        <x:v>D3</x:v>
      </x:c>
      <x:c r="Y441" s="165" t="str">
        <x:v>ハウススタイルは毎年同率; NVは当年産のみ; ブレンドはデゴルジュマン後</x:v>
      </x:c>
      <x:c r="Z441" s="171" t="str">
        <x:v>N</x:v>
      </x:c>
      <x:c r="AA441" s="165"/>
      <x:c r="AB441" s="165" t="str">
        <x:v>オリジナル</x:v>
      </x:c>
      <x:c r="AC441" s="165" t="str">
        <x:v>公式Specificationの範囲＋ユーザー作成コーパスの論点を参考に独自作成</x:v>
      </x:c>
      <x:c r="AD441" s="171" t="str">
        <x:v>改稿済み・専門家未承認</x:v>
      </x:c>
      <x:c r="AE441" s="171" t="str">
        <x:v>AI誤答レビュー</x:v>
      </x:c>
      <x:c r="AF441" s="171" t="str">
        <x:v>2026-07-12</x:v>
      </x:c>
      <x:c r="AG441" s="312" t="str">
        <x:v>誤答を同一論点内の典型的誤概念へ置換。900問本体への反映前に専門家確認推奨。</x:v>
      </x:c>
    </x:row>
    <x:row r="442" ht="84" customHeight="1">
      <x:c r="A442" s="311" t="str">
        <x:v>LO3-081</x:v>
      </x:c>
      <x:c r="B442" s="171" t="str">
        <x:v>LO3</x:v>
      </x:c>
      <x:c r="C442" s="165" t="str">
        <x:v>世界の主要な発泡性ワイン</x:v>
      </x:c>
      <x:c r="D442" s="165" t="str">
        <x:v>カバのマカベオ</x:v>
      </x:c>
      <x:c r="E442" s="165" t="str">
        <x:v>カバの伝統的ブレンドでマカベオが主に与えやすい特徴はどれか。</x:v>
      </x:c>
      <x:c r="F442" s="165" t="str">
        <x:v>穏やかなリンゴや花の香りと比較的中立的な果実味</x:v>
      </x:c>
      <x:c r="G442" s="165" t="str">
        <x:v>非常に高いタンニンと黒系果実</x:v>
      </x:c>
      <x:c r="H442" s="165" t="str">
        <x:v>強いマスカット香だけ</x:v>
      </x:c>
      <x:c r="I442" s="165" t="str">
        <x:v>深い赤色</x:v>
      </x:c>
      <x:c r="J442" s="171" t="str">
        <x:v>A</x:v>
      </x:c>
      <x:c r="K442" s="165" t="str">
        <x:v>穏やかなリンゴや花の香りと比較的中立的な果実味</x:v>
      </x:c>
      <x:c r="L442" s="165" t="str">
        <x:v>正しい。マカベオはブレンドの基礎となり、パレリャーダやチャレッロの酸・構造と組み合わせやすい。</x:v>
      </x:c>
      <x:c r="M442" s="165" t="str">
        <x:v>正しい。マカベオはブレンドの基礎となり、パレリャーダやチャレッロの酸・構造と組み合わせやすい。</x:v>
      </x:c>
      <x:c r="N442" s="165" t="str">
        <x:v>誤り。白品種であり、高タンニン赤の特徴ではない。</x:v>
      </x:c>
      <x:c r="O442" s="165" t="str">
        <x:v>誤り。マカベオは一般により穏やかな芳香である。</x:v>
      </x:c>
      <x:c r="P442" s="165" t="str">
        <x:v>誤り。白品種のため赤色を与えない。</x:v>
      </x:c>
      <x:c r="Q442" s="165" t="str">
        <x:v>品種</x:v>
      </x:c>
      <x:c r="R442" s="165" t="str">
        <x:v>カバ</x:v>
      </x:c>
      <x:c r="S442" s="165" t="str">
        <x:v>発泡性ワイン</x:v>
      </x:c>
      <x:c r="T442" s="165" t="str">
        <x:v>スペイン</x:v>
      </x:c>
      <x:c r="U442" s="165" t="str">
        <x:v>カバ</x:v>
      </x:c>
      <x:c r="V442" s="165" t="str">
        <x:v>マカベオ</x:v>
      </x:c>
      <x:c r="W442" s="165" t="str">
        <x:v>知識確認</x:v>
      </x:c>
      <x:c r="X442" s="171" t="str">
        <x:v>D1</x:v>
      </x:c>
      <x:c r="Y442" s="165" t="str">
        <x:v>カバのマカベオに関する別の特徴・要因と混同; カバのマカベオに関する別の特徴・要因と混同; カバのマカベオに関する別の特徴・要因と混同</x:v>
      </x:c>
      <x:c r="Z442" s="171" t="str">
        <x:v>N</x:v>
      </x:c>
      <x:c r="AA442" s="165"/>
      <x:c r="AB442" s="165" t="str">
        <x:v>オリジナル</x:v>
      </x:c>
      <x:c r="AC442" s="165" t="str">
        <x:v>公式Specificationの範囲＋ユーザー作成コーパスの論点を参考に独自作成</x:v>
      </x:c>
      <x:c r="AD442" s="171" t="str">
        <x:v>改稿済み・専門家未承認</x:v>
      </x:c>
      <x:c r="AE442" s="171" t="str">
        <x:v>AI誤答レビュー</x:v>
      </x:c>
      <x:c r="AF442" s="171" t="str">
        <x:v>2026-07-12</x:v>
      </x:c>
      <x:c r="AG442" s="312" t="str">
        <x:v>最終バッチ：有効な誤答を維持し、絶対語・物理的不可能な誤答のみ置換。正答位置は維持。</x:v>
      </x:c>
    </x:row>
    <x:row r="443" ht="84" customHeight="1">
      <x:c r="A443" s="311" t="str">
        <x:v>LO3-082</x:v>
      </x:c>
      <x:c r="B443" s="171" t="str">
        <x:v>LO3</x:v>
      </x:c>
      <x:c r="C443" s="165" t="str">
        <x:v>世界の主要な発泡性ワイン</x:v>
      </x:c>
      <x:c r="D443" s="165" t="str">
        <x:v>カバのパレリャーダ</x:v>
      </x:c>
      <x:c r="E443" s="165" t="str">
        <x:v>カバのブレンドでパレリャーダが高く評価される主な理由はどれか。</x:v>
      </x:c>
      <x:c r="F443" s="165" t="str">
        <x:v>低地の酷暑で高アルコールになるため</x:v>
      </x:c>
      <x:c r="G443" s="165" t="str">
        <x:v>高標高で酸を保ち、繊細な花と柑橘の香りを与える</x:v>
      </x:c>
      <x:c r="H443" s="165" t="str">
        <x:v>黒品種として色とタンニンを与えるため</x:v>
      </x:c>
      <x:c r="I443" s="165" t="str">
        <x:v>フロールを形成するため</x:v>
      </x:c>
      <x:c r="J443" s="171" t="str">
        <x:v>B</x:v>
      </x:c>
      <x:c r="K443" s="165" t="str">
        <x:v>高標高で酸を保ち、繊細な花と柑橘の香りを与える</x:v>
      </x:c>
      <x:c r="L443" s="165" t="str">
        <x:v>正しい。晩熟のパレリャーダは冷涼な高地で最良となり、ブレンドへ軽やかさと香りを加える。</x:v>
      </x:c>
      <x:c r="M443" s="165" t="str">
        <x:v>誤り。パレリャーダは高地で酸と繊細さを保つ。</x:v>
      </x:c>
      <x:c r="N443" s="165" t="str">
        <x:v>正しい。晩熟のパレリャーダは冷涼な高地で最良となり、ブレンドへ軽やかさと香りを加える。</x:v>
      </x:c>
      <x:c r="O443" s="165" t="str">
        <x:v>誤り。白品種である。</x:v>
      </x:c>
      <x:c r="P443" s="165" t="str">
        <x:v>誤り。フロール熟成はカバの製法ではない。</x:v>
      </x:c>
      <x:c r="Q443" s="165" t="str">
        <x:v>品種</x:v>
      </x:c>
      <x:c r="R443" s="165" t="str">
        <x:v>カバ</x:v>
      </x:c>
      <x:c r="S443" s="165" t="str">
        <x:v>発泡性ワイン</x:v>
      </x:c>
      <x:c r="T443" s="165" t="str">
        <x:v>スペイン</x:v>
      </x:c>
      <x:c r="U443" s="165" t="str">
        <x:v>カバ</x:v>
      </x:c>
      <x:c r="V443" s="165" t="str">
        <x:v>パレリャーダ</x:v>
      </x:c>
      <x:c r="W443" s="165" t="str">
        <x:v>因果説明</x:v>
      </x:c>
      <x:c r="X443" s="171" t="str">
        <x:v>D2</x:v>
      </x:c>
      <x:c r="Y443" s="165" t="str">
        <x:v>カバのパレリャーダに関する別の特徴・要因と混同; カバのパレリャーダに関する別の特徴・要因と混同; カバのパレリャーダに関する別の特徴・要因と混同</x:v>
      </x:c>
      <x:c r="Z443" s="171" t="str">
        <x:v>N</x:v>
      </x:c>
      <x:c r="AA443" s="165"/>
      <x:c r="AB443" s="165" t="str">
        <x:v>オリジナル</x:v>
      </x:c>
      <x:c r="AC443" s="165" t="str">
        <x:v>公式Specificationの範囲＋ユーザー作成コーパスの論点を参考に独自作成</x:v>
      </x:c>
      <x:c r="AD443" s="171" t="str">
        <x:v>改稿済み・専門家未承認</x:v>
      </x:c>
      <x:c r="AE443" s="171" t="str">
        <x:v>AI誤答レビュー</x:v>
      </x:c>
      <x:c r="AF443" s="171" t="str">
        <x:v>2026-07-12</x:v>
      </x:c>
      <x:c r="AG443" s="312" t="str">
        <x:v>最終バッチ：有効な誤答を維持し、絶対語・物理的不可能な誤答のみ置換。正答位置は維持。</x:v>
      </x:c>
    </x:row>
    <x:row r="444" ht="84" customHeight="1">
      <x:c r="A444" s="311" t="str">
        <x:v>LO3-083</x:v>
      </x:c>
      <x:c r="B444" s="171" t="str">
        <x:v>LO3</x:v>
      </x:c>
      <x:c r="C444" s="165" t="str">
        <x:v>世界の主要な発泡性ワイン</x:v>
      </x:c>
      <x:c r="D444" s="165" t="str">
        <x:v>カバ・レセルバ</x:v>
      </x:c>
      <x:c r="E444" s="165" t="str">
        <x:v>一般にカバ・レセルバが若いカバより複雑になりやすい主な理由はどれか。</x:v>
      </x:c>
      <x:c r="F444" s="165" t="str">
        <x:v>瓶内で長く澱熟成しても、自己分解由来の風味は減少する</x:v>
      </x:c>
      <x:c r="G444" s="165" t="str">
        <x:v>若いカバよりドザージュ量が多く、甘味が複雑性を作るため</x:v>
      </x:c>
      <x:c r="H444" s="165" t="str">
        <x:v>瓶内でより長く澱熟成し、自己分解由来の風味が増えるため</x:v>
      </x:c>
      <x:c r="I444" s="165" t="str">
        <x:v>後半の圧搾果汁を多く使い、フェノールを増やすため</x:v>
      </x:c>
      <x:c r="J444" s="171" t="str">
        <x:v>C</x:v>
      </x:c>
      <x:c r="K444" s="165" t="str">
        <x:v>瓶内でより長く澱熟成し、自己分解由来の風味が増えるため</x:v>
      </x:c>
      <x:c r="L444" s="165" t="str">
        <x:v>正しい。パン、ビスケット、ナッツの香りと滑らかな泡が発達する。</x:v>
      </x:c>
      <x:c r="M444" s="165" t="str">
        <x:v>誤り。澱熟成が長いほど、一般にパンやビスケットなど自己分解香は増える。</x:v>
      </x:c>
      <x:c r="N444" s="165" t="str">
        <x:v>誤り。熟成区分の複雑性は主に澱熟成で、甘味量だけではない。</x:v>
      </x:c>
      <x:c r="O444" s="165" t="str">
        <x:v>正しい。パン、ビスケット、ナッツの香りと滑らかな泡が発達する。</x:v>
      </x:c>
      <x:c r="P444" s="165" t="str">
        <x:v>誤り。高品質発泡性では繊細な果汁が望まれる。</x:v>
      </x:c>
      <x:c r="Q444" s="165" t="str">
        <x:v>熟成</x:v>
      </x:c>
      <x:c r="R444" s="165" t="str">
        <x:v>カバ</x:v>
      </x:c>
      <x:c r="S444" s="165" t="str">
        <x:v>発泡性ワイン</x:v>
      </x:c>
      <x:c r="T444" s="165" t="str">
        <x:v>スペイン</x:v>
      </x:c>
      <x:c r="U444" s="165" t="str">
        <x:v>カバ</x:v>
      </x:c>
      <x:c r="V444" s="165"/>
      <x:c r="W444" s="165" t="str">
        <x:v>因果説明</x:v>
      </x:c>
      <x:c r="X444" s="171" t="str">
        <x:v>D2</x:v>
      </x:c>
      <x:c r="Y444" s="165" t="str">
        <x:v>長期澱熟成で自己分解香が減る; カバ・レセルバの複雑性は高ドザージュ; レセルバは後半圧搾果汁を多用</x:v>
      </x:c>
      <x:c r="Z444" s="171" t="str">
        <x:v>Y</x:v>
      </x:c>
      <x:c r="AA444" s="165" t="str">
        <x:v>カバの熟成区分・表示規定は改定され得るため、最新教材との最終照合を推奨</x:v>
      </x:c>
      <x:c r="AB444" s="165" t="str">
        <x:v>オリジナル</x:v>
      </x:c>
      <x:c r="AC444" s="165" t="str">
        <x:v>公式Specificationの範囲＋ユーザー作成コーパスの論点を参考に独自作成</x:v>
      </x:c>
      <x:c r="AD444" s="171" t="str">
        <x:v>改稿済み・専門家未承認</x:v>
      </x:c>
      <x:c r="AE444" s="171" t="str">
        <x:v>AI誤答レビュー</x:v>
      </x:c>
      <x:c r="AF444" s="171" t="str">
        <x:v>2026-07-12</x:v>
      </x:c>
      <x:c r="AG444" s="312" t="str">
        <x:v>第4バッチ：同一論点内の典型的誤概念へ置換。正答位置は維持。</x:v>
      </x:c>
    </x:row>
    <x:row r="445" ht="84" customHeight="1">
      <x:c r="A445" s="311" t="str">
        <x:v>LO3-084</x:v>
      </x:c>
      <x:c r="B445" s="171" t="str">
        <x:v>LO3</x:v>
      </x:c>
      <x:c r="C445" s="165" t="str">
        <x:v>世界の主要な発泡性ワイン</x:v>
      </x:c>
      <x:c r="D445" s="165" t="str">
        <x:v>ロゼ・カバ</x:v>
      </x:c>
      <x:c r="E445" s="165" t="str">
        <x:v>ロゼ・カバに色と赤系果実の風味を与える代表的な方法はどれか。</x:v>
      </x:c>
      <x:c r="F445" s="165" t="str">
        <x:v>澱熟成だけで赤色を作る</x:v>
      </x:c>
      <x:c r="G445" s="165" t="str">
        <x:v>白ブドウを長期間酸化して赤くする</x:v>
      </x:c>
      <x:c r="H445" s="165" t="str">
        <x:v>完成した白カバへ人工着色料を加える</x:v>
      </x:c>
      <x:c r="I445" s="165" t="str">
        <x:v>ガルナッチャ、トレパット、ピノ・ノワールなど黒ブドウを短時間果皮浸漬する</x:v>
      </x:c>
      <x:c r="J445" s="171" t="str">
        <x:v>D</x:v>
      </x:c>
      <x:c r="K445" s="165" t="str">
        <x:v>ガルナッチャ、トレパット、ピノ・ノワールなど黒ブドウを短時間果皮浸漬する</x:v>
      </x:c>
      <x:c r="L445" s="165" t="str">
        <x:v>正しい。黒ブドウから必要な色だけを抽出してベースワインを造り、その後伝統的方式で発泡性を得る。</x:v>
      </x:c>
      <x:c r="M445" s="165" t="str">
        <x:v>誤り。澱熟成は香味と泡に影響するが、赤色の供給源ではない。</x:v>
      </x:c>
      <x:c r="N445" s="165" t="str">
        <x:v>誤り。白ブドウの酸化で適切なロゼ色は得られない。</x:v>
      </x:c>
      <x:c r="O445" s="165" t="str">
        <x:v>誤り。ワインの色はブドウ由来の方法で得る。</x:v>
      </x:c>
      <x:c r="P445" s="165" t="str">
        <x:v>正しい。黒ブドウから必要な色だけを抽出してベースワインを造り、その後伝統的方式で発泡性を得る。</x:v>
      </x:c>
      <x:c r="Q445" s="165" t="str">
        <x:v>醸造</x:v>
      </x:c>
      <x:c r="R445" s="165" t="str">
        <x:v>カバ</x:v>
      </x:c>
      <x:c r="S445" s="165" t="str">
        <x:v>ロゼ発泡性ワイン</x:v>
      </x:c>
      <x:c r="T445" s="165" t="str">
        <x:v>スペイン</x:v>
      </x:c>
      <x:c r="U445" s="165" t="str">
        <x:v>カバ</x:v>
      </x:c>
      <x:c r="V445" s="165" t="str">
        <x:v>ガルナッチャ、トレパット、ピノ・ノワール</x:v>
      </x:c>
      <x:c r="W445" s="165" t="str">
        <x:v>知識確認</x:v>
      </x:c>
      <x:c r="X445" s="171" t="str">
        <x:v>D2</x:v>
      </x:c>
      <x:c r="Y445" s="165" t="str">
        <x:v>ロゼ・カバについて関連要因を主因とみなす; ロゼ・カバについて関連要因を主因とみなす; ロゼ・カバについて関連要因を主因とみなす</x:v>
      </x:c>
      <x:c r="Z445" s="171" t="str">
        <x:v>N</x:v>
      </x:c>
      <x:c r="AA445" s="165"/>
      <x:c r="AB445" s="165" t="str">
        <x:v>オリジナル</x:v>
      </x:c>
      <x:c r="AC445" s="165" t="str">
        <x:v>公式Specificationの範囲＋ユーザー作成コーパスの論点を参考に独自作成</x:v>
      </x:c>
      <x:c r="AD445" s="171" t="str">
        <x:v>改稿済み・専門家未承認</x:v>
      </x:c>
      <x:c r="AE445" s="171" t="str">
        <x:v>AI誤答レビュー</x:v>
      </x:c>
      <x:c r="AF445" s="171" t="str">
        <x:v>2026-07-12</x:v>
      </x:c>
      <x:c r="AG445" s="312" t="str">
        <x:v>第5バッチ：使用可能な誤答を維持し、弱い誤答を因果逆転・隣接概念へ置換。正答位置は維持。</x:v>
      </x:c>
    </x:row>
    <x:row r="446" ht="84" customHeight="1">
      <x:c r="A446" s="311" t="str">
        <x:v>LO3-085</x:v>
      </x:c>
      <x:c r="B446" s="171" t="str">
        <x:v>LO3</x:v>
      </x:c>
      <x:c r="C446" s="165" t="str">
        <x:v>世界の主要な発泡性ワイン</x:v>
      </x:c>
      <x:c r="D446" s="165" t="str">
        <x:v>プロセッコDOCGの丘陵</x:v>
      </x:c>
      <x:c r="E446" s="165" t="str">
        <x:v>コネリアーノ・ヴァルドッビアーデネの丘陵産プロセッコが平地の大量生産品より高価格になりやすい主な理由はどれか。</x:v>
      </x:c>
      <x:c r="F446" s="165" t="str">
        <x:v>急斜面で手作業が必要になりやすく、収量を抑えた香りの濃いブドウを得るため</x:v>
      </x:c>
      <x:c r="G446" s="165" t="str">
        <x:v>DOCGでは瓶内二次発酵と長期澱熟成が求められ、在庫費が高い</x:v>
      </x:c>
      <x:c r="H446" s="165" t="str">
        <x:v>丘陵では機械化が容易で、平地より生産費を下げられるため</x:v>
      </x:c>
      <x:c r="I446" s="165" t="str">
        <x:v>DOCGでは伝統的方式と長期澱熟成が義務付けられるため</x:v>
      </x:c>
      <x:c r="J446" s="171" t="str">
        <x:v>A</x:v>
      </x:c>
      <x:c r="K446" s="165" t="str">
        <x:v>急斜面で手作業が必要になりやすく、収量を抑えた香りの濃いブドウを得るため</x:v>
      </x:c>
      <x:c r="L446" s="165" t="str">
        <x:v>正しい。斜面の日照・排水が品質を高める一方、栽培コストと希少性が増す。</x:v>
      </x:c>
      <x:c r="M446" s="165" t="str">
        <x:v>正しい。斜面の日照・排水が品質を高める一方、栽培コストと希少性が増す。</x:v>
      </x:c>
      <x:c r="N446" s="165" t="str">
        <x:v>誤り。コネリアーノ・ヴァルドッビアーデネも主にタンク方式で、価格は急斜面と手作業・原料希少性による。</x:v>
      </x:c>
      <x:c r="O446" s="165" t="str">
        <x:v>誤り。急斜面は機械化が難しく高コスト。</x:v>
      </x:c>
      <x:c r="P446" s="165" t="str">
        <x:v>誤り。プロセッコDOCGも主にタンク方式で、伝統的方式義務ではない。</x:v>
      </x:c>
      <x:c r="Q446" s="165" t="str">
        <x:v>商業・価格</x:v>
      </x:c>
      <x:c r="R446" s="165" t="str">
        <x:v>プロセッコ</x:v>
      </x:c>
      <x:c r="S446" s="165" t="str">
        <x:v>発泡性ワイン</x:v>
      </x:c>
      <x:c r="T446" s="165" t="str">
        <x:v>イタリア</x:v>
      </x:c>
      <x:c r="U446" s="165" t="str">
        <x:v>コネリアーノ・ヴァルドッビアーデネ</x:v>
      </x:c>
      <x:c r="V446" s="165" t="str">
        <x:v>グレーラ</x:v>
      </x:c>
      <x:c r="W446" s="165" t="str">
        <x:v>統合判断</x:v>
      </x:c>
      <x:c r="X446" s="171" t="str">
        <x:v>D3</x:v>
      </x:c>
      <x:c r="Y446" s="165" t="str">
        <x:v>プロセッコDOCGは伝統的方式・長期澱熟成義務; プロセッコ丘陵は機械化容易; DOCGは伝統的方式義務</x:v>
      </x:c>
      <x:c r="Z446" s="171" t="str">
        <x:v>Y</x:v>
      </x:c>
      <x:c r="AA446" s="165" t="str">
        <x:v>プロセッコの現行DOC/DOCG表記・収量規定は最新教材との最終照合を推奨</x:v>
      </x:c>
      <x:c r="AB446" s="165" t="str">
        <x:v>オリジナル</x:v>
      </x:c>
      <x:c r="AC446" s="165" t="str">
        <x:v>公式Specificationの範囲＋ユーザー作成コーパスの論点を参考に独自作成</x:v>
      </x:c>
      <x:c r="AD446" s="171" t="str">
        <x:v>改稿済み・専門家未承認</x:v>
      </x:c>
      <x:c r="AE446" s="171" t="str">
        <x:v>AI誤答レビュー</x:v>
      </x:c>
      <x:c r="AF446" s="171" t="str">
        <x:v>2026-07-12</x:v>
      </x:c>
      <x:c r="AG446" s="312" t="str">
        <x:v>第4バッチ：同一論点内の典型的誤概念へ置換。正答位置は維持。</x:v>
      </x:c>
    </x:row>
    <x:row r="447" ht="84" customHeight="1">
      <x:c r="A447" s="311" t="str">
        <x:v>LO3-086</x:v>
      </x:c>
      <x:c r="B447" s="171" t="str">
        <x:v>LO3</x:v>
      </x:c>
      <x:c r="C447" s="165" t="str">
        <x:v>世界の主要な発泡性ワイン</x:v>
      </x:c>
      <x:c r="D447" s="165" t="str">
        <x:v>グレーラの特徴</x:v>
      </x:c>
      <x:c r="E447" s="165" t="str">
        <x:v>グレーラがタンク方式のプロセッコに適する主な理由はどれか。</x:v>
      </x:c>
      <x:c r="F447" s="165" t="str">
        <x:v>極めて高いタンニンを持つ黒品種だから</x:v>
      </x:c>
      <x:c r="G447" s="165" t="str">
        <x:v>洋梨、リンゴ、花の繊細な一次香を持ち、早い消費に適する</x:v>
      </x:c>
      <x:c r="H447" s="165" t="str">
        <x:v>長期酸化熟成で最良になるから</x:v>
      </x:c>
      <x:c r="I447" s="165" t="str">
        <x:v>貴腐によってのみ香りが出るから</x:v>
      </x:c>
      <x:c r="J447" s="171" t="str">
        <x:v>B</x:v>
      </x:c>
      <x:c r="K447" s="165" t="str">
        <x:v>洋梨、リンゴ、花の繊細な一次香を持ち、早い消費に適する</x:v>
      </x:c>
      <x:c r="L447" s="165" t="str">
        <x:v>正しい。密閉タンクで低温発酵すると、グレーラの軽やかな果実香を保持しながら効率的に発泡性を得られる。</x:v>
      </x:c>
      <x:c r="M447" s="165" t="str">
        <x:v>誤り。グレーラは白品種で、タンニンは低い。</x:v>
      </x:c>
      <x:c r="N447" s="165" t="str">
        <x:v>正しい。密閉タンクで低温発酵すると、グレーラの軽やかな果実香を保持しながら効率的に発泡性を得られる。</x:v>
      </x:c>
      <x:c r="O447" s="165" t="str">
        <x:v>誤り。新鮮な一次香を重視し、若いうちに飲まれる。</x:v>
      </x:c>
      <x:c r="P447" s="165" t="str">
        <x:v>誤り。健全なブドウの品種香が重要である。</x:v>
      </x:c>
      <x:c r="Q447" s="165" t="str">
        <x:v>品種</x:v>
      </x:c>
      <x:c r="R447" s="165" t="str">
        <x:v>プロセッコ</x:v>
      </x:c>
      <x:c r="S447" s="165" t="str">
        <x:v>発泡性ワイン</x:v>
      </x:c>
      <x:c r="T447" s="165" t="str">
        <x:v>イタリア</x:v>
      </x:c>
      <x:c r="U447" s="165" t="str">
        <x:v>プロセッコ</x:v>
      </x:c>
      <x:c r="V447" s="165" t="str">
        <x:v>グレーラ</x:v>
      </x:c>
      <x:c r="W447" s="165" t="str">
        <x:v>因果説明</x:v>
      </x:c>
      <x:c r="X447" s="171" t="str">
        <x:v>D2</x:v>
      </x:c>
      <x:c r="Y447" s="165" t="str">
        <x:v>グレーラの特徴に関する別の特徴・要因と混同; グレーラの特徴に関する別の特徴・要因と混同; グレーラの特徴に関する別の特徴・要因と混同</x:v>
      </x:c>
      <x:c r="Z447" s="171" t="str">
        <x:v>N</x:v>
      </x:c>
      <x:c r="AA447" s="165"/>
      <x:c r="AB447" s="165" t="str">
        <x:v>オリジナル</x:v>
      </x:c>
      <x:c r="AC447" s="165" t="str">
        <x:v>公式Specificationの範囲＋ユーザー作成コーパスの論点を参考に独自作成</x:v>
      </x:c>
      <x:c r="AD447" s="171" t="str">
        <x:v>改稿済み・専門家未承認</x:v>
      </x:c>
      <x:c r="AE447" s="171" t="str">
        <x:v>AI誤答レビュー</x:v>
      </x:c>
      <x:c r="AF447" s="171" t="str">
        <x:v>2026-07-12</x:v>
      </x:c>
      <x:c r="AG447" s="312" t="str">
        <x:v>最終バッチ：有効な誤答を維持し、絶対語・物理的不可能な誤答のみ置換。正答位置は維持。</x:v>
      </x:c>
    </x:row>
    <x:row r="448" ht="84" customHeight="1">
      <x:c r="A448" s="311" t="str">
        <x:v>LO3-087</x:v>
      </x:c>
      <x:c r="B448" s="171" t="str">
        <x:v>LO3</x:v>
      </x:c>
      <x:c r="C448" s="165" t="str">
        <x:v>世界の主要な発泡性ワイン</x:v>
      </x:c>
      <x:c r="D448" s="165" t="str">
        <x:v>エクストラ・ドライ</x:v>
      </x:c>
      <x:c r="E448" s="165" t="str">
        <x:v>プロセッコの「エクストラ・ドライ」が「ブリュット」より一般に甘く感じられる理由はどれか。</x:v>
      </x:c>
      <x:c r="F448" s="165" t="str">
        <x:v>エクストラ・ドライはブリュットより瓶内圧力が低く、甘味が強く感じられる</x:v>
      </x:c>
      <x:c r="G448" s="165" t="str">
        <x:v>エクストラ・ドライはドザージュを行わず、果実由来の糖だけが残るから</x:v>
      </x:c>
      <x:c r="H448" s="165" t="str">
        <x:v>発泡性ワインの甘味表示では、エクストラ・ドライの許容残糖がブリュットより高いから</x:v>
      </x:c>
      <x:c r="I448" s="165" t="str">
        <x:v>ブリュットは二次発酵を辛口まで進めず、糖を多く残すから</x:v>
      </x:c>
      <x:c r="J448" s="171" t="str">
        <x:v>C</x:v>
      </x:c>
      <x:c r="K448" s="165" t="str">
        <x:v>発泡性ワインの甘味表示では、エクストラ・ドライの許容残糖がブリュットより高いから</x:v>
      </x:c>
      <x:c r="L448" s="165" t="str">
        <x:v>正しい。日常語と異なり、Extra DryはBrutよりやや甘い法定区分である。</x:v>
      </x:c>
      <x:c r="M448" s="165" t="str">
        <x:v>誤り。両者の主な違いは残糖区分で、圧力ではない。</x:v>
      </x:c>
      <x:c r="N448" s="165" t="str">
        <x:v>誤り。ドザージュの有無ではなく最終残糖区分である。</x:v>
      </x:c>
      <x:c r="O448" s="165" t="str">
        <x:v>正しい。日常語と異なり、Extra DryはBrutよりやや甘い法定区分である。</x:v>
      </x:c>
      <x:c r="P448" s="165" t="str">
        <x:v>誤り。二次発酵は通常完了し、甘味は主にドザージュで調整される。</x:v>
      </x:c>
      <x:c r="Q448" s="165" t="str">
        <x:v>法律・表示</x:v>
      </x:c>
      <x:c r="R448" s="165" t="str">
        <x:v>甘味区分</x:v>
      </x:c>
      <x:c r="S448" s="165" t="str">
        <x:v>発泡性ワイン</x:v>
      </x:c>
      <x:c r="T448" s="165"/>
      <x:c r="U448" s="165"/>
      <x:c r="V448" s="165"/>
      <x:c r="W448" s="165" t="str">
        <x:v>比較</x:v>
      </x:c>
      <x:c r="X448" s="171" t="str">
        <x:v>D2</x:v>
      </x:c>
      <x:c r="Y448" s="165" t="str">
        <x:v>Extra DryとBrutの差は瓶内圧力; Extra Dryはノン・ドザージュ; Brutは二次発酵を途中停止する</x:v>
      </x:c>
      <x:c r="Z448" s="171" t="str">
        <x:v>Y</x:v>
      </x:c>
      <x:c r="AA448" s="165" t="str">
        <x:v>発泡性ワインの残糖区分は最新EU規定・教材との最終照合を推奨</x:v>
      </x:c>
      <x:c r="AB448" s="165" t="str">
        <x:v>オリジナル</x:v>
      </x:c>
      <x:c r="AC448" s="165" t="str">
        <x:v>公式Specificationの範囲＋ユーザー作成コーパスの論点を参考に独自作成</x:v>
      </x:c>
      <x:c r="AD448" s="171" t="str">
        <x:v>改稿済み・専門家未承認</x:v>
      </x:c>
      <x:c r="AE448" s="171" t="str">
        <x:v>AI誤答レビュー</x:v>
      </x:c>
      <x:c r="AF448" s="171" t="str">
        <x:v>2026-07-12</x:v>
      </x:c>
      <x:c r="AG448" s="312" t="str">
        <x:v>第4バッチ：同一論点内の典型的誤概念へ置換。正答位置は維持。</x:v>
      </x:c>
    </x:row>
    <x:row r="449" ht="84" customHeight="1">
      <x:c r="A449" s="311" t="str">
        <x:v>LO3-088</x:v>
      </x:c>
      <x:c r="B449" s="171" t="str">
        <x:v>LO3</x:v>
      </x:c>
      <x:c r="C449" s="165" t="str">
        <x:v>世界の主要な発泡性ワイン</x:v>
      </x:c>
      <x:c r="D449" s="165" t="str">
        <x:v>モスカート・ダスティとアスティ</x:v>
      </x:c>
      <x:c r="E449" s="165" t="str">
        <x:v>モスカート・ダスティをアスティと比較した一般的な特徴はどれか。</x:v>
      </x:c>
      <x:c r="F449" s="165" t="str">
        <x:v>長期澱熟成の強いトースト香が中心</x:v>
      </x:c>
      <x:c r="G449" s="165" t="str">
        <x:v>黒品種から造る赤の発泡性ワイン</x:v>
      </x:c>
      <x:c r="H449" s="165" t="str">
        <x:v>辛口で高アルコール</x:v>
      </x:c>
      <x:c r="I449" s="165" t="str">
        <x:v>瓶内圧力とアルコールが低く、より軽く微発泡である</x:v>
      </x:c>
      <x:c r="J449" s="171" t="str">
        <x:v>D</x:v>
      </x:c>
      <x:c r="K449" s="165" t="str">
        <x:v>瓶内圧力とアルコールが低く、より軽く微発泡である</x:v>
      </x:c>
      <x:c r="L449" s="165" t="str">
        <x:v>正しい。発酵を早めに止めるため、残糖が高くアルコールが低いまま、穏やかな泡を持つ。</x:v>
      </x:c>
      <x:c r="M449" s="165" t="str">
        <x:v>誤り。品種のブドウ、花、桃の香りを重視する。</x:v>
      </x:c>
      <x:c r="N449" s="165" t="str">
        <x:v>誤り。白品種モスカート・ビアンコから造る。</x:v>
      </x:c>
      <x:c r="O449" s="165" t="str">
        <x:v>誤り。モスカート・ダスティは甘口で低アルコールが典型である。</x:v>
      </x:c>
      <x:c r="P449" s="165" t="str">
        <x:v>正しい。発酵を早めに止めるため、残糖が高くアルコールが低いまま、穏やかな泡を持つ。</x:v>
      </x:c>
      <x:c r="Q449" s="165" t="str">
        <x:v>スタイル</x:v>
      </x:c>
      <x:c r="R449" s="165" t="str">
        <x:v>アスティ</x:v>
      </x:c>
      <x:c r="S449" s="165" t="str">
        <x:v>甘口発泡性ワイン</x:v>
      </x:c>
      <x:c r="T449" s="165" t="str">
        <x:v>イタリア</x:v>
      </x:c>
      <x:c r="U449" s="165" t="str">
        <x:v>ピエモンテ</x:v>
      </x:c>
      <x:c r="V449" s="165" t="str">
        <x:v>モスカート・ビアンコ</x:v>
      </x:c>
      <x:c r="W449" s="165" t="str">
        <x:v>比較</x:v>
      </x:c>
      <x:c r="X449" s="171" t="str">
        <x:v>D2</x:v>
      </x:c>
      <x:c r="Y449" s="165" t="str">
        <x:v>モスカート・ダスティとアスティについて関連要因を主因とみなす; モスカート・ダスティとアスティについて関連要因を主因とみなす; モスカート・ダスティとアスティについて関連要因を主因とみなす</x:v>
      </x:c>
      <x:c r="Z449" s="171" t="str">
        <x:v>N</x:v>
      </x:c>
      <x:c r="AA449" s="165"/>
      <x:c r="AB449" s="165" t="str">
        <x:v>オリジナル</x:v>
      </x:c>
      <x:c r="AC449" s="165" t="str">
        <x:v>公式Specificationの範囲＋ユーザー作成コーパスの論点を参考に独自作成</x:v>
      </x:c>
      <x:c r="AD449" s="171" t="str">
        <x:v>改稿済み・専門家未承認</x:v>
      </x:c>
      <x:c r="AE449" s="171" t="str">
        <x:v>AI誤答レビュー</x:v>
      </x:c>
      <x:c r="AF449" s="171" t="str">
        <x:v>2026-07-12</x:v>
      </x:c>
      <x:c r="AG449" s="312" t="str">
        <x:v>第5バッチ：使用可能な誤答を維持し、弱い誤答を因果逆転・隣接概念へ置換。正答位置は維持。</x:v>
      </x:c>
    </x:row>
    <x:row r="450" ht="84" customHeight="1">
      <x:c r="A450" s="311" t="str">
        <x:v>LO3-089</x:v>
      </x:c>
      <x:c r="B450" s="171" t="str">
        <x:v>LO3</x:v>
      </x:c>
      <x:c r="C450" s="165" t="str">
        <x:v>世界の主要な発泡性ワイン</x:v>
      </x:c>
      <x:c r="D450" s="165" t="str">
        <x:v>アスティの発酵停止</x:v>
      </x:c>
      <x:c r="E450" s="165" t="str">
        <x:v>アスティ方式で低アルコールと高い残糖を得るために行う重要な操作はどれか。</x:v>
      </x:c>
      <x:c r="F450" s="165" t="str">
        <x:v>目的のバランスに達した時点で冷却し、酵母を濾過除去して発酵を止める</x:v>
      </x:c>
      <x:c r="G450" s="165" t="str">
        <x:v>辛口まで発酵した後にアルコールを除き、甘味成分を加える</x:v>
      </x:c>
      <x:c r="H450" s="165" t="str">
        <x:v>辛口まで発酵後、アルコールを除去して残糖を加える</x:v>
      </x:c>
      <x:c r="I450" s="165" t="str">
        <x:v>瓶内二次発酵を行い、デゴルジュマン後に大量の糖を加える</x:v>
      </x:c>
      <x:c r="J450" s="171" t="str">
        <x:v>A</x:v>
      </x:c>
      <x:c r="K450" s="165" t="str">
        <x:v>目的のバランスに達した時点で冷却し、酵母を濾過除去して発酵を止める</x:v>
      </x:c>
      <x:c r="L450" s="165" t="str">
        <x:v>正しい。糖の一部だけを発酵し、残糖、高い芳香、低アルコールを保つ。</x:v>
      </x:c>
      <x:c r="M450" s="165" t="str">
        <x:v>正しい。糖の一部だけを発酵し、残糖、高い芳香、低アルコールを保つ。</x:v>
      </x:c>
      <x:c r="N450" s="165" t="str">
        <x:v>誤り。アスティは発酵途中で冷却・濾過して、自然な残糖と低いアルコールを保つ。</x:v>
      </x:c>
      <x:c r="O450" s="165" t="str">
        <x:v>誤り。アスティは発酵途中で止め、低アルコールと自然残糖を保つ。</x:v>
      </x:c>
      <x:c r="P450" s="165" t="str">
        <x:v>誤り。通常は密閉タンクでの単一発酵で造る。</x:v>
      </x:c>
      <x:c r="Q450" s="165" t="str">
        <x:v>発泡性ワイン製法</x:v>
      </x:c>
      <x:c r="R450" s="165" t="str">
        <x:v>アスティ方式</x:v>
      </x:c>
      <x:c r="S450" s="165" t="str">
        <x:v>甘口発泡性ワイン</x:v>
      </x:c>
      <x:c r="T450" s="165" t="str">
        <x:v>イタリア</x:v>
      </x:c>
      <x:c r="U450" s="165" t="str">
        <x:v>アスティ</x:v>
      </x:c>
      <x:c r="V450" s="165" t="str">
        <x:v>モスカート・ビアンコ</x:v>
      </x:c>
      <x:c r="W450" s="165" t="str">
        <x:v>因果説明</x:v>
      </x:c>
      <x:c r="X450" s="171" t="str">
        <x:v>D2</x:v>
      </x:c>
      <x:c r="Y450" s="165" t="str">
        <x:v>アスティを辛口発酵後の脱アルコール・甘味添加型と混同; アスティは辛口発酵後脱アルコール; アスティを伝統的方式と混同</x:v>
      </x:c>
      <x:c r="Z450" s="171" t="str">
        <x:v>N</x:v>
      </x:c>
      <x:c r="AA450" s="165"/>
      <x:c r="AB450" s="165" t="str">
        <x:v>オリジナル</x:v>
      </x:c>
      <x:c r="AC450" s="165" t="str">
        <x:v>公式Specificationの範囲＋ユーザー作成コーパスの論点を参考に独自作成</x:v>
      </x:c>
      <x:c r="AD450" s="171" t="str">
        <x:v>改稿済み・専門家未承認</x:v>
      </x:c>
      <x:c r="AE450" s="171" t="str">
        <x:v>AI誤答レビュー</x:v>
      </x:c>
      <x:c r="AF450" s="171" t="str">
        <x:v>2026-07-12</x:v>
      </x:c>
      <x:c r="AG450" s="312" t="str">
        <x:v>第4バッチ：同一論点内の典型的誤概念へ置換。正答位置は維持。</x:v>
      </x:c>
    </x:row>
    <x:row r="451" ht="84" customHeight="1">
      <x:c r="A451" s="311" t="str">
        <x:v>LO3-090</x:v>
      </x:c>
      <x:c r="B451" s="171" t="str">
        <x:v>LO3</x:v>
      </x:c>
      <x:c r="C451" s="165" t="str">
        <x:v>世界の主要な発泡性ワイン</x:v>
      </x:c>
      <x:c r="D451" s="165" t="str">
        <x:v>クレマン・ダルザス</x:v>
      </x:c>
      <x:c r="E451" s="165" t="str">
        <x:v>クレマン・ダルザスに多く用いられ、軽やかなリンゴと花の香りを与える品種はどれか。</x:v>
      </x:c>
      <x:c r="F451" s="165" t="str">
        <x:v>ネッビオーロ</x:v>
      </x:c>
      <x:c r="G451" s="165" t="str">
        <x:v>ピノ・ブランとオーセロワ</x:v>
      </x:c>
      <x:c r="H451" s="165" t="str">
        <x:v>トウリガ・ナシオナル</x:v>
      </x:c>
      <x:c r="I451" s="165" t="str">
        <x:v>パロミノ</x:v>
      </x:c>
      <x:c r="J451" s="171" t="str">
        <x:v>B</x:v>
      </x:c>
      <x:c r="K451" s="165" t="str">
        <x:v>ピノ・ブランとオーセロワ</x:v>
      </x:c>
      <x:c r="L451" s="165" t="str">
        <x:v>正しい。アルザスの比較的乾燥した気候で栽培され、伝統的方式のフレッシュで果実味のある発泡性ワインに適する。</x:v>
      </x:c>
      <x:c r="M451" s="165" t="str">
        <x:v>誤り。ネッビオーロはピエモンテの高タンニン赤品種である。</x:v>
      </x:c>
      <x:c r="N451" s="165" t="str">
        <x:v>正しい。アルザスの比較的乾燥した気候で栽培され、伝統的方式のフレッシュで果実味のある発泡性ワインに適する。</x:v>
      </x:c>
      <x:c r="O451" s="165" t="str">
        <x:v>誤り。ポートやドウロ赤の主要黒品種である。</x:v>
      </x:c>
      <x:c r="P451" s="165" t="str">
        <x:v>誤り。シェリーの主要白品種である。</x:v>
      </x:c>
      <x:c r="Q451" s="165" t="str">
        <x:v>品種</x:v>
      </x:c>
      <x:c r="R451" s="165" t="str">
        <x:v>クレマン</x:v>
      </x:c>
      <x:c r="S451" s="165" t="str">
        <x:v>発泡性ワイン</x:v>
      </x:c>
      <x:c r="T451" s="165" t="str">
        <x:v>フランス</x:v>
      </x:c>
      <x:c r="U451" s="165" t="str">
        <x:v>アルザス</x:v>
      </x:c>
      <x:c r="V451" s="165" t="str">
        <x:v>ピノ・ブラン、オーセロワ</x:v>
      </x:c>
      <x:c r="W451" s="165" t="str">
        <x:v>知識確認</x:v>
      </x:c>
      <x:c r="X451" s="171" t="str">
        <x:v>D1</x:v>
      </x:c>
      <x:c r="Y451" s="165" t="str">
        <x:v>クレマン・ダルザスに関する別の特徴・要因と混同; クレマン・ダルザスに関する別の特徴・要因と混同; クレマン・ダルザスに関する別の特徴・要因と混同</x:v>
      </x:c>
      <x:c r="Z451" s="171" t="str">
        <x:v>N</x:v>
      </x:c>
      <x:c r="AA451" s="165"/>
      <x:c r="AB451" s="165" t="str">
        <x:v>オリジナル</x:v>
      </x:c>
      <x:c r="AC451" s="165" t="str">
        <x:v>公式Specificationの範囲＋ユーザー作成コーパスの論点を参考に独自作成</x:v>
      </x:c>
      <x:c r="AD451" s="171" t="str">
        <x:v>改稿済み・専門家未承認</x:v>
      </x:c>
      <x:c r="AE451" s="171" t="str">
        <x:v>AI誤答レビュー</x:v>
      </x:c>
      <x:c r="AF451" s="171" t="str">
        <x:v>2026-07-12</x:v>
      </x:c>
      <x:c r="AG451" s="312" t="str">
        <x:v>最終バッチ：有効な誤答を維持し、絶対語・物理的不可能な誤答のみ置換。正答位置は維持。</x:v>
      </x:c>
    </x:row>
    <x:row r="452" ht="84" customHeight="1">
      <x:c r="A452" s="311" t="str">
        <x:v>LO3-091</x:v>
      </x:c>
      <x:c r="B452" s="171" t="str">
        <x:v>LO3</x:v>
      </x:c>
      <x:c r="C452" s="165" t="str">
        <x:v>世界の主要な発泡性ワイン</x:v>
      </x:c>
      <x:c r="D452" s="165" t="str">
        <x:v>クレマン・ド・ロワール</x:v>
      </x:c>
      <x:c r="E452" s="165" t="str">
        <x:v>クレマン・ド・ロワールでシュナン・ブランが重要な理由はどれか。</x:v>
      </x:c>
      <x:c r="F452" s="165" t="str">
        <x:v>非常に低い酸で、泡を保持できないから</x:v>
      </x:c>
      <x:c r="G452" s="165" t="str">
        <x:v>黒品種で深い色を与えるから</x:v>
      </x:c>
      <x:c r="H452" s="165" t="str">
        <x:v>高い酸とリンゴ・カリンの風味を持ち、瓶内熟成にも耐えられる</x:v>
      </x:c>
      <x:c r="I452" s="165" t="str">
        <x:v>酒精強化に必須だから</x:v>
      </x:c>
      <x:c r="J452" s="171" t="str">
        <x:v>C</x:v>
      </x:c>
      <x:c r="K452" s="165" t="str">
        <x:v>高い酸とリンゴ・カリンの風味を持ち、瓶内熟成にも耐えられる</x:v>
      </x:c>
      <x:c r="L452" s="165" t="str">
        <x:v>正しい。ロワールの冷涼な条件で酸を保持し、伝統的方式で新鮮さと熟成由来の複雑性を両立する。</x:v>
      </x:c>
      <x:c r="M452" s="165" t="str">
        <x:v>誤り。シュナン・ブランは高い酸が特徴である。</x:v>
      </x:c>
      <x:c r="N452" s="165" t="str">
        <x:v>誤り。シュナン・ブランは白品種である。</x:v>
      </x:c>
      <x:c r="O452" s="165" t="str">
        <x:v>正しい。ロワールの冷涼な条件で酸を保持し、伝統的方式で新鮮さと熟成由来の複雑性を両立する。</x:v>
      </x:c>
      <x:c r="P452" s="165" t="str">
        <x:v>誤り。クレマンは酒精強化ワインではない。</x:v>
      </x:c>
      <x:c r="Q452" s="165" t="str">
        <x:v>品種</x:v>
      </x:c>
      <x:c r="R452" s="165" t="str">
        <x:v>クレマン</x:v>
      </x:c>
      <x:c r="S452" s="165" t="str">
        <x:v>発泡性ワイン</x:v>
      </x:c>
      <x:c r="T452" s="165" t="str">
        <x:v>フランス</x:v>
      </x:c>
      <x:c r="U452" s="165" t="str">
        <x:v>ロワール</x:v>
      </x:c>
      <x:c r="V452" s="165" t="str">
        <x:v>シュナン・ブラン</x:v>
      </x:c>
      <x:c r="W452" s="165" t="str">
        <x:v>因果説明</x:v>
      </x:c>
      <x:c r="X452" s="171" t="str">
        <x:v>D2</x:v>
      </x:c>
      <x:c r="Y452" s="165" t="str">
        <x:v>クレマン・ド・ロワールに関する別の特徴・要因と混同; クレマン・ド・ロワールに関する別の特徴・要因と混同; クレマン・ド・ロワールに関する別の特徴・要因と混同</x:v>
      </x:c>
      <x:c r="Z452" s="171" t="str">
        <x:v>N</x:v>
      </x:c>
      <x:c r="AA452" s="165"/>
      <x:c r="AB452" s="165" t="str">
        <x:v>オリジナル</x:v>
      </x:c>
      <x:c r="AC452" s="165" t="str">
        <x:v>公式Specificationの範囲＋ユーザー作成コーパスの論点を参考に独自作成</x:v>
      </x:c>
      <x:c r="AD452" s="171" t="str">
        <x:v>改稿済み・専門家未承認</x:v>
      </x:c>
      <x:c r="AE452" s="171" t="str">
        <x:v>AI誤答レビュー</x:v>
      </x:c>
      <x:c r="AF452" s="171" t="str">
        <x:v>2026-07-12</x:v>
      </x:c>
      <x:c r="AG452" s="312" t="str">
        <x:v>最終バッチ：有効な誤答を維持し、絶対語・物理的不可能な誤答のみ置換。正答位置は維持。</x:v>
      </x:c>
    </x:row>
    <x:row r="453" ht="84" customHeight="1">
      <x:c r="A453" s="311" t="str">
        <x:v>LO3-092</x:v>
      </x:c>
      <x:c r="B453" s="171" t="str">
        <x:v>LO3</x:v>
      </x:c>
      <x:c r="C453" s="165" t="str">
        <x:v>世界の主要な発泡性ワイン</x:v>
      </x:c>
      <x:c r="D453" s="165" t="str">
        <x:v>クレマン・ド・ブルゴーニュ</x:v>
      </x:c>
      <x:c r="E453" s="165" t="str">
        <x:v>クレマン・ド・ブルゴーニュの主要品種として最も適切なものはどれか。</x:v>
      </x:c>
      <x:c r="F453" s="165" t="str">
        <x:v>グレーラとモスカート</x:v>
      </x:c>
      <x:c r="G453" s="165" t="str">
        <x:v>パロミノとペドロ・ヒメネス</x:v>
      </x:c>
      <x:c r="H453" s="165" t="str">
        <x:v>トウリガ・ナシオナルとティンタ・ロリス</x:v>
      </x:c>
      <x:c r="I453" s="165" t="str">
        <x:v>シャルドネとピノ・ノワール</x:v>
      </x:c>
      <x:c r="J453" s="171" t="str">
        <x:v>D</x:v>
      </x:c>
      <x:c r="K453" s="165" t="str">
        <x:v>シャルドネとピノ・ノワール</x:v>
      </x:c>
      <x:c r="L453" s="165" t="str">
        <x:v>正しい。ブルゴーニュの主要品種を用い、伝統的方式で柑橘、リンゴ、赤系果実と澱由来の風味を持つ。</x:v>
      </x:c>
      <x:c r="M453" s="165" t="str">
        <x:v>誤り。それぞれプロセッコとアスティの主要品種である。</x:v>
      </x:c>
      <x:c r="N453" s="165" t="str">
        <x:v>誤り。シェリーの主要品種である。</x:v>
      </x:c>
      <x:c r="O453" s="165" t="str">
        <x:v>誤り。ポートとドウロ赤の主要品種である。</x:v>
      </x:c>
      <x:c r="P453" s="165" t="str">
        <x:v>正しい。ブルゴーニュの主要品種を用い、伝統的方式で柑橘、リンゴ、赤系果実と澱由来の風味を持つ。</x:v>
      </x:c>
      <x:c r="Q453" s="165" t="str">
        <x:v>品種</x:v>
      </x:c>
      <x:c r="R453" s="165" t="str">
        <x:v>クレマン</x:v>
      </x:c>
      <x:c r="S453" s="165" t="str">
        <x:v>発泡性ワイン</x:v>
      </x:c>
      <x:c r="T453" s="165" t="str">
        <x:v>フランス</x:v>
      </x:c>
      <x:c r="U453" s="165" t="str">
        <x:v>ブルゴーニュ</x:v>
      </x:c>
      <x:c r="V453" s="165" t="str">
        <x:v>シャルドネ、ピノ・ノワール</x:v>
      </x:c>
      <x:c r="W453" s="165" t="str">
        <x:v>知識確認</x:v>
      </x:c>
      <x:c r="X453" s="171" t="str">
        <x:v>D1</x:v>
      </x:c>
      <x:c r="Y453" s="165" t="str">
        <x:v>クレマン・ド・ブルゴーニュに関する別の特徴・要因と混同; クレマン・ド・ブルゴーニュに関する別の特徴・要因と混同; クレマン・ド・ブルゴーニュに関する別の特徴・要因と混同</x:v>
      </x:c>
      <x:c r="Z453" s="171" t="str">
        <x:v>N</x:v>
      </x:c>
      <x:c r="AA453" s="165"/>
      <x:c r="AB453" s="165" t="str">
        <x:v>オリジナル</x:v>
      </x:c>
      <x:c r="AC453" s="165" t="str">
        <x:v>公式Specificationの範囲＋ユーザー作成コーパスの論点を参考に独自作成</x:v>
      </x:c>
      <x:c r="AD453" s="171" t="str">
        <x:v>改稿済み・専門家未承認</x:v>
      </x:c>
      <x:c r="AE453" s="171" t="str">
        <x:v>AI誤答レビュー</x:v>
      </x:c>
      <x:c r="AF453" s="171" t="str">
        <x:v>2026-07-12</x:v>
      </x:c>
      <x:c r="AG453" s="312" t="str">
        <x:v>最終バッチ：有効な誤答を維持し、絶対語・物理的不可能な誤答のみ置換。正答位置は維持。</x:v>
      </x:c>
    </x:row>
    <x:row r="454" ht="84" customHeight="1">
      <x:c r="A454" s="311" t="str">
        <x:v>LO3-093</x:v>
      </x:c>
      <x:c r="B454" s="171" t="str">
        <x:v>LO3</x:v>
      </x:c>
      <x:c r="C454" s="165" t="str">
        <x:v>世界の主要な発泡性ワイン</x:v>
      </x:c>
      <x:c r="D454" s="165" t="str">
        <x:v>ブランケット・ド・リムー</x:v>
      </x:c>
      <x:c r="E454" s="165" t="str">
        <x:v>ブランケット・ド・リムーの伝統的な主要品種はどれか。</x:v>
      </x:c>
      <x:c r="F454" s="165" t="str">
        <x:v>モーザック</x:v>
      </x:c>
      <x:c r="G454" s="165" t="str">
        <x:v>グレーラ</x:v>
      </x:c>
      <x:c r="H454" s="165" t="str">
        <x:v>ネッビオーロ</x:v>
      </x:c>
      <x:c r="I454" s="165" t="str">
        <x:v>トロンテス</x:v>
      </x:c>
      <x:c r="J454" s="171" t="str">
        <x:v>A</x:v>
      </x:c>
      <x:c r="K454" s="165" t="str">
        <x:v>モーザック</x:v>
      </x:c>
      <x:c r="L454" s="165" t="str">
        <x:v>正しい。モーザックは青リンゴや乾燥ハーブを思わせる風味を与え、伝統的方式の発泡性ワインに用いられる。</x:v>
      </x:c>
      <x:c r="M454" s="165" t="str">
        <x:v>正しい。モーザックは青リンゴや乾燥ハーブを思わせる風味を与え、伝統的方式の発泡性ワインに用いられる。</x:v>
      </x:c>
      <x:c r="N454" s="165" t="str">
        <x:v>誤り。グレーラはプロセッコの主要品種である。</x:v>
      </x:c>
      <x:c r="O454" s="165" t="str">
        <x:v>誤り。ネッビオーロはピエモンテの赤品種である。</x:v>
      </x:c>
      <x:c r="P454" s="165" t="str">
        <x:v>誤り。トロンテスはアルゼンチンの芳香性白品種である。</x:v>
      </x:c>
      <x:c r="Q454" s="165" t="str">
        <x:v>品種</x:v>
      </x:c>
      <x:c r="R454" s="165" t="str">
        <x:v>リムー</x:v>
      </x:c>
      <x:c r="S454" s="165" t="str">
        <x:v>発泡性ワイン</x:v>
      </x:c>
      <x:c r="T454" s="165" t="str">
        <x:v>フランス</x:v>
      </x:c>
      <x:c r="U454" s="165" t="str">
        <x:v>リムー</x:v>
      </x:c>
      <x:c r="V454" s="165" t="str">
        <x:v>モーザック</x:v>
      </x:c>
      <x:c r="W454" s="165" t="str">
        <x:v>知識確認</x:v>
      </x:c>
      <x:c r="X454" s="171" t="str">
        <x:v>D1</x:v>
      </x:c>
      <x:c r="Y454" s="165" t="str">
        <x:v>ブランケット・ド・リムーに関する別の特徴・要因と混同; ブランケット・ド・リムーに関する別の特徴・要因と混同; ブランケット・ド・リムーに関する別の特徴・要因と混同</x:v>
      </x:c>
      <x:c r="Z454" s="171" t="str">
        <x:v>N</x:v>
      </x:c>
      <x:c r="AA454" s="165"/>
      <x:c r="AB454" s="165" t="str">
        <x:v>オリジナル</x:v>
      </x:c>
      <x:c r="AC454" s="165" t="str">
        <x:v>公式Specificationの範囲＋ユーザー作成コーパスの論点を参考に独自作成</x:v>
      </x:c>
      <x:c r="AD454" s="171" t="str">
        <x:v>改稿済み・専門家未承認</x:v>
      </x:c>
      <x:c r="AE454" s="171" t="str">
        <x:v>AI誤答レビュー</x:v>
      </x:c>
      <x:c r="AF454" s="171" t="str">
        <x:v>2026-07-12</x:v>
      </x:c>
      <x:c r="AG454" s="312" t="str">
        <x:v>最終バッチ：有効な誤答を維持し、絶対語・物理的不可能な誤答のみ置換。正答位置は維持。</x:v>
      </x:c>
    </x:row>
    <x:row r="455" ht="84" customHeight="1">
      <x:c r="A455" s="311" t="str">
        <x:v>LO3-094</x:v>
      </x:c>
      <x:c r="B455" s="171" t="str">
        <x:v>LO3</x:v>
      </x:c>
      <x:c r="C455" s="165" t="str">
        <x:v>世界の主要な発泡性ワイン</x:v>
      </x:c>
      <x:c r="D455" s="165" t="str">
        <x:v>フランチャコルタ</x:v>
      </x:c>
      <x:c r="E455" s="165" t="str">
        <x:v>フランチャコルタの一般的な生産方法とスタイルはどれか。</x:v>
      </x:c>
      <x:c r="F455" s="165" t="str">
        <x:v>シャルドネやピノ・ネロを用いるタンク方式で、長い澱熟成を行う高品質発泡性ワイン</x:v>
      </x:c>
      <x:c r="G455" s="165" t="str">
        <x:v>シャルドネやピノ・ネロを用いる伝統的方式で、長い澱熟成を行う高品質発泡性ワイン</x:v>
      </x:c>
      <x:c r="H455" s="165" t="str">
        <x:v>グレーラ主体のタンク方式で、洋梨と花の一次香を重視する</x:v>
      </x:c>
      <x:c r="I455" s="165" t="str">
        <x:v>モスカート主体で発酵途中に止める低アルコール甘口</x:v>
      </x:c>
      <x:c r="J455" s="171" t="str">
        <x:v>B</x:v>
      </x:c>
      <x:c r="K455" s="165" t="str">
        <x:v>シャルドネやピノ・ネロを用いる伝統的方式で、長い澱熟成を行う高品質発泡性ワイン</x:v>
      </x:c>
      <x:c r="L455" s="165" t="str">
        <x:v>正しい。北イタリアで瓶内二次発酵と長期熟成により複雑性を高める。</x:v>
      </x:c>
      <x:c r="M455" s="165" t="str">
        <x:v>誤り。正答では「伝統的方式」ことが重要であり、この選択肢は「タンク方式」へ置き換えて関係を逆にしている。</x:v>
      </x:c>
      <x:c r="N455" s="165" t="str">
        <x:v>正しい。北イタリアで瓶内二次発酵と長期熟成により複雑性を高める。</x:v>
      </x:c>
      <x:c r="O455" s="165" t="str">
        <x:v>誤り。これはプロセッコに近い。</x:v>
      </x:c>
      <x:c r="P455" s="165" t="str">
        <x:v>誤り。これはアスティに近い。</x:v>
      </x:c>
      <x:c r="Q455" s="165" t="str">
        <x:v>産地</x:v>
      </x:c>
      <x:c r="R455" s="165" t="str">
        <x:v>イタリア発泡性</x:v>
      </x:c>
      <x:c r="S455" s="165" t="str">
        <x:v>発泡性ワイン</x:v>
      </x:c>
      <x:c r="T455" s="165" t="str">
        <x:v>イタリア</x:v>
      </x:c>
      <x:c r="U455" s="165" t="str">
        <x:v>フランチャコルタ</x:v>
      </x:c>
      <x:c r="V455" s="165" t="str">
        <x:v>シャルドネ、ピノ・ネロ</x:v>
      </x:c>
      <x:c r="W455" s="165" t="str">
        <x:v>比較</x:v>
      </x:c>
      <x:c r="X455" s="171" t="str">
        <x:v>D2</x:v>
      </x:c>
      <x:c r="Y455" s="165" t="str">
        <x:v>「伝統的方式」と「タンク方式」の関係を逆転; フランチャコルタをプロセッコと混同; フランチャコルタをアスティと混同</x:v>
      </x:c>
      <x:c r="Z455" s="171" t="str">
        <x:v>Y</x:v>
      </x:c>
      <x:c r="AA455" s="165" t="str">
        <x:v>WSET Level 3現行Specificationでの扱いと最新産地規定を最終確認推奨</x:v>
      </x:c>
      <x:c r="AB455" s="165" t="str">
        <x:v>オリジナル</x:v>
      </x:c>
      <x:c r="AC455" s="165" t="str">
        <x:v>公式Specificationの範囲＋ユーザー作成コーパスの論点を参考に独自作成</x:v>
      </x:c>
      <x:c r="AD455" s="171" t="str">
        <x:v>改稿済み・専門家未承認</x:v>
      </x:c>
      <x:c r="AE455" s="171" t="str">
        <x:v>AI誤答レビュー</x:v>
      </x:c>
      <x:c r="AF455" s="171" t="str">
        <x:v>2026-07-12</x:v>
      </x:c>
      <x:c r="AG455" s="312" t="str">
        <x:v>第4バッチ：同一論点内の典型的誤概念へ置換。正答位置は維持。</x:v>
      </x:c>
    </x:row>
    <x:row r="456" ht="84" customHeight="1">
      <x:c r="A456" s="311" t="str">
        <x:v>LO3-095</x:v>
      </x:c>
      <x:c r="B456" s="171" t="str">
        <x:v>LO3</x:v>
      </x:c>
      <x:c r="C456" s="165" t="str">
        <x:v>世界の主要な発泡性ワイン</x:v>
      </x:c>
      <x:c r="D456" s="165" t="str">
        <x:v>トレントDOC</x:v>
      </x:c>
      <x:c r="E456" s="165" t="str">
        <x:v>トレントDOCの発泡性ワインが、高い酸を持ちやすい主な理由はどれか。</x:v>
      </x:c>
      <x:c r="F456" s="165" t="str">
        <x:v>南向きの低地で糖度を上げ、発酵後に酸を添加するため</x:v>
      </x:c>
      <x:c r="G456" s="165" t="str">
        <x:v>アルプスの高標高畑で夜間が冷涼になり、シャルドネやピノ・ノワールの酸が保持される</x:v>
      </x:c>
      <x:c r="H456" s="165" t="str">
        <x:v>湖の湿度で貴腐を生じさせ、酸を濃縮するため</x:v>
      </x:c>
      <x:c r="I456" s="165" t="str">
        <x:v>早期酒精強化によって発酵を止め、酸を残すため</x:v>
      </x:c>
      <x:c r="J456" s="171" t="str">
        <x:v>C</x:v>
      </x:c>
      <x:c r="K456" s="165" t="str">
        <x:v>湖の湿度で貴腐を生じさせ、酸を濃縮するため</x:v>
      </x:c>
      <x:c r="L456" s="165" t="str">
        <x:v>正しい。貴腐は伝統的方式用ベースワインの典型的な酸保持手段ではない。</x:v>
      </x:c>
      <x:c r="M456" s="165" t="str">
        <x:v>誤り。高標高の冷涼さが自然な酸保持の主因で、後からの酸添加だけではない。</x:v>
      </x:c>
      <x:c r="N456" s="165" t="str">
        <x:v>誤り。強い日照と夜間冷却を両立し、高酸のベースワインを得る。</x:v>
      </x:c>
      <x:c r="O456" s="165" t="str">
        <x:v>正しい。貴腐は伝統的方式用ベースワインの典型的な酸保持手段ではない。</x:v>
      </x:c>
      <x:c r="P456" s="165" t="str">
        <x:v>誤り。酒精強化ワインではなく、二次発酵で造る発泡性ワインである。</x:v>
      </x:c>
      <x:c r="Q456" s="165" t="str">
        <x:v>自然要因</x:v>
      </x:c>
      <x:c r="R456" s="165" t="str">
        <x:v>イタリア発泡性</x:v>
      </x:c>
      <x:c r="S456" s="165" t="str">
        <x:v>発泡性ワイン</x:v>
      </x:c>
      <x:c r="T456" s="165" t="str">
        <x:v>イタリア</x:v>
      </x:c>
      <x:c r="U456" s="165" t="str">
        <x:v>トレントDOC</x:v>
      </x:c>
      <x:c r="V456" s="165" t="str">
        <x:v>シャルドネ、ピノ・ノワール</x:v>
      </x:c>
      <x:c r="W456" s="165" t="str">
        <x:v>因果説明</x:v>
      </x:c>
      <x:c r="X456" s="171" t="str">
        <x:v>D2</x:v>
      </x:c>
      <x:c r="Y456" s="165" t="str">
        <x:v>トレントは低地高糖度＋酸添加で高酸; 早期酒精強化で酸を残す</x:v>
      </x:c>
      <x:c r="Z456" s="171" t="str">
        <x:v>Y</x:v>
      </x:c>
      <x:c r="AA456" s="165" t="str">
        <x:v>WSET Level 3現行Specificationでの扱いと最新産地規定を最終確認推奨</x:v>
      </x:c>
      <x:c r="AB456" s="165" t="str">
        <x:v>オリジナル</x:v>
      </x:c>
      <x:c r="AC456" s="165" t="str">
        <x:v>公式Specificationの範囲＋ユーザー作成コーパスの論点を参考に独自作成</x:v>
      </x:c>
      <x:c r="AD456" s="171" t="str">
        <x:v>改稿済み・専門家未承認</x:v>
      </x:c>
      <x:c r="AE456" s="171" t="str">
        <x:v>AI誤答レビュー</x:v>
      </x:c>
      <x:c r="AF456" s="171" t="str">
        <x:v>2026-07-12</x:v>
      </x:c>
      <x:c r="AG456" s="312" t="str">
        <x:v>第3バッチ：同一論点内の典型的誤概念へ置換。正答位置は維持。</x:v>
      </x:c>
    </x:row>
    <x:row r="457" ht="84" customHeight="1">
      <x:c r="A457" s="311" t="str">
        <x:v>LO3-096</x:v>
      </x:c>
      <x:c r="B457" s="171" t="str">
        <x:v>LO3</x:v>
      </x:c>
      <x:c r="C457" s="165" t="str">
        <x:v>世界の主要な発泡性ワイン</x:v>
      </x:c>
      <x:c r="D457" s="165" t="str">
        <x:v>リースリング・ゼクト</x:v>
      </x:c>
      <x:c r="E457" s="165" t="str">
        <x:v>高品質なリースリング・ゼクトに典型的な特徴はどれか。</x:v>
      </x:c>
      <x:c r="F457" s="165" t="str">
        <x:v>深い色と高いタンニン</x:v>
      </x:c>
      <x:c r="G457" s="165" t="str">
        <x:v>強い酸化香と高い残糖だけ</x:v>
      </x:c>
      <x:c r="H457" s="165" t="str">
        <x:v>高アルコールの酒精強化ワイン</x:v>
      </x:c>
      <x:c r="I457" s="165" t="str">
        <x:v>高い酸、柑橘や核果の香り、軽快なボディと明瞭な品種香</x:v>
      </x:c>
      <x:c r="J457" s="171" t="str">
        <x:v>D</x:v>
      </x:c>
      <x:c r="K457" s="165" t="str">
        <x:v>高い酸、柑橘や核果の香り、軽快なボディと明瞭な品種香</x:v>
      </x:c>
      <x:c r="L457" s="165" t="str">
        <x:v>正しい。リースリングの芳香と酸を保つため、比較的冷涼な産地のベースワインを用い、伝統的方式またはタンク方式で発泡化する。</x:v>
      </x:c>
      <x:c r="M457" s="165" t="str">
        <x:v>誤り。リースリングは白品種で、タンニンは低い。</x:v>
      </x:c>
      <x:c r="N457" s="165" t="str">
        <x:v>誤り。スタイルは辛口から甘口まであり、品種香と酸が中心である。</x:v>
      </x:c>
      <x:c r="O457" s="165" t="str">
        <x:v>誤り。ゼクトは酒精強化ワインではない。</x:v>
      </x:c>
      <x:c r="P457" s="165" t="str">
        <x:v>正しい。リースリングの芳香と酸を保つため、比較的冷涼な産地のベースワインを用い、伝統的方式またはタンク方式で発泡化する。</x:v>
      </x:c>
      <x:c r="Q457" s="165" t="str">
        <x:v>品種</x:v>
      </x:c>
      <x:c r="R457" s="165" t="str">
        <x:v>ゼクト</x:v>
      </x:c>
      <x:c r="S457" s="165" t="str">
        <x:v>発泡性ワイン</x:v>
      </x:c>
      <x:c r="T457" s="165" t="str">
        <x:v>ドイツ</x:v>
      </x:c>
      <x:c r="U457" s="165" t="str">
        <x:v>ドイツ</x:v>
      </x:c>
      <x:c r="V457" s="165" t="str">
        <x:v>リースリング</x:v>
      </x:c>
      <x:c r="W457" s="165" t="str">
        <x:v>知識確認</x:v>
      </x:c>
      <x:c r="X457" s="171" t="str">
        <x:v>D2</x:v>
      </x:c>
      <x:c r="Y457" s="165" t="str">
        <x:v>リースリング・ゼクトに関する別の特徴・要因と混同; リースリング・ゼクトに関する別の特徴・要因と混同; リースリング・ゼクトに関する別の特徴・要因と混同</x:v>
      </x:c>
      <x:c r="Z457" s="171" t="str">
        <x:v>N</x:v>
      </x:c>
      <x:c r="AA457" s="165"/>
      <x:c r="AB457" s="165" t="str">
        <x:v>オリジナル</x:v>
      </x:c>
      <x:c r="AC457" s="165" t="str">
        <x:v>公式Specificationの範囲＋ユーザー作成コーパスの論点を参考に独自作成</x:v>
      </x:c>
      <x:c r="AD457" s="171" t="str">
        <x:v>改稿済み・専門家未承認</x:v>
      </x:c>
      <x:c r="AE457" s="171" t="str">
        <x:v>AI誤答レビュー</x:v>
      </x:c>
      <x:c r="AF457" s="171" t="str">
        <x:v>2026-07-12</x:v>
      </x:c>
      <x:c r="AG457" s="312" t="str">
        <x:v>最終バッチ：有効な誤答を維持し、絶対語・物理的不可能な誤答のみ置換。正答位置は維持。</x:v>
      </x:c>
    </x:row>
    <x:row r="458" ht="84" customHeight="1">
      <x:c r="A458" s="311" t="str">
        <x:v>LO3-097</x:v>
      </x:c>
      <x:c r="B458" s="171" t="str">
        <x:v>LO3</x:v>
      </x:c>
      <x:c r="C458" s="165" t="str">
        <x:v>世界の主要な発泡性ワイン</x:v>
      </x:c>
      <x:c r="D458" s="165" t="str">
        <x:v>ヴィンツァーゼクト</x:v>
      </x:c>
      <x:c r="E458" s="165" t="str">
        <x:v>ヴィンツァーゼクトが、一般的な大量生産ゼクトより産地と品種の個性を表しやすい主な理由はどれか。</x:v>
      </x:c>
      <x:c r="F458" s="165" t="str">
        <x:v>生産者自身のブドウを用い、単一品種や産地を明示して伝統的方式で造ることが多い</x:v>
      </x:c>
      <x:c r="G458" s="165" t="str">
        <x:v>ドイツ産ブドウであれば、生産者が購入したベースワインをタンク方式で発泡化しても同じ表示となる</x:v>
      </x:c>
      <x:c r="H458" s="165" t="str">
        <x:v>伝統的方式で長く澱熟成すれば、ブドウの所有や原産地にかかわらず同じ表示となる</x:v>
      </x:c>
      <x:c r="I458" s="165" t="str">
        <x:v>単一品種を表示すれば、ブドウの生産者と発泡性ワインの生産者が異なっても同じ表示となる</x:v>
      </x:c>
      <x:c r="J458" s="171" t="str">
        <x:v>A</x:v>
      </x:c>
      <x:c r="K458" s="165" t="str">
        <x:v>生産者自身のブドウを用い、単一品種や産地を明示して伝統的方式で造ることが多い</x:v>
      </x:c>
      <x:c r="L458" s="165" t="str">
        <x:v>正しい。自社栽培ブドウと生産者による醸造を基礎とするため、畑と品種の個性を示しやすい。</x:v>
      </x:c>
      <x:c r="M458" s="165" t="str">
        <x:v>正しい。自社栽培ブドウと生産者による醸造を基礎とするため、畑と品種の個性を示しやすい。</x:v>
      </x:c>
      <x:c r="N458" s="165" t="str">
        <x:v>誤り。これはドイチャー・ゼクト等にはなり得るが、自社ブドウを用いるヴィンツァーゼクトの考え方とは異なる。</x:v>
      </x:c>
      <x:c r="O458" s="165" t="str">
        <x:v>誤り。製法と熟成だけでなく、原料ブドウと生産者の関係が重要である。</x:v>
      </x:c>
      <x:c r="P458" s="165" t="str">
        <x:v>誤り。単一品種表示だけでは、自社栽培・自家醸造という要素を満たさない。</x:v>
      </x:c>
      <x:c r="Q458" s="165" t="str">
        <x:v>法律・表示</x:v>
      </x:c>
      <x:c r="R458" s="165" t="str">
        <x:v>ゼクト</x:v>
      </x:c>
      <x:c r="S458" s="165" t="str">
        <x:v>発泡性ワイン</x:v>
      </x:c>
      <x:c r="T458" s="165" t="str">
        <x:v>ドイツ</x:v>
      </x:c>
      <x:c r="U458" s="165" t="str">
        <x:v>ドイツ</x:v>
      </x:c>
      <x:c r="V458" s="165"/>
      <x:c r="W458" s="165" t="str">
        <x:v>統合判断</x:v>
      </x:c>
      <x:c r="X458" s="171" t="str">
        <x:v>D3</x:v>
      </x:c>
      <x:c r="Y458" s="165" t="str">
        <x:v>ドイツ産なら購入原料でもヴィンツァーゼクト; 長期伝統方式だけでヴィンツァーゼクト; 単一品種表示だけでヴィンツァーゼクト</x:v>
      </x:c>
      <x:c r="Z458" s="171" t="str">
        <x:v>Y</x:v>
      </x:c>
      <x:c r="AA458" s="165" t="str">
        <x:v>Winzersektの現行表示要件と教材表現を最終照合推奨</x:v>
      </x:c>
      <x:c r="AB458" s="165" t="str">
        <x:v>オリジナル</x:v>
      </x:c>
      <x:c r="AC458" s="165" t="str">
        <x:v>公式Specificationの範囲＋ユーザー作成コーパスの論点を参考に独自作成</x:v>
      </x:c>
      <x:c r="AD458" s="171" t="str">
        <x:v>改稿済み・専門家未承認</x:v>
      </x:c>
      <x:c r="AE458" s="171" t="str">
        <x:v>AI誤答レビュー</x:v>
      </x:c>
      <x:c r="AF458" s="171" t="str">
        <x:v>2026-07-12</x:v>
      </x:c>
      <x:c r="AG458" s="312" t="str">
        <x:v>第2バッチ：誤答を同一論点内の典型的誤概念へ置換。正答位置は維持。</x:v>
      </x:c>
    </x:row>
    <x:row r="459" ht="84" customHeight="1">
      <x:c r="A459" s="311" t="str">
        <x:v>LO3-098</x:v>
      </x:c>
      <x:c r="B459" s="171" t="str">
        <x:v>LO3</x:v>
      </x:c>
      <x:c r="C459" s="165" t="str">
        <x:v>世界の主要な発泡性ワイン</x:v>
      </x:c>
      <x:c r="D459" s="165" t="str">
        <x:v>イングランドの発泡性ワイン</x:v>
      </x:c>
      <x:c r="E459" s="165" t="str">
        <x:v>イングランド南部が伝統的方式の高品質発泡性ワインに適する主な理由はどれか。</x:v>
      </x:c>
      <x:c r="F459" s="165" t="str">
        <x:v>発酵途中で酒精強化するため</x:v>
      </x:c>
      <x:c r="G459" s="165" t="str">
        <x:v>冷涼な気候と白亜質土壌により、高い酸を持つシャルドネとピノ系品種を得られる</x:v>
      </x:c>
      <x:c r="H459" s="165" t="str">
        <x:v>グレーラを高収量で栽培するため</x:v>
      </x:c>
      <x:c r="I459" s="165" t="str">
        <x:v>熱帯の高温でブドウが過熟するため</x:v>
      </x:c>
      <x:c r="J459" s="171" t="str">
        <x:v>B</x:v>
      </x:c>
      <x:c r="K459" s="165" t="str">
        <x:v>冷涼な気候と白亜質土壌により、高い酸を持つシャルドネとピノ系品種を得られる</x:v>
      </x:c>
      <x:c r="L459" s="165" t="str">
        <x:v>正しい。長い生育期間で糖度は中程度にとどまり、酸が高いベースワインを造れるため、瓶内熟成後も鮮度が保たれる。</x:v>
      </x:c>
      <x:c r="M459" s="165" t="str">
        <x:v>誤り。伝統的方式の発泡性ワインで、酒精強化しない。</x:v>
      </x:c>
      <x:c r="N459" s="165" t="str">
        <x:v>正しい。長い生育期間で糖度は中程度にとどまり、酸が高いベースワインを造れるため、瓶内熟成後も鮮度が保たれる。</x:v>
      </x:c>
      <x:c r="O459" s="165" t="str">
        <x:v>誤り。主要品種はシャルドネ、ピノ・ノワール、ムニエである。</x:v>
      </x:c>
      <x:c r="P459" s="165" t="str">
        <x:v>誤り。イングランドは冷涼気候である。</x:v>
      </x:c>
      <x:c r="Q459" s="165" t="str">
        <x:v>自然要因</x:v>
      </x:c>
      <x:c r="R459" s="165" t="str">
        <x:v>イングランド</x:v>
      </x:c>
      <x:c r="S459" s="165" t="str">
        <x:v>発泡性ワイン</x:v>
      </x:c>
      <x:c r="T459" s="165" t="str">
        <x:v>英国</x:v>
      </x:c>
      <x:c r="U459" s="165" t="str">
        <x:v>イングランド南部</x:v>
      </x:c>
      <x:c r="V459" s="165" t="str">
        <x:v>シャルドネ、ピノ・ノワール、ムニエ</x:v>
      </x:c>
      <x:c r="W459" s="165" t="str">
        <x:v>因果説明</x:v>
      </x:c>
      <x:c r="X459" s="171" t="str">
        <x:v>D3</x:v>
      </x:c>
      <x:c r="Y459" s="165" t="str">
        <x:v>イングランドの発泡性ワインについて関連要因を主因とみなす; イングランドの発泡性ワインについて関連要因を主因とみなす; イングランドの発泡性ワインについて関連要因を主因とみなす</x:v>
      </x:c>
      <x:c r="Z459" s="171" t="str">
        <x:v>N</x:v>
      </x:c>
      <x:c r="AA459" s="165"/>
      <x:c r="AB459" s="165" t="str">
        <x:v>オリジナル</x:v>
      </x:c>
      <x:c r="AC459" s="165" t="str">
        <x:v>公式Specificationの範囲＋ユーザー作成コーパスの論点を参考に独自作成</x:v>
      </x:c>
      <x:c r="AD459" s="171" t="str">
        <x:v>改稿済み・専門家未承認</x:v>
      </x:c>
      <x:c r="AE459" s="171" t="str">
        <x:v>AI誤答レビュー</x:v>
      </x:c>
      <x:c r="AF459" s="171" t="str">
        <x:v>2026-07-12</x:v>
      </x:c>
      <x:c r="AG459" s="312" t="str">
        <x:v>第5バッチ：使用可能な誤答を維持し、弱い誤答を因果逆転・隣接概念へ置換。正答位置は維持。</x:v>
      </x:c>
    </x:row>
    <x:row r="460" ht="84" customHeight="1">
      <x:c r="A460" s="311" t="str">
        <x:v>LO3-099</x:v>
      </x:c>
      <x:c r="B460" s="171" t="str">
        <x:v>LO3</x:v>
      </x:c>
      <x:c r="C460" s="165" t="str">
        <x:v>世界の主要な発泡性ワイン</x:v>
      </x:c>
      <x:c r="D460" s="165" t="str">
        <x:v>タスマニアの発泡性ワイン</x:v>
      </x:c>
      <x:c r="E460" s="165" t="str">
        <x:v>タスマニアの伝統的方式発泡性ワインに高い酸と繊細な果実香が出やすい主な理由はどれか。</x:v>
      </x:c>
      <x:c r="F460" s="165" t="str">
        <x:v>南緯が高く海洋性で、生育期が温暖かつ長い</x:v>
      </x:c>
      <x:c r="G460" s="165" t="str">
        <x:v>内陸砂漠の高温と暖かい夜で、糖度が早く上がる</x:v>
      </x:c>
      <x:c r="H460" s="165" t="str">
        <x:v>南緯が高く海洋性で、生育期が冷涼かつ長い</x:v>
      </x:c>
      <x:c r="I460" s="165" t="str">
        <x:v>多雨と貴腐で酸と果実味を濃縮する</x:v>
      </x:c>
      <x:c r="J460" s="171" t="str">
        <x:v>C</x:v>
      </x:c>
      <x:c r="K460" s="165" t="str">
        <x:v>南緯が高く海洋性で、生育期が冷涼かつ長い</x:v>
      </x:c>
      <x:c r="L460" s="165" t="str">
        <x:v>正しい。シャルドネとピノ・ノワールが高い酸と繊細な香りを保つ。</x:v>
      </x:c>
      <x:c r="M460" s="165" t="str">
        <x:v>誤り。正答では「冷涼」ことが重要であり、この選択肢は「温暖」へ置き換えて関係を逆にしている。</x:v>
      </x:c>
      <x:c r="N460" s="165" t="str">
        <x:v>誤り。タスマニアは冷涼な島である。</x:v>
      </x:c>
      <x:c r="O460" s="165" t="str">
        <x:v>正しい。シャルドネとピノ・ノワールが高い酸と繊細な香りを保つ。</x:v>
      </x:c>
      <x:c r="P460" s="165" t="str">
        <x:v>誤り。健全な高酸果実が重要で、貴腐が主因ではない。</x:v>
      </x:c>
      <x:c r="Q460" s="165" t="str">
        <x:v>自然要因</x:v>
      </x:c>
      <x:c r="R460" s="165" t="str">
        <x:v>オーストラリア</x:v>
      </x:c>
      <x:c r="S460" s="165" t="str">
        <x:v>発泡性ワイン</x:v>
      </x:c>
      <x:c r="T460" s="165" t="str">
        <x:v>オーストラリア</x:v>
      </x:c>
      <x:c r="U460" s="165" t="str">
        <x:v>タスマニア</x:v>
      </x:c>
      <x:c r="V460" s="165" t="str">
        <x:v>シャルドネ、ピノ・ノワール</x:v>
      </x:c>
      <x:c r="W460" s="165" t="str">
        <x:v>因果説明</x:v>
      </x:c>
      <x:c r="X460" s="171" t="str">
        <x:v>D2</x:v>
      </x:c>
      <x:c r="Y460" s="165" t="str">
        <x:v>「冷涼」と「温暖」の関係を逆転; タスマニアを内陸砂漠と混同; タスマニア発泡性を貴腐型と混同</x:v>
      </x:c>
      <x:c r="Z460" s="171" t="str">
        <x:v>N</x:v>
      </x:c>
      <x:c r="AA460" s="165"/>
      <x:c r="AB460" s="165" t="str">
        <x:v>オリジナル</x:v>
      </x:c>
      <x:c r="AC460" s="165" t="str">
        <x:v>公式Specificationの範囲＋ユーザー作成コーパスの論点を参考に独自作成</x:v>
      </x:c>
      <x:c r="AD460" s="171" t="str">
        <x:v>改稿済み・専門家未承認</x:v>
      </x:c>
      <x:c r="AE460" s="171" t="str">
        <x:v>AI誤答レビュー</x:v>
      </x:c>
      <x:c r="AF460" s="171" t="str">
        <x:v>2026-07-12</x:v>
      </x:c>
      <x:c r="AG460" s="312" t="str">
        <x:v>第4バッチ：同一論点内の典型的誤概念へ置換。正答位置は維持。</x:v>
      </x:c>
    </x:row>
    <x:row r="461" ht="84" customHeight="1">
      <x:c r="A461" s="311" t="str">
        <x:v>LO3-100</x:v>
      </x:c>
      <x:c r="B461" s="171" t="str">
        <x:v>LO3</x:v>
      </x:c>
      <x:c r="C461" s="165" t="str">
        <x:v>世界の主要な発泡性ワイン</x:v>
      </x:c>
      <x:c r="D461" s="165" t="str">
        <x:v>ヤラ・ヴァレーの発泡性ワイン</x:v>
      </x:c>
      <x:c r="E461" s="165" t="str">
        <x:v>ヤラ・ヴァレーがオーストラリアの高品質発泡性ワイン産地となる主な理由はどれか。</x:v>
      </x:c>
      <x:c r="F461" s="165" t="str">
        <x:v>オーストラリアで最も暑い砂漠だから</x:v>
      </x:c>
      <x:c r="G461" s="165" t="str">
        <x:v>酒精強化によって泡を作るから</x:v>
      </x:c>
      <x:c r="H461" s="165" t="str">
        <x:v>モスカートだけを用いるから</x:v>
      </x:c>
      <x:c r="I461" s="165" t="str">
        <x:v>標高と南からの冷気により、シャルドネとピノ・ノワールの酸を保持できる</x:v>
      </x:c>
      <x:c r="J461" s="171" t="str">
        <x:v>D</x:v>
      </x:c>
      <x:c r="K461" s="165" t="str">
        <x:v>標高と南からの冷気により、シャルドネとピノ・ノワールの酸を保持できる</x:v>
      </x:c>
      <x:c r="L461" s="165" t="str">
        <x:v>正しい。冷涼な区画から早めに収穫した果実が、伝統的方式に適した繊細なベースワインになる。</x:v>
      </x:c>
      <x:c r="M461" s="165" t="str">
        <x:v>誤り。ヤラは比較的冷涼なヴィクトリア州の産地である。</x:v>
      </x:c>
      <x:c r="N461" s="165" t="str">
        <x:v>誤り。発泡性は二次発酵で得る。</x:v>
      </x:c>
      <x:c r="O461" s="165" t="str">
        <x:v>誤り。主にシャルドネとピノ・ノワールが用いられる。</x:v>
      </x:c>
      <x:c r="P461" s="165" t="str">
        <x:v>正しい。冷涼な区画から早めに収穫した果実が、伝統的方式に適した繊細なベースワインになる。</x:v>
      </x:c>
      <x:c r="Q461" s="165" t="str">
        <x:v>自然要因</x:v>
      </x:c>
      <x:c r="R461" s="165" t="str">
        <x:v>オーストラリア</x:v>
      </x:c>
      <x:c r="S461" s="165" t="str">
        <x:v>発泡性ワイン</x:v>
      </x:c>
      <x:c r="T461" s="165" t="str">
        <x:v>オーストラリア</x:v>
      </x:c>
      <x:c r="U461" s="165" t="str">
        <x:v>ヤラ・ヴァレー</x:v>
      </x:c>
      <x:c r="V461" s="165" t="str">
        <x:v>シャルドネ、ピノ・ノワール</x:v>
      </x:c>
      <x:c r="W461" s="165" t="str">
        <x:v>因果説明</x:v>
      </x:c>
      <x:c r="X461" s="171" t="str">
        <x:v>D2</x:v>
      </x:c>
      <x:c r="Y461" s="165" t="str">
        <x:v>ヤラ・ヴァレーの発泡性ワインに関する別の特徴・要因と混同; ヤラ・ヴァレーの発泡性ワインに関する別の特徴・要因と混同; ヤラ・ヴァレーの発泡性ワインに関する別の特徴・要因と混同</x:v>
      </x:c>
      <x:c r="Z461" s="171" t="str">
        <x:v>N</x:v>
      </x:c>
      <x:c r="AA461" s="165"/>
      <x:c r="AB461" s="165" t="str">
        <x:v>オリジナル</x:v>
      </x:c>
      <x:c r="AC461" s="165" t="str">
        <x:v>公式Specificationの範囲＋ユーザー作成コーパスの論点を参考に独自作成</x:v>
      </x:c>
      <x:c r="AD461" s="171" t="str">
        <x:v>改稿済み・専門家未承認</x:v>
      </x:c>
      <x:c r="AE461" s="171" t="str">
        <x:v>AI誤答レビュー</x:v>
      </x:c>
      <x:c r="AF461" s="171" t="str">
        <x:v>2026-07-12</x:v>
      </x:c>
      <x:c r="AG461" s="312" t="str">
        <x:v>最終バッチ：有効な誤答を維持し、絶対語・物理的不可能な誤答のみ置換。正答位置は維持。</x:v>
      </x:c>
    </x:row>
    <x:row r="462" ht="84" customHeight="1">
      <x:c r="A462" s="311" t="str">
        <x:v>LO3-101</x:v>
      </x:c>
      <x:c r="B462" s="171" t="str">
        <x:v>LO3</x:v>
      </x:c>
      <x:c r="C462" s="165" t="str">
        <x:v>世界の主要な発泡性ワイン</x:v>
      </x:c>
      <x:c r="D462" s="165" t="str">
        <x:v>モーニントン・ペニンシュラ</x:v>
      </x:c>
      <x:c r="E462" s="165" t="str">
        <x:v>モーニントン・ペニンシュラの発泡性ワインがフレッシュなスタイルになりやすい主な理由はどれか。</x:v>
      </x:c>
      <x:c r="F462" s="165" t="str">
        <x:v>海に囲まれた冷涼な気候が成熟を遅らせ、酸を保持する</x:v>
      </x:c>
      <x:c r="G462" s="165" t="str">
        <x:v>内陸の高温乾燥が糖を極端に高めるため</x:v>
      </x:c>
      <x:c r="H462" s="165" t="str">
        <x:v>ブドウを貴腐化するため</x:v>
      </x:c>
      <x:c r="I462" s="165" t="str">
        <x:v>タンクへブランデーを加えるため</x:v>
      </x:c>
      <x:c r="J462" s="171" t="str">
        <x:v>A</x:v>
      </x:c>
      <x:c r="K462" s="165" t="str">
        <x:v>海に囲まれた冷涼な気候が成熟を遅らせ、酸を保持する</x:v>
      </x:c>
      <x:c r="L462" s="165" t="str">
        <x:v>正しい。バス海峡からの風が夏の暑さを和らげ、ピノ・ノワールとシャルドネの繊細な香りを保つ。</x:v>
      </x:c>
      <x:c r="M462" s="165" t="str">
        <x:v>正しい。バス海峡からの風が夏の暑さを和らげ、ピノ・ノワールとシャルドネの繊細な香りを保つ。</x:v>
      </x:c>
      <x:c r="N462" s="165" t="str">
        <x:v>誤り。海洋性の冷涼さが重要である。</x:v>
      </x:c>
      <x:c r="O462" s="165" t="str">
        <x:v>誤り。発泡性用には健全で高酸の果実を用いる。</x:v>
      </x:c>
      <x:c r="P462" s="165" t="str">
        <x:v>誤り。酒精強化は行わない。</x:v>
      </x:c>
      <x:c r="Q462" s="165" t="str">
        <x:v>自然要因</x:v>
      </x:c>
      <x:c r="R462" s="165" t="str">
        <x:v>オーストラリア</x:v>
      </x:c>
      <x:c r="S462" s="165" t="str">
        <x:v>発泡性ワイン</x:v>
      </x:c>
      <x:c r="T462" s="165" t="str">
        <x:v>オーストラリア</x:v>
      </x:c>
      <x:c r="U462" s="165" t="str">
        <x:v>モーニントン・ペニンシュラ</x:v>
      </x:c>
      <x:c r="V462" s="165" t="str">
        <x:v>ピノ・ノワール、シャルドネ</x:v>
      </x:c>
      <x:c r="W462" s="165" t="str">
        <x:v>因果説明</x:v>
      </x:c>
      <x:c r="X462" s="171" t="str">
        <x:v>D2</x:v>
      </x:c>
      <x:c r="Y462" s="165" t="str">
        <x:v>モーニントン・ペニンシュラに関する別の特徴・要因と混同; モーニントン・ペニンシュラに関する別の特徴・要因と混同; モーニントン・ペニンシュラに関する別の特徴・要因と混同</x:v>
      </x:c>
      <x:c r="Z462" s="171" t="str">
        <x:v>N</x:v>
      </x:c>
      <x:c r="AA462" s="165"/>
      <x:c r="AB462" s="165" t="str">
        <x:v>オリジナル</x:v>
      </x:c>
      <x:c r="AC462" s="165" t="str">
        <x:v>公式Specificationの範囲＋ユーザー作成コーパスの論点を参考に独自作成</x:v>
      </x:c>
      <x:c r="AD462" s="171" t="str">
        <x:v>改稿済み・専門家未承認</x:v>
      </x:c>
      <x:c r="AE462" s="171" t="str">
        <x:v>AI誤答レビュー</x:v>
      </x:c>
      <x:c r="AF462" s="171" t="str">
        <x:v>2026-07-12</x:v>
      </x:c>
      <x:c r="AG462" s="312" t="str">
        <x:v>最終バッチ：有効な誤答を維持し、絶対語・物理的不可能な誤答のみ置換。正答位置は維持。</x:v>
      </x:c>
    </x:row>
    <x:row r="463" ht="84" customHeight="1">
      <x:c r="A463" s="311" t="str">
        <x:v>LO3-102</x:v>
      </x:c>
      <x:c r="B463" s="171" t="str">
        <x:v>LO3</x:v>
      </x:c>
      <x:c r="C463" s="165" t="str">
        <x:v>世界の主要な発泡性ワイン</x:v>
      </x:c>
      <x:c r="D463" s="165" t="str">
        <x:v>マールボロの発泡性ワイン</x:v>
      </x:c>
      <x:c r="E463" s="165" t="str">
        <x:v>マールボロで伝統的方式発泡性ワインを造る際、ソーヴィニヨン・ブランよりシャルドネとピノ・ノワールが多く用いられる理由はどれか。</x:v>
      </x:c>
      <x:c r="F463" s="165" t="str">
        <x:v>ソーヴィニヨン・ブランは黒品種だから</x:v>
      </x:c>
      <x:c r="G463" s="165" t="str">
        <x:v>中立的で高酸のベースワインを造りやすく、澱熟成の風味と調和するため</x:v>
      </x:c>
      <x:c r="H463" s="165" t="str">
        <x:v>シャルドネとピノ・ノワールは発酵を必要としないから</x:v>
      </x:c>
      <x:c r="I463" s="165" t="str">
        <x:v>澱熟成には高タンニンが必須だから</x:v>
      </x:c>
      <x:c r="J463" s="171" t="str">
        <x:v>B</x:v>
      </x:c>
      <x:c r="K463" s="165" t="str">
        <x:v>中立的で高酸のベースワインを造りやすく、澱熟成の風味と調和するため</x:v>
      </x:c>
      <x:c r="L463" s="165" t="str">
        <x:v>正しい。シャルドネとピノ・ノワールは伝統的方式の構造と熟成に適し、強い品種香が自己分解香を圧倒しにくい。</x:v>
      </x:c>
      <x:c r="M463" s="165" t="str">
        <x:v>誤り。ソーヴィニヨン・ブランは白品種である。</x:v>
      </x:c>
      <x:c r="N463" s="165" t="str">
        <x:v>正しい。シャルドネとピノ・ノワールは伝統的方式の構造と熟成に適し、強い品種香が自己分解香を圧倒しにくい。</x:v>
      </x:c>
      <x:c r="O463" s="165" t="str">
        <x:v>誤り。いずれも一次・二次発酵が必要である。</x:v>
      </x:c>
      <x:c r="P463" s="165" t="str">
        <x:v>誤り。発泡性ベースワインは低タンニンが望ましい。</x:v>
      </x:c>
      <x:c r="Q463" s="165" t="str">
        <x:v>品種</x:v>
      </x:c>
      <x:c r="R463" s="165" t="str">
        <x:v>ニュージーランド</x:v>
      </x:c>
      <x:c r="S463" s="165" t="str">
        <x:v>発泡性ワイン</x:v>
      </x:c>
      <x:c r="T463" s="165" t="str">
        <x:v>ニュージーランド</x:v>
      </x:c>
      <x:c r="U463" s="165" t="str">
        <x:v>マールボロ</x:v>
      </x:c>
      <x:c r="V463" s="165" t="str">
        <x:v>シャルドネ、ピノ・ノワール</x:v>
      </x:c>
      <x:c r="W463" s="165" t="str">
        <x:v>比較</x:v>
      </x:c>
      <x:c r="X463" s="171" t="str">
        <x:v>D3</x:v>
      </x:c>
      <x:c r="Y463" s="165" t="str">
        <x:v>マールボロの発泡性ワインに関する別の特徴・要因と混同; マールボロの発泡性ワインに関する別の特徴・要因と混同; マールボロの発泡性ワインに関する別の特徴・要因と混同</x:v>
      </x:c>
      <x:c r="Z463" s="171" t="str">
        <x:v>N</x:v>
      </x:c>
      <x:c r="AA463" s="165"/>
      <x:c r="AB463" s="165" t="str">
        <x:v>オリジナル</x:v>
      </x:c>
      <x:c r="AC463" s="165" t="str">
        <x:v>公式Specificationの範囲＋ユーザー作成コーパスの論点を参考に独自作成</x:v>
      </x:c>
      <x:c r="AD463" s="171" t="str">
        <x:v>改稿済み・専門家未承認</x:v>
      </x:c>
      <x:c r="AE463" s="171" t="str">
        <x:v>AI誤答レビュー</x:v>
      </x:c>
      <x:c r="AF463" s="171" t="str">
        <x:v>2026-07-12</x:v>
      </x:c>
      <x:c r="AG463" s="312" t="str">
        <x:v>最終バッチ：有効な誤答を維持し、絶対語・物理的不可能な誤答のみ置換。正答位置は維持。</x:v>
      </x:c>
    </x:row>
    <x:row r="464" ht="84" customHeight="1">
      <x:c r="A464" s="311" t="str">
        <x:v>LO3-103</x:v>
      </x:c>
      <x:c r="B464" s="171" t="str">
        <x:v>LO3</x:v>
      </x:c>
      <x:c r="C464" s="165" t="str">
        <x:v>世界の主要な発泡性ワイン</x:v>
      </x:c>
      <x:c r="D464" s="165" t="str">
        <x:v>セントラル・オタゴの発泡性ワイン</x:v>
      </x:c>
      <x:c r="E464" s="165" t="str">
        <x:v>セントラル・オタゴの発泡性ワイン用ピノ・ノワールを通常の赤ワイン用より早く収穫する主な理由はどれか。</x:v>
      </x:c>
      <x:c r="F464" s="165" t="str">
        <x:v>赤色とタンニンを最大限に増やすため</x:v>
      </x:c>
      <x:c r="G464" s="165" t="str">
        <x:v>果実を凍結して甘口にするため</x:v>
      </x:c>
      <x:c r="H464" s="165" t="str">
        <x:v>糖度と潜在アルコールを抑え、高い酸と繊細な香りを保つため</x:v>
      </x:c>
      <x:c r="I464" s="165" t="str">
        <x:v>酒精強化を容易にするため</x:v>
      </x:c>
      <x:c r="J464" s="171" t="str">
        <x:v>C</x:v>
      </x:c>
      <x:c r="K464" s="165" t="str">
        <x:v>糖度と潜在アルコールを抑え、高い酸と繊細な香りを保つため</x:v>
      </x:c>
      <x:c r="L464" s="165" t="str">
        <x:v>正しい。二次発酵でアルコールが増えるため、ベースワインには過熟でない高酸の果実が適する。</x:v>
      </x:c>
      <x:c r="M464" s="165" t="str">
        <x:v>誤り。発泡性用は一般に穏やかな圧搾で色とタンニンを抑える。</x:v>
      </x:c>
      <x:c r="N464" s="165" t="str">
        <x:v>誤り。早期収穫は酸保持が目的で、凍結収穫ではない。</x:v>
      </x:c>
      <x:c r="O464" s="165" t="str">
        <x:v>正しい。二次発酵でアルコールが増えるため、ベースワインには過熟でない高酸の果実が適する。</x:v>
      </x:c>
      <x:c r="P464" s="165" t="str">
        <x:v>誤り。発泡性ワインは酒精強化しない。</x:v>
      </x:c>
      <x:c r="Q464" s="165" t="str">
        <x:v>栽培</x:v>
      </x:c>
      <x:c r="R464" s="165" t="str">
        <x:v>ニュージーランド</x:v>
      </x:c>
      <x:c r="S464" s="165" t="str">
        <x:v>発泡性ワイン</x:v>
      </x:c>
      <x:c r="T464" s="165" t="str">
        <x:v>ニュージーランド</x:v>
      </x:c>
      <x:c r="U464" s="165" t="str">
        <x:v>セントラル・オタゴ</x:v>
      </x:c>
      <x:c r="V464" s="165" t="str">
        <x:v>ピノ・ノワール</x:v>
      </x:c>
      <x:c r="W464" s="165" t="str">
        <x:v>因果説明</x:v>
      </x:c>
      <x:c r="X464" s="171" t="str">
        <x:v>D2</x:v>
      </x:c>
      <x:c r="Y464" s="165" t="str">
        <x:v>セントラル・オタゴの発泡性ワインに関する別の特徴・要因と混同; セントラル・オタゴの発泡性ワインに関する別の特徴・要因と混同; セントラル・オタゴの発泡性ワインに関する別の特徴・要因と混同</x:v>
      </x:c>
      <x:c r="Z464" s="171" t="str">
        <x:v>N</x:v>
      </x:c>
      <x:c r="AA464" s="165"/>
      <x:c r="AB464" s="165" t="str">
        <x:v>オリジナル</x:v>
      </x:c>
      <x:c r="AC464" s="165" t="str">
        <x:v>公式Specificationの範囲＋ユーザー作成コーパスの論点を参考に独自作成</x:v>
      </x:c>
      <x:c r="AD464" s="171" t="str">
        <x:v>改稿済み・専門家未承認</x:v>
      </x:c>
      <x:c r="AE464" s="171" t="str">
        <x:v>AI誤答レビュー</x:v>
      </x:c>
      <x:c r="AF464" s="171" t="str">
        <x:v>2026-07-12</x:v>
      </x:c>
      <x:c r="AG464" s="312" t="str">
        <x:v>最終バッチ：有効な誤答を維持し、絶対語・物理的不可能な誤答のみ置換。正答位置は維持。</x:v>
      </x:c>
    </x:row>
    <x:row r="465" ht="84" customHeight="1">
      <x:c r="A465" s="311" t="str">
        <x:v>LO3-104</x:v>
      </x:c>
      <x:c r="B465" s="171" t="str">
        <x:v>LO3</x:v>
      </x:c>
      <x:c r="C465" s="165" t="str">
        <x:v>世界の主要な発泡性ワイン</x:v>
      </x:c>
      <x:c r="D465" s="165" t="str">
        <x:v>キャップ・クラシックの冷涼産地</x:v>
      </x:c>
      <x:c r="E465" s="165" t="str">
        <x:v>南アフリカの高品質キャップ・クラシックで沿岸や高標高のブドウが好まれる主な理由はどれか。</x:v>
      </x:c>
      <x:c r="F465" s="165" t="str">
        <x:v>多くのワインを甘口にするため</x:v>
      </x:c>
      <x:c r="G465" s="165" t="str">
        <x:v>果皮タンニンを最大限抽出するため</x:v>
      </x:c>
      <x:c r="H465" s="165" t="str">
        <x:v>最も暑い内陸の過熟果が主に必要だから</x:v>
      </x:c>
      <x:c r="I465" s="165" t="str">
        <x:v>温暖な国の中で高い酸と低い潜在アルコールを確保できるため</x:v>
      </x:c>
      <x:c r="J465" s="171" t="str">
        <x:v>D</x:v>
      </x:c>
      <x:c r="K465" s="165" t="str">
        <x:v>温暖な国の中で高い酸と低い潜在アルコールを確保できるため</x:v>
      </x:c>
      <x:c r="L465" s="165" t="str">
        <x:v>正しい。海風や標高が成熟を遅らせ、伝統的方式に適したシャルドネとピノ・ノワールを得る。</x:v>
      </x:c>
      <x:c r="M465" s="165" t="str">
        <x:v>誤り。辛口を含む多様なスタイルがある。</x:v>
      </x:c>
      <x:c r="N465" s="165" t="str">
        <x:v>誤り。ベースワインは低タンニンが望ましい。</x:v>
      </x:c>
      <x:c r="O465" s="165" t="str">
        <x:v>誤り。発泡性用には高酸で過熟していない果実が適する。</x:v>
      </x:c>
      <x:c r="P465" s="165" t="str">
        <x:v>正しい。海風や標高が成熟を遅らせ、伝統的方式に適したシャルドネとピノ・ノワールを得る。</x:v>
      </x:c>
      <x:c r="Q465" s="165" t="str">
        <x:v>自然要因</x:v>
      </x:c>
      <x:c r="R465" s="165" t="str">
        <x:v>キャップ・クラシック</x:v>
      </x:c>
      <x:c r="S465" s="165" t="str">
        <x:v>発泡性ワイン</x:v>
      </x:c>
      <x:c r="T465" s="165" t="str">
        <x:v>南アフリカ</x:v>
      </x:c>
      <x:c r="U465" s="165" t="str">
        <x:v>西ケープ</x:v>
      </x:c>
      <x:c r="V465" s="165" t="str">
        <x:v>シャルドネ、ピノ・ノワール</x:v>
      </x:c>
      <x:c r="W465" s="165" t="str">
        <x:v>因果説明</x:v>
      </x:c>
      <x:c r="X465" s="171" t="str">
        <x:v>D2</x:v>
      </x:c>
      <x:c r="Y465" s="165" t="str">
        <x:v>キャップ・クラシックの冷涼産地について関連要因を主因とみなす; キャップ・クラシックの冷涼産地について関連要因を主因とみなす; キャップ・クラシックの冷涼産地について関連要因を主因とみなす</x:v>
      </x:c>
      <x:c r="Z465" s="171" t="str">
        <x:v>N</x:v>
      </x:c>
      <x:c r="AA465" s="165"/>
      <x:c r="AB465" s="165" t="str">
        <x:v>オリジナル</x:v>
      </x:c>
      <x:c r="AC465" s="165" t="str">
        <x:v>公式Specificationの範囲＋ユーザー作成コーパスの論点を参考に独自作成</x:v>
      </x:c>
      <x:c r="AD465" s="171" t="str">
        <x:v>改稿済み・専門家未承認</x:v>
      </x:c>
      <x:c r="AE465" s="171" t="str">
        <x:v>AI誤答レビュー</x:v>
      </x:c>
      <x:c r="AF465" s="171" t="str">
        <x:v>2026-07-12</x:v>
      </x:c>
      <x:c r="AG465" s="312" t="str">
        <x:v>第5バッチ：使用可能な誤答を維持し、弱い誤答を因果逆転・隣接概念へ置換。正答位置は維持。</x:v>
      </x:c>
    </x:row>
    <x:row r="466" ht="84" customHeight="1">
      <x:c r="A466" s="311" t="str">
        <x:v>LO3-105</x:v>
      </x:c>
      <x:c r="B466" s="171" t="str">
        <x:v>LO3</x:v>
      </x:c>
      <x:c r="C466" s="165" t="str">
        <x:v>世界の主要な発泡性ワイン</x:v>
      </x:c>
      <x:c r="D466" s="165" t="str">
        <x:v>ロス・カーネロス</x:v>
      </x:c>
      <x:c r="E466" s="165" t="str">
        <x:v>ロス・カーネロスがカリフォルニアの発泡性ワインに適する主な理由はどれか。</x:v>
      </x:c>
      <x:c r="F466" s="165" t="str">
        <x:v>サン・パブロ湾からの風と霧が日中の気温を下げるため</x:v>
      </x:c>
      <x:c r="G466" s="165" t="str">
        <x:v>内陸砂漠で夜間も高温だから</x:v>
      </x:c>
      <x:c r="H466" s="165" t="str">
        <x:v>グレーラだけを栽培するため</x:v>
      </x:c>
      <x:c r="I466" s="165" t="str">
        <x:v>ブドウを酒精強化するため</x:v>
      </x:c>
      <x:c r="J466" s="171" t="str">
        <x:v>A</x:v>
      </x:c>
      <x:c r="K466" s="165" t="str">
        <x:v>サン・パブロ湾からの風と霧が日中の気温を下げるため</x:v>
      </x:c>
      <x:c r="L466" s="165" t="str">
        <x:v>正しい。冷涼な海洋影響により、シャルドネとピノ・ノワールが酸を保ち、香りをゆっくり発達させる。</x:v>
      </x:c>
      <x:c r="M466" s="165" t="str">
        <x:v>正しい。冷涼な海洋影響により、シャルドネとピノ・ノワールが酸を保ち、香りをゆっくり発達させる。</x:v>
      </x:c>
      <x:c r="N466" s="165" t="str">
        <x:v>誤り。湾からの冷却が重要である。</x:v>
      </x:c>
      <x:c r="O466" s="165" t="str">
        <x:v>誤り。主要品種はシャルドネとピノ・ノワールである。</x:v>
      </x:c>
      <x:c r="P466" s="165" t="str">
        <x:v>誤り。発泡性は二次発酵で得る。</x:v>
      </x:c>
      <x:c r="Q466" s="165" t="str">
        <x:v>自然要因</x:v>
      </x:c>
      <x:c r="R466" s="165" t="str">
        <x:v>カリフォルニア</x:v>
      </x:c>
      <x:c r="S466" s="165" t="str">
        <x:v>発泡性ワイン</x:v>
      </x:c>
      <x:c r="T466" s="165" t="str">
        <x:v>米国</x:v>
      </x:c>
      <x:c r="U466" s="165" t="str">
        <x:v>ロス・カーネロス</x:v>
      </x:c>
      <x:c r="V466" s="165" t="str">
        <x:v>シャルドネ、ピノ・ノワール</x:v>
      </x:c>
      <x:c r="W466" s="165" t="str">
        <x:v>因果説明</x:v>
      </x:c>
      <x:c r="X466" s="171" t="str">
        <x:v>D2</x:v>
      </x:c>
      <x:c r="Y466" s="165" t="str">
        <x:v>ロス・カーネロスに関する別の特徴・要因と混同; ロス・カーネロスに関する別の特徴・要因と混同; ロス・カーネロスに関する別の特徴・要因と混同</x:v>
      </x:c>
      <x:c r="Z466" s="171" t="str">
        <x:v>N</x:v>
      </x:c>
      <x:c r="AA466" s="165"/>
      <x:c r="AB466" s="165" t="str">
        <x:v>オリジナル</x:v>
      </x:c>
      <x:c r="AC466" s="165" t="str">
        <x:v>公式Specificationの範囲＋ユーザー作成コーパスの論点を参考に独自作成</x:v>
      </x:c>
      <x:c r="AD466" s="171" t="str">
        <x:v>改稿済み・専門家未承認</x:v>
      </x:c>
      <x:c r="AE466" s="171" t="str">
        <x:v>AI誤答レビュー</x:v>
      </x:c>
      <x:c r="AF466" s="171" t="str">
        <x:v>2026-07-12</x:v>
      </x:c>
      <x:c r="AG466" s="312" t="str">
        <x:v>最終バッチ：有効な誤答を維持し、絶対語・物理的不可能な誤答のみ置換。正答位置は維持。</x:v>
      </x:c>
    </x:row>
    <x:row r="467" ht="84" customHeight="1">
      <x:c r="A467" s="311" t="str">
        <x:v>LO3-106</x:v>
      </x:c>
      <x:c r="B467" s="171" t="str">
        <x:v>LO3</x:v>
      </x:c>
      <x:c r="C467" s="165" t="str">
        <x:v>世界の主要な発泡性ワイン</x:v>
      </x:c>
      <x:c r="D467" s="165" t="str">
        <x:v>ウィラメットの発泡性ワイン</x:v>
      </x:c>
      <x:c r="E467" s="165" t="str">
        <x:v>ウィラメット・ヴァレーで伝統的方式の発泡性ワインが発展しやすい主な理由はどれか。</x:v>
      </x:c>
      <x:c r="F467" s="165" t="str">
        <x:v>極端な熱帯気候だから</x:v>
      </x:c>
      <x:c r="G467" s="165" t="str">
        <x:v>冷涼な気候で高酸のピノ・ノワールとシャルドネを栽培できる</x:v>
      </x:c>
      <x:c r="H467" s="165" t="str">
        <x:v>シラーを樹上乾燥するため</x:v>
      </x:c>
      <x:c r="I467" s="165" t="str">
        <x:v>フロール熟成が義務だから</x:v>
      </x:c>
      <x:c r="J467" s="171" t="str">
        <x:v>B</x:v>
      </x:c>
      <x:c r="K467" s="165" t="str">
        <x:v>冷涼な気候で高酸のピノ・ノワールとシャルドネを栽培できる</x:v>
      </x:c>
      <x:c r="L467" s="165" t="str">
        <x:v>正しい。長い生育期が繊細な果実香を発達させ、早めの収穫でベースワインの酸を確保できる。</x:v>
      </x:c>
      <x:c r="M467" s="165" t="str">
        <x:v>誤り。オレゴン北部の冷涼な産地である。</x:v>
      </x:c>
      <x:c r="N467" s="165" t="str">
        <x:v>正しい。長い生育期が繊細な果実香を発達させ、早めの収穫でベースワインの酸を確保できる。</x:v>
      </x:c>
      <x:c r="O467" s="165" t="str">
        <x:v>誤り。ピノ・ノワールとシャルドネが中心である。</x:v>
      </x:c>
      <x:c r="P467" s="165" t="str">
        <x:v>誤り。伝統的方式の澱熟成を行う。</x:v>
      </x:c>
      <x:c r="Q467" s="165" t="str">
        <x:v>自然要因</x:v>
      </x:c>
      <x:c r="R467" s="165" t="str">
        <x:v>オレゴン</x:v>
      </x:c>
      <x:c r="S467" s="165" t="str">
        <x:v>発泡性ワイン</x:v>
      </x:c>
      <x:c r="T467" s="165" t="str">
        <x:v>米国</x:v>
      </x:c>
      <x:c r="U467" s="165" t="str">
        <x:v>ウィラメット・ヴァレー</x:v>
      </x:c>
      <x:c r="V467" s="165" t="str">
        <x:v>ピノ・ノワール、シャルドネ</x:v>
      </x:c>
      <x:c r="W467" s="165" t="str">
        <x:v>因果説明</x:v>
      </x:c>
      <x:c r="X467" s="171" t="str">
        <x:v>D2</x:v>
      </x:c>
      <x:c r="Y467" s="165" t="str">
        <x:v>ウィラメットの発泡性ワインに関する別の特徴・要因と混同; ウィラメットの発泡性ワインに関する別の特徴・要因と混同; ウィラメットの発泡性ワインに関する別の特徴・要因と混同</x:v>
      </x:c>
      <x:c r="Z467" s="171" t="str">
        <x:v>N</x:v>
      </x:c>
      <x:c r="AA467" s="165"/>
      <x:c r="AB467" s="165" t="str">
        <x:v>オリジナル</x:v>
      </x:c>
      <x:c r="AC467" s="165" t="str">
        <x:v>公式Specificationの範囲＋ユーザー作成コーパスの論点を参考に独自作成</x:v>
      </x:c>
      <x:c r="AD467" s="171" t="str">
        <x:v>改稿済み・専門家未承認</x:v>
      </x:c>
      <x:c r="AE467" s="171" t="str">
        <x:v>AI誤答レビュー</x:v>
      </x:c>
      <x:c r="AF467" s="171" t="str">
        <x:v>2026-07-12</x:v>
      </x:c>
      <x:c r="AG467" s="312" t="str">
        <x:v>最終バッチ：有効な誤答を維持し、絶対語・物理的不可能な誤答のみ置換。正答位置は維持。</x:v>
      </x:c>
    </x:row>
    <x:row r="468" ht="84" customHeight="1">
      <x:c r="A468" s="311" t="str">
        <x:v>LO3-107</x:v>
      </x:c>
      <x:c r="B468" s="171" t="str">
        <x:v>LO3</x:v>
      </x:c>
      <x:c r="C468" s="165" t="str">
        <x:v>世界の主要な発泡性ワイン</x:v>
      </x:c>
      <x:c r="D468" s="165" t="str">
        <x:v>ロゼ発泡性の短時間浸漬</x:v>
      </x:c>
      <x:c r="E468" s="165" t="str">
        <x:v>黒ブドウからロゼのベースワインを造る短時間果皮浸漬法の主な利点はどれか。</x:v>
      </x:c>
      <x:c r="F468" s="165" t="str">
        <x:v>種子タンニンを最大限に抽出する</x:v>
      </x:c>
      <x:c r="G468" s="165" t="str">
        <x:v>発酵を行わずにアルコールを得る</x:v>
      </x:c>
      <x:c r="H468" s="165" t="str">
        <x:v>色と赤系果実の風味を得ながら、タンニン抽出を低く保てる</x:v>
      </x:c>
      <x:c r="I468" s="165" t="str">
        <x:v>澱熟成だけで色を得る</x:v>
      </x:c>
      <x:c r="J468" s="171" t="str">
        <x:v>C</x:v>
      </x:c>
      <x:c r="K468" s="165" t="str">
        <x:v>色と赤系果実の風味を得ながら、タンニン抽出を低く保てる</x:v>
      </x:c>
      <x:c r="L468" s="165" t="str">
        <x:v>正しい。低温で短時間だけ果皮と接触し、目的の淡い色になった時点で果汁を分離する。</x:v>
      </x:c>
      <x:c r="M468" s="165" t="str">
        <x:v>誤り。ロゼ発泡性では強い苦渋味を避ける。</x:v>
      </x:c>
      <x:c r="N468" s="165" t="str">
        <x:v>誤り。一次発酵と二次発酵が必要である。</x:v>
      </x:c>
      <x:c r="O468" s="165" t="str">
        <x:v>正しい。低温で短時間だけ果皮と接触し、目的の淡い色になった時点で果汁を分離する。</x:v>
      </x:c>
      <x:c r="P468" s="165" t="str">
        <x:v>誤り。色は黒ブドウの果皮から得る。</x:v>
      </x:c>
      <x:c r="Q468" s="165" t="str">
        <x:v>醸造</x:v>
      </x:c>
      <x:c r="R468" s="165" t="str">
        <x:v>ロゼ発泡性</x:v>
      </x:c>
      <x:c r="S468" s="165" t="str">
        <x:v>ロゼ発泡性ワイン</x:v>
      </x:c>
      <x:c r="T468" s="165"/>
      <x:c r="U468" s="165"/>
      <x:c r="V468" s="165"/>
      <x:c r="W468" s="165" t="str">
        <x:v>因果説明</x:v>
      </x:c>
      <x:c r="X468" s="171" t="str">
        <x:v>D2</x:v>
      </x:c>
      <x:c r="Y468" s="165" t="str">
        <x:v>ロゼ発泡性の短時間浸漬に関する別の特徴・要因と混同; ロゼ発泡性の短時間浸漬に関する別の特徴・要因と混同; ロゼ発泡性の短時間浸漬に関する別の特徴・要因と混同</x:v>
      </x:c>
      <x:c r="Z468" s="171" t="str">
        <x:v>N</x:v>
      </x:c>
      <x:c r="AA468" s="165"/>
      <x:c r="AB468" s="165" t="str">
        <x:v>オリジナル</x:v>
      </x:c>
      <x:c r="AC468" s="165" t="str">
        <x:v>公式Specificationの範囲＋ユーザー作成コーパスの論点を参考に独自作成</x:v>
      </x:c>
      <x:c r="AD468" s="171" t="str">
        <x:v>改稿済み・専門家未承認</x:v>
      </x:c>
      <x:c r="AE468" s="171" t="str">
        <x:v>AI誤答レビュー</x:v>
      </x:c>
      <x:c r="AF468" s="171" t="str">
        <x:v>2026-07-12</x:v>
      </x:c>
      <x:c r="AG468" s="312" t="str">
        <x:v>最終バッチ：有効な誤答を維持し、絶対語・物理的不可能な誤答のみ置換。正答位置は維持。</x:v>
      </x:c>
    </x:row>
    <x:row r="469" ht="84" customHeight="1">
      <x:c r="A469" s="311" t="str">
        <x:v>LO3-108</x:v>
      </x:c>
      <x:c r="B469" s="171" t="str">
        <x:v>LO3</x:v>
      </x:c>
      <x:c r="C469" s="165" t="str">
        <x:v>世界の主要な発泡性ワイン</x:v>
      </x:c>
      <x:c r="D469" s="165" t="str">
        <x:v>ロゼ発泡性のブレンド</x:v>
      </x:c>
      <x:c r="E469" s="165" t="str">
        <x:v>白のベースワインへ少量の赤ワインを加えてロゼ発泡性ワインを造る利点はどれか。</x:v>
      </x:c>
      <x:c r="F469" s="165" t="str">
        <x:v>短時間果皮浸漬より強いタンニンを得られ、長期熟成型にしやすい</x:v>
      </x:c>
      <x:c r="G469" s="165" t="str">
        <x:v>赤ワインを加えることで二次発酵が不要になり、コストを下げられる</x:v>
      </x:c>
      <x:c r="H469" s="165" t="str">
        <x:v>白ベースの酸を下げ、甘口へしやすい</x:v>
      </x:c>
      <x:c r="I469" s="165" t="str">
        <x:v>色と赤系果実の風味を精密かつ再現性高く調整できる</x:v>
      </x:c>
      <x:c r="J469" s="171" t="str">
        <x:v>D</x:v>
      </x:c>
      <x:c r="K469" s="165" t="str">
        <x:v>色と赤系果実の風味を精密かつ再現性高く調整できる</x:v>
      </x:c>
      <x:c r="L469" s="165" t="str">
        <x:v>正しい。別醸造の赤ワインを少量ずつ加え、収穫年ごとの色差を補える。</x:v>
      </x:c>
      <x:c r="M469" s="165" t="str">
        <x:v>誤り。赤ワインの少量添加は色と果実味を調整する方法で、タンニン最大化が主な利点ではない。</x:v>
      </x:c>
      <x:c r="N469" s="165" t="str">
        <x:v>誤り。ロゼでも発泡性を得るための二次発酵は必要。</x:v>
      </x:c>
      <x:c r="O469" s="165" t="str">
        <x:v>誤り。赤ワイン添加は甘味調整ではなく、酸を必ず下げるわけでもない。</x:v>
      </x:c>
      <x:c r="P469" s="165" t="str">
        <x:v>正しい。別醸造の赤ワインを少量ずつ加え、収穫年ごとの色差を補える。</x:v>
      </x:c>
      <x:c r="Q469" s="165" t="str">
        <x:v>醸造</x:v>
      </x:c>
      <x:c r="R469" s="165" t="str">
        <x:v>ロゼ発泡性</x:v>
      </x:c>
      <x:c r="S469" s="165" t="str">
        <x:v>ロゼ発泡性ワイン</x:v>
      </x:c>
      <x:c r="T469" s="165"/>
      <x:c r="U469" s="165"/>
      <x:c r="V469" s="165"/>
      <x:c r="W469" s="165" t="str">
        <x:v>比較</x:v>
      </x:c>
      <x:c r="X469" s="171" t="str">
        <x:v>D2</x:v>
      </x:c>
      <x:c r="Y469" s="165" t="str">
        <x:v>ロゼ発泡性のブレンド法はタンニン増加が目的; 赤ワイン添加で二次発酵不要; 赤ワイン添加で酸低下・甘口化</x:v>
      </x:c>
      <x:c r="Z469" s="171" t="str">
        <x:v>N</x:v>
      </x:c>
      <x:c r="AA469" s="165"/>
      <x:c r="AB469" s="165" t="str">
        <x:v>オリジナル</x:v>
      </x:c>
      <x:c r="AC469" s="165" t="str">
        <x:v>公式Specificationの範囲＋ユーザー作成コーパスの論点を参考に独自作成</x:v>
      </x:c>
      <x:c r="AD469" s="171" t="str">
        <x:v>改稿済み・専門家未承認</x:v>
      </x:c>
      <x:c r="AE469" s="171" t="str">
        <x:v>AI誤答レビュー</x:v>
      </x:c>
      <x:c r="AF469" s="171" t="str">
        <x:v>2026-07-12</x:v>
      </x:c>
      <x:c r="AG469" s="312" t="str">
        <x:v>第4バッチ：同一論点内の典型的誤概念へ置換。正答位置は維持。</x:v>
      </x:c>
    </x:row>
    <x:row r="470" ht="84" customHeight="1">
      <x:c r="A470" s="311" t="str">
        <x:v>LO3-109</x:v>
      </x:c>
      <x:c r="B470" s="171" t="str">
        <x:v>LO3</x:v>
      </x:c>
      <x:c r="C470" s="165" t="str">
        <x:v>世界の主要な発泡性ワイン</x:v>
      </x:c>
      <x:c r="D470" s="165" t="str">
        <x:v>トランスファー方式と瓶サイズ</x:v>
      </x:c>
      <x:c r="E470" s="165" t="str">
        <x:v>トランスファー方式が、小型瓶や大型瓶の発泡性ワイン生産に便利な主な理由はどれか。</x:v>
      </x:c>
      <x:c r="F470" s="165" t="str">
        <x:v>標準瓶で二次発酵後、加圧タンクでまとめて処理し、任意のサイズへ再瓶詰めできる</x:v>
      </x:c>
      <x:c r="G470" s="165" t="str">
        <x:v>販売する各瓶で二次発酵し、ルミュアージュとデゴルジュマンも各瓶で行う</x:v>
      </x:c>
      <x:c r="H470" s="165" t="str">
        <x:v>密閉タンク内で二次発酵を行い、そのタンクから直接販売瓶へ充填する</x:v>
      </x:c>
      <x:c r="I470" s="165" t="str">
        <x:v>完成した非発泡性ワインへ炭酸ガスを注入し、任意の瓶サイズへ充填する</x:v>
      </x:c>
      <x:c r="J470" s="171" t="str">
        <x:v>A</x:v>
      </x:c>
      <x:c r="K470" s="165" t="str">
        <x:v>標準瓶で二次発酵後、加圧タンクでまとめて処理し、任意のサイズへ再瓶詰めできる</x:v>
      </x:c>
      <x:c r="L470" s="165" t="str">
        <x:v>正しい。標準瓶での二次発酵後にタンクへ移すため、最終容器のサイズに左右されにくい。</x:v>
      </x:c>
      <x:c r="M470" s="165" t="str">
        <x:v>正しい。標準瓶での二次発酵後にタンクへ移すため、最終容器のサイズに左右されにくい。</x:v>
      </x:c>
      <x:c r="N470" s="165" t="str">
        <x:v>誤り。これは伝統的方式で、最終販売瓶ごとの処理が必要となる。</x:v>
      </x:c>
      <x:c r="O470" s="165" t="str">
        <x:v>誤り。これはタンク方式であり、瓶内二次発酵を経るトランスファー方式とは異なる。</x:v>
      </x:c>
      <x:c r="P470" s="165" t="str">
        <x:v>誤り。これは炭酸ガス注入方式で、二次発酵を用いない。</x:v>
      </x:c>
      <x:c r="Q470" s="165" t="str">
        <x:v>発泡性ワイン製法</x:v>
      </x:c>
      <x:c r="R470" s="165" t="str">
        <x:v>トランスファー方式</x:v>
      </x:c>
      <x:c r="S470" s="165" t="str">
        <x:v>発泡性ワイン</x:v>
      </x:c>
      <x:c r="T470" s="165"/>
      <x:c r="U470" s="165"/>
      <x:c r="V470" s="165"/>
      <x:c r="W470" s="165" t="str">
        <x:v>因果説明</x:v>
      </x:c>
      <x:c r="X470" s="171" t="str">
        <x:v>D3</x:v>
      </x:c>
      <x:c r="Y470" s="165" t="str">
        <x:v>トランスファー方式と伝統的方式の混同; トランスファー方式とタンク方式の混同; トランスファー方式と炭酸ガス注入方式の混同</x:v>
      </x:c>
      <x:c r="Z470" s="171" t="str">
        <x:v>N</x:v>
      </x:c>
      <x:c r="AA470" s="165"/>
      <x:c r="AB470" s="165" t="str">
        <x:v>オリジナル</x:v>
      </x:c>
      <x:c r="AC470" s="165" t="str">
        <x:v>公式Specificationの範囲＋ユーザー作成コーパスの論点を参考に独自作成</x:v>
      </x:c>
      <x:c r="AD470" s="171" t="str">
        <x:v>改稿済み・専門家未承認</x:v>
      </x:c>
      <x:c r="AE470" s="171" t="str">
        <x:v>AI誤答レビュー</x:v>
      </x:c>
      <x:c r="AF470" s="171" t="str">
        <x:v>2026-07-12</x:v>
      </x:c>
      <x:c r="AG470" s="312" t="str">
        <x:v>第2バッチ：誤答を同一論点内の典型的誤概念へ置換。正答位置は維持。</x:v>
      </x:c>
    </x:row>
    <x:row r="471" ht="84" customHeight="1">
      <x:c r="A471" s="311" t="str">
        <x:v>LO3-110</x:v>
      </x:c>
      <x:c r="B471" s="171" t="str">
        <x:v>LO3</x:v>
      </x:c>
      <x:c r="C471" s="165" t="str">
        <x:v>世界の主要な発泡性ワイン</x:v>
      </x:c>
      <x:c r="D471" s="165" t="str">
        <x:v>タンク方式の密閉</x:v>
      </x:c>
      <x:c r="E471" s="165" t="str">
        <x:v>タンク方式で二次発酵を密閉耐圧タンク内で行う主な理由はどれか。</x:v>
      </x:c>
      <x:c r="F471" s="165" t="str">
        <x:v>澱を瓶口へ集めるため</x:v>
      </x:c>
      <x:c r="G471" s="165" t="str">
        <x:v>発生した二酸化炭素をワインへ溶かしたまま保持するため</x:v>
      </x:c>
      <x:c r="H471" s="165" t="str">
        <x:v>アルコールを多く蒸発させるため</x:v>
      </x:c>
      <x:c r="I471" s="165" t="str">
        <x:v>酸素を大量に取り込み、酸化を最大化するため</x:v>
      </x:c>
      <x:c r="J471" s="171" t="str">
        <x:v>B</x:v>
      </x:c>
      <x:c r="K471" s="165" t="str">
        <x:v>発生した二酸化炭素をワインへ溶かしたまま保持するため</x:v>
      </x:c>
      <x:c r="L471" s="165" t="str">
        <x:v>正しい。密閉されたタンク内で酵母が糖を発酵し、逃げ場のない二酸化炭素がワインへ溶け込む。</x:v>
      </x:c>
      <x:c r="M471" s="165" t="str">
        <x:v>誤り。瓶内のルミュアージュは行わない。</x:v>
      </x:c>
      <x:c r="N471" s="165" t="str">
        <x:v>正しい。密閉されたタンク内で酵母が糖を発酵し、逃げ場のない二酸化炭素がワインへ溶け込む。</x:v>
      </x:c>
      <x:c r="O471" s="165" t="str">
        <x:v>誤り。耐圧密閉タンクでアルコール除去は行わない。</x:v>
      </x:c>
      <x:c r="P471" s="165" t="str">
        <x:v>誤り。密閉し、酸素を制限する。</x:v>
      </x:c>
      <x:c r="Q471" s="165" t="str">
        <x:v>発泡性ワイン製法</x:v>
      </x:c>
      <x:c r="R471" s="165" t="str">
        <x:v>タンク方式</x:v>
      </x:c>
      <x:c r="S471" s="165" t="str">
        <x:v>発泡性ワイン</x:v>
      </x:c>
      <x:c r="T471" s="165"/>
      <x:c r="U471" s="165"/>
      <x:c r="V471" s="165"/>
      <x:c r="W471" s="165" t="str">
        <x:v>因果説明</x:v>
      </x:c>
      <x:c r="X471" s="171" t="str">
        <x:v>D1</x:v>
      </x:c>
      <x:c r="Y471" s="165" t="str">
        <x:v>タンク方式の密閉について関連要因を主因とみなす; タンク方式の密閉について関連要因を主因とみなす; タンク方式の密閉について関連要因を主因とみなす</x:v>
      </x:c>
      <x:c r="Z471" s="171" t="str">
        <x:v>N</x:v>
      </x:c>
      <x:c r="AA471" s="165"/>
      <x:c r="AB471" s="165" t="str">
        <x:v>オリジナル</x:v>
      </x:c>
      <x:c r="AC471" s="165" t="str">
        <x:v>公式Specificationの範囲＋ユーザー作成コーパスの論点を参考に独自作成</x:v>
      </x:c>
      <x:c r="AD471" s="171" t="str">
        <x:v>改稿済み・専門家未承認</x:v>
      </x:c>
      <x:c r="AE471" s="171" t="str">
        <x:v>AI誤答レビュー</x:v>
      </x:c>
      <x:c r="AF471" s="171" t="str">
        <x:v>2026-07-12</x:v>
      </x:c>
      <x:c r="AG471" s="312" t="str">
        <x:v>第5バッチ：使用可能な誤答を維持し、弱い誤答を因果逆転・隣接概念へ置換。正答位置は維持。</x:v>
      </x:c>
    </x:row>
    <x:row r="472" ht="84" customHeight="1">
      <x:c r="A472" s="311" t="str">
        <x:v>LO3-111</x:v>
      </x:c>
      <x:c r="B472" s="171" t="str">
        <x:v>LO3</x:v>
      </x:c>
      <x:c r="C472" s="165" t="str">
        <x:v>世界の主要な発泡性ワイン</x:v>
      </x:c>
      <x:c r="D472" s="165" t="str">
        <x:v>タンク方式の低温管理</x:v>
      </x:c>
      <x:c r="E472" s="165" t="str">
        <x:v>プロセッコの二次発酵を低温のタンクで行う主な目的はどれか。</x:v>
      </x:c>
      <x:c r="F472" s="165" t="str">
        <x:v>残糖をゼロにする</x:v>
      </x:c>
      <x:c r="G472" s="165" t="str">
        <x:v>タンニンを最大限に抽出する</x:v>
      </x:c>
      <x:c r="H472" s="165" t="str">
        <x:v>グレーラの洋梨、リンゴ、花の香りを保持する</x:v>
      </x:c>
      <x:c r="I472" s="165" t="str">
        <x:v>パンやビスケット香を最大限にする</x:v>
      </x:c>
      <x:c r="J472" s="171" t="str">
        <x:v>C</x:v>
      </x:c>
      <x:c r="K472" s="165" t="str">
        <x:v>グレーラの洋梨、リンゴ、花の香りを保持する</x:v>
      </x:c>
      <x:c r="L472" s="165" t="str">
        <x:v>正しい。低温は揮発性香気の損失を抑え、自己分解香より一次果実香を中心としたスタイルにする。</x:v>
      </x:c>
      <x:c r="M472" s="165" t="str">
        <x:v>誤り。発酵停止と甘味調整により複数の残糖スタイルがある。</x:v>
      </x:c>
      <x:c r="N472" s="165" t="str">
        <x:v>誤り。白のベースワインで強い果皮抽出は行わない。</x:v>
      </x:c>
      <x:c r="O472" s="165" t="str">
        <x:v>正しい。低温は揮発性香気の損失を抑え、自己分解香より一次果実香を中心としたスタイルにする。</x:v>
      </x:c>
      <x:c r="P472" s="165" t="str">
        <x:v>誤り。長期澱熟成を行う伝統的方式でより発達しやすい香りである。</x:v>
      </x:c>
      <x:c r="Q472" s="165" t="str">
        <x:v>発泡性ワイン製法</x:v>
      </x:c>
      <x:c r="R472" s="165" t="str">
        <x:v>タンク方式</x:v>
      </x:c>
      <x:c r="S472" s="165" t="str">
        <x:v>発泡性ワイン</x:v>
      </x:c>
      <x:c r="T472" s="165" t="str">
        <x:v>イタリア</x:v>
      </x:c>
      <x:c r="U472" s="165" t="str">
        <x:v>プロセッコ</x:v>
      </x:c>
      <x:c r="V472" s="165" t="str">
        <x:v>グレーラ</x:v>
      </x:c>
      <x:c r="W472" s="165" t="str">
        <x:v>因果説明</x:v>
      </x:c>
      <x:c r="X472" s="171" t="str">
        <x:v>D2</x:v>
      </x:c>
      <x:c r="Y472" s="165" t="str">
        <x:v>タンク方式の低温管理について関連要因を主因とみなす; タンク方式の低温管理について関連要因を主因とみなす; タンク方式の低温管理について関連要因を主因とみなす</x:v>
      </x:c>
      <x:c r="Z472" s="171" t="str">
        <x:v>N</x:v>
      </x:c>
      <x:c r="AA472" s="165"/>
      <x:c r="AB472" s="165" t="str">
        <x:v>オリジナル</x:v>
      </x:c>
      <x:c r="AC472" s="165" t="str">
        <x:v>公式Specificationの範囲＋ユーザー作成コーパスの論点を参考に独自作成</x:v>
      </x:c>
      <x:c r="AD472" s="171" t="str">
        <x:v>改稿済み・専門家未承認</x:v>
      </x:c>
      <x:c r="AE472" s="171" t="str">
        <x:v>AI誤答レビュー</x:v>
      </x:c>
      <x:c r="AF472" s="171" t="str">
        <x:v>2026-07-12</x:v>
      </x:c>
      <x:c r="AG472" s="312" t="str">
        <x:v>第5バッチ：使用可能な誤答を維持し、弱い誤答を因果逆転・隣接概念へ置換。正答位置は維持。</x:v>
      </x:c>
    </x:row>
    <x:row r="473" ht="84" customHeight="1">
      <x:c r="A473" s="311" t="str">
        <x:v>LO3-112</x:v>
      </x:c>
      <x:c r="B473" s="171" t="str">
        <x:v>LO3</x:v>
      </x:c>
      <x:c r="C473" s="165" t="str">
        <x:v>世界の主要な発泡性ワイン</x:v>
      </x:c>
      <x:c r="D473" s="165" t="str">
        <x:v>炭酸ガス注入方式のコスト</x:v>
      </x:c>
      <x:c r="E473" s="165" t="str">
        <x:v>炭酸ガス注入方式が最も低コストになりやすい主な理由はどれか。</x:v>
      </x:c>
      <x:c r="F473" s="165" t="str">
        <x:v>手作業のルミュアージュを数年行うため</x:v>
      </x:c>
      <x:c r="G473" s="165" t="str">
        <x:v>最高品質の低収量畑だけを使うため</x:v>
      </x:c>
      <x:c r="H473" s="165" t="str">
        <x:v>瓶ごとに二次発酵するため</x:v>
      </x:c>
      <x:c r="I473" s="165" t="str">
        <x:v>二次発酵や長期澱熟成を行わず、完成ワインへ直接炭酸ガスを溶かすため</x:v>
      </x:c>
      <x:c r="J473" s="171" t="str">
        <x:v>D</x:v>
      </x:c>
      <x:c r="K473" s="165" t="str">
        <x:v>二次発酵や長期澱熟成を行わず、完成ワインへ直接炭酸ガスを溶かすため</x:v>
      </x:c>
      <x:c r="L473" s="165" t="str">
        <x:v>正しい。工程と在庫期間が短く、大型設備で大量に処理できるため、安価で単純な発泡性ワインに適する。</x:v>
      </x:c>
      <x:c r="M473" s="165" t="str">
        <x:v>誤り。この方式ではルミュアージュを行わない。</x:v>
      </x:c>
      <x:c r="N473" s="165" t="str">
        <x:v>誤り。原料コストと長期熟成を抑えた製品に用いられることが多い。</x:v>
      </x:c>
      <x:c r="O473" s="165" t="str">
        <x:v>誤り。二次発酵を行わず、炭酸ガスを注入する。</x:v>
      </x:c>
      <x:c r="P473" s="165" t="str">
        <x:v>正しい。工程と在庫期間が短く、大型設備で大量に処理できるため、安価で単純な発泡性ワインに適する。</x:v>
      </x:c>
      <x:c r="Q473" s="165" t="str">
        <x:v>商業・価格</x:v>
      </x:c>
      <x:c r="R473" s="165" t="str">
        <x:v>炭酸ガス注入</x:v>
      </x:c>
      <x:c r="S473" s="165" t="str">
        <x:v>発泡性ワイン</x:v>
      </x:c>
      <x:c r="T473" s="165"/>
      <x:c r="U473" s="165"/>
      <x:c r="V473" s="165"/>
      <x:c r="W473" s="165" t="str">
        <x:v>統合判断</x:v>
      </x:c>
      <x:c r="X473" s="171" t="str">
        <x:v>D2</x:v>
      </x:c>
      <x:c r="Y473" s="165" t="str">
        <x:v>炭酸ガス注入方式のコストに関する別の特徴・要因と混同; 炭酸ガス注入方式のコストに関する別の特徴・要因と混同; 炭酸ガス注入方式のコストに関する別の特徴・要因と混同</x:v>
      </x:c>
      <x:c r="Z473" s="171" t="str">
        <x:v>N</x:v>
      </x:c>
      <x:c r="AA473" s="165"/>
      <x:c r="AB473" s="165" t="str">
        <x:v>オリジナル</x:v>
      </x:c>
      <x:c r="AC473" s="165" t="str">
        <x:v>公式Specificationの範囲＋ユーザー作成コーパスの論点を参考に独自作成</x:v>
      </x:c>
      <x:c r="AD473" s="171" t="str">
        <x:v>改稿済み・専門家未承認</x:v>
      </x:c>
      <x:c r="AE473" s="171" t="str">
        <x:v>AI誤答レビュー</x:v>
      </x:c>
      <x:c r="AF473" s="171" t="str">
        <x:v>2026-07-12</x:v>
      </x:c>
      <x:c r="AG473" s="312" t="str">
        <x:v>最終バッチ：有効な誤答を維持し、絶対語・物理的不可能な誤答のみ置換。正答位置は維持。</x:v>
      </x:c>
    </x:row>
    <x:row r="474" ht="84" customHeight="1">
      <x:c r="A474" s="311" t="str">
        <x:v>LO3-113</x:v>
      </x:c>
      <x:c r="B474" s="171" t="str">
        <x:v>LO3</x:v>
      </x:c>
      <x:c r="C474" s="165" t="str">
        <x:v>世界の主要な発泡性ワイン</x:v>
      </x:c>
      <x:c r="D474" s="165" t="str">
        <x:v>アンセストラル方式</x:v>
      </x:c>
      <x:c r="E474" s="165" t="str">
        <x:v>アンセストラル方式の発泡性ワインで瓶ごとの圧力や残糖に差が出やすい主な理由はどれか。</x:v>
      </x:c>
      <x:c r="F474" s="165" t="str">
        <x:v>一次発酵途中のワインを瓶詰めし、残りの発酵を瓶内で完了させるため</x:v>
      </x:c>
      <x:c r="G474" s="165" t="str">
        <x:v>完成した辛口ワインへ常に同量の炭酸ガスを注入するため</x:v>
      </x:c>
      <x:c r="H474" s="165" t="str">
        <x:v>デゴルジュマン後に酒精強化するため</x:v>
      </x:c>
      <x:c r="I474" s="165" t="str">
        <x:v>毎年同じリザーヴワインを大量に使うため</x:v>
      </x:c>
      <x:c r="J474" s="171" t="str">
        <x:v>A</x:v>
      </x:c>
      <x:c r="K474" s="165" t="str">
        <x:v>一次発酵途中のワインを瓶詰めし、残りの発酵を瓶内で完了させるため</x:v>
      </x:c>
      <x:c r="L474" s="165" t="str">
        <x:v>正しい。瓶詰め時の糖と酵母の状態を精密にそろえることが難しく、濾過やドザージュを省く場合も多い。</x:v>
      </x:c>
      <x:c r="M474" s="165" t="str">
        <x:v>正しい。瓶詰め時の糖と酵母の状態を精密にそろえることが難しく、濾過やドザージュを省く場合も多い。</x:v>
      </x:c>
      <x:c r="N474" s="165" t="str">
        <x:v>誤り。これは炭酸ガス注入方式で、より均一になりやすい。</x:v>
      </x:c>
      <x:c r="O474" s="165" t="str">
        <x:v>誤り。アンセストラル方式は酒精強化しない。</x:v>
      </x:c>
      <x:c r="P474" s="165" t="str">
        <x:v>誤り。単一発酵の自然な仕上がりが特徴である。</x:v>
      </x:c>
      <x:c r="Q474" s="165" t="str">
        <x:v>発泡性ワイン製法</x:v>
      </x:c>
      <x:c r="R474" s="165" t="str">
        <x:v>アンセストラル方式</x:v>
      </x:c>
      <x:c r="S474" s="165" t="str">
        <x:v>発泡性ワイン</x:v>
      </x:c>
      <x:c r="T474" s="165"/>
      <x:c r="U474" s="165"/>
      <x:c r="V474" s="165"/>
      <x:c r="W474" s="165" t="str">
        <x:v>因果説明</x:v>
      </x:c>
      <x:c r="X474" s="171" t="str">
        <x:v>D3</x:v>
      </x:c>
      <x:c r="Y474" s="165" t="str">
        <x:v>アンセストラル方式に関する別の特徴・要因と混同; アンセストラル方式に関する別の特徴・要因と混同; アンセストラル方式に関する別の特徴・要因と混同</x:v>
      </x:c>
      <x:c r="Z474" s="171" t="str">
        <x:v>N</x:v>
      </x:c>
      <x:c r="AA474" s="165"/>
      <x:c r="AB474" s="165" t="str">
        <x:v>オリジナル</x:v>
      </x:c>
      <x:c r="AC474" s="165" t="str">
        <x:v>公式Specificationの範囲＋ユーザー作成コーパスの論点を参考に独自作成</x:v>
      </x:c>
      <x:c r="AD474" s="171" t="str">
        <x:v>改稿済み・専門家未承認</x:v>
      </x:c>
      <x:c r="AE474" s="171" t="str">
        <x:v>AI誤答レビュー</x:v>
      </x:c>
      <x:c r="AF474" s="171" t="str">
        <x:v>2026-07-12</x:v>
      </x:c>
      <x:c r="AG474" s="312" t="str">
        <x:v>最終バッチ：有効な誤答を維持し、絶対語・物理的不可能な誤答のみ置換。正答位置は維持。</x:v>
      </x:c>
    </x:row>
    <x:row r="475" ht="84" customHeight="1">
      <x:c r="A475" s="311" t="str">
        <x:v>LO3-114</x:v>
      </x:c>
      <x:c r="B475" s="171" t="str">
        <x:v>LO3</x:v>
      </x:c>
      <x:c r="C475" s="165" t="str">
        <x:v>世界の主要な発泡性ワイン</x:v>
      </x:c>
      <x:c r="D475" s="165" t="str">
        <x:v>ペット・ナットの澱</x:v>
      </x:c>
      <x:c r="E475" s="165" t="str">
        <x:v>ペット・ナットの瓶底に澱が残ることが多い主な理由はどれか。</x:v>
      </x:c>
      <x:c r="F475" s="165" t="str">
        <x:v>コルクが溶けるため</x:v>
      </x:c>
      <x:c r="G475" s="165" t="str">
        <x:v>瓶内で一次発酵が完了し、濾過やデゴルジュマンを行わない場合が多い</x:v>
      </x:c>
      <x:c r="H475" s="165" t="str">
        <x:v>果皮を数年間瓶内へ入れるため</x:v>
      </x:c>
      <x:c r="I475" s="165" t="str">
        <x:v>人工着色料が沈殿するため</x:v>
      </x:c>
      <x:c r="J475" s="171" t="str">
        <x:v>B</x:v>
      </x:c>
      <x:c r="K475" s="165" t="str">
        <x:v>瓶内で一次発酵が完了し、濾過やデゴルジュマンを行わない場合が多い</x:v>
      </x:c>
      <x:c r="L475" s="165" t="str">
        <x:v>正しい。酵母が瓶内で沈殿したまま出荷されるため、外観が濁り、パンや酵母の風味を感じることがある。</x:v>
      </x:c>
      <x:c r="M475" s="165" t="str">
        <x:v>誤り。コルクの溶解が澱の原因ではない。</x:v>
      </x:c>
      <x:c r="N475" s="165" t="str">
        <x:v>正しい。酵母が瓶内で沈殿したまま出荷されるため、外観が濁り、パンや酵母の風味を感じることがある。</x:v>
      </x:c>
      <x:c r="O475" s="165" t="str">
        <x:v>誤り。果皮ではなく発酵酵母が主な沈殿である。</x:v>
      </x:c>
      <x:c r="P475" s="165" t="str">
        <x:v>誤り。澱の主成分は酵母である。</x:v>
      </x:c>
      <x:c r="Q475" s="165" t="str">
        <x:v>発泡性ワイン製法</x:v>
      </x:c>
      <x:c r="R475" s="165" t="str">
        <x:v>ペット・ナット</x:v>
      </x:c>
      <x:c r="S475" s="165" t="str">
        <x:v>発泡性ワイン</x:v>
      </x:c>
      <x:c r="T475" s="165"/>
      <x:c r="U475" s="165"/>
      <x:c r="V475" s="165"/>
      <x:c r="W475" s="165" t="str">
        <x:v>知識確認</x:v>
      </x:c>
      <x:c r="X475" s="171" t="str">
        <x:v>D1</x:v>
      </x:c>
      <x:c r="Y475" s="165" t="str">
        <x:v>ペット・ナットの澱について関連要因を主因とみなす; ペット・ナットの澱について関連要因を主因とみなす; ペット・ナットの澱について関連要因を主因とみなす</x:v>
      </x:c>
      <x:c r="Z475" s="171" t="str">
        <x:v>N</x:v>
      </x:c>
      <x:c r="AA475" s="165"/>
      <x:c r="AB475" s="165" t="str">
        <x:v>オリジナル</x:v>
      </x:c>
      <x:c r="AC475" s="165" t="str">
        <x:v>公式Specificationの範囲＋ユーザー作成コーパスの論点を参考に独自作成</x:v>
      </x:c>
      <x:c r="AD475" s="171" t="str">
        <x:v>改稿済み・専門家未承認</x:v>
      </x:c>
      <x:c r="AE475" s="171" t="str">
        <x:v>AI誤答レビュー</x:v>
      </x:c>
      <x:c r="AF475" s="171" t="str">
        <x:v>2026-07-12</x:v>
      </x:c>
      <x:c r="AG475" s="312" t="str">
        <x:v>第5バッチ：使用可能な誤答を維持し、弱い誤答を因果逆転・隣接概念へ置換。正答位置は維持。</x:v>
      </x:c>
    </x:row>
    <x:row r="476" ht="84" customHeight="1">
      <x:c r="A476" s="311" t="str">
        <x:v>LO3-115</x:v>
      </x:c>
      <x:c r="B476" s="171" t="str">
        <x:v>LO3</x:v>
      </x:c>
      <x:c r="C476" s="165" t="str">
        <x:v>世界の主要な発泡性ワイン</x:v>
      </x:c>
      <x:c r="D476" s="165" t="str">
        <x:v>ドザージュ試験</x:v>
      </x:c>
      <x:c r="E476" s="165" t="str">
        <x:v>生産者が同じワインに複数水準のドザージュを試す主な目的はどれか。</x:v>
      </x:c>
      <x:c r="F476" s="165" t="str">
        <x:v>ワインを赤へ着色する</x:v>
      </x:c>
      <x:c r="G476" s="165" t="str">
        <x:v>瓶内圧力を大きくゼロにする</x:v>
      </x:c>
      <x:c r="H476" s="165" t="str">
        <x:v>酸、果実味、自己分解香に最も調和する最終甘味を選ぶ</x:v>
      </x:c>
      <x:c r="I476" s="165" t="str">
        <x:v>二次発酵に必要な酵母量を決める</x:v>
      </x:c>
      <x:c r="J476" s="171" t="str">
        <x:v>C</x:v>
      </x:c>
      <x:c r="K476" s="165" t="str">
        <x:v>酸、果実味、自己分解香に最も調和する最終甘味を選ぶ</x:v>
      </x:c>
      <x:c r="L476" s="165" t="str">
        <x:v>正しい。糖が少なすぎると鋭く、多すぎると重く感じられるため、試飲でバランスとハウス・スタイルを決める。</x:v>
      </x:c>
      <x:c r="M476" s="165" t="str">
        <x:v>誤り。色の調整が主目的ではない。</x:v>
      </x:c>
      <x:c r="N476" s="165" t="str">
        <x:v>誤り。ドザージュは甘味調整で、圧力除去ではない。</x:v>
      </x:c>
      <x:c r="O476" s="165" t="str">
        <x:v>正しい。糖が少なすぎると鋭く、多すぎると重く感じられるため、試飲でバランスとハウス・スタイルを決める。</x:v>
      </x:c>
      <x:c r="P476" s="165" t="str">
        <x:v>誤り。二次発酵前のティラージュとは別の工程である。</x:v>
      </x:c>
      <x:c r="Q476" s="165" t="str">
        <x:v>発泡性ワイン製法</x:v>
      </x:c>
      <x:c r="R476" s="165" t="str">
        <x:v>ドザージュ</x:v>
      </x:c>
      <x:c r="S476" s="165" t="str">
        <x:v>発泡性ワイン</x:v>
      </x:c>
      <x:c r="T476" s="165"/>
      <x:c r="U476" s="165"/>
      <x:c r="V476" s="165"/>
      <x:c r="W476" s="165" t="str">
        <x:v>適用</x:v>
      </x:c>
      <x:c r="X476" s="171" t="str">
        <x:v>D3</x:v>
      </x:c>
      <x:c r="Y476" s="165" t="str">
        <x:v>ドザージュ試験について関連要因を主因とみなす; ドザージュ試験について関連要因を主因とみなす; ドザージュ試験について関連要因を主因とみなす</x:v>
      </x:c>
      <x:c r="Z476" s="171" t="str">
        <x:v>N</x:v>
      </x:c>
      <x:c r="AA476" s="165"/>
      <x:c r="AB476" s="165" t="str">
        <x:v>オリジナル</x:v>
      </x:c>
      <x:c r="AC476" s="165" t="str">
        <x:v>公式Specificationの範囲＋ユーザー作成コーパスの論点を参考に独自作成</x:v>
      </x:c>
      <x:c r="AD476" s="171" t="str">
        <x:v>改稿済み・専門家未承認</x:v>
      </x:c>
      <x:c r="AE476" s="171" t="str">
        <x:v>AI誤答レビュー</x:v>
      </x:c>
      <x:c r="AF476" s="171" t="str">
        <x:v>2026-07-12</x:v>
      </x:c>
      <x:c r="AG476" s="312" t="str">
        <x:v>第5バッチ：使用可能な誤答を維持し、弱い誤答を因果逆転・隣接概念へ置換。正答位置は維持。</x:v>
      </x:c>
    </x:row>
    <x:row r="477" ht="84" customHeight="1">
      <x:c r="A477" s="311" t="str">
        <x:v>LO3-116</x:v>
      </x:c>
      <x:c r="B477" s="171" t="str">
        <x:v>LO3</x:v>
      </x:c>
      <x:c r="C477" s="165" t="str">
        <x:v>世界の主要な発泡性ワイン</x:v>
      </x:c>
      <x:c r="D477" s="165" t="str">
        <x:v>ゼロ・ドザージュ</x:v>
      </x:c>
      <x:c r="E477" s="165" t="str">
        <x:v>ゼロ・ドザージュの発泡性ワインで、十分に成熟した高品質ブドウが特に重要な理由はどれか。</x:v>
      </x:c>
      <x:c r="F477" s="165" t="str">
        <x:v>糖を加えないため、瓶内二次発酵が起こらず、ブドウのアルコールだけで泡を得る</x:v>
      </x:c>
      <x:c r="G477" s="165" t="str">
        <x:v>ドザージュがないと酸が低く感じられるため、未熟なブドウの方が適する</x:v>
      </x:c>
      <x:c r="H477" s="165" t="str">
        <x:v>糖を加えない分、二酸化炭素が少なくなるため、果実濃度で泡を補う</x:v>
      </x:c>
      <x:c r="I477" s="165" t="str">
        <x:v>糖で酸や未熟な風味を補正できないため、ベースワイン自体のバランスが明確に表れる</x:v>
      </x:c>
      <x:c r="J477" s="171" t="str">
        <x:v>D</x:v>
      </x:c>
      <x:c r="K477" s="165" t="str">
        <x:v>糖で酸や未熟な風味を補正できないため、ベースワイン自体のバランスが明確に表れる</x:v>
      </x:c>
      <x:c r="L477" s="165" t="str">
        <x:v>正しい。果実の熟度、酸、濃度、自己分解香の質が直接表れる。</x:v>
      </x:c>
      <x:c r="M477" s="165" t="str">
        <x:v>誤り。ゼロ・ドザージュでも二次発酵用のティラージュ糖は用いる。</x:v>
      </x:c>
      <x:c r="N477" s="165" t="str">
        <x:v>誤り。ドザージュがないと酸はむしろ鋭く感じられやすく、未熟果は不利である。</x:v>
      </x:c>
      <x:c r="O477" s="165" t="str">
        <x:v>誤り。最終ドザージュと瓶内圧力は別で、泡を果実濃度で補うわけではない。</x:v>
      </x:c>
      <x:c r="P477" s="165" t="str">
        <x:v>正しい。果実の熟度、酸、濃度、自己分解香の質が直接表れる。</x:v>
      </x:c>
      <x:c r="Q477" s="165" t="str">
        <x:v>スタイル</x:v>
      </x:c>
      <x:c r="R477" s="165" t="str">
        <x:v>ドザージュ</x:v>
      </x:c>
      <x:c r="S477" s="165" t="str">
        <x:v>発泡性ワイン</x:v>
      </x:c>
      <x:c r="T477" s="165"/>
      <x:c r="U477" s="165"/>
      <x:c r="V477" s="165"/>
      <x:c r="W477" s="165" t="str">
        <x:v>統合判断</x:v>
      </x:c>
      <x:c r="X477" s="171" t="str">
        <x:v>D3</x:v>
      </x:c>
      <x:c r="Y477" s="165" t="str">
        <x:v>ゼロドザージュでは二次発酵用糖も使わない; 未熟果の方がゼロドザージュに適する; ドザージュなしで泡が減る</x:v>
      </x:c>
      <x:c r="Z477" s="171" t="str">
        <x:v>N</x:v>
      </x:c>
      <x:c r="AA477" s="165"/>
      <x:c r="AB477" s="165" t="str">
        <x:v>オリジナル</x:v>
      </x:c>
      <x:c r="AC477" s="165" t="str">
        <x:v>公式Specificationの範囲＋ユーザー作成コーパスの論点を参考に独自作成</x:v>
      </x:c>
      <x:c r="AD477" s="171" t="str">
        <x:v>改稿済み・専門家未承認</x:v>
      </x:c>
      <x:c r="AE477" s="171" t="str">
        <x:v>AI誤答レビュー</x:v>
      </x:c>
      <x:c r="AF477" s="171" t="str">
        <x:v>2026-07-12</x:v>
      </x:c>
      <x:c r="AG477" s="312" t="str">
        <x:v>第3バッチ：同一論点内の典型的誤概念へ置換。正答位置は維持。</x:v>
      </x:c>
    </x:row>
    <x:row r="478" ht="84" customHeight="1">
      <x:c r="A478" s="311" t="str">
        <x:v>LO3-117</x:v>
      </x:c>
      <x:c r="B478" s="171" t="str">
        <x:v>LO3</x:v>
      </x:c>
      <x:c r="C478" s="165" t="str">
        <x:v>世界の主要な発泡性ワイン</x:v>
      </x:c>
      <x:c r="D478" s="165" t="str">
        <x:v>デゴルジュマン後熟成</x:v>
      </x:c>
      <x:c r="E478" s="165" t="str">
        <x:v>デゴルジュマン後の瓶熟成で起こりやすい変化はどれか。</x:v>
      </x:c>
      <x:c r="F478" s="165" t="str">
        <x:v>ドザージュとワインがなじみ、果実香が落ち着いて蜂蜜やナッツの熟成香が増える</x:v>
      </x:c>
      <x:c r="G478" s="165" t="str">
        <x:v>ドザージュとワインがなじむにつれ、蜂蜜やナッツの熟成香は減少する</x:v>
      </x:c>
      <x:c r="H478" s="165" t="str">
        <x:v>澱が瓶内で増え続け、自己分解香が急速に強まる</x:v>
      </x:c>
      <x:c r="I478" s="165" t="str">
        <x:v>瓶内二次発酵が再開し、圧力が年々上昇する</x:v>
      </x:c>
      <x:c r="J478" s="171" t="str">
        <x:v>A</x:v>
      </x:c>
      <x:c r="K478" s="165" t="str">
        <x:v>ドザージュとワインがなじみ、果実香が落ち着いて蜂蜜やナッツの熟成香が増える</x:v>
      </x:c>
      <x:c r="L478" s="165" t="str">
        <x:v>正しい。澱除去後は穏やかな瓶熟成で香味が統合される。</x:v>
      </x:c>
      <x:c r="M478" s="165" t="str">
        <x:v>正しい。澱除去後は穏やかな瓶熟成で香味が統合される。</x:v>
      </x:c>
      <x:c r="N478" s="165" t="str">
        <x:v>誤り。デゴルジュマン後の瓶熟成では、香味が統合され熟成香が増すことがある。</x:v>
      </x:c>
      <x:c r="O478" s="165" t="str">
        <x:v>誤り。デゴルジュマンで澱は除去済み。</x:v>
      </x:c>
      <x:c r="P478" s="165" t="str">
        <x:v>誤り。糖と酵母を再添加しない限り再発酵は通常起こらない。</x:v>
      </x:c>
      <x:c r="Q478" s="165" t="str">
        <x:v>熟成</x:v>
      </x:c>
      <x:c r="R478" s="165" t="str">
        <x:v>デゴルジュマン後</x:v>
      </x:c>
      <x:c r="S478" s="165" t="str">
        <x:v>発泡性ワイン</x:v>
      </x:c>
      <x:c r="T478" s="165"/>
      <x:c r="U478" s="165"/>
      <x:c r="V478" s="165"/>
      <x:c r="W478" s="165" t="str">
        <x:v>比較</x:v>
      </x:c>
      <x:c r="X478" s="171" t="str">
        <x:v>D3</x:v>
      </x:c>
      <x:c r="Y478" s="165" t="str">
        <x:v>デゴルジュマン後熟成で熟成香が減る; デゴルジュマン後も澱自己分解が続く; デゴルジュマン後に二次発酵再開</x:v>
      </x:c>
      <x:c r="Z478" s="171" t="str">
        <x:v>N</x:v>
      </x:c>
      <x:c r="AA478" s="165"/>
      <x:c r="AB478" s="165" t="str">
        <x:v>オリジナル</x:v>
      </x:c>
      <x:c r="AC478" s="165" t="str">
        <x:v>公式Specificationの範囲＋ユーザー作成コーパスの論点を参考に独自作成</x:v>
      </x:c>
      <x:c r="AD478" s="171" t="str">
        <x:v>改稿済み・専門家未承認</x:v>
      </x:c>
      <x:c r="AE478" s="171" t="str">
        <x:v>AI誤答レビュー</x:v>
      </x:c>
      <x:c r="AF478" s="171" t="str">
        <x:v>2026-07-12</x:v>
      </x:c>
      <x:c r="AG478" s="312" t="str">
        <x:v>第4バッチ：同一論点内の典型的誤概念へ置換。正答位置は維持。</x:v>
      </x:c>
    </x:row>
    <x:row r="479" ht="84" customHeight="1">
      <x:c r="A479" s="311" t="str">
        <x:v>LO3-118</x:v>
      </x:c>
      <x:c r="B479" s="171" t="str">
        <x:v>LO3</x:v>
      </x:c>
      <x:c r="C479" s="165" t="str">
        <x:v>世界の主要な発泡性ワイン</x:v>
      </x:c>
      <x:c r="D479" s="165" t="str">
        <x:v>ライトストライク</x:v>
      </x:c>
      <x:c r="E479" s="165" t="str">
        <x:v>透明または淡色瓶の発泡性ワインを強い光にさらした場合に生じ得る問題はどれか。</x:v>
      </x:c>
      <x:c r="F479" s="165" t="str">
        <x:v>ワインが自然に甘くなる</x:v>
      </x:c>
      <x:c r="G479" s="165" t="str">
        <x:v>光反応により、キャベツや濡れた羊毛を思わせる硫黄系の不快臭が生じる</x:v>
      </x:c>
      <x:c r="H479" s="165" t="str">
        <x:v>光で二酸化炭素が増え、泡が細かくなる</x:v>
      </x:c>
      <x:c r="I479" s="165" t="str">
        <x:v>光反応でワインの酸が増え、泡がより鋭く感じられる</x:v>
      </x:c>
      <x:c r="J479" s="171" t="str">
        <x:v>B</x:v>
      </x:c>
      <x:c r="K479" s="165" t="str">
        <x:v>光反応により、キャベツや濡れた羊毛を思わせる硫黄系の不快臭が生じる</x:v>
      </x:c>
      <x:c r="L479" s="165" t="str">
        <x:v>正しい。光がリボフラビンなどへ作用し、硫黄化合物を生成するため、暗所保管や色付き瓶が有効である。</x:v>
      </x:c>
      <x:c r="M479" s="165" t="str">
        <x:v>誤り。光で残糖量は増えない。</x:v>
      </x:c>
      <x:c r="N479" s="165" t="str">
        <x:v>正しい。光がリボフラビンなどへ作用し、硫黄化合物を生成するため、暗所保管や色付き瓶が有効である。</x:v>
      </x:c>
      <x:c r="O479" s="165" t="str">
        <x:v>誤り。光は品質向上ではなく劣化を引き起こす。</x:v>
      </x:c>
      <x:c r="P479" s="165" t="str">
        <x:v>誤り。ライトストライクは硫黄系の不快臭を生む問題で、酸量を増やす現象ではない。</x:v>
      </x:c>
      <x:c r="Q479" s="165" t="str">
        <x:v>欠陥</x:v>
      </x:c>
      <x:c r="R479" s="165" t="str">
        <x:v>光による劣化</x:v>
      </x:c>
      <x:c r="S479" s="165" t="str">
        <x:v>発泡性ワイン</x:v>
      </x:c>
      <x:c r="T479" s="165"/>
      <x:c r="U479" s="165"/>
      <x:c r="V479" s="165"/>
      <x:c r="W479" s="165" t="str">
        <x:v>因果説明</x:v>
      </x:c>
      <x:c r="X479" s="171" t="str">
        <x:v>D3</x:v>
      </x:c>
      <x:c r="Y479" s="165" t="str">
        <x:v>ライトストライクについて関連要因を主因とみなす; ライトストライクについて関連要因を主因とみなす; 光劣化で酸が増える</x:v>
      </x:c>
      <x:c r="Z479" s="171" t="str">
        <x:v>Y</x:v>
      </x:c>
      <x:c r="AA479" s="165" t="str">
        <x:v>ライトストライクの日本語官能表現を教材表現と最終照合推奨</x:v>
      </x:c>
      <x:c r="AB479" s="165" t="str">
        <x:v>オリジナル</x:v>
      </x:c>
      <x:c r="AC479" s="165" t="str">
        <x:v>公式Specificationの範囲＋ユーザー作成コーパスの論点を参考に独自作成</x:v>
      </x:c>
      <x:c r="AD479" s="171" t="str">
        <x:v>改稿済み・専門家未承認</x:v>
      </x:c>
      <x:c r="AE479" s="171" t="str">
        <x:v>AI誤答レビュー</x:v>
      </x:c>
      <x:c r="AF479" s="171" t="str">
        <x:v>2026-07-12</x:v>
      </x:c>
      <x:c r="AG479" s="312" t="str">
        <x:v>第5バッチ：使用可能な誤答を維持し、弱い誤答を因果逆転・隣接概念へ置換。正答位置は維持。</x:v>
      </x:c>
    </x:row>
    <x:row r="480" ht="84" customHeight="1">
      <x:c r="A480" s="311" t="str">
        <x:v>LO3-119</x:v>
      </x:c>
      <x:c r="B480" s="171" t="str">
        <x:v>LO3</x:v>
      </x:c>
      <x:c r="C480" s="165" t="str">
        <x:v>世界の主要な発泡性ワイン</x:v>
      </x:c>
      <x:c r="D480" s="165" t="str">
        <x:v>手動動瓶とジャイロパレット</x:v>
      </x:c>
      <x:c r="E480" s="165" t="str">
        <x:v>ジャイロパレットが手作業のルミュアージュより生産コストを下げやすい主な理由はどれか。</x:v>
      </x:c>
      <x:c r="F480" s="165" t="str">
        <x:v>二次発酵を不要にするため</x:v>
      </x:c>
      <x:c r="G480" s="165" t="str">
        <x:v>ドザージュを自動的に甘口へするため</x:v>
      </x:c>
      <x:c r="H480" s="165" t="str">
        <x:v>多数の瓶を機械で同時かつ短期間に回転・傾斜できる</x:v>
      </x:c>
      <x:c r="I480" s="165" t="str">
        <x:v>瓶内圧力を除去するため</x:v>
      </x:c>
      <x:c r="J480" s="171" t="str">
        <x:v>C</x:v>
      </x:c>
      <x:c r="K480" s="165" t="str">
        <x:v>多数の瓶を機械で同時かつ短期間に回転・傾斜できる</x:v>
      </x:c>
      <x:c r="L480" s="165" t="str">
        <x:v>正しい。人手と時間を大幅に減らしながら、澱を瓶口へ均一に集められる。</x:v>
      </x:c>
      <x:c r="M480" s="165" t="str">
        <x:v>誤り。発酵後の澱処理を効率化する装置である。</x:v>
      </x:c>
      <x:c r="N480" s="165" t="str">
        <x:v>誤り。甘味調整は別工程である。</x:v>
      </x:c>
      <x:c r="O480" s="165" t="str">
        <x:v>正しい。人手と時間を大幅に減らしながら、澱を瓶口へ均一に集められる。</x:v>
      </x:c>
      <x:c r="P480" s="165" t="str">
        <x:v>誤り。ルミュアージュ中も圧力は保持される。</x:v>
      </x:c>
      <x:c r="Q480" s="165" t="str">
        <x:v>商業・価格</x:v>
      </x:c>
      <x:c r="R480" s="165" t="str">
        <x:v>ルミュアージュ</x:v>
      </x:c>
      <x:c r="S480" s="165" t="str">
        <x:v>発泡性ワイン</x:v>
      </x:c>
      <x:c r="T480" s="165"/>
      <x:c r="U480" s="165"/>
      <x:c r="V480" s="165"/>
      <x:c r="W480" s="165" t="str">
        <x:v>統合判断</x:v>
      </x:c>
      <x:c r="X480" s="171" t="str">
        <x:v>D2</x:v>
      </x:c>
      <x:c r="Y480" s="165" t="str">
        <x:v>手動動瓶とジャイロパレットに関する別の特徴・要因と混同; 手動動瓶とジャイロパレットに関する別の特徴・要因と混同; 手動動瓶とジャイロパレットに関する別の特徴・要因と混同</x:v>
      </x:c>
      <x:c r="Z480" s="171" t="str">
        <x:v>N</x:v>
      </x:c>
      <x:c r="AA480" s="165"/>
      <x:c r="AB480" s="165" t="str">
        <x:v>オリジナル</x:v>
      </x:c>
      <x:c r="AC480" s="165" t="str">
        <x:v>公式Specificationの範囲＋ユーザー作成コーパスの論点を参考に独自作成</x:v>
      </x:c>
      <x:c r="AD480" s="171" t="str">
        <x:v>改稿済み・専門家未承認</x:v>
      </x:c>
      <x:c r="AE480" s="171" t="str">
        <x:v>AI誤答レビュー</x:v>
      </x:c>
      <x:c r="AF480" s="171" t="str">
        <x:v>2026-07-12</x:v>
      </x:c>
      <x:c r="AG480" s="312" t="str">
        <x:v>最終バッチ：有効な誤答を維持し、絶対語・物理的不可能な誤答のみ置換。正答位置は維持。</x:v>
      </x:c>
    </x:row>
    <x:row r="481" ht="84" customHeight="1">
      <x:c r="A481" s="311" t="str">
        <x:v>LO3-120</x:v>
      </x:c>
      <x:c r="B481" s="171" t="str">
        <x:v>LO3</x:v>
      </x:c>
      <x:c r="C481" s="165" t="str">
        <x:v>世界の主要な発泡性ワイン</x:v>
      </x:c>
      <x:c r="D481" s="165" t="str">
        <x:v>ヴィンテージとノン・ヴィンテージ</x:v>
      </x:c>
      <x:c r="E481" s="165" t="str">
        <x:v>ヴィンテージ発泡性ワインが、ノン・ヴィンテージより収穫年の特徴を表しやすい主な理由はどれか。</x:v>
      </x:c>
      <x:c r="F481" s="165" t="str">
        <x:v>ヴィンテージ表示は長期澱熟成だけを示し、原料の収穫年とは関係しない</x:v>
      </x:c>
      <x:c r="G481" s="165" t="str">
        <x:v>ノン・ヴィンテージは一つの収穫年だけで造り、ヴィンテージは多数年をブレンドする</x:v>
      </x:c>
      <x:c r="H481" s="165" t="str">
        <x:v>ヴィンテージはノン・ヴィンテージより高いドザージュが義務付けられ、年の酸を隠しにくい</x:v>
      </x:c>
      <x:c r="I481" s="165" t="str">
        <x:v>原則として一つの収穫年のワインを中心に造り、他年のリザーヴワインで差を均さないため</x:v>
      </x:c>
      <x:c r="J481" s="171" t="str">
        <x:v>D</x:v>
      </x:c>
      <x:c r="K481" s="165" t="str">
        <x:v>原則として一つの収穫年のワインを中心に造り、他年のリザーヴワインで差を均さないため</x:v>
      </x:c>
      <x:c r="L481" s="165" t="str">
        <x:v>正しい。一つの年の成熟度と酸の特徴が、複数年ブレンドより明瞭に残りやすい。</x:v>
      </x:c>
      <x:c r="M481" s="165" t="str">
        <x:v>誤り。ヴィンテージ表示は収穫年に関係し、熟成期間だけの表示ではない。</x:v>
      </x:c>
      <x:c r="N481" s="165" t="str">
        <x:v>誤り。年の個性を均すのは複数年を用いるノン・ヴィンテージの方であり、記述は逆である。</x:v>
      </x:c>
      <x:c r="O481" s="165" t="str">
        <x:v>誤り。甘味区分はヴィンテージ表示とは別で、より高いドザージュが一律に義務付けられるわけではない。</x:v>
      </x:c>
      <x:c r="P481" s="165" t="str">
        <x:v>正しい。一つの年の成熟度と酸の特徴が、複数年ブレンドより明瞭に残りやすい。</x:v>
      </x:c>
      <x:c r="Q481" s="165" t="str">
        <x:v>商業・価格</x:v>
      </x:c>
      <x:c r="R481" s="165" t="str">
        <x:v>ヴィンテージ</x:v>
      </x:c>
      <x:c r="S481" s="165" t="str">
        <x:v>発泡性ワイン</x:v>
      </x:c>
      <x:c r="T481" s="165"/>
      <x:c r="U481" s="165"/>
      <x:c r="V481" s="165"/>
      <x:c r="W481" s="165" t="str">
        <x:v>比較</x:v>
      </x:c>
      <x:c r="X481" s="171" t="str">
        <x:v>D3</x:v>
      </x:c>
      <x:c r="Y481" s="165" t="str">
        <x:v>ヴィンテージ表示は熟成期間だけ; ヴィンテージとNVの年ブレンドを逆転; ヴィンテージには高ドザージュ義務</x:v>
      </x:c>
      <x:c r="Z481" s="171" t="str">
        <x:v>N</x:v>
      </x:c>
      <x:c r="AA481" s="165"/>
      <x:c r="AB481" s="165" t="str">
        <x:v>オリジナル</x:v>
      </x:c>
      <x:c r="AC481" s="165" t="str">
        <x:v>公式Specificationの範囲＋ユーザー作成コーパスの論点を参考に独自作成</x:v>
      </x:c>
      <x:c r="AD481" s="171" t="str">
        <x:v>改稿済み・専門家未承認</x:v>
      </x:c>
      <x:c r="AE481" s="171" t="str">
        <x:v>AI誤答レビュー</x:v>
      </x:c>
      <x:c r="AF481" s="171" t="str">
        <x:v>2026-07-12</x:v>
      </x:c>
      <x:c r="AG481" s="312" t="str">
        <x:v>第2バッチ：誤答を同一論点内の典型的誤概念へ置換。正答位置は維持。</x:v>
      </x:c>
    </x:row>
    <x:row r="482" ht="84" customHeight="1">
      <x:c r="A482" s="311" t="str">
        <x:v>LO4-061</x:v>
      </x:c>
      <x:c r="B482" s="171" t="str">
        <x:v>LO4</x:v>
      </x:c>
      <x:c r="C482" s="165" t="str">
        <x:v>世界の主要な酒精強化ワイン</x:v>
      </x:c>
      <x:c r="D482" s="165" t="str">
        <x:v>ホワイト・ポートの製造</x:v>
      </x:c>
      <x:c r="E482" s="165" t="str">
        <x:v>ホワイト・ポートの製造で、赤のルビー・ポートより果皮接触を短くする主な理由はどれか。</x:v>
      </x:c>
      <x:c r="F482" s="165" t="str">
        <x:v>白ブドウから淡い色と低いタンニンのスタイルを保つため</x:v>
      </x:c>
      <x:c r="G482" s="165" t="str">
        <x:v>白ブドウから淡い色と高いタンニンのスタイルを保つため</x:v>
      </x:c>
      <x:c r="H482" s="165" t="str">
        <x:v>白ブドウの果皮から黒い色素を抽出しないため</x:v>
      </x:c>
      <x:c r="I482" s="165" t="str">
        <x:v>果皮接触を短くすると発酵が遅くなり、より甘口にできるため</x:v>
      </x:c>
      <x:c r="J482" s="171" t="str">
        <x:v>A</x:v>
      </x:c>
      <x:c r="K482" s="165" t="str">
        <x:v>白ブドウから淡い色と低いタンニンのスタイルを保つため</x:v>
      </x:c>
      <x:c r="L482" s="165" t="str">
        <x:v>正しい。穏やかな圧搾と短い接触で、苦味と酸化しやすいフェノールを抑える。</x:v>
      </x:c>
      <x:c r="M482" s="165" t="str">
        <x:v>正しい。穏やかな圧搾と短い接触で、苦味と酸化しやすいフェノールを抑える。</x:v>
      </x:c>
      <x:c r="N482" s="165" t="str">
        <x:v>誤り。正答では「低いタンニン」ことが重要であり、この選択肢は「高いタンニン」へ置き換えて関係を逆にしている。</x:v>
      </x:c>
      <x:c r="O482" s="165" t="str">
        <x:v>誤り。白品種には黒品種のアントシアニンはないが、苦味・フェノールを抑えることが重要。</x:v>
      </x:c>
      <x:c r="P482" s="165" t="str">
        <x:v>誤り。甘味は酒精強化時期で調整する。</x:v>
      </x:c>
      <x:c r="Q482" s="165" t="str">
        <x:v>酒精強化ワイン製法</x:v>
      </x:c>
      <x:c r="R482" s="165" t="str">
        <x:v>ポート</x:v>
      </x:c>
      <x:c r="S482" s="165" t="str">
        <x:v>酒精強化ワイン</x:v>
      </x:c>
      <x:c r="T482" s="165" t="str">
        <x:v>ポルトガル</x:v>
      </x:c>
      <x:c r="U482" s="165" t="str">
        <x:v>ドウロ</x:v>
      </x:c>
      <x:c r="V482" s="165" t="str">
        <x:v>白ブドウ品種</x:v>
      </x:c>
      <x:c r="W482" s="165" t="str">
        <x:v>因果説明</x:v>
      </x:c>
      <x:c r="X482" s="171" t="str">
        <x:v>D2</x:v>
      </x:c>
      <x:c r="Y482" s="165" t="str">
        <x:v>「低いタンニン」と「高いタンニン」の関係を逆転; 白ブドウ果皮に黒色素がある; 短い果皮接触で甘口化</x:v>
      </x:c>
      <x:c r="Z482" s="171" t="str">
        <x:v>N</x:v>
      </x:c>
      <x:c r="AA482" s="165"/>
      <x:c r="AB482" s="165" t="str">
        <x:v>オリジナル</x:v>
      </x:c>
      <x:c r="AC482" s="165" t="str">
        <x:v>公式Specificationの範囲＋ユーザー作成コーパスの論点を参考に独自作成</x:v>
      </x:c>
      <x:c r="AD482" s="171" t="str">
        <x:v>改稿済み・専門家未承認</x:v>
      </x:c>
      <x:c r="AE482" s="171" t="str">
        <x:v>AI誤答レビュー</x:v>
      </x:c>
      <x:c r="AF482" s="171" t="str">
        <x:v>2026-07-12</x:v>
      </x:c>
      <x:c r="AG482" s="312" t="str">
        <x:v>第4バッチ：同一論点内の典型的誤概念へ置換。正答位置は維持。</x:v>
      </x:c>
    </x:row>
    <x:row r="483" ht="84" customHeight="1">
      <x:c r="A483" s="311" t="str">
        <x:v>LO4-062</x:v>
      </x:c>
      <x:c r="B483" s="171" t="str">
        <x:v>LO4</x:v>
      </x:c>
      <x:c r="C483" s="165" t="str">
        <x:v>世界の主要な酒精強化ワイン</x:v>
      </x:c>
      <x:c r="D483" s="165" t="str">
        <x:v>ホワイト・ポートの甘味</x:v>
      </x:c>
      <x:c r="E483" s="165" t="str">
        <x:v>ホワイト・ポートのスタイルについて最も適切な説明はどれか。</x:v>
      </x:c>
      <x:c r="F483" s="165" t="str">
        <x:v>甘口の長期酸化熟成スタイルだけが造られる</x:v>
      </x:c>
      <x:c r="G483" s="165" t="str">
        <x:v>辛口から甘口まで造られ、若いものは冷やして提供されることが多い</x:v>
      </x:c>
      <x:c r="H483" s="165" t="str">
        <x:v>長期酸化熟成した甘口が中心で、若いスタイルはほとんど造られない</x:v>
      </x:c>
      <x:c r="I483" s="165" t="str">
        <x:v>発酵を完了後にだけ酒精強化するため、甘口にはできない</x:v>
      </x:c>
      <x:c r="J483" s="171" t="str">
        <x:v>B</x:v>
      </x:c>
      <x:c r="K483" s="165" t="str">
        <x:v>辛口から甘口まで造られ、若いものは冷やして提供されることが多い</x:v>
      </x:c>
      <x:c r="L483" s="165" t="str">
        <x:v>正しい。酒精強化時期と熟成方法により、多様な甘味・熟成スタイルがある。</x:v>
      </x:c>
      <x:c r="M483" s="165" t="str">
        <x:v>誤り。ホワイト・ポートには辛口から甘口、若いものから熟成型まで幅がある。</x:v>
      </x:c>
      <x:c r="N483" s="165" t="str">
        <x:v>正しい。酒精強化時期と熟成方法により、多様な甘味・熟成スタイルがある。</x:v>
      </x:c>
      <x:c r="O483" s="165" t="str">
        <x:v>誤り。若いフレッシュな辛口・甘口もある。</x:v>
      </x:c>
      <x:c r="P483" s="165" t="str">
        <x:v>誤り。発酵途中の強化で甘味を残せる。</x:v>
      </x:c>
      <x:c r="Q483" s="165" t="str">
        <x:v>スタイル</x:v>
      </x:c>
      <x:c r="R483" s="165" t="str">
        <x:v>ポート</x:v>
      </x:c>
      <x:c r="S483" s="165" t="str">
        <x:v>酒精強化ワイン</x:v>
      </x:c>
      <x:c r="T483" s="165" t="str">
        <x:v>ポルトガル</x:v>
      </x:c>
      <x:c r="U483" s="165" t="str">
        <x:v>ドウロ</x:v>
      </x:c>
      <x:c r="V483" s="165"/>
      <x:c r="W483" s="165" t="str">
        <x:v>知識確認</x:v>
      </x:c>
      <x:c r="X483" s="171" t="str">
        <x:v>D1</x:v>
      </x:c>
      <x:c r="Y483" s="165" t="str">
        <x:v>ホワイト・ポートは甘口酸化型だけ; 白ポートは長期酸化甘口のみ; 白ポートは甘口にできない</x:v>
      </x:c>
      <x:c r="Z483" s="171" t="str">
        <x:v>N</x:v>
      </x:c>
      <x:c r="AA483" s="165"/>
      <x:c r="AB483" s="165" t="str">
        <x:v>オリジナル</x:v>
      </x:c>
      <x:c r="AC483" s="165" t="str">
        <x:v>公式Specificationの範囲＋ユーザー作成コーパスの論点を参考に独自作成</x:v>
      </x:c>
      <x:c r="AD483" s="171" t="str">
        <x:v>改稿済み・専門家未承認</x:v>
      </x:c>
      <x:c r="AE483" s="171" t="str">
        <x:v>AI誤答レビュー</x:v>
      </x:c>
      <x:c r="AF483" s="171" t="str">
        <x:v>2026-07-12</x:v>
      </x:c>
      <x:c r="AG483" s="312" t="str">
        <x:v>第4バッチ：同一論点内の典型的誤概念へ置換。正答位置は維持。</x:v>
      </x:c>
    </x:row>
    <x:row r="484" ht="84" customHeight="1">
      <x:c r="A484" s="311" t="str">
        <x:v>LO4-063</x:v>
      </x:c>
      <x:c r="B484" s="171" t="str">
        <x:v>LO4</x:v>
      </x:c>
      <x:c r="C484" s="165" t="str">
        <x:v>世界の主要な酒精強化ワイン</x:v>
      </x:c>
      <x:c r="D484" s="165" t="str">
        <x:v>ロゼ・ポート</x:v>
      </x:c>
      <x:c r="E484" s="165" t="str">
        <x:v>ロゼ・ポートがルビー・ポートより淡い色と軽い果実味を持つ主な理由はどれか。</x:v>
      </x:c>
      <x:c r="F484" s="165" t="str">
        <x:v>長期の小樽酸化熟成を行うため</x:v>
      </x:c>
      <x:c r="G484" s="165" t="str">
        <x:v>白ブドウだけから造るため</x:v>
      </x:c>
      <x:c r="H484" s="165" t="str">
        <x:v>黒ブドウの果皮接触を短くし、酸化を抑えて早期に瓶詰めするため</x:v>
      </x:c>
      <x:c r="I484" s="165" t="str">
        <x:v>フロール下で生物学的熟成するため</x:v>
      </x:c>
      <x:c r="J484" s="171" t="str">
        <x:v>C</x:v>
      </x:c>
      <x:c r="K484" s="165" t="str">
        <x:v>黒ブドウの果皮接触を短くし、酸化を抑えて早期に瓶詰めするため</x:v>
      </x:c>
      <x:c r="L484" s="165" t="str">
        <x:v>正しい。ロゼワインに似た短い浸漬で色を得て、低温発酵と保護的な取扱いにより新鮮な赤系果実を保つ。</x:v>
      </x:c>
      <x:c r="M484" s="165" t="str">
        <x:v>誤り。これはトーニー・スタイルに近い。</x:v>
      </x:c>
      <x:c r="N484" s="165" t="str">
        <x:v>誤り。黒ブドウの短い果皮接触で色を得る。</x:v>
      </x:c>
      <x:c r="O484" s="165" t="str">
        <x:v>正しい。ロゼワインに似た短い浸漬で色を得て、低温発酵と保護的な取扱いにより新鮮な赤系果実を保つ。</x:v>
      </x:c>
      <x:c r="P484" s="165" t="str">
        <x:v>誤り。シェリーの製法である。</x:v>
      </x:c>
      <x:c r="Q484" s="165" t="str">
        <x:v>醸造</x:v>
      </x:c>
      <x:c r="R484" s="165" t="str">
        <x:v>ポート</x:v>
      </x:c>
      <x:c r="S484" s="165" t="str">
        <x:v>ロゼ酒精強化ワイン</x:v>
      </x:c>
      <x:c r="T484" s="165" t="str">
        <x:v>ポルトガル</x:v>
      </x:c>
      <x:c r="U484" s="165" t="str">
        <x:v>ドウロ</x:v>
      </x:c>
      <x:c r="V484" s="165" t="str">
        <x:v>黒ブドウ品種</x:v>
      </x:c>
      <x:c r="W484" s="165" t="str">
        <x:v>因果説明</x:v>
      </x:c>
      <x:c r="X484" s="171" t="str">
        <x:v>D2</x:v>
      </x:c>
      <x:c r="Y484" s="165" t="str">
        <x:v>ロゼ・ポートに関する別の特徴・要因と混同; ロゼ・ポートに関する別の特徴・要因と混同; ロゼ・ポートに関する別の特徴・要因と混同</x:v>
      </x:c>
      <x:c r="Z484" s="171" t="str">
        <x:v>N</x:v>
      </x:c>
      <x:c r="AA484" s="165"/>
      <x:c r="AB484" s="165" t="str">
        <x:v>オリジナル</x:v>
      </x:c>
      <x:c r="AC484" s="165" t="str">
        <x:v>公式Specificationの範囲＋ユーザー作成コーパスの論点を参考に独自作成</x:v>
      </x:c>
      <x:c r="AD484" s="171" t="str">
        <x:v>改稿済み・専門家未承認</x:v>
      </x:c>
      <x:c r="AE484" s="171" t="str">
        <x:v>AI誤答レビュー</x:v>
      </x:c>
      <x:c r="AF484" s="171" t="str">
        <x:v>2026-07-12</x:v>
      </x:c>
      <x:c r="AG484" s="312" t="str">
        <x:v>最終バッチ：有効な誤答を維持し、絶対語・物理的不可能な誤答のみ置換。正答位置は維持。</x:v>
      </x:c>
    </x:row>
    <x:row r="485" ht="84" customHeight="1">
      <x:c r="A485" s="311" t="str">
        <x:v>LO4-064</x:v>
      </x:c>
      <x:c r="B485" s="171" t="str">
        <x:v>LO4</x:v>
      </x:c>
      <x:c r="C485" s="165" t="str">
        <x:v>世界の主要な酒精強化ワイン</x:v>
      </x:c>
      <x:c r="D485" s="165" t="str">
        <x:v>クラステッド・ポート</x:v>
      </x:c>
      <x:c r="E485" s="165" t="str">
        <x:v>クラステッド・ポートの一般的な特徴はどれか。</x:v>
      </x:c>
      <x:c r="F485" s="165" t="str">
        <x:v>単一収穫年のトーニー・スタイルで、長期間木樽熟成する</x:v>
      </x:c>
      <x:c r="G485" s="165" t="str">
        <x:v>単一収穫年のワインを小樽で長期酸化熟成する</x:v>
      </x:c>
      <x:c r="H485" s="165" t="str">
        <x:v>濾過したLBVを複数年ブレンドし、開栓後すぐ飲む</x:v>
      </x:c>
      <x:c r="I485" s="165" t="str">
        <x:v>複数年の濃厚なルビー系ワインを無濾過で瓶詰めし、瓶熟成で澱を生じる</x:v>
      </x:c>
      <x:c r="J485" s="171" t="str">
        <x:v>D</x:v>
      </x:c>
      <x:c r="K485" s="165" t="str">
        <x:v>複数年の濃厚なルビー系ワインを無濾過で瓶詰めし、瓶熟成で澱を生じる</x:v>
      </x:c>
      <x:c r="L485" s="165" t="str">
        <x:v>正しい。ヴィンテージ宣言に依存せず、瓶熟成型の構造と澱を持つ。</x:v>
      </x:c>
      <x:c r="M485" s="165" t="str">
        <x:v>誤り。これは同じ知識領域の「コルヘイタ」に当てはまる説明で、設問の「クラステッド・ポート」を最も適切に説明しない。</x:v>
      </x:c>
      <x:c r="N485" s="165" t="str">
        <x:v>誤り。これはコルヘイタに近い。</x:v>
      </x:c>
      <x:c r="O485" s="165" t="str">
        <x:v>誤り。無濾過・瓶熟成型で、濾過済みLBVとは異なる。</x:v>
      </x:c>
      <x:c r="P485" s="165" t="str">
        <x:v>正しい。ヴィンテージ宣言に依存せず、瓶熟成型の構造と澱を持つ。</x:v>
      </x:c>
      <x:c r="Q485" s="165" t="str">
        <x:v>スタイル</x:v>
      </x:c>
      <x:c r="R485" s="165" t="str">
        <x:v>ポート</x:v>
      </x:c>
      <x:c r="S485" s="165" t="str">
        <x:v>酒精強化ワイン</x:v>
      </x:c>
      <x:c r="T485" s="165" t="str">
        <x:v>ポルトガル</x:v>
      </x:c>
      <x:c r="U485" s="165" t="str">
        <x:v>ドウロ</x:v>
      </x:c>
      <x:c r="V485" s="165"/>
      <x:c r="W485" s="165" t="str">
        <x:v>比較</x:v>
      </x:c>
      <x:c r="X485" s="171" t="str">
        <x:v>D3</x:v>
      </x:c>
      <x:c r="Y485" s="165" t="str">
        <x:v>クラステッド・ポートをコルヘイタの特徴と混同; クラステッドをコルヘイタと混同; クラステッドを濾過LBVと混同</x:v>
      </x:c>
      <x:c r="Z485" s="171" t="str">
        <x:v>Y</x:v>
      </x:c>
      <x:c r="AA485" s="165" t="str">
        <x:v>クラステッド・ポートの表示・熟成要件は最新教材との最終照合を推奨</x:v>
      </x:c>
      <x:c r="AB485" s="165" t="str">
        <x:v>オリジナル</x:v>
      </x:c>
      <x:c r="AC485" s="165" t="str">
        <x:v>公式Specificationの範囲＋ユーザー作成コーパスの論点を参考に独自作成</x:v>
      </x:c>
      <x:c r="AD485" s="171" t="str">
        <x:v>改稿済み・専門家未承認</x:v>
      </x:c>
      <x:c r="AE485" s="171" t="str">
        <x:v>AI誤答レビュー</x:v>
      </x:c>
      <x:c r="AF485" s="171" t="str">
        <x:v>2026-07-12</x:v>
      </x:c>
      <x:c r="AG485" s="312" t="str">
        <x:v>第4バッチ：同一論点内の典型的誤概念へ置換。正答位置は維持。</x:v>
      </x:c>
    </x:row>
    <x:row r="486" ht="84" customHeight="1">
      <x:c r="A486" s="311" t="str">
        <x:v>LO4-065</x:v>
      </x:c>
      <x:c r="B486" s="171" t="str">
        <x:v>LO4</x:v>
      </x:c>
      <x:c r="C486" s="165" t="str">
        <x:v>世界の主要な酒精強化ワイン</x:v>
      </x:c>
      <x:c r="D486" s="165" t="str">
        <x:v>シングル・キンタ・ヴィンテージ</x:v>
      </x:c>
      <x:c r="E486" s="165" t="str">
        <x:v>シングル・キンタ・ヴィンテージ・ポートが、一般的なヴィンテージ・ポートと異なる点はどれか。</x:v>
      </x:c>
      <x:c r="F486" s="165" t="str">
        <x:v>一つの農園のブドウから造り、主要な総合ヴィンテージ宣言年以外にも瓶詰めされることがある</x:v>
      </x:c>
      <x:c r="G486" s="165" t="str">
        <x:v>複数年のワインを一つの農園で長期樽熟成してから瓶詰めする</x:v>
      </x:c>
      <x:c r="H486" s="165" t="str">
        <x:v>一つの農園の白ブドウだけから造る辛口ポートである</x:v>
      </x:c>
      <x:c r="I486" s="165" t="str">
        <x:v>総合ヴィンテージ宣言年にだけ造られ、複数農園のブレンドを義務付けられる</x:v>
      </x:c>
      <x:c r="J486" s="171" t="str">
        <x:v>A</x:v>
      </x:c>
      <x:c r="K486" s="165" t="str">
        <x:v>一つの農園のブドウから造り、主要な総合ヴィンテージ宣言年以外にも瓶詰めされることがある</x:v>
      </x:c>
      <x:c r="L486" s="165" t="str">
        <x:v>正しい。単一農園・単一年が基本で、総合宣言外の良年にも造られる。</x:v>
      </x:c>
      <x:c r="M486" s="165" t="str">
        <x:v>正しい。単一農園・単一年が基本で、総合宣言外の良年にも造られる。</x:v>
      </x:c>
      <x:c r="N486" s="165" t="str">
        <x:v>誤り。複数年ブレンド・長期樽熟成はコルヘイタ等と異なる。</x:v>
      </x:c>
      <x:c r="O486" s="165" t="str">
        <x:v>誤り。通常は黒品種の濃色・瓶熟成型である。</x:v>
      </x:c>
      <x:c r="P486" s="165" t="str">
        <x:v>誤り。単一農園であり、複数農園ブレンドを義務付けられない。</x:v>
      </x:c>
      <x:c r="Q486" s="165" t="str">
        <x:v>法律・表示</x:v>
      </x:c>
      <x:c r="R486" s="165" t="str">
        <x:v>ポート</x:v>
      </x:c>
      <x:c r="S486" s="165" t="str">
        <x:v>酒精強化ワイン</x:v>
      </x:c>
      <x:c r="T486" s="165" t="str">
        <x:v>ポルトガル</x:v>
      </x:c>
      <x:c r="U486" s="165" t="str">
        <x:v>ドウロ</x:v>
      </x:c>
      <x:c r="V486" s="165"/>
      <x:c r="W486" s="165" t="str">
        <x:v>比較</x:v>
      </x:c>
      <x:c r="X486" s="171" t="str">
        <x:v>D3</x:v>
      </x:c>
      <x:c r="Y486" s="165" t="str">
        <x:v>シングルキンタは複数年長期樽熟成; シングルキンタは白ブドウ辛口; 総合宣言年のみ・複数農園義務</x:v>
      </x:c>
      <x:c r="Z486" s="171" t="str">
        <x:v>Y</x:v>
      </x:c>
      <x:c r="AA486" s="165" t="str">
        <x:v>Single Quinta Vintage Portの現行表示と宣言慣行を最新教材で確認推奨</x:v>
      </x:c>
      <x:c r="AB486" s="165" t="str">
        <x:v>オリジナル</x:v>
      </x:c>
      <x:c r="AC486" s="165" t="str">
        <x:v>公式Specificationの範囲＋ユーザー作成コーパスの論点を参考に独自作成</x:v>
      </x:c>
      <x:c r="AD486" s="171" t="str">
        <x:v>改稿済み・専門家未承認</x:v>
      </x:c>
      <x:c r="AE486" s="171" t="str">
        <x:v>AI誤答レビュー</x:v>
      </x:c>
      <x:c r="AF486" s="171" t="str">
        <x:v>2026-07-12</x:v>
      </x:c>
      <x:c r="AG486" s="312" t="str">
        <x:v>第3バッチ：同一論点内の典型的誤概念へ置換。正答位置は維持。</x:v>
      </x:c>
    </x:row>
    <x:row r="487" ht="84" customHeight="1">
      <x:c r="A487" s="311" t="str">
        <x:v>LO4-066</x:v>
      </x:c>
      <x:c r="B487" s="171" t="str">
        <x:v>LO4</x:v>
      </x:c>
      <x:c r="C487" s="165" t="str">
        <x:v>世界の主要な酒精強化ワイン</x:v>
      </x:c>
      <x:c r="D487" s="165" t="str">
        <x:v>コルヘイタ</x:v>
      </x:c>
      <x:c r="E487" s="165" t="str">
        <x:v>コルヘイタ・ポートの一般的な特徴はどれか。</x:v>
      </x:c>
      <x:c r="F487" s="165" t="str">
        <x:v>複数年の濃色ルビーを短期瓶熟成する</x:v>
      </x:c>
      <x:c r="G487" s="165" t="str">
        <x:v>単一収穫年のトーニー・スタイルで、長期間木樽熟成する</x:v>
      </x:c>
      <x:c r="H487" s="165" t="str">
        <x:v>瓶内のフロール下で熟成する</x:v>
      </x:c>
      <x:c r="I487" s="165" t="str">
        <x:v>ブドウを凍結収穫して造る</x:v>
      </x:c>
      <x:c r="J487" s="171" t="str">
        <x:v>B</x:v>
      </x:c>
      <x:c r="K487" s="165" t="str">
        <x:v>単一収穫年のトーニー・スタイルで、長期間木樽熟成する</x:v>
      </x:c>
      <x:c r="L487" s="165" t="str">
        <x:v>正しい。酸化熟成により琥珀色、ナッツ、ドライフルーツの香りを発達させ、瓶詰め時には飲み頃となる。</x:v>
      </x:c>
      <x:c r="M487" s="165" t="str">
        <x:v>誤り。コルヘイタは単一収穫年で木樽熟成型である。</x:v>
      </x:c>
      <x:c r="N487" s="165" t="str">
        <x:v>正しい。酸化熟成により琥珀色、ナッツ、ドライフルーツの香りを発達させ、瓶詰め時には飲み頃となる。</x:v>
      </x:c>
      <x:c r="O487" s="165" t="str">
        <x:v>誤り。フロール熟成はシェリーに関係する。</x:v>
      </x:c>
      <x:c r="P487" s="165" t="str">
        <x:v>誤り。アイスワインの製法ではない。</x:v>
      </x:c>
      <x:c r="Q487" s="165" t="str">
        <x:v>法律・表示</x:v>
      </x:c>
      <x:c r="R487" s="165" t="str">
        <x:v>ポート</x:v>
      </x:c>
      <x:c r="S487" s="165" t="str">
        <x:v>酒精強化ワイン</x:v>
      </x:c>
      <x:c r="T487" s="165" t="str">
        <x:v>ポルトガル</x:v>
      </x:c>
      <x:c r="U487" s="165" t="str">
        <x:v>ドウロ</x:v>
      </x:c>
      <x:c r="V487" s="165"/>
      <x:c r="W487" s="165" t="str">
        <x:v>知識確認</x:v>
      </x:c>
      <x:c r="X487" s="171" t="str">
        <x:v>D2</x:v>
      </x:c>
      <x:c r="Y487" s="165" t="str">
        <x:v>コルヘイタに関する別の特徴・要因と混同; コルヘイタに関する別の特徴・要因と混同; コルヘイタに関する別の特徴・要因と混同</x:v>
      </x:c>
      <x:c r="Z487" s="171" t="str">
        <x:v>Y</x:v>
      </x:c>
      <x:c r="AA487" s="165" t="str">
        <x:v>Colheita Portの最低樽熟成・表示要件を最新教材で最終確認推奨</x:v>
      </x:c>
      <x:c r="AB487" s="165" t="str">
        <x:v>オリジナル</x:v>
      </x:c>
      <x:c r="AC487" s="165" t="str">
        <x:v>公式Specificationの範囲＋ユーザー作成コーパスの論点を参考に独自作成</x:v>
      </x:c>
      <x:c r="AD487" s="171" t="str">
        <x:v>改稿済み・専門家未承認</x:v>
      </x:c>
      <x:c r="AE487" s="171" t="str">
        <x:v>AI誤答レビュー</x:v>
      </x:c>
      <x:c r="AF487" s="171" t="str">
        <x:v>2026-07-12</x:v>
      </x:c>
      <x:c r="AG487" s="312" t="str">
        <x:v>最終バッチ：有効な誤答を維持し、絶対語・物理的不可能な誤答のみ置換。正答位置は維持。</x:v>
      </x:c>
    </x:row>
    <x:row r="488" ht="84" customHeight="1">
      <x:c r="A488" s="311" t="str">
        <x:v>LO4-067</x:v>
      </x:c>
      <x:c r="B488" s="171" t="str">
        <x:v>LO4</x:v>
      </x:c>
      <x:c r="C488" s="165" t="str">
        <x:v>世界の主要な酒精強化ワイン</x:v>
      </x:c>
      <x:c r="D488" s="165" t="str">
        <x:v>瓶熟成型と樽熟成型ポート</x:v>
      </x:c>
      <x:c r="E488" s="165" t="str">
        <x:v>ヴィンテージ・ポートと年数表記トーニー・ポートの熟成経路の違いとして最も適切なものはどれか。</x:v>
      </x:c>
      <x:c r="F488" s="165" t="str">
        <x:v>ヴィンテージは短い樽熟成後に瓶で発展し、トーニーは長く小樽で還元的熟成する</x:v>
      </x:c>
      <x:c r="G488" s="165" t="str">
        <x:v>ヴィンテージは長期小樽酸化熟成し、トーニーは早期瓶詰めで果実を保つ</x:v>
      </x:c>
      <x:c r="H488" s="165" t="str">
        <x:v>ヴィンテージは短い樽熟成後に瓶で発展し、トーニーは長く小樽で酸化熟成する</x:v>
      </x:c>
      <x:c r="I488" s="165" t="str">
        <x:v>両者とも長期瓶熟成型で、違いは残糖だけ</x:v>
      </x:c>
      <x:c r="J488" s="171" t="str">
        <x:v>C</x:v>
      </x:c>
      <x:c r="K488" s="165" t="str">
        <x:v>ヴィンテージは短い樽熟成後に瓶で発展し、トーニーは長く小樽で酸化熟成する</x:v>
      </x:c>
      <x:c r="L488" s="165" t="str">
        <x:v>正しい。容器と酸素接触の違いが、色、香り、澱、飲み頃を変える。</x:v>
      </x:c>
      <x:c r="M488" s="165" t="str">
        <x:v>誤り。正答では「酸化熟成」ことが重要であり、この選択肢は「還元的熟成」へ置き換えて関係を逆にしている。</x:v>
      </x:c>
      <x:c r="N488" s="165" t="str">
        <x:v>誤り。熟成経路が逆。</x:v>
      </x:c>
      <x:c r="O488" s="165" t="str">
        <x:v>正しい。容器と酸素接触の違いが、色、香り、澱、飲み頃を変える。</x:v>
      </x:c>
      <x:c r="P488" s="165" t="str">
        <x:v>誤り。トーニーは樽熟成型。</x:v>
      </x:c>
      <x:c r="Q488" s="165" t="str">
        <x:v>熟成</x:v>
      </x:c>
      <x:c r="R488" s="165" t="str">
        <x:v>ポート</x:v>
      </x:c>
      <x:c r="S488" s="165" t="str">
        <x:v>酒精強化ワイン</x:v>
      </x:c>
      <x:c r="T488" s="165" t="str">
        <x:v>ポルトガル</x:v>
      </x:c>
      <x:c r="U488" s="165" t="str">
        <x:v>ドウロ</x:v>
      </x:c>
      <x:c r="V488" s="165"/>
      <x:c r="W488" s="165" t="str">
        <x:v>比較</x:v>
      </x:c>
      <x:c r="X488" s="171" t="str">
        <x:v>D3</x:v>
      </x:c>
      <x:c r="Y488" s="165" t="str">
        <x:v>「酸化熟成」と「還元的熟成」の関係を逆転; ヴィンテージとトーニーの熟成を逆転; ヴィンテージとトーニーの差は残糖だけ</x:v>
      </x:c>
      <x:c r="Z488" s="171" t="str">
        <x:v>N</x:v>
      </x:c>
      <x:c r="AA488" s="165"/>
      <x:c r="AB488" s="165" t="str">
        <x:v>オリジナル</x:v>
      </x:c>
      <x:c r="AC488" s="165" t="str">
        <x:v>公式Specificationの範囲＋ユーザー作成コーパスの論点を参考に独自作成</x:v>
      </x:c>
      <x:c r="AD488" s="171" t="str">
        <x:v>改稿済み・専門家未承認</x:v>
      </x:c>
      <x:c r="AE488" s="171" t="str">
        <x:v>AI誤答レビュー</x:v>
      </x:c>
      <x:c r="AF488" s="171" t="str">
        <x:v>2026-07-12</x:v>
      </x:c>
      <x:c r="AG488" s="312" t="str">
        <x:v>第4バッチ：同一論点内の典型的誤概念へ置換。正答位置は維持。</x:v>
      </x:c>
    </x:row>
    <x:row r="489" ht="84" customHeight="1">
      <x:c r="A489" s="311" t="str">
        <x:v>LO4-068</x:v>
      </x:c>
      <x:c r="B489" s="171" t="str">
        <x:v>LO4</x:v>
      </x:c>
      <x:c r="C489" s="165" t="str">
        <x:v>世界の主要な酒精強化ワイン</x:v>
      </x:c>
      <x:c r="D489" s="165" t="str">
        <x:v>ヴィンテージ・ポートのデカンティング</x:v>
      </x:c>
      <x:c r="E489" s="165" t="str">
        <x:v>熟成したヴィンテージ・ポートをデカンティングする主な目的はどれか。</x:v>
      </x:c>
      <x:c r="F489" s="165" t="str">
        <x:v>炭酸ガスを発生させる</x:v>
      </x:c>
      <x:c r="G489" s="165" t="str">
        <x:v>甘味を除去して辛口にする</x:v>
      </x:c>
      <x:c r="H489" s="165" t="str">
        <x:v>アルコール度を下げる</x:v>
      </x:c>
      <x:c r="I489" s="165" t="str">
        <x:v>瓶内熟成で生じた大量の澱をワインから分離する</x:v>
      </x:c>
      <x:c r="J489" s="171" t="str">
        <x:v>D</x:v>
      </x:c>
      <x:c r="K489" s="165" t="str">
        <x:v>瓶内熟成で生じた大量の澱をワインから分離する</x:v>
      </x:c>
      <x:c r="L489" s="165" t="str">
        <x:v>正しい。無濾過で瓶詰めされた色素とタンニンが沈殿するため、瓶を静置し、澱が入らないよう移す。</x:v>
      </x:c>
      <x:c r="M489" s="165" t="str">
        <x:v>誤り。ヴィンテージ・ポートは非発泡性である。</x:v>
      </x:c>
      <x:c r="N489" s="165" t="str">
        <x:v>誤り。デカンティングで残糖は変化しない。</x:v>
      </x:c>
      <x:c r="O489" s="165" t="str">
        <x:v>誤り。短時間のデカンティングでアルコール度は実質的に変わらない。</x:v>
      </x:c>
      <x:c r="P489" s="165" t="str">
        <x:v>正しい。無濾過で瓶詰めされた色素とタンニンが沈殿するため、瓶を静置し、澱が入らないよう移す。</x:v>
      </x:c>
      <x:c r="Q489" s="165" t="str">
        <x:v>サービス関連理論</x:v>
      </x:c>
      <x:c r="R489" s="165" t="str">
        <x:v>ポート</x:v>
      </x:c>
      <x:c r="S489" s="165" t="str">
        <x:v>酒精強化ワイン</x:v>
      </x:c>
      <x:c r="T489" s="165" t="str">
        <x:v>ポルトガル</x:v>
      </x:c>
      <x:c r="U489" s="165" t="str">
        <x:v>ドウロ</x:v>
      </x:c>
      <x:c r="V489" s="165"/>
      <x:c r="W489" s="165" t="str">
        <x:v>因果説明</x:v>
      </x:c>
      <x:c r="X489" s="171" t="str">
        <x:v>D1</x:v>
      </x:c>
      <x:c r="Y489" s="165" t="str">
        <x:v>ヴィンテージ・ポートのデカンティングに関する別の特徴・要因と混同; ヴィンテージ・ポートのデカンティングに関する別の特徴・要因と混同; ヴィンテージ・ポートのデカンティングに関する別の特徴・要因と混同</x:v>
      </x:c>
      <x:c r="Z489" s="171" t="str">
        <x:v>N</x:v>
      </x:c>
      <x:c r="AA489" s="165"/>
      <x:c r="AB489" s="165" t="str">
        <x:v>オリジナル</x:v>
      </x:c>
      <x:c r="AC489" s="165" t="str">
        <x:v>公式Specificationの範囲＋ユーザー作成コーパスの論点を参考に独自作成</x:v>
      </x:c>
      <x:c r="AD489" s="171" t="str">
        <x:v>改稿済み・専門家未承認</x:v>
      </x:c>
      <x:c r="AE489" s="171" t="str">
        <x:v>AI誤答レビュー</x:v>
      </x:c>
      <x:c r="AF489" s="171" t="str">
        <x:v>2026-07-12</x:v>
      </x:c>
      <x:c r="AG489" s="312" t="str">
        <x:v>最終バッチ：有効な誤答を維持し、絶対語・物理的不可能な誤答のみ置換。正答位置は維持。</x:v>
      </x:c>
    </x:row>
    <x:row r="490" ht="84" customHeight="1">
      <x:c r="A490" s="311" t="str">
        <x:v>LO4-069</x:v>
      </x:c>
      <x:c r="B490" s="171" t="str">
        <x:v>LO4</x:v>
      </x:c>
      <x:c r="C490" s="165" t="str">
        <x:v>世界の主要な酒精強化ワイン</x:v>
      </x:c>
      <x:c r="D490" s="165" t="str">
        <x:v>LBVの熟成経路</x:v>
      </x:c>
      <x:c r="E490" s="165" t="str">
        <x:v>LBVポートがヴィンテージ・ポートより購入後すぐ飲みやすい主な理由はどれか。</x:v>
      </x:c>
      <x:c r="F490" s="165" t="str">
        <x:v>瓶詰め前に大容器でより長く熟成し、濾過された製品も多いため</x:v>
      </x:c>
      <x:c r="G490" s="165" t="str">
        <x:v>小樽で酸化熟成してタンニンを弱め、トーニー色へ変えるため</x:v>
      </x:c>
      <x:c r="H490" s="165" t="str">
        <x:v>ヴィンテージ・ポートより早く酒精強化し、タンニンを減らすため</x:v>
      </x:c>
      <x:c r="I490" s="165" t="str">
        <x:v>長期小樽酸化熟成で色を淡くし、ナッツ香を増やすため</x:v>
      </x:c>
      <x:c r="J490" s="171" t="str">
        <x:v>A</x:v>
      </x:c>
      <x:c r="K490" s="165" t="str">
        <x:v>瓶詰め前に大容器でより長く熟成し、濾過された製品も多いため</x:v>
      </x:c>
      <x:c r="L490" s="165" t="str">
        <x:v>正しい。タンニンが穏やかになり、澱が少ない状態で販売される。</x:v>
      </x:c>
      <x:c r="M490" s="165" t="str">
        <x:v>正しい。タンニンが穏やかになり、澱が少ない状態で販売される。</x:v>
      </x:c>
      <x:c r="N490" s="165" t="str">
        <x:v>誤り。LBVは大容器で果実味を保ちながら長く熟成し、ルビー系の色と香りを維持する。</x:v>
      </x:c>
      <x:c r="O490" s="165" t="str">
        <x:v>誤り。同じ収穫年のスタイルで、主な違いは瓶詰め前熟成。</x:v>
      </x:c>
      <x:c r="P490" s="165" t="str">
        <x:v>誤り。LBVはルビー系で果実味を保つ。</x:v>
      </x:c>
      <x:c r="Q490" s="165" t="str">
        <x:v>熟成</x:v>
      </x:c>
      <x:c r="R490" s="165" t="str">
        <x:v>ポート</x:v>
      </x:c>
      <x:c r="S490" s="165" t="str">
        <x:v>酒精強化ワイン</x:v>
      </x:c>
      <x:c r="T490" s="165" t="str">
        <x:v>ポルトガル</x:v>
      </x:c>
      <x:c r="U490" s="165" t="str">
        <x:v>ドウロ</x:v>
      </x:c>
      <x:c r="V490" s="165"/>
      <x:c r="W490" s="165" t="str">
        <x:v>比較</x:v>
      </x:c>
      <x:c r="X490" s="171" t="str">
        <x:v>D2</x:v>
      </x:c>
      <x:c r="Y490" s="165" t="str">
        <x:v>LBVをトーニー型酸化熟成と混同; LBVは早期酒精強化で低タンニン; LBVをトーニー型と混同</x:v>
      </x:c>
      <x:c r="Z490" s="171" t="str">
        <x:v>N</x:v>
      </x:c>
      <x:c r="AA490" s="165"/>
      <x:c r="AB490" s="165" t="str">
        <x:v>オリジナル</x:v>
      </x:c>
      <x:c r="AC490" s="165" t="str">
        <x:v>公式Specificationの範囲＋ユーザー作成コーパスの論点を参考に独自作成</x:v>
      </x:c>
      <x:c r="AD490" s="171" t="str">
        <x:v>改稿済み・専門家未承認</x:v>
      </x:c>
      <x:c r="AE490" s="171" t="str">
        <x:v>AI誤答レビュー</x:v>
      </x:c>
      <x:c r="AF490" s="171" t="str">
        <x:v>2026-07-12</x:v>
      </x:c>
      <x:c r="AG490" s="312" t="str">
        <x:v>第4バッチ：同一論点内の典型的誤概念へ置換。正答位置は維持。</x:v>
      </x:c>
    </x:row>
    <x:row r="491" ht="84" customHeight="1">
      <x:c r="A491" s="311" t="str">
        <x:v>LO4-070</x:v>
      </x:c>
      <x:c r="B491" s="171" t="str">
        <x:v>LO4</x:v>
      </x:c>
      <x:c r="C491" s="165" t="str">
        <x:v>世界の主要な酒精強化ワイン</x:v>
      </x:c>
      <x:c r="D491" s="165" t="str">
        <x:v>ルビー・リザーヴの果実味</x:v>
      </x:c>
      <x:c r="E491" s="165" t="str">
        <x:v>ルビー・リザーヴで若々しい黒系果実を保つために用いられる熟成方法はどれか。</x:v>
      </x:c>
      <x:c r="F491" s="165" t="str">
        <x:v>小樽で数十年酸化熟成する</x:v>
      </x:c>
      <x:c r="G491" s="165" t="str">
        <x:v>酸素接触の少ない大型タンクや大樽で比較的短期間熟成する</x:v>
      </x:c>
      <x:c r="H491" s="165" t="str">
        <x:v>瓶を開放して空気へさらす</x:v>
      </x:c>
      <x:c r="I491" s="165" t="str">
        <x:v>フロール下で熟成する</x:v>
      </x:c>
      <x:c r="J491" s="171" t="str">
        <x:v>B</x:v>
      </x:c>
      <x:c r="K491" s="165" t="str">
        <x:v>酸素接触の少ない大型タンクや大樽で比較的短期間熟成する</x:v>
      </x:c>
      <x:c r="L491" s="165" t="str">
        <x:v>正しい。小樽での長期酸化を避け、濃い色と一次果実香を保持した複数年ブレンドにする。</x:v>
      </x:c>
      <x:c r="M491" s="165" t="str">
        <x:v>誤り。これは年数表記トーニーに近い。</x:v>
      </x:c>
      <x:c r="N491" s="165" t="str">
        <x:v>正しい。小樽での長期酸化を避け、濃い色と一次果実香を保持した複数年ブレンドにする。</x:v>
      </x:c>
      <x:c r="O491" s="165" t="str">
        <x:v>誤り。酸化を抑えるため密閉度の高い容器を用いる。</x:v>
      </x:c>
      <x:c r="P491" s="165" t="str">
        <x:v>誤り。シェリーの製法である。</x:v>
      </x:c>
      <x:c r="Q491" s="165" t="str">
        <x:v>熟成</x:v>
      </x:c>
      <x:c r="R491" s="165" t="str">
        <x:v>ポート</x:v>
      </x:c>
      <x:c r="S491" s="165" t="str">
        <x:v>酒精強化ワイン</x:v>
      </x:c>
      <x:c r="T491" s="165" t="str">
        <x:v>ポルトガル</x:v>
      </x:c>
      <x:c r="U491" s="165" t="str">
        <x:v>ドウロ</x:v>
      </x:c>
      <x:c r="V491" s="165"/>
      <x:c r="W491" s="165" t="str">
        <x:v>因果説明</x:v>
      </x:c>
      <x:c r="X491" s="171" t="str">
        <x:v>D2</x:v>
      </x:c>
      <x:c r="Y491" s="165" t="str">
        <x:v>ルビー・リザーヴの果実味に関する別の特徴・要因と混同; ルビー・リザーヴの果実味に関する別の特徴・要因と混同; ルビー・リザーヴの果実味に関する別の特徴・要因と混同</x:v>
      </x:c>
      <x:c r="Z491" s="171" t="str">
        <x:v>N</x:v>
      </x:c>
      <x:c r="AA491" s="165"/>
      <x:c r="AB491" s="165" t="str">
        <x:v>オリジナル</x:v>
      </x:c>
      <x:c r="AC491" s="165" t="str">
        <x:v>公式Specificationの範囲＋ユーザー作成コーパスの論点を参考に独自作成</x:v>
      </x:c>
      <x:c r="AD491" s="171" t="str">
        <x:v>改稿済み・専門家未承認</x:v>
      </x:c>
      <x:c r="AE491" s="171" t="str">
        <x:v>AI誤答レビュー</x:v>
      </x:c>
      <x:c r="AF491" s="171" t="str">
        <x:v>2026-07-12</x:v>
      </x:c>
      <x:c r="AG491" s="312" t="str">
        <x:v>最終バッチ：有効な誤答を維持し、絶対語・物理的不可能な誤答のみ置換。正答位置は維持。</x:v>
      </x:c>
    </x:row>
    <x:row r="492" ht="84" customHeight="1">
      <x:c r="A492" s="311" t="str">
        <x:v>LO4-071</x:v>
      </x:c>
      <x:c r="B492" s="171" t="str">
        <x:v>LO4</x:v>
      </x:c>
      <x:c r="C492" s="165" t="str">
        <x:v>世界の主要な酒精強化ワイン</x:v>
      </x:c>
      <x:c r="D492" s="165" t="str">
        <x:v>トーニーのブレンド</x:v>
      </x:c>
      <x:c r="E492" s="165" t="str">
        <x:v>年数表記トーニー・ポートのハウス・スタイルを維持するため、ブレンダーが行う重要な作業はどれか。</x:v>
      </x:c>
      <x:c r="F492" s="165" t="str">
        <x:v>表示年数と同じ正確な樽齢のワインだけを選び、他年齢のワインを混ぜない</x:v>
      </x:c>
      <x:c r="G492" s="165" t="str">
        <x:v>最も古い樽を単独で瓶詰めし、若いワインは瓶詰め後に加える</x:v>
      </x:c>
      <x:c r="H492" s="165" t="str">
        <x:v>異なる年齢と熟成段階の樽を組み合わせ、表示年数に期待される平均的な香味を再現する</x:v>
      </x:c>
      <x:c r="I492" s="165" t="str">
        <x:v>主に甘味調整だけで年数ごとのスタイルを作り、樽熟成度の違いは用いない</x:v>
      </x:c>
      <x:c r="J492" s="171" t="str">
        <x:v>C</x:v>
      </x:c>
      <x:c r="K492" s="165" t="str">
        <x:v>異なる年齢と熟成段階の樽を組み合わせ、表示年数に期待される平均的な香味を再現する</x:v>
      </x:c>
      <x:c r="L492" s="165" t="str">
        <x:v>正しい。若い原酒の果実味と古い原酒のナッツ・濃縮感を調整し、一貫性を作る。</x:v>
      </x:c>
      <x:c r="M492" s="165" t="str">
        <x:v>誤り。年数表示は厳密な単一樽齢ではなく、期待される平均的な熟成特性を示す。</x:v>
      </x:c>
      <x:c r="N492" s="165" t="str">
        <x:v>誤り。トーニーは複数樽・複数年のブレンドが基本で、瓶詰め後に若いワインを加えない。</x:v>
      </x:c>
      <x:c r="O492" s="165" t="str">
        <x:v>正しい。若い原酒の果実味と古い原酒のナッツ・濃縮感を調整し、一貫性を作る。</x:v>
      </x:c>
      <x:c r="P492" s="165" t="str">
        <x:v>誤り。甘味だけでなく、色、酸化香、濃度、口当たりを異なる熟成原酒で調整する。</x:v>
      </x:c>
      <x:c r="Q492" s="165" t="str">
        <x:v>ブレンド</x:v>
      </x:c>
      <x:c r="R492" s="165" t="str">
        <x:v>ポート</x:v>
      </x:c>
      <x:c r="S492" s="165" t="str">
        <x:v>酒精強化ワイン</x:v>
      </x:c>
      <x:c r="T492" s="165" t="str">
        <x:v>ポルトガル</x:v>
      </x:c>
      <x:c r="U492" s="165" t="str">
        <x:v>ドウロ</x:v>
      </x:c>
      <x:c r="V492" s="165"/>
      <x:c r="W492" s="165" t="str">
        <x:v>統合判断</x:v>
      </x:c>
      <x:c r="X492" s="171" t="str">
        <x:v>D3</x:v>
      </x:c>
      <x:c r="Y492" s="165" t="str">
        <x:v>年数表示は正確な単一樽齢; 最古樽を単独瓶詰めし後から若酒を加える; 年数スタイルは甘味調整だけで作る</x:v>
      </x:c>
      <x:c r="Z492" s="171" t="str">
        <x:v>N</x:v>
      </x:c>
      <x:c r="AA492" s="165"/>
      <x:c r="AB492" s="165" t="str">
        <x:v>オリジナル</x:v>
      </x:c>
      <x:c r="AC492" s="165" t="str">
        <x:v>公式Specificationの範囲＋ユーザー作成コーパスの論点を参考に独自作成</x:v>
      </x:c>
      <x:c r="AD492" s="171" t="str">
        <x:v>改稿済み・専門家未承認</x:v>
      </x:c>
      <x:c r="AE492" s="171" t="str">
        <x:v>AI誤答レビュー</x:v>
      </x:c>
      <x:c r="AF492" s="171" t="str">
        <x:v>2026-07-12</x:v>
      </x:c>
      <x:c r="AG492" s="312" t="str">
        <x:v>第2バッチ：誤答を同一論点内の典型的誤概念へ置換。正答位置は維持。</x:v>
      </x:c>
    </x:row>
    <x:row r="493" ht="84" customHeight="1">
      <x:c r="A493" s="311" t="str">
        <x:v>LO4-072</x:v>
      </x:c>
      <x:c r="B493" s="171" t="str">
        <x:v>LO4</x:v>
      </x:c>
      <x:c r="C493" s="165" t="str">
        <x:v>世界の主要な酒精強化ワイン</x:v>
      </x:c>
      <x:c r="D493" s="165" t="str">
        <x:v>トーニーの色調変化</x:v>
      </x:c>
      <x:c r="E493" s="165" t="str">
        <x:v>ルビー色の若いポートが長期小樽熟成でトーニー色へ変化する主な理由はどれか。</x:v>
      </x:c>
      <x:c r="F493" s="165" t="str">
        <x:v>白ワインを加えて色を薄めることが必須だから</x:v>
      </x:c>
      <x:c r="G493" s="165" t="str">
        <x:v>光合成が樽内で続くため</x:v>
      </x:c>
      <x:c r="H493" s="165" t="str">
        <x:v>二酸化炭素が色素を作るため</x:v>
      </x:c>
      <x:c r="I493" s="165" t="str">
        <x:v>酸素接触により色素が重合・沈殿し、赤色が淡く褐色方向へ進むため</x:v>
      </x:c>
      <x:c r="J493" s="171" t="str">
        <x:v>D</x:v>
      </x:c>
      <x:c r="K493" s="165" t="str">
        <x:v>酸素接触により色素が重合・沈殿し、赤色が淡く褐色方向へ進むため</x:v>
      </x:c>
      <x:c r="L493" s="165" t="str">
        <x:v>正しい。小樽の表面積と蒸発により酸化が進み、赤い果実香がナッツやドライフルーツへ変化する。</x:v>
      </x:c>
      <x:c r="M493" s="165" t="str">
        <x:v>誤り。色調変化の主因は長期酸化熟成である。</x:v>
      </x:c>
      <x:c r="N493" s="165" t="str">
        <x:v>誤り。ワインは樽内で光合成しない。</x:v>
      </x:c>
      <x:c r="O493" s="165" t="str">
        <x:v>誤り。CO2がトーニー色を生むわけではない。</x:v>
      </x:c>
      <x:c r="P493" s="165" t="str">
        <x:v>正しい。小樽の表面積と蒸発により酸化が進み、赤い果実香がナッツやドライフルーツへ変化する。</x:v>
      </x:c>
      <x:c r="Q493" s="165" t="str">
        <x:v>熟成</x:v>
      </x:c>
      <x:c r="R493" s="165" t="str">
        <x:v>ポート</x:v>
      </x:c>
      <x:c r="S493" s="165" t="str">
        <x:v>酒精強化ワイン</x:v>
      </x:c>
      <x:c r="T493" s="165" t="str">
        <x:v>ポルトガル</x:v>
      </x:c>
      <x:c r="U493" s="165" t="str">
        <x:v>ドウロ</x:v>
      </x:c>
      <x:c r="V493" s="165"/>
      <x:c r="W493" s="165" t="str">
        <x:v>因果説明</x:v>
      </x:c>
      <x:c r="X493" s="171" t="str">
        <x:v>D2</x:v>
      </x:c>
      <x:c r="Y493" s="165" t="str">
        <x:v>トーニーの色調変化に関する別の特徴・要因と混同; トーニーの色調変化に関する別の特徴・要因と混同; トーニーの色調変化に関する別の特徴・要因と混同</x:v>
      </x:c>
      <x:c r="Z493" s="171" t="str">
        <x:v>N</x:v>
      </x:c>
      <x:c r="AA493" s="165"/>
      <x:c r="AB493" s="165" t="str">
        <x:v>オリジナル</x:v>
      </x:c>
      <x:c r="AC493" s="165" t="str">
        <x:v>公式Specificationの範囲＋ユーザー作成コーパスの論点を参考に独自作成</x:v>
      </x:c>
      <x:c r="AD493" s="171" t="str">
        <x:v>改稿済み・専門家未承認</x:v>
      </x:c>
      <x:c r="AE493" s="171" t="str">
        <x:v>AI誤答レビュー</x:v>
      </x:c>
      <x:c r="AF493" s="171" t="str">
        <x:v>2026-07-12</x:v>
      </x:c>
      <x:c r="AG493" s="312" t="str">
        <x:v>最終バッチ：有効な誤答を維持し、絶対語・物理的不可能な誤答のみ置換。正答位置は維持。</x:v>
      </x:c>
    </x:row>
    <x:row r="494" ht="84" customHeight="1">
      <x:c r="A494" s="311" t="str">
        <x:v>LO4-073</x:v>
      </x:c>
      <x:c r="B494" s="171" t="str">
        <x:v>LO4</x:v>
      </x:c>
      <x:c r="C494" s="165" t="str">
        <x:v>世界の主要な酒精強化ワイン</x:v>
      </x:c>
      <x:c r="D494" s="165" t="str">
        <x:v>ドウロの片岩</x:v>
      </x:c>
      <x:c r="E494" s="165" t="str">
        <x:v>ドウロの片岩質土壌が乾燥した急斜面のブドウ栽培に有利な主な理由はどれか。</x:v>
      </x:c>
      <x:c r="F494" s="165" t="str">
        <x:v>割れ目に根が入り込み、排水しながら深部の水分へ到達できる</x:v>
      </x:c>
      <x:c r="G494" s="165" t="str">
        <x:v>片岩が水を表面へ保持し、根を浅く広げるため</x:v>
      </x:c>
      <x:c r="H494" s="165" t="str">
        <x:v>片岩が水を全く通さず、表土に水を蓄える</x:v>
      </x:c>
      <x:c r="I494" s="165" t="str">
        <x:v>片岩が夜間に水を生成し、灌漑を不要にする</x:v>
      </x:c>
      <x:c r="J494" s="171" t="str">
        <x:v>A</x:v>
      </x:c>
      <x:c r="K494" s="165" t="str">
        <x:v>割れ目に根が入り込み、排水しながら深部の水分へ到達できる</x:v>
      </x:c>
      <x:c r="L494" s="165" t="str">
        <x:v>正しい。薄く割れる岩盤へ根が伸び、乾燥期の深い水源を利用する。</x:v>
      </x:c>
      <x:c r="M494" s="165" t="str">
        <x:v>正しい。薄く割れる岩盤へ根が伸び、乾燥期の深い水源を利用する。</x:v>
      </x:c>
      <x:c r="N494" s="165" t="str">
        <x:v>誤り。片岩の亀裂へ根が深く伸び、深部の水へ到達できる。</x:v>
      </x:c>
      <x:c r="O494" s="165" t="str">
        <x:v>誤り。片岩の亀裂が排水と深根を助ける。</x:v>
      </x:c>
      <x:c r="P494" s="165" t="str">
        <x:v>誤り。岩石が水を生成するわけではない。</x:v>
      </x:c>
      <x:c r="Q494" s="165" t="str">
        <x:v>自然要因</x:v>
      </x:c>
      <x:c r="R494" s="165" t="str">
        <x:v>ポート</x:v>
      </x:c>
      <x:c r="S494" s="165" t="str">
        <x:v>酒精強化ワイン</x:v>
      </x:c>
      <x:c r="T494" s="165" t="str">
        <x:v>ポルトガル</x:v>
      </x:c>
      <x:c r="U494" s="165" t="str">
        <x:v>ドウロ</x:v>
      </x:c>
      <x:c r="V494" s="165"/>
      <x:c r="W494" s="165" t="str">
        <x:v>因果説明</x:v>
      </x:c>
      <x:c r="X494" s="171" t="str">
        <x:v>D2</x:v>
      </x:c>
      <x:c r="Y494" s="165" t="str">
        <x:v>片岩は表面保水・浅根化を促す; 片岩は完全不透水; 片岩が水を生成</x:v>
      </x:c>
      <x:c r="Z494" s="171" t="str">
        <x:v>N</x:v>
      </x:c>
      <x:c r="AA494" s="165"/>
      <x:c r="AB494" s="165" t="str">
        <x:v>オリジナル</x:v>
      </x:c>
      <x:c r="AC494" s="165" t="str">
        <x:v>公式Specificationの範囲＋ユーザー作成コーパスの論点を参考に独自作成</x:v>
      </x:c>
      <x:c r="AD494" s="171" t="str">
        <x:v>改稿済み・専門家未承認</x:v>
      </x:c>
      <x:c r="AE494" s="171" t="str">
        <x:v>AI誤答レビュー</x:v>
      </x:c>
      <x:c r="AF494" s="171" t="str">
        <x:v>2026-07-12</x:v>
      </x:c>
      <x:c r="AG494" s="312" t="str">
        <x:v>第4バッチ：同一論点内の典型的誤概念へ置換。正答位置は維持。</x:v>
      </x:c>
    </x:row>
    <x:row r="495" ht="84" customHeight="1">
      <x:c r="A495" s="311" t="str">
        <x:v>LO4-074</x:v>
      </x:c>
      <x:c r="B495" s="171" t="str">
        <x:v>LO4</x:v>
      </x:c>
      <x:c r="C495" s="165" t="str">
        <x:v>世界の主要な酒精強化ワイン</x:v>
      </x:c>
      <x:c r="D495" s="165" t="str">
        <x:v>ドウロ畑の格付け要因</x:v>
      </x:c>
      <x:c r="E495" s="165" t="str">
        <x:v>ドウロでポート用畑の品質評価に用いられる要因として最も適切なものはどれか。</x:v>
      </x:c>
      <x:c r="F495" s="165" t="str">
        <x:v>ボトルの色だけ</x:v>
      </x:c>
      <x:c r="G495" s="165" t="str">
        <x:v>標高、方角、傾斜、土壌、品種、樹齢などの組み合わせ</x:v>
      </x:c>
      <x:c r="H495" s="165" t="str">
        <x:v>ワイナリーの看板の大きさだけ</x:v>
      </x:c>
      <x:c r="I495" s="165" t="str">
        <x:v>瓶内圧力だけ</x:v>
      </x:c>
      <x:c r="J495" s="171" t="str">
        <x:v>B</x:v>
      </x:c>
      <x:c r="K495" s="165" t="str">
        <x:v>標高、方角、傾斜、土壌、品種、樹齢などの組み合わせ</x:v>
      </x:c>
      <x:c r="L495" s="165" t="str">
        <x:v>正しい。日照と水分条件、栽培難度、果実の成熟可能性を総合評価し、原料価値を判断する。</x:v>
      </x:c>
      <x:c r="M495" s="165" t="str">
        <x:v>誤り。畑の評価は栽培条件と原料品質に基づく。</x:v>
      </x:c>
      <x:c r="N495" s="165" t="str">
        <x:v>正しい。日照と水分条件、栽培難度、果実の成熟可能性を総合評価し、原料価値を判断する。</x:v>
      </x:c>
      <x:c r="O495" s="165" t="str">
        <x:v>誤り。宣伝物は畑の自然条件を表さない。</x:v>
      </x:c>
      <x:c r="P495" s="165" t="str">
        <x:v>誤り。ポートは非発泡性で、畑評価と圧力は無関係である。</x:v>
      </x:c>
      <x:c r="Q495" s="165" t="str">
        <x:v>法律・価格</x:v>
      </x:c>
      <x:c r="R495" s="165" t="str">
        <x:v>ポート</x:v>
      </x:c>
      <x:c r="S495" s="165" t="str">
        <x:v>酒精強化ワイン</x:v>
      </x:c>
      <x:c r="T495" s="165" t="str">
        <x:v>ポルトガル</x:v>
      </x:c>
      <x:c r="U495" s="165" t="str">
        <x:v>ドウロ</x:v>
      </x:c>
      <x:c r="V495" s="165"/>
      <x:c r="W495" s="165" t="str">
        <x:v>統合判断</x:v>
      </x:c>
      <x:c r="X495" s="171" t="str">
        <x:v>D3</x:v>
      </x:c>
      <x:c r="Y495" s="165" t="str">
        <x:v>ドウロ畑の格付け要因に関する別の特徴・要因と混同; ドウロ畑の格付け要因に関する別の特徴・要因と混同; ドウロ畑の格付け要因に関する別の特徴・要因と混同</x:v>
      </x:c>
      <x:c r="Z495" s="171" t="str">
        <x:v>Y</x:v>
      </x:c>
      <x:c r="AA495" s="165" t="str">
        <x:v>ドウロ畑の現行分類制度と評価項目を最新教材で最終照合推奨</x:v>
      </x:c>
      <x:c r="AB495" s="165" t="str">
        <x:v>オリジナル</x:v>
      </x:c>
      <x:c r="AC495" s="165" t="str">
        <x:v>公式Specificationの範囲＋ユーザー作成コーパスの論点を参考に独自作成</x:v>
      </x:c>
      <x:c r="AD495" s="171" t="str">
        <x:v>改稿済み・専門家未承認</x:v>
      </x:c>
      <x:c r="AE495" s="171" t="str">
        <x:v>AI誤答レビュー</x:v>
      </x:c>
      <x:c r="AF495" s="171" t="str">
        <x:v>2026-07-12</x:v>
      </x:c>
      <x:c r="AG495" s="312" t="str">
        <x:v>最終バッチ：有効な誤答を維持し、絶対語・物理的不可能な誤答のみ置換。正答位置は維持。</x:v>
      </x:c>
    </x:row>
    <x:row r="496" ht="84" customHeight="1">
      <x:c r="A496" s="311" t="str">
        <x:v>LO4-075</x:v>
      </x:c>
      <x:c r="B496" s="171" t="str">
        <x:v>LO4</x:v>
      </x:c>
      <x:c r="C496" s="165" t="str">
        <x:v>世界の主要な酒精強化ワイン</x:v>
      </x:c>
      <x:c r="D496" s="165" t="str">
        <x:v>古木のフィールド・ブレンド</x:v>
      </x:c>
      <x:c r="E496" s="165" t="str">
        <x:v>ドウロの古い畑で、複数品種が混植されるフィールド・ブレンドの潜在的な利点はどれか。</x:v>
      </x:c>
      <x:c r="F496" s="165" t="str">
        <x:v>品種の成熟時期がそろい、複数品種を最適熟度で同時収穫しやすくなる</x:v>
      </x:c>
      <x:c r="G496" s="165" t="str">
        <x:v>各品種の収量比率が毎年一定となり、完成ワインのブレンド比率を正確に固定できる</x:v>
      </x:c>
      <x:c r="H496" s="165" t="str">
        <x:v>成熟時期と成分の異なる品種が互いを補い、複雑性とヴィンテージへの耐性を高める</x:v>
      </x:c>
      <x:c r="I496" s="165" t="str">
        <x:v>香りの複雑性は増すが、酸、色、タンニン、気候リスクの分散にはほとんど寄与しない</x:v>
      </x:c>
      <x:c r="J496" s="171" t="str">
        <x:v>C</x:v>
      </x:c>
      <x:c r="K496" s="165" t="str">
        <x:v>成熟時期と成分の異なる品種が互いを補い、複雑性とヴィンテージへの耐性を高める</x:v>
      </x:c>
      <x:c r="L496" s="165" t="str">
        <x:v>正しい。異なる成熟・構造特性が、単一年の条件への依存を小さくし、複雑性を与える。</x:v>
      </x:c>
      <x:c r="M496" s="165" t="str">
        <x:v>誤り。混植では成熟差が課題となり、全品種を常に最適熟度で同時に収穫できるわけではない。</x:v>
      </x:c>
      <x:c r="N496" s="165" t="str">
        <x:v>誤り。品種ごとの結実と収量は年により変わり、比率は一定にならない。</x:v>
      </x:c>
      <x:c r="O496" s="165" t="str">
        <x:v>正しい。異なる成熟・構造特性が、単一年の条件への依存を小さくし、複雑性を与える。</x:v>
      </x:c>
      <x:c r="P496" s="165" t="str">
        <x:v>誤り。補完効果は香りだけでなく、酸、色、タンニン、成熟時期にも及ぶ。</x:v>
      </x:c>
      <x:c r="Q496" s="165" t="str">
        <x:v>栽培</x:v>
      </x:c>
      <x:c r="R496" s="165" t="str">
        <x:v>ポート</x:v>
      </x:c>
      <x:c r="S496" s="165" t="str">
        <x:v>酒精強化ワイン</x:v>
      </x:c>
      <x:c r="T496" s="165" t="str">
        <x:v>ポルトガル</x:v>
      </x:c>
      <x:c r="U496" s="165" t="str">
        <x:v>ドウロ</x:v>
      </x:c>
      <x:c r="V496" s="165" t="str">
        <x:v>複数の土着黒品種</x:v>
      </x:c>
      <x:c r="W496" s="165" t="str">
        <x:v>統合判断</x:v>
      </x:c>
      <x:c r="X496" s="171" t="str">
        <x:v>D3</x:v>
      </x:c>
      <x:c r="Y496" s="165" t="str">
        <x:v>混植すると成熟時期がそろう; フィールドブレンドの品種比率は毎年一定; フィールドブレンドの利点は香りだけ</x:v>
      </x:c>
      <x:c r="Z496" s="171" t="str">
        <x:v>N</x:v>
      </x:c>
      <x:c r="AA496" s="165"/>
      <x:c r="AB496" s="165" t="str">
        <x:v>オリジナル</x:v>
      </x:c>
      <x:c r="AC496" s="165" t="str">
        <x:v>公式Specificationの範囲＋ユーザー作成コーパスの論点を参考に独自作成</x:v>
      </x:c>
      <x:c r="AD496" s="171" t="str">
        <x:v>改稿済み・専門家未承認</x:v>
      </x:c>
      <x:c r="AE496" s="171" t="str">
        <x:v>AI誤答レビュー</x:v>
      </x:c>
      <x:c r="AF496" s="171" t="str">
        <x:v>2026-07-12</x:v>
      </x:c>
      <x:c r="AG496" s="312" t="str">
        <x:v>第2バッチ：誤答を同一論点内の典型的誤概念へ置換。正答位置は維持。</x:v>
      </x:c>
    </x:row>
    <x:row r="497" ht="84" customHeight="1">
      <x:c r="A497" s="311" t="str">
        <x:v>LO4-076</x:v>
      </x:c>
      <x:c r="B497" s="171" t="str">
        <x:v>LO4</x:v>
      </x:c>
      <x:c r="C497" s="165" t="str">
        <x:v>世界の主要な酒精強化ワイン</x:v>
      </x:c>
      <x:c r="D497" s="165" t="str">
        <x:v>酒精強化用スピリッツ</x:v>
      </x:c>
      <x:c r="E497" s="165" t="str">
        <x:v>ポートの酒精強化に用いるブドウ由来スピリッツの品質が重要な主な理由はどれか。</x:v>
      </x:c>
      <x:c r="F497" s="165" t="str">
        <x:v>スピリッツが残糖を除去するため</x:v>
      </x:c>
      <x:c r="G497" s="165" t="str">
        <x:v>スピリッツが二次発酵を開始するため</x:v>
      </x:c>
      <x:c r="H497" s="165" t="str">
        <x:v>スピリッツがワインの色を白くするため</x:v>
      </x:c>
      <x:c r="I497" s="165" t="str">
        <x:v>添加量が多く、粗い香味が完成ワインの果実味とバランスを損なう可能性があるため</x:v>
      </x:c>
      <x:c r="J497" s="171" t="str">
        <x:v>D</x:v>
      </x:c>
      <x:c r="K497" s="165" t="str">
        <x:v>添加量が多く、粗い香味が完成ワインの果実味とバランスを損なう可能性があるため</x:v>
      </x:c>
      <x:c r="L497" s="165" t="str">
        <x:v>正しい。中性で清潔なスピリッツを用いることで、発酵を止めながらブドウの香りを保てる。</x:v>
      </x:c>
      <x:c r="M497" s="165" t="str">
        <x:v>誤り。発酵停止により残糖を保持する。</x:v>
      </x:c>
      <x:c r="N497" s="165" t="str">
        <x:v>誤り。高アルコールは酵母を停止させる。</x:v>
      </x:c>
      <x:c r="O497" s="165" t="str">
        <x:v>誤り。中性スピリッツは色を白へ変えるものではない。</x:v>
      </x:c>
      <x:c r="P497" s="165" t="str">
        <x:v>正しい。中性で清潔なスピリッツを用いることで、発酵を止めながらブドウの香りを保てる。</x:v>
      </x:c>
      <x:c r="Q497" s="165" t="str">
        <x:v>酒精強化ワイン製法</x:v>
      </x:c>
      <x:c r="R497" s="165" t="str">
        <x:v>ポート</x:v>
      </x:c>
      <x:c r="S497" s="165" t="str">
        <x:v>酒精強化ワイン</x:v>
      </x:c>
      <x:c r="T497" s="165" t="str">
        <x:v>ポルトガル</x:v>
      </x:c>
      <x:c r="U497" s="165" t="str">
        <x:v>ドウロ</x:v>
      </x:c>
      <x:c r="V497" s="165"/>
      <x:c r="W497" s="165" t="str">
        <x:v>因果説明</x:v>
      </x:c>
      <x:c r="X497" s="171" t="str">
        <x:v>D2</x:v>
      </x:c>
      <x:c r="Y497" s="165" t="str">
        <x:v>酒精強化用スピリッツについて関連要因を主因とみなす; 酒精強化用スピリッツについて関連要因を主因とみなす; 酒精強化用スピリッツについて関連要因を主因とみなす</x:v>
      </x:c>
      <x:c r="Z497" s="171" t="str">
        <x:v>N</x:v>
      </x:c>
      <x:c r="AA497" s="165"/>
      <x:c r="AB497" s="165" t="str">
        <x:v>オリジナル</x:v>
      </x:c>
      <x:c r="AC497" s="165" t="str">
        <x:v>公式Specificationの範囲＋ユーザー作成コーパスの論点を参考に独自作成</x:v>
      </x:c>
      <x:c r="AD497" s="171" t="str">
        <x:v>改稿済み・専門家未承認</x:v>
      </x:c>
      <x:c r="AE497" s="171" t="str">
        <x:v>AI誤答レビュー</x:v>
      </x:c>
      <x:c r="AF497" s="171" t="str">
        <x:v>2026-07-12</x:v>
      </x:c>
      <x:c r="AG497" s="312" t="str">
        <x:v>第5バッチ：使用可能な誤答を維持し、弱い誤答を因果逆転・隣接概念へ置換。正答位置は維持。</x:v>
      </x:c>
    </x:row>
    <x:row r="498" ht="84" customHeight="1">
      <x:c r="A498" s="311" t="str">
        <x:v>LO4-077</x:v>
      </x:c>
      <x:c r="B498" s="171" t="str">
        <x:v>LO4</x:v>
      </x:c>
      <x:c r="C498" s="165" t="str">
        <x:v>世界の主要な酒精強化ワイン</x:v>
      </x:c>
      <x:c r="D498" s="165" t="str">
        <x:v>ポートの短い発酵</x:v>
      </x:c>
      <x:c r="E498" s="165" t="str">
        <x:v>ポートの発酵期間が通常の辛口赤ワインより短い主な理由はどれか。</x:v>
      </x:c>
      <x:c r="F498" s="165" t="str">
        <x:v>残糖を残すため、糖の大部分が発酵する前に酒精強化して酵母を止める</x:v>
      </x:c>
      <x:c r="G498" s="165" t="str">
        <x:v>ブドウに糖が含まれないため</x:v>
      </x:c>
      <x:c r="H498" s="165" t="str">
        <x:v>瓶内二次発酵へ移るため</x:v>
      </x:c>
      <x:c r="I498" s="165" t="str">
        <x:v>発酵前にアルコールが自然発生しているため</x:v>
      </x:c>
      <x:c r="J498" s="171" t="str">
        <x:v>A</x:v>
      </x:c>
      <x:c r="K498" s="165" t="str">
        <x:v>残糖を残すため、糖の大部分が発酵する前に酒精強化して酵母を止める</x:v>
      </x:c>
      <x:c r="L498" s="165" t="str">
        <x:v>正しい。高アルコールのスピリッツを添加すると酵母が活動できなくなり、甘味が残る。</x:v>
      </x:c>
      <x:c r="M498" s="165" t="str">
        <x:v>正しい。高アルコールのスピリッツを添加すると酵母が活動できなくなり、甘味が残る。</x:v>
      </x:c>
      <x:c r="N498" s="165" t="str">
        <x:v>誤り。ポート用ブドウには高い糖がある。</x:v>
      </x:c>
      <x:c r="O498" s="165" t="str">
        <x:v>誤り。ポートは発泡性ではない。</x:v>
      </x:c>
      <x:c r="P498" s="165" t="str">
        <x:v>誤り。アルコールは発酵と添加で得る。</x:v>
      </x:c>
      <x:c r="Q498" s="165" t="str">
        <x:v>酒精強化ワイン製法</x:v>
      </x:c>
      <x:c r="R498" s="165" t="str">
        <x:v>ポート</x:v>
      </x:c>
      <x:c r="S498" s="165" t="str">
        <x:v>酒精強化ワイン</x:v>
      </x:c>
      <x:c r="T498" s="165" t="str">
        <x:v>ポルトガル</x:v>
      </x:c>
      <x:c r="U498" s="165" t="str">
        <x:v>ドウロ</x:v>
      </x:c>
      <x:c r="V498" s="165"/>
      <x:c r="W498" s="165" t="str">
        <x:v>因果説明</x:v>
      </x:c>
      <x:c r="X498" s="171" t="str">
        <x:v>D1</x:v>
      </x:c>
      <x:c r="Y498" s="165" t="str">
        <x:v>ポートの短い発酵に関する別の特徴・要因と混同; ポートの短い発酵に関する別の特徴・要因と混同; ポートの短い発酵に関する別の特徴・要因と混同</x:v>
      </x:c>
      <x:c r="Z498" s="171" t="str">
        <x:v>N</x:v>
      </x:c>
      <x:c r="AA498" s="165"/>
      <x:c r="AB498" s="165" t="str">
        <x:v>オリジナル</x:v>
      </x:c>
      <x:c r="AC498" s="165" t="str">
        <x:v>公式Specificationの範囲＋ユーザー作成コーパスの論点を参考に独自作成</x:v>
      </x:c>
      <x:c r="AD498" s="171" t="str">
        <x:v>改稿済み・専門家未承認</x:v>
      </x:c>
      <x:c r="AE498" s="171" t="str">
        <x:v>AI誤答レビュー</x:v>
      </x:c>
      <x:c r="AF498" s="171" t="str">
        <x:v>2026-07-12</x:v>
      </x:c>
      <x:c r="AG498" s="312" t="str">
        <x:v>最終バッチ：有効な誤答を維持し、絶対語・物理的不可能な誤答のみ置換。正答位置は維持。</x:v>
      </x:c>
    </x:row>
    <x:row r="499" ht="84" customHeight="1">
      <x:c r="A499" s="311" t="str">
        <x:v>LO4-078</x:v>
      </x:c>
      <x:c r="B499" s="171" t="str">
        <x:v>LO4</x:v>
      </x:c>
      <x:c r="C499" s="165" t="str">
        <x:v>世界の主要な酒精強化ワイン</x:v>
      </x:c>
      <x:c r="D499" s="165" t="str">
        <x:v>足踏み抽出</x:v>
      </x:c>
      <x:c r="E499" s="165" t="str">
        <x:v>ポート製造で、ラガールの足踏みが短い発酵期間でも十分な抽出を得やすい理由はどれか。</x:v>
      </x:c>
      <x:c r="F499" s="165" t="str">
        <x:v>足の圧力で種子を細かく砕き、苦いタンニンを短時間で抽出するため</x:v>
      </x:c>
      <x:c r="G499" s="165" t="str">
        <x:v>人の足が果皮を穏やかに広く圧迫し、種子を砕かずに色とタンニンを素早く抽出するため</x:v>
      </x:c>
      <x:c r="H499" s="165" t="str">
        <x:v>体温で発酵温度を上げ、酵母の活動を最大化するため</x:v>
      </x:c>
      <x:c r="I499" s="165" t="str">
        <x:v>果皮をマストから取り除き、果汁だけを循環させるため</x:v>
      </x:c>
      <x:c r="J499" s="171" t="str">
        <x:v>B</x:v>
      </x:c>
      <x:c r="K499" s="165" t="str">
        <x:v>人の足が果皮を穏やかに広く圧迫し、種子を砕かずに色とタンニンを素早く抽出するため</x:v>
      </x:c>
      <x:c r="L499" s="165" t="str">
        <x:v>正しい。広い接触面でキャップを混ぜ、穏やかに強い抽出を行える。</x:v>
      </x:c>
      <x:c r="M499" s="165" t="str">
        <x:v>誤り。種子を砕くことは粗い苦味を招き、利点ではない。</x:v>
      </x:c>
      <x:c r="N499" s="165" t="str">
        <x:v>正しい。広い接触面でキャップを混ぜ、穏やかに強い抽出を行える。</x:v>
      </x:c>
      <x:c r="O499" s="165" t="str">
        <x:v>誤り。体温による温度上昇が主要な抽出機構ではない。</x:v>
      </x:c>
      <x:c r="P499" s="165" t="str">
        <x:v>誤り。果皮を除去せず、接触を高める方法である。</x:v>
      </x:c>
      <x:c r="Q499" s="165" t="str">
        <x:v>酒精強化ワイン製法</x:v>
      </x:c>
      <x:c r="R499" s="165" t="str">
        <x:v>ポート</x:v>
      </x:c>
      <x:c r="S499" s="165" t="str">
        <x:v>酒精強化ワイン</x:v>
      </x:c>
      <x:c r="T499" s="165" t="str">
        <x:v>ポルトガル</x:v>
      </x:c>
      <x:c r="U499" s="165" t="str">
        <x:v>ドウロ</x:v>
      </x:c>
      <x:c r="V499" s="165"/>
      <x:c r="W499" s="165" t="str">
        <x:v>因果説明</x:v>
      </x:c>
      <x:c r="X499" s="171" t="str">
        <x:v>D3</x:v>
      </x:c>
      <x:c r="Y499" s="165" t="str">
        <x:v>足踏みは種子粉砕で強抽出; 足踏みは体温で発酵を加速; 足踏みは果皮除去法</x:v>
      </x:c>
      <x:c r="Z499" s="171" t="str">
        <x:v>N</x:v>
      </x:c>
      <x:c r="AA499" s="165"/>
      <x:c r="AB499" s="165" t="str">
        <x:v>オリジナル</x:v>
      </x:c>
      <x:c r="AC499" s="165" t="str">
        <x:v>公式Specificationの範囲＋ユーザー作成コーパスの論点を参考に独自作成</x:v>
      </x:c>
      <x:c r="AD499" s="171" t="str">
        <x:v>改稿済み・専門家未承認</x:v>
      </x:c>
      <x:c r="AE499" s="171" t="str">
        <x:v>AI誤答レビュー</x:v>
      </x:c>
      <x:c r="AF499" s="171" t="str">
        <x:v>2026-07-12</x:v>
      </x:c>
      <x:c r="AG499" s="312" t="str">
        <x:v>第3バッチ：同一論点内の典型的誤概念へ置換。正答位置は維持。</x:v>
      </x:c>
    </x:row>
    <x:row r="500" ht="84" customHeight="1">
      <x:c r="A500" s="311" t="str">
        <x:v>LO4-079</x:v>
      </x:c>
      <x:c r="B500" s="171" t="str">
        <x:v>LO4</x:v>
      </x:c>
      <x:c r="C500" s="165" t="str">
        <x:v>世界の主要な酒精強化ワイン</x:v>
      </x:c>
      <x:c r="D500" s="165" t="str">
        <x:v>ポートの甘味調整</x:v>
      </x:c>
      <x:c r="E500" s="165" t="str">
        <x:v>同じブドウ果汁から、より甘いポートを造るための最も直接的な方法はどれか。</x:v>
      </x:c>
      <x:c r="F500" s="165" t="str">
        <x:v>発酵の遅い段階で酒精強化し、より多くの糖を残す</x:v>
      </x:c>
      <x:c r="G500" s="165" t="str">
        <x:v>発酵温度を高め、糖の消費速度を上げる</x:v>
      </x:c>
      <x:c r="H500" s="165" t="str">
        <x:v>発酵の早い段階で酒精強化し、より多くの糖を残す</x:v>
      </x:c>
      <x:c r="I500" s="165" t="str">
        <x:v>樽熟成を長くし、木材から糖を抽出する</x:v>
      </x:c>
      <x:c r="J500" s="171" t="str">
        <x:v>C</x:v>
      </x:c>
      <x:c r="K500" s="165" t="str">
        <x:v>発酵の早い段階で酒精強化し、より多くの糖を残す</x:v>
      </x:c>
      <x:c r="L500" s="165" t="str">
        <x:v>正しい。高アルコールで酵母を停止し、未発酵糖を保持する。</x:v>
      </x:c>
      <x:c r="M500" s="165" t="str">
        <x:v>誤り。正答では「発酵の早い段階」ことが重要であり、この選択肢は「発酵の遅い段階」へ置き換えて関係を逆にしている。</x:v>
      </x:c>
      <x:c r="N500" s="165" t="str">
        <x:v>誤り。糖をより消費し、辛口方向になる。</x:v>
      </x:c>
      <x:c r="O500" s="165" t="str">
        <x:v>正しい。高アルコールで酵母を停止し、未発酵糖を保持する。</x:v>
      </x:c>
      <x:c r="P500" s="165" t="str">
        <x:v>誤り。樽から糖を得るわけではない。</x:v>
      </x:c>
      <x:c r="Q500" s="165" t="str">
        <x:v>酒精強化ワイン製法</x:v>
      </x:c>
      <x:c r="R500" s="165" t="str">
        <x:v>ポート</x:v>
      </x:c>
      <x:c r="S500" s="165" t="str">
        <x:v>酒精強化ワイン</x:v>
      </x:c>
      <x:c r="T500" s="165" t="str">
        <x:v>ポルトガル</x:v>
      </x:c>
      <x:c r="U500" s="165" t="str">
        <x:v>ドウロ</x:v>
      </x:c>
      <x:c r="V500" s="165"/>
      <x:c r="W500" s="165" t="str">
        <x:v>適用</x:v>
      </x:c>
      <x:c r="X500" s="171" t="str">
        <x:v>D2</x:v>
      </x:c>
      <x:c r="Y500" s="165" t="str">
        <x:v>「発酵の早い段階」と「発酵の遅い段階」の関係を逆転; 高温発酵で甘味増加; 樽熟成で糖抽出</x:v>
      </x:c>
      <x:c r="Z500" s="171" t="str">
        <x:v>N</x:v>
      </x:c>
      <x:c r="AA500" s="165"/>
      <x:c r="AB500" s="165" t="str">
        <x:v>オリジナル</x:v>
      </x:c>
      <x:c r="AC500" s="165" t="str">
        <x:v>公式Specificationの範囲＋ユーザー作成コーパスの論点を参考に独自作成</x:v>
      </x:c>
      <x:c r="AD500" s="171" t="str">
        <x:v>改稿済み・専門家未承認</x:v>
      </x:c>
      <x:c r="AE500" s="171" t="str">
        <x:v>AI誤答レビュー</x:v>
      </x:c>
      <x:c r="AF500" s="171" t="str">
        <x:v>2026-07-12</x:v>
      </x:c>
      <x:c r="AG500" s="312" t="str">
        <x:v>第4バッチ：同一論点内の典型的誤概念へ置換。正答位置は維持。</x:v>
      </x:c>
    </x:row>
    <x:row r="501" ht="84" customHeight="1">
      <x:c r="A501" s="311" t="str">
        <x:v>LO4-080</x:v>
      </x:c>
      <x:c r="B501" s="171" t="str">
        <x:v>LO4</x:v>
      </x:c>
      <x:c r="C501" s="165" t="str">
        <x:v>世界の主要な酒精強化ワイン</x:v>
      </x:c>
      <x:c r="D501" s="165" t="str">
        <x:v>ポートのハウス・ブレンド</x:v>
      </x:c>
      <x:c r="E501" s="165" t="str">
        <x:v>大手ポート生産者が、多数の畑と品種のワインをブレンドする主な目的はどれか。</x:v>
      </x:c>
      <x:c r="F501" s="165" t="str">
        <x:v>単一畑の個性を最大限に保ち、各ボトルのスタイルを意図的に異ならせる</x:v>
      </x:c>
      <x:c r="G501" s="165" t="str">
        <x:v>ヴィンテージ差を強調し、毎年異なるブランド・スタイルを作る</x:v>
      </x:c>
      <x:c r="H501" s="165" t="str">
        <x:v>アルコール度の高いロットと低いロットを平均し、酒精強化を省略する</x:v>
      </x:c>
      <x:c r="I501" s="165" t="str">
        <x:v>色、果実味、タンニン、甘味を調整し、一貫したブランド・スタイルを作る</x:v>
      </x:c>
      <x:c r="J501" s="171" t="str">
        <x:v>D</x:v>
      </x:c>
      <x:c r="K501" s="165" t="str">
        <x:v>色、果実味、タンニン、甘味を調整し、一貫したブランド・スタイルを作る</x:v>
      </x:c>
      <x:c r="L501" s="165" t="str">
        <x:v>正しい。異なる区画・品種・熟成ロットを使い、品質とハウス・スタイルを整える。</x:v>
      </x:c>
      <x:c r="M501" s="165" t="str">
        <x:v>誤り。多数ロットのブレンドは、通常、単一畑の差より一貫したスタイルを重視する。</x:v>
      </x:c>
      <x:c r="N501" s="165" t="str">
        <x:v>誤り。年差を補完してブランドの期待値へ近づけることが目的である。</x:v>
      </x:c>
      <x:c r="O501" s="165" t="str">
        <x:v>誤り。酒精強化は製造工程として必要で、ブレンドで省略できない。</x:v>
      </x:c>
      <x:c r="P501" s="165" t="str">
        <x:v>正しい。異なる区画・品種・熟成ロットを使い、品質とハウス・スタイルを整える。</x:v>
      </x:c>
      <x:c r="Q501" s="165" t="str">
        <x:v>ブレンド</x:v>
      </x:c>
      <x:c r="R501" s="165" t="str">
        <x:v>ポート</x:v>
      </x:c>
      <x:c r="S501" s="165" t="str">
        <x:v>酒精強化ワイン</x:v>
      </x:c>
      <x:c r="T501" s="165" t="str">
        <x:v>ポルトガル</x:v>
      </x:c>
      <x:c r="U501" s="165" t="str">
        <x:v>ドウロ</x:v>
      </x:c>
      <x:c r="V501" s="165"/>
      <x:c r="W501" s="165" t="str">
        <x:v>統合判断</x:v>
      </x:c>
      <x:c r="X501" s="171" t="str">
        <x:v>D3</x:v>
      </x:c>
      <x:c r="Y501" s="165" t="str">
        <x:v>大規模ブレンドは単一畑個性を最大化する; ブレンドはヴィンテージ差を強調する; アルコール平均化で酒精強化を省略できる</x:v>
      </x:c>
      <x:c r="Z501" s="171" t="str">
        <x:v>N</x:v>
      </x:c>
      <x:c r="AA501" s="165"/>
      <x:c r="AB501" s="165" t="str">
        <x:v>オリジナル</x:v>
      </x:c>
      <x:c r="AC501" s="165" t="str">
        <x:v>公式Specificationの範囲＋ユーザー作成コーパスの論点を参考に独自作成</x:v>
      </x:c>
      <x:c r="AD501" s="171" t="str">
        <x:v>改稿済み・専門家未承認</x:v>
      </x:c>
      <x:c r="AE501" s="171" t="str">
        <x:v>AI誤答レビュー</x:v>
      </x:c>
      <x:c r="AF501" s="171" t="str">
        <x:v>2026-07-12</x:v>
      </x:c>
      <x:c r="AG501" s="312" t="str">
        <x:v>第2バッチ：誤答を同一論点内の典型的誤概念へ置換。正答位置は維持。</x:v>
      </x:c>
    </x:row>
    <x:row r="502" ht="84" customHeight="1">
      <x:c r="A502" s="311" t="str">
        <x:v>LO4-081</x:v>
      </x:c>
      <x:c r="B502" s="171" t="str">
        <x:v>LO4</x:v>
      </x:c>
      <x:c r="C502" s="165" t="str">
        <x:v>世界の主要な酒精強化ワイン</x:v>
      </x:c>
      <x:c r="D502" s="165" t="str">
        <x:v>ソブレタブラス</x:v>
      </x:c>
      <x:c r="E502" s="165" t="str">
        <x:v>シェリー製造で「ソブレタブラス」が指す段階はどれか。</x:v>
      </x:c>
      <x:c r="F502" s="165" t="str">
        <x:v>若いベースワインを酒精強化した後、ソレラへ入れる前に保管・再評価する段階</x:v>
      </x:c>
      <x:c r="G502" s="165" t="str">
        <x:v>酒精強化前のベースワインを、フィノ用とオロロソ用へ分類する段階</x:v>
      </x:c>
      <x:c r="H502" s="165" t="str">
        <x:v>ブドウを天日乾燥し、糖を濃縮する段階</x:v>
      </x:c>
      <x:c r="I502" s="165" t="str">
        <x:v>ソレラ最下段から出荷用ワインを取り出す段階</x:v>
      </x:c>
      <x:c r="J502" s="171" t="str">
        <x:v>A</x:v>
      </x:c>
      <x:c r="K502" s="165" t="str">
        <x:v>若いベースワインを酒精強化した後、ソレラへ入れる前に保管・再評価する段階</x:v>
      </x:c>
      <x:c r="L502" s="165" t="str">
        <x:v>正しい。フロールの状態や香味を見て、フィノ型・酸化型の熟成経路を決める。</x:v>
      </x:c>
      <x:c r="M502" s="165" t="str">
        <x:v>正しい。フロールの状態や香味を見て、フィノ型・酸化型の熟成経路を決める。</x:v>
      </x:c>
      <x:c r="N502" s="165" t="str">
        <x:v>誤り。分類は酒精強化前に行い、ソブレタブラスは強化後・ソレラ投入前の保管段階である。</x:v>
      </x:c>
      <x:c r="O502" s="165" t="str">
        <x:v>誤り。これはPX等のアソレオ。</x:v>
      </x:c>
      <x:c r="P502" s="165" t="str">
        <x:v>誤り。これはサカ。</x:v>
      </x:c>
      <x:c r="Q502" s="165" t="str">
        <x:v>酒精強化ワイン製法</x:v>
      </x:c>
      <x:c r="R502" s="165" t="str">
        <x:v>シェリー</x:v>
      </x:c>
      <x:c r="S502" s="165" t="str">
        <x:v>酒精強化ワイン</x:v>
      </x:c>
      <x:c r="T502" s="165" t="str">
        <x:v>スペイン</x:v>
      </x:c>
      <x:c r="U502" s="165" t="str">
        <x:v>ヘレス</x:v>
      </x:c>
      <x:c r="V502" s="165"/>
      <x:c r="W502" s="165" t="str">
        <x:v>知識確認</x:v>
      </x:c>
      <x:c r="X502" s="171" t="str">
        <x:v>D2</x:v>
      </x:c>
      <x:c r="Y502" s="165" t="str">
        <x:v>ソブレタブラスをベースワインの初期分類と混同; ソブレタブラスを天日乾燥と混同; ソブレタブラスとサカを混同</x:v>
      </x:c>
      <x:c r="Z502" s="171" t="str">
        <x:v>N</x:v>
      </x:c>
      <x:c r="AA502" s="165"/>
      <x:c r="AB502" s="165" t="str">
        <x:v>オリジナル</x:v>
      </x:c>
      <x:c r="AC502" s="165" t="str">
        <x:v>公式Specificationの範囲＋ユーザー作成コーパスの論点を参考に独自作成</x:v>
      </x:c>
      <x:c r="AD502" s="171" t="str">
        <x:v>改稿済み・専門家未承認</x:v>
      </x:c>
      <x:c r="AE502" s="171" t="str">
        <x:v>AI誤答レビュー</x:v>
      </x:c>
      <x:c r="AF502" s="171" t="str">
        <x:v>2026-07-12</x:v>
      </x:c>
      <x:c r="AG502" s="312" t="str">
        <x:v>第4バッチ：同一論点内の典型的誤概念へ置換。正答位置は維持。</x:v>
      </x:c>
    </x:row>
    <x:row r="503" ht="84" customHeight="1">
      <x:c r="A503" s="311" t="str">
        <x:v>LO4-082</x:v>
      </x:c>
      <x:c r="B503" s="171" t="str">
        <x:v>LO4</x:v>
      </x:c>
      <x:c r="C503" s="165" t="str">
        <x:v>世界の主要な酒精強化ワイン</x:v>
      </x:c>
      <x:c r="D503" s="165" t="str">
        <x:v>フロール用の酒精強化</x:v>
      </x:c>
      <x:c r="E503" s="165" t="str">
        <x:v>フィノ用のベースワインを比較的低いアルコール度へ酒精強化する主な理由はどれか。</x:v>
      </x:c>
      <x:c r="F503" s="165" t="str">
        <x:v>酸化を最大限にするため</x:v>
      </x:c>
      <x:c r="G503" s="165" t="str">
        <x:v>フロール酵母が生存し、ワイン表面を覆える条件を保つため</x:v>
      </x:c>
      <x:c r="H503" s="165" t="str">
        <x:v>残糖を増やすため</x:v>
      </x:c>
      <x:c r="I503" s="165" t="str">
        <x:v>瓶内圧力を高めるため</x:v>
      </x:c>
      <x:c r="J503" s="171" t="str">
        <x:v>B</x:v>
      </x:c>
      <x:c r="K503" s="165" t="str">
        <x:v>フロール酵母が生存し、ワイン表面を覆える条件を保つため</x:v>
      </x:c>
      <x:c r="L503" s="165" t="str">
        <x:v>正しい。アルコールが高すぎるとフロールが活動できないため、生物学的熟成に適した水準へ調整する。</x:v>
      </x:c>
      <x:c r="M503" s="165" t="str">
        <x:v>誤り。フロールはワインを酸素から保護する。</x:v>
      </x:c>
      <x:c r="N503" s="165" t="str">
        <x:v>正しい。アルコールが高すぎるとフロールが活動できないため、生物学的熟成に適した水準へ調整する。</x:v>
      </x:c>
      <x:c r="O503" s="165" t="str">
        <x:v>誤り。シェリーのベースワインは通常辛口まで発酵済みである。</x:v>
      </x:c>
      <x:c r="P503" s="165" t="str">
        <x:v>誤り。酒精強化と発泡性は無関係である。</x:v>
      </x:c>
      <x:c r="Q503" s="165" t="str">
        <x:v>酒精強化ワイン製法</x:v>
      </x:c>
      <x:c r="R503" s="165" t="str">
        <x:v>シェリー</x:v>
      </x:c>
      <x:c r="S503" s="165" t="str">
        <x:v>酒精強化ワイン</x:v>
      </x:c>
      <x:c r="T503" s="165" t="str">
        <x:v>スペイン</x:v>
      </x:c>
      <x:c r="U503" s="165" t="str">
        <x:v>ヘレス</x:v>
      </x:c>
      <x:c r="V503" s="165" t="str">
        <x:v>パロミノ</x:v>
      </x:c>
      <x:c r="W503" s="165" t="str">
        <x:v>因果説明</x:v>
      </x:c>
      <x:c r="X503" s="171" t="str">
        <x:v>D2</x:v>
      </x:c>
      <x:c r="Y503" s="165" t="str">
        <x:v>フロール用の酒精強化に関する別の特徴・要因と混同; フロール用の酒精強化に関する別の特徴・要因と混同; フロール用の酒精強化に関する別の特徴・要因と混同</x:v>
      </x:c>
      <x:c r="Z503" s="171" t="str">
        <x:v>Y</x:v>
      </x:c>
      <x:c r="AA503" s="165" t="str">
        <x:v>フィノ用酒精強化度数の具体値を掲載する場合は最新教材と規定を照合推奨</x:v>
      </x:c>
      <x:c r="AB503" s="165" t="str">
        <x:v>オリジナル</x:v>
      </x:c>
      <x:c r="AC503" s="165" t="str">
        <x:v>公式Specificationの範囲＋ユーザー作成コーパスの論点を参考に独自作成</x:v>
      </x:c>
      <x:c r="AD503" s="171" t="str">
        <x:v>改稿済み・専門家未承認</x:v>
      </x:c>
      <x:c r="AE503" s="171" t="str">
        <x:v>AI誤答レビュー</x:v>
      </x:c>
      <x:c r="AF503" s="171" t="str">
        <x:v>2026-07-12</x:v>
      </x:c>
      <x:c r="AG503" s="312" t="str">
        <x:v>最終バッチ：有効な誤答を維持し、絶対語・物理的不可能な誤答のみ置換。正答位置は維持。</x:v>
      </x:c>
    </x:row>
    <x:row r="504" ht="84" customHeight="1">
      <x:c r="A504" s="311" t="str">
        <x:v>LO4-083</x:v>
      </x:c>
      <x:c r="B504" s="171" t="str">
        <x:v>LO4</x:v>
      </x:c>
      <x:c r="C504" s="165" t="str">
        <x:v>世界の主要な酒精強化ワイン</x:v>
      </x:c>
      <x:c r="D504" s="165" t="str">
        <x:v>酸化熟成用の酒精強化</x:v>
      </x:c>
      <x:c r="E504" s="165" t="str">
        <x:v>オロロソ用のベースワインをフィノより高いアルコール度へ酒精強化する主な理由はどれか。</x:v>
      </x:c>
      <x:c r="F504" s="165" t="str">
        <x:v>酵母を活発にして残糖を増やすため</x:v>
      </x:c>
      <x:c r="G504" s="165" t="str">
        <x:v>瓶内二次発酵を開始するため</x:v>
      </x:c>
      <x:c r="H504" s="165" t="str">
        <x:v>フロールの成長を防ぎ、ワインを直接酸化熟成させるため</x:v>
      </x:c>
      <x:c r="I504" s="165" t="str">
        <x:v>色を無色透明にするため</x:v>
      </x:c>
      <x:c r="J504" s="171" t="str">
        <x:v>C</x:v>
      </x:c>
      <x:c r="K504" s="165" t="str">
        <x:v>フロールの成長を防ぎ、ワインを直接酸化熟成させるため</x:v>
      </x:c>
      <x:c r="L504" s="165" t="str">
        <x:v>正しい。高いアルコール環境ではフロールが形成されず、樽内の空気との接触でナッツや革の風味が発達する。</x:v>
      </x:c>
      <x:c r="M504" s="165" t="str">
        <x:v>誤り。高アルコールは酵母活動を抑え、ベースワインは既に辛口である。</x:v>
      </x:c>
      <x:c r="N504" s="165" t="str">
        <x:v>誤り。オロロソは非発泡性である。</x:v>
      </x:c>
      <x:c r="O504" s="165" t="str">
        <x:v>正しい。高いアルコール環境ではフロールが形成されず、樽内の空気との接触でナッツや革の風味が発達する。</x:v>
      </x:c>
      <x:c r="P504" s="165" t="str">
        <x:v>誤り。酸化熟成で色はむしろ濃い琥珀色へ進む。</x:v>
      </x:c>
      <x:c r="Q504" s="165" t="str">
        <x:v>酒精強化ワイン製法</x:v>
      </x:c>
      <x:c r="R504" s="165" t="str">
        <x:v>シェリー</x:v>
      </x:c>
      <x:c r="S504" s="165" t="str">
        <x:v>酒精強化ワイン</x:v>
      </x:c>
      <x:c r="T504" s="165" t="str">
        <x:v>スペイン</x:v>
      </x:c>
      <x:c r="U504" s="165" t="str">
        <x:v>ヘレス</x:v>
      </x:c>
      <x:c r="V504" s="165" t="str">
        <x:v>パロミノ</x:v>
      </x:c>
      <x:c r="W504" s="165" t="str">
        <x:v>因果説明</x:v>
      </x:c>
      <x:c r="X504" s="171" t="str">
        <x:v>D2</x:v>
      </x:c>
      <x:c r="Y504" s="165" t="str">
        <x:v>酸化熟成用の酒精強化に関する別の特徴・要因と混同; 酸化熟成用の酒精強化に関する別の特徴・要因と混同; 酸化熟成用の酒精強化に関する別の特徴・要因と混同</x:v>
      </x:c>
      <x:c r="Z504" s="171" t="str">
        <x:v>Y</x:v>
      </x:c>
      <x:c r="AA504" s="165" t="str">
        <x:v>オロロソ用酒精強化度数の具体値を掲載する場合は最新教材と規定を照合推奨</x:v>
      </x:c>
      <x:c r="AB504" s="165" t="str">
        <x:v>オリジナル</x:v>
      </x:c>
      <x:c r="AC504" s="165" t="str">
        <x:v>公式Specificationの範囲＋ユーザー作成コーパスの論点を参考に独自作成</x:v>
      </x:c>
      <x:c r="AD504" s="171" t="str">
        <x:v>改稿済み・専門家未承認</x:v>
      </x:c>
      <x:c r="AE504" s="171" t="str">
        <x:v>AI誤答レビュー</x:v>
      </x:c>
      <x:c r="AF504" s="171" t="str">
        <x:v>2026-07-12</x:v>
      </x:c>
      <x:c r="AG504" s="312" t="str">
        <x:v>最終バッチ：有効な誤答を維持し、絶対語・物理的不可能な誤答のみ置換。正答位置は維持。</x:v>
      </x:c>
    </x:row>
    <x:row r="505" ht="84" customHeight="1">
      <x:c r="A505" s="311" t="str">
        <x:v>LO4-084</x:v>
      </x:c>
      <x:c r="B505" s="171" t="str">
        <x:v>LO4</x:v>
      </x:c>
      <x:c r="C505" s="165" t="str">
        <x:v>世界の主要な酒精強化ワイン</x:v>
      </x:c>
      <x:c r="D505" s="165" t="str">
        <x:v>フロールと樽の空隙</x:v>
      </x:c>
      <x:c r="E505" s="165" t="str">
        <x:v>フィノの樽を満量にせず空隙を残す主な理由はどれか。</x:v>
      </x:c>
      <x:c r="F505" s="165" t="str">
        <x:v>ワインを甘口にするため</x:v>
      </x:c>
      <x:c r="G505" s="165" t="str">
        <x:v>二酸化炭素を高圧で閉じ込めるため</x:v>
      </x:c>
      <x:c r="H505" s="165" t="str">
        <x:v>蒸発を大きく止めるため</x:v>
      </x:c>
      <x:c r="I505" s="165" t="str">
        <x:v>フロールがワイン表面で酸素を利用して成長できるようにする</x:v>
      </x:c>
      <x:c r="J505" s="171" t="str">
        <x:v>D</x:v>
      </x:c>
      <x:c r="K505" s="165" t="str">
        <x:v>フロールがワイン表面で酸素を利用して成長できるようにする</x:v>
      </x:c>
      <x:c r="L505" s="165" t="str">
        <x:v>正しい。空気とワインの境界に酵母膜が形成され、酸素を消費しながら独特の香りを生み、ワインを酸化から守る。</x:v>
      </x:c>
      <x:c r="M505" s="165" t="str">
        <x:v>誤り。空隙の有無が残糖を増やすわけではない。</x:v>
      </x:c>
      <x:c r="N505" s="165" t="str">
        <x:v>誤り。樽は発泡性を作る耐圧容器ではない。</x:v>
      </x:c>
      <x:c r="O505" s="165" t="str">
        <x:v>誤り。空隙は蒸発を止めず、フロールの生育に必要である。</x:v>
      </x:c>
      <x:c r="P505" s="165" t="str">
        <x:v>正しい。空気とワインの境界に酵母膜が形成され、酸素を消費しながら独特の香りを生み、ワインを酸化から守る。</x:v>
      </x:c>
      <x:c r="Q505" s="165" t="str">
        <x:v>熟成</x:v>
      </x:c>
      <x:c r="R505" s="165" t="str">
        <x:v>シェリー</x:v>
      </x:c>
      <x:c r="S505" s="165" t="str">
        <x:v>酒精強化ワイン</x:v>
      </x:c>
      <x:c r="T505" s="165" t="str">
        <x:v>スペイン</x:v>
      </x:c>
      <x:c r="U505" s="165" t="str">
        <x:v>ヘレス</x:v>
      </x:c>
      <x:c r="V505" s="165"/>
      <x:c r="W505" s="165" t="str">
        <x:v>因果説明</x:v>
      </x:c>
      <x:c r="X505" s="171" t="str">
        <x:v>D2</x:v>
      </x:c>
      <x:c r="Y505" s="165" t="str">
        <x:v>フロールと樽の空隙について関連要因を主因とみなす; フロールと樽の空隙について関連要因を主因とみなす; フロールと樽の空隙について関連要因を主因とみなす</x:v>
      </x:c>
      <x:c r="Z505" s="171" t="str">
        <x:v>N</x:v>
      </x:c>
      <x:c r="AA505" s="165"/>
      <x:c r="AB505" s="165" t="str">
        <x:v>オリジナル</x:v>
      </x:c>
      <x:c r="AC505" s="165" t="str">
        <x:v>公式Specificationの範囲＋ユーザー作成コーパスの論点を参考に独自作成</x:v>
      </x:c>
      <x:c r="AD505" s="171" t="str">
        <x:v>改稿済み・専門家未承認</x:v>
      </x:c>
      <x:c r="AE505" s="171" t="str">
        <x:v>AI誤答レビュー</x:v>
      </x:c>
      <x:c r="AF505" s="171" t="str">
        <x:v>2026-07-12</x:v>
      </x:c>
      <x:c r="AG505" s="312" t="str">
        <x:v>第5バッチ：使用可能な誤答を維持し、弱い誤答を因果逆転・隣接概念へ置換。正答位置は維持。</x:v>
      </x:c>
    </x:row>
    <x:row r="506" ht="84" customHeight="1">
      <x:c r="A506" s="311" t="str">
        <x:v>LO4-085</x:v>
      </x:c>
      <x:c r="B506" s="171" t="str">
        <x:v>LO4</x:v>
      </x:c>
      <x:c r="C506" s="165" t="str">
        <x:v>世界の主要な酒精強化ワイン</x:v>
      </x:c>
      <x:c r="D506" s="165" t="str">
        <x:v>フロールの季節性</x:v>
      </x:c>
      <x:c r="E506" s="165" t="str">
        <x:v>フロールの活動が春と秋に活発になりやすい主な理由はどれか。</x:v>
      </x:c>
      <x:c r="F506" s="165" t="str">
        <x:v>極端な暑さや寒さを避けた温和な気温と湿度が得られるため</x:v>
      </x:c>
      <x:c r="G506" s="165" t="str">
        <x:v>日光が樽の中へ直接入り、光合成するため</x:v>
      </x:c>
      <x:c r="H506" s="165" t="str">
        <x:v>残糖が季節ごとに自然増加するため</x:v>
      </x:c>
      <x:c r="I506" s="165" t="str">
        <x:v>瓶内圧力が上がるため</x:v>
      </x:c>
      <x:c r="J506" s="171" t="str">
        <x:v>A</x:v>
      </x:c>
      <x:c r="K506" s="165" t="str">
        <x:v>極端な暑さや寒さを避けた温和な気温と湿度が得られるため</x:v>
      </x:c>
      <x:c r="L506" s="165" t="str">
        <x:v>正しい。フロール酵母は適度な温度と湿度で成長し、真夏の高温や冬の低温では活動が弱くなる。</x:v>
      </x:c>
      <x:c r="M506" s="165" t="str">
        <x:v>正しい。フロール酵母は適度な温度と湿度で成長し、真夏の高温や冬の低温では活動が弱くなる。</x:v>
      </x:c>
      <x:c r="N506" s="165" t="str">
        <x:v>誤り。酵母は光合成せず、ボデガ内で熟成する。</x:v>
      </x:c>
      <x:c r="O506" s="165" t="str">
        <x:v>誤り。ベースワインは辛口で、糖の季節増加はない。</x:v>
      </x:c>
      <x:c r="P506" s="165" t="str">
        <x:v>誤り。樽熟成で高圧を作る工程ではない。</x:v>
      </x:c>
      <x:c r="Q506" s="165" t="str">
        <x:v>自然要因</x:v>
      </x:c>
      <x:c r="R506" s="165" t="str">
        <x:v>シェリー</x:v>
      </x:c>
      <x:c r="S506" s="165" t="str">
        <x:v>酒精強化ワイン</x:v>
      </x:c>
      <x:c r="T506" s="165" t="str">
        <x:v>スペイン</x:v>
      </x:c>
      <x:c r="U506" s="165" t="str">
        <x:v>ヘレス</x:v>
      </x:c>
      <x:c r="V506" s="165"/>
      <x:c r="W506" s="165" t="str">
        <x:v>因果説明</x:v>
      </x:c>
      <x:c r="X506" s="171" t="str">
        <x:v>D3</x:v>
      </x:c>
      <x:c r="Y506" s="165" t="str">
        <x:v>フロールの季節性に関する別の特徴・要因と混同; フロールの季節性に関する別の特徴・要因と混同; フロールの季節性に関する別の特徴・要因と混同</x:v>
      </x:c>
      <x:c r="Z506" s="171" t="str">
        <x:v>N</x:v>
      </x:c>
      <x:c r="AA506" s="165"/>
      <x:c r="AB506" s="165" t="str">
        <x:v>オリジナル</x:v>
      </x:c>
      <x:c r="AC506" s="165" t="str">
        <x:v>公式Specificationの範囲＋ユーザー作成コーパスの論点を参考に独自作成</x:v>
      </x:c>
      <x:c r="AD506" s="171" t="str">
        <x:v>改稿済み・専門家未承認</x:v>
      </x:c>
      <x:c r="AE506" s="171" t="str">
        <x:v>AI誤答レビュー</x:v>
      </x:c>
      <x:c r="AF506" s="171" t="str">
        <x:v>2026-07-12</x:v>
      </x:c>
      <x:c r="AG506" s="312" t="str">
        <x:v>最終バッチ：有効な誤答を維持し、絶対語・物理的不可能な誤答のみ置換。正答位置は維持。</x:v>
      </x:c>
    </x:row>
    <x:row r="507" ht="84" customHeight="1">
      <x:c r="A507" s="311" t="str">
        <x:v>LO4-086</x:v>
      </x:c>
      <x:c r="B507" s="171" t="str">
        <x:v>LO4</x:v>
      </x:c>
      <x:c r="C507" s="165" t="str">
        <x:v>世界の主要な酒精強化ワイン</x:v>
      </x:c>
      <x:c r="D507" s="165" t="str">
        <x:v>ソレラのリフレッシュ</x:v>
      </x:c>
      <x:c r="E507" s="165" t="str">
        <x:v>ソレラからワインを取り出した後、上段の若いワインを補充する主な効果はどれか。</x:v>
      </x:c>
      <x:c r="F507" s="165" t="str">
        <x:v>古いワインだけを補充し、ソレラの平均年齢を毎年高める</x:v>
      </x:c>
      <x:c r="G507" s="165" t="str">
        <x:v>各段階の平均年齢を保ちながら、栄養を供給し、スタイルを継続させる</x:v>
      </x:c>
      <x:c r="H507" s="165" t="str">
        <x:v>若いワインで古いワインの大半を置き換え、毎年新しいスタイルにする</x:v>
      </x:c>
      <x:c r="I507" s="165" t="str">
        <x:v>補充するたびに甘味を高め、フィノをクリームへ変える</x:v>
      </x:c>
      <x:c r="J507" s="171" t="str">
        <x:v>B</x:v>
      </x:c>
      <x:c r="K507" s="165" t="str">
        <x:v>各段階の平均年齢を保ちながら、栄養を供給し、スタイルを継続させる</x:v>
      </x:c>
      <x:c r="L507" s="165" t="str">
        <x:v>正しい。若いワインが古いワインと混ざり、フロールや酸化熟成を維持する。</x:v>
      </x:c>
      <x:c r="M507" s="165" t="str">
        <x:v>誤り。補充には若いワインを用い、平均年齢とスタイルを維持する。</x:v>
      </x:c>
      <x:c r="N507" s="165" t="str">
        <x:v>正しい。若いワインが古いワインと混ざり、フロールや酸化熟成を維持する。</x:v>
      </x:c>
      <x:c r="O507" s="165" t="str">
        <x:v>誤り。一部の古いワインを残し、連続性を保つ。</x:v>
      </x:c>
      <x:c r="P507" s="165" t="str">
        <x:v>誤り。辛口シェリーの補充は甘味調整ではない。</x:v>
      </x:c>
      <x:c r="Q507" s="165" t="str">
        <x:v>熟成</x:v>
      </x:c>
      <x:c r="R507" s="165" t="str">
        <x:v>ソレラ</x:v>
      </x:c>
      <x:c r="S507" s="165" t="str">
        <x:v>酒精強化ワイン</x:v>
      </x:c>
      <x:c r="T507" s="165" t="str">
        <x:v>スペイン</x:v>
      </x:c>
      <x:c r="U507" s="165" t="str">
        <x:v>ヘレス</x:v>
      </x:c>
      <x:c r="V507" s="165"/>
      <x:c r="W507" s="165" t="str">
        <x:v>統合判断</x:v>
      </x:c>
      <x:c r="X507" s="171" t="str">
        <x:v>D3</x:v>
      </x:c>
      <x:c r="Y507" s="165" t="str">
        <x:v>ソレラのリフレッシュは古酒を補充する; ソレラ補充で古酒を完全置換; ソレラ補充で甘口化</x:v>
      </x:c>
      <x:c r="Z507" s="171" t="str">
        <x:v>N</x:v>
      </x:c>
      <x:c r="AA507" s="165"/>
      <x:c r="AB507" s="165" t="str">
        <x:v>オリジナル</x:v>
      </x:c>
      <x:c r="AC507" s="165" t="str">
        <x:v>公式Specificationの範囲＋ユーザー作成コーパスの論点を参考に独自作成</x:v>
      </x:c>
      <x:c r="AD507" s="171" t="str">
        <x:v>改稿済み・専門家未承認</x:v>
      </x:c>
      <x:c r="AE507" s="171" t="str">
        <x:v>AI誤答レビュー</x:v>
      </x:c>
      <x:c r="AF507" s="171" t="str">
        <x:v>2026-07-12</x:v>
      </x:c>
      <x:c r="AG507" s="312" t="str">
        <x:v>第4バッチ：同一論点内の典型的誤概念へ置換。正答位置は維持。</x:v>
      </x:c>
    </x:row>
    <x:row r="508" ht="84" customHeight="1">
      <x:c r="A508" s="311" t="str">
        <x:v>LO4-087</x:v>
      </x:c>
      <x:c r="B508" s="171" t="str">
        <x:v>LO4</x:v>
      </x:c>
      <x:c r="C508" s="165" t="str">
        <x:v>世界の主要な酒精強化ワイン</x:v>
      </x:c>
      <x:c r="D508" s="165" t="str">
        <x:v>エン・ラマ</x:v>
      </x:c>
      <x:c r="E508" s="165" t="str">
        <x:v>「エン・ラマ」と表示されるフィノやマンサニーリャに一般的に期待される特徴はどれか。</x:v>
      </x:c>
      <x:c r="F508" s="165" t="str">
        <x:v>炭酸ガス注入による発泡性</x:v>
      </x:c>
      <x:c r="G508" s="165" t="str">
        <x:v>長期の完全酸化熟成</x:v>
      </x:c>
      <x:c r="H508" s="165" t="str">
        <x:v>清澄・濾過を最小限にし、フロール由来の強い香りと質感を保つ</x:v>
      </x:c>
      <x:c r="I508" s="165" t="str">
        <x:v>大量の糖を加えた甘口スタイル</x:v>
      </x:c>
      <x:c r="J508" s="171" t="str">
        <x:v>C</x:v>
      </x:c>
      <x:c r="K508" s="165" t="str">
        <x:v>清澄・濾過を最小限にし、フロール由来の強い香りと質感を保つ</x:v>
      </x:c>
      <x:c r="L508" s="165" t="str">
        <x:v>正しい。樽から取り出した状態に近く、酵母、パン生地、アーモンド、海風を思わせる風味が鮮明になりやすい。</x:v>
      </x:c>
      <x:c r="M508" s="165" t="str">
        <x:v>誤り。非発泡性の酒精強化ワインである。</x:v>
      </x:c>
      <x:c r="N508" s="165" t="str">
        <x:v>誤り。フィノやマンサニーリャの生物学的熟成を表す。</x:v>
      </x:c>
      <x:c r="O508" s="165" t="str">
        <x:v>正しい。樽から取り出した状態に近く、酵母、パン生地、アーモンド、海風を思わせる風味が鮮明になりやすい。</x:v>
      </x:c>
      <x:c r="P508" s="165" t="str">
        <x:v>誤り。通常は辛口である。</x:v>
      </x:c>
      <x:c r="Q508" s="165" t="str">
        <x:v>法律・表示</x:v>
      </x:c>
      <x:c r="R508" s="165" t="str">
        <x:v>シェリー</x:v>
      </x:c>
      <x:c r="S508" s="165" t="str">
        <x:v>酒精強化ワイン</x:v>
      </x:c>
      <x:c r="T508" s="165" t="str">
        <x:v>スペイン</x:v>
      </x:c>
      <x:c r="U508" s="165" t="str">
        <x:v>ヘレス／サンルーカル</x:v>
      </x:c>
      <x:c r="V508" s="165"/>
      <x:c r="W508" s="165" t="str">
        <x:v>知識確認</x:v>
      </x:c>
      <x:c r="X508" s="171" t="str">
        <x:v>D2</x:v>
      </x:c>
      <x:c r="Y508" s="165" t="str">
        <x:v>エン・ラマについて関連要因を主因とみなす; エン・ラマについて関連要因を主因とみなす; エン・ラマについて関連要因を主因とみなす</x:v>
      </x:c>
      <x:c r="Z508" s="171" t="str">
        <x:v>Y</x:v>
      </x:c>
      <x:c r="AA508" s="165" t="str">
        <x:v>En Ramaの表示慣行と日本語表記を最新教材で最終照合推奨</x:v>
      </x:c>
      <x:c r="AB508" s="165" t="str">
        <x:v>オリジナル</x:v>
      </x:c>
      <x:c r="AC508" s="165" t="str">
        <x:v>公式Specificationの範囲＋ユーザー作成コーパスの論点を参考に独自作成</x:v>
      </x:c>
      <x:c r="AD508" s="171" t="str">
        <x:v>改稿済み・専門家未承認</x:v>
      </x:c>
      <x:c r="AE508" s="171" t="str">
        <x:v>AI誤答レビュー</x:v>
      </x:c>
      <x:c r="AF508" s="171" t="str">
        <x:v>2026-07-12</x:v>
      </x:c>
      <x:c r="AG508" s="312" t="str">
        <x:v>第5バッチ：使用可能な誤答を維持し、弱い誤答を因果逆転・隣接概念へ置換。正答位置は維持。</x:v>
      </x:c>
    </x:row>
    <x:row r="509" ht="84" customHeight="1">
      <x:c r="A509" s="311" t="str">
        <x:v>LO4-088</x:v>
      </x:c>
      <x:c r="B509" s="171" t="str">
        <x:v>LO4</x:v>
      </x:c>
      <x:c r="C509" s="165" t="str">
        <x:v>世界の主要な酒精強化ワイン</x:v>
      </x:c>
      <x:c r="D509" s="165" t="str">
        <x:v>フィノとマンサニーリャ</x:v>
      </x:c>
      <x:c r="E509" s="165" t="str">
        <x:v>マンサニーリャがフィノより特に繊細で塩味を思わせると表現されやすい主な理由はどれか。</x:v>
      </x:c>
      <x:c r="F509" s="165" t="str">
        <x:v>冬の雨水を多孔質の石灰質土壌に蓄え、乾燥した夏に根へ供給する</x:v>
      </x:c>
      <x:c r="G509" s="165" t="str">
        <x:v>マンサニーリャではPXを少量加え、塩味と甘味を調整する</x:v>
      </x:c>
      <x:c r="H509" s="165" t="str">
        <x:v>フィノより高いアルコールへ強化し、フロールを薄くする</x:v>
      </x:c>
      <x:c r="I509" s="165" t="str">
        <x:v>サンルーカルの湿潤で温和な海洋性環境が、年間を通じて厚いフロールを維持しやすい</x:v>
      </x:c>
      <x:c r="J509" s="171" t="str">
        <x:v>D</x:v>
      </x:c>
      <x:c r="K509" s="165" t="str">
        <x:v>サンルーカルの湿潤で温和な海洋性環境が、年間を通じて厚いフロールを維持しやすい</x:v>
      </x:c>
      <x:c r="L509" s="165" t="str">
        <x:v>正しい。活発なフロールが酸化を防ぎ、繊細で塩味を思わせるスタイルを生む。</x:v>
      </x:c>
      <x:c r="M509" s="165" t="str">
        <x:v>誤り。これは同じ知識領域の「アルバリサの保水」に当てはまる説明で、設問の「フィノとマンサニーリャ」を最も適切に説明しない。</x:v>
      </x:c>
      <x:c r="N509" s="165" t="str">
        <x:v>誤り。マンサニーリャは辛口で、PX添加が特徴ではない。</x:v>
      </x:c>
      <x:c r="O509" s="165" t="str">
        <x:v>誤り。フロール維持に適した度数で熟成する。</x:v>
      </x:c>
      <x:c r="P509" s="165" t="str">
        <x:v>正しい。活発なフロールが酸化を防ぎ、繊細で塩味を思わせるスタイルを生む。</x:v>
      </x:c>
      <x:c r="Q509" s="165" t="str">
        <x:v>自然要因</x:v>
      </x:c>
      <x:c r="R509" s="165" t="str">
        <x:v>シェリー</x:v>
      </x:c>
      <x:c r="S509" s="165" t="str">
        <x:v>酒精強化ワイン</x:v>
      </x:c>
      <x:c r="T509" s="165" t="str">
        <x:v>スペイン</x:v>
      </x:c>
      <x:c r="U509" s="165" t="str">
        <x:v>サンルーカル・デ・バラメダ</x:v>
      </x:c>
      <x:c r="V509" s="165" t="str">
        <x:v>パロミノ</x:v>
      </x:c>
      <x:c r="W509" s="165" t="str">
        <x:v>因果説明</x:v>
      </x:c>
      <x:c r="X509" s="171" t="str">
        <x:v>D3</x:v>
      </x:c>
      <x:c r="Y509" s="165" t="str">
        <x:v>フィノとマンサニーリャをアルバリサの保水の特徴と混同; マンサニーリャはPX添加; マンサニーリャは高酒精強化でフロールを薄くする</x:v>
      </x:c>
      <x:c r="Z509" s="171" t="str">
        <x:v>Y</x:v>
      </x:c>
      <x:c r="AA509" s="165" t="str">
        <x:v>塩味表現とフロール厚の説明を教材表現と最終照合推奨</x:v>
      </x:c>
      <x:c r="AB509" s="165" t="str">
        <x:v>オリジナル</x:v>
      </x:c>
      <x:c r="AC509" s="165" t="str">
        <x:v>公式Specificationの範囲＋ユーザー作成コーパスの論点を参考に独自作成</x:v>
      </x:c>
      <x:c r="AD509" s="171" t="str">
        <x:v>改稿済み・専門家未承認</x:v>
      </x:c>
      <x:c r="AE509" s="171" t="str">
        <x:v>AI誤答レビュー</x:v>
      </x:c>
      <x:c r="AF509" s="171" t="str">
        <x:v>2026-07-12</x:v>
      </x:c>
      <x:c r="AG509" s="312" t="str">
        <x:v>第4バッチ：同一論点内の典型的誤概念へ置換。正答位置は維持。</x:v>
      </x:c>
    </x:row>
    <x:row r="510" ht="84" customHeight="1">
      <x:c r="A510" s="311" t="str">
        <x:v>LO4-089</x:v>
      </x:c>
      <x:c r="B510" s="171" t="str">
        <x:v>LO4</x:v>
      </x:c>
      <x:c r="C510" s="165" t="str">
        <x:v>世界の主要な酒精強化ワイン</x:v>
      </x:c>
      <x:c r="D510" s="165" t="str">
        <x:v>アモンティリャードへの移行</x:v>
      </x:c>
      <x:c r="E510" s="165" t="str">
        <x:v>フィノがアモンティリャードへ移行する契機として最も適切なものはどれか。</x:v>
      </x:c>
      <x:c r="F510" s="165" t="str">
        <x:v>フロールが弱まるか除かれ、その後ワインが酸化熟成へ移る</x:v>
      </x:c>
      <x:c r="G510" s="165" t="str">
        <x:v>二次発酵で瓶内圧力を上げる</x:v>
      </x:c>
      <x:c r="H510" s="165" t="str">
        <x:v>残糖を大量に加える</x:v>
      </x:c>
      <x:c r="I510" s="165" t="str">
        <x:v>黒ブドウの果皮と長期浸漬する</x:v>
      </x:c>
      <x:c r="J510" s="171" t="str">
        <x:v>A</x:v>
      </x:c>
      <x:c r="K510" s="165" t="str">
        <x:v>フロールが弱まるか除かれ、その後ワインが酸化熟成へ移る</x:v>
      </x:c>
      <x:c r="L510" s="165" t="str">
        <x:v>正しい。初期の生物学的熟成によるアセトアルデヒド香に、後半の酸化熟成によるナッツと濃い色が加わる。</x:v>
      </x:c>
      <x:c r="M510" s="165" t="str">
        <x:v>正しい。初期の生物学的熟成によるアセトアルデヒド香に、後半の酸化熟成によるナッツと濃い色が加わる。</x:v>
      </x:c>
      <x:c r="N510" s="165" t="str">
        <x:v>誤り。アモンティリャードは非発泡性である。</x:v>
      </x:c>
      <x:c r="O510" s="165" t="str">
        <x:v>誤り。アモンティリャードは通常辛口である。</x:v>
      </x:c>
      <x:c r="P510" s="165" t="str">
        <x:v>誤り。パロミノ白ワインを熟成する。</x:v>
      </x:c>
      <x:c r="Q510" s="165" t="str">
        <x:v>熟成</x:v>
      </x:c>
      <x:c r="R510" s="165" t="str">
        <x:v>シェリー</x:v>
      </x:c>
      <x:c r="S510" s="165" t="str">
        <x:v>酒精強化ワイン</x:v>
      </x:c>
      <x:c r="T510" s="165" t="str">
        <x:v>スペイン</x:v>
      </x:c>
      <x:c r="U510" s="165" t="str">
        <x:v>ヘレス</x:v>
      </x:c>
      <x:c r="V510" s="165" t="str">
        <x:v>パロミノ</x:v>
      </x:c>
      <x:c r="W510" s="165" t="str">
        <x:v>因果説明</x:v>
      </x:c>
      <x:c r="X510" s="171" t="str">
        <x:v>D2</x:v>
      </x:c>
      <x:c r="Y510" s="165" t="str">
        <x:v>アモンティリャードへの移行に関する別の特徴・要因と混同; アモンティリャードへの移行に関する別の特徴・要因と混同; アモンティリャードへの移行に関する別の特徴・要因と混同</x:v>
      </x:c>
      <x:c r="Z510" s="171" t="str">
        <x:v>N</x:v>
      </x:c>
      <x:c r="AA510" s="165"/>
      <x:c r="AB510" s="165" t="str">
        <x:v>オリジナル</x:v>
      </x:c>
      <x:c r="AC510" s="165" t="str">
        <x:v>公式Specificationの範囲＋ユーザー作成コーパスの論点を参考に独自作成</x:v>
      </x:c>
      <x:c r="AD510" s="171" t="str">
        <x:v>改稿済み・専門家未承認</x:v>
      </x:c>
      <x:c r="AE510" s="171" t="str">
        <x:v>AI誤答レビュー</x:v>
      </x:c>
      <x:c r="AF510" s="171" t="str">
        <x:v>2026-07-12</x:v>
      </x:c>
      <x:c r="AG510" s="312" t="str">
        <x:v>最終バッチ：有効な誤答を維持し、絶対語・物理的不可能な誤答のみ置換。正答位置は維持。</x:v>
      </x:c>
    </x:row>
    <x:row r="511" ht="84" customHeight="1">
      <x:c r="A511" s="311" t="str">
        <x:v>LO4-090</x:v>
      </x:c>
      <x:c r="B511" s="171" t="str">
        <x:v>LO4</x:v>
      </x:c>
      <x:c r="C511" s="165" t="str">
        <x:v>世界の主要な酒精強化ワイン</x:v>
      </x:c>
      <x:c r="D511" s="165" t="str">
        <x:v>オロロソの濃縮</x:v>
      </x:c>
      <x:c r="E511" s="165" t="str">
        <x:v>オロロソが熟成とともに、豊かなボディと濃い風味を持つ主な理由はどれか。</x:v>
      </x:c>
      <x:c r="F511" s="165" t="str">
        <x:v>フロールがグリセロールを増やし、ワインを濃縮するため</x:v>
      </x:c>
      <x:c r="G511" s="165" t="str">
        <x:v>フロールなしで酸化し、樽からの水分蒸発によってワインが濃縮するため</x:v>
      </x:c>
      <x:c r="H511" s="165" t="str">
        <x:v>残糖を加え続け、甘味と粘性を高めるため</x:v>
      </x:c>
      <x:c r="I511" s="165" t="str">
        <x:v>瓶内二次発酵でアルコールと圧力を増やすため</x:v>
      </x:c>
      <x:c r="J511" s="171" t="str">
        <x:v>B</x:v>
      </x:c>
      <x:c r="K511" s="165" t="str">
        <x:v>フロールなしで酸化し、樽からの水分蒸発によってワインが濃縮するため</x:v>
      </x:c>
      <x:c r="L511" s="165" t="str">
        <x:v>正しい。酸化と蒸発が色、香り、アルコール感、口当たりを濃くする。</x:v>
      </x:c>
      <x:c r="M511" s="165" t="str">
        <x:v>誤り。オロロソではフロールを形成させず、グリセロールも保持される。</x:v>
      </x:c>
      <x:c r="N511" s="165" t="str">
        <x:v>正しい。酸化と蒸発が色、香り、アルコール感、口当たりを濃くする。</x:v>
      </x:c>
      <x:c r="O511" s="165" t="str">
        <x:v>誤り。自然なオロロソは辛口で、継続的な糖添加が主因ではない。</x:v>
      </x:c>
      <x:c r="P511" s="165" t="str">
        <x:v>誤り。非発泡性の樽熟成であり、瓶内二次発酵しない。</x:v>
      </x:c>
      <x:c r="Q511" s="165" t="str">
        <x:v>熟成</x:v>
      </x:c>
      <x:c r="R511" s="165" t="str">
        <x:v>シェリー</x:v>
      </x:c>
      <x:c r="S511" s="165" t="str">
        <x:v>酒精強化ワイン</x:v>
      </x:c>
      <x:c r="T511" s="165" t="str">
        <x:v>スペイン</x:v>
      </x:c>
      <x:c r="U511" s="165" t="str">
        <x:v>ヘレス</x:v>
      </x:c>
      <x:c r="V511" s="165"/>
      <x:c r="W511" s="165" t="str">
        <x:v>因果説明</x:v>
      </x:c>
      <x:c r="X511" s="171" t="str">
        <x:v>D2</x:v>
      </x:c>
      <x:c r="Y511" s="165" t="str">
        <x:v>フロールがオロロソを濃縮する; 糖を加え続けてボディを作る; 瓶内二次発酵で濃縮する</x:v>
      </x:c>
      <x:c r="Z511" s="171" t="str">
        <x:v>N</x:v>
      </x:c>
      <x:c r="AA511" s="165"/>
      <x:c r="AB511" s="165" t="str">
        <x:v>オリジナル</x:v>
      </x:c>
      <x:c r="AC511" s="165" t="str">
        <x:v>公式Specificationの範囲＋ユーザー作成コーパスの論点を参考に独自作成</x:v>
      </x:c>
      <x:c r="AD511" s="171" t="str">
        <x:v>改稿済み・専門家未承認</x:v>
      </x:c>
      <x:c r="AE511" s="171" t="str">
        <x:v>AI誤答レビュー</x:v>
      </x:c>
      <x:c r="AF511" s="171" t="str">
        <x:v>2026-07-12</x:v>
      </x:c>
      <x:c r="AG511" s="312" t="str">
        <x:v>第3バッチ：同一論点内の典型的誤概念へ置換。正答位置は維持。</x:v>
      </x:c>
    </x:row>
    <x:row r="512" ht="84" customHeight="1">
      <x:c r="A512" s="311" t="str">
        <x:v>LO4-091</x:v>
      </x:c>
      <x:c r="B512" s="171" t="str">
        <x:v>LO4</x:v>
      </x:c>
      <x:c r="C512" s="165" t="str">
        <x:v>世界の主要な酒精強化ワイン</x:v>
      </x:c>
      <x:c r="D512" s="165" t="str">
        <x:v>パロ・コルタドのスタイル</x:v>
      </x:c>
      <x:c r="E512" s="165" t="str">
        <x:v>パロ・コルタドの特徴として、最も適切なものはどれか。</x:v>
      </x:c>
      <x:c r="F512" s="165" t="str">
        <x:v>フィノのように淡色で軽く、酸化熟成を行わない繊細な辛口</x:v>
      </x:c>
      <x:c r="G512" s="165" t="str">
        <x:v>オロロソのように豊かで、甘味はPXのブレンドによって得る</x:v>
      </x:c>
      <x:c r="H512" s="165" t="str">
        <x:v>繊細な香りと、オロロソのような豊かなボディを併せ持つ辛口</x:v>
      </x:c>
      <x:c r="I512" s="165" t="str">
        <x:v>発酵途中で酒精強化し、残糖と果実香を保った濃厚な甘口</x:v>
      </x:c>
      <x:c r="J512" s="171" t="str">
        <x:v>C</x:v>
      </x:c>
      <x:c r="K512" s="165" t="str">
        <x:v>繊細な香りと、オロロソのような豊かなボディを併せ持つ辛口</x:v>
      </x:c>
      <x:c r="L512" s="165" t="str">
        <x:v>正しい。繊細な香りと豊かな口当たりを併せ持つ辛口スタイルである。</x:v>
      </x:c>
      <x:c r="M512" s="165" t="str">
        <x:v>誤り。酸化的複雑性と豊かなボディを持ち、単純な若いフィノではない。</x:v>
      </x:c>
      <x:c r="N512" s="165" t="str">
        <x:v>誤り。甘口PXのブレンドがパロ・コルタドの定義ではない。</x:v>
      </x:c>
      <x:c r="O512" s="165" t="str">
        <x:v>正しい。繊細な香りと豊かな口当たりを併せ持つ辛口スタイルである。</x:v>
      </x:c>
      <x:c r="P512" s="165" t="str">
        <x:v>誤り。ポートのような早期酒精強化甘口ではない。</x:v>
      </x:c>
      <x:c r="Q512" s="165" t="str">
        <x:v>スタイル</x:v>
      </x:c>
      <x:c r="R512" s="165" t="str">
        <x:v>シェリー</x:v>
      </x:c>
      <x:c r="S512" s="165" t="str">
        <x:v>酒精強化ワイン</x:v>
      </x:c>
      <x:c r="T512" s="165" t="str">
        <x:v>スペイン</x:v>
      </x:c>
      <x:c r="U512" s="165" t="str">
        <x:v>ヘレス</x:v>
      </x:c>
      <x:c r="V512" s="165" t="str">
        <x:v>パロミノ</x:v>
      </x:c>
      <x:c r="W512" s="165" t="str">
        <x:v>知識確認</x:v>
      </x:c>
      <x:c r="X512" s="171" t="str">
        <x:v>D2</x:v>
      </x:c>
      <x:c r="Y512" s="165" t="str">
        <x:v>パロコルタドは酸化しない軽いフィノ型; パロコルタドの香りはPXブレンド由来; パロコルタドは早期強化甘口</x:v>
      </x:c>
      <x:c r="Z512" s="171" t="str">
        <x:v>Y</x:v>
      </x:c>
      <x:c r="AA512" s="165" t="str">
        <x:v>パロ・コルタドの生産経路は多様なため、スタイル中心の表現を最終確認推奨</x:v>
      </x:c>
      <x:c r="AB512" s="165" t="str">
        <x:v>オリジナル</x:v>
      </x:c>
      <x:c r="AC512" s="165" t="str">
        <x:v>公式Specificationの範囲＋ユーザー作成コーパスの論点を参考に独自作成</x:v>
      </x:c>
      <x:c r="AD512" s="171" t="str">
        <x:v>改稿済み・専門家未承認</x:v>
      </x:c>
      <x:c r="AE512" s="171" t="str">
        <x:v>AI誤答レビュー</x:v>
      </x:c>
      <x:c r="AF512" s="171" t="str">
        <x:v>2026-07-12</x:v>
      </x:c>
      <x:c r="AG512" s="312" t="str">
        <x:v>第3バッチ：同一論点内の典型的誤概念へ置換。正答位置は維持。</x:v>
      </x:c>
    </x:row>
    <x:row r="513" ht="84" customHeight="1">
      <x:c r="A513" s="311" t="str">
        <x:v>LO4-092</x:v>
      </x:c>
      <x:c r="B513" s="171" t="str">
        <x:v>LO4</x:v>
      </x:c>
      <x:c r="C513" s="165" t="str">
        <x:v>世界の主要な酒精強化ワイン</x:v>
      </x:c>
      <x:c r="D513" s="165" t="str">
        <x:v>ペール・クリーム</x:v>
      </x:c>
      <x:c r="E513" s="165" t="str">
        <x:v>ペール・クリーム・シェリーの一般的なスタイルはどれか。</x:v>
      </x:c>
      <x:c r="F513" s="165" t="str">
        <x:v>タンク方式の発泡性ワイン</x:v>
      </x:c>
      <x:c r="G513" s="165" t="str">
        <x:v>黒ブドウの高タンニン赤</x:v>
      </x:c>
      <x:c r="H513" s="165" t="str">
        <x:v>オロロソを長期酸化熟成した完全辛口</x:v>
      </x:c>
      <x:c r="I513" s="165" t="str">
        <x:v>淡い色で、フィノ系の軽い香りを保ちながら甘味を付けたシェリー</x:v>
      </x:c>
      <x:c r="J513" s="171" t="str">
        <x:v>D</x:v>
      </x:c>
      <x:c r="K513" s="165" t="str">
        <x:v>淡い色で、フィノ系の軽い香りを保ちながら甘味を付けたシェリー</x:v>
      </x:c>
      <x:c r="L513" s="165" t="str">
        <x:v>正しい。生物学的熟成した淡色ワインへ精製濃縮果汁などで甘味を加え、色を濃くしすぎずに仕上げる。</x:v>
      </x:c>
      <x:c r="M513" s="165" t="str">
        <x:v>誤り。非発泡性の酒精強化ワインである。</x:v>
      </x:c>
      <x:c r="N513" s="165" t="str">
        <x:v>誤り。パロミノの白ワインが基礎である。</x:v>
      </x:c>
      <x:c r="O513" s="165" t="str">
        <x:v>誤り。ペール・クリームは甘味のある淡色スタイルである。</x:v>
      </x:c>
      <x:c r="P513" s="165" t="str">
        <x:v>正しい。生物学的熟成した淡色ワインへ精製濃縮果汁などで甘味を加え、色を濃くしすぎずに仕上げる。</x:v>
      </x:c>
      <x:c r="Q513" s="165" t="str">
        <x:v>スタイル</x:v>
      </x:c>
      <x:c r="R513" s="165" t="str">
        <x:v>シェリー</x:v>
      </x:c>
      <x:c r="S513" s="165" t="str">
        <x:v>甘口酒精強化ワイン</x:v>
      </x:c>
      <x:c r="T513" s="165" t="str">
        <x:v>スペイン</x:v>
      </x:c>
      <x:c r="U513" s="165" t="str">
        <x:v>ヘレス</x:v>
      </x:c>
      <x:c r="V513" s="165"/>
      <x:c r="W513" s="165" t="str">
        <x:v>比較</x:v>
      </x:c>
      <x:c r="X513" s="171" t="str">
        <x:v>D2</x:v>
      </x:c>
      <x:c r="Y513" s="165" t="str">
        <x:v>ペール・クリームについて関連要因を主因とみなす; ペール・クリームについて関連要因を主因とみなす; ペール・クリームについて関連要因を主因とみなす</x:v>
      </x:c>
      <x:c r="Z513" s="171" t="str">
        <x:v>Y</x:v>
      </x:c>
      <x:c r="AA513" s="165" t="str">
        <x:v>Pale Creamの甘味調整方法と表示区分を最新教材で最終照合推奨</x:v>
      </x:c>
      <x:c r="AB513" s="165" t="str">
        <x:v>オリジナル</x:v>
      </x:c>
      <x:c r="AC513" s="165" t="str">
        <x:v>公式Specificationの範囲＋ユーザー作成コーパスの論点を参考に独自作成</x:v>
      </x:c>
      <x:c r="AD513" s="171" t="str">
        <x:v>改稿済み・専門家未承認</x:v>
      </x:c>
      <x:c r="AE513" s="171" t="str">
        <x:v>AI誤答レビュー</x:v>
      </x:c>
      <x:c r="AF513" s="171" t="str">
        <x:v>2026-07-12</x:v>
      </x:c>
      <x:c r="AG513" s="312" t="str">
        <x:v>第5バッチ：使用可能な誤答を維持し、弱い誤答を因果逆転・隣接概念へ置換。正答位置は維持。</x:v>
      </x:c>
    </x:row>
    <x:row r="514" ht="84" customHeight="1">
      <x:c r="A514" s="311" t="str">
        <x:v>LO4-093</x:v>
      </x:c>
      <x:c r="B514" s="171" t="str">
        <x:v>LO4</x:v>
      </x:c>
      <x:c r="C514" s="165" t="str">
        <x:v>世界の主要な酒精強化ワイン</x:v>
      </x:c>
      <x:c r="D514" s="165" t="str">
        <x:v>モスカテル・シェリー</x:v>
      </x:c>
      <x:c r="E514" s="165" t="str">
        <x:v>モスカテルから造る甘口シェリーに典型的な香りはどれか。</x:v>
      </x:c>
      <x:c r="F514" s="165" t="str">
        <x:v>オレンジの花、ブドウ、乾燥した柑橘、レーズン</x:v>
      </x:c>
      <x:c r="G514" s="165" t="str">
        <x:v>黒胡椒と燻製肉だけ</x:v>
      </x:c>
      <x:c r="H514" s="165" t="str">
        <x:v>無香で塩味だけ</x:v>
      </x:c>
      <x:c r="I514" s="165" t="str">
        <x:v>青ピーマンと高タンニン</x:v>
      </x:c>
      <x:c r="J514" s="171" t="str">
        <x:v>A</x:v>
      </x:c>
      <x:c r="K514" s="165" t="str">
        <x:v>オレンジの花、ブドウ、乾燥した柑橘、レーズン</x:v>
      </x:c>
      <x:c r="L514" s="165" t="str">
        <x:v>正しい。芳香性のモスカテルを天日乾燥または濃縮して造るため、強い品種香と甘味を持つ。</x:v>
      </x:c>
      <x:c r="M514" s="165" t="str">
        <x:v>正しい。芳香性のモスカテルを天日乾燥または濃縮して造るため、強い品種香と甘味を持つ。</x:v>
      </x:c>
      <x:c r="N514" s="165" t="str">
        <x:v>誤り。これはシラーの典型香に近い。</x:v>
      </x:c>
      <x:c r="O514" s="165" t="str">
        <x:v>誤り。モスカテルは強い芳香を持つ品種である。</x:v>
      </x:c>
      <x:c r="P514" s="165" t="str">
        <x:v>誤り。カベルネ系赤の特徴に近い。</x:v>
      </x:c>
      <x:c r="Q514" s="165" t="str">
        <x:v>品種</x:v>
      </x:c>
      <x:c r="R514" s="165" t="str">
        <x:v>シェリー</x:v>
      </x:c>
      <x:c r="S514" s="165" t="str">
        <x:v>甘口酒精強化ワイン</x:v>
      </x:c>
      <x:c r="T514" s="165" t="str">
        <x:v>スペイン</x:v>
      </x:c>
      <x:c r="U514" s="165" t="str">
        <x:v>ヘレス／チピオナ</x:v>
      </x:c>
      <x:c r="V514" s="165" t="str">
        <x:v>モスカテル</x:v>
      </x:c>
      <x:c r="W514" s="165" t="str">
        <x:v>知識確認</x:v>
      </x:c>
      <x:c r="X514" s="171" t="str">
        <x:v>D1</x:v>
      </x:c>
      <x:c r="Y514" s="165" t="str">
        <x:v>モスカテル・シェリーに関する別の特徴・要因と混同; モスカテル・シェリーに関する別の特徴・要因と混同; モスカテル・シェリーに関する別の特徴・要因と混同</x:v>
      </x:c>
      <x:c r="Z514" s="171" t="str">
        <x:v>N</x:v>
      </x:c>
      <x:c r="AA514" s="165"/>
      <x:c r="AB514" s="165" t="str">
        <x:v>オリジナル</x:v>
      </x:c>
      <x:c r="AC514" s="165" t="str">
        <x:v>公式Specificationの範囲＋ユーザー作成コーパスの論点を参考に独自作成</x:v>
      </x:c>
      <x:c r="AD514" s="171" t="str">
        <x:v>改稿済み・専門家未承認</x:v>
      </x:c>
      <x:c r="AE514" s="171" t="str">
        <x:v>AI誤答レビュー</x:v>
      </x:c>
      <x:c r="AF514" s="171" t="str">
        <x:v>2026-07-12</x:v>
      </x:c>
      <x:c r="AG514" s="312" t="str">
        <x:v>最終バッチ：有効な誤答を維持し、絶対語・物理的不可能な誤答のみ置換。正答位置は維持。</x:v>
      </x:c>
    </x:row>
    <x:row r="515" ht="84" customHeight="1">
      <x:c r="A515" s="311" t="str">
        <x:v>LO4-094</x:v>
      </x:c>
      <x:c r="B515" s="171" t="str">
        <x:v>LO4</x:v>
      </x:c>
      <x:c r="C515" s="165" t="str">
        <x:v>世界の主要な酒精強化ワイン</x:v>
      </x:c>
      <x:c r="D515" s="165" t="str">
        <x:v>PXの天日乾燥</x:v>
      </x:c>
      <x:c r="E515" s="165" t="str">
        <x:v>ペドロ・ヒメネスのブドウを天日乾燥する主な目的はどれか。</x:v>
      </x:c>
      <x:c r="F515" s="165" t="str">
        <x:v>酸を増やして辛口にする</x:v>
      </x:c>
      <x:c r="G515" s="165" t="str">
        <x:v>水分を蒸発させ、糖と風味を極度に濃縮する</x:v>
      </x:c>
      <x:c r="H515" s="165" t="str">
        <x:v>フロールを果皮上に形成する</x:v>
      </x:c>
      <x:c r="I515" s="165" t="str">
        <x:v>二酸化炭素を果粒へ注入する</x:v>
      </x:c>
      <x:c r="J515" s="171" t="str">
        <x:v>B</x:v>
      </x:c>
      <x:c r="K515" s="165" t="str">
        <x:v>水分を蒸発させ、糖と風味を極度に濃縮する</x:v>
      </x:c>
      <x:c r="L515" s="165" t="str">
        <x:v>正しい。レーズン状の果実を圧搾して非常に糖度の高い果汁を得るため、発酵は限定的で、濃厚な甘口になる。</x:v>
      </x:c>
      <x:c r="M515" s="165" t="str">
        <x:v>誤り。天日乾燥は糖を濃縮し、酸は相対的に低く感じやすい。</x:v>
      </x:c>
      <x:c r="N515" s="165" t="str">
        <x:v>正しい。レーズン状の果実を圧搾して非常に糖度の高い果汁を得るため、発酵は限定的で、濃厚な甘口になる。</x:v>
      </x:c>
      <x:c r="O515" s="165" t="str">
        <x:v>誤り。フロールは酒精強化後のワイン表面に形成される。</x:v>
      </x:c>
      <x:c r="P515" s="165" t="str">
        <x:v>誤り。炭酸ガス注入ではない。</x:v>
      </x:c>
      <x:c r="Q515" s="165" t="str">
        <x:v>酒精強化ワイン製法</x:v>
      </x:c>
      <x:c r="R515" s="165" t="str">
        <x:v>シェリー</x:v>
      </x:c>
      <x:c r="S515" s="165" t="str">
        <x:v>甘口酒精強化ワイン</x:v>
      </x:c>
      <x:c r="T515" s="165" t="str">
        <x:v>スペイン</x:v>
      </x:c>
      <x:c r="U515" s="165" t="str">
        <x:v>ヘレス／モンティーリャ・モリレス</x:v>
      </x:c>
      <x:c r="V515" s="165" t="str">
        <x:v>ペドロ・ヒメネス</x:v>
      </x:c>
      <x:c r="W515" s="165" t="str">
        <x:v>因果説明</x:v>
      </x:c>
      <x:c r="X515" s="171" t="str">
        <x:v>D2</x:v>
      </x:c>
      <x:c r="Y515" s="165" t="str">
        <x:v>PXの天日乾燥に関する別の特徴・要因と混同; PXの天日乾燥に関する別の特徴・要因と混同; PXの天日乾燥に関する別の特徴・要因と混同</x:v>
      </x:c>
      <x:c r="Z515" s="171" t="str">
        <x:v>N</x:v>
      </x:c>
      <x:c r="AA515" s="165"/>
      <x:c r="AB515" s="165" t="str">
        <x:v>オリジナル</x:v>
      </x:c>
      <x:c r="AC515" s="165" t="str">
        <x:v>公式Specificationの範囲＋ユーザー作成コーパスの論点を参考に独自作成</x:v>
      </x:c>
      <x:c r="AD515" s="171" t="str">
        <x:v>改稿済み・専門家未承認</x:v>
      </x:c>
      <x:c r="AE515" s="171" t="str">
        <x:v>AI誤答レビュー</x:v>
      </x:c>
      <x:c r="AF515" s="171" t="str">
        <x:v>2026-07-12</x:v>
      </x:c>
      <x:c r="AG515" s="312" t="str">
        <x:v>最終バッチ：有効な誤答を維持し、絶対語・物理的不可能な誤答のみ置換。正答位置は維持。</x:v>
      </x:c>
    </x:row>
    <x:row r="516" ht="84" customHeight="1">
      <x:c r="A516" s="311" t="str">
        <x:v>LO4-095</x:v>
      </x:c>
      <x:c r="B516" s="171" t="str">
        <x:v>LO4</x:v>
      </x:c>
      <x:c r="C516" s="165" t="str">
        <x:v>世界の主要な酒精強化ワイン</x:v>
      </x:c>
      <x:c r="D516" s="165" t="str">
        <x:v>VOS</x:v>
      </x:c>
      <x:c r="E516" s="165" t="str">
        <x:v>VOS表示のシェリーが示すものとして最も適切なものはどれか。</x:v>
      </x:c>
      <x:c r="F516" s="165" t="str">
        <x:v>単一収穫年の若いフィノ</x:v>
      </x:c>
      <x:c r="G516" s="165" t="str">
        <x:v>炭酸ガス注入した発泡性シェリー</x:v>
      </x:c>
      <x:c r="H516" s="165" t="str">
        <x:v>非常に長い平均熟成年数を持つ、認証された熟成シェリー</x:v>
      </x:c>
      <x:c r="I516" s="165" t="str">
        <x:v>アルコールを含まないワイン</x:v>
      </x:c>
      <x:c r="J516" s="171" t="str">
        <x:v>C</x:v>
      </x:c>
      <x:c r="K516" s="165" t="str">
        <x:v>非常に長い平均熟成年数を持つ、認証された熟成シェリー</x:v>
      </x:c>
      <x:c r="L516" s="165" t="str">
        <x:v>正しい。古いソレラのワインを官能・分析審査し、長期熟成による濃縮と複雑性を示す表示である。</x:v>
      </x:c>
      <x:c r="M516" s="165" t="str">
        <x:v>誤り。VOSは長期熟成したワインの表示である。</x:v>
      </x:c>
      <x:c r="N516" s="165" t="str">
        <x:v>誤り。シェリーは非発泡性である。</x:v>
      </x:c>
      <x:c r="O516" s="165" t="str">
        <x:v>正しい。古いソレラのワインを官能・分析審査し、長期熟成による濃縮と複雑性を示す表示である。</x:v>
      </x:c>
      <x:c r="P516" s="165" t="str">
        <x:v>誤り。酒精強化ワインである。</x:v>
      </x:c>
      <x:c r="Q516" s="165" t="str">
        <x:v>法律・表示</x:v>
      </x:c>
      <x:c r="R516" s="165" t="str">
        <x:v>シェリー</x:v>
      </x:c>
      <x:c r="S516" s="165" t="str">
        <x:v>酒精強化ワイン</x:v>
      </x:c>
      <x:c r="T516" s="165" t="str">
        <x:v>スペイン</x:v>
      </x:c>
      <x:c r="U516" s="165" t="str">
        <x:v>ヘレス</x:v>
      </x:c>
      <x:c r="V516" s="165"/>
      <x:c r="W516" s="165" t="str">
        <x:v>知識確認</x:v>
      </x:c>
      <x:c r="X516" s="171" t="str">
        <x:v>D2</x:v>
      </x:c>
      <x:c r="Y516" s="165" t="str">
        <x:v>VOSに関する別の特徴・要因と混同; VOSに関する別の特徴・要因と混同; VOSに関する別の特徴・要因と混同</x:v>
      </x:c>
      <x:c r="Z516" s="171" t="str">
        <x:v>Y</x:v>
      </x:c>
      <x:c r="AA516" s="165" t="str">
        <x:v>VOSの認証条件・平均熟成年数を最新規定と教材で最終照合推奨</x:v>
      </x:c>
      <x:c r="AB516" s="165" t="str">
        <x:v>オリジナル</x:v>
      </x:c>
      <x:c r="AC516" s="165" t="str">
        <x:v>公式Specificationの範囲＋ユーザー作成コーパスの論点を参考に独自作成</x:v>
      </x:c>
      <x:c r="AD516" s="171" t="str">
        <x:v>改稿済み・専門家未承認</x:v>
      </x:c>
      <x:c r="AE516" s="171" t="str">
        <x:v>AI誤答レビュー</x:v>
      </x:c>
      <x:c r="AF516" s="171" t="str">
        <x:v>2026-07-12</x:v>
      </x:c>
      <x:c r="AG516" s="312" t="str">
        <x:v>最終バッチ：有効な誤答を維持し、絶対語・物理的不可能な誤答のみ置換。正答位置は維持。</x:v>
      </x:c>
    </x:row>
    <x:row r="517" ht="84" customHeight="1">
      <x:c r="A517" s="311" t="str">
        <x:v>LO4-096</x:v>
      </x:c>
      <x:c r="B517" s="171" t="str">
        <x:v>LO4</x:v>
      </x:c>
      <x:c r="C517" s="165" t="str">
        <x:v>世界の主要な酒精強化ワイン</x:v>
      </x:c>
      <x:c r="D517" s="165" t="str">
        <x:v>VORS</x:v>
      </x:c>
      <x:c r="E517" s="165" t="str">
        <x:v>VORS表示がVOSより一般に高い価格となる主な理由はどれか。</x:v>
      </x:c>
      <x:c r="F517" s="165" t="str">
        <x:v>VORSは高収量の若いブドウから造るから</x:v>
      </x:c>
      <x:c r="G517" s="165" t="str">
        <x:v>VORSが主に無アルコールだから</x:v>
      </x:c>
      <x:c r="H517" s="165" t="str">
        <x:v>VORSが主に発泡性だから</x:v>
      </x:c>
      <x:c r="I517" s="165" t="str">
        <x:v>さらに長い平均熟成と大きな蒸発損失により、在庫費用と希少性が高い</x:v>
      </x:c>
      <x:c r="J517" s="171" t="str">
        <x:v>D</x:v>
      </x:c>
      <x:c r="K517" s="165" t="str">
        <x:v>さらに長い平均熟成と大きな蒸発損失により、在庫費用と希少性が高い</x:v>
      </x:c>
      <x:c r="L517" s="165" t="str">
        <x:v>正しい。長期樽熟成で濃縮と複雑性が増す一方、販売可能量が減り、資金が長期間拘束される。</x:v>
      </x:c>
      <x:c r="M517" s="165" t="str">
        <x:v>誤り。価格は長期熟成と希少性による。</x:v>
      </x:c>
      <x:c r="N517" s="165" t="str">
        <x:v>誤り。酒精強化ワインである。</x:v>
      </x:c>
      <x:c r="O517" s="165" t="str">
        <x:v>誤り。いずれも非発泡性の熟成シェリーである。</x:v>
      </x:c>
      <x:c r="P517" s="165" t="str">
        <x:v>正しい。長期樽熟成で濃縮と複雑性が増す一方、販売可能量が減り、資金が長期間拘束される。</x:v>
      </x:c>
      <x:c r="Q517" s="165" t="str">
        <x:v>商業・価格</x:v>
      </x:c>
      <x:c r="R517" s="165" t="str">
        <x:v>シェリー</x:v>
      </x:c>
      <x:c r="S517" s="165" t="str">
        <x:v>酒精強化ワイン</x:v>
      </x:c>
      <x:c r="T517" s="165" t="str">
        <x:v>スペイン</x:v>
      </x:c>
      <x:c r="U517" s="165" t="str">
        <x:v>ヘレス</x:v>
      </x:c>
      <x:c r="V517" s="165"/>
      <x:c r="W517" s="165" t="str">
        <x:v>統合判断</x:v>
      </x:c>
      <x:c r="X517" s="171" t="str">
        <x:v>D3</x:v>
      </x:c>
      <x:c r="Y517" s="165" t="str">
        <x:v>VORSについて関連要因を主因とみなす; VORSについて関連要因を主因とみなす; VORSについて関連要因を主因とみなす</x:v>
      </x:c>
      <x:c r="Z517" s="171" t="str">
        <x:v>Y</x:v>
      </x:c>
      <x:c r="AA517" s="165" t="str">
        <x:v>VORSの認証条件・平均熟成年数を最新規定と教材で最終照合推奨</x:v>
      </x:c>
      <x:c r="AB517" s="165" t="str">
        <x:v>オリジナル</x:v>
      </x:c>
      <x:c r="AC517" s="165" t="str">
        <x:v>公式Specificationの範囲＋ユーザー作成コーパスの論点を参考に独自作成</x:v>
      </x:c>
      <x:c r="AD517" s="171" t="str">
        <x:v>改稿済み・専門家未承認</x:v>
      </x:c>
      <x:c r="AE517" s="171" t="str">
        <x:v>AI誤答レビュー</x:v>
      </x:c>
      <x:c r="AF517" s="171" t="str">
        <x:v>2026-07-12</x:v>
      </x:c>
      <x:c r="AG517" s="312" t="str">
        <x:v>第5バッチ：使用可能な誤答を維持し、弱い誤答を因果逆転・隣接概念へ置換。正答位置は維持。</x:v>
      </x:c>
    </x:row>
    <x:row r="518" ht="84" customHeight="1">
      <x:c r="A518" s="311" t="str">
        <x:v>LO4-097</x:v>
      </x:c>
      <x:c r="B518" s="171" t="str">
        <x:v>LO4</x:v>
      </x:c>
      <x:c r="C518" s="165" t="str">
        <x:v>世界の主要な酒精強化ワイン</x:v>
      </x:c>
      <x:c r="D518" s="165" t="str">
        <x:v>生物学的熟成とアセトアルデヒド</x:v>
      </x:c>
      <x:c r="E518" s="165" t="str">
        <x:v>フィノの青リンゴ、カモミール、パン生地を思わせる特徴に強く関係する化合物はどれか。</x:v>
      </x:c>
      <x:c r="F518" s="165" t="str">
        <x:v>フロールの代謝で増えるアセトアルデヒド</x:v>
      </x:c>
      <x:c r="G518" s="165" t="str">
        <x:v>ジアセチルだけ</x:v>
      </x:c>
      <x:c r="H518" s="165" t="str">
        <x:v>メトキシピラジンだけ</x:v>
      </x:c>
      <x:c r="I518" s="165" t="str">
        <x:v>二酸化炭素だけ</x:v>
      </x:c>
      <x:c r="J518" s="171" t="str">
        <x:v>A</x:v>
      </x:c>
      <x:c r="K518" s="165" t="str">
        <x:v>フロールの代謝で増えるアセトアルデヒド</x:v>
      </x:c>
      <x:c r="L518" s="165" t="str">
        <x:v>正しい。フロールはアルコールを代謝してアセトアルデヒドを生み、フィノ特有の鋭く酵母的な香りを形成する。</x:v>
      </x:c>
      <x:c r="M518" s="165" t="str">
        <x:v>正しい。フロールはアルコールを代謝してアセトアルデヒドを生み、フィノ特有の鋭く酵母的な香りを形成する。</x:v>
      </x:c>
      <x:c r="N518" s="165" t="str">
        <x:v>誤り。ジアセチルはバター香に関係する。</x:v>
      </x:c>
      <x:c r="O518" s="165" t="str">
        <x:v>誤り。青ピーマン香に関係する化合物である。</x:v>
      </x:c>
      <x:c r="P518" s="165" t="str">
        <x:v>誤り。泡や刺激に関係し、フィノの香りの主因ではない。</x:v>
      </x:c>
      <x:c r="Q518" s="165" t="str">
        <x:v>熟成</x:v>
      </x:c>
      <x:c r="R518" s="165" t="str">
        <x:v>シェリー</x:v>
      </x:c>
      <x:c r="S518" s="165" t="str">
        <x:v>酒精強化ワイン</x:v>
      </x:c>
      <x:c r="T518" s="165" t="str">
        <x:v>スペイン</x:v>
      </x:c>
      <x:c r="U518" s="165" t="str">
        <x:v>ヘレス</x:v>
      </x:c>
      <x:c r="V518" s="165"/>
      <x:c r="W518" s="165" t="str">
        <x:v>知識確認</x:v>
      </x:c>
      <x:c r="X518" s="171" t="str">
        <x:v>D2</x:v>
      </x:c>
      <x:c r="Y518" s="165" t="str">
        <x:v>生物学的熟成とアセトアルデヒドに関する別の特徴・要因と混同; 生物学的熟成とアセトアルデヒドに関する別の特徴・要因と混同; 生物学的熟成とアセトアルデヒドに関する別の特徴・要因と混同</x:v>
      </x:c>
      <x:c r="Z518" s="171" t="str">
        <x:v>N</x:v>
      </x:c>
      <x:c r="AA518" s="165"/>
      <x:c r="AB518" s="165" t="str">
        <x:v>オリジナル</x:v>
      </x:c>
      <x:c r="AC518" s="165" t="str">
        <x:v>公式Specificationの範囲＋ユーザー作成コーパスの論点を参考に独自作成</x:v>
      </x:c>
      <x:c r="AD518" s="171" t="str">
        <x:v>改稿済み・専門家未承認</x:v>
      </x:c>
      <x:c r="AE518" s="171" t="str">
        <x:v>AI誤答レビュー</x:v>
      </x:c>
      <x:c r="AF518" s="171" t="str">
        <x:v>2026-07-12</x:v>
      </x:c>
      <x:c r="AG518" s="312" t="str">
        <x:v>最終バッチ：有効な誤答を維持し、絶対語・物理的不可能な誤答のみ置換。正答位置は維持。</x:v>
      </x:c>
    </x:row>
    <x:row r="519" ht="84" customHeight="1">
      <x:c r="A519" s="311" t="str">
        <x:v>LO4-098</x:v>
      </x:c>
      <x:c r="B519" s="171" t="str">
        <x:v>LO4</x:v>
      </x:c>
      <x:c r="C519" s="165" t="str">
        <x:v>世界の主要な酒精強化ワイン</x:v>
      </x:c>
      <x:c r="D519" s="165" t="str">
        <x:v>酸化熟成と口当たり</x:v>
      </x:c>
      <x:c r="E519" s="165" t="str">
        <x:v>オロロソがフィノより丸く豊かな口当たりを持ちやすい主な理由はどれか。</x:v>
      </x:c>
      <x:c r="F519" s="165" t="str">
        <x:v>タンニンの高い黒ブドウを用いるため</x:v>
      </x:c>
      <x:c r="G519" s="165" t="str">
        <x:v>フロールがグリセロールを消費せず、蒸発による濃縮も進むため</x:v>
      </x:c>
      <x:c r="H519" s="165" t="str">
        <x:v>残糖が非常に高いため</x:v>
      </x:c>
      <x:c r="I519" s="165" t="str">
        <x:v>二酸化炭素が大量に溶けているため</x:v>
      </x:c>
      <x:c r="J519" s="171" t="str">
        <x:v>B</x:v>
      </x:c>
      <x:c r="K519" s="165" t="str">
        <x:v>フロールがグリセロールを消費せず、蒸発による濃縮も進むため</x:v>
      </x:c>
      <x:c r="L519" s="165" t="str">
        <x:v>正しい。酸化熟成ではグリセロールが保持され、アルコールと濃縮成分が厚みを与える。</x:v>
      </x:c>
      <x:c r="M519" s="165" t="str">
        <x:v>誤り。主要品種は白のパロミノである。</x:v>
      </x:c>
      <x:c r="N519" s="165" t="str">
        <x:v>正しい。酸化熟成ではグリセロールが保持され、アルコールと濃縮成分が厚みを与える。</x:v>
      </x:c>
      <x:c r="O519" s="165" t="str">
        <x:v>誤り。オロロソは自然には辛口である。</x:v>
      </x:c>
      <x:c r="P519" s="165" t="str">
        <x:v>誤り。非発泡性である。</x:v>
      </x:c>
      <x:c r="Q519" s="165" t="str">
        <x:v>熟成</x:v>
      </x:c>
      <x:c r="R519" s="165" t="str">
        <x:v>シェリー</x:v>
      </x:c>
      <x:c r="S519" s="165" t="str">
        <x:v>酒精強化ワイン</x:v>
      </x:c>
      <x:c r="T519" s="165" t="str">
        <x:v>スペイン</x:v>
      </x:c>
      <x:c r="U519" s="165" t="str">
        <x:v>ヘレス</x:v>
      </x:c>
      <x:c r="V519" s="165"/>
      <x:c r="W519" s="165" t="str">
        <x:v>比較</x:v>
      </x:c>
      <x:c r="X519" s="171" t="str">
        <x:v>D3</x:v>
      </x:c>
      <x:c r="Y519" s="165" t="str">
        <x:v>酸化熟成と口当たりについて関連要因を主因とみなす; 酸化熟成と口当たりについて関連要因を主因とみなす; 酸化熟成と口当たりについて関連要因を主因とみなす</x:v>
      </x:c>
      <x:c r="Z519" s="171" t="str">
        <x:v>N</x:v>
      </x:c>
      <x:c r="AA519" s="165"/>
      <x:c r="AB519" s="165" t="str">
        <x:v>オリジナル</x:v>
      </x:c>
      <x:c r="AC519" s="165" t="str">
        <x:v>公式Specificationの範囲＋ユーザー作成コーパスの論点を参考に独自作成</x:v>
      </x:c>
      <x:c r="AD519" s="171" t="str">
        <x:v>改稿済み・専門家未承認</x:v>
      </x:c>
      <x:c r="AE519" s="171" t="str">
        <x:v>AI誤答レビュー</x:v>
      </x:c>
      <x:c r="AF519" s="171" t="str">
        <x:v>2026-07-12</x:v>
      </x:c>
      <x:c r="AG519" s="312" t="str">
        <x:v>第5バッチ：使用可能な誤答を維持し、弱い誤答を因果逆転・隣接概念へ置換。正答位置は維持。</x:v>
      </x:c>
    </x:row>
    <x:row r="520" ht="84" customHeight="1">
      <x:c r="A520" s="311" t="str">
        <x:v>LO4-099</x:v>
      </x:c>
      <x:c r="B520" s="171" t="str">
        <x:v>LO4</x:v>
      </x:c>
      <x:c r="C520" s="165" t="str">
        <x:v>世界の主要な酒精強化ワイン</x:v>
      </x:c>
      <x:c r="D520" s="165" t="str">
        <x:v>シェリー樽の充填量</x:v>
      </x:c>
      <x:c r="E520" s="165" t="str">
        <x:v>シェリーのブットを完全に満たさず、空隙を残す理由として最も適切なものはどれか。</x:v>
      </x:c>
      <x:c r="F520" s="165" t="str">
        <x:v>ブドウの成熟を進めるため</x:v>
      </x:c>
      <x:c r="G520" s="165" t="str">
        <x:v>甘味を増やすため</x:v>
      </x:c>
      <x:c r="H520" s="165" t="str">
        <x:v>フィノではフロールに酸素を与え、オロロソでは酸化熟成を可能にする</x:v>
      </x:c>
      <x:c r="I520" s="165" t="str">
        <x:v>瓶内圧力を高めるため</x:v>
      </x:c>
      <x:c r="J520" s="171" t="str">
        <x:v>C</x:v>
      </x:c>
      <x:c r="K520" s="165" t="str">
        <x:v>フィノではフロールに酸素を与え、オロロソでは酸化熟成を可能にする</x:v>
      </x:c>
      <x:c r="L520" s="165" t="str">
        <x:v>正しい。同じ空隙でも、生物学的熟成では酵母膜が酸素を利用し、酸化熟成ではワインが直接空気と接触する。</x:v>
      </x:c>
      <x:c r="M520" s="165" t="str">
        <x:v>誤り。収穫後の熟成工程である。</x:v>
      </x:c>
      <x:c r="N520" s="165" t="str">
        <x:v>誤り。空隙は残糖を増やさない。</x:v>
      </x:c>
      <x:c r="O520" s="165" t="str">
        <x:v>正しい。同じ空隙でも、生物学的熟成では酵母膜が酸素を利用し、酸化熟成ではワインが直接空気と接触する。</x:v>
      </x:c>
      <x:c r="P520" s="165" t="str">
        <x:v>誤り。樽は発泡性ワイン用の密閉耐圧容器ではない。</x:v>
      </x:c>
      <x:c r="Q520" s="165" t="str">
        <x:v>熟成</x:v>
      </x:c>
      <x:c r="R520" s="165" t="str">
        <x:v>シェリー</x:v>
      </x:c>
      <x:c r="S520" s="165" t="str">
        <x:v>酒精強化ワイン</x:v>
      </x:c>
      <x:c r="T520" s="165" t="str">
        <x:v>スペイン</x:v>
      </x:c>
      <x:c r="U520" s="165" t="str">
        <x:v>ヘレス</x:v>
      </x:c>
      <x:c r="V520" s="165"/>
      <x:c r="W520" s="165" t="str">
        <x:v>比較</x:v>
      </x:c>
      <x:c r="X520" s="171" t="str">
        <x:v>D2</x:v>
      </x:c>
      <x:c r="Y520" s="165" t="str">
        <x:v>シェリー樽の充填量について関連要因を主因とみなす; シェリー樽の充填量について関連要因を主因とみなす; シェリー樽の充填量について関連要因を主因とみなす</x:v>
      </x:c>
      <x:c r="Z520" s="171" t="str">
        <x:v>N</x:v>
      </x:c>
      <x:c r="AA520" s="165"/>
      <x:c r="AB520" s="165" t="str">
        <x:v>オリジナル</x:v>
      </x:c>
      <x:c r="AC520" s="165" t="str">
        <x:v>公式Specificationの範囲＋ユーザー作成コーパスの論点を参考に独自作成</x:v>
      </x:c>
      <x:c r="AD520" s="171" t="str">
        <x:v>改稿済み・専門家未承認</x:v>
      </x:c>
      <x:c r="AE520" s="171" t="str">
        <x:v>AI誤答レビュー</x:v>
      </x:c>
      <x:c r="AF520" s="171" t="str">
        <x:v>2026-07-12</x:v>
      </x:c>
      <x:c r="AG520" s="312" t="str">
        <x:v>第5バッチ：使用可能な誤答を維持し、弱い誤答を因果逆転・隣接概念へ置換。正答位置は維持。</x:v>
      </x:c>
    </x:row>
    <x:row r="521" ht="84" customHeight="1">
      <x:c r="A521" s="311" t="str">
        <x:v>LO4-100</x:v>
      </x:c>
      <x:c r="B521" s="171" t="str">
        <x:v>LO4</x:v>
      </x:c>
      <x:c r="C521" s="165" t="str">
        <x:v>世界の主要な酒精強化ワイン</x:v>
      </x:c>
      <x:c r="D521" s="165" t="str">
        <x:v>ソレラの一貫性</x:v>
      </x:c>
      <x:c r="E521" s="165" t="str">
        <x:v>ソレラ・システムがヴィンテージ差を小さくする主な理由はどれか。</x:v>
      </x:c>
      <x:c r="F521" s="165" t="str">
        <x:v>二次発酵で味を均一にするため</x:v>
      </x:c>
      <x:c r="G521" s="165" t="str">
        <x:v>単一収穫年だけを瓶詰めするため</x:v>
      </x:c>
      <x:c r="H521" s="165" t="str">
        <x:v>毎年多くの樽を空にするため</x:v>
      </x:c>
      <x:c r="I521" s="165" t="str">
        <x:v>各年の若いワインを複数年代の古いワインへ少量ずつ混ぜ続けるため</x:v>
      </x:c>
      <x:c r="J521" s="171" t="str">
        <x:v>D</x:v>
      </x:c>
      <x:c r="K521" s="165" t="str">
        <x:v>各年の若いワインを複数年代の古いワインへ少量ずつ混ぜ続けるため</x:v>
      </x:c>
      <x:c r="L521" s="165" t="str">
        <x:v>正しい。多数年の成分が連続的に統合され、単一年の気候差が完成品に強く表れにくい。</x:v>
      </x:c>
      <x:c r="M521" s="165" t="str">
        <x:v>誤り。発泡性ワインの工程ではない。</x:v>
      </x:c>
      <x:c r="N521" s="165" t="str">
        <x:v>誤り。複数年の動的ブレンドである。</x:v>
      </x:c>
      <x:c r="O521" s="165" t="str">
        <x:v>誤り。一部だけを抜き、古いワインを残す。</x:v>
      </x:c>
      <x:c r="P521" s="165" t="str">
        <x:v>正しい。多数年の成分が連続的に統合され、単一年の気候差が完成品に強く表れにくい。</x:v>
      </x:c>
      <x:c r="Q521" s="165" t="str">
        <x:v>熟成</x:v>
      </x:c>
      <x:c r="R521" s="165" t="str">
        <x:v>ソレラ</x:v>
      </x:c>
      <x:c r="S521" s="165" t="str">
        <x:v>酒精強化ワイン</x:v>
      </x:c>
      <x:c r="T521" s="165" t="str">
        <x:v>スペイン</x:v>
      </x:c>
      <x:c r="U521" s="165" t="str">
        <x:v>ヘレス</x:v>
      </x:c>
      <x:c r="V521" s="165"/>
      <x:c r="W521" s="165" t="str">
        <x:v>因果説明</x:v>
      </x:c>
      <x:c r="X521" s="171" t="str">
        <x:v>D2</x:v>
      </x:c>
      <x:c r="Y521" s="165" t="str">
        <x:v>ソレラの一貫性について関連要因を主因とみなす; ソレラの一貫性について関連要因を主因とみなす; ソレラの一貫性について関連要因を主因とみなす</x:v>
      </x:c>
      <x:c r="Z521" s="171" t="str">
        <x:v>N</x:v>
      </x:c>
      <x:c r="AA521" s="165"/>
      <x:c r="AB521" s="165" t="str">
        <x:v>オリジナル</x:v>
      </x:c>
      <x:c r="AC521" s="165" t="str">
        <x:v>公式Specificationの範囲＋ユーザー作成コーパスの論点を参考に独自作成</x:v>
      </x:c>
      <x:c r="AD521" s="171" t="str">
        <x:v>改稿済み・専門家未承認</x:v>
      </x:c>
      <x:c r="AE521" s="171" t="str">
        <x:v>AI誤答レビュー</x:v>
      </x:c>
      <x:c r="AF521" s="171" t="str">
        <x:v>2026-07-12</x:v>
      </x:c>
      <x:c r="AG521" s="312" t="str">
        <x:v>第5バッチ：使用可能な誤答を維持し、弱い誤答を因果逆転・隣接概念へ置換。正答位置は維持。</x:v>
      </x:c>
    </x:row>
    <x:row r="522" ht="84" customHeight="1">
      <x:c r="A522" s="311" t="str">
        <x:v>LO4-101</x:v>
      </x:c>
      <x:c r="B522" s="171" t="str">
        <x:v>LO4</x:v>
      </x:c>
      <x:c r="C522" s="165" t="str">
        <x:v>世界の主要な酒精強化ワイン</x:v>
      </x:c>
      <x:c r="D522" s="165" t="str">
        <x:v>サカ</x:v>
      </x:c>
      <x:c r="E522" s="165" t="str">
        <x:v>ソレラの最下段から一度に取り出すワイン量を制限する主な理由はどれか。</x:v>
      </x:c>
      <x:c r="F522" s="165" t="str">
        <x:v>システム内に十分な古いワインを残し、平均年齢と一貫性を維持するため</x:v>
      </x:c>
      <x:c r="G522" s="165" t="str">
        <x:v>各年の若いワインを複数年代の古いワインへ少量ずつ混ぜ続けるため</x:v>
      </x:c>
      <x:c r="H522" s="165" t="str">
        <x:v>一度に多く抜くほど古いワインの比率が高まり、品質が安定するため</x:v>
      </x:c>
      <x:c r="I522" s="165" t="str">
        <x:v>取り出す量で残糖を調整し、辛口を維持するため</x:v>
      </x:c>
      <x:c r="J522" s="171" t="str">
        <x:v>A</x:v>
      </x:c>
      <x:c r="K522" s="165" t="str">
        <x:v>システム内に十分な古いワインを残し、平均年齢と一貫性を維持するため</x:v>
      </x:c>
      <x:c r="L522" s="165" t="str">
        <x:v>正しい。少量ずつ出荷し、段階的に補充することで熟成の連続性を保つ。</x:v>
      </x:c>
      <x:c r="M522" s="165" t="str">
        <x:v>正しい。少量ずつ出荷し、段階的に補充することで熟成の連続性を保つ。</x:v>
      </x:c>
      <x:c r="N522" s="165" t="str">
        <x:v>誤り。これは同じ知識領域の「ソレラの一貫性」に当てはまる説明で、設問の「サカ」を最も適切に説明しない。</x:v>
      </x:c>
      <x:c r="O522" s="165" t="str">
        <x:v>誤り。大量に抜くと平均年齢が下がる。</x:v>
      </x:c>
      <x:c r="P522" s="165" t="str">
        <x:v>誤り。サカ量は甘味調整の手段ではない。</x:v>
      </x:c>
      <x:c r="Q522" s="165" t="str">
        <x:v>熟成</x:v>
      </x:c>
      <x:c r="R522" s="165" t="str">
        <x:v>ソレラ</x:v>
      </x:c>
      <x:c r="S522" s="165" t="str">
        <x:v>酒精強化ワイン</x:v>
      </x:c>
      <x:c r="T522" s="165" t="str">
        <x:v>スペイン</x:v>
      </x:c>
      <x:c r="U522" s="165" t="str">
        <x:v>ヘレス</x:v>
      </x:c>
      <x:c r="V522" s="165"/>
      <x:c r="W522" s="165" t="str">
        <x:v>因果説明</x:v>
      </x:c>
      <x:c r="X522" s="171" t="str">
        <x:v>D2</x:v>
      </x:c>
      <x:c r="Y522" s="165" t="str">
        <x:v>サカをソレラの一貫性の特徴と混同; 大量サカで古酒比率が高まる; サカ量で残糖調整</x:v>
      </x:c>
      <x:c r="Z522" s="171" t="str">
        <x:v>N</x:v>
      </x:c>
      <x:c r="AA522" s="165"/>
      <x:c r="AB522" s="165" t="str">
        <x:v>オリジナル</x:v>
      </x:c>
      <x:c r="AC522" s="165" t="str">
        <x:v>公式Specificationの範囲＋ユーザー作成コーパスの論点を参考に独自作成</x:v>
      </x:c>
      <x:c r="AD522" s="171" t="str">
        <x:v>改稿済み・専門家未承認</x:v>
      </x:c>
      <x:c r="AE522" s="171" t="str">
        <x:v>AI誤答レビュー</x:v>
      </x:c>
      <x:c r="AF522" s="171" t="str">
        <x:v>2026-07-12</x:v>
      </x:c>
      <x:c r="AG522" s="312" t="str">
        <x:v>第4バッチ：同一論点内の典型的誤概念へ置換。正答位置は維持。</x:v>
      </x:c>
    </x:row>
    <x:row r="523" ht="84" customHeight="1">
      <x:c r="A523" s="311" t="str">
        <x:v>LO4-102</x:v>
      </x:c>
      <x:c r="B523" s="171" t="str">
        <x:v>LO4</x:v>
      </x:c>
      <x:c r="C523" s="165" t="str">
        <x:v>世界の主要な酒精強化ワイン</x:v>
      </x:c>
      <x:c r="D523" s="165" t="str">
        <x:v>クリアデラの階層</x:v>
      </x:c>
      <x:c r="E523" s="165" t="str">
        <x:v>ソレラ・システムで最も若いワインが入る場所はどれか。</x:v>
      </x:c>
      <x:c r="F523" s="165" t="str">
        <x:v>最下段のソレラだけ</x:v>
      </x:c>
      <x:c r="G523" s="165" t="str">
        <x:v>最上段の若いクリアデラ</x:v>
      </x:c>
      <x:c r="H523" s="165" t="str">
        <x:v>瓶内の澱の中</x:v>
      </x:c>
      <x:c r="I523" s="165" t="str">
        <x:v>畑の収穫箱</x:v>
      </x:c>
      <x:c r="J523" s="171" t="str">
        <x:v>B</x:v>
      </x:c>
      <x:c r="K523" s="165" t="str">
        <x:v>最上段の若いクリアデラ</x:v>
      </x:c>
      <x:c r="L523" s="165" t="str">
        <x:v>正しい。新酒は上段へ入り、熟成するにつれて下のクリアデラへ移され、最後にソレラから出荷される。</x:v>
      </x:c>
      <x:c r="M523" s="165" t="str">
        <x:v>誤り。最下段には最も古い平均年齢のワインが入る。</x:v>
      </x:c>
      <x:c r="N523" s="165" t="str">
        <x:v>正しい。新酒は上段へ入り、熟成するにつれて下のクリアデラへ移され、最後にソレラから出荷される。</x:v>
      </x:c>
      <x:c r="O523" s="165" t="str">
        <x:v>誤り。樽熟成の動的ブレンドである。</x:v>
      </x:c>
      <x:c r="P523" s="165" t="str">
        <x:v>誤り。収穫後、発酵・酒精強化したワインを入れる。</x:v>
      </x:c>
      <x:c r="Q523" s="165" t="str">
        <x:v>熟成</x:v>
      </x:c>
      <x:c r="R523" s="165" t="str">
        <x:v>ソレラ</x:v>
      </x:c>
      <x:c r="S523" s="165" t="str">
        <x:v>酒精強化ワイン</x:v>
      </x:c>
      <x:c r="T523" s="165" t="str">
        <x:v>スペイン</x:v>
      </x:c>
      <x:c r="U523" s="165" t="str">
        <x:v>ヘレス</x:v>
      </x:c>
      <x:c r="V523" s="165"/>
      <x:c r="W523" s="165" t="str">
        <x:v>知識確認</x:v>
      </x:c>
      <x:c r="X523" s="171" t="str">
        <x:v>D1</x:v>
      </x:c>
      <x:c r="Y523" s="165" t="str">
        <x:v>クリアデラの階層に関する別の特徴・要因と混同; クリアデラの階層に関する別の特徴・要因と混同; クリアデラの階層に関する別の特徴・要因と混同</x:v>
      </x:c>
      <x:c r="Z523" s="171" t="str">
        <x:v>N</x:v>
      </x:c>
      <x:c r="AA523" s="165"/>
      <x:c r="AB523" s="165" t="str">
        <x:v>オリジナル</x:v>
      </x:c>
      <x:c r="AC523" s="165" t="str">
        <x:v>公式Specificationの範囲＋ユーザー作成コーパスの論点を参考に独自作成</x:v>
      </x:c>
      <x:c r="AD523" s="171" t="str">
        <x:v>改稿済み・専門家未承認</x:v>
      </x:c>
      <x:c r="AE523" s="171" t="str">
        <x:v>AI誤答レビュー</x:v>
      </x:c>
      <x:c r="AF523" s="171" t="str">
        <x:v>2026-07-12</x:v>
      </x:c>
      <x:c r="AG523" s="312" t="str">
        <x:v>最終バッチ：有効な誤答を維持し、絶対語・物理的不可能な誤答のみ置換。正答位置は維持。</x:v>
      </x:c>
    </x:row>
    <x:row r="524" ht="84" customHeight="1">
      <x:c r="A524" s="311" t="str">
        <x:v>LO4-103</x:v>
      </x:c>
      <x:c r="B524" s="171" t="str">
        <x:v>LO4</x:v>
      </x:c>
      <x:c r="C524" s="165" t="str">
        <x:v>世界の主要な酒精強化ワイン</x:v>
      </x:c>
      <x:c r="D524" s="165" t="str">
        <x:v>ベースワインの分類</x:v>
      </x:c>
      <x:c r="E524" s="165" t="str">
        <x:v>パロミノの若いベースワインを試飲してフィノ向きとオロロソ向きに分類する際、フィノ向きに選ばれやすいものはどれか。</x:v>
      </x:c>
      <x:c r="F524" s="165" t="str">
        <x:v>最も重く粗いタンニンを持つ赤ワイン</x:v>
      </x:c>
      <x:c r="G524" s="165" t="str">
        <x:v>残糖が非常に高い未発酵果汁</x:v>
      </x:c>
      <x:c r="H524" s="165" t="str">
        <x:v>軽く繊細で、清潔な香りと高い鮮度を持つワイン</x:v>
      </x:c>
      <x:c r="I524" s="165" t="str">
        <x:v>瓶内で高圧になった発泡性ワイン</x:v>
      </x:c>
      <x:c r="J524" s="171" t="str">
        <x:v>C</x:v>
      </x:c>
      <x:c r="K524" s="165" t="str">
        <x:v>軽く繊細で、清潔な香りと高い鮮度を持つワイン</x:v>
      </x:c>
      <x:c r="L524" s="165" t="str">
        <x:v>正しい。フロール下で繊細さを発展させるため、上質で軽快なロットが低い度数へ酒精強化される。</x:v>
      </x:c>
      <x:c r="M524" s="165" t="str">
        <x:v>誤り。パロミノの白ベースワインを分類する。</x:v>
      </x:c>
      <x:c r="N524" s="165" t="str">
        <x:v>誤り。ベースワインは通常辛口まで発酵済みである。</x:v>
      </x:c>
      <x:c r="O524" s="165" t="str">
        <x:v>正しい。フロール下で繊細さを発展させるため、上質で軽快なロットが低い度数へ酒精強化される。</x:v>
      </x:c>
      <x:c r="P524" s="165" t="str">
        <x:v>誤り。非発泡性のベースワインである。</x:v>
      </x:c>
      <x:c r="Q524" s="165" t="str">
        <x:v>酒精強化ワイン製法</x:v>
      </x:c>
      <x:c r="R524" s="165" t="str">
        <x:v>シェリー</x:v>
      </x:c>
      <x:c r="S524" s="165" t="str">
        <x:v>酒精強化ワイン</x:v>
      </x:c>
      <x:c r="T524" s="165" t="str">
        <x:v>スペイン</x:v>
      </x:c>
      <x:c r="U524" s="165" t="str">
        <x:v>ヘレス</x:v>
      </x:c>
      <x:c r="V524" s="165" t="str">
        <x:v>パロミノ</x:v>
      </x:c>
      <x:c r="W524" s="165" t="str">
        <x:v>適用</x:v>
      </x:c>
      <x:c r="X524" s="171" t="str">
        <x:v>D3</x:v>
      </x:c>
      <x:c r="Y524" s="165" t="str">
        <x:v>ベースワインの分類に関する別の特徴・要因と混同; ベースワインの分類に関する別の特徴・要因と混同; ベースワインの分類に関する別の特徴・要因と混同</x:v>
      </x:c>
      <x:c r="Z524" s="171" t="str">
        <x:v>N</x:v>
      </x:c>
      <x:c r="AA524" s="165"/>
      <x:c r="AB524" s="165" t="str">
        <x:v>オリジナル</x:v>
      </x:c>
      <x:c r="AC524" s="165" t="str">
        <x:v>公式Specificationの範囲＋ユーザー作成コーパスの論点を参考に独自作成</x:v>
      </x:c>
      <x:c r="AD524" s="171" t="str">
        <x:v>改稿済み・専門家未承認</x:v>
      </x:c>
      <x:c r="AE524" s="171" t="str">
        <x:v>AI誤答レビュー</x:v>
      </x:c>
      <x:c r="AF524" s="171" t="str">
        <x:v>2026-07-12</x:v>
      </x:c>
      <x:c r="AG524" s="312" t="str">
        <x:v>最終バッチ：有効な誤答を維持し、絶対語・物理的不可能な誤答のみ置換。正答位置は維持。</x:v>
      </x:c>
    </x:row>
    <x:row r="525" ht="84" customHeight="1">
      <x:c r="A525" s="311" t="str">
        <x:v>LO4-104</x:v>
      </x:c>
      <x:c r="B525" s="171" t="str">
        <x:v>LO4</x:v>
      </x:c>
      <x:c r="C525" s="165" t="str">
        <x:v>世界の主要な酒精強化ワイン</x:v>
      </x:c>
      <x:c r="D525" s="165" t="str">
        <x:v>パロミノの中立性</x:v>
      </x:c>
      <x:c r="E525" s="165" t="str">
        <x:v>パロミノがシェリーの主要品種として適する主な理由はどれか。</x:v>
      </x:c>
      <x:c r="F525" s="165" t="str">
        <x:v>非常に強いマスカット香を持つため</x:v>
      </x:c>
      <x:c r="G525" s="165" t="str">
        <x:v>極めて高いタンニンを持つ黒品種だから</x:v>
      </x:c>
      <x:c r="H525" s="165" t="str">
        <x:v>自然に高い残糖を持ち、発酵しないため</x:v>
      </x:c>
      <x:c r="I525" s="165" t="str">
        <x:v>品種香と酸が穏やかで、フロールや酸化熟成の風味を明確に表せる</x:v>
      </x:c>
      <x:c r="J525" s="171" t="str">
        <x:v>D</x:v>
      </x:c>
      <x:c r="K525" s="165" t="str">
        <x:v>品種香と酸が穏やかで、フロールや酸化熟成の風味を明確に表せる</x:v>
      </x:c>
      <x:c r="L525" s="165" t="str">
        <x:v>正しい。中立的なベースワインが、酵母、アセトアルデヒド、ナッツ、酸化など熟成工程の個性を受け止める。</x:v>
      </x:c>
      <x:c r="M525" s="165" t="str">
        <x:v>誤り。パロミノは芳香性が比較的低い。</x:v>
      </x:c>
      <x:c r="N525" s="165" t="str">
        <x:v>誤り。白品種でタンニンは低い。</x:v>
      </x:c>
      <x:c r="O525" s="165" t="str">
        <x:v>誤り。通常辛口まで発酵する。</x:v>
      </x:c>
      <x:c r="P525" s="165" t="str">
        <x:v>正しい。中立的なベースワインが、酵母、アセトアルデヒド、ナッツ、酸化など熟成工程の個性を受け止める。</x:v>
      </x:c>
      <x:c r="Q525" s="165" t="str">
        <x:v>品種</x:v>
      </x:c>
      <x:c r="R525" s="165" t="str">
        <x:v>シェリー</x:v>
      </x:c>
      <x:c r="S525" s="165" t="str">
        <x:v>酒精強化ワイン</x:v>
      </x:c>
      <x:c r="T525" s="165" t="str">
        <x:v>スペイン</x:v>
      </x:c>
      <x:c r="U525" s="165" t="str">
        <x:v>ヘレス</x:v>
      </x:c>
      <x:c r="V525" s="165" t="str">
        <x:v>パロミノ</x:v>
      </x:c>
      <x:c r="W525" s="165" t="str">
        <x:v>因果説明</x:v>
      </x:c>
      <x:c r="X525" s="171" t="str">
        <x:v>D2</x:v>
      </x:c>
      <x:c r="Y525" s="165" t="str">
        <x:v>パロミノの中立性に関する別の特徴・要因と混同; パロミノの中立性に関する別の特徴・要因と混同; パロミノの中立性に関する別の特徴・要因と混同</x:v>
      </x:c>
      <x:c r="Z525" s="171" t="str">
        <x:v>N</x:v>
      </x:c>
      <x:c r="AA525" s="165"/>
      <x:c r="AB525" s="165" t="str">
        <x:v>オリジナル</x:v>
      </x:c>
      <x:c r="AC525" s="165" t="str">
        <x:v>公式Specificationの範囲＋ユーザー作成コーパスの論点を参考に独自作成</x:v>
      </x:c>
      <x:c r="AD525" s="171" t="str">
        <x:v>改稿済み・専門家未承認</x:v>
      </x:c>
      <x:c r="AE525" s="171" t="str">
        <x:v>AI誤答レビュー</x:v>
      </x:c>
      <x:c r="AF525" s="171" t="str">
        <x:v>2026-07-12</x:v>
      </x:c>
      <x:c r="AG525" s="312" t="str">
        <x:v>最終バッチ：有効な誤答を維持し、絶対語・物理的不可能な誤答のみ置換。正答位置は維持。</x:v>
      </x:c>
    </x:row>
    <x:row r="526" ht="84" customHeight="1">
      <x:c r="A526" s="311" t="str">
        <x:v>LO4-105</x:v>
      </x:c>
      <x:c r="B526" s="171" t="str">
        <x:v>LO4</x:v>
      </x:c>
      <x:c r="C526" s="165" t="str">
        <x:v>世界の主要な酒精強化ワイン</x:v>
      </x:c>
      <x:c r="D526" s="165" t="str">
        <x:v>アルバリサの保水</x:v>
      </x:c>
      <x:c r="E526" s="165" t="str">
        <x:v>アルバリサ土壌が乾燥したヘレスでブドウ栽培を支える主な理由はどれか。</x:v>
      </x:c>
      <x:c r="F526" s="165" t="str">
        <x:v>冬の雨水を多孔質の石灰質土壌に蓄え、乾燥した夏に根へ供給する</x:v>
      </x:c>
      <x:c r="G526" s="165" t="str">
        <x:v>夏に毎日新しい雨を発生させる</x:v>
      </x:c>
      <x:c r="H526" s="165" t="str">
        <x:v>海水を果実へ直接吸収させる</x:v>
      </x:c>
      <x:c r="I526" s="165" t="str">
        <x:v>フロールを畑で形成する</x:v>
      </x:c>
      <x:c r="J526" s="171" t="str">
        <x:v>A</x:v>
      </x:c>
      <x:c r="K526" s="165" t="str">
        <x:v>冬の雨水を多孔質の石灰質土壌に蓄え、乾燥した夏に根へ供給する</x:v>
      </x:c>
      <x:c r="L526" s="165" t="str">
        <x:v>正しい。白い表面は日射を反射し、細かい石灰質粒子は水を保持して長い乾季を支える。</x:v>
      </x:c>
      <x:c r="M526" s="165" t="str">
        <x:v>正しい。白い表面は日射を反射し、細かい石灰質粒子は水を保持して長い乾季を支える。</x:v>
      </x:c>
      <x:c r="N526" s="165" t="str">
        <x:v>誤り。土壌は降雨を生まず、冬の水を貯える。</x:v>
      </x:c>
      <x:c r="O526" s="165" t="str">
        <x:v>誤り。塩水灌漑が主因ではない。</x:v>
      </x:c>
      <x:c r="P526" s="165" t="str">
        <x:v>誤り。フロールは酒精強化後のワイン表面で形成される。</x:v>
      </x:c>
      <x:c r="Q526" s="165" t="str">
        <x:v>自然要因</x:v>
      </x:c>
      <x:c r="R526" s="165" t="str">
        <x:v>シェリー</x:v>
      </x:c>
      <x:c r="S526" s="165" t="str">
        <x:v>酒精強化ワイン</x:v>
      </x:c>
      <x:c r="T526" s="165" t="str">
        <x:v>スペイン</x:v>
      </x:c>
      <x:c r="U526" s="165" t="str">
        <x:v>ヘレス</x:v>
      </x:c>
      <x:c r="V526" s="165" t="str">
        <x:v>パロミノ</x:v>
      </x:c>
      <x:c r="W526" s="165" t="str">
        <x:v>因果説明</x:v>
      </x:c>
      <x:c r="X526" s="171" t="str">
        <x:v>D2</x:v>
      </x:c>
      <x:c r="Y526" s="165" t="str">
        <x:v>アルバリサの保水に関する別の特徴・要因と混同; アルバリサの保水に関する別の特徴・要因と混同; アルバリサの保水に関する別の特徴・要因と混同</x:v>
      </x:c>
      <x:c r="Z526" s="171" t="str">
        <x:v>N</x:v>
      </x:c>
      <x:c r="AA526" s="165"/>
      <x:c r="AB526" s="165" t="str">
        <x:v>オリジナル</x:v>
      </x:c>
      <x:c r="AC526" s="165" t="str">
        <x:v>公式Specificationの範囲＋ユーザー作成コーパスの論点を参考に独自作成</x:v>
      </x:c>
      <x:c r="AD526" s="171" t="str">
        <x:v>改稿済み・専門家未承認</x:v>
      </x:c>
      <x:c r="AE526" s="171" t="str">
        <x:v>AI誤答レビュー</x:v>
      </x:c>
      <x:c r="AF526" s="171" t="str">
        <x:v>2026-07-12</x:v>
      </x:c>
      <x:c r="AG526" s="312" t="str">
        <x:v>最終バッチ：有効な誤答を維持し、絶対語・物理的不可能な誤答のみ置換。正答位置は維持。</x:v>
      </x:c>
    </x:row>
    <x:row r="527" ht="84" customHeight="1">
      <x:c r="A527" s="311" t="str">
        <x:v>LO4-106</x:v>
      </x:c>
      <x:c r="B527" s="171" t="str">
        <x:v>LO4</x:v>
      </x:c>
      <x:c r="C527" s="165" t="str">
        <x:v>世界の主要な酒精強化ワイン</x:v>
      </x:c>
      <x:c r="D527" s="165" t="str">
        <x:v>ポニエンテとレバンテ</x:v>
      </x:c>
      <x:c r="E527" s="165" t="str">
        <x:v>ヘレスで湿ったポニエンテ風がフロールの活動に有利となる主な理由はどれか。</x:v>
      </x:c>
      <x:c r="F527" s="165" t="str">
        <x:v>風が樽へ糖を運ぶため</x:v>
      </x:c>
      <x:c r="G527" s="165" t="str">
        <x:v>大西洋から涼しく湿った空気を運び、ボデガ内を温和に保つため</x:v>
      </x:c>
      <x:c r="H527" s="165" t="str">
        <x:v>風が瓶内圧力を高めるため</x:v>
      </x:c>
      <x:c r="I527" s="165" t="str">
        <x:v>風がブドウを黒品種へ変えるため</x:v>
      </x:c>
      <x:c r="J527" s="171" t="str">
        <x:v>B</x:v>
      </x:c>
      <x:c r="K527" s="165" t="str">
        <x:v>大西洋から涼しく湿った空気を運び、ボデガ内を温和に保つため</x:v>
      </x:c>
      <x:c r="L527" s="165" t="str">
        <x:v>正しい。フロールは適度な湿度と温度で活発になりやすく、乾燥した熱風より生物学的熟成を支える。</x:v>
      </x:c>
      <x:c r="M527" s="165" t="str">
        <x:v>誤り。風が残糖を供給するわけではない。</x:v>
      </x:c>
      <x:c r="N527" s="165" t="str">
        <x:v>正しい。フロールは適度な湿度と温度で活発になりやすく、乾燥した熱風より生物学的熟成を支える。</x:v>
      </x:c>
      <x:c r="O527" s="165" t="str">
        <x:v>誤り。樽熟成の非発泡性ワインである。</x:v>
      </x:c>
      <x:c r="P527" s="165" t="str">
        <x:v>誤り。品種は変化しない。</x:v>
      </x:c>
      <x:c r="Q527" s="165" t="str">
        <x:v>自然要因</x:v>
      </x:c>
      <x:c r="R527" s="165" t="str">
        <x:v>シェリー</x:v>
      </x:c>
      <x:c r="S527" s="165" t="str">
        <x:v>酒精強化ワイン</x:v>
      </x:c>
      <x:c r="T527" s="165" t="str">
        <x:v>スペイン</x:v>
      </x:c>
      <x:c r="U527" s="165" t="str">
        <x:v>ヘレス</x:v>
      </x:c>
      <x:c r="V527" s="165"/>
      <x:c r="W527" s="165" t="str">
        <x:v>因果説明</x:v>
      </x:c>
      <x:c r="X527" s="171" t="str">
        <x:v>D3</x:v>
      </x:c>
      <x:c r="Y527" s="165" t="str">
        <x:v>ポニエンテとレバンテに関する別の特徴・要因と混同; ポニエンテとレバンテに関する別の特徴・要因と混同; ポニエンテとレバンテに関する別の特徴・要因と混同</x:v>
      </x:c>
      <x:c r="Z527" s="171" t="str">
        <x:v>Y</x:v>
      </x:c>
      <x:c r="AA527" s="165" t="str">
        <x:v>ポニエンテ／レバンテの日本語表記と効果を教材表現で最終確認推奨</x:v>
      </x:c>
      <x:c r="AB527" s="165" t="str">
        <x:v>オリジナル</x:v>
      </x:c>
      <x:c r="AC527" s="165" t="str">
        <x:v>公式Specificationの範囲＋ユーザー作成コーパスの論点を参考に独自作成</x:v>
      </x:c>
      <x:c r="AD527" s="171" t="str">
        <x:v>改稿済み・専門家未承認</x:v>
      </x:c>
      <x:c r="AE527" s="171" t="str">
        <x:v>AI誤答レビュー</x:v>
      </x:c>
      <x:c r="AF527" s="171" t="str">
        <x:v>2026-07-12</x:v>
      </x:c>
      <x:c r="AG527" s="312" t="str">
        <x:v>最終バッチ：有効な誤答を維持し、絶対語・物理的不可能な誤答のみ置換。正答位置は維持。</x:v>
      </x:c>
    </x:row>
    <x:row r="528" ht="84" customHeight="1">
      <x:c r="A528" s="311" t="str">
        <x:v>LO4-107</x:v>
      </x:c>
      <x:c r="B528" s="171" t="str">
        <x:v>LO4</x:v>
      </x:c>
      <x:c r="C528" s="165" t="str">
        <x:v>世界の主要な酒精強化ワイン</x:v>
      </x:c>
      <x:c r="D528" s="165" t="str">
        <x:v>ラザグレンの酒精強化時期</x:v>
      </x:c>
      <x:c r="E528" s="165" t="str">
        <x:v>ラザグレン・マスカットで、強い品種香と高い残糖を保つために行う操作はどれか。</x:v>
      </x:c>
      <x:c r="F528" s="165" t="str">
        <x:v>辛口まで発酵した後、長期酸化熟成だけで甘味を生じさせる</x:v>
      </x:c>
      <x:c r="G528" s="165" t="str">
        <x:v>低温で発酵を完了し、ドザージュで甘味を加える</x:v>
      </x:c>
      <x:c r="H528" s="165" t="str">
        <x:v>発酵の早い段階で酒精強化し、酵母の活動を止める</x:v>
      </x:c>
      <x:c r="I528" s="165" t="str">
        <x:v>ブドウを全房圧搾し、酸を高めることで甘味を強く感じさせる</x:v>
      </x:c>
      <x:c r="J528" s="171" t="str">
        <x:v>C</x:v>
      </x:c>
      <x:c r="K528" s="165" t="str">
        <x:v>発酵の早い段階で酒精強化し、酵母の活動を止める</x:v>
      </x:c>
      <x:c r="L528" s="165" t="str">
        <x:v>正しい。高アルコールのスピリッツで酵母を止め、芳香と残糖を保持する。</x:v>
      </x:c>
      <x:c r="M528" s="165" t="str">
        <x:v>誤り。酸化熟成で糖が生まれるわけではない。</x:v>
      </x:c>
      <x:c r="N528" s="165" t="str">
        <x:v>誤り。発泡性ワインのドザージュではなく、発酵停止で糖を残す。</x:v>
      </x:c>
      <x:c r="O528" s="165" t="str">
        <x:v>正しい。高アルコールのスピリッツで酵母を止め、芳香と残糖を保持する。</x:v>
      </x:c>
      <x:c r="P528" s="165" t="str">
        <x:v>誤り。全房圧搾と酸の知覚では、実際の残糖を高くできない。</x:v>
      </x:c>
      <x:c r="Q528" s="165" t="str">
        <x:v>酒精強化ワイン製法</x:v>
      </x:c>
      <x:c r="R528" s="165" t="str">
        <x:v>ラザグレン</x:v>
      </x:c>
      <x:c r="S528" s="165" t="str">
        <x:v>甘口酒精強化ワイン</x:v>
      </x:c>
      <x:c r="T528" s="165" t="str">
        <x:v>オーストラリア</x:v>
      </x:c>
      <x:c r="U528" s="165" t="str">
        <x:v>ラザグレン</x:v>
      </x:c>
      <x:c r="V528" s="165" t="str">
        <x:v>マスカット・ア・プティ・グラン・ルージュ</x:v>
      </x:c>
      <x:c r="W528" s="165" t="str">
        <x:v>因果説明</x:v>
      </x:c>
      <x:c r="X528" s="171" t="str">
        <x:v>D2</x:v>
      </x:c>
      <x:c r="Y528" s="165" t="str">
        <x:v>辛口発酵後の酸化で甘味が生じる; ラザグレンはドザージュで甘味調整; 全房圧搾と高酸で残糖を作る</x:v>
      </x:c>
      <x:c r="Z528" s="171" t="str">
        <x:v>N</x:v>
      </x:c>
      <x:c r="AA528" s="165"/>
      <x:c r="AB528" s="165" t="str">
        <x:v>オリジナル</x:v>
      </x:c>
      <x:c r="AC528" s="165" t="str">
        <x:v>公式Specificationの範囲＋ユーザー作成コーパスの論点を参考に独自作成</x:v>
      </x:c>
      <x:c r="AD528" s="171" t="str">
        <x:v>改稿済み・専門家未承認</x:v>
      </x:c>
      <x:c r="AE528" s="171" t="str">
        <x:v>AI誤答レビュー</x:v>
      </x:c>
      <x:c r="AF528" s="171" t="str">
        <x:v>2026-07-12</x:v>
      </x:c>
      <x:c r="AG528" s="312" t="str">
        <x:v>第3バッチ：同一論点内の典型的誤概念へ置換。正答位置は維持。</x:v>
      </x:c>
    </x:row>
    <x:row r="529" ht="84" customHeight="1">
      <x:c r="A529" s="311" t="str">
        <x:v>LO4-108</x:v>
      </x:c>
      <x:c r="B529" s="171" t="str">
        <x:v>LO4</x:v>
      </x:c>
      <x:c r="C529" s="165" t="str">
        <x:v>世界の主要な酒精強化ワイン</x:v>
      </x:c>
      <x:c r="D529" s="165" t="str">
        <x:v>ラザグレンの古木</x:v>
      </x:c>
      <x:c r="E529" s="165" t="str">
        <x:v>ラザグレンの古木マスカットが、凝縮したワインを生みやすい主な理由はどれか。</x:v>
      </x:c>
      <x:c r="F529" s="165" t="str">
        <x:v>古木ほど果粒が大きくなり、果汁量が増えるため</x:v>
      </x:c>
      <x:c r="G529" s="165" t="str">
        <x:v>古木は根が浅く、水分ストレスを受けやすいため</x:v>
      </x:c>
      <x:c r="H529" s="165" t="str">
        <x:v>古木は糖の蓄積が遅いため、収穫を早められる</x:v>
      </x:c>
      <x:c r="I529" s="165" t="str">
        <x:v>古木の収量が低く、小粒で糖と香りの濃い果実を生むため</x:v>
      </x:c>
      <x:c r="J529" s="171" t="str">
        <x:v>D</x:v>
      </x:c>
      <x:c r="K529" s="165" t="str">
        <x:v>古木の収量が低く、小粒で糖と香りの濃い果実を生むため</x:v>
      </x:c>
      <x:c r="L529" s="165" t="str">
        <x:v>正しい。低収量と小粒果が糖・香り・果皮比率を高める。</x:v>
      </x:c>
      <x:c r="M529" s="165" t="str">
        <x:v>誤り。凝縮は大粒・多果汁より、小粒と低収量で高まりやすい。</x:v>
      </x:c>
      <x:c r="N529" s="165" t="str">
        <x:v>誤り。古木は深い根を持つ場合が多く、浅根が主因ではない。</x:v>
      </x:c>
      <x:c r="O529" s="165" t="str">
        <x:v>誤り。古木は低収量で十分に成熟させ、早摘みが利点ではない。</x:v>
      </x:c>
      <x:c r="P529" s="165" t="str">
        <x:v>正しい。低収量と小粒果が糖・香り・果皮比率を高める。</x:v>
      </x:c>
      <x:c r="Q529" s="165" t="str">
        <x:v>栽培</x:v>
      </x:c>
      <x:c r="R529" s="165" t="str">
        <x:v>ラザグレン</x:v>
      </x:c>
      <x:c r="S529" s="165" t="str">
        <x:v>甘口酒精強化ワイン</x:v>
      </x:c>
      <x:c r="T529" s="165" t="str">
        <x:v>オーストラリア</x:v>
      </x:c>
      <x:c r="U529" s="165" t="str">
        <x:v>ラザグレン</x:v>
      </x:c>
      <x:c r="V529" s="165" t="str">
        <x:v>マスカット</x:v>
      </x:c>
      <x:c r="W529" s="165" t="str">
        <x:v>因果説明</x:v>
      </x:c>
      <x:c r="X529" s="171" t="str">
        <x:v>D2</x:v>
      </x:c>
      <x:c r="Y529" s="165" t="str">
        <x:v>古木は大粒・多果汁で凝縮する; 古木は浅根だから凝縮する; 古木は糖蓄積が遅く早摘み向き</x:v>
      </x:c>
      <x:c r="Z529" s="171" t="str">
        <x:v>N</x:v>
      </x:c>
      <x:c r="AA529" s="165"/>
      <x:c r="AB529" s="165" t="str">
        <x:v>オリジナル</x:v>
      </x:c>
      <x:c r="AC529" s="165" t="str">
        <x:v>公式Specificationの範囲＋ユーザー作成コーパスの論点を参考に独自作成</x:v>
      </x:c>
      <x:c r="AD529" s="171" t="str">
        <x:v>改稿済み・専門家未承認</x:v>
      </x:c>
      <x:c r="AE529" s="171" t="str">
        <x:v>AI誤答レビュー</x:v>
      </x:c>
      <x:c r="AF529" s="171" t="str">
        <x:v>2026-07-12</x:v>
      </x:c>
      <x:c r="AG529" s="312" t="str">
        <x:v>第3バッチ：同一論点内の典型的誤概念へ置換。正答位置は維持。</x:v>
      </x:c>
    </x:row>
    <x:row r="530" ht="84" customHeight="1">
      <x:c r="A530" s="311" t="str">
        <x:v>LO4-109</x:v>
      </x:c>
      <x:c r="B530" s="171" t="str">
        <x:v>LO4</x:v>
      </x:c>
      <x:c r="C530" s="165" t="str">
        <x:v>世界の主要な酒精強化ワイン</x:v>
      </x:c>
      <x:c r="D530" s="165" t="str">
        <x:v>ラザグレンの気候</x:v>
      </x:c>
      <x:c r="E530" s="165" t="str">
        <x:v>ラザグレンのマスカットが非常に高い糖度まで成熟しやすい主な理由はどれか。</x:v>
      </x:c>
      <x:c r="F530" s="165" t="str">
        <x:v>暑く乾燥した大陸性気候と長い日照</x:v>
      </x:c>
      <x:c r="G530" s="165" t="str">
        <x:v>冷涼で多雨な海洋性気候だから</x:v>
      </x:c>
      <x:c r="H530" s="165" t="str">
        <x:v>収穫前に果実を凍結するから</x:v>
      </x:c>
      <x:c r="I530" s="165" t="str">
        <x:v>高緯度の極夜が続くから</x:v>
      </x:c>
      <x:c r="J530" s="171" t="str">
        <x:v>A</x:v>
      </x:c>
      <x:c r="K530" s="165" t="str">
        <x:v>暑く乾燥した大陸性気候と長い日照</x:v>
      </x:c>
      <x:c r="L530" s="165" t="str">
        <x:v>正しい。高温と乾燥により病害が少なく、果実を長く樹上に残して過熟・部分乾燥させられる。</x:v>
      </x:c>
      <x:c r="M530" s="165" t="str">
        <x:v>正しい。高温と乾燥により病害が少なく、果実を長く樹上に残して過熟・部分乾燥させられる。</x:v>
      </x:c>
      <x:c r="N530" s="165" t="str">
        <x:v>誤り。ラザグレンは内陸の温暖な地域である。</x:v>
      </x:c>
      <x:c r="O530" s="165" t="str">
        <x:v>誤り。アイスワインの製法ではない。</x:v>
      </x:c>
      <x:c r="P530" s="165" t="str">
        <x:v>誤り。十分な日照と暑さが成熟を支える。</x:v>
      </x:c>
      <x:c r="Q530" s="165" t="str">
        <x:v>自然要因</x:v>
      </x:c>
      <x:c r="R530" s="165" t="str">
        <x:v>ラザグレン</x:v>
      </x:c>
      <x:c r="S530" s="165" t="str">
        <x:v>甘口酒精強化ワイン</x:v>
      </x:c>
      <x:c r="T530" s="165" t="str">
        <x:v>オーストラリア</x:v>
      </x:c>
      <x:c r="U530" s="165" t="str">
        <x:v>ラザグレン</x:v>
      </x:c>
      <x:c r="V530" s="165" t="str">
        <x:v>マスカット</x:v>
      </x:c>
      <x:c r="W530" s="165" t="str">
        <x:v>因果説明</x:v>
      </x:c>
      <x:c r="X530" s="171" t="str">
        <x:v>D1</x:v>
      </x:c>
      <x:c r="Y530" s="165" t="str">
        <x:v>ラザグレンの気候に関する別の特徴・要因と混同; ラザグレンの気候に関する別の特徴・要因と混同; ラザグレンの気候に関する別の特徴・要因と混同</x:v>
      </x:c>
      <x:c r="Z530" s="171" t="str">
        <x:v>N</x:v>
      </x:c>
      <x:c r="AA530" s="165"/>
      <x:c r="AB530" s="165" t="str">
        <x:v>オリジナル</x:v>
      </x:c>
      <x:c r="AC530" s="165" t="str">
        <x:v>公式Specificationの範囲＋ユーザー作成コーパスの論点を参考に独自作成</x:v>
      </x:c>
      <x:c r="AD530" s="171" t="str">
        <x:v>改稿済み・専門家未承認</x:v>
      </x:c>
      <x:c r="AE530" s="171" t="str">
        <x:v>AI誤答レビュー</x:v>
      </x:c>
      <x:c r="AF530" s="171" t="str">
        <x:v>2026-07-12</x:v>
      </x:c>
      <x:c r="AG530" s="312" t="str">
        <x:v>最終バッチ：有効な誤答を維持し、絶対語・物理的不可能な誤答のみ置換。正答位置は維持。</x:v>
      </x:c>
    </x:row>
    <x:row r="531" ht="84" customHeight="1">
      <x:c r="A531" s="311" t="str">
        <x:v>LO4-110</x:v>
      </x:c>
      <x:c r="B531" s="171" t="str">
        <x:v>LO4</x:v>
      </x:c>
      <x:c r="C531" s="165" t="str">
        <x:v>世界の主要な酒精強化ワイン</x:v>
      </x:c>
      <x:c r="D531" s="165" t="str">
        <x:v>ラザグレンの酸化熟成</x:v>
      </x:c>
      <x:c r="E531" s="165" t="str">
        <x:v>ラザグレン・マスカットの長期酸化熟成で発達しやすい風味はどれか。</x:v>
      </x:c>
      <x:c r="F531" s="165" t="str">
        <x:v>新鮮な青草と低アルコールだけ</x:v>
      </x:c>
      <x:c r="G531" s="165" t="str">
        <x:v>レーズン、キャラメル、コーヒー、ナッツ、モラセス</x:v>
      </x:c>
      <x:c r="H531" s="165" t="str">
        <x:v>ライムと白い花だけの軽い辛口</x:v>
      </x:c>
      <x:c r="I531" s="165" t="str">
        <x:v>強い炭酸ガスの泡</x:v>
      </x:c>
      <x:c r="J531" s="171" t="str">
        <x:v>B</x:v>
      </x:c>
      <x:c r="K531" s="165" t="str">
        <x:v>レーズン、キャラメル、コーヒー、ナッツ、モラセス</x:v>
      </x:c>
      <x:c r="L531" s="165" t="str">
        <x:v>正しい。樽の空隙、高温の熟成庫、蒸発による濃縮が、非常に濃く粘性のある複雑なスタイルを生む。</x:v>
      </x:c>
      <x:c r="M531" s="165" t="str">
        <x:v>誤り。長期酸化で熟成香と高い濃縮感が発達する。</x:v>
      </x:c>
      <x:c r="N531" s="165" t="str">
        <x:v>正しい。樽の空隙、高温の熟成庫、蒸発による濃縮が、非常に濃く粘性のある複雑なスタイルを生む。</x:v>
      </x:c>
      <x:c r="O531" s="165" t="str">
        <x:v>誤り。若い芳香性白のスタイルではない。</x:v>
      </x:c>
      <x:c r="P531" s="165" t="str">
        <x:v>誤り。非発泡性である。</x:v>
      </x:c>
      <x:c r="Q531" s="165" t="str">
        <x:v>熟成</x:v>
      </x:c>
      <x:c r="R531" s="165" t="str">
        <x:v>ラザグレン</x:v>
      </x:c>
      <x:c r="S531" s="165" t="str">
        <x:v>甘口酒精強化ワイン</x:v>
      </x:c>
      <x:c r="T531" s="165" t="str">
        <x:v>オーストラリア</x:v>
      </x:c>
      <x:c r="U531" s="165" t="str">
        <x:v>ラザグレン</x:v>
      </x:c>
      <x:c r="V531" s="165" t="str">
        <x:v>マスカット</x:v>
      </x:c>
      <x:c r="W531" s="165" t="str">
        <x:v>知識確認</x:v>
      </x:c>
      <x:c r="X531" s="171" t="str">
        <x:v>D2</x:v>
      </x:c>
      <x:c r="Y531" s="165" t="str">
        <x:v>ラザグレンの酸化熟成に関する別の特徴・要因と混同; ラザグレンの酸化熟成に関する別の特徴・要因と混同; ラザグレンの酸化熟成に関する別の特徴・要因と混同</x:v>
      </x:c>
      <x:c r="Z531" s="171" t="str">
        <x:v>N</x:v>
      </x:c>
      <x:c r="AA531" s="165"/>
      <x:c r="AB531" s="165" t="str">
        <x:v>オリジナル</x:v>
      </x:c>
      <x:c r="AC531" s="165" t="str">
        <x:v>公式Specificationの範囲＋ユーザー作成コーパスの論点を参考に独自作成</x:v>
      </x:c>
      <x:c r="AD531" s="171" t="str">
        <x:v>改稿済み・専門家未承認</x:v>
      </x:c>
      <x:c r="AE531" s="171" t="str">
        <x:v>AI誤答レビュー</x:v>
      </x:c>
      <x:c r="AF531" s="171" t="str">
        <x:v>2026-07-12</x:v>
      </x:c>
      <x:c r="AG531" s="312" t="str">
        <x:v>最終バッチ：有効な誤答を維持し、絶対語・物理的不可能な誤答のみ置換。正答位置は維持。</x:v>
      </x:c>
    </x:row>
    <x:row r="532" ht="84" customHeight="1">
      <x:c r="A532" s="311" t="str">
        <x:v>LO4-111</x:v>
      </x:c>
      <x:c r="B532" s="171" t="str">
        <x:v>LO4</x:v>
      </x:c>
      <x:c r="C532" s="165" t="str">
        <x:v>世界の主要な酒精強化ワイン</x:v>
      </x:c>
      <x:c r="D532" s="165" t="str">
        <x:v>ラザグレンの分類</x:v>
      </x:c>
      <x:c r="E532" s="165" t="str">
        <x:v>ラザグレン・マスカットの「Rutherglen」「Classic」「Grand」「Rare」という区分が主に表すものはどれか。</x:v>
      </x:c>
      <x:c r="F532" s="165" t="str">
        <x:v>発泡性の圧力区分</x:v>
      </x:c>
      <x:c r="G532" s="165" t="str">
        <x:v>ブドウ果皮の色だけ</x:v>
      </x:c>
      <x:c r="H532" s="165" t="str">
        <x:v>熟成度、濃縮度、複雑性の段階</x:v>
      </x:c>
      <x:c r="I532" s="165" t="str">
        <x:v>アルコールを含むかどうか</x:v>
      </x:c>
      <x:c r="J532" s="171" t="str">
        <x:v>C</x:v>
      </x:c>
      <x:c r="K532" s="165" t="str">
        <x:v>熟成度、濃縮度、複雑性の段階</x:v>
      </x:c>
      <x:c r="L532" s="165" t="str">
        <x:v>正しい。上位区分ほど一般に古い原酒を多く含み、酸化熟成と蒸発による濃縮が強く、価格も高くなる。</x:v>
      </x:c>
      <x:c r="M532" s="165" t="str">
        <x:v>誤り。非発泡性の酒精強化ワインである。</x:v>
      </x:c>
      <x:c r="N532" s="165" t="str">
        <x:v>誤り。熟成スタイルと品質の階層を示す。</x:v>
      </x:c>
      <x:c r="O532" s="165" t="str">
        <x:v>正しい。上位区分ほど一般に古い原酒を多く含み、酸化熟成と蒸発による濃縮が強く、価格も高くなる。</x:v>
      </x:c>
      <x:c r="P532" s="165" t="str">
        <x:v>誤り。いずれも酒精強化ワインである。</x:v>
      </x:c>
      <x:c r="Q532" s="165" t="str">
        <x:v>法律・表示</x:v>
      </x:c>
      <x:c r="R532" s="165" t="str">
        <x:v>ラザグレン</x:v>
      </x:c>
      <x:c r="S532" s="165" t="str">
        <x:v>甘口酒精強化ワイン</x:v>
      </x:c>
      <x:c r="T532" s="165" t="str">
        <x:v>オーストラリア</x:v>
      </x:c>
      <x:c r="U532" s="165" t="str">
        <x:v>ラザグレン</x:v>
      </x:c>
      <x:c r="V532" s="165"/>
      <x:c r="W532" s="165" t="str">
        <x:v>知識確認</x:v>
      </x:c>
      <x:c r="X532" s="171" t="str">
        <x:v>D2</x:v>
      </x:c>
      <x:c r="Y532" s="165" t="str">
        <x:v>ラザグレンの分類に関する別の特徴・要因と混同; ラザグレンの分類に関する別の特徴・要因と混同; ラザグレンの分類に関する別の特徴・要因と混同</x:v>
      </x:c>
      <x:c r="Z532" s="171" t="str">
        <x:v>Y</x:v>
      </x:c>
      <x:c r="AA532" s="165" t="str">
        <x:v>ラザグレンの分類名称・官能基準を最新教材と生産者団体基準で最終照合推奨</x:v>
      </x:c>
      <x:c r="AB532" s="165" t="str">
        <x:v>オリジナル</x:v>
      </x:c>
      <x:c r="AC532" s="165" t="str">
        <x:v>公式Specificationの範囲＋ユーザー作成コーパスの論点を参考に独自作成</x:v>
      </x:c>
      <x:c r="AD532" s="171" t="str">
        <x:v>改稿済み・専門家未承認</x:v>
      </x:c>
      <x:c r="AE532" s="171" t="str">
        <x:v>AI誤答レビュー</x:v>
      </x:c>
      <x:c r="AF532" s="171" t="str">
        <x:v>2026-07-12</x:v>
      </x:c>
      <x:c r="AG532" s="312" t="str">
        <x:v>最終バッチ：有効な誤答を維持し、絶対語・物理的不可能な誤答のみ置換。正答位置は維持。</x:v>
      </x:c>
    </x:row>
    <x:row r="533" ht="84" customHeight="1">
      <x:c r="A533" s="311" t="str">
        <x:v>LO4-112</x:v>
      </x:c>
      <x:c r="B533" s="171" t="str">
        <x:v>LO4</x:v>
      </x:c>
      <x:c r="C533" s="165" t="str">
        <x:v>世界の主要な酒精強化ワイン</x:v>
      </x:c>
      <x:c r="D533" s="165" t="str">
        <x:v>Rutherglen区分のスタイル</x:v>
      </x:c>
      <x:c r="E533" s="165" t="str">
        <x:v>最も若い「Rutherglen」区分のマスカットに期待される特徴はどれか。</x:v>
      </x:c>
      <x:c r="F533" s="165" t="str">
        <x:v>瓶内二次発酵の強い泡</x:v>
      </x:c>
      <x:c r="G533" s="165" t="str">
        <x:v>最も濃厚で黒く、数十年の熟成香だけ</x:v>
      </x:c>
      <x:c r="H533" s="165" t="str">
        <x:v>濃い褐色、糖蜜、コーヒー、ナッツが中心の非常に古いスタイル</x:v>
      </x:c>
      <x:c r="I533" s="165" t="str">
        <x:v>ブドウとレーズンの一次果実香が明瞭で、上位区分より軽快</x:v>
      </x:c>
      <x:c r="J533" s="171" t="str">
        <x:v>D</x:v>
      </x:c>
      <x:c r="K533" s="165" t="str">
        <x:v>ブドウとレーズンの一次果実香が明瞭で、上位区分より軽快</x:v>
      </x:c>
      <x:c r="L533" s="165" t="str">
        <x:v>正しい。若い原酒を中心にし、酸化熟成香よりモスカットの芳香と新鮮な甘味を重視する。</x:v>
      </x:c>
      <x:c r="M533" s="165" t="str">
        <x:v>誤り。非発泡性である。</x:v>
      </x:c>
      <x:c r="N533" s="165" t="str">
        <x:v>誤り。これはGrandやRareに近い。</x:v>
      </x:c>
      <x:c r="O533" s="165" t="str">
        <x:v>誤り。これはより高い熟成区分に近く、若いRutherglen区分は新鮮なマスカット香が中心である。</x:v>
      </x:c>
      <x:c r="P533" s="165" t="str">
        <x:v>正しい。若い原酒を中心にし、酸化熟成香よりモスカットの芳香と新鮮な甘味を重視する。</x:v>
      </x:c>
      <x:c r="Q533" s="165" t="str">
        <x:v>スタイル</x:v>
      </x:c>
      <x:c r="R533" s="165" t="str">
        <x:v>ラザグレン</x:v>
      </x:c>
      <x:c r="S533" s="165" t="str">
        <x:v>甘口酒精強化ワイン</x:v>
      </x:c>
      <x:c r="T533" s="165" t="str">
        <x:v>オーストラリア</x:v>
      </x:c>
      <x:c r="U533" s="165" t="str">
        <x:v>ラザグレン</x:v>
      </x:c>
      <x:c r="V533" s="165"/>
      <x:c r="W533" s="165" t="str">
        <x:v>比較</x:v>
      </x:c>
      <x:c r="X533" s="171" t="str">
        <x:v>D2</x:v>
      </x:c>
      <x:c r="Y533" s="165" t="str">
        <x:v>Rutherglen区分のスタイルについて関連要因を主因とみなす; Rutherglen区分のスタイルについて関連要因を主因とみなす; 若いRutherglen区分を非常に古い熟成型と混同</x:v>
      </x:c>
      <x:c r="Z533" s="171" t="str">
        <x:v>Y</x:v>
      </x:c>
      <x:c r="AA533" s="165" t="str">
        <x:v>区分ごとの官能表現は最新分類基準と最終照合推奨</x:v>
      </x:c>
      <x:c r="AB533" s="165" t="str">
        <x:v>オリジナル</x:v>
      </x:c>
      <x:c r="AC533" s="165" t="str">
        <x:v>公式Specificationの範囲＋ユーザー作成コーパスの論点を参考に独自作成</x:v>
      </x:c>
      <x:c r="AD533" s="171" t="str">
        <x:v>改稿済み・専門家未承認</x:v>
      </x:c>
      <x:c r="AE533" s="171" t="str">
        <x:v>AI誤答レビュー</x:v>
      </x:c>
      <x:c r="AF533" s="171" t="str">
        <x:v>2026-07-12</x:v>
      </x:c>
      <x:c r="AG533" s="312" t="str">
        <x:v>第5バッチ：使用可能な誤答を維持し、弱い誤答を因果逆転・隣接概念へ置換。正答位置は維持。</x:v>
      </x:c>
    </x:row>
    <x:row r="534" ht="84" customHeight="1">
      <x:c r="A534" s="311" t="str">
        <x:v>LO4-113</x:v>
      </x:c>
      <x:c r="B534" s="171" t="str">
        <x:v>LO4</x:v>
      </x:c>
      <x:c r="C534" s="165" t="str">
        <x:v>世界の主要な酒精強化ワイン</x:v>
      </x:c>
      <x:c r="D534" s="165" t="str">
        <x:v>Classic区分</x:v>
      </x:c>
      <x:c r="E534" s="165" t="str">
        <x:v>「Classic Rutherglen Muscat」が基本のRutherglen区分より複雑になりやすい主な理由はどれか。</x:v>
      </x:c>
      <x:c r="F534" s="165" t="str">
        <x:v>より長く熟成した原酒を多く含み、果実香にキャラメルやナッツ香が加わる</x:v>
      </x:c>
      <x:c r="G534" s="165" t="str">
        <x:v>若い原酒を多くし、酸化香を減らして品種香だけを強める</x:v>
      </x:c>
      <x:c r="H534" s="165" t="str">
        <x:v>若い原酒だけを使い、品種香を純粋に保つため</x:v>
      </x:c>
      <x:c r="I534" s="165" t="str">
        <x:v>残糖を基本区分より低くし、辛口へ近づけるため</x:v>
      </x:c>
      <x:c r="J534" s="171" t="str">
        <x:v>A</x:v>
      </x:c>
      <x:c r="K534" s="165" t="str">
        <x:v>より長く熟成した原酒を多く含み、果実香にキャラメルやナッツ香が加わる</x:v>
      </x:c>
      <x:c r="L534" s="165" t="str">
        <x:v>正しい。若いマスカット香と熟成した酸化香をブレンドする。</x:v>
      </x:c>
      <x:c r="M534" s="165" t="str">
        <x:v>正しい。若いマスカット香と熟成した酸化香をブレンドする。</x:v>
      </x:c>
      <x:c r="N534" s="165" t="str">
        <x:v>誤り。Classicは基本区分より熟成した原酒を多く含み、キャラメルやナッツ香が加わる。</x:v>
      </x:c>
      <x:c r="O534" s="165" t="str">
        <x:v>誤り。Classicは基本区分より熟成原酒の比率が高い。</x:v>
      </x:c>
      <x:c r="P534" s="165" t="str">
        <x:v>誤り。複雑性は熟成・酸化原酒による。</x:v>
      </x:c>
      <x:c r="Q534" s="165" t="str">
        <x:v>熟成</x:v>
      </x:c>
      <x:c r="R534" s="165" t="str">
        <x:v>ラザグレン</x:v>
      </x:c>
      <x:c r="S534" s="165" t="str">
        <x:v>甘口酒精強化ワイン</x:v>
      </x:c>
      <x:c r="T534" s="165" t="str">
        <x:v>オーストラリア</x:v>
      </x:c>
      <x:c r="U534" s="165" t="str">
        <x:v>ラザグレン</x:v>
      </x:c>
      <x:c r="V534" s="165"/>
      <x:c r="W534" s="165" t="str">
        <x:v>因果説明</x:v>
      </x:c>
      <x:c r="X534" s="171" t="str">
        <x:v>D2</x:v>
      </x:c>
      <x:c r="Y534" s="165" t="str">
        <x:v>Classicは若酒比率を高める; Classicは若酒だけ; Classicは低残糖化で複雑</x:v>
      </x:c>
      <x:c r="Z534" s="171" t="str">
        <x:v>Y</x:v>
      </x:c>
      <x:c r="AA534" s="165" t="str">
        <x:v>区分ごとの官能表現は最新分類基準と最終照合推奨</x:v>
      </x:c>
      <x:c r="AB534" s="165" t="str">
        <x:v>オリジナル</x:v>
      </x:c>
      <x:c r="AC534" s="165" t="str">
        <x:v>公式Specificationの範囲＋ユーザー作成コーパスの論点を参考に独自作成</x:v>
      </x:c>
      <x:c r="AD534" s="171" t="str">
        <x:v>改稿済み・専門家未承認</x:v>
      </x:c>
      <x:c r="AE534" s="171" t="str">
        <x:v>AI誤答レビュー</x:v>
      </x:c>
      <x:c r="AF534" s="171" t="str">
        <x:v>2026-07-12</x:v>
      </x:c>
      <x:c r="AG534" s="312" t="str">
        <x:v>第4バッチ：同一論点内の典型的誤概念へ置換。正答位置は維持。</x:v>
      </x:c>
    </x:row>
    <x:row r="535" ht="84" customHeight="1">
      <x:c r="A535" s="311" t="str">
        <x:v>LO4-114</x:v>
      </x:c>
      <x:c r="B535" s="171" t="str">
        <x:v>LO4</x:v>
      </x:c>
      <x:c r="C535" s="165" t="str">
        <x:v>世界の主要な酒精強化ワイン</x:v>
      </x:c>
      <x:c r="D535" s="165" t="str">
        <x:v>GrandとRare</x:v>
      </x:c>
      <x:c r="E535" s="165" t="str">
        <x:v>GrandまたはRare Rutherglen Muscatが非常に高価になりやすい主な理由はどれか。</x:v>
      </x:c>
      <x:c r="F535" s="165" t="str">
        <x:v>最も高収量の若い畑だけを使う</x:v>
      </x:c>
      <x:c r="G535" s="165" t="str">
        <x:v>非常に古く濃縮した原酒を少量用い、長期熟成中の蒸発損失が大きい</x:v>
      </x:c>
      <x:c r="H535" s="165" t="str">
        <x:v>炭酸ガス注入で大量生産する</x:v>
      </x:c>
      <x:c r="I535" s="165" t="str">
        <x:v>アルコールを除去して無酒精にする</x:v>
      </x:c>
      <x:c r="J535" s="171" t="str">
        <x:v>B</x:v>
      </x:c>
      <x:c r="K535" s="165" t="str">
        <x:v>非常に古く濃縮した原酒を少量用い、長期熟成中の蒸発損失が大きい</x:v>
      </x:c>
      <x:c r="L535" s="165" t="str">
        <x:v>正しい。在庫を長期間保有し、古い樽からごく少量しか得られないため、希少性と熟成コストが高い。</x:v>
      </x:c>
      <x:c r="M535" s="165" t="str">
        <x:v>誤り。低い販売量と古い原酒が価格を高める。</x:v>
      </x:c>
      <x:c r="N535" s="165" t="str">
        <x:v>正しい。在庫を長期間保有し、古い樽からごく少量しか得られないため、希少性と熟成コストが高い。</x:v>
      </x:c>
      <x:c r="O535" s="165" t="str">
        <x:v>誤り。長期酸化熟成の少量生産である。</x:v>
      </x:c>
      <x:c r="P535" s="165" t="str">
        <x:v>誤り。高アルコールの酒精強化ワインである。</x:v>
      </x:c>
      <x:c r="Q535" s="165" t="str">
        <x:v>商業・価格</x:v>
      </x:c>
      <x:c r="R535" s="165" t="str">
        <x:v>ラザグレン</x:v>
      </x:c>
      <x:c r="S535" s="165" t="str">
        <x:v>甘口酒精強化ワイン</x:v>
      </x:c>
      <x:c r="T535" s="165" t="str">
        <x:v>オーストラリア</x:v>
      </x:c>
      <x:c r="U535" s="165" t="str">
        <x:v>ラザグレン</x:v>
      </x:c>
      <x:c r="V535" s="165"/>
      <x:c r="W535" s="165" t="str">
        <x:v>統合判断</x:v>
      </x:c>
      <x:c r="X535" s="171" t="str">
        <x:v>D3</x:v>
      </x:c>
      <x:c r="Y535" s="165" t="str">
        <x:v>GrandとRareに関する別の特徴・要因と混同; GrandとRareに関する別の特徴・要因と混同; GrandとRareに関する別の特徴・要因と混同</x:v>
      </x:c>
      <x:c r="Z535" s="171" t="str">
        <x:v>Y</x:v>
      </x:c>
      <x:c r="AA535" s="165" t="str">
        <x:v>Grand／Rareの分類基準・平均熟成イメージを最新基準と照合推奨</x:v>
      </x:c>
      <x:c r="AB535" s="165" t="str">
        <x:v>オリジナル</x:v>
      </x:c>
      <x:c r="AC535" s="165" t="str">
        <x:v>公式Specificationの範囲＋ユーザー作成コーパスの論点を参考に独自作成</x:v>
      </x:c>
      <x:c r="AD535" s="171" t="str">
        <x:v>改稿済み・専門家未承認</x:v>
      </x:c>
      <x:c r="AE535" s="171" t="str">
        <x:v>AI誤答レビュー</x:v>
      </x:c>
      <x:c r="AF535" s="171" t="str">
        <x:v>2026-07-12</x:v>
      </x:c>
      <x:c r="AG535" s="312" t="str">
        <x:v>最終バッチ：有効な誤答を維持し、絶対語・物理的不可能な誤答のみ置換。正答位置は維持。</x:v>
      </x:c>
    </x:row>
    <x:row r="536" ht="84" customHeight="1">
      <x:c r="A536" s="311" t="str">
        <x:v>LO4-115</x:v>
      </x:c>
      <x:c r="B536" s="171" t="str">
        <x:v>LO4</x:v>
      </x:c>
      <x:c r="C536" s="165" t="str">
        <x:v>世界の主要な酒精強化ワイン</x:v>
      </x:c>
      <x:c r="D536" s="165" t="str">
        <x:v>ラザグレンの年代ブレンド</x:v>
      </x:c>
      <x:c r="E536" s="165" t="str">
        <x:v>ラザグレンの生産者が、異なる年齢の原酒をブレンドする主な目的はどれか。</x:v>
      </x:c>
      <x:c r="F536" s="165" t="str">
        <x:v>各ヴィンテージの違いを強調し、年ごとにスタイルを変える</x:v>
      </x:c>
      <x:c r="G536" s="165" t="str">
        <x:v>若い原酒だけを使い、酸化熟成香を避ける</x:v>
      </x:c>
      <x:c r="H536" s="165" t="str">
        <x:v>若い原酒の品種香と古い原酒の濃縮した熟成香を調和させ、一定のスタイルを作る</x:v>
      </x:c>
      <x:c r="I536" s="165" t="str">
        <x:v>最も古い原酒だけを少量加え、残糖を下げる</x:v>
      </x:c>
      <x:c r="J536" s="171" t="str">
        <x:v>C</x:v>
      </x:c>
      <x:c r="K536" s="165" t="str">
        <x:v>若い原酒の品種香と古い原酒の濃縮した熟成香を調和させ、一定のスタイルを作る</x:v>
      </x:c>
      <x:c r="L536" s="165" t="str">
        <x:v>正しい。品種香、酸化香、濃度、甘味を均衡させる。</x:v>
      </x:c>
      <x:c r="M536" s="165" t="str">
        <x:v>誤り。ブレンドは年差を強調するより、スタイルを安定させる。</x:v>
      </x:c>
      <x:c r="N536" s="165" t="str">
        <x:v>誤り。若い香りと古い熟成香の両方を利用する。</x:v>
      </x:c>
      <x:c r="O536" s="165" t="str">
        <x:v>正しい。品種香、酸化香、濃度、甘味を均衡させる。</x:v>
      </x:c>
      <x:c r="P536" s="165" t="str">
        <x:v>誤り。古い原酒は甘味を下げるためだけに用いるのではない。</x:v>
      </x:c>
      <x:c r="Q536" s="165" t="str">
        <x:v>ブレンド</x:v>
      </x:c>
      <x:c r="R536" s="165" t="str">
        <x:v>ラザグレン</x:v>
      </x:c>
      <x:c r="S536" s="165" t="str">
        <x:v>甘口酒精強化ワイン</x:v>
      </x:c>
      <x:c r="T536" s="165" t="str">
        <x:v>オーストラリア</x:v>
      </x:c>
      <x:c r="U536" s="165" t="str">
        <x:v>ラザグレン</x:v>
      </x:c>
      <x:c r="V536" s="165"/>
      <x:c r="W536" s="165" t="str">
        <x:v>統合判断</x:v>
      </x:c>
      <x:c r="X536" s="171" t="str">
        <x:v>D3</x:v>
      </x:c>
      <x:c r="Y536" s="165" t="str">
        <x:v>年代ブレンドはヴィンテージ差を強調; 若い原酒だけで酸化香を避ける; 古酒は残糖低下だけが役割</x:v>
      </x:c>
      <x:c r="Z536" s="171" t="str">
        <x:v>N</x:v>
      </x:c>
      <x:c r="AA536" s="165"/>
      <x:c r="AB536" s="165" t="str">
        <x:v>オリジナル</x:v>
      </x:c>
      <x:c r="AC536" s="165" t="str">
        <x:v>公式Specificationの範囲＋ユーザー作成コーパスの論点を参考に独自作成</x:v>
      </x:c>
      <x:c r="AD536" s="171" t="str">
        <x:v>改稿済み・専門家未承認</x:v>
      </x:c>
      <x:c r="AE536" s="171" t="str">
        <x:v>AI誤答レビュー</x:v>
      </x:c>
      <x:c r="AF536" s="171" t="str">
        <x:v>2026-07-12</x:v>
      </x:c>
      <x:c r="AG536" s="312" t="str">
        <x:v>第3バッチ：同一論点内の典型的誤概念へ置換。正答位置は維持。</x:v>
      </x:c>
    </x:row>
    <x:row r="537" ht="84" customHeight="1">
      <x:c r="A537" s="311" t="str">
        <x:v>LO4-116</x:v>
      </x:c>
      <x:c r="B537" s="171" t="str">
        <x:v>LO4</x:v>
      </x:c>
      <x:c r="C537" s="165" t="str">
        <x:v>世界の主要な酒精強化ワイン</x:v>
      </x:c>
      <x:c r="D537" s="165" t="str">
        <x:v>樹上での濃縮</x:v>
      </x:c>
      <x:c r="E537" s="165" t="str">
        <x:v>ラザグレンのマスカットを十分に熟すまで樹上に残す主な効果はどれか。</x:v>
      </x:c>
      <x:c r="F537" s="165" t="str">
        <x:v>樹上に長く残すほど果粒が水を吸収し、果汁量が増える</x:v>
      </x:c>
      <x:c r="G537" s="165" t="str">
        <x:v>酸が増え、糖度が下がるため、軽い辛口に適する</x:v>
      </x:c>
      <x:c r="H537" s="165" t="str">
        <x:v>果粒が水分を吸収して大きくなり、果汁量が増える</x:v>
      </x:c>
      <x:c r="I537" s="165" t="str">
        <x:v>糖と品種香が高まり、一部の果粒がしなびてさらに濃縮する</x:v>
      </x:c>
      <x:c r="J537" s="171" t="str">
        <x:v>D</x:v>
      </x:c>
      <x:c r="K537" s="165" t="str">
        <x:v>糖と品種香が高まり、一部の果粒がしなびてさらに濃縮する</x:v>
      </x:c>
      <x:c r="L537" s="165" t="str">
        <x:v>正しい。暑く乾燥した条件で過熟・しなびが進み、甘味と芳香が高まる。</x:v>
      </x:c>
      <x:c r="M537" s="165" t="str">
        <x:v>誤り。暑く乾燥した条件では水分を失い、糖と香りが濃縮する。</x:v>
      </x:c>
      <x:c r="N537" s="165" t="str">
        <x:v>誤り。樹上成熟・乾燥では糖が濃縮し、酸は相対的に低下し得る。</x:v>
      </x:c>
      <x:c r="O537" s="165" t="str">
        <x:v>誤り。水分を失い小さくなる。</x:v>
      </x:c>
      <x:c r="P537" s="165" t="str">
        <x:v>正しい。暑く乾燥した条件で過熟・しなびが進み、甘味と芳香が高まる。</x:v>
      </x:c>
      <x:c r="Q537" s="165" t="str">
        <x:v>栽培</x:v>
      </x:c>
      <x:c r="R537" s="165" t="str">
        <x:v>ラザグレン</x:v>
      </x:c>
      <x:c r="S537" s="165" t="str">
        <x:v>甘口酒精強化ワイン</x:v>
      </x:c>
      <x:c r="T537" s="165" t="str">
        <x:v>オーストラリア</x:v>
      </x:c>
      <x:c r="U537" s="165" t="str">
        <x:v>ラザグレン</x:v>
      </x:c>
      <x:c r="V537" s="165" t="str">
        <x:v>マスカット</x:v>
      </x:c>
      <x:c r="W537" s="165" t="str">
        <x:v>因果説明</x:v>
      </x:c>
      <x:c r="X537" s="171" t="str">
        <x:v>D2</x:v>
      </x:c>
      <x:c r="Y537" s="165" t="str">
        <x:v>樹上過熟で果粒が吸水・増量する; 樹上乾燥で酸増加・糖低下; 樹上乾燥で果粒膨張</x:v>
      </x:c>
      <x:c r="Z537" s="171" t="str">
        <x:v>N</x:v>
      </x:c>
      <x:c r="AA537" s="165"/>
      <x:c r="AB537" s="165" t="str">
        <x:v>オリジナル</x:v>
      </x:c>
      <x:c r="AC537" s="165" t="str">
        <x:v>公式Specificationの範囲＋ユーザー作成コーパスの論点を参考に独自作成</x:v>
      </x:c>
      <x:c r="AD537" s="171" t="str">
        <x:v>改稿済み・専門家未承認</x:v>
      </x:c>
      <x:c r="AE537" s="171" t="str">
        <x:v>AI誤答レビュー</x:v>
      </x:c>
      <x:c r="AF537" s="171" t="str">
        <x:v>2026-07-12</x:v>
      </x:c>
      <x:c r="AG537" s="312" t="str">
        <x:v>第4バッチ：同一論点内の典型的誤概念へ置換。正答位置は維持。</x:v>
      </x:c>
    </x:row>
    <x:row r="538" ht="84" customHeight="1">
      <x:c r="A538" s="311" t="str">
        <x:v>LO4-117</x:v>
      </x:c>
      <x:c r="B538" s="171" t="str">
        <x:v>LO4</x:v>
      </x:c>
      <x:c r="C538" s="165" t="str">
        <x:v>世界の主要な酒精強化ワイン</x:v>
      </x:c>
      <x:c r="D538" s="165" t="str">
        <x:v>ミュスカ・ド・ボーム・ド・ヴニーズの品種</x:v>
      </x:c>
      <x:c r="E538" s="165" t="str">
        <x:v>ミュスカ・ド・ボーム・ド・ヴニーズの強いブドウと花の香りの主な由来はどれか。</x:v>
      </x:c>
      <x:c r="F538" s="165" t="str">
        <x:v>マスカット・ブラン・ア・プティ・グランの芳香性</x:v>
      </x:c>
      <x:c r="G538" s="165" t="str">
        <x:v>パロミノの中立性</x:v>
      </x:c>
      <x:c r="H538" s="165" t="str">
        <x:v>ネッビオーロの高タンニン</x:v>
      </x:c>
      <x:c r="I538" s="165" t="str">
        <x:v>グレーラのタンク方式だけ</x:v>
      </x:c>
      <x:c r="J538" s="171" t="str">
        <x:v>A</x:v>
      </x:c>
      <x:c r="K538" s="165" t="str">
        <x:v>マスカット・ブラン・ア・プティ・グランの芳香性</x:v>
      </x:c>
      <x:c r="L538" s="165" t="str">
        <x:v>正しい。品種由来のテルペンが、ブドウ、バラ、オレンジの花、桃を思わせる香りを与える。</x:v>
      </x:c>
      <x:c r="M538" s="165" t="str">
        <x:v>正しい。品種由来のテルペンが、ブドウ、バラ、オレンジの花、桃を思わせる香りを与える。</x:v>
      </x:c>
      <x:c r="N538" s="165" t="str">
        <x:v>誤り。パロミノはシェリーの主要品種で、芳香性は低い。</x:v>
      </x:c>
      <x:c r="O538" s="165" t="str">
        <x:v>誤り。ネッビオーロは黒品種で、スタイルが異なる。</x:v>
      </x:c>
      <x:c r="P538" s="165" t="str">
        <x:v>誤り。グレーラはプロセッコの主要品種である。</x:v>
      </x:c>
      <x:c r="Q538" s="165" t="str">
        <x:v>品種</x:v>
      </x:c>
      <x:c r="R538" s="165" t="str">
        <x:v>南ローヌ</x:v>
      </x:c>
      <x:c r="S538" s="165" t="str">
        <x:v>甘口酒精強化ワイン</x:v>
      </x:c>
      <x:c r="T538" s="165" t="str">
        <x:v>フランス</x:v>
      </x:c>
      <x:c r="U538" s="165" t="str">
        <x:v>ボーム・ド・ヴニーズ</x:v>
      </x:c>
      <x:c r="V538" s="165" t="str">
        <x:v>マスカット・ブラン・ア・プティ・グラン</x:v>
      </x:c>
      <x:c r="W538" s="165" t="str">
        <x:v>知識確認</x:v>
      </x:c>
      <x:c r="X538" s="171" t="str">
        <x:v>D1</x:v>
      </x:c>
      <x:c r="Y538" s="165" t="str">
        <x:v>ミュスカ・ド・ボーム・ド・ヴニーズの品種に関する別の特徴・要因と混同; ミュスカ・ド・ボーム・ド・ヴニーズの品種に関する別の特徴・要因と混同; ミュスカ・ド・ボーム・ド・ヴニーズの品種に関する別の特徴・要因と混同</x:v>
      </x:c>
      <x:c r="Z538" s="171" t="str">
        <x:v>N</x:v>
      </x:c>
      <x:c r="AA538" s="165"/>
      <x:c r="AB538" s="165" t="str">
        <x:v>オリジナル</x:v>
      </x:c>
      <x:c r="AC538" s="165" t="str">
        <x:v>公式Specificationの範囲＋ユーザー作成コーパスの論点を参考に独自作成</x:v>
      </x:c>
      <x:c r="AD538" s="171" t="str">
        <x:v>改稿済み・専門家未承認</x:v>
      </x:c>
      <x:c r="AE538" s="171" t="str">
        <x:v>AI誤答レビュー</x:v>
      </x:c>
      <x:c r="AF538" s="171" t="str">
        <x:v>2026-07-12</x:v>
      </x:c>
      <x:c r="AG538" s="312" t="str">
        <x:v>最終バッチ：有効な誤答を維持し、絶対語・物理的不可能な誤答のみ置換。正答位置は維持。</x:v>
      </x:c>
    </x:row>
    <x:row r="539" ht="84" customHeight="1">
      <x:c r="A539" s="311" t="str">
        <x:v>LO4-118</x:v>
      </x:c>
      <x:c r="B539" s="171" t="str">
        <x:v>LO4</x:v>
      </x:c>
      <x:c r="C539" s="165" t="str">
        <x:v>世界の主要な酒精強化ワイン</x:v>
      </x:c>
      <x:c r="D539" s="165" t="str">
        <x:v>早期酒精強化と芳香</x:v>
      </x:c>
      <x:c r="E539" s="165" t="str">
        <x:v>ミュスカ・ド・ボーム・ド・ヴニーズで発酵を早期に酒精強化して止める主な利点はどれか。</x:v>
      </x:c>
      <x:c r="F539" s="165" t="str">
        <x:v>酸化を最大限にしてナッツ香だけにする</x:v>
      </x:c>
      <x:c r="G539" s="165" t="str">
        <x:v>残糖と揮発性の品種香を高い水準で保つ</x:v>
      </x:c>
      <x:c r="H539" s="165" t="str">
        <x:v>瓶内二次発酵を起こす</x:v>
      </x:c>
      <x:c r="I539" s="165" t="str">
        <x:v>タンニンを最大限に抽出する</x:v>
      </x:c>
      <x:c r="J539" s="171" t="str">
        <x:v>B</x:v>
      </x:c>
      <x:c r="K539" s="165" t="str">
        <x:v>残糖と揮発性の品種香を高い水準で保つ</x:v>
      </x:c>
      <x:c r="L539" s="165" t="str">
        <x:v>正しい。糖が完全に発酵する前に酵母を停止し、低温管理と組み合わせて新鮮なマスカット香を残す。</x:v>
      </x:c>
      <x:c r="M539" s="165" t="str">
        <x:v>誤り。若々しい品種香を重視するスタイルが一般的である。</x:v>
      </x:c>
      <x:c r="N539" s="165" t="str">
        <x:v>正しい。糖が完全に発酵する前に酵母を停止し、低温管理と組み合わせて新鮮なマスカット香を残す。</x:v>
      </x:c>
      <x:c r="O539" s="165" t="str">
        <x:v>誤り。非発泡性の酒精強化ワインである。</x:v>
      </x:c>
      <x:c r="P539" s="165" t="str">
        <x:v>誤り。白品種の芳香と甘味が中心である。</x:v>
      </x:c>
      <x:c r="Q539" s="165" t="str">
        <x:v>酒精強化ワイン製法</x:v>
      </x:c>
      <x:c r="R539" s="165" t="str">
        <x:v>南ローヌ</x:v>
      </x:c>
      <x:c r="S539" s="165" t="str">
        <x:v>甘口酒精強化ワイン</x:v>
      </x:c>
      <x:c r="T539" s="165" t="str">
        <x:v>フランス</x:v>
      </x:c>
      <x:c r="U539" s="165" t="str">
        <x:v>ボーム・ド・ヴニーズ</x:v>
      </x:c>
      <x:c r="V539" s="165" t="str">
        <x:v>マスカット</x:v>
      </x:c>
      <x:c r="W539" s="165" t="str">
        <x:v>因果説明</x:v>
      </x:c>
      <x:c r="X539" s="171" t="str">
        <x:v>D2</x:v>
      </x:c>
      <x:c r="Y539" s="165" t="str">
        <x:v>早期酒精強化と芳香に関する別の特徴・要因と混同; 早期酒精強化と芳香に関する別の特徴・要因と混同; 早期酒精強化と芳香に関する別の特徴・要因と混同</x:v>
      </x:c>
      <x:c r="Z539" s="171" t="str">
        <x:v>N</x:v>
      </x:c>
      <x:c r="AA539" s="165"/>
      <x:c r="AB539" s="165" t="str">
        <x:v>オリジナル</x:v>
      </x:c>
      <x:c r="AC539" s="165" t="str">
        <x:v>公式Specificationの範囲＋ユーザー作成コーパスの論点を参考に独自作成</x:v>
      </x:c>
      <x:c r="AD539" s="171" t="str">
        <x:v>改稿済み・専門家未承認</x:v>
      </x:c>
      <x:c r="AE539" s="171" t="str">
        <x:v>AI誤答レビュー</x:v>
      </x:c>
      <x:c r="AF539" s="171" t="str">
        <x:v>2026-07-12</x:v>
      </x:c>
      <x:c r="AG539" s="312" t="str">
        <x:v>最終バッチ：有効な誤答を維持し、絶対語・物理的不可能な誤答のみ置換。正答位置は維持。</x:v>
      </x:c>
    </x:row>
    <x:row r="540" ht="84" customHeight="1">
      <x:c r="A540" s="311" t="str">
        <x:v>LO4-119</x:v>
      </x:c>
      <x:c r="B540" s="171" t="str">
        <x:v>LO4</x:v>
      </x:c>
      <x:c r="C540" s="165" t="str">
        <x:v>世界の主要な酒精強化ワイン</x:v>
      </x:c>
      <x:c r="D540" s="165" t="str">
        <x:v>ボーム・ド・ヴニーズの畑</x:v>
      </x:c>
      <x:c r="E540" s="165" t="str">
        <x:v>ボーム・ド・ヴニーズの痩せた石灰質斜面が高品質マスカットに有利な主な理由はどれか。</x:v>
      </x:c>
      <x:c r="F540" s="165" t="str">
        <x:v>石灰質土壌が大量の水を保持して樹勢と果粒サイズを高めるため</x:v>
      </x:c>
      <x:c r="G540" s="165" t="str">
        <x:v>北向き斜面が日射を抑え、糖の蓄積を速めるため</x:v>
      </x:c>
      <x:c r="H540" s="165" t="str">
        <x:v>排水がよく樹勢と収量を抑え、日照を受けた凝縮果を得やすいため</x:v>
      </x:c>
      <x:c r="I540" s="165" t="str">
        <x:v>肥沃で深い土壌が高収量を生み、マスカットの品種香を濃縮するため</x:v>
      </x:c>
      <x:c r="J540" s="171" t="str">
        <x:v>C</x:v>
      </x:c>
      <x:c r="K540" s="165" t="str">
        <x:v>排水がよく樹勢と収量を抑え、日照を受けた凝縮果を得やすいため</x:v>
      </x:c>
      <x:c r="L540" s="165" t="str">
        <x:v>正しい。排水、低い樹勢と収量、日照が、小粒で糖と芳香の濃いマスカットを生みやすい。</x:v>
      </x:c>
      <x:c r="M540" s="165" t="str">
        <x:v>誤り。痩せた排水性のよい斜面では過剰な水分と樹勢を抑えることが品質に寄与する。</x:v>
      </x:c>
      <x:c r="N540" s="165" t="str">
        <x:v>誤り。日射を抑えることが糖蓄積を速めるのではなく、十分な日照が成熟を支える。</x:v>
      </x:c>
      <x:c r="O540" s="165" t="str">
        <x:v>正しい。排水、低い樹勢と収量、日照が、小粒で糖と芳香の濃いマスカットを生みやすい。</x:v>
      </x:c>
      <x:c r="P540" s="165" t="str">
        <x:v>誤り。肥沃な深い土壌と高収量は果実を希釈し、品種香を濃縮する主因ではない。</x:v>
      </x:c>
      <x:c r="Q540" s="165" t="str">
        <x:v>自然要因</x:v>
      </x:c>
      <x:c r="R540" s="165" t="str">
        <x:v>南ローヌ</x:v>
      </x:c>
      <x:c r="S540" s="165" t="str">
        <x:v>甘口酒精強化ワイン</x:v>
      </x:c>
      <x:c r="T540" s="165" t="str">
        <x:v>フランス</x:v>
      </x:c>
      <x:c r="U540" s="165" t="str">
        <x:v>ボーム・ド・ヴニーズ</x:v>
      </x:c>
      <x:c r="V540" s="165" t="str">
        <x:v>マスカット</x:v>
      </x:c>
      <x:c r="W540" s="165" t="str">
        <x:v>因果説明</x:v>
      </x:c>
      <x:c r="X540" s="171" t="str">
        <x:v>D2</x:v>
      </x:c>
      <x:c r="Y540" s="165" t="str">
        <x:v>痩せた石灰質は高保水・高樹勢; 日射を減らすと糖蓄積が速い; 高収量で香り濃縮</x:v>
      </x:c>
      <x:c r="Z540" s="171" t="str">
        <x:v>N</x:v>
      </x:c>
      <x:c r="AA540" s="165"/>
      <x:c r="AB540" s="165" t="str">
        <x:v>オリジナル</x:v>
      </x:c>
      <x:c r="AC540" s="165" t="str">
        <x:v>公式Specificationの範囲＋ユーザー作成コーパスの論点を参考に独自作成</x:v>
      </x:c>
      <x:c r="AD540" s="171" t="str">
        <x:v>改稿済み・専門家未承認</x:v>
      </x:c>
      <x:c r="AE540" s="171" t="str">
        <x:v>AI誤答レビュー</x:v>
      </x:c>
      <x:c r="AF540" s="171" t="str">
        <x:v>2026-07-12</x:v>
      </x:c>
      <x:c r="AG540" s="312" t="str">
        <x:v>誤答を同一論点内の典型的誤概念へ置換。900問本体への反映前に専門家確認推奨。</x:v>
      </x:c>
    </x:row>
    <x:row r="541" ht="84" customHeight="1">
      <x:c r="A541" s="311" t="str">
        <x:v>LO4-120</x:v>
      </x:c>
      <x:c r="B541" s="171" t="str">
        <x:v>LO4</x:v>
      </x:c>
      <x:c r="C541" s="165" t="str">
        <x:v>世界の主要な酒精強化ワイン</x:v>
      </x:c>
      <x:c r="D541" s="165" t="str">
        <x:v>若い型と熟成型の酒精強化マスカット</x:v>
      </x:c>
      <x:c r="E541" s="165" t="str">
        <x:v>若く瓶詰めする酒精強化マスカットと、長期酸化熟成するラザグレン型の最も大きなスタイル差はどれか。</x:v>
      </x:c>
      <x:c r="F541" s="165" t="str">
        <x:v>若い型は新鮮なブドウと花の香り、熟成型はレーズン、キャラメル、ナッツの香りが中心</x:v>
      </x:c>
      <x:c r="G541" s="165" t="str">
        <x:v>若い型は高タンニンで、熟成型はタンニンがなくなる</x:v>
      </x:c>
      <x:c r="H541" s="165" t="str">
        <x:v>若い型は辛口で、熟成型だけが甘口になる</x:v>
      </x:c>
      <x:c r="I541" s="165" t="str">
        <x:v>若い型は高アルコール、熟成型は長期熟成で低アルコールになる</x:v>
      </x:c>
      <x:c r="J541" s="171" t="str">
        <x:v>D</x:v>
      </x:c>
      <x:c r="K541" s="165" t="str">
        <x:v>若い型は高アルコール、熟成型は長期熟成で低アルコールになる</x:v>
      </x:c>
      <x:c r="L541" s="165" t="str">
        <x:v>正しい。熟成中にアルコールが大幅に下がることが主要差ではない。</x:v>
      </x:c>
      <x:c r="M541" s="165" t="str">
        <x:v>誤り。酸素接触の差により、一次品種香と酸化熟成香の中心が変わる。</x:v>
      </x:c>
      <x:c r="N541" s="165" t="str">
        <x:v>誤り。いずれも白品種の酒精強化ワインで、タンニン差が主要ではない。</x:v>
      </x:c>
      <x:c r="O541" s="165" t="str">
        <x:v>誤り。若い型も甘口になり得る。</x:v>
      </x:c>
      <x:c r="P541" s="165" t="str">
        <x:v>正しい。熟成中にアルコールが大幅に下がることが主要差ではない。</x:v>
      </x:c>
      <x:c r="Q541" s="165" t="str">
        <x:v>熟成</x:v>
      </x:c>
      <x:c r="R541" s="165" t="str">
        <x:v>酒精強化マスカット</x:v>
      </x:c>
      <x:c r="S541" s="165" t="str">
        <x:v>甘口酒精強化ワイン</x:v>
      </x:c>
      <x:c r="T541" s="165"/>
      <x:c r="U541" s="165"/>
      <x:c r="V541" s="165"/>
      <x:c r="W541" s="165" t="str">
        <x:v>比較</x:v>
      </x:c>
      <x:c r="X541" s="171" t="str">
        <x:v>D3</x:v>
      </x:c>
      <x:c r="Y541" s="165" t="str">
        <x:v>若い型は高タンニン・熟成でタンニン消失; 若い型は辛口、熟成型だけ甘口</x:v>
      </x:c>
      <x:c r="Z541" s="171" t="str">
        <x:v>N</x:v>
      </x:c>
      <x:c r="AA541" s="165"/>
      <x:c r="AB541" s="165" t="str">
        <x:v>オリジナル</x:v>
      </x:c>
      <x:c r="AC541" s="165" t="str">
        <x:v>公式Specificationの範囲＋ユーザー作成コーパスの論点を参考に独自作成</x:v>
      </x:c>
      <x:c r="AD541" s="171" t="str">
        <x:v>改稿済み・専門家未承認</x:v>
      </x:c>
      <x:c r="AE541" s="171" t="str">
        <x:v>AI誤答レビュー</x:v>
      </x:c>
      <x:c r="AF541" s="171" t="str">
        <x:v>2026-07-12</x:v>
      </x:c>
      <x:c r="AG541" s="312" t="str">
        <x:v>第3バッチ：同一論点内の典型的誤概念へ置換。正答位置は維持。</x:v>
      </x:c>
    </x:row>
    <x:row r="542" ht="84" customHeight="1">
      <x:c r="A542" s="311" t="str">
        <x:v>LO5-061</x:v>
      </x:c>
      <x:c r="B542" s="171" t="str">
        <x:v>LO5</x:v>
      </x:c>
      <x:c r="C542" s="165" t="str">
        <x:v>情報提供・推奨・保管・サービス</x:v>
      </x:c>
      <x:c r="D542" s="165" t="str">
        <x:v>ワインリストのヴィンテージ</x:v>
      </x:c>
      <x:c r="E542" s="165" t="str">
        <x:v>ワインリストにヴィンテージを正確に記載することが重要な主な理由はどれか。</x:v>
      </x:c>
      <x:c r="F542" s="165" t="str">
        <x:v>収穫年により熟成段階、スタイル、価格が異なる可能性があるため</x:v>
      </x:c>
      <x:c r="G542" s="165" t="str">
        <x:v>ヴィンテージが違っても、同じ銘柄なら味と価格はほぼ同じだから</x:v>
      </x:c>
      <x:c r="H542" s="165" t="str">
        <x:v>ヴィンテージは瓶詰め年を示し、収穫年とは関係しないため</x:v>
      </x:c>
      <x:c r="I542" s="165" t="str">
        <x:v>ヴィンテージを記載すると、コルク汚染の有無を判断できるため</x:v>
      </x:c>
      <x:c r="J542" s="171" t="str">
        <x:v>A</x:v>
      </x:c>
      <x:c r="K542" s="165" t="str">
        <x:v>収穫年により熟成段階、スタイル、価格が異なる可能性があるため</x:v>
      </x:c>
      <x:c r="L542" s="165" t="str">
        <x:v>正しい。年ごとの気候と熟成期間が、スタイル・状態・価値へ影響する。</x:v>
      </x:c>
      <x:c r="M542" s="165" t="str">
        <x:v>正しい。年ごとの気候と熟成期間が、スタイル・状態・価値へ影響する。</x:v>
      </x:c>
      <x:c r="N542" s="165" t="str">
        <x:v>誤り。同じ銘柄でも年により品質、成熟度、価格は変わり得る。</x:v>
      </x:c>
      <x:c r="O542" s="165" t="str">
        <x:v>誤り。通常はブドウの収穫年を示す。</x:v>
      </x:c>
      <x:c r="P542" s="165" t="str">
        <x:v>誤り。ヴィンテージ表示からTCAの有無は判断できない。</x:v>
      </x:c>
      <x:c r="Q542" s="165" t="str">
        <x:v>情報提供</x:v>
      </x:c>
      <x:c r="R542" s="165" t="str">
        <x:v>ワインリスト</x:v>
      </x:c>
      <x:c r="S542" s="165" t="str">
        <x:v>全般</x:v>
      </x:c>
      <x:c r="T542" s="165"/>
      <x:c r="U542" s="165"/>
      <x:c r="V542" s="165"/>
      <x:c r="W542" s="165" t="str">
        <x:v>因果説明</x:v>
      </x:c>
      <x:c r="X542" s="171" t="str">
        <x:v>D2</x:v>
      </x:c>
      <x:c r="Y542" s="165" t="str">
        <x:v>同銘柄ならヴィンテージ差はほぼない; ヴィンテージは瓶詰め年; ヴィンテージ表示でTCA判定</x:v>
      </x:c>
      <x:c r="Z542" s="171" t="str">
        <x:v>N</x:v>
      </x:c>
      <x:c r="AA542" s="165"/>
      <x:c r="AB542" s="165" t="str">
        <x:v>オリジナル</x:v>
      </x:c>
      <x:c r="AC542" s="165" t="str">
        <x:v>公式Specificationの範囲＋ユーザー作成コーパスの論点を参考に独自作成</x:v>
      </x:c>
      <x:c r="AD542" s="171" t="str">
        <x:v>改稿済み・専門家未承認</x:v>
      </x:c>
      <x:c r="AE542" s="171" t="str">
        <x:v>AI誤答レビュー</x:v>
      </x:c>
      <x:c r="AF542" s="171" t="str">
        <x:v>2026-07-12</x:v>
      </x:c>
      <x:c r="AG542" s="312" t="str">
        <x:v>第3バッチ：同一論点内の典型的誤概念へ置換。正答位置は維持。</x:v>
      </x:c>
    </x:row>
    <x:row r="543" ht="84" customHeight="1">
      <x:c r="A543" s="311" t="str">
        <x:v>LO5-062</x:v>
      </x:c>
      <x:c r="B543" s="171" t="str">
        <x:v>LO5</x:v>
      </x:c>
      <x:c r="C543" s="165" t="str">
        <x:v>情報提供・推奨・保管・サービス</x:v>
      </x:c>
      <x:c r="D543" s="165" t="str">
        <x:v>生産者と原産地の情報</x:v>
      </x:c>
      <x:c r="E543" s="165" t="str">
        <x:v>顧客へワインを説明する際、生産者名と原産地を確認する主な理由はどれか。</x:v>
      </x:c>
      <x:c r="F543" s="165" t="str">
        <x:v>収穫年により熟成段階、スタイル、価格が異なる可能性があるため</x:v>
      </x:c>
      <x:c r="G543" s="165" t="str">
        <x:v>同じ品種でも栽培地と生産者の判断によりスタイル、品質、価格が大きく変わるため</x:v>
      </x:c>
      <x:c r="H543" s="165" t="str">
        <x:v>生産者名だけでワインの甘味とアルコール度を正確に判断できるため</x:v>
      </x:c>
      <x:c r="I543" s="165" t="str">
        <x:v>原産地が同じなら生産者差はほとんどなく、同じ説明を使えるため</x:v>
      </x:c>
      <x:c r="J543" s="171" t="str">
        <x:v>B</x:v>
      </x:c>
      <x:c r="K543" s="165" t="str">
        <x:v>同じ品種でも栽培地と生産者の判断によりスタイル、品質、価格が大きく変わるため</x:v>
      </x:c>
      <x:c r="L543" s="165" t="str">
        <x:v>正しい。気候、畑、収量、醸造、熟成、ブランド評価を具体的に説明できる。</x:v>
      </x:c>
      <x:c r="M543" s="165" t="str">
        <x:v>誤り。これは同じ知識領域の「ワインリストのヴィンテージ」に当てはまる説明で、設問の「生産者と原産地の情報」を最も適切に説明しない。</x:v>
      </x:c>
      <x:c r="N543" s="165" t="str">
        <x:v>正しい。気候、畑、収量、醸造、熟成、ブランド評価を具体的に説明できる。</x:v>
      </x:c>
      <x:c r="O543" s="165" t="str">
        <x:v>誤り。ラベル情報だけで成分を正確に決められない。</x:v>
      </x:c>
      <x:c r="P543" s="165" t="str">
        <x:v>誤り。栽培・醸造・熟成の違いが大きい。</x:v>
      </x:c>
      <x:c r="Q543" s="165" t="str">
        <x:v>情報提供</x:v>
      </x:c>
      <x:c r="R543" s="165" t="str">
        <x:v>推奨</x:v>
      </x:c>
      <x:c r="S543" s="165" t="str">
        <x:v>全般</x:v>
      </x:c>
      <x:c r="T543" s="165"/>
      <x:c r="U543" s="165"/>
      <x:c r="V543" s="165"/>
      <x:c r="W543" s="165" t="str">
        <x:v>統合判断</x:v>
      </x:c>
      <x:c r="X543" s="171" t="str">
        <x:v>D2</x:v>
      </x:c>
      <x:c r="Y543" s="165" t="str">
        <x:v>生産者と原産地の情報をワインリストのヴィンテージの特徴と混同; 生産者名で甘味・度数が決まる; 同産地なら生産者差はない</x:v>
      </x:c>
      <x:c r="Z543" s="171" t="str">
        <x:v>N</x:v>
      </x:c>
      <x:c r="AA543" s="165"/>
      <x:c r="AB543" s="165" t="str">
        <x:v>オリジナル</x:v>
      </x:c>
      <x:c r="AC543" s="165" t="str">
        <x:v>公式Specificationの範囲＋ユーザー作成コーパスの論点を参考に独自作成</x:v>
      </x:c>
      <x:c r="AD543" s="171" t="str">
        <x:v>改稿済み・専門家未承認</x:v>
      </x:c>
      <x:c r="AE543" s="171" t="str">
        <x:v>AI誤答レビュー</x:v>
      </x:c>
      <x:c r="AF543" s="171" t="str">
        <x:v>2026-07-12</x:v>
      </x:c>
      <x:c r="AG543" s="312" t="str">
        <x:v>第4バッチ：同一論点内の典型的誤概念へ置換。正答位置は維持。</x:v>
      </x:c>
    </x:row>
    <x:row r="544" ht="84" customHeight="1">
      <x:c r="A544" s="311" t="str">
        <x:v>LO5-063</x:v>
      </x:c>
      <x:c r="B544" s="171" t="str">
        <x:v>LO5</x:v>
      </x:c>
      <x:c r="C544" s="165" t="str">
        <x:v>情報提供・推奨・保管・サービス</x:v>
      </x:c>
      <x:c r="D544" s="165" t="str">
        <x:v>亜硫酸塩に関する案内</x:v>
      </x:c>
      <x:c r="E544" s="165" t="str">
        <x:v>亜硫酸塩への感受性を申し出た顧客への対応として、最も適切なものはどれか。</x:v>
      </x:c>
      <x:c r="F544" s="165" t="str">
        <x:v>白ワインより赤ワインの方が亜硫酸塩が少ないことが多いため、赤なら安全と案内する</x:v>
      </x:c>
      <x:c r="G544" s="165" t="str">
        <x:v>デカンティングで遊離亜硫酸が弱まる可能性があるため、安全を保証して提供する</x:v>
      </x:c>
      <x:c r="H544" s="165" t="str">
        <x:v>ラベルや商品情報を確認し、断定的な医療助言を避け、必要なら摂取しない選択肢を案内する</x:v>
      </x:c>
      <x:c r="I544" s="165" t="str">
        <x:v>ラベルに亜硫酸塩表示がなければ、亜硫酸塩は存在しないと案内する</x:v>
      </x:c>
      <x:c r="J544" s="171" t="str">
        <x:v>C</x:v>
      </x:c>
      <x:c r="K544" s="165" t="str">
        <x:v>ラベルや商品情報を確認し、断定的な医療助言を避け、必要なら摂取しない選択肢を案内する</x:v>
      </x:c>
      <x:c r="L544" s="165" t="str">
        <x:v>正しい。正確な商品情報を提示し、健康判断を代行せず、摂取回避や医療専門家への確認を案内する。</x:v>
      </x:c>
      <x:c r="M544" s="165" t="str">
        <x:v>誤り。赤白の一般的傾向だけで個別商品の含有量や安全性を保証できない。</x:v>
      </x:c>
      <x:c r="N544" s="165" t="str">
        <x:v>誤り。空気接触で刺激臭が弱まる場合があっても、亜硫酸塩を安全な水準まで除去したと保証できない。</x:v>
      </x:c>
      <x:c r="O544" s="165" t="str">
        <x:v>正しい。正確な商品情報を提示し、健康判断を代行せず、摂取回避や医療専門家への確認を案内する。</x:v>
      </x:c>
      <x:c r="P544" s="165" t="str">
        <x:v>誤り。表示要件には閾値や地域差があり、表示がないことだけで完全不存在を保証できない。</x:v>
      </x:c>
      <x:c r="Q544" s="165" t="str">
        <x:v>情報提供</x:v>
      </x:c>
      <x:c r="R544" s="165" t="str">
        <x:v>健康・表示</x:v>
      </x:c>
      <x:c r="S544" s="165" t="str">
        <x:v>全般</x:v>
      </x:c>
      <x:c r="T544" s="165"/>
      <x:c r="U544" s="165"/>
      <x:c r="V544" s="165"/>
      <x:c r="W544" s="165" t="str">
        <x:v>判断</x:v>
      </x:c>
      <x:c r="X544" s="171" t="str">
        <x:v>D3</x:v>
      </x:c>
      <x:c r="Y544" s="165" t="str">
        <x:v>赤なら感受性者にも安全; デカントで安全保証; 表示なし=不存在</x:v>
      </x:c>
      <x:c r="Z544" s="171" t="str">
        <x:v>Y</x:v>
      </x:c>
      <x:c r="AA544" s="165" t="str">
        <x:v>アレルゲン・表示・健康関連のため、地域別法規と表現を法務・専門家確認推奨</x:v>
      </x:c>
      <x:c r="AB544" s="165" t="str">
        <x:v>オリジナル</x:v>
      </x:c>
      <x:c r="AC544" s="165" t="str">
        <x:v>公式Specificationの範囲＋ユーザー作成コーパスの論点を参考に独自作成</x:v>
      </x:c>
      <x:c r="AD544" s="171" t="str">
        <x:v>改稿済み・専門家未承認</x:v>
      </x:c>
      <x:c r="AE544" s="171" t="str">
        <x:v>AI誤答レビュー</x:v>
      </x:c>
      <x:c r="AF544" s="171" t="str">
        <x:v>2026-07-12</x:v>
      </x:c>
      <x:c r="AG544" s="312" t="str">
        <x:v>誤答を同一論点内の典型的誤概念へ置換。900問本体への反映前に専門家確認推奨。</x:v>
      </x:c>
    </x:row>
    <x:row r="545" ht="84" customHeight="1">
      <x:c r="A545" s="311" t="str">
        <x:v>LO5-064</x:v>
      </x:c>
      <x:c r="B545" s="171" t="str">
        <x:v>LO5</x:v>
      </x:c>
      <x:c r="C545" s="165" t="str">
        <x:v>情報提供・推奨・保管・サービス</x:v>
      </x:c>
      <x:c r="D545" s="165" t="str">
        <x:v>不活性ガスによる開栓後保存</x:v>
      </x:c>
      <x:c r="E545" s="165" t="str">
        <x:v>開栓した非発泡性ワインを不活性ガスで保存する主な利点はどれか。</x:v>
      </x:c>
      <x:c r="F545" s="165" t="str">
        <x:v>瓶口を密閉し、二酸化炭素の放出を遅らせる</x:v>
      </x:c>
      <x:c r="G545" s="165" t="str">
        <x:v>不活性ガスがワイン中の酸素を化学的に水へ変える</x:v>
      </x:c>
      <x:c r="H545" s="165" t="str">
        <x:v>ガスが残糖を発酵して二酸化炭素の保護層を作る</x:v>
      </x:c>
      <x:c r="I545" s="165" t="str">
        <x:v>瓶内の酸素を置換し、酸化速度を遅らせる</x:v>
      </x:c>
      <x:c r="J545" s="171" t="str">
        <x:v>D</x:v>
      </x:c>
      <x:c r="K545" s="165" t="str">
        <x:v>瓶内の酸素を置換し、酸化速度を遅らせる</x:v>
      </x:c>
      <x:c r="L545" s="165" t="str">
        <x:v>正しい。窒素やアルゴンがワイン表面を覆い、果実香の低下と褐変を抑える。</x:v>
      </x:c>
      <x:c r="M545" s="165" t="str">
        <x:v>誤り。これは同じ知識領域の「発泡性ワイン用ストッパー」に当てはまる説明で、設問の「不活性ガスによる開栓後保存」を最も適切に説明しない。</x:v>
      </x:c>
      <x:c r="N545" s="165" t="str">
        <x:v>誤り。ガス置換であり、酸素を水へ変換しない。</x:v>
      </x:c>
      <x:c r="O545" s="165" t="str">
        <x:v>誤り。窒素やアルゴンは発酵を起こさない。</x:v>
      </x:c>
      <x:c r="P545" s="165" t="str">
        <x:v>正しい。窒素やアルゴンがワイン表面を覆い、果実香の低下と褐変を抑える。</x:v>
      </x:c>
      <x:c r="Q545" s="165" t="str">
        <x:v>保管</x:v>
      </x:c>
      <x:c r="R545" s="165" t="str">
        <x:v>開栓後保存</x:v>
      </x:c>
      <x:c r="S545" s="165" t="str">
        <x:v>非発泡性ワイン</x:v>
      </x:c>
      <x:c r="T545" s="165"/>
      <x:c r="U545" s="165"/>
      <x:c r="V545" s="165"/>
      <x:c r="W545" s="165" t="str">
        <x:v>因果説明</x:v>
      </x:c>
      <x:c r="X545" s="171" t="str">
        <x:v>D2</x:v>
      </x:c>
      <x:c r="Y545" s="165" t="str">
        <x:v>不活性ガスによる開栓後保存を発泡性ワイン用ストッパーの特徴と混同; 不活性ガスが酸素を水へ変える; 不活性ガスで残糖発酵</x:v>
      </x:c>
      <x:c r="Z545" s="171" t="str">
        <x:v>N</x:v>
      </x:c>
      <x:c r="AA545" s="165"/>
      <x:c r="AB545" s="165" t="str">
        <x:v>オリジナル</x:v>
      </x:c>
      <x:c r="AC545" s="165" t="str">
        <x:v>公式Specificationの範囲＋ユーザー作成コーパスの論点を参考に独自作成</x:v>
      </x:c>
      <x:c r="AD545" s="171" t="str">
        <x:v>改稿済み・専門家未承認</x:v>
      </x:c>
      <x:c r="AE545" s="171" t="str">
        <x:v>AI誤答レビュー</x:v>
      </x:c>
      <x:c r="AF545" s="171" t="str">
        <x:v>2026-07-12</x:v>
      </x:c>
      <x:c r="AG545" s="312" t="str">
        <x:v>第4バッチ：同一論点内の典型的誤概念へ置換。正答位置は維持。</x:v>
      </x:c>
    </x:row>
    <x:row r="546" ht="84" customHeight="1">
      <x:c r="A546" s="311" t="str">
        <x:v>LO5-065</x:v>
      </x:c>
      <x:c r="B546" s="171" t="str">
        <x:v>LO5</x:v>
      </x:c>
      <x:c r="C546" s="165" t="str">
        <x:v>情報提供・推奨・保管・サービス</x:v>
      </x:c>
      <x:c r="D546" s="165" t="str">
        <x:v>真空ポンプの限界</x:v>
      </x:c>
      <x:c r="E546" s="165" t="str">
        <x:v>開栓ワイン用の真空ポンプの限界として、最も適切なものはどれか。</x:v>
      </x:c>
      <x:c r="F546" s="165" t="str">
        <x:v>酸素を完全には除去できず、揮発性の香りや発泡性ワインの炭酸ガスも失わせる可能性がある</x:v>
      </x:c>
      <x:c r="G546" s="165" t="str">
        <x:v>瓶内を完全な真空にできるため、酸化を長期間停止できる</x:v>
      </x:c>
      <x:c r="H546" s="165" t="str">
        <x:v>減圧しても二酸化炭素はワイン中に残りやすいため、発泡性ワインにも適する</x:v>
      </x:c>
      <x:c r="I546" s="165" t="str">
        <x:v>不活性ガスより香りを保持しやすく、揮発性香気を瓶外へ引き出すことはない</x:v>
      </x:c>
      <x:c r="J546" s="171" t="str">
        <x:v>A</x:v>
      </x:c>
      <x:c r="K546" s="165" t="str">
        <x:v>酸素を完全には除去できず、揮発性の香りや発泡性ワインの炭酸ガスも失わせる可能性がある</x:v>
      </x:c>
      <x:c r="L546" s="165" t="str">
        <x:v>正しい。家庭用ポンプは完全な真空を作れず、気体とともに香気やCO2へ影響する。</x:v>
      </x:c>
      <x:c r="M546" s="165" t="str">
        <x:v>正しい。家庭用ポンプは完全な真空を作れず、気体とともに香気やCO2へ影響する。</x:v>
      </x:c>
      <x:c r="N546" s="165" t="str">
        <x:v>誤り。空気量を減らしても酸化は停止せず、保存期間には限界がある。</x:v>
      </x:c>
      <x:c r="O546" s="165" t="str">
        <x:v>誤り。減圧は二酸化炭素を抜けやすくするため、発泡性ワインには不向きである。</x:v>
      </x:c>
      <x:c r="P546" s="165" t="str">
        <x:v>誤り。減圧時に一部の揮発性香気も失われる可能性があり、不活性ガスと同じ働きではない。</x:v>
      </x:c>
      <x:c r="Q546" s="165" t="str">
        <x:v>保管</x:v>
      </x:c>
      <x:c r="R546" s="165" t="str">
        <x:v>開栓後保存</x:v>
      </x:c>
      <x:c r="S546" s="165" t="str">
        <x:v>非発泡性ワイン</x:v>
      </x:c>
      <x:c r="T546" s="165"/>
      <x:c r="U546" s="165"/>
      <x:c r="V546" s="165"/>
      <x:c r="W546" s="165" t="str">
        <x:v>比較</x:v>
      </x:c>
      <x:c r="X546" s="171" t="str">
        <x:v>D2</x:v>
      </x:c>
      <x:c r="Y546" s="165" t="str">
        <x:v>真空ポンプで完全真空・永久保存; 真空ポンプは発泡性でもCO2を保持できる; 真空は揮発性香気を全く失わない</x:v>
      </x:c>
      <x:c r="Z546" s="171" t="str">
        <x:v>N</x:v>
      </x:c>
      <x:c r="AA546" s="165"/>
      <x:c r="AB546" s="165" t="str">
        <x:v>オリジナル</x:v>
      </x:c>
      <x:c r="AC546" s="165" t="str">
        <x:v>公式Specificationの範囲＋ユーザー作成コーパスの論点を参考に独自作成</x:v>
      </x:c>
      <x:c r="AD546" s="171" t="str">
        <x:v>改稿済み・専門家未承認</x:v>
      </x:c>
      <x:c r="AE546" s="171" t="str">
        <x:v>AI誤答レビュー</x:v>
      </x:c>
      <x:c r="AF546" s="171" t="str">
        <x:v>2026-07-12</x:v>
      </x:c>
      <x:c r="AG546" s="312" t="str">
        <x:v>第2バッチ：誤答を同一論点内の典型的誤概念へ置換。正答位置は維持。</x:v>
      </x:c>
    </x:row>
    <x:row r="547" ht="84" customHeight="1">
      <x:c r="A547" s="311" t="str">
        <x:v>LO5-066</x:v>
      </x:c>
      <x:c r="B547" s="171" t="str">
        <x:v>LO5</x:v>
      </x:c>
      <x:c r="C547" s="165" t="str">
        <x:v>情報提供・推奨・保管・サービス</x:v>
      </x:c>
      <x:c r="D547" s="165" t="str">
        <x:v>針と不活性ガスの保存</x:v>
      </x:c>
      <x:c r="E547" s="165" t="str">
        <x:v>天然コルクを抜かずに針を通してワインを注ぎ、不活性ガスで置換する保存方式の主な利点はどれか。</x:v>
      </x:c>
      <x:c r="F547" s="165" t="str">
        <x:v>瓶口を密閉し、二酸化炭素の放出を遅らせる</x:v>
      </x:c>
      <x:c r="G547" s="165" t="str">
        <x:v>残りのワインを酸素へほとんど触れさせず、長期間に分けて提供できる</x:v>
      </x:c>
      <x:c r="H547" s="165" t="str">
        <x:v>針穴から空気を入れ、ワインを少量ずつ酸化させて香りを開く</x:v>
      </x:c>
      <x:c r="I547" s="165" t="str">
        <x:v>針がコルク汚染物質を吸い出し、TCAを除去する</x:v>
      </x:c>
      <x:c r="J547" s="171" t="str">
        <x:v>B</x:v>
      </x:c>
      <x:c r="K547" s="165" t="str">
        <x:v>残りのワインを酸素へほとんど触れさせず、長期間に分けて提供できる</x:v>
      </x:c>
      <x:c r="L547" s="165" t="str">
        <x:v>正しい。減った液量をアルゴンが置換し、コルクの弾力で針穴が閉じる。</x:v>
      </x:c>
      <x:c r="M547" s="165" t="str">
        <x:v>誤り。これは同じ知識領域の「発泡性ワイン用ストッパー」に当てはまる説明で、設問の「針と不活性ガスの保存」を最も適切に説明しない。</x:v>
      </x:c>
      <x:c r="N547" s="165" t="str">
        <x:v>正しい。減った液量をアルゴンが置換し、コルクの弾力で針穴が閉じる。</x:v>
      </x:c>
      <x:c r="O547" s="165" t="str">
        <x:v>誤り。アルゴンで空気を置換し、酸化を避ける。</x:v>
      </x:c>
      <x:c r="P547" s="165" t="str">
        <x:v>誤り。TCA除去装置ではない。</x:v>
      </x:c>
      <x:c r="Q547" s="165" t="str">
        <x:v>保管</x:v>
      </x:c>
      <x:c r="R547" s="165" t="str">
        <x:v>開栓後保存</x:v>
      </x:c>
      <x:c r="S547" s="165" t="str">
        <x:v>非発泡性ワイン</x:v>
      </x:c>
      <x:c r="T547" s="165"/>
      <x:c r="U547" s="165"/>
      <x:c r="V547" s="165"/>
      <x:c r="W547" s="165" t="str">
        <x:v>因果説明</x:v>
      </x:c>
      <x:c r="X547" s="171" t="str">
        <x:v>D2</x:v>
      </x:c>
      <x:c r="Y547" s="165" t="str">
        <x:v>針と不活性ガスの保存を発泡性ワイン用ストッパーの特徴と混同; 針方式は空気を入れて酸化する; 針方式でTCA除去</x:v>
      </x:c>
      <x:c r="Z547" s="171" t="str">
        <x:v>N</x:v>
      </x:c>
      <x:c r="AA547" s="165"/>
      <x:c r="AB547" s="165" t="str">
        <x:v>オリジナル</x:v>
      </x:c>
      <x:c r="AC547" s="165" t="str">
        <x:v>公式Specificationの範囲＋ユーザー作成コーパスの論点を参考に独自作成</x:v>
      </x:c>
      <x:c r="AD547" s="171" t="str">
        <x:v>改稿済み・専門家未承認</x:v>
      </x:c>
      <x:c r="AE547" s="171" t="str">
        <x:v>AI誤答レビュー</x:v>
      </x:c>
      <x:c r="AF547" s="171" t="str">
        <x:v>2026-07-12</x:v>
      </x:c>
      <x:c r="AG547" s="312" t="str">
        <x:v>第4バッチ：同一論点内の典型的誤概念へ置換。正答位置は維持。</x:v>
      </x:c>
    </x:row>
    <x:row r="548" ht="84" customHeight="1">
      <x:c r="A548" s="311" t="str">
        <x:v>LO5-067</x:v>
      </x:c>
      <x:c r="B548" s="171" t="str">
        <x:v>LO5</x:v>
      </x:c>
      <x:c r="C548" s="165" t="str">
        <x:v>情報提供・推奨・保管・サービス</x:v>
      </x:c>
      <x:c r="D548" s="165" t="str">
        <x:v>脆いコルクの開栓</x:v>
      </x:c>
      <x:c r="E548" s="165" t="str">
        <x:v>長期熟成ワインのコルクが脆いと予想される場合、最も適切な対応はどれか。</x:v>
      </x:c>
      <x:c r="F548" s="165" t="str">
        <x:v>瓶を強く振ってコルクを浮かせる</x:v>
      </x:c>
      <x:c r="G548" s="165" t="str">
        <x:v>コルクを瓶内へ押し込み、そのまま提供する</x:v>
      </x:c>
      <x:c r="H548" s="165" t="str">
        <x:v>瓶を立てて澱を落ち着かせ、二枚刃式などコルクを崩しにくい器具を用いる</x:v>
      </x:c>
      <x:c r="I548" s="165" t="str">
        <x:v>発泡性ワインのようにコルクを飛ばす</x:v>
      </x:c>
      <x:c r="J548" s="171" t="str">
        <x:v>C</x:v>
      </x:c>
      <x:c r="K548" s="165" t="str">
        <x:v>瓶を立てて澱を落ち着かせ、二枚刃式などコルクを崩しにくい器具を用いる</x:v>
      </x:c>
      <x:c r="L548" s="165" t="str">
        <x:v>正しい。古いコルクは乾燥・軟化して折れやすいため、側面から挟む器具や専用オープナーで慎重に抜く。</x:v>
      </x:c>
      <x:c r="M548" s="165" t="str">
        <x:v>誤り。澱が舞い、コルクも崩れやすくなる。</x:v>
      </x:c>
      <x:c r="N548" s="165" t="str">
        <x:v>誤り。破片と衛生・外観の問題が生じる。</x:v>
      </x:c>
      <x:c r="O548" s="165" t="str">
        <x:v>正しい。古いコルクは乾燥・軟化して折れやすいため、側面から挟む器具や専用オープナーで慎重に抜く。</x:v>
      </x:c>
      <x:c r="P548" s="165" t="str">
        <x:v>誤り。熟成非発泡性ワインでは危険で不適切である。</x:v>
      </x:c>
      <x:c r="Q548" s="165" t="str">
        <x:v>サービス</x:v>
      </x:c>
      <x:c r="R548" s="165" t="str">
        <x:v>熟成ワイン</x:v>
      </x:c>
      <x:c r="S548" s="165" t="str">
        <x:v>非発泡性ワイン</x:v>
      </x:c>
      <x:c r="T548" s="165"/>
      <x:c r="U548" s="165"/>
      <x:c r="V548" s="165"/>
      <x:c r="W548" s="165" t="str">
        <x:v>適用</x:v>
      </x:c>
      <x:c r="X548" s="171" t="str">
        <x:v>D3</x:v>
      </x:c>
      <x:c r="Y548" s="165" t="str">
        <x:v>脆いコルクの開栓に関する別の特徴・要因と混同; 脆いコルクの開栓に関する別の特徴・要因と混同; 脆いコルクの開栓に関する別の特徴・要因と混同</x:v>
      </x:c>
      <x:c r="Z548" s="171" t="str">
        <x:v>N</x:v>
      </x:c>
      <x:c r="AA548" s="165"/>
      <x:c r="AB548" s="165" t="str">
        <x:v>オリジナル</x:v>
      </x:c>
      <x:c r="AC548" s="165" t="str">
        <x:v>公式Specificationの範囲＋ユーザー作成コーパスの論点を参考に独自作成</x:v>
      </x:c>
      <x:c r="AD548" s="171" t="str">
        <x:v>改稿済み・専門家未承認</x:v>
      </x:c>
      <x:c r="AE548" s="171" t="str">
        <x:v>AI誤答レビュー</x:v>
      </x:c>
      <x:c r="AF548" s="171" t="str">
        <x:v>2026-07-12</x:v>
      </x:c>
      <x:c r="AG548" s="312" t="str">
        <x:v>最終バッチ：有効な誤答を維持し、絶対語・物理的不可能な誤答のみ置換。正答位置は維持。</x:v>
      </x:c>
    </x:row>
    <x:row r="549" ht="84" customHeight="1">
      <x:c r="A549" s="311" t="str">
        <x:v>LO5-068</x:v>
      </x:c>
      <x:c r="B549" s="171" t="str">
        <x:v>LO5</x:v>
      </x:c>
      <x:c r="C549" s="165" t="str">
        <x:v>情報提供・推奨・保管・サービス</x:v>
      </x:c>
      <x:c r="D549" s="165" t="str">
        <x:v>二枚刃式オープナー</x:v>
      </x:c>
      <x:c r="E549" s="165" t="str">
        <x:v>二枚刃式のコルク抜きが古いワインに適する主な理由はどれか。</x:v>
      </x:c>
      <x:c r="F549" s="165" t="str">
        <x:v>コルクを粉砕して濾過しやすくする</x:v>
      </x:c>
      <x:c r="G549" s="165" t="str">
        <x:v>瓶内圧力を高める</x:v>
      </x:c>
      <x:c r="H549" s="165" t="str">
        <x:v>ワインを冷却する</x:v>
      </x:c>
      <x:c r="I549" s="165" t="str">
        <x:v>コルクへねじを刺さず、瓶口との間から挟んで抜ける</x:v>
      </x:c>
      <x:c r="J549" s="171" t="str">
        <x:v>D</x:v>
      </x:c>
      <x:c r="K549" s="165" t="str">
        <x:v>コルクへねじを刺さず、瓶口との間から挟んで抜ける</x:v>
      </x:c>
      <x:c r="L549" s="165" t="str">
        <x:v>正しい。脆いコルクの中心を破壊しにくく、全体を支えながらゆっくり引き上げられる。</x:v>
      </x:c>
      <x:c r="M549" s="165" t="str">
        <x:v>誤り。目的は崩さずに抜くことである。</x:v>
      </x:c>
      <x:c r="N549" s="165" t="str">
        <x:v>誤り。開栓器具は圧力を高めない。</x:v>
      </x:c>
      <x:c r="O549" s="165" t="str">
        <x:v>誤り。温度調整機能はない。</x:v>
      </x:c>
      <x:c r="P549" s="165" t="str">
        <x:v>正しい。脆いコルクの中心を破壊しにくく、全体を支えながらゆっくり引き上げられる。</x:v>
      </x:c>
      <x:c r="Q549" s="165" t="str">
        <x:v>サービス</x:v>
      </x:c>
      <x:c r="R549" s="165" t="str">
        <x:v>開栓器具</x:v>
      </x:c>
      <x:c r="S549" s="165" t="str">
        <x:v>非発泡性ワイン</x:v>
      </x:c>
      <x:c r="T549" s="165"/>
      <x:c r="U549" s="165"/>
      <x:c r="V549" s="165"/>
      <x:c r="W549" s="165" t="str">
        <x:v>因果説明</x:v>
      </x:c>
      <x:c r="X549" s="171" t="str">
        <x:v>D1</x:v>
      </x:c>
      <x:c r="Y549" s="165" t="str">
        <x:v>二枚刃式オープナーに関する別の特徴・要因と混同; 二枚刃式オープナーに関する別の特徴・要因と混同; 二枚刃式オープナーに関する別の特徴・要因と混同</x:v>
      </x:c>
      <x:c r="Z549" s="171" t="str">
        <x:v>N</x:v>
      </x:c>
      <x:c r="AA549" s="165"/>
      <x:c r="AB549" s="165" t="str">
        <x:v>オリジナル</x:v>
      </x:c>
      <x:c r="AC549" s="165" t="str">
        <x:v>公式Specificationの範囲＋ユーザー作成コーパスの論点を参考に独自作成</x:v>
      </x:c>
      <x:c r="AD549" s="171" t="str">
        <x:v>改稿済み・専門家未承認</x:v>
      </x:c>
      <x:c r="AE549" s="171" t="str">
        <x:v>AI誤答レビュー</x:v>
      </x:c>
      <x:c r="AF549" s="171" t="str">
        <x:v>2026-07-12</x:v>
      </x:c>
      <x:c r="AG549" s="312" t="str">
        <x:v>最終バッチ：有効な誤答を維持し、絶対語・物理的不可能な誤答のみ置換。正答位置は維持。</x:v>
      </x:c>
    </x:row>
    <x:row r="550" ht="84" customHeight="1">
      <x:c r="A550" s="311" t="str">
        <x:v>LO5-069</x:v>
      </x:c>
      <x:c r="B550" s="171" t="str">
        <x:v>LO5</x:v>
      </x:c>
      <x:c r="C550" s="165" t="str">
        <x:v>情報提供・推奨・保管・サービス</x:v>
      </x:c>
      <x:c r="D550" s="165" t="str">
        <x:v>澱を沈める静置</x:v>
      </x:c>
      <x:c r="E550" s="165" t="str">
        <x:v>熟成した赤ワインを提供前に立てて静置する主な目的はどれか。</x:v>
      </x:c>
      <x:c r="F550" s="165" t="str">
        <x:v>瓶内の澱を底へ沈め、デカンティング時に分離しやすくする</x:v>
      </x:c>
      <x:c r="G550" s="165" t="str">
        <x:v>酸化を最大限に進める</x:v>
      </x:c>
      <x:c r="H550" s="165" t="str">
        <x:v>残糖を減らす</x:v>
      </x:c>
      <x:c r="I550" s="165" t="str">
        <x:v>瓶内圧力を発生させる</x:v>
      </x:c>
      <x:c r="J550" s="171" t="str">
        <x:v>A</x:v>
      </x:c>
      <x:c r="K550" s="165" t="str">
        <x:v>瓶内の澱を底へ沈め、デカンティング時に分離しやすくする</x:v>
      </x:c>
      <x:c r="L550" s="165" t="str">
        <x:v>正しい。輸送や横置きで広がった色素・タンニンの沈殿を一か所へ集める。</x:v>
      </x:c>
      <x:c r="M550" s="165" t="str">
        <x:v>正しい。輸送や横置きで広がった色素・タンニンの沈殿を一か所へ集める。</x:v>
      </x:c>
      <x:c r="N550" s="165" t="str">
        <x:v>誤り。未開栓の静置は澱を沈めるためである。</x:v>
      </x:c>
      <x:c r="O550" s="165" t="str">
        <x:v>誤り。静置で糖は変化しない。</x:v>
      </x:c>
      <x:c r="P550" s="165" t="str">
        <x:v>誤り。非発泡性ワインである。</x:v>
      </x:c>
      <x:c r="Q550" s="165" t="str">
        <x:v>サービス</x:v>
      </x:c>
      <x:c r="R550" s="165" t="str">
        <x:v>デカンティング</x:v>
      </x:c>
      <x:c r="S550" s="165" t="str">
        <x:v>赤ワイン</x:v>
      </x:c>
      <x:c r="T550" s="165"/>
      <x:c r="U550" s="165"/>
      <x:c r="V550" s="165"/>
      <x:c r="W550" s="165" t="str">
        <x:v>因果説明</x:v>
      </x:c>
      <x:c r="X550" s="171" t="str">
        <x:v>D1</x:v>
      </x:c>
      <x:c r="Y550" s="165" t="str">
        <x:v>澱を沈める静置に関する別の特徴・要因と混同; 澱を沈める静置に関する別の特徴・要因と混同; 澱を沈める静置に関する別の特徴・要因と混同</x:v>
      </x:c>
      <x:c r="Z550" s="171" t="str">
        <x:v>N</x:v>
      </x:c>
      <x:c r="AA550" s="165"/>
      <x:c r="AB550" s="165" t="str">
        <x:v>オリジナル</x:v>
      </x:c>
      <x:c r="AC550" s="165" t="str">
        <x:v>公式Specificationの範囲＋ユーザー作成コーパスの論点を参考に独自作成</x:v>
      </x:c>
      <x:c r="AD550" s="171" t="str">
        <x:v>改稿済み・専門家未承認</x:v>
      </x:c>
      <x:c r="AE550" s="171" t="str">
        <x:v>AI誤答レビュー</x:v>
      </x:c>
      <x:c r="AF550" s="171" t="str">
        <x:v>2026-07-12</x:v>
      </x:c>
      <x:c r="AG550" s="312" t="str">
        <x:v>最終バッチ：有効な誤答を維持し、絶対語・物理的不可能な誤答のみ置換。正答位置は維持。</x:v>
      </x:c>
    </x:row>
    <x:row r="551" ht="84" customHeight="1">
      <x:c r="A551" s="311" t="str">
        <x:v>LO5-070</x:v>
      </x:c>
      <x:c r="B551" s="171" t="str">
        <x:v>LO5</x:v>
      </x:c>
      <x:c r="C551" s="165" t="str">
        <x:v>情報提供・推奨・保管・サービス</x:v>
      </x:c>
      <x:c r="D551" s="165" t="str">
        <x:v>ダブル・デカンティング</x:v>
      </x:c>
      <x:c r="E551" s="165" t="str">
        <x:v>ダブル・デカンティングを行う主な理由はどれか。</x:v>
      </x:c>
      <x:c r="F551" s="165" t="str">
        <x:v>ワインを二つのデキャンタへ順番に移し、酸化を最大化する</x:v>
      </x:c>
      <x:c r="G551" s="165" t="str">
        <x:v>ワインを澱から分離して空気へ触れさせた後、元の瓶へ戻して提供しやすくする</x:v>
      </x:c>
      <x:c r="H551" s="165" t="str">
        <x:v>残糖を減らすため、二回の移し替えで酵母を除去する</x:v>
      </x:c>
      <x:c r="I551" s="165" t="str">
        <x:v>瓶内圧力を下げるため、発泡性ワインを二回移し替える</x:v>
      </x:c>
      <x:c r="J551" s="171" t="str">
        <x:v>B</x:v>
      </x:c>
      <x:c r="K551" s="165" t="str">
        <x:v>ワインを澱から分離して空気へ触れさせた後、元の瓶へ戻して提供しやすくする</x:v>
      </x:c>
      <x:c r="L551" s="165" t="str">
        <x:v>正しい。二つのデキャンタを使うことが定義ではなく、元瓶へ戻す点が特徴である。</x:v>
      </x:c>
      <x:c r="M551" s="165" t="str">
        <x:v>誤り。元の瓶を見せたいサービスで、澱除去とエアレーションを行える。</x:v>
      </x:c>
      <x:c r="N551" s="165" t="str">
        <x:v>正しい。二つのデキャンタを使うことが定義ではなく、元瓶へ戻す点が特徴である。</x:v>
      </x:c>
      <x:c r="O551" s="165" t="str">
        <x:v>誤り。糖や酵母を除いて甘味を変える工程ではない。</x:v>
      </x:c>
      <x:c r="P551" s="165" t="str">
        <x:v>誤り。非発泡性ワインへ用い、発泡性を脱気する目的ではない。</x:v>
      </x:c>
      <x:c r="Q551" s="165" t="str">
        <x:v>サービス</x:v>
      </x:c>
      <x:c r="R551" s="165" t="str">
        <x:v>デカンティング</x:v>
      </x:c>
      <x:c r="S551" s="165" t="str">
        <x:v>赤ワイン</x:v>
      </x:c>
      <x:c r="T551" s="165"/>
      <x:c r="U551" s="165"/>
      <x:c r="V551" s="165"/>
      <x:c r="W551" s="165" t="str">
        <x:v>適用</x:v>
      </x:c>
      <x:c r="X551" s="171" t="str">
        <x:v>D2</x:v>
      </x:c>
      <x:c r="Y551" s="165" t="str">
        <x:v>ダブルデカンティングは二つのデキャンタ使用; 二回移し替えで残糖を減らす; 発泡性ワインの圧力を下げる</x:v>
      </x:c>
      <x:c r="Z551" s="171" t="str">
        <x:v>N</x:v>
      </x:c>
      <x:c r="AA551" s="165"/>
      <x:c r="AB551" s="165" t="str">
        <x:v>オリジナル</x:v>
      </x:c>
      <x:c r="AC551" s="165" t="str">
        <x:v>公式Specificationの範囲＋ユーザー作成コーパスの論点を参考に独自作成</x:v>
      </x:c>
      <x:c r="AD551" s="171" t="str">
        <x:v>改稿済み・専門家未承認</x:v>
      </x:c>
      <x:c r="AE551" s="171" t="str">
        <x:v>AI誤答レビュー</x:v>
      </x:c>
      <x:c r="AF551" s="171" t="str">
        <x:v>2026-07-12</x:v>
      </x:c>
      <x:c r="AG551" s="312" t="str">
        <x:v>第3バッチ：同一論点内の典型的誤概念へ置換。正答位置は維持。</x:v>
      </x:c>
    </x:row>
    <x:row r="552" ht="84" customHeight="1">
      <x:c r="A552" s="311" t="str">
        <x:v>LO5-071</x:v>
      </x:c>
      <x:c r="B552" s="171" t="str">
        <x:v>LO5</x:v>
      </x:c>
      <x:c r="C552" s="165" t="str">
        <x:v>情報提供・推奨・保管・サービス</x:v>
      </x:c>
      <x:c r="D552" s="165" t="str">
        <x:v>熟成白ワインの提供温度</x:v>
      </x:c>
      <x:c r="E552" s="165" t="str">
        <x:v>複雑な熟成白ワインを、若い軽快な白よりやや高い温度で提供する主な理由はどれか。</x:v>
      </x:c>
      <x:c r="F552" s="165" t="str">
        <x:v>高い温度で残糖が増え、熟成香が甘く感じられるため</x:v>
      </x:c>
      <x:c r="G552" s="165" t="str">
        <x:v>酸を低下させ、ワインを化学的に柔らかくするため</x:v>
      </x:c>
      <x:c r="H552" s="165" t="str">
        <x:v>低温で閉じやすい熟成香と質感を十分に感じられるようにする</x:v>
      </x:c>
      <x:c r="I552" s="165" t="str">
        <x:v>高温で酸化を進め、ナッツ香を追加するため</x:v>
      </x:c>
      <x:c r="J552" s="171" t="str">
        <x:v>C</x:v>
      </x:c>
      <x:c r="K552" s="165" t="str">
        <x:v>低温で閉じやすい熟成香と質感を十分に感じられるようにする</x:v>
      </x:c>
      <x:c r="L552" s="165" t="str">
        <x:v>正しい。蜂蜜、ナッツ、オーク、澱由来の香りとボディを表現しやすい。</x:v>
      </x:c>
      <x:c r="M552" s="165" t="str">
        <x:v>誤り。温度で残糖量は変わらない。</x:v>
      </x:c>
      <x:c r="N552" s="165" t="str">
        <x:v>誤り。実際の酸量を低下させるのではなく、香味知覚を開く。</x:v>
      </x:c>
      <x:c r="O552" s="165" t="str">
        <x:v>正しい。蜂蜜、ナッツ、オーク、澱由来の香りとボディを表現しやすい。</x:v>
      </x:c>
      <x:c r="P552" s="165" t="str">
        <x:v>誤り。提供時に劣化を進めることが目的ではない。</x:v>
      </x:c>
      <x:c r="Q552" s="165" t="str">
        <x:v>サービス</x:v>
      </x:c>
      <x:c r="R552" s="165" t="str">
        <x:v>提供温度</x:v>
      </x:c>
      <x:c r="S552" s="165" t="str">
        <x:v>白ワイン</x:v>
      </x:c>
      <x:c r="T552" s="165"/>
      <x:c r="U552" s="165"/>
      <x:c r="V552" s="165"/>
      <x:c r="W552" s="165" t="str">
        <x:v>因果説明</x:v>
      </x:c>
      <x:c r="X552" s="171" t="str">
        <x:v>D2</x:v>
      </x:c>
      <x:c r="Y552" s="165" t="str">
        <x:v>温度上昇で残糖が増える; 提供温度で酸量が低下する; 高温で酸化熟成香を追加する</x:v>
      </x:c>
      <x:c r="Z552" s="171" t="str">
        <x:v>N</x:v>
      </x:c>
      <x:c r="AA552" s="165"/>
      <x:c r="AB552" s="165" t="str">
        <x:v>オリジナル</x:v>
      </x:c>
      <x:c r="AC552" s="165" t="str">
        <x:v>公式Specificationの範囲＋ユーザー作成コーパスの論点を参考に独自作成</x:v>
      </x:c>
      <x:c r="AD552" s="171" t="str">
        <x:v>改稿済み・専門家未承認</x:v>
      </x:c>
      <x:c r="AE552" s="171" t="str">
        <x:v>AI誤答レビュー</x:v>
      </x:c>
      <x:c r="AF552" s="171" t="str">
        <x:v>2026-07-12</x:v>
      </x:c>
      <x:c r="AG552" s="312" t="str">
        <x:v>第3バッチ：同一論点内の典型的誤概念へ置換。正答位置は維持。</x:v>
      </x:c>
    </x:row>
    <x:row r="553" ht="84" customHeight="1">
      <x:c r="A553" s="311" t="str">
        <x:v>LO5-072</x:v>
      </x:c>
      <x:c r="B553" s="171" t="str">
        <x:v>LO5</x:v>
      </x:c>
      <x:c r="C553" s="165" t="str">
        <x:v>情報提供・推奨・保管・サービス</x:v>
      </x:c>
      <x:c r="D553" s="165" t="str">
        <x:v>甘口ワインの提供温度</x:v>
      </x:c>
      <x:c r="E553" s="165" t="str">
        <x:v>甘口白ワインを冷やして提供する主な利点はどれか。</x:v>
      </x:c>
      <x:c r="F553" s="165" t="str">
        <x:v>甘口ワインは温度を上げるほど甘味が弱く感じられる</x:v>
      </x:c>
      <x:c r="G553" s="165" t="str">
        <x:v>冷却で残糖が結晶化し、実際の甘味を減らす</x:v>
      </x:c>
      <x:c r="H553" s="165" t="str">
        <x:v>冷却で酸を化学的に増加させ、甘味を中和する</x:v>
      </x:c>
      <x:c r="I553" s="165" t="str">
        <x:v>甘味の重さを抑え、酸と香りのバランスを爽やかに感じさせる</x:v>
      </x:c>
      <x:c r="J553" s="171" t="str">
        <x:v>D</x:v>
      </x:c>
      <x:c r="K553" s="165" t="str">
        <x:v>甘味の重さを抑え、酸と香りのバランスを爽やかに感じさせる</x:v>
      </x:c>
      <x:c r="L553" s="165" t="str">
        <x:v>正しい。低温は甘味とアルコールの知覚を穏やかにし、酸と芳香を引き立てる。</x:v>
      </x:c>
      <x:c r="M553" s="165" t="str">
        <x:v>誤り。一般に高温では甘味とアルコールが強く感じられ、冷却で爽やかになる。</x:v>
      </x:c>
      <x:c r="N553" s="165" t="str">
        <x:v>誤り。提供温度で糖量は変わらない。</x:v>
      </x:c>
      <x:c r="O553" s="165" t="str">
        <x:v>誤り。酸量は変わらず、知覚が変わる。</x:v>
      </x:c>
      <x:c r="P553" s="165" t="str">
        <x:v>正しい。低温は甘味とアルコールの知覚を穏やかにし、酸と芳香を引き立てる。</x:v>
      </x:c>
      <x:c r="Q553" s="165" t="str">
        <x:v>サービス</x:v>
      </x:c>
      <x:c r="R553" s="165" t="str">
        <x:v>提供温度</x:v>
      </x:c>
      <x:c r="S553" s="165" t="str">
        <x:v>甘口ワイン</x:v>
      </x:c>
      <x:c r="T553" s="165"/>
      <x:c r="U553" s="165"/>
      <x:c r="V553" s="165"/>
      <x:c r="W553" s="165" t="str">
        <x:v>因果説明</x:v>
      </x:c>
      <x:c r="X553" s="171" t="str">
        <x:v>D2</x:v>
      </x:c>
      <x:c r="Y553" s="165" t="str">
        <x:v>甘口ワインは高温ほど甘味が弱い; 冷却で残糖結晶化・減少; 冷却で酸量増加</x:v>
      </x:c>
      <x:c r="Z553" s="171" t="str">
        <x:v>N</x:v>
      </x:c>
      <x:c r="AA553" s="165"/>
      <x:c r="AB553" s="165" t="str">
        <x:v>オリジナル</x:v>
      </x:c>
      <x:c r="AC553" s="165" t="str">
        <x:v>公式Specificationの範囲＋ユーザー作成コーパスの論点を参考に独自作成</x:v>
      </x:c>
      <x:c r="AD553" s="171" t="str">
        <x:v>改稿済み・専門家未承認</x:v>
      </x:c>
      <x:c r="AE553" s="171" t="str">
        <x:v>AI誤答レビュー</x:v>
      </x:c>
      <x:c r="AF553" s="171" t="str">
        <x:v>2026-07-12</x:v>
      </x:c>
      <x:c r="AG553" s="312" t="str">
        <x:v>第4バッチ：同一論点内の典型的誤概念へ置換。正答位置は維持。</x:v>
      </x:c>
    </x:row>
    <x:row r="554" ht="84" customHeight="1">
      <x:c r="A554" s="311" t="str">
        <x:v>LO5-073</x:v>
      </x:c>
      <x:c r="B554" s="171" t="str">
        <x:v>LO5</x:v>
      </x:c>
      <x:c r="C554" s="165" t="str">
        <x:v>情報提供・推奨・保管・サービス</x:v>
      </x:c>
      <x:c r="D554" s="165" t="str">
        <x:v>酒精強化ワインの提供温度</x:v>
      </x:c>
      <x:c r="E554" s="165" t="str">
        <x:v>若いフィノと熟成したオロロソで、適切な提供温度が異なる主な理由はどれか。</x:v>
      </x:c>
      <x:c r="F554" s="165" t="str">
        <x:v>フィノは冷やして鮮度を強調し、オロロソはやや高い温度で複雑な香りを開かせる</x:v>
      </x:c>
      <x:c r="G554" s="165" t="str">
        <x:v>低温で閉じやすい熟成香と質感を十分に感じられるようにする</x:v>
      </x:c>
      <x:c r="H554" s="165" t="str">
        <x:v>フィノは甘口、オロロソは辛口なので温度を変える</x:v>
      </x:c>
      <x:c r="I554" s="165" t="str">
        <x:v>オロロソは発泡性があるため、フィノより冷やさない</x:v>
      </x:c>
      <x:c r="J554" s="171" t="str">
        <x:v>A</x:v>
      </x:c>
      <x:c r="K554" s="165" t="str">
        <x:v>フィノは冷やして鮮度を強調し、オロロソはやや高い温度で複雑な香りを開かせる</x:v>
      </x:c>
      <x:c r="L554" s="165" t="str">
        <x:v>正しい。軽い生物学的熟成香と豊かな酸化熟成香では最適な温度が異なる。</x:v>
      </x:c>
      <x:c r="M554" s="165" t="str">
        <x:v>正しい。軽い生物学的熟成香と豊かな酸化熟成香では最適な温度が異なる。</x:v>
      </x:c>
      <x:c r="N554" s="165" t="str">
        <x:v>誤り。これは同じ知識領域の「熟成白ワインの提供温度」に当てはまる説明で、設問の「酒精強化ワインの提供温度」を最も適切に説明しない。</x:v>
      </x:c>
      <x:c r="O554" s="165" t="str">
        <x:v>誤り。自然な両者は辛口で、熟成スタイル差が理由。</x:v>
      </x:c>
      <x:c r="P554" s="165" t="str">
        <x:v>誤り。どちらも非発泡性。</x:v>
      </x:c>
      <x:c r="Q554" s="165" t="str">
        <x:v>サービス</x:v>
      </x:c>
      <x:c r="R554" s="165" t="str">
        <x:v>提供温度</x:v>
      </x:c>
      <x:c r="S554" s="165" t="str">
        <x:v>酒精強化ワイン</x:v>
      </x:c>
      <x:c r="T554" s="165"/>
      <x:c r="U554" s="165"/>
      <x:c r="V554" s="165"/>
      <x:c r="W554" s="165" t="str">
        <x:v>比較</x:v>
      </x:c>
      <x:c r="X554" s="171" t="str">
        <x:v>D2</x:v>
      </x:c>
      <x:c r="Y554" s="165" t="str">
        <x:v>酒精強化ワインの提供温度を熟成白ワインの提供温度の特徴と混同; フィノを甘口とみなす; オロロソは発泡性</x:v>
      </x:c>
      <x:c r="Z554" s="171" t="str">
        <x:v>N</x:v>
      </x:c>
      <x:c r="AA554" s="165"/>
      <x:c r="AB554" s="165" t="str">
        <x:v>オリジナル</x:v>
      </x:c>
      <x:c r="AC554" s="165" t="str">
        <x:v>公式Specificationの範囲＋ユーザー作成コーパスの論点を参考に独自作成</x:v>
      </x:c>
      <x:c r="AD554" s="171" t="str">
        <x:v>改稿済み・専門家未承認</x:v>
      </x:c>
      <x:c r="AE554" s="171" t="str">
        <x:v>AI誤答レビュー</x:v>
      </x:c>
      <x:c r="AF554" s="171" t="str">
        <x:v>2026-07-12</x:v>
      </x:c>
      <x:c r="AG554" s="312" t="str">
        <x:v>第4バッチ：同一論点内の典型的誤概念へ置換。正答位置は維持。</x:v>
      </x:c>
    </x:row>
    <x:row r="555" ht="84" customHeight="1">
      <x:c r="A555" s="311" t="str">
        <x:v>LO5-074</x:v>
      </x:c>
      <x:c r="B555" s="171" t="str">
        <x:v>LO5</x:v>
      </x:c>
      <x:c r="C555" s="165" t="str">
        <x:v>情報提供・推奨・保管・サービス</x:v>
      </x:c>
      <x:c r="D555" s="165" t="str">
        <x:v>グラスへの注量</x:v>
      </x:c>
      <x:c r="E555" s="165" t="str">
        <x:v>テイスティングや上質なサービスでグラスを満杯にしない主な理由はどれか。</x:v>
      </x:c>
      <x:c r="F555" s="165" t="str">
        <x:v>空間があるとワインが発泡性へ変わる</x:v>
      </x:c>
      <x:c r="G555" s="165" t="str">
        <x:v>ワインを回す空間と香りが集まる空間を残すため</x:v>
      </x:c>
      <x:c r="H555" s="165" t="str">
        <x:v>グラスを満たすと残糖が増える</x:v>
      </x:c>
      <x:c r="I555" s="165" t="str">
        <x:v>少量にするとアルコール度が下がる</x:v>
      </x:c>
      <x:c r="J555" s="171" t="str">
        <x:v>B</x:v>
      </x:c>
      <x:c r="K555" s="165" t="str">
        <x:v>ワインを回す空間と香りが集まる空間を残すため</x:v>
      </x:c>
      <x:c r="L555" s="165" t="str">
        <x:v>正しい。適量を注ぐことで液面を広げて香りを揮発させ、こぼさずにスワリングできる。</x:v>
      </x:c>
      <x:c r="M555" s="165" t="str">
        <x:v>誤り。非発泡性ワインが自然に発泡するわけではない。</x:v>
      </x:c>
      <x:c r="N555" s="165" t="str">
        <x:v>正しい。適量を注ぐことで液面を広げて香りを揮発させ、こぼさずにスワリングできる。</x:v>
      </x:c>
      <x:c r="O555" s="165" t="str">
        <x:v>誤り。残糖は量に比例するが濃度は変わらない。</x:v>
      </x:c>
      <x:c r="P555" s="165" t="str">
        <x:v>誤り。注ぐ量でワインのアルコール濃度は変わらない。</x:v>
      </x:c>
      <x:c r="Q555" s="165" t="str">
        <x:v>サービス</x:v>
      </x:c>
      <x:c r="R555" s="165" t="str">
        <x:v>グラス</x:v>
      </x:c>
      <x:c r="S555" s="165" t="str">
        <x:v>全般</x:v>
      </x:c>
      <x:c r="T555" s="165"/>
      <x:c r="U555" s="165"/>
      <x:c r="V555" s="165"/>
      <x:c r="W555" s="165" t="str">
        <x:v>因果説明</x:v>
      </x:c>
      <x:c r="X555" s="171" t="str">
        <x:v>D1</x:v>
      </x:c>
      <x:c r="Y555" s="165" t="str">
        <x:v>グラスへの注量について関連要因を主因とみなす; グラスへの注量について関連要因を主因とみなす; グラスへの注量について関連要因を主因とみなす</x:v>
      </x:c>
      <x:c r="Z555" s="171" t="str">
        <x:v>N</x:v>
      </x:c>
      <x:c r="AA555" s="165"/>
      <x:c r="AB555" s="165" t="str">
        <x:v>オリジナル</x:v>
      </x:c>
      <x:c r="AC555" s="165" t="str">
        <x:v>公式Specificationの範囲＋ユーザー作成コーパスの論点を参考に独自作成</x:v>
      </x:c>
      <x:c r="AD555" s="171" t="str">
        <x:v>改稿済み・専門家未承認</x:v>
      </x:c>
      <x:c r="AE555" s="171" t="str">
        <x:v>AI誤答レビュー</x:v>
      </x:c>
      <x:c r="AF555" s="171" t="str">
        <x:v>2026-07-12</x:v>
      </x:c>
      <x:c r="AG555" s="312" t="str">
        <x:v>第5バッチ：使用可能な誤答を維持し、弱い誤答を因果逆転・隣接概念へ置換。正答位置は維持。</x:v>
      </x:c>
    </x:row>
    <x:row r="556" ht="84" customHeight="1">
      <x:c r="A556" s="311" t="str">
        <x:v>LO5-075</x:v>
      </x:c>
      <x:c r="B556" s="171" t="str">
        <x:v>LO5</x:v>
      </x:c>
      <x:c r="C556" s="165" t="str">
        <x:v>情報提供・推奨・保管・サービス</x:v>
      </x:c>
      <x:c r="D556" s="165" t="str">
        <x:v>グラスの磨き方</x:v>
      </x:c>
      <x:c r="E556" s="165" t="str">
        <x:v>ワイングラスを無臭の清潔な布で磨く主な理由はどれか。</x:v>
      </x:c>
      <x:c r="F556" s="165" t="str">
        <x:v>布の香料をグラスへ残すため</x:v>
      </x:c>
      <x:c r="G556" s="165" t="str">
        <x:v>グラスへ油膜を作り、泡を消すため</x:v>
      </x:c>
      <x:c r="H556" s="165" t="str">
        <x:v>水滴、指紋、洗剤臭、糸くずが外観と香りの評価を妨げるのを防ぐ</x:v>
      </x:c>
      <x:c r="I556" s="165" t="str">
        <x:v>ワインの残糖を増やすため</x:v>
      </x:c>
      <x:c r="J556" s="171" t="str">
        <x:v>C</x:v>
      </x:c>
      <x:c r="K556" s="165" t="str">
        <x:v>水滴、指紋、洗剤臭、糸くずが外観と香りの評価を妨げるのを防ぐ</x:v>
      </x:c>
      <x:c r="L556" s="165" t="str">
        <x:v>正しい。透明で無臭のグラスは色と香りを正確に示し、泡の形成にも余計な影響を与えない。</x:v>
      </x:c>
      <x:c r="M556" s="165" t="str">
        <x:v>誤り。香り付き洗剤や布はワインの香りを妨げる。</x:v>
      </x:c>
      <x:c r="N556" s="165" t="str">
        <x:v>誤り。油脂は泡を損なうため避ける。</x:v>
      </x:c>
      <x:c r="O556" s="165" t="str">
        <x:v>正しい。透明で無臭のグラスは色と香りを正確に示し、泡の形成にも余計な影響を与えない。</x:v>
      </x:c>
      <x:c r="P556" s="165" t="str">
        <x:v>誤り。グラスの清潔さは糖量を変えない。</x:v>
      </x:c>
      <x:c r="Q556" s="165" t="str">
        <x:v>サービス</x:v>
      </x:c>
      <x:c r="R556" s="165" t="str">
        <x:v>グラス管理</x:v>
      </x:c>
      <x:c r="S556" s="165" t="str">
        <x:v>全般</x:v>
      </x:c>
      <x:c r="T556" s="165"/>
      <x:c r="U556" s="165"/>
      <x:c r="V556" s="165"/>
      <x:c r="W556" s="165" t="str">
        <x:v>因果説明</x:v>
      </x:c>
      <x:c r="X556" s="171" t="str">
        <x:v>D1</x:v>
      </x:c>
      <x:c r="Y556" s="165" t="str">
        <x:v>グラスの磨き方に関する別の特徴・要因と混同; グラスの磨き方に関する別の特徴・要因と混同; グラスの磨き方に関する別の特徴・要因と混同</x:v>
      </x:c>
      <x:c r="Z556" s="171" t="str">
        <x:v>N</x:v>
      </x:c>
      <x:c r="AA556" s="165"/>
      <x:c r="AB556" s="165" t="str">
        <x:v>オリジナル</x:v>
      </x:c>
      <x:c r="AC556" s="165" t="str">
        <x:v>公式Specificationの範囲＋ユーザー作成コーパスの論点を参考に独自作成</x:v>
      </x:c>
      <x:c r="AD556" s="171" t="str">
        <x:v>改稿済み・専門家未承認</x:v>
      </x:c>
      <x:c r="AE556" s="171" t="str">
        <x:v>AI誤答レビュー</x:v>
      </x:c>
      <x:c r="AF556" s="171" t="str">
        <x:v>2026-07-12</x:v>
      </x:c>
      <x:c r="AG556" s="312" t="str">
        <x:v>最終バッチ：有効な誤答を維持し、絶対語・物理的不可能な誤答のみ置換。正答位置は維持。</x:v>
      </x:c>
    </x:row>
    <x:row r="557" ht="84" customHeight="1">
      <x:c r="A557" s="311" t="str">
        <x:v>LO5-076</x:v>
      </x:c>
      <x:c r="B557" s="171" t="str">
        <x:v>LO5</x:v>
      </x:c>
      <x:c r="C557" s="165" t="str">
        <x:v>情報提供・推奨・保管・サービス</x:v>
      </x:c>
      <x:c r="D557" s="165" t="str">
        <x:v>発泡性ワインのグラス形状</x:v>
      </x:c>
      <x:c r="E557" s="165" t="str">
        <x:v>高品質発泡性ワインに、細長すぎないチューリップ形グラスが適する主な理由はどれか。</x:v>
      </x:c>
      <x:c r="F557" s="165" t="str">
        <x:v>ワインを回す空間と香りが集まる空間を残すため</x:v>
      </x:c>
      <x:c r="G557" s="165" t="str">
        <x:v>開口部が広いほど二酸化炭素を長く保持できる</x:v>
      </x:c>
      <x:c r="H557" s="165" t="str">
        <x:v>細長い形ほど香りが外へ逃げ、自己分解香を弱くできる</x:v>
      </x:c>
      <x:c r="I557" s="165" t="str">
        <x:v>泡を保持しつつ、上部のふくらみで香りを集められる</x:v>
      </x:c>
      <x:c r="J557" s="171" t="str">
        <x:v>D</x:v>
      </x:c>
      <x:c r="K557" s="165" t="str">
        <x:v>泡を保持しつつ、上部のふくらみで香りを集められる</x:v>
      </x:c>
      <x:c r="L557" s="165" t="str">
        <x:v>正しい。細い底部が泡を保ち、適度なボウル幅が果実香と熟成香を表現する。</x:v>
      </x:c>
      <x:c r="M557" s="165" t="str">
        <x:v>誤り。これは同じ知識領域の「グラスへの注量」に当てはまる説明で、設問の「発泡性ワインのグラス形状」を最も適切に説明しない。</x:v>
      </x:c>
      <x:c r="N557" s="165" t="str">
        <x:v>誤り。広い開口部ではCO2が抜けやすい。</x:v>
      </x:c>
      <x:c r="O557" s="165" t="str">
        <x:v>誤り。高品質発泡性では香りを集めることも重要。</x:v>
      </x:c>
      <x:c r="P557" s="165" t="str">
        <x:v>正しい。細い底部が泡を保ち、適度なボウル幅が果実香と熟成香を表現する。</x:v>
      </x:c>
      <x:c r="Q557" s="165" t="str">
        <x:v>サービス</x:v>
      </x:c>
      <x:c r="R557" s="165" t="str">
        <x:v>グラス</x:v>
      </x:c>
      <x:c r="S557" s="165" t="str">
        <x:v>発泡性ワイン</x:v>
      </x:c>
      <x:c r="T557" s="165"/>
      <x:c r="U557" s="165"/>
      <x:c r="V557" s="165"/>
      <x:c r="W557" s="165" t="str">
        <x:v>比較</x:v>
      </x:c>
      <x:c r="X557" s="171" t="str">
        <x:v>D2</x:v>
      </x:c>
      <x:c r="Y557" s="165" t="str">
        <x:v>発泡性ワインのグラス形状をグラスへの注量の特徴と混同; 広い開口部ほど泡を保持する; 香りを逃がすことが目的</x:v>
      </x:c>
      <x:c r="Z557" s="171" t="str">
        <x:v>N</x:v>
      </x:c>
      <x:c r="AA557" s="165"/>
      <x:c r="AB557" s="165" t="str">
        <x:v>オリジナル</x:v>
      </x:c>
      <x:c r="AC557" s="165" t="str">
        <x:v>公式Specificationの範囲＋ユーザー作成コーパスの論点を参考に独自作成</x:v>
      </x:c>
      <x:c r="AD557" s="171" t="str">
        <x:v>改稿済み・専門家未承認</x:v>
      </x:c>
      <x:c r="AE557" s="171" t="str">
        <x:v>AI誤答レビュー</x:v>
      </x:c>
      <x:c r="AF557" s="171" t="str">
        <x:v>2026-07-12</x:v>
      </x:c>
      <x:c r="AG557" s="312" t="str">
        <x:v>第4バッチ：同一論点内の典型的誤概念へ置換。正答位置は維持。</x:v>
      </x:c>
    </x:row>
    <x:row r="558" ht="84" customHeight="1">
      <x:c r="A558" s="311" t="str">
        <x:v>LO5-077</x:v>
      </x:c>
      <x:c r="B558" s="171" t="str">
        <x:v>LO5</x:v>
      </x:c>
      <x:c r="C558" s="165" t="str">
        <x:v>情報提供・推奨・保管・サービス</x:v>
      </x:c>
      <x:c r="D558" s="165" t="str">
        <x:v>デキャンタの表面積</x:v>
      </x:c>
      <x:c r="E558" s="165" t="str">
        <x:v>若いタンニンの強い赤ワインを広いデキャンタへ移す主な理由はどれか。</x:v>
      </x:c>
      <x:c r="F558" s="165" t="str">
        <x:v>空気との接触面積を増やし、香りを開かせ、タンニンの知覚を和らげる</x:v>
      </x:c>
      <x:c r="G558" s="165" t="str">
        <x:v>ワインを澱から分離して空気へ触れさせた後、元の瓶へ戻して提供しやすくする</x:v>
      </x:c>
      <x:c r="H558" s="165" t="str">
        <x:v>デキャンタの底へタンニンを沈殿させ、物理的に除去する</x:v>
      </x:c>
      <x:c r="I558" s="165" t="str">
        <x:v>広い表面からアルコールを蒸発させ、実際のアルコール度を下げる</x:v>
      </x:c>
      <x:c r="J558" s="171" t="str">
        <x:v>A</x:v>
      </x:c>
      <x:c r="K558" s="165" t="str">
        <x:v>空気との接触面積を増やし、香りを開かせ、タンニンの知覚を和らげる</x:v>
      </x:c>
      <x:c r="L558" s="165" t="str">
        <x:v>正しい。酸素接触が閉じた香りを開き、収れん性を穏やかに感じさせる。</x:v>
      </x:c>
      <x:c r="M558" s="165" t="str">
        <x:v>正しい。酸素接触が閉じた香りを開き、収れん性を穏やかに感じさせる。</x:v>
      </x:c>
      <x:c r="N558" s="165" t="str">
        <x:v>誤り。これは同じ知識領域の「ダブル・デカンティング」に当てはまる説明で、設問の「デキャンタの表面積」を最も適切に説明しない。</x:v>
      </x:c>
      <x:c r="O558" s="165" t="str">
        <x:v>誤り。若いワインのタンニンを短時間で沈殿除去する工程ではない。</x:v>
      </x:c>
      <x:c r="P558" s="165" t="str">
        <x:v>誤り。短時間のサービスでアルコール度は大きく下がらない。</x:v>
      </x:c>
      <x:c r="Q558" s="165" t="str">
        <x:v>サービス</x:v>
      </x:c>
      <x:c r="R558" s="165" t="str">
        <x:v>デカンティング</x:v>
      </x:c>
      <x:c r="S558" s="165" t="str">
        <x:v>赤ワイン</x:v>
      </x:c>
      <x:c r="T558" s="165"/>
      <x:c r="U558" s="165"/>
      <x:c r="V558" s="165"/>
      <x:c r="W558" s="165" t="str">
        <x:v>因果説明</x:v>
      </x:c>
      <x:c r="X558" s="171" t="str">
        <x:v>D2</x:v>
      </x:c>
      <x:c r="Y558" s="165" t="str">
        <x:v>デキャンタの表面積をダブル・デカンティングの特徴と混同; デカンティングでタンニンを沈殿除去; デカンティングで脱アルコール</x:v>
      </x:c>
      <x:c r="Z558" s="171" t="str">
        <x:v>N</x:v>
      </x:c>
      <x:c r="AA558" s="165"/>
      <x:c r="AB558" s="165" t="str">
        <x:v>オリジナル</x:v>
      </x:c>
      <x:c r="AC558" s="165" t="str">
        <x:v>公式Specificationの範囲＋ユーザー作成コーパスの論点を参考に独自作成</x:v>
      </x:c>
      <x:c r="AD558" s="171" t="str">
        <x:v>改稿済み・専門家未承認</x:v>
      </x:c>
      <x:c r="AE558" s="171" t="str">
        <x:v>AI誤答レビュー</x:v>
      </x:c>
      <x:c r="AF558" s="171" t="str">
        <x:v>2026-07-12</x:v>
      </x:c>
      <x:c r="AG558" s="312" t="str">
        <x:v>第4バッチ：同一論点内の典型的誤概念へ置換。正答位置は維持。</x:v>
      </x:c>
    </x:row>
    <x:row r="559" ht="84" customHeight="1">
      <x:c r="A559" s="311" t="str">
        <x:v>LO5-078</x:v>
      </x:c>
      <x:c r="B559" s="171" t="str">
        <x:v>LO5</x:v>
      </x:c>
      <x:c r="C559" s="165" t="str">
        <x:v>情報提供・推奨・保管・サービス</x:v>
      </x:c>
      <x:c r="D559" s="165" t="str">
        <x:v>冷やしすぎた赤ワイン</x:v>
      </x:c>
      <x:c r="E559" s="165" t="str">
        <x:v>冷やしすぎた赤ワインを適温へ戻す最も適切な方法はどれか。</x:v>
      </x:c>
      <x:c r="F559" s="165" t="str">
        <x:v>沸騰した湯へ長時間浸す</x:v>
      </x:c>
      <x:c r="G559" s="165" t="str">
        <x:v>室温の環境でゆっくり温度を上げ、グラスの中でも変化を確認する</x:v>
      </x:c>
      <x:c r="H559" s="165" t="str">
        <x:v>電子レンジで急速に加熱する</x:v>
      </x:c>
      <x:c r="I559" s="165" t="str">
        <x:v>デキャンタへ移して強く振り、摩擦で短時間に温度を上げる</x:v>
      </x:c>
      <x:c r="J559" s="171" t="str">
        <x:v>B</x:v>
      </x:c>
      <x:c r="K559" s="165" t="str">
        <x:v>室温の環境でゆっくり温度を上げ、グラスの中でも変化を確認する</x:v>
      </x:c>
      <x:c r="L559" s="165" t="str">
        <x:v>正しい。急激な加熱を避け、香りと構造が開くまで自然に温度を上げる。</x:v>
      </x:c>
      <x:c r="M559" s="165" t="str">
        <x:v>誤り。過度な熱で香りと鮮度を失う。</x:v>
      </x:c>
      <x:c r="N559" s="165" t="str">
        <x:v>正しい。急激な加熱を避け、香りと構造が開くまで自然に温度を上げる。</x:v>
      </x:c>
      <x:c r="O559" s="165" t="str">
        <x:v>誤り。局所的な過熱と品質劣化のリスクがある。</x:v>
      </x:c>
      <x:c r="P559" s="165" t="str">
        <x:v>誤り。急激なエアレーションや振動ではなく、室温で穏やかに戻す。</x:v>
      </x:c>
      <x:c r="Q559" s="165" t="str">
        <x:v>サービス</x:v>
      </x:c>
      <x:c r="R559" s="165" t="str">
        <x:v>温度調整</x:v>
      </x:c>
      <x:c r="S559" s="165" t="str">
        <x:v>赤ワイン</x:v>
      </x:c>
      <x:c r="T559" s="165"/>
      <x:c r="U559" s="165"/>
      <x:c r="V559" s="165"/>
      <x:c r="W559" s="165" t="str">
        <x:v>適用</x:v>
      </x:c>
      <x:c r="X559" s="171" t="str">
        <x:v>D1</x:v>
      </x:c>
      <x:c r="Y559" s="165" t="str">
        <x:v>冷やしすぎた赤ワインについて関連要因を主因とみなす; 冷やしすぎた赤ワインについて関連要因を主因とみなす; 強く振って赤ワインを温める</x:v>
      </x:c>
      <x:c r="Z559" s="171" t="str">
        <x:v>N</x:v>
      </x:c>
      <x:c r="AA559" s="165"/>
      <x:c r="AB559" s="165" t="str">
        <x:v>オリジナル</x:v>
      </x:c>
      <x:c r="AC559" s="165" t="str">
        <x:v>公式Specificationの範囲＋ユーザー作成コーパスの論点を参考に独自作成</x:v>
      </x:c>
      <x:c r="AD559" s="171" t="str">
        <x:v>改稿済み・専門家未承認</x:v>
      </x:c>
      <x:c r="AE559" s="171" t="str">
        <x:v>AI誤答レビュー</x:v>
      </x:c>
      <x:c r="AF559" s="171" t="str">
        <x:v>2026-07-12</x:v>
      </x:c>
      <x:c r="AG559" s="312" t="str">
        <x:v>第5バッチ：使用可能な誤答を維持し、弱い誤答を因果逆転・隣接概念へ置換。正答位置は維持。</x:v>
      </x:c>
    </x:row>
    <x:row r="560" ht="84" customHeight="1">
      <x:c r="A560" s="311" t="str">
        <x:v>LO5-079</x:v>
      </x:c>
      <x:c r="B560" s="171" t="str">
        <x:v>LO5</x:v>
      </x:c>
      <x:c r="C560" s="165" t="str">
        <x:v>情報提供・推奨・保管・サービス</x:v>
      </x:c>
      <x:c r="D560" s="165" t="str">
        <x:v>急速冷却</x:v>
      </x:c>
      <x:c r="E560" s="165" t="str">
        <x:v>ボトルを氷だけでなく氷水へ入れる方が速く冷える主な理由はどれか。</x:v>
      </x:c>
      <x:c r="F560" s="165" t="str">
        <x:v>水がワインの中へ入り、直接薄めるため</x:v>
      </x:c>
      <x:c r="G560" s="165" t="str">
        <x:v>氷水でアルコールが蒸発するため</x:v>
      </x:c>
      <x:c r="H560" s="165" t="str">
        <x:v>水がボトル表面全体へ接触し、氷とボトルの間の熱移動を効率化する</x:v>
      </x:c>
      <x:c r="I560" s="165" t="str">
        <x:v>水が残糖を減らすため</x:v>
      </x:c>
      <x:c r="J560" s="171" t="str">
        <x:v>C</x:v>
      </x:c>
      <x:c r="K560" s="165" t="str">
        <x:v>水がボトル表面全体へ接触し、氷とボトルの間の熱移動を効率化する</x:v>
      </x:c>
      <x:c r="L560" s="165" t="str">
        <x:v>正しい。氷水は空気の隙間を埋め、液体の対流で熱を速く奪う。塩を加えるとさらに低温にできる。</x:v>
      </x:c>
      <x:c r="M560" s="165" t="str">
        <x:v>誤り。密閉ボトル内へ水は入らない。</x:v>
      </x:c>
      <x:c r="N560" s="165" t="str">
        <x:v>誤り。冷却ではアルコール蒸発は進まない。</x:v>
      </x:c>
      <x:c r="O560" s="165" t="str">
        <x:v>正しい。氷水は空気の隙間を埋め、液体の対流で熱を速く奪う。塩を加えるとさらに低温にできる。</x:v>
      </x:c>
      <x:c r="P560" s="165" t="str">
        <x:v>誤り。ボトル外の水はワイン成分を変えない。</x:v>
      </x:c>
      <x:c r="Q560" s="165" t="str">
        <x:v>サービス</x:v>
      </x:c>
      <x:c r="R560" s="165" t="str">
        <x:v>温度調整</x:v>
      </x:c>
      <x:c r="S560" s="165" t="str">
        <x:v>全般</x:v>
      </x:c>
      <x:c r="T560" s="165"/>
      <x:c r="U560" s="165"/>
      <x:c r="V560" s="165"/>
      <x:c r="W560" s="165" t="str">
        <x:v>因果説明</x:v>
      </x:c>
      <x:c r="X560" s="171" t="str">
        <x:v>D2</x:v>
      </x:c>
      <x:c r="Y560" s="165" t="str">
        <x:v>急速冷却に関する別の特徴・要因と混同; 急速冷却に関する別の特徴・要因と混同; 急速冷却に関する別の特徴・要因と混同</x:v>
      </x:c>
      <x:c r="Z560" s="171" t="str">
        <x:v>N</x:v>
      </x:c>
      <x:c r="AA560" s="165"/>
      <x:c r="AB560" s="165" t="str">
        <x:v>オリジナル</x:v>
      </x:c>
      <x:c r="AC560" s="165" t="str">
        <x:v>公式Specificationの範囲＋ユーザー作成コーパスの論点を参考に独自作成</x:v>
      </x:c>
      <x:c r="AD560" s="171" t="str">
        <x:v>改稿済み・専門家未承認</x:v>
      </x:c>
      <x:c r="AE560" s="171" t="str">
        <x:v>AI誤答レビュー</x:v>
      </x:c>
      <x:c r="AF560" s="171" t="str">
        <x:v>2026-07-12</x:v>
      </x:c>
      <x:c r="AG560" s="312" t="str">
        <x:v>最終バッチ：有効な誤答を維持し、絶対語・物理的不可能な誤答のみ置換。正答位置は維持。</x:v>
      </x:c>
    </x:row>
    <x:row r="561" ht="84" customHeight="1">
      <x:c r="A561" s="311" t="str">
        <x:v>LO5-080</x:v>
      </x:c>
      <x:c r="B561" s="171" t="str">
        <x:v>LO5</x:v>
      </x:c>
      <x:c r="C561" s="165" t="str">
        <x:v>情報提供・推奨・保管・サービス</x:v>
      </x:c>
      <x:c r="D561" s="165" t="str">
        <x:v>瓶口の清掃</x:v>
      </x:c>
      <x:c r="E561" s="165" t="str">
        <x:v>ワインを開栓した後、瓶口を清潔な布で拭く主な理由はどれか。</x:v>
      </x:c>
      <x:c r="F561" s="165" t="str">
        <x:v>ワインを発泡性へする</x:v>
      </x:c>
      <x:c r="G561" s="165" t="str">
        <x:v>瓶内のコルク汚染を治す</x:v>
      </x:c>
      <x:c r="H561" s="165" t="str">
        <x:v>瓶口に付いたコルク片を残し、ワインと一緒に注いで状態を確認する</x:v>
      </x:c>
      <x:c r="I561" s="165" t="str">
        <x:v>カプセルの破片、埃、カビなどがグラスへ入るのを防ぐ</x:v>
      </x:c>
      <x:c r="J561" s="171" t="str">
        <x:v>D</x:v>
      </x:c>
      <x:c r="K561" s="165" t="str">
        <x:v>カプセルの破片、埃、カビなどがグラスへ入るのを防ぐ</x:v>
      </x:c>
      <x:c r="L561" s="165" t="str">
        <x:v>正しい。外側の汚れとワインの接触を避け、衛生的で見た目のよいサービスにする。</x:v>
      </x:c>
      <x:c r="M561" s="165" t="str">
        <x:v>誤り。瓶口を拭いても二酸化炭素は生じない。</x:v>
      </x:c>
      <x:c r="N561" s="165" t="str">
        <x:v>誤り。瓶口を拭いてもワイン中のTCAは除去できない。</x:v>
      </x:c>
      <x:c r="O561" s="165" t="str">
        <x:v>誤り。瓶口の破片や汚れは除き、清潔にしてから注ぐ。</x:v>
      </x:c>
      <x:c r="P561" s="165" t="str">
        <x:v>正しい。外側の汚れとワインの接触を避け、衛生的で見た目のよいサービスにする。</x:v>
      </x:c>
      <x:c r="Q561" s="165" t="str">
        <x:v>サービス</x:v>
      </x:c>
      <x:c r="R561" s="165" t="str">
        <x:v>開栓手順</x:v>
      </x:c>
      <x:c r="S561" s="165" t="str">
        <x:v>全般</x:v>
      </x:c>
      <x:c r="T561" s="165"/>
      <x:c r="U561" s="165"/>
      <x:c r="V561" s="165"/>
      <x:c r="W561" s="165" t="str">
        <x:v>知識確認</x:v>
      </x:c>
      <x:c r="X561" s="171" t="str">
        <x:v>D1</x:v>
      </x:c>
      <x:c r="Y561" s="165" t="str">
        <x:v>瓶口の清掃について関連要因を主因とみなす; 瓶口の清掃について関連要因を主因とみなす; コルク片を残したまま注ぐ</x:v>
      </x:c>
      <x:c r="Z561" s="171" t="str">
        <x:v>N</x:v>
      </x:c>
      <x:c r="AA561" s="165"/>
      <x:c r="AB561" s="165" t="str">
        <x:v>オリジナル</x:v>
      </x:c>
      <x:c r="AC561" s="165" t="str">
        <x:v>公式Specificationの範囲＋ユーザー作成コーパスの論点を参考に独自作成</x:v>
      </x:c>
      <x:c r="AD561" s="171" t="str">
        <x:v>改稿済み・専門家未承認</x:v>
      </x:c>
      <x:c r="AE561" s="171" t="str">
        <x:v>AI誤答レビュー</x:v>
      </x:c>
      <x:c r="AF561" s="171" t="str">
        <x:v>2026-07-12</x:v>
      </x:c>
      <x:c r="AG561" s="312" t="str">
        <x:v>第5バッチ：使用可能な誤答を維持し、弱い誤答を因果逆転・隣接概念へ置換。正答位置は維持。</x:v>
      </x:c>
    </x:row>
    <x:row r="562" ht="84" customHeight="1">
      <x:c r="A562" s="311" t="str">
        <x:v>LO5-081</x:v>
      </x:c>
      <x:c r="B562" s="171" t="str">
        <x:v>LO5</x:v>
      </x:c>
      <x:c r="C562" s="165" t="str">
        <x:v>情報提供・推奨・保管・サービス</x:v>
      </x:c>
      <x:c r="D562" s="165" t="str">
        <x:v>軽いワインから重いワイン</x:v>
      </x:c>
      <x:c r="E562" s="165" t="str">
        <x:v>複数のワインを試飲する際、一般に軽いワインを力強いワインより先に出す理由はどれか。</x:v>
      </x:c>
      <x:c r="F562" s="165" t="str">
        <x:v>強いアルコール、タンニン、香りが繊細なワインの知覚を覆うのを防ぐ</x:v>
      </x:c>
      <x:c r="G562" s="165" t="str">
        <x:v>重いワインを先にすると、繊細なワインの香りを基準として比較しやすい</x:v>
      </x:c>
      <x:c r="H562" s="165" t="str">
        <x:v>軽いワインの酸が重いワインのタンニンを分解するため</x:v>
      </x:c>
      <x:c r="I562" s="165" t="str">
        <x:v>重いワインを後にすると、軽いワインの残糖が増えるため</x:v>
      </x:c>
      <x:c r="J562" s="171" t="str">
        <x:v>A</x:v>
      </x:c>
      <x:c r="K562" s="165" t="str">
        <x:v>強いアルコール、タンニン、香りが繊細なワインの知覚を覆うのを防ぐ</x:v>
      </x:c>
      <x:c r="L562" s="165" t="str">
        <x:v>正しい。強度の低いものから進めると、微妙な香味を比較しやすい。</x:v>
      </x:c>
      <x:c r="M562" s="165" t="str">
        <x:v>正しい。強度の低いものから進めると、微妙な香味を比較しやすい。</x:v>
      </x:c>
      <x:c r="N562" s="165" t="str">
        <x:v>誤り。強い香味への順応で、後の繊細なワインを感じにくくなる。</x:v>
      </x:c>
      <x:c r="O562" s="165" t="str">
        <x:v>誤り。提供順で成分は化学変化しない。</x:v>
      </x:c>
      <x:c r="P562" s="165" t="str">
        <x:v>誤り。成分ではなく感覚順応の問題。</x:v>
      </x:c>
      <x:c r="Q562" s="165" t="str">
        <x:v>サービス</x:v>
      </x:c>
      <x:c r="R562" s="165" t="str">
        <x:v>提供順序</x:v>
      </x:c>
      <x:c r="S562" s="165" t="str">
        <x:v>全般</x:v>
      </x:c>
      <x:c r="T562" s="165"/>
      <x:c r="U562" s="165"/>
      <x:c r="V562" s="165"/>
      <x:c r="W562" s="165" t="str">
        <x:v>因果説明</x:v>
      </x:c>
      <x:c r="X562" s="171" t="str">
        <x:v>D2</x:v>
      </x:c>
      <x:c r="Y562" s="165" t="str">
        <x:v>重いワインを先にする方が繊細さを評価しやすい; 軽いワインが次のタンニンを分解; 試飲順で残糖増加</x:v>
      </x:c>
      <x:c r="Z562" s="171" t="str">
        <x:v>N</x:v>
      </x:c>
      <x:c r="AA562" s="165"/>
      <x:c r="AB562" s="165" t="str">
        <x:v>オリジナル</x:v>
      </x:c>
      <x:c r="AC562" s="165" t="str">
        <x:v>公式Specificationの範囲＋ユーザー作成コーパスの論点を参考に独自作成</x:v>
      </x:c>
      <x:c r="AD562" s="171" t="str">
        <x:v>改稿済み・専門家未承認</x:v>
      </x:c>
      <x:c r="AE562" s="171" t="str">
        <x:v>AI誤答レビュー</x:v>
      </x:c>
      <x:c r="AF562" s="171" t="str">
        <x:v>2026-07-12</x:v>
      </x:c>
      <x:c r="AG562" s="312" t="str">
        <x:v>第4バッチ：同一論点内の典型的誤概念へ置換。正答位置は維持。</x:v>
      </x:c>
    </x:row>
    <x:row r="563" ht="84" customHeight="1">
      <x:c r="A563" s="311" t="str">
        <x:v>LO5-082</x:v>
      </x:c>
      <x:c r="B563" s="171" t="str">
        <x:v>LO5</x:v>
      </x:c>
      <x:c r="C563" s="165" t="str">
        <x:v>情報提供・推奨・保管・サービス</x:v>
      </x:c>
      <x:c r="D563" s="165" t="str">
        <x:v>辛口から甘口</x:v>
      </x:c>
      <x:c r="E563" s="165" t="str">
        <x:v>複数ワインの試飲で甘口ワインを辛口ワインより後に出す主な理由はどれか。</x:v>
      </x:c>
      <x:c r="F563" s="165" t="str">
        <x:v>強い甘味の後では、その後の辛口ワインがより甘く豊かに感じられる</x:v>
      </x:c>
      <x:c r="G563" s="165" t="str">
        <x:v>強い甘味が残ると、その後の辛口ワインが過度に酸っぱく薄く感じられるため</x:v>
      </x:c>
      <x:c r="H563" s="165" t="str">
        <x:v>甘口ワインの糖が口中で発酵し、次のワインへ甘味を加えるため</x:v>
      </x:c>
      <x:c r="I563" s="165" t="str">
        <x:v>辛口ワインを先にすると、甘口ワインの残糖が低く感じられるためだけ</x:v>
      </x:c>
      <x:c r="J563" s="171" t="str">
        <x:v>B</x:v>
      </x:c>
      <x:c r="K563" s="165" t="str">
        <x:v>強い甘味が残ると、その後の辛口ワインが過度に酸っぱく薄く感じられるため</x:v>
      </x:c>
      <x:c r="L563" s="165" t="str">
        <x:v>正しい。辛口から甘口へ進めることで感覚の干渉を抑える。</x:v>
      </x:c>
      <x:c r="M563" s="165" t="str">
        <x:v>誤り。甘味が口中へ残ると、後続の辛口ワインは酸っぱく薄く感じられやすい。</x:v>
      </x:c>
      <x:c r="N563" s="165" t="str">
        <x:v>正しい。辛口から甘口へ進めることで感覚の干渉を抑える。</x:v>
      </x:c>
      <x:c r="O563" s="165" t="str">
        <x:v>誤り。口中で糖が発酵して次のワインを変えるわけではない。</x:v>
      </x:c>
      <x:c r="P563" s="165" t="str">
        <x:v>誤り。主な配慮は甘味が後続の辛口を厳しく感じさせること。</x:v>
      </x:c>
      <x:c r="Q563" s="165" t="str">
        <x:v>サービス</x:v>
      </x:c>
      <x:c r="R563" s="165" t="str">
        <x:v>提供順序</x:v>
      </x:c>
      <x:c r="S563" s="165" t="str">
        <x:v>全般</x:v>
      </x:c>
      <x:c r="T563" s="165"/>
      <x:c r="U563" s="165"/>
      <x:c r="V563" s="165"/>
      <x:c r="W563" s="165" t="str">
        <x:v>因果説明</x:v>
      </x:c>
      <x:c r="X563" s="171" t="str">
        <x:v>D2</x:v>
      </x:c>
      <x:c r="Y563" s="165" t="str">
        <x:v>甘口の後で辛口がより甘く感じる; 甘口の糖が口中発酵; 順序の影響は甘口側だけ</x:v>
      </x:c>
      <x:c r="Z563" s="171" t="str">
        <x:v>N</x:v>
      </x:c>
      <x:c r="AA563" s="165"/>
      <x:c r="AB563" s="165" t="str">
        <x:v>オリジナル</x:v>
      </x:c>
      <x:c r="AC563" s="165" t="str">
        <x:v>公式Specificationの範囲＋ユーザー作成コーパスの論点を参考に独自作成</x:v>
      </x:c>
      <x:c r="AD563" s="171" t="str">
        <x:v>改稿済み・専門家未承認</x:v>
      </x:c>
      <x:c r="AE563" s="171" t="str">
        <x:v>AI誤答レビュー</x:v>
      </x:c>
      <x:c r="AF563" s="171" t="str">
        <x:v>2026-07-12</x:v>
      </x:c>
      <x:c r="AG563" s="312" t="str">
        <x:v>第4バッチ：同一論点内の典型的誤概念へ置換。正答位置は維持。</x:v>
      </x:c>
    </x:row>
    <x:row r="564" ht="84" customHeight="1">
      <x:c r="A564" s="311" t="str">
        <x:v>LO5-083</x:v>
      </x:c>
      <x:c r="B564" s="171" t="str">
        <x:v>LO5</x:v>
      </x:c>
      <x:c r="C564" s="165" t="str">
        <x:v>情報提供・推奨・保管・サービス</x:v>
      </x:c>
      <x:c r="D564" s="165" t="str">
        <x:v>繊細な香りから強い香り</x:v>
      </x:c>
      <x:c r="E564" s="165" t="str">
        <x:v>香りの繊細なワインを、非常に樽香や品種香の強いワインより先に試す主な理由はどれか。</x:v>
      </x:c>
      <x:c r="F564" s="165" t="str">
        <x:v>香りの強いワインを先に試すと、嗅覚が活性化して繊細な香りも感じやすくなる</x:v>
      </x:c>
      <x:c r="G564" s="165" t="str">
        <x:v>繊細なワインの香りが、後に飲む強いワインの香りを化学的に弱めるため</x:v>
      </x:c>
      <x:c r="H564" s="165" t="str">
        <x:v>強い香りへの嗅覚順応で、繊細な香りを感じにくくなるのを防ぐ</x:v>
      </x:c>
      <x:c r="I564" s="165" t="str">
        <x:v>強い香りのワインを後にすると、繊細なワインのアルコール度が保たれるため</x:v>
      </x:c>
      <x:c r="J564" s="171" t="str">
        <x:v>C</x:v>
      </x:c>
      <x:c r="K564" s="165" t="str">
        <x:v>強い香りへの嗅覚順応で、繊細な香りを感じにくくなるのを防ぐ</x:v>
      </x:c>
      <x:c r="L564" s="165" t="str">
        <x:v>正しい。強度の低い香りから評価すると細部を識別しやすい。</x:v>
      </x:c>
      <x:c r="M564" s="165" t="str">
        <x:v>誤り。強い香りへの順応で、後の繊細な香りは感じにくくなる。</x:v>
      </x:c>
      <x:c r="N564" s="165" t="str">
        <x:v>誤り。試飲順で香気成分を化学変化させない。</x:v>
      </x:c>
      <x:c r="O564" s="165" t="str">
        <x:v>正しい。強度の低い香りから評価すると細部を識別しやすい。</x:v>
      </x:c>
      <x:c r="P564" s="165" t="str">
        <x:v>誤り。アルコール度は順序で変わらない。</x:v>
      </x:c>
      <x:c r="Q564" s="165" t="str">
        <x:v>サービス</x:v>
      </x:c>
      <x:c r="R564" s="165" t="str">
        <x:v>提供順序</x:v>
      </x:c>
      <x:c r="S564" s="165" t="str">
        <x:v>全般</x:v>
      </x:c>
      <x:c r="T564" s="165"/>
      <x:c r="U564" s="165"/>
      <x:c r="V564" s="165"/>
      <x:c r="W564" s="165" t="str">
        <x:v>因果説明</x:v>
      </x:c>
      <x:c r="X564" s="171" t="str">
        <x:v>D1</x:v>
      </x:c>
      <x:c r="Y564" s="165" t="str">
        <x:v>強い香りを先にすると繊細香が感じやすい; 前のワインが後の香りを化学的に弱める; 試飲順でアルコール度を保つ</x:v>
      </x:c>
      <x:c r="Z564" s="171" t="str">
        <x:v>N</x:v>
      </x:c>
      <x:c r="AA564" s="165"/>
      <x:c r="AB564" s="165" t="str">
        <x:v>オリジナル</x:v>
      </x:c>
      <x:c r="AC564" s="165" t="str">
        <x:v>公式Specificationの範囲＋ユーザー作成コーパスの論点を参考に独自作成</x:v>
      </x:c>
      <x:c r="AD564" s="171" t="str">
        <x:v>改稿済み・専門家未承認</x:v>
      </x:c>
      <x:c r="AE564" s="171" t="str">
        <x:v>AI誤答レビュー</x:v>
      </x:c>
      <x:c r="AF564" s="171" t="str">
        <x:v>2026-07-12</x:v>
      </x:c>
      <x:c r="AG564" s="312" t="str">
        <x:v>第4バッチ：同一論点内の典型的誤概念へ置換。正答位置は維持。</x:v>
      </x:c>
    </x:row>
    <x:row r="565" ht="84" customHeight="1">
      <x:c r="A565" s="311" t="str">
        <x:v>LO5-084</x:v>
      </x:c>
      <x:c r="B565" s="171" t="str">
        <x:v>LO5</x:v>
      </x:c>
      <x:c r="C565" s="165" t="str">
        <x:v>情報提供・推奨・保管・サービス</x:v>
      </x:c>
      <x:c r="D565" s="165" t="str">
        <x:v>ホストへの少量試飲</x:v>
      </x:c>
      <x:c r="E565" s="165" t="str">
        <x:v>レストランで最初にホストへ少量を注ぐ主な目的はどれか。</x:v>
      </x:c>
      <x:c r="F565" s="165" t="str">
        <x:v>好みの味かどうかを確認し、好みに合わなければ無条件で交換する</x:v>
      </x:c>
      <x:c r="G565" s="165" t="str">
        <x:v>ワインの市場価格が適正かを確認してもらう</x:v>
      </x:c>
      <x:c r="H565" s="165" t="str">
        <x:v>料理との相性を最終決定し、必要なら別料理へ変更する</x:v>
      </x:c>
      <x:c r="I565" s="165" t="str">
        <x:v>注文したワインであることと、コルク汚染などの状態不良がないことを確認してもらう</x:v>
      </x:c>
      <x:c r="J565" s="171" t="str">
        <x:v>D</x:v>
      </x:c>
      <x:c r="K565" s="165" t="str">
        <x:v>注文したワインであることと、コルク汚染などの状態不良がないことを確認してもらう</x:v>
      </x:c>
      <x:c r="L565" s="165" t="str">
        <x:v>正しい。注文内容とワインの健全性を確認する。</x:v>
      </x:c>
      <x:c r="M565" s="165" t="str">
        <x:v>誤り。個人的な好みだけで交換するための試飲ではない。</x:v>
      </x:c>
      <x:c r="N565" s="165" t="str">
        <x:v>誤り。価格交渉の工程ではない。</x:v>
      </x:c>
      <x:c r="O565" s="165" t="str">
        <x:v>誤り。料理選択の変更より、ボトルの銘柄・状態確認が目的である。</x:v>
      </x:c>
      <x:c r="P565" s="165" t="str">
        <x:v>正しい。注文内容とワインの健全性を確認する。</x:v>
      </x:c>
      <x:c r="Q565" s="165" t="str">
        <x:v>サービス</x:v>
      </x:c>
      <x:c r="R565" s="165" t="str">
        <x:v>ボトルサービス</x:v>
      </x:c>
      <x:c r="S565" s="165" t="str">
        <x:v>全般</x:v>
      </x:c>
      <x:c r="T565" s="165"/>
      <x:c r="U565" s="165"/>
      <x:c r="V565" s="165"/>
      <x:c r="W565" s="165" t="str">
        <x:v>知識確認</x:v>
      </x:c>
      <x:c r="X565" s="171" t="str">
        <x:v>D1</x:v>
      </x:c>
      <x:c r="Y565" s="165" t="str">
        <x:v>ホスト試飲は好みだけで交換するため; ホスト試飲は価格確認; ホスト試飲は料理変更のため</x:v>
      </x:c>
      <x:c r="Z565" s="171" t="str">
        <x:v>N</x:v>
      </x:c>
      <x:c r="AA565" s="165"/>
      <x:c r="AB565" s="165" t="str">
        <x:v>オリジナル</x:v>
      </x:c>
      <x:c r="AC565" s="165" t="str">
        <x:v>公式Specificationの範囲＋ユーザー作成コーパスの論点を参考に独自作成</x:v>
      </x:c>
      <x:c r="AD565" s="171" t="str">
        <x:v>改稿済み・専門家未承認</x:v>
      </x:c>
      <x:c r="AE565" s="171" t="str">
        <x:v>AI誤答レビュー</x:v>
      </x:c>
      <x:c r="AF565" s="171" t="str">
        <x:v>2026-07-12</x:v>
      </x:c>
      <x:c r="AG565" s="312" t="str">
        <x:v>第3バッチ：同一論点内の典型的誤概念へ置換。正答位置は維持。</x:v>
      </x:c>
    </x:row>
    <x:row r="566" ht="84" customHeight="1">
      <x:c r="A566" s="311" t="str">
        <x:v>LO5-085</x:v>
      </x:c>
      <x:c r="B566" s="171" t="str">
        <x:v>LO5</x:v>
      </x:c>
      <x:c r="C566" s="165" t="str">
        <x:v>情報提供・推奨・保管・サービス</x:v>
      </x:c>
      <x:c r="D566" s="165" t="str">
        <x:v>ボトル差</x:v>
      </x:c>
      <x:c r="E566" s="165" t="str">
        <x:v>同じワイン、同じヴィンテージでもボトルごとに状態が異なる可能性がある主な理由はどれか。</x:v>
      </x:c>
      <x:c r="F566" s="165" t="str">
        <x:v>栓の密閉性、保管履歴、微量の酸素侵入、汚染に差があるため</x:v>
      </x:c>
      <x:c r="G566" s="165" t="str">
        <x:v>温度、光、振動、栓の状態が熟成速度と品質へ大きく影響するため</x:v>
      </x:c>
      <x:c r="H566" s="165" t="str">
        <x:v>同じロットでも各瓶の残糖が充填後に異なる量だけ増えるため</x:v>
      </x:c>
      <x:c r="I566" s="165" t="str">
        <x:v>ラベルやカプセルの色が、瓶内熟成速度を変えるため</x:v>
      </x:c>
      <x:c r="J566" s="171" t="str">
        <x:v>A</x:v>
      </x:c>
      <x:c r="K566" s="165" t="str">
        <x:v>栓の密閉性、保管履歴、微量の酸素侵入、汚染に差があるため</x:v>
      </x:c>
      <x:c r="L566" s="165" t="str">
        <x:v>正しい。特に天然コルクと熟成ワインでは、瓶単位の状態差が生じ得る。</x:v>
      </x:c>
      <x:c r="M566" s="165" t="str">
        <x:v>正しい。特に天然コルクと熟成ワインでは、瓶単位の状態差が生じ得る。</x:v>
      </x:c>
      <x:c r="N566" s="165" t="str">
        <x:v>誤り。これは同じ知識領域の「来歴」に当てはまる説明で、設問の「ボトル差」を最も適切に説明しない。</x:v>
      </x:c>
      <x:c r="O566" s="165" t="str">
        <x:v>誤り。瓶内で糖が生成されるわけではない。</x:v>
      </x:c>
      <x:c r="P566" s="165" t="str">
        <x:v>誤り。外装色は通常、内容物の熟成を決めない。</x:v>
      </x:c>
      <x:c r="Q566" s="165" t="str">
        <x:v>保管</x:v>
      </x:c>
      <x:c r="R566" s="165" t="str">
        <x:v>ボトル差</x:v>
      </x:c>
      <x:c r="S566" s="165" t="str">
        <x:v>全般</x:v>
      </x:c>
      <x:c r="T566" s="165"/>
      <x:c r="U566" s="165"/>
      <x:c r="V566" s="165"/>
      <x:c r="W566" s="165" t="str">
        <x:v>因果説明</x:v>
      </x:c>
      <x:c r="X566" s="171" t="str">
        <x:v>D2</x:v>
      </x:c>
      <x:c r="Y566" s="165" t="str">
        <x:v>ボトル差を来歴の特徴と混同; 瓶ごとに残糖が増える; ラベル色で瓶差が生じる</x:v>
      </x:c>
      <x:c r="Z566" s="171" t="str">
        <x:v>N</x:v>
      </x:c>
      <x:c r="AA566" s="165"/>
      <x:c r="AB566" s="165" t="str">
        <x:v>オリジナル</x:v>
      </x:c>
      <x:c r="AC566" s="165" t="str">
        <x:v>公式Specificationの範囲＋ユーザー作成コーパスの論点を参考に独自作成</x:v>
      </x:c>
      <x:c r="AD566" s="171" t="str">
        <x:v>改稿済み・専門家未承認</x:v>
      </x:c>
      <x:c r="AE566" s="171" t="str">
        <x:v>AI誤答レビュー</x:v>
      </x:c>
      <x:c r="AF566" s="171" t="str">
        <x:v>2026-07-12</x:v>
      </x:c>
      <x:c r="AG566" s="312" t="str">
        <x:v>第4バッチ：同一論点内の典型的誤概念へ置換。正答位置は維持。</x:v>
      </x:c>
    </x:row>
    <x:row r="567" ht="84" customHeight="1">
      <x:c r="A567" s="311" t="str">
        <x:v>LO5-086</x:v>
      </x:c>
      <x:c r="B567" s="171" t="str">
        <x:v>LO5</x:v>
      </x:c>
      <x:c r="C567" s="165" t="str">
        <x:v>情報提供・推奨・保管・サービス</x:v>
      </x:c>
      <x:c r="D567" s="165" t="str">
        <x:v>TCAの知覚差</x:v>
      </x:c>
      <x:c r="E567" s="165" t="str">
        <x:v>同じコルク汚染ワインでも、人によって不快臭の感じ方が異なる主な理由はどれか。</x:v>
      </x:c>
      <x:c r="F567" s="165" t="str">
        <x:v>果実濃度の高い高価なワインでは、TCAが果実香へ取り込まれて知覚されにくくなる</x:v>
      </x:c>
      <x:c r="G567" s="165" t="str">
        <x:v>TCAへの感覚閾値と経験に個人差があるため</x:v>
      </x:c>
      <x:c r="H567" s="165" t="str">
        <x:v>TCAの濃度が、グラスを持つ人によって変化するため</x:v>
      </x:c>
      <x:c r="I567" s="165" t="str">
        <x:v>高価なワインでは果実濃度がTCAを化学的に分解するため</x:v>
      </x:c>
      <x:c r="J567" s="171" t="str">
        <x:v>B</x:v>
      </x:c>
      <x:c r="K567" s="165" t="str">
        <x:v>TCAへの感覚閾値と経験に個人差があるため</x:v>
      </x:c>
      <x:c r="L567" s="165" t="str">
        <x:v>正しい。低濃度では果実香の抑制として現れ、感受性の高い人ほど早く認識する。</x:v>
      </x:c>
      <x:c r="M567" s="165" t="str">
        <x:v>誤り。果実濃度や価格がTCAを除去するわけではなく、知覚差は主に個人の感覚閾値と経験による。</x:v>
      </x:c>
      <x:c r="N567" s="165" t="str">
        <x:v>正しい。低濃度では果実香の抑制として現れ、感受性の高い人ほど早く認識する。</x:v>
      </x:c>
      <x:c r="O567" s="165" t="str">
        <x:v>誤り。ワイン中濃度は同じでも知覚閾値が異なる。</x:v>
      </x:c>
      <x:c r="P567" s="165" t="str">
        <x:v>誤り。果実濃度がTCAを除去するわけではない。</x:v>
      </x:c>
      <x:c r="Q567" s="165" t="str">
        <x:v>欠陥</x:v>
      </x:c>
      <x:c r="R567" s="165" t="str">
        <x:v>コルク汚染</x:v>
      </x:c>
      <x:c r="S567" s="165" t="str">
        <x:v>全般</x:v>
      </x:c>
      <x:c r="T567" s="165"/>
      <x:c r="U567" s="165"/>
      <x:c r="V567" s="165"/>
      <x:c r="W567" s="165" t="str">
        <x:v>因果説明</x:v>
      </x:c>
      <x:c r="X567" s="171" t="str">
        <x:v>D2</x:v>
      </x:c>
      <x:c r="Y567" s="165" t="str">
        <x:v>高い果実濃度がTCAを無効化する; TCA濃度が人によって変わる; 高級ワインはTCAを分解する</x:v>
      </x:c>
      <x:c r="Z567" s="171" t="str">
        <x:v>N</x:v>
      </x:c>
      <x:c r="AA567" s="165"/>
      <x:c r="AB567" s="165" t="str">
        <x:v>オリジナル</x:v>
      </x:c>
      <x:c r="AC567" s="165" t="str">
        <x:v>公式Specificationの範囲＋ユーザー作成コーパスの論点を参考に独自作成</x:v>
      </x:c>
      <x:c r="AD567" s="171" t="str">
        <x:v>改稿済み・専門家未承認</x:v>
      </x:c>
      <x:c r="AE567" s="171" t="str">
        <x:v>AI誤答レビュー</x:v>
      </x:c>
      <x:c r="AF567" s="171" t="str">
        <x:v>2026-07-12</x:v>
      </x:c>
      <x:c r="AG567" s="312" t="str">
        <x:v>第4バッチ：同一論点内の典型的誤概念へ置換。正答位置は維持。</x:v>
      </x:c>
    </x:row>
    <x:row r="568" ht="84" customHeight="1">
      <x:c r="A568" s="311" t="str">
        <x:v>LO5-087</x:v>
      </x:c>
      <x:c r="B568" s="171" t="str">
        <x:v>LO5</x:v>
      </x:c>
      <x:c r="C568" s="165" t="str">
        <x:v>情報提供・推奨・保管・サービス</x:v>
      </x:c>
      <x:c r="D568" s="165" t="str">
        <x:v>ライトストライクへの対応</x:v>
      </x:c>
      <x:c r="E568" s="165" t="str">
        <x:v>透明瓶の白または発泡性ワインにキャベツを思わせる光劣化臭がある場合、最も適切な対応はどれか。</x:v>
      </x:c>
      <x:c r="F568" s="165" t="str">
        <x:v>直射日光へさらに当てて香りを消す</x:v>
      </x:c>
      <x:c r="G568" s="165" t="str">
        <x:v>砂糖を加えて欠陥を除去する</x:v>
      </x:c>
      <x:c r="H568" s="165" t="str">
        <x:v>欠陥の可能性を確認し、顧客へ提供せず代替ボトルを用意する</x:v>
      </x:c>
      <x:c r="I568" s="165" t="str">
        <x:v>高温で煮沸する</x:v>
      </x:c>
      <x:c r="J568" s="171" t="str">
        <x:v>C</x:v>
      </x:c>
      <x:c r="K568" s="165" t="str">
        <x:v>欠陥の可能性を確認し、顧客へ提供せず代替ボトルを用意する</x:v>
      </x:c>
      <x:c r="L568" s="165" t="str">
        <x:v>正しい。光による硫黄系化合物の発生は空気接触で確実に治るとは限らず、状態不良として扱う。</x:v>
      </x:c>
      <x:c r="M568" s="165" t="str">
        <x:v>誤り。光曝露は劣化を悪化させる。</x:v>
      </x:c>
      <x:c r="N568" s="165" t="str">
        <x:v>誤り。甘味で化合物は消えない。</x:v>
      </x:c>
      <x:c r="O568" s="165" t="str">
        <x:v>正しい。光による硫黄系化合物の発生は空気接触で確実に治るとは限らず、状態不良として扱う。</x:v>
      </x:c>
      <x:c r="P568" s="165" t="str">
        <x:v>誤り。品質をさらに損ない、サービスとして不適切である。</x:v>
      </x:c>
      <x:c r="Q568" s="165" t="str">
        <x:v>欠陥</x:v>
      </x:c>
      <x:c r="R568" s="165" t="str">
        <x:v>光による劣化</x:v>
      </x:c>
      <x:c r="S568" s="165" t="str">
        <x:v>白・発泡性ワイン</x:v>
      </x:c>
      <x:c r="T568" s="165"/>
      <x:c r="U568" s="165"/>
      <x:c r="V568" s="165"/>
      <x:c r="W568" s="165" t="str">
        <x:v>判断</x:v>
      </x:c>
      <x:c r="X568" s="171" t="str">
        <x:v>D3</x:v>
      </x:c>
      <x:c r="Y568" s="165" t="str">
        <x:v>ライトストライクへの対応に関する別の特徴・要因と混同; ライトストライクへの対応に関する別の特徴・要因と混同; ライトストライクへの対応に関する別の特徴・要因と混同</x:v>
      </x:c>
      <x:c r="Z568" s="171" t="str">
        <x:v>N</x:v>
      </x:c>
      <x:c r="AA568" s="165"/>
      <x:c r="AB568" s="165" t="str">
        <x:v>オリジナル</x:v>
      </x:c>
      <x:c r="AC568" s="165" t="str">
        <x:v>公式Specificationの範囲＋ユーザー作成コーパスの論点を参考に独自作成</x:v>
      </x:c>
      <x:c r="AD568" s="171" t="str">
        <x:v>改稿済み・専門家未承認</x:v>
      </x:c>
      <x:c r="AE568" s="171" t="str">
        <x:v>AI誤答レビュー</x:v>
      </x:c>
      <x:c r="AF568" s="171" t="str">
        <x:v>2026-07-12</x:v>
      </x:c>
      <x:c r="AG568" s="312" t="str">
        <x:v>最終バッチ：有効な誤答を維持し、絶対語・物理的不可能な誤答のみ置換。正答位置は維持。</x:v>
      </x:c>
    </x:row>
    <x:row r="569" ht="84" customHeight="1">
      <x:c r="A569" s="311" t="str">
        <x:v>LO5-088</x:v>
      </x:c>
      <x:c r="B569" s="171" t="str">
        <x:v>LO5</x:v>
      </x:c>
      <x:c r="C569" s="165" t="str">
        <x:v>情報提供・推奨・保管・サービス</x:v>
      </x:c>
      <x:c r="D569" s="165" t="str">
        <x:v>熱損傷の徴候</x:v>
      </x:c>
      <x:c r="E569" s="165" t="str">
        <x:v>ボトルが高温にさらされた可能性を示す徴候として最も適切なものはどれか。</x:v>
      </x:c>
      <x:c r="F569" s="165" t="str">
        <x:v>ラベルが青色であることだけ</x:v>
      </x:c>
      <x:c r="G569" s="165" t="str">
        <x:v>酒石酸結晶があることだけ</x:v>
      </x:c>
      <x:c r="H569" s="165" t="str">
        <x:v>天然コルクを使用していることだけ</x:v>
      </x:c>
      <x:c r="I569" s="165" t="str">
        <x:v>栓の押し上がり、液漏れ、低い液面、加熱した果実や酸化を思わせる風味</x:v>
      </x:c>
      <x:c r="J569" s="171" t="str">
        <x:v>D</x:v>
      </x:c>
      <x:c r="K569" s="165" t="str">
        <x:v>栓の押し上がり、液漏れ、低い液面、加熱した果実や酸化を思わせる風味</x:v>
      </x:c>
      <x:c r="L569" s="165" t="str">
        <x:v>正しい。熱で液体と気体が膨張し、栓から漏れたり、熟成反応が急速に進んだりする。</x:v>
      </x:c>
      <x:c r="M569" s="165" t="str">
        <x:v>誤り。ラベル色は熱損傷の証拠ではない。</x:v>
      </x:c>
      <x:c r="N569" s="165" t="str">
        <x:v>誤り。酒石は低温で生じる無害な結晶である。</x:v>
      </x:c>
      <x:c r="O569" s="165" t="str">
        <x:v>誤り。栓の種類だけでは熱損傷を示さない。</x:v>
      </x:c>
      <x:c r="P569" s="165" t="str">
        <x:v>正しい。熱で液体と気体が膨張し、栓から漏れたり、熟成反応が急速に進んだりする。</x:v>
      </x:c>
      <x:c r="Q569" s="165" t="str">
        <x:v>欠陥</x:v>
      </x:c>
      <x:c r="R569" s="165" t="str">
        <x:v>熱による劣化</x:v>
      </x:c>
      <x:c r="S569" s="165" t="str">
        <x:v>全般</x:v>
      </x:c>
      <x:c r="T569" s="165"/>
      <x:c r="U569" s="165"/>
      <x:c r="V569" s="165"/>
      <x:c r="W569" s="165" t="str">
        <x:v>統合判断</x:v>
      </x:c>
      <x:c r="X569" s="171" t="str">
        <x:v>D2</x:v>
      </x:c>
      <x:c r="Y569" s="165" t="str">
        <x:v>熱損傷の徴候に関する別の特徴・要因と混同; 熱損傷の徴候に関する別の特徴・要因と混同; 熱損傷の徴候に関する別の特徴・要因と混同</x:v>
      </x:c>
      <x:c r="Z569" s="171" t="str">
        <x:v>N</x:v>
      </x:c>
      <x:c r="AA569" s="165"/>
      <x:c r="AB569" s="165" t="str">
        <x:v>オリジナル</x:v>
      </x:c>
      <x:c r="AC569" s="165" t="str">
        <x:v>公式Specificationの範囲＋ユーザー作成コーパスの論点を参考に独自作成</x:v>
      </x:c>
      <x:c r="AD569" s="171" t="str">
        <x:v>改稿済み・専門家未承認</x:v>
      </x:c>
      <x:c r="AE569" s="171" t="str">
        <x:v>AI誤答レビュー</x:v>
      </x:c>
      <x:c r="AF569" s="171" t="str">
        <x:v>2026-07-12</x:v>
      </x:c>
      <x:c r="AG569" s="312" t="str">
        <x:v>最終バッチ：有効な誤答を維持し、絶対語・物理的不可能な誤答のみ置換。正答位置は維持。</x:v>
      </x:c>
    </x:row>
    <x:row r="570" ht="84" customHeight="1">
      <x:c r="A570" s="311" t="str">
        <x:v>LO5-089</x:v>
      </x:c>
      <x:c r="B570" s="171" t="str">
        <x:v>LO5</x:v>
      </x:c>
      <x:c r="C570" s="165" t="str">
        <x:v>情報提供・推奨・保管・サービス</x:v>
      </x:c>
      <x:c r="D570" s="165" t="str">
        <x:v>瓶内再発酵</x:v>
      </x:c>
      <x:c r="E570" s="165" t="str">
        <x:v>辛口の非発泡性ワインに予期しない泡、濁り、酵母臭がある場合に考えられる問題はどれか。</x:v>
      </x:c>
      <x:c r="F570" s="165" t="str">
        <x:v>残糖と生きた酵母による瓶内再発酵</x:v>
      </x:c>
      <x:c r="G570" s="165" t="str">
        <x:v>酢や除光液を思わせる刺激的な香り</x:v>
      </x:c>
      <x:c r="H570" s="165" t="str">
        <x:v>酒石酸塩が溶けて二酸化炭素を発生させた</x:v>
      </x:c>
      <x:c r="I570" s="165" t="str">
        <x:v>コルク汚染が酵母臭と泡を作った</x:v>
      </x:c>
      <x:c r="J570" s="171" t="str">
        <x:v>A</x:v>
      </x:c>
      <x:c r="K570" s="165" t="str">
        <x:v>残糖と生きた酵母による瓶内再発酵</x:v>
      </x:c>
      <x:c r="L570" s="165" t="str">
        <x:v>正しい。微生物安定化不足で発酵が再開し、CO2と沈殿を生じる。</x:v>
      </x:c>
      <x:c r="M570" s="165" t="str">
        <x:v>正しい。微生物安定化不足で発酵が再開し、CO2と沈殿を生じる。</x:v>
      </x:c>
      <x:c r="N570" s="165" t="str">
        <x:v>誤り。これは同じ知識領域の「揮発性の酸」に当てはまる説明で、設問の「瓶内再発酵」を最も適切に説明しない。</x:v>
      </x:c>
      <x:c r="O570" s="165" t="str">
        <x:v>誤り。酒石はCO2を生成しない。</x:v>
      </x:c>
      <x:c r="P570" s="165" t="str">
        <x:v>誤り。TCAは湿った段ボール香を与えるが発泡しない。</x:v>
      </x:c>
      <x:c r="Q570" s="165" t="str">
        <x:v>欠陥</x:v>
      </x:c>
      <x:c r="R570" s="165" t="str">
        <x:v>再発酵</x:v>
      </x:c>
      <x:c r="S570" s="165" t="str">
        <x:v>非発泡性ワイン</x:v>
      </x:c>
      <x:c r="T570" s="165"/>
      <x:c r="U570" s="165"/>
      <x:c r="V570" s="165"/>
      <x:c r="W570" s="165" t="str">
        <x:v>因果説明</x:v>
      </x:c>
      <x:c r="X570" s="171" t="str">
        <x:v>D2</x:v>
      </x:c>
      <x:c r="Y570" s="165" t="str">
        <x:v>瓶内再発酵を揮発性の酸の特徴と混同; 酒石がCO2を発生; TCAが再発酵を起こす</x:v>
      </x:c>
      <x:c r="Z570" s="171" t="str">
        <x:v>N</x:v>
      </x:c>
      <x:c r="AA570" s="165"/>
      <x:c r="AB570" s="165" t="str">
        <x:v>オリジナル</x:v>
      </x:c>
      <x:c r="AC570" s="165" t="str">
        <x:v>公式Specificationの範囲＋ユーザー作成コーパスの論点を参考に独自作成</x:v>
      </x:c>
      <x:c r="AD570" s="171" t="str">
        <x:v>改稿済み・専門家未承認</x:v>
      </x:c>
      <x:c r="AE570" s="171" t="str">
        <x:v>AI誤答レビュー</x:v>
      </x:c>
      <x:c r="AF570" s="171" t="str">
        <x:v>2026-07-12</x:v>
      </x:c>
      <x:c r="AG570" s="312" t="str">
        <x:v>第4バッチ：同一論点内の典型的誤概念へ置換。正答位置は維持。</x:v>
      </x:c>
    </x:row>
    <x:row r="571" ht="84" customHeight="1">
      <x:c r="A571" s="311" t="str">
        <x:v>LO5-090</x:v>
      </x:c>
      <x:c r="B571" s="171" t="str">
        <x:v>LO5</x:v>
      </x:c>
      <x:c r="C571" s="165" t="str">
        <x:v>情報提供・推奨・保管・サービス</x:v>
      </x:c>
      <x:c r="D571" s="165" t="str">
        <x:v>酒石酸結晶</x:v>
      </x:c>
      <x:c r="E571" s="165" t="str">
        <x:v>白ワインの瓶底やコルクに無色の結晶が見られる場合、最も適切な説明はどれか。</x:v>
      </x:c>
      <x:c r="F571" s="165" t="str">
        <x:v>瓶内のガラス成分が溶け、冷却時に再結晶したもの</x:v>
      </x:c>
      <x:c r="G571" s="165" t="str">
        <x:v>低温で析出した酒石酸塩で、通常は無害で味の欠陥ではない</x:v>
      </x:c>
      <x:c r="H571" s="165" t="str">
        <x:v>低温でタンパク質が透明な結晶へ変化したもの</x:v>
      </x:c>
      <x:c r="I571" s="165" t="str">
        <x:v>残糖が結晶化したもので、ワインの甘味が低下している証拠</x:v>
      </x:c>
      <x:c r="J571" s="171" t="str">
        <x:v>B</x:v>
      </x:c>
      <x:c r="K571" s="165" t="str">
        <x:v>低温で析出した酒石酸塩で、通常は無害で味の欠陥ではない</x:v>
      </x:c>
      <x:c r="L571" s="165" t="str">
        <x:v>正しい。酒石酸とカリウム等が結晶化した自然な沈殿である。</x:v>
      </x:c>
      <x:c r="M571" s="165" t="str">
        <x:v>誤り。通常はガラスではなく、ブドウ由来の酒石酸とカリウム等の結晶である。</x:v>
      </x:c>
      <x:c r="N571" s="165" t="str">
        <x:v>正しい。酒石酸とカリウム等が結晶化した自然な沈殿である。</x:v>
      </x:c>
      <x:c r="O571" s="165" t="str">
        <x:v>誤り。タンパク質不安定は通常、霞や混濁として現れ、硬い透明結晶は酒石酸塩である。</x:v>
      </x:c>
      <x:c r="P571" s="165" t="str">
        <x:v>誤り。糖結晶ではない。</x:v>
      </x:c>
      <x:c r="Q571" s="165" t="str">
        <x:v>品質判断</x:v>
      </x:c>
      <x:c r="R571" s="165" t="str">
        <x:v>酒石酸塩</x:v>
      </x:c>
      <x:c r="S571" s="165" t="str">
        <x:v>白ワイン</x:v>
      </x:c>
      <x:c r="T571" s="165"/>
      <x:c r="U571" s="165"/>
      <x:c r="V571" s="165"/>
      <x:c r="W571" s="165" t="str">
        <x:v>知識確認</x:v>
      </x:c>
      <x:c r="X571" s="171" t="str">
        <x:v>D1</x:v>
      </x:c>
      <x:c r="Y571" s="165" t="str">
        <x:v>酒石酸塩を溶けたガラスと混同; 酒石酸塩をタンパク質結晶と混同; 酒石を糖結晶と混同</x:v>
      </x:c>
      <x:c r="Z571" s="171" t="str">
        <x:v>N</x:v>
      </x:c>
      <x:c r="AA571" s="165"/>
      <x:c r="AB571" s="165" t="str">
        <x:v>オリジナル</x:v>
      </x:c>
      <x:c r="AC571" s="165" t="str">
        <x:v>公式Specificationの範囲＋ユーザー作成コーパスの論点を参考に独自作成</x:v>
      </x:c>
      <x:c r="AD571" s="171" t="str">
        <x:v>改稿済み・専門家未承認</x:v>
      </x:c>
      <x:c r="AE571" s="171" t="str">
        <x:v>AI誤答レビュー</x:v>
      </x:c>
      <x:c r="AF571" s="171" t="str">
        <x:v>2026-07-12</x:v>
      </x:c>
      <x:c r="AG571" s="312" t="str">
        <x:v>第4バッチ：同一論点内の典型的誤概念へ置換。正答位置は維持。</x:v>
      </x:c>
    </x:row>
    <x:row r="572" ht="84" customHeight="1">
      <x:c r="A572" s="311" t="str">
        <x:v>LO5-091</x:v>
      </x:c>
      <x:c r="B572" s="171" t="str">
        <x:v>LO5</x:v>
      </x:c>
      <x:c r="C572" s="165" t="str">
        <x:v>情報提供・推奨・保管・サービス</x:v>
      </x:c>
      <x:c r="D572" s="165" t="str">
        <x:v>熟成赤の澱</x:v>
      </x:c>
      <x:c r="E572" s="165" t="str">
        <x:v>熟成した赤ワインの瓶底に細かな黒褐色の澱がある場合、最も適切な判断はどれか。</x:v>
      </x:c>
      <x:c r="F572" s="165" t="str">
        <x:v>意図的な最小処理の結果か欠陥かを、香り、味、再発酵の徴候と合わせて判断する</x:v>
      </x:c>
      <x:c r="G572" s="165" t="str">
        <x:v>瓶内再発酵で酵母が黒く変色したため、廃棄が必要</x:v>
      </x:c>
      <x:c r="H572" s="165" t="str">
        <x:v>色素とタンニンが熟成中に重合して沈殿した可能性が高く、通常は欠陥ではない</x:v>
      </x:c>
      <x:c r="I572" s="165" t="str">
        <x:v>残糖が結晶化したため、甘口ワインでのみ生じる</x:v>
      </x:c>
      <x:c r="J572" s="171" t="str">
        <x:v>C</x:v>
      </x:c>
      <x:c r="K572" s="165" t="str">
        <x:v>色素とタンニンが熟成中に重合して沈殿した可能性が高く、通常は欠陥ではない</x:v>
      </x:c>
      <x:c r="L572" s="165" t="str">
        <x:v>正しい。瓶を静置し、澱を分離して提供できる自然な熟成現象である。</x:v>
      </x:c>
      <x:c r="M572" s="165" t="str">
        <x:v>誤り。これは同じ知識領域の「無濾過ワインの濁り」に当てはまる説明で、設問の「熟成赤の澱」を最も適切に説明しない。</x:v>
      </x:c>
      <x:c r="N572" s="165" t="str">
        <x:v>誤り。熟成赤の黒褐色澱は色素・タンニンであることが多い。</x:v>
      </x:c>
      <x:c r="O572" s="165" t="str">
        <x:v>正しい。瓶を静置し、澱を分離して提供できる自然な熟成現象である。</x:v>
      </x:c>
      <x:c r="P572" s="165" t="str">
        <x:v>誤り。主に色素とタンニンの沈殿。</x:v>
      </x:c>
      <x:c r="Q572" s="165" t="str">
        <x:v>品質判断</x:v>
      </x:c>
      <x:c r="R572" s="165" t="str">
        <x:v>沈殿</x:v>
      </x:c>
      <x:c r="S572" s="165" t="str">
        <x:v>赤ワイン</x:v>
      </x:c>
      <x:c r="T572" s="165"/>
      <x:c r="U572" s="165"/>
      <x:c r="V572" s="165"/>
      <x:c r="W572" s="165" t="str">
        <x:v>判断</x:v>
      </x:c>
      <x:c r="X572" s="171" t="str">
        <x:v>D1</x:v>
      </x:c>
      <x:c r="Y572" s="165" t="str">
        <x:v>熟成赤の澱を無濾過ワインの濁りの特徴と混同; 熟成赤の澱を再発酵酵母と混同; 熟成赤の澱は糖結晶</x:v>
      </x:c>
      <x:c r="Z572" s="171" t="str">
        <x:v>N</x:v>
      </x:c>
      <x:c r="AA572" s="165"/>
      <x:c r="AB572" s="165" t="str">
        <x:v>オリジナル</x:v>
      </x:c>
      <x:c r="AC572" s="165" t="str">
        <x:v>公式Specificationの範囲＋ユーザー作成コーパスの論点を参考に独自作成</x:v>
      </x:c>
      <x:c r="AD572" s="171" t="str">
        <x:v>改稿済み・専門家未承認</x:v>
      </x:c>
      <x:c r="AE572" s="171" t="str">
        <x:v>AI誤答レビュー</x:v>
      </x:c>
      <x:c r="AF572" s="171" t="str">
        <x:v>2026-07-12</x:v>
      </x:c>
      <x:c r="AG572" s="312" t="str">
        <x:v>第4バッチ：同一論点内の典型的誤概念へ置換。正答位置は維持。</x:v>
      </x:c>
    </x:row>
    <x:row r="573" ht="84" customHeight="1">
      <x:c r="A573" s="311" t="str">
        <x:v>LO5-092</x:v>
      </x:c>
      <x:c r="B573" s="171" t="str">
        <x:v>LO5</x:v>
      </x:c>
      <x:c r="C573" s="165" t="str">
        <x:v>情報提供・推奨・保管・サービス</x:v>
      </x:c>
      <x:c r="D573" s="165" t="str">
        <x:v>タンパク質混濁</x:v>
      </x:c>
      <x:c r="E573" s="165" t="str">
        <x:v>白ワインが温かい場所で白い霞のように濁った場合に考えられる原因はどれか。</x:v>
      </x:c>
      <x:c r="F573" s="165" t="str">
        <x:v>タンニンが黒く結晶化した</x:v>
      </x:c>
      <x:c r="G573" s="165" t="str">
        <x:v>二酸化炭素が固体化した</x:v>
      </x:c>
      <x:c r="H573" s="165" t="str">
        <x:v>ラベルのインクがワインへ溶けた</x:v>
      </x:c>
      <x:c r="I573" s="165" t="str">
        <x:v>不安定なタンパク質が熱で凝集した</x:v>
      </x:c>
      <x:c r="J573" s="171" t="str">
        <x:v>D</x:v>
      </x:c>
      <x:c r="K573" s="165" t="str">
        <x:v>不安定なタンパク質が熱で凝集した</x:v>
      </x:c>
      <x:c r="L573" s="165" t="str">
        <x:v>正しい。瓶詰め前のタンパク質安定化が不十分だと、温度上昇でタンパク質が可視化する。</x:v>
      </x:c>
      <x:c r="M573" s="165" t="str">
        <x:v>誤り。白い霞はタンパク質混濁の可能性がある。</x:v>
      </x:c>
      <x:c r="N573" s="165" t="str">
        <x:v>誤り。CO2は白い霞として沈殿しない。</x:v>
      </x:c>
      <x:c r="O573" s="165" t="str">
        <x:v>誤り。密閉瓶内の混濁を通常説明しない。</x:v>
      </x:c>
      <x:c r="P573" s="165" t="str">
        <x:v>正しい。瓶詰め前のタンパク質安定化が不十分だと、温度上昇でタンパク質が可視化する。</x:v>
      </x:c>
      <x:c r="Q573" s="165" t="str">
        <x:v>欠陥</x:v>
      </x:c>
      <x:c r="R573" s="165" t="str">
        <x:v>混濁</x:v>
      </x:c>
      <x:c r="S573" s="165" t="str">
        <x:v>白ワイン</x:v>
      </x:c>
      <x:c r="T573" s="165"/>
      <x:c r="U573" s="165"/>
      <x:c r="V573" s="165"/>
      <x:c r="W573" s="165" t="str">
        <x:v>因果説明</x:v>
      </x:c>
      <x:c r="X573" s="171" t="str">
        <x:v>D2</x:v>
      </x:c>
      <x:c r="Y573" s="165" t="str">
        <x:v>タンパク質混濁に関する別の特徴・要因と混同; タンパク質混濁に関する別の特徴・要因と混同; タンパク質混濁に関する別の特徴・要因と混同</x:v>
      </x:c>
      <x:c r="Z573" s="171" t="str">
        <x:v>N</x:v>
      </x:c>
      <x:c r="AA573" s="165"/>
      <x:c r="AB573" s="165" t="str">
        <x:v>オリジナル</x:v>
      </x:c>
      <x:c r="AC573" s="165" t="str">
        <x:v>公式Specificationの範囲＋ユーザー作成コーパスの論点を参考に独自作成</x:v>
      </x:c>
      <x:c r="AD573" s="171" t="str">
        <x:v>改稿済み・専門家未承認</x:v>
      </x:c>
      <x:c r="AE573" s="171" t="str">
        <x:v>AI誤答レビュー</x:v>
      </x:c>
      <x:c r="AF573" s="171" t="str">
        <x:v>2026-07-12</x:v>
      </x:c>
      <x:c r="AG573" s="312" t="str">
        <x:v>最終バッチ：有効な誤答を維持し、絶対語・物理的不可能な誤答のみ置換。正答位置は維持。</x:v>
      </x:c>
    </x:row>
    <x:row r="574" ht="84" customHeight="1">
      <x:c r="A574" s="311" t="str">
        <x:v>LO5-093</x:v>
      </x:c>
      <x:c r="B574" s="171" t="str">
        <x:v>LO5</x:v>
      </x:c>
      <x:c r="C574" s="165" t="str">
        <x:v>情報提供・推奨・保管・サービス</x:v>
      </x:c>
      <x:c r="D574" s="165" t="str">
        <x:v>意図的な酸化スタイル</x:v>
      </x:c>
      <x:c r="E574" s="165" t="str">
        <x:v>ナッツ香があるワインを、直ちに酸化欠陥と判断すべきでない理由はどれか。</x:v>
      </x:c>
      <x:c r="F574" s="165" t="str">
        <x:v>オロロソ、年数表記トーニー、一部の熟成白などでは酸化的な香りが意図したスタイルだから</x:v>
      </x:c>
      <x:c r="G574" s="165" t="str">
        <x:v>ナッツ香は高品質ワインに広く必要な香りだから</x:v>
      </x:c>
      <x:c r="H574" s="165" t="str">
        <x:v>ナッツ香があれば、果実味の低下や褐変を確認する必要がないから</x:v>
      </x:c>
      <x:c r="I574" s="165" t="str">
        <x:v>高価格のワインでは酸化が欠陥にならないから</x:v>
      </x:c>
      <x:c r="J574" s="171" t="str">
        <x:v>A</x:v>
      </x:c>
      <x:c r="K574" s="165" t="str">
        <x:v>オロロソ、年数表記トーニー、一部の熟成白などでは酸化的な香りが意図したスタイルだから</x:v>
      </x:c>
      <x:c r="L574" s="165" t="str">
        <x:v>正しい。製法・熟成スタイルによってはナッツ香が意図される。</x:v>
      </x:c>
      <x:c r="M574" s="165" t="str">
        <x:v>正しい。製法・熟成スタイルによってはナッツ香が意図される。</x:v>
      </x:c>
      <x:c r="N574" s="165" t="str">
        <x:v>誤り。すべての高品質ワインに必要な香りではない。</x:v>
      </x:c>
      <x:c r="O574" s="165" t="str">
        <x:v>誤り。意図的スタイルか劣化かは、色・果実・鮮度と合わせて判断する。</x:v>
      </x:c>
      <x:c r="P574" s="165" t="str">
        <x:v>誤り。価格では欠陥の有無は決まらない。</x:v>
      </x:c>
      <x:c r="Q574" s="165" t="str">
        <x:v>品質判断</x:v>
      </x:c>
      <x:c r="R574" s="165" t="str">
        <x:v>酸化</x:v>
      </x:c>
      <x:c r="S574" s="165" t="str">
        <x:v>全般</x:v>
      </x:c>
      <x:c r="T574" s="165"/>
      <x:c r="U574" s="165"/>
      <x:c r="V574" s="165"/>
      <x:c r="W574" s="165" t="str">
        <x:v>適用</x:v>
      </x:c>
      <x:c r="X574" s="171" t="str">
        <x:v>D3</x:v>
      </x:c>
      <x:c r="Y574" s="165" t="str">
        <x:v>ナッツ香は全高品質ワインに必須; ナッツ香があれば他の酸化徴候を見なくてよい; 高価格なら酸化は欠陥にならない</x:v>
      </x:c>
      <x:c r="Z574" s="171" t="str">
        <x:v>N</x:v>
      </x:c>
      <x:c r="AA574" s="165"/>
      <x:c r="AB574" s="165" t="str">
        <x:v>オリジナル</x:v>
      </x:c>
      <x:c r="AC574" s="165" t="str">
        <x:v>公式Specificationの範囲＋ユーザー作成コーパスの論点を参考に独自作成</x:v>
      </x:c>
      <x:c r="AD574" s="171" t="str">
        <x:v>改稿済み・専門家未承認</x:v>
      </x:c>
      <x:c r="AE574" s="171" t="str">
        <x:v>AI誤答レビュー</x:v>
      </x:c>
      <x:c r="AF574" s="171" t="str">
        <x:v>2026-07-12</x:v>
      </x:c>
      <x:c r="AG574" s="312" t="str">
        <x:v>第3バッチ：同一論点内の典型的誤概念へ置換。正答位置は維持。</x:v>
      </x:c>
    </x:row>
    <x:row r="575" ht="84" customHeight="1">
      <x:c r="A575" s="311" t="str">
        <x:v>LO5-094</x:v>
      </x:c>
      <x:c r="B575" s="171" t="str">
        <x:v>LO5</x:v>
      </x:c>
      <x:c r="C575" s="165" t="str">
        <x:v>情報提供・推奨・保管・サービス</x:v>
      </x:c>
      <x:c r="D575" s="165" t="str">
        <x:v>還元臭の変化</x:v>
      </x:c>
      <x:c r="E575" s="165" t="str">
        <x:v>開栓直後に軽い硫化水素やマッチを思わせる還元臭があるワインへの最初の対応として適切なものはどれか。</x:v>
      </x:c>
      <x:c r="F575" s="165" t="str">
        <x:v>さらに冷やして香りを感じにくくし、そのまま提供する</x:v>
      </x:c>
      <x:c r="G575" s="165" t="str">
        <x:v>グラスやデキャンタで空気に触れさせ、香りが弱まるか確認する</x:v>
      </x:c>
      <x:c r="H575" s="165" t="str">
        <x:v>瓶を再栓して温度を上げ、還元臭が自然に弱まるまで待つ</x:v>
      </x:c>
      <x:c r="I575" s="165" t="str">
        <x:v>砂糖を加え、硫黄化合物を中和する</x:v>
      </x:c>
      <x:c r="J575" s="171" t="str">
        <x:v>B</x:v>
      </x:c>
      <x:c r="K575" s="165" t="str">
        <x:v>グラスやデキャンタで空気に触れさせ、香りが弱まるか確認する</x:v>
      </x:c>
      <x:c r="L575" s="165" t="str">
        <x:v>正しい。揮発性の軽い還元臭は空気で弱まる場合がある。</x:v>
      </x:c>
      <x:c r="M575" s="165" t="str">
        <x:v>誤り。冷却は臭いを隠すだけで、軽い還元臭が改善するかを確認する対応ではない。</x:v>
      </x:c>
      <x:c r="N575" s="165" t="str">
        <x:v>正しい。揮発性の軽い還元臭は空気で弱まる場合がある。</x:v>
      </x:c>
      <x:c r="O575" s="165" t="str">
        <x:v>誤り。密閉と加温は還元的状態を改善しにくく、まず少量の空気接触で変化を確認する。</x:v>
      </x:c>
      <x:c r="P575" s="165" t="str">
        <x:v>誤り。糖で還元臭は除去できない。</x:v>
      </x:c>
      <x:c r="Q575" s="165" t="str">
        <x:v>品質判断</x:v>
      </x:c>
      <x:c r="R575" s="165" t="str">
        <x:v>還元</x:v>
      </x:c>
      <x:c r="S575" s="165" t="str">
        <x:v>全般</x:v>
      </x:c>
      <x:c r="T575" s="165"/>
      <x:c r="U575" s="165"/>
      <x:c r="V575" s="165"/>
      <x:c r="W575" s="165" t="str">
        <x:v>判断</x:v>
      </x:c>
      <x:c r="X575" s="171" t="str">
        <x:v>D2</x:v>
      </x:c>
      <x:c r="Y575" s="165" t="str">
        <x:v>冷却で還元臭を治す; 還元臭は密閉・加温で改善する; 糖で還元臭を中和</x:v>
      </x:c>
      <x:c r="Z575" s="171" t="str">
        <x:v>N</x:v>
      </x:c>
      <x:c r="AA575" s="165"/>
      <x:c r="AB575" s="165" t="str">
        <x:v>オリジナル</x:v>
      </x:c>
      <x:c r="AC575" s="165" t="str">
        <x:v>公式Specificationの範囲＋ユーザー作成コーパスの論点を参考に独自作成</x:v>
      </x:c>
      <x:c r="AD575" s="171" t="str">
        <x:v>改稿済み・専門家未承認</x:v>
      </x:c>
      <x:c r="AE575" s="171" t="str">
        <x:v>AI誤答レビュー</x:v>
      </x:c>
      <x:c r="AF575" s="171" t="str">
        <x:v>2026-07-12</x:v>
      </x:c>
      <x:c r="AG575" s="312" t="str">
        <x:v>第4バッチ：同一論点内の典型的誤概念へ置換。正答位置は維持。</x:v>
      </x:c>
    </x:row>
    <x:row r="576" ht="84" customHeight="1">
      <x:c r="A576" s="311" t="str">
        <x:v>LO5-095</x:v>
      </x:c>
      <x:c r="B576" s="171" t="str">
        <x:v>LO5</x:v>
      </x:c>
      <x:c r="C576" s="165" t="str">
        <x:v>情報提供・推奨・保管・サービス</x:v>
      </x:c>
      <x:c r="D576" s="165" t="str">
        <x:v>ブレタノマイセスの判断</x:v>
      </x:c>
      <x:c r="E576" s="165" t="str">
        <x:v>ブレタノマイセス由来の動物的・薬品的な香りについて、最も適切な判断はどれか。</x:v>
      </x:c>
      <x:c r="F576" s="165" t="str">
        <x:v>動物的な香りを感じた時点で、濃度やワインスタイルにかかわらず欠陥と判断する</x:v>
      </x:c>
      <x:c r="G576" s="165" t="str">
        <x:v>低濃度では複雑性となり、高濃度でも果実味や品質への影響は小さい</x:v>
      </x:c>
      <x:c r="H576" s="165" t="str">
        <x:v>低濃度を複雑性と捉える人もいるが、果実を覆う高濃度では一般に欠陥と判断される</x:v>
      </x:c>
      <x:c r="I576" s="165" t="str">
        <x:v>デカンティングで香りが弱まれば、ブレタノマイセス由来ではなかったと判断できる</x:v>
      </x:c>
      <x:c r="J576" s="171" t="str">
        <x:v>C</x:v>
      </x:c>
      <x:c r="K576" s="165" t="str">
        <x:v>低濃度を複雑性と捉える人もいるが、果実を覆う高濃度では一般に欠陥と判断される</x:v>
      </x:c>
      <x:c r="L576" s="165" t="str">
        <x:v>正しい。許容度には議論があるが、濃度が高く果実味と清潔さを損なう場合は一般に欠陥と評価される。</x:v>
      </x:c>
      <x:c r="M576" s="165" t="str">
        <x:v>誤り。感覚閾値、濃度、スタイルによって評価が分かれるが、高濃度では明確な欠陥となる。</x:v>
      </x:c>
      <x:c r="N576" s="165" t="str">
        <x:v>誤り。低濃度でも全員が好ましく感じるわけではなく、高濃度では果実香を覆って品質を損なう。</x:v>
      </x:c>
      <x:c r="O576" s="165" t="str">
        <x:v>正しい。許容度には議論があるが、濃度が高く果実味と清潔さを損なう場合は一般に欠陥と評価される。</x:v>
      </x:c>
      <x:c r="P576" s="165" t="str">
        <x:v>誤り。空気接触による香りの変化だけで原因を否定できず、揮発性フェノールは残ることがある。</x:v>
      </x:c>
      <x:c r="Q576" s="165" t="str">
        <x:v>品質判断</x:v>
      </x:c>
      <x:c r="R576" s="165" t="str">
        <x:v>ブレタノマイセス</x:v>
      </x:c>
      <x:c r="S576" s="165" t="str">
        <x:v>全般</x:v>
      </x:c>
      <x:c r="T576" s="165"/>
      <x:c r="U576" s="165"/>
      <x:c r="V576" s="165"/>
      <x:c r="W576" s="165" t="str">
        <x:v>判断</x:v>
      </x:c>
      <x:c r="X576" s="171" t="str">
        <x:v>D3</x:v>
      </x:c>
      <x:c r="Y576" s="165" t="str">
        <x:v>Brettは濃度を問わず欠陥; 低濃度は必ず好ましく高濃度も無害; デカントで弱まればBrettではない</x:v>
      </x:c>
      <x:c r="Z576" s="171" t="str">
        <x:v>Y</x:v>
      </x:c>
      <x:c r="AA576" s="165" t="str">
        <x:v>ブレタノマイセスの許容度は官能評価上の議論があるため、断定表現を専門家確認推奨</x:v>
      </x:c>
      <x:c r="AB576" s="165" t="str">
        <x:v>オリジナル</x:v>
      </x:c>
      <x:c r="AC576" s="165" t="str">
        <x:v>公式Specificationの範囲＋ユーザー作成コーパスの論点を参考に独自作成</x:v>
      </x:c>
      <x:c r="AD576" s="171" t="str">
        <x:v>改稿済み・専門家未承認</x:v>
      </x:c>
      <x:c r="AE576" s="171" t="str">
        <x:v>AI誤答レビュー</x:v>
      </x:c>
      <x:c r="AF576" s="171" t="str">
        <x:v>2026-07-12</x:v>
      </x:c>
      <x:c r="AG576" s="312" t="str">
        <x:v>誤答を同一論点内の典型的誤概念へ置換。900問本体への反映前に専門家確認推奨。</x:v>
      </x:c>
    </x:row>
    <x:row r="577" ht="84" customHeight="1">
      <x:c r="A577" s="311" t="str">
        <x:v>LO5-096</x:v>
      </x:c>
      <x:c r="B577" s="171" t="str">
        <x:v>LO5</x:v>
      </x:c>
      <x:c r="C577" s="165" t="str">
        <x:v>情報提供・推奨・保管・サービス</x:v>
      </x:c>
      <x:c r="D577" s="165" t="str">
        <x:v>デザートとワインの甘味</x:v>
      </x:c>
      <x:c r="E577" s="165" t="str">
        <x:v>甘いデザートに合わせるワインの基本原則として最も適切なものはどれか。</x:v>
      </x:c>
      <x:c r="F577" s="165" t="str">
        <x:v>ワインの酸をデザートより低くし、甘味を柔らかく感じさせる</x:v>
      </x:c>
      <x:c r="G577" s="165" t="str">
        <x:v>ワインをデザートより辛口にし、酸で甘味を切る</x:v>
      </x:c>
      <x:c r="H577" s="165" t="str">
        <x:v>高いタンニンでデザートの甘味を抑える</x:v>
      </x:c>
      <x:c r="I577" s="165" t="str">
        <x:v>ワインをデザートと同程度以上に甘くする</x:v>
      </x:c>
      <x:c r="J577" s="171" t="str">
        <x:v>D</x:v>
      </x:c>
      <x:c r="K577" s="165" t="str">
        <x:v>ワインをデザートと同程度以上に甘くする</x:v>
      </x:c>
      <x:c r="L577" s="165" t="str">
        <x:v>正しい。料理の方が甘いと、ワインの酸・苦味が目立ち果実味が弱く感じられる。</x:v>
      </x:c>
      <x:c r="M577" s="165" t="str">
        <x:v>誤り。酸の高低だけでは不十分で、ワイン自体がデザートと同程度以上の甘味を持つことが基本である。</x:v>
      </x:c>
      <x:c r="N577" s="165" t="str">
        <x:v>誤り。ワインが薄く酸っぱく感じられやすい。</x:v>
      </x:c>
      <x:c r="O577" s="165" t="str">
        <x:v>誤り。甘味とタンニンで苦味・渋味が目立つことがある。</x:v>
      </x:c>
      <x:c r="P577" s="165" t="str">
        <x:v>正しい。料理の方が甘いと、ワインの酸・苦味が目立ち果実味が弱く感じられる。</x:v>
      </x:c>
      <x:c r="Q577" s="165" t="str">
        <x:v>料理との組み合わせ</x:v>
      </x:c>
      <x:c r="R577" s="165" t="str">
        <x:v>甘味</x:v>
      </x:c>
      <x:c r="S577" s="165" t="str">
        <x:v>全般</x:v>
      </x:c>
      <x:c r="T577" s="165"/>
      <x:c r="U577" s="165"/>
      <x:c r="V577" s="165"/>
      <x:c r="W577" s="165" t="str">
        <x:v>判断</x:v>
      </x:c>
      <x:c r="X577" s="171" t="str">
        <x:v>D2</x:v>
      </x:c>
      <x:c r="Y577" s="165" t="str">
        <x:v>デザート相性はワインの低酸で決まる; デザートには料理より辛口のワイン; 高タンニンでデザートの甘味を抑える</x:v>
      </x:c>
      <x:c r="Z577" s="171" t="str">
        <x:v>N</x:v>
      </x:c>
      <x:c r="AA577" s="165"/>
      <x:c r="AB577" s="165" t="str">
        <x:v>オリジナル</x:v>
      </x:c>
      <x:c r="AC577" s="165" t="str">
        <x:v>公式Specificationの範囲＋ユーザー作成コーパスの論点を参考に独自作成</x:v>
      </x:c>
      <x:c r="AD577" s="171" t="str">
        <x:v>改稿済み・専門家未承認</x:v>
      </x:c>
      <x:c r="AE577" s="171" t="str">
        <x:v>AI誤答レビュー</x:v>
      </x:c>
      <x:c r="AF577" s="171" t="str">
        <x:v>2026-07-12</x:v>
      </x:c>
      <x:c r="AG577" s="312" t="str">
        <x:v>第4バッチ：同一論点内の典型的誤概念へ置換。正答位置は維持。</x:v>
      </x:c>
    </x:row>
    <x:row r="578" ht="84" customHeight="1">
      <x:c r="A578" s="311" t="str">
        <x:v>LO5-097</x:v>
      </x:c>
      <x:c r="B578" s="171" t="str">
        <x:v>LO5</x:v>
      </x:c>
      <x:c r="C578" s="165" t="str">
        <x:v>情報提供・推奨・保管・サービス</x:v>
      </x:c>
      <x:c r="D578" s="165" t="str">
        <x:v>ブルーチーズと甘口ワイン</x:v>
      </x:c>
      <x:c r="E578" s="165" t="str">
        <x:v>塩味と強い風味を持つブルーチーズに甘口ワインが合いやすい主な理由はどれか。</x:v>
      </x:c>
      <x:c r="F578" s="165" t="str">
        <x:v>ワインの甘味が塩味と刺激を和らげ、双方の強い風味が釣り合う</x:v>
      </x:c>
      <x:c r="G578" s="165" t="str">
        <x:v>高い酸と青草・ハーブ香が、チーズの酸味と青い風味に調和する</x:v>
      </x:c>
      <x:c r="H578" s="165" t="str">
        <x:v>甘味がチーズ中の塩分を化学的に除去する</x:v>
      </x:c>
      <x:c r="I578" s="165" t="str">
        <x:v>高いタンニンがブルーチーズのうま味を弱めるため、甘味は不要</x:v>
      </x:c>
      <x:c r="J578" s="171" t="str">
        <x:v>A</x:v>
      </x:c>
      <x:c r="K578" s="165" t="str">
        <x:v>ワインの甘味が塩味と刺激を和らげ、双方の強い風味が釣り合う</x:v>
      </x:c>
      <x:c r="L578" s="165" t="str">
        <x:v>正しい。高い酸を持つ甘口なら、脂肪も切りながら甘味と塩味の対比を作る。</x:v>
      </x:c>
      <x:c r="M578" s="165" t="str">
        <x:v>正しい。高い酸を持つ甘口なら、脂肪も切りながら甘味と塩味の対比を作る。</x:v>
      </x:c>
      <x:c r="N578" s="165" t="str">
        <x:v>誤り。これは同じ知識領域の「山羊乳チーズ」に当てはまる説明で、設問の「ブルーチーズと甘口ワイン」を最も適切に説明しない。</x:v>
      </x:c>
      <x:c r="O578" s="165" t="str">
        <x:v>誤り。知覚上和らげるが塩分量は変わらない。</x:v>
      </x:c>
      <x:c r="P578" s="165" t="str">
        <x:v>誤り。うま味と塩味はタンニンを厳しく感じさせる場合がある。</x:v>
      </x:c>
      <x:c r="Q578" s="165" t="str">
        <x:v>料理との組み合わせ</x:v>
      </x:c>
      <x:c r="R578" s="165" t="str">
        <x:v>チーズ</x:v>
      </x:c>
      <x:c r="S578" s="165" t="str">
        <x:v>甘口ワイン</x:v>
      </x:c>
      <x:c r="T578" s="165"/>
      <x:c r="U578" s="165"/>
      <x:c r="V578" s="165"/>
      <x:c r="W578" s="165" t="str">
        <x:v>因果説明</x:v>
      </x:c>
      <x:c r="X578" s="171" t="str">
        <x:v>D2</x:v>
      </x:c>
      <x:c r="Y578" s="165" t="str">
        <x:v>ブルーチーズと甘口ワインを山羊乳チーズの特徴と混同; 甘味が塩分を化学除去; 高タンニンでブルーチーズに対応</x:v>
      </x:c>
      <x:c r="Z578" s="171" t="str">
        <x:v>N</x:v>
      </x:c>
      <x:c r="AA578" s="165"/>
      <x:c r="AB578" s="165" t="str">
        <x:v>オリジナル</x:v>
      </x:c>
      <x:c r="AC578" s="165" t="str">
        <x:v>公式Specificationの範囲＋ユーザー作成コーパスの論点を参考に独自作成</x:v>
      </x:c>
      <x:c r="AD578" s="171" t="str">
        <x:v>改稿済み・専門家未承認</x:v>
      </x:c>
      <x:c r="AE578" s="171" t="str">
        <x:v>AI誤答レビュー</x:v>
      </x:c>
      <x:c r="AF578" s="171" t="str">
        <x:v>2026-07-12</x:v>
      </x:c>
      <x:c r="AG578" s="312" t="str">
        <x:v>第4バッチ：同一論点内の典型的誤概念へ置換。正答位置は維持。</x:v>
      </x:c>
    </x:row>
    <x:row r="579" ht="84" customHeight="1">
      <x:c r="A579" s="311" t="str">
        <x:v>LO5-098</x:v>
      </x:c>
      <x:c r="B579" s="171" t="str">
        <x:v>LO5</x:v>
      </x:c>
      <x:c r="C579" s="165" t="str">
        <x:v>情報提供・推奨・保管・サービス</x:v>
      </x:c>
      <x:c r="D579" s="165" t="str">
        <x:v>トマトソース</x:v>
      </x:c>
      <x:c r="E579" s="165" t="str">
        <x:v>酸味の強いトマトソース料理に高酸のワインが合いやすい主な理由はどれか。</x:v>
      </x:c>
      <x:c r="F579" s="165" t="str">
        <x:v>低酸のワインを選ぶと、トマトの酸味を吸収して果実味が強まる</x:v>
      </x:c>
      <x:c r="G579" s="165" t="str">
        <x:v>料理の酸に負けず、ワインが平坦でぼやけて感じられるのを防ぐ</x:v>
      </x:c>
      <x:c r="H579" s="165" t="str">
        <x:v>料理の酸がワインの酸を化学的に中和し、甘味へ変える</x:v>
      </x:c>
      <x:c r="I579" s="165" t="str">
        <x:v>低酸ワインほどトマトの酸を吸収し、果実味が強くなる</x:v>
      </x:c>
      <x:c r="J579" s="171" t="str">
        <x:v>B</x:v>
      </x:c>
      <x:c r="K579" s="165" t="str">
        <x:v>料理の酸に負けず、ワインが平坦でぼやけて感じられるのを防ぐ</x:v>
      </x:c>
      <x:c r="L579" s="165" t="str">
        <x:v>正しい。料理と同程度の酸を持つワインは、果実味と鮮度を保ちやすい。</x:v>
      </x:c>
      <x:c r="M579" s="165" t="str">
        <x:v>誤り。料理と同等の高い酸を持つワインの方が、平坦にならず果実味を保つ。</x:v>
      </x:c>
      <x:c r="N579" s="165" t="str">
        <x:v>正しい。料理と同程度の酸を持つワインは、果実味と鮮度を保ちやすい。</x:v>
      </x:c>
      <x:c r="O579" s="165" t="str">
        <x:v>誤り。知覚は変わるが酸が甘味へ変化しない。</x:v>
      </x:c>
      <x:c r="P579" s="165" t="str">
        <x:v>誤り。低酸ワインは料理に負けて平坦に感じやすい。</x:v>
      </x:c>
      <x:c r="Q579" s="165" t="str">
        <x:v>料理との組み合わせ</x:v>
      </x:c>
      <x:c r="R579" s="165" t="str">
        <x:v>酸味</x:v>
      </x:c>
      <x:c r="S579" s="165" t="str">
        <x:v>全般</x:v>
      </x:c>
      <x:c r="T579" s="165"/>
      <x:c r="U579" s="165"/>
      <x:c r="V579" s="165"/>
      <x:c r="W579" s="165" t="str">
        <x:v>因果説明</x:v>
      </x:c>
      <x:c r="X579" s="171" t="str">
        <x:v>D2</x:v>
      </x:c>
      <x:c r="Y579" s="165" t="str">
        <x:v>低酸ワインがトマトの酸を吸収する; 料理の酸がワイン酸を甘味へ変える; 低酸ワインが料理の酸を吸収する</x:v>
      </x:c>
      <x:c r="Z579" s="171" t="str">
        <x:v>N</x:v>
      </x:c>
      <x:c r="AA579" s="165"/>
      <x:c r="AB579" s="165" t="str">
        <x:v>オリジナル</x:v>
      </x:c>
      <x:c r="AC579" s="165" t="str">
        <x:v>公式Specificationの範囲＋ユーザー作成コーパスの論点を参考に独自作成</x:v>
      </x:c>
      <x:c r="AD579" s="171" t="str">
        <x:v>改稿済み・専門家未承認</x:v>
      </x:c>
      <x:c r="AE579" s="171" t="str">
        <x:v>AI誤答レビュー</x:v>
      </x:c>
      <x:c r="AF579" s="171" t="str">
        <x:v>2026-07-12</x:v>
      </x:c>
      <x:c r="AG579" s="312" t="str">
        <x:v>第4バッチ：同一論点内の典型的誤概念へ置換。正答位置は維持。</x:v>
      </x:c>
    </x:row>
    <x:row r="580" ht="84" customHeight="1">
      <x:c r="A580" s="311" t="str">
        <x:v>LO5-099</x:v>
      </x:c>
      <x:c r="B580" s="171" t="str">
        <x:v>LO5</x:v>
      </x:c>
      <x:c r="C580" s="165" t="str">
        <x:v>情報提供・推奨・保管・サービス</x:v>
      </x:c>
      <x:c r="D580" s="165" t="str">
        <x:v>クリームソース</x:v>
      </x:c>
      <x:c r="E580" s="165" t="str">
        <x:v>脂肪分の高いクリームソースに高い酸を持つワインが合いやすい主な理由はどれか。</x:v>
      </x:c>
      <x:c r="F580" s="165" t="str">
        <x:v>高いアルコールと樽香がクリームの濃厚さに釣り合う</x:v>
      </x:c>
      <x:c r="G580" s="165" t="str">
        <x:v>酸がクリームの脂肪を化学的に分解し、カロリーを減らす</x:v>
      </x:c>
      <x:c r="H580" s="165" t="str">
        <x:v>酸が口中を爽やかにし、料理の重さを軽く感じさせる</x:v>
      </x:c>
      <x:c r="I580" s="165" t="str">
        <x:v>低酸のワインほどクリームの甘味を強くし、バランスが良くなる</x:v>
      </x:c>
      <x:c r="J580" s="171" t="str">
        <x:v>C</x:v>
      </x:c>
      <x:c r="K580" s="165" t="str">
        <x:v>酸が口中を爽やかにし、料理の重さを軽く感じさせる</x:v>
      </x:c>
      <x:c r="L580" s="165" t="str">
        <x:v>正しい。酸味が脂肪のコクと対照を作り、果実味と鮮度を保つ。</x:v>
      </x:c>
      <x:c r="M580" s="165" t="str">
        <x:v>誤り。高アルコールと強い樽香は料理を重くする場合があり、酸による爽やかさが主な利点である。</x:v>
      </x:c>
      <x:c r="N580" s="165" t="str">
        <x:v>誤り。知覚を爽やかにするが脂肪を分解しない。</x:v>
      </x:c>
      <x:c r="O580" s="165" t="str">
        <x:v>正しい。酸味が脂肪のコクと対照を作り、果実味と鮮度を保つ。</x:v>
      </x:c>
      <x:c r="P580" s="165" t="str">
        <x:v>誤り。低酸では料理が重く平坦に感じられやすい。</x:v>
      </x:c>
      <x:c r="Q580" s="165" t="str">
        <x:v>料理との組み合わせ</x:v>
      </x:c>
      <x:c r="R580" s="165" t="str">
        <x:v>脂肪</x:v>
      </x:c>
      <x:c r="S580" s="165" t="str">
        <x:v>全般</x:v>
      </x:c>
      <x:c r="T580" s="165"/>
      <x:c r="U580" s="165"/>
      <x:c r="V580" s="165"/>
      <x:c r="W580" s="165" t="str">
        <x:v>因果説明</x:v>
      </x:c>
      <x:c r="X580" s="171" t="str">
        <x:v>D2</x:v>
      </x:c>
      <x:c r="Y580" s="165" t="str">
        <x:v>クリームソースには高アルコール・強樽香が最適; 酸が脂肪を化学分解; 低酸ワインがクリームに最適</x:v>
      </x:c>
      <x:c r="Z580" s="171" t="str">
        <x:v>N</x:v>
      </x:c>
      <x:c r="AA580" s="165"/>
      <x:c r="AB580" s="165" t="str">
        <x:v>オリジナル</x:v>
      </x:c>
      <x:c r="AC580" s="165" t="str">
        <x:v>公式Specificationの範囲＋ユーザー作成コーパスの論点を参考に独自作成</x:v>
      </x:c>
      <x:c r="AD580" s="171" t="str">
        <x:v>改稿済み・専門家未承認</x:v>
      </x:c>
      <x:c r="AE580" s="171" t="str">
        <x:v>AI誤答レビュー</x:v>
      </x:c>
      <x:c r="AF580" s="171" t="str">
        <x:v>2026-07-12</x:v>
      </x:c>
      <x:c r="AG580" s="312" t="str">
        <x:v>第4バッチ：同一論点内の典型的誤概念へ置換。正答位置は維持。</x:v>
      </x:c>
    </x:row>
    <x:row r="581" ht="84" customHeight="1">
      <x:c r="A581" s="311" t="str">
        <x:v>LO5-100</x:v>
      </x:c>
      <x:c r="B581" s="171" t="str">
        <x:v>LO5</x:v>
      </x:c>
      <x:c r="C581" s="165" t="str">
        <x:v>情報提供・推奨・保管・サービス</x:v>
      </x:c>
      <x:c r="D581" s="165" t="str">
        <x:v>脂の多い魚とタンニン</x:v>
      </x:c>
      <x:c r="E581" s="165" t="str">
        <x:v>脂の多い魚に高タンニンの赤ワインを合わせると不快な金属味が出ることがある理由はどれか。</x:v>
      </x:c>
      <x:c r="F581" s="165" t="str">
        <x:v>高タンニンが魚の脂肪を分解し、金属味を防ぐ</x:v>
      </x:c>
      <x:c r="G581" s="165" t="str">
        <x:v>魚の脂肪が赤ワインの鉄分を実際に金属へ変えるため</x:v>
      </x:c>
      <x:c r="H581" s="165" t="str">
        <x:v>高タンニンが魚の脂肪を除去し、口中が乾燥し過ぎるためだけ</x:v>
      </x:c>
      <x:c r="I581" s="165" t="str">
        <x:v>魚の油脂やうま味とタンニンが組み合わさり、苦味や金属的な知覚を強めるため</x:v>
      </x:c>
      <x:c r="J581" s="171" t="str">
        <x:v>D</x:v>
      </x:c>
      <x:c r="K581" s="165" t="str">
        <x:v>魚の油脂やうま味とタンニンが組み合わさり、苦味や金属的な知覚を強めるため</x:v>
      </x:c>
      <x:c r="L581" s="165" t="str">
        <x:v>正しい。低タンニン・高酸のワインの方が魚の脂を爽やかにしやすい。</x:v>
      </x:c>
      <x:c r="M581" s="165" t="str">
        <x:v>誤り。高タンニンは魚の油脂・うま味と組み合わさり、苦味や金属味を強めることがある。</x:v>
      </x:c>
      <x:c r="N581" s="165" t="str">
        <x:v>誤り。金属味は知覚上の相互作用で、金属を生成しない。</x:v>
      </x:c>
      <x:c r="O581" s="165" t="str">
        <x:v>誤り。脂肪除去ではなく、うま味・油脂との香味相互作用もある。</x:v>
      </x:c>
      <x:c r="P581" s="165" t="str">
        <x:v>正しい。低タンニン・高酸のワインの方が魚の脂を爽やかにしやすい。</x:v>
      </x:c>
      <x:c r="Q581" s="165" t="str">
        <x:v>料理との組み合わせ</x:v>
      </x:c>
      <x:c r="R581" s="165" t="str">
        <x:v>魚とタンニン</x:v>
      </x:c>
      <x:c r="S581" s="165" t="str">
        <x:v>赤ワイン</x:v>
      </x:c>
      <x:c r="T581" s="165"/>
      <x:c r="U581" s="165"/>
      <x:c r="V581" s="165"/>
      <x:c r="W581" s="165" t="str">
        <x:v>因果説明</x:v>
      </x:c>
      <x:c r="X581" s="171" t="str">
        <x:v>D3</x:v>
      </x:c>
      <x:c r="Y581" s="165" t="str">
        <x:v>高タンニンが魚脂を分解し金属味を防ぐ; 魚脂が鉄分を金属化; タンニンが魚脂を除去する</x:v>
      </x:c>
      <x:c r="Z581" s="171" t="str">
        <x:v>N</x:v>
      </x:c>
      <x:c r="AA581" s="165"/>
      <x:c r="AB581" s="165" t="str">
        <x:v>オリジナル</x:v>
      </x:c>
      <x:c r="AC581" s="165" t="str">
        <x:v>公式Specificationの範囲＋ユーザー作成コーパスの論点を参考に独自作成</x:v>
      </x:c>
      <x:c r="AD581" s="171" t="str">
        <x:v>改稿済み・専門家未承認</x:v>
      </x:c>
      <x:c r="AE581" s="171" t="str">
        <x:v>AI誤答レビュー</x:v>
      </x:c>
      <x:c r="AF581" s="171" t="str">
        <x:v>2026-07-12</x:v>
      </x:c>
      <x:c r="AG581" s="312" t="str">
        <x:v>第4バッチ：同一論点内の典型的誤概念へ置換。正答位置は維持。</x:v>
      </x:c>
    </x:row>
    <x:row r="582" ht="84" customHeight="1">
      <x:c r="A582" s="311" t="str">
        <x:v>LO5-101</x:v>
      </x:c>
      <x:c r="B582" s="171" t="str">
        <x:v>LO5</x:v>
      </x:c>
      <x:c r="C582" s="165" t="str">
        <x:v>情報提供・推奨・保管・サービス</x:v>
      </x:c>
      <x:c r="D582" s="165" t="str">
        <x:v>繊細な貝料理</x:v>
      </x:c>
      <x:c r="E582" s="165" t="str">
        <x:v>生牡蠣や繊細な貝料理に合わせやすいワインの特徴はどれか。</x:v>
      </x:c>
      <x:c r="F582" s="165" t="str">
        <x:v>高い酸、低いタンニン、控えめなオーク香、軽いボディ</x:v>
      </x:c>
      <x:c r="G582" s="165" t="str">
        <x:v>非常に高いタンニンと強い新樽香</x:v>
      </x:c>
      <x:c r="H582" s="165" t="str">
        <x:v>低酸で高アルコールの濃厚赤</x:v>
      </x:c>
      <x:c r="I582" s="165" t="str">
        <x:v>極甘口で酸のないワインだけ</x:v>
      </x:c>
      <x:c r="J582" s="171" t="str">
        <x:v>A</x:v>
      </x:c>
      <x:c r="K582" s="165" t="str">
        <x:v>高い酸、低いタンニン、控えめなオーク香、軽いボディ</x:v>
      </x:c>
      <x:c r="L582" s="165" t="str">
        <x:v>正しい。爽やかな酸と塩味を思わせる風味が貝の繊細さを生かし、強い樽香やアルコールが覆うのを防ぐ。</x:v>
      </x:c>
      <x:c r="M582" s="165" t="str">
        <x:v>正しい。爽やかな酸と塩味を思わせる風味が貝の繊細さを生かし、強い樽香やアルコールが覆うのを防ぐ。</x:v>
      </x:c>
      <x:c r="N582" s="165" t="str">
        <x:v>誤り。繊細な海産物を圧倒し、苦味が出やすい。</x:v>
      </x:c>
      <x:c r="O582" s="165" t="str">
        <x:v>誤り。重さと熱感が料理に勝ちやすい。</x:v>
      </x:c>
      <x:c r="P582" s="165" t="str">
        <x:v>誤り。甘味が必須ではなく、酸と軽さが重要である。</x:v>
      </x:c>
      <x:c r="Q582" s="165" t="str">
        <x:v>料理との組み合わせ</x:v>
      </x:c>
      <x:c r="R582" s="165" t="str">
        <x:v>貝料理</x:v>
      </x:c>
      <x:c r="S582" s="165" t="str">
        <x:v>白ワイン</x:v>
      </x:c>
      <x:c r="T582" s="165"/>
      <x:c r="U582" s="165"/>
      <x:c r="V582" s="165"/>
      <x:c r="W582" s="165" t="str">
        <x:v>判断</x:v>
      </x:c>
      <x:c r="X582" s="171" t="str">
        <x:v>D2</x:v>
      </x:c>
      <x:c r="Y582" s="165" t="str">
        <x:v>繊細な貝料理に関する別の特徴・要因と混同; 繊細な貝料理に関する別の特徴・要因と混同; 繊細な貝料理に関する別の特徴・要因と混同</x:v>
      </x:c>
      <x:c r="Z582" s="171" t="str">
        <x:v>N</x:v>
      </x:c>
      <x:c r="AA582" s="165"/>
      <x:c r="AB582" s="165" t="str">
        <x:v>オリジナル</x:v>
      </x:c>
      <x:c r="AC582" s="165" t="str">
        <x:v>公式Specificationの範囲＋ユーザー作成コーパスの論点を参考に独自作成</x:v>
      </x:c>
      <x:c r="AD582" s="171" t="str">
        <x:v>改稿済み・専門家未承認</x:v>
      </x:c>
      <x:c r="AE582" s="171" t="str">
        <x:v>AI誤答レビュー</x:v>
      </x:c>
      <x:c r="AF582" s="171" t="str">
        <x:v>2026-07-12</x:v>
      </x:c>
      <x:c r="AG582" s="312" t="str">
        <x:v>最終バッチ：有効な誤答を維持し、絶対語・物理的不可能な誤答のみ置換。正答位置は維持。</x:v>
      </x:c>
    </x:row>
    <x:row r="583" ht="84" customHeight="1">
      <x:c r="A583" s="311" t="str">
        <x:v>LO5-102</x:v>
      </x:c>
      <x:c r="B583" s="171" t="str">
        <x:v>LO5</x:v>
      </x:c>
      <x:c r="C583" s="165" t="str">
        <x:v>情報提供・推奨・保管・サービス</x:v>
      </x:c>
      <x:c r="D583" s="165" t="str">
        <x:v>燻製料理とオーク</x:v>
      </x:c>
      <x:c r="E583" s="165" t="str">
        <x:v>燻製した魚や肉に、適度なオーク香を持つワインが合うことがある主な理由はどれか。</x:v>
      </x:c>
      <x:c r="F583" s="165" t="str">
        <x:v>強い新樽香ほど、燻製の強度にかかわらず相性が良くなる</x:v>
      </x:c>
      <x:c r="G583" s="165" t="str">
        <x:v>樽由来のトーストや煙の香りが、料理の燻製香と風味の橋渡しをする</x:v>
      </x:c>
      <x:c r="H583" s="165" t="str">
        <x:v>オーク香が料理の煙成分を化学的に除去する</x:v>
      </x:c>
      <x:c r="I583" s="165" t="str">
        <x:v>新樽香が強いほど、繊細な燻製魚にも合いやすい</x:v>
      </x:c>
      <x:c r="J583" s="171" t="str">
        <x:v>B</x:v>
      </x:c>
      <x:c r="K583" s="165" t="str">
        <x:v>樽由来のトーストや煙の香りが、料理の燻製香と風味の橋渡しをする</x:v>
      </x:c>
      <x:c r="L583" s="165" t="str">
        <x:v>正しい。共通する香りを持ちながら、酸と果実味が脂肪・塩味を整える。</x:v>
      </x:c>
      <x:c r="M583" s="165" t="str">
        <x:v>誤り。適度な共通香は有効だが、強過ぎる樽香は繊細な燻製料理を覆う。</x:v>
      </x:c>
      <x:c r="N583" s="165" t="str">
        <x:v>正しい。共通する香りを持ちながら、酸と果実味が脂肪・塩味を整える。</x:v>
      </x:c>
      <x:c r="O583" s="165" t="str">
        <x:v>誤り。香りの共通性であり、成分除去ではない。</x:v>
      </x:c>
      <x:c r="P583" s="165" t="str">
        <x:v>誤り。過度な樽香は繊細な料理を圧倒する。</x:v>
      </x:c>
      <x:c r="Q583" s="165" t="str">
        <x:v>料理との組み合わせ</x:v>
      </x:c>
      <x:c r="R583" s="165" t="str">
        <x:v>燻製</x:v>
      </x:c>
      <x:c r="S583" s="165" t="str">
        <x:v>全般</x:v>
      </x:c>
      <x:c r="T583" s="165"/>
      <x:c r="U583" s="165"/>
      <x:c r="V583" s="165"/>
      <x:c r="W583" s="165" t="str">
        <x:v>因果説明</x:v>
      </x:c>
      <x:c r="X583" s="171" t="str">
        <x:v>D2</x:v>
      </x:c>
      <x:c r="Y583" s="165" t="str">
        <x:v>燻製料理には強い新樽香ほど良い; オーク香が煙を化学除去; 強い新樽ほど全燻製料理に合う</x:v>
      </x:c>
      <x:c r="Z583" s="171" t="str">
        <x:v>N</x:v>
      </x:c>
      <x:c r="AA583" s="165"/>
      <x:c r="AB583" s="165" t="str">
        <x:v>オリジナル</x:v>
      </x:c>
      <x:c r="AC583" s="165" t="str">
        <x:v>公式Specificationの範囲＋ユーザー作成コーパスの論点を参考に独自作成</x:v>
      </x:c>
      <x:c r="AD583" s="171" t="str">
        <x:v>改稿済み・専門家未承認</x:v>
      </x:c>
      <x:c r="AE583" s="171" t="str">
        <x:v>AI誤答レビュー</x:v>
      </x:c>
      <x:c r="AF583" s="171" t="str">
        <x:v>2026-07-12</x:v>
      </x:c>
      <x:c r="AG583" s="312" t="str">
        <x:v>第4バッチ：同一論点内の典型的誤概念へ置換。正答位置は維持。</x:v>
      </x:c>
    </x:row>
    <x:row r="584" ht="84" customHeight="1">
      <x:c r="A584" s="311" t="str">
        <x:v>LO5-103</x:v>
      </x:c>
      <x:c r="B584" s="171" t="str">
        <x:v>LO5</x:v>
      </x:c>
      <x:c r="C584" s="165" t="str">
        <x:v>情報提供・推奨・保管・サービス</x:v>
      </x:c>
      <x:c r="D584" s="165" t="str">
        <x:v>炭火焼き肉</x:v>
      </x:c>
      <x:c r="E584" s="165" t="str">
        <x:v>炭火焼きの赤身肉に、タンニンと熟した果実味を持つ赤ワインが合いやすい主な理由はどれか。</x:v>
      </x:c>
      <x:c r="F584" s="165" t="str">
        <x:v>タンニンが肉の脂肪を化学的に溶解し、料理のカロリーを減らすため</x:v>
      </x:c>
      <x:c r="G584" s="165" t="str">
        <x:v>相性は主にワインの酸だけで決まり、タンニンや炭火香はほとんど影響しないため</x:v>
      </x:c>
      <x:c r="H584" s="165" t="str">
        <x:v>肉のたんぱく質と脂肪がタンニンの収れん性を和らげ、炭火香と熟した風味が調和するため</x:v>
      </x:c>
      <x:c r="I584" s="165" t="str">
        <x:v>炭火香があれば、脂肪の少ない繊細な肉にも最も高いタンニンのワインが適するため</x:v>
      </x:c>
      <x:c r="J584" s="171" t="str">
        <x:v>C</x:v>
      </x:c>
      <x:c r="K584" s="165" t="str">
        <x:v>肉のたんぱく質と脂肪がタンニンの収れん性を和らげ、炭火香と熟した風味が調和するため</x:v>
      </x:c>
      <x:c r="L584" s="165" t="str">
        <x:v>正しい。料理の構造と香りが、ワインの収れん性と熟した果実・樽香を受け止める。</x:v>
      </x:c>
      <x:c r="M584" s="165" t="str">
        <x:v>誤り。タンニンの知覚が和らぐのであり、脂肪を化学的に溶かすわけではない。</x:v>
      </x:c>
      <x:c r="N584" s="165" t="str">
        <x:v>誤り。酸も重要だが、タンニン、果実濃度、炭火香との風味強度も相性に関係する。</x:v>
      </x:c>
      <x:c r="O584" s="165" t="str">
        <x:v>正しい。料理の構造と香りが、ワインの収れん性と熟した果実・樽香を受け止める。</x:v>
      </x:c>
      <x:c r="P584" s="165" t="str">
        <x:v>誤り。肉が繊細で低脂肪なら、非常に高いタンニンは料理を圧倒する場合がある。</x:v>
      </x:c>
      <x:c r="Q584" s="165" t="str">
        <x:v>料理との組み合わせ</x:v>
      </x:c>
      <x:c r="R584" s="165" t="str">
        <x:v>肉料理</x:v>
      </x:c>
      <x:c r="S584" s="165" t="str">
        <x:v>赤ワイン</x:v>
      </x:c>
      <x:c r="T584" s="165"/>
      <x:c r="U584" s="165"/>
      <x:c r="V584" s="165"/>
      <x:c r="W584" s="165" t="str">
        <x:v>因果説明</x:v>
      </x:c>
      <x:c r="X584" s="171" t="str">
        <x:v>D2</x:v>
      </x:c>
      <x:c r="Y584" s="165" t="str">
        <x:v>タンニンが脂肪を化学溶解する; 炭火肉との相性は酸だけで決まる; 炭火香があれば最高タンニンが常に最適</x:v>
      </x:c>
      <x:c r="Z584" s="171" t="str">
        <x:v>N</x:v>
      </x:c>
      <x:c r="AA584" s="165"/>
      <x:c r="AB584" s="165" t="str">
        <x:v>オリジナル</x:v>
      </x:c>
      <x:c r="AC584" s="165" t="str">
        <x:v>公式Specificationの範囲＋ユーザー作成コーパスの論点を参考に独自作成</x:v>
      </x:c>
      <x:c r="AD584" s="171" t="str">
        <x:v>改稿済み・専門家未承認</x:v>
      </x:c>
      <x:c r="AE584" s="171" t="str">
        <x:v>AI誤答レビュー</x:v>
      </x:c>
      <x:c r="AF584" s="171" t="str">
        <x:v>2026-07-12</x:v>
      </x:c>
      <x:c r="AG584" s="312" t="str">
        <x:v>第2バッチ：誤答を同一論点内の典型的誤概念へ置換。正答位置は維持。</x:v>
      </x:c>
    </x:row>
    <x:row r="585" ht="84" customHeight="1">
      <x:c r="A585" s="311" t="str">
        <x:v>LO5-104</x:v>
      </x:c>
      <x:c r="B585" s="171" t="str">
        <x:v>LO5</x:v>
      </x:c>
      <x:c r="C585" s="165" t="str">
        <x:v>情報提供・推奨・保管・サービス</x:v>
      </x:c>
      <x:c r="D585" s="165" t="str">
        <x:v>苦味のある野菜</x:v>
      </x:c>
      <x:c r="E585" s="165" t="str">
        <x:v>ルッコラやチコリなど苦味のある野菜に、高タンニンの赤ワインを合わせる際の主なリスクはどれか。</x:v>
      </x:c>
      <x:c r="F585" s="165" t="str">
        <x:v>料理の苦味がワインのタンニンを柔らかくし、果実味を強め過ぎる</x:v>
      </x:c>
      <x:c r="G585" s="165" t="str">
        <x:v>高い酸が料理の苦味を和らげるため、高タンニンの収れん性も目立ちにくくなる</x:v>
      </x:c>
      <x:c r="H585" s="165" t="str">
        <x:v>少量の残糖が料理の苦味を強め、タンニンをより厳しく感じさせる</x:v>
      </x:c>
      <x:c r="I585" s="165" t="str">
        <x:v>料理とワインの苦味・収れん性が相互に強調される</x:v>
      </x:c>
      <x:c r="J585" s="171" t="str">
        <x:v>D</x:v>
      </x:c>
      <x:c r="K585" s="165" t="str">
        <x:v>料理とワインの苦味・収れん性が相互に強調される</x:v>
      </x:c>
      <x:c r="L585" s="165" t="str">
        <x:v>正しい。苦味のある食材と高タンニンが重なると、双方が厳しく感じられやすい。</x:v>
      </x:c>
      <x:c r="M585" s="165" t="str">
        <x:v>誤り。苦味とうま味は、タンニンや苦味を穏やかにするより強める場合がある。</x:v>
      </x:c>
      <x:c r="N585" s="165" t="str">
        <x:v>誤り。酸が爽やかさを与えることはあるが、料理の苦味と高タンニンの組み合わせを必ず和らげるわけではない。</x:v>
      </x:c>
      <x:c r="O585" s="165" t="str">
        <x:v>誤り。少量の甘味は一般に苦味を和らげる方向に働き得る。</x:v>
      </x:c>
      <x:c r="P585" s="165" t="str">
        <x:v>正しい。苦味のある食材と高タンニンが重なると、双方が厳しく感じられやすい。</x:v>
      </x:c>
      <x:c r="Q585" s="165" t="str">
        <x:v>料理との組み合わせ</x:v>
      </x:c>
      <x:c r="R585" s="165" t="str">
        <x:v>苦味</x:v>
      </x:c>
      <x:c r="S585" s="165" t="str">
        <x:v>赤ワイン</x:v>
      </x:c>
      <x:c r="T585" s="165"/>
      <x:c r="U585" s="165"/>
      <x:c r="V585" s="165"/>
      <x:c r="W585" s="165" t="str">
        <x:v>因果説明</x:v>
      </x:c>
      <x:c r="X585" s="171" t="str">
        <x:v>D2</x:v>
      </x:c>
      <x:c r="Y585" s="165" t="str">
        <x:v>料理の苦味はタンニンを軟化する; 高い酸が苦味と高タンニンを相殺する; 残糖は苦味とタンニンを強める</x:v>
      </x:c>
      <x:c r="Z585" s="171" t="str">
        <x:v>N</x:v>
      </x:c>
      <x:c r="AA585" s="165"/>
      <x:c r="AB585" s="165" t="str">
        <x:v>オリジナル</x:v>
      </x:c>
      <x:c r="AC585" s="165" t="str">
        <x:v>公式Specificationの範囲＋ユーザー作成コーパスの論点を参考に独自作成</x:v>
      </x:c>
      <x:c r="AD585" s="171" t="str">
        <x:v>改稿済み・専門家未承認</x:v>
      </x:c>
      <x:c r="AE585" s="171" t="str">
        <x:v>AI誤答レビュー</x:v>
      </x:c>
      <x:c r="AF585" s="171" t="str">
        <x:v>2026-07-12</x:v>
      </x:c>
      <x:c r="AG585" s="312" t="str">
        <x:v>第2バッチ：誤答を同一論点内の典型的誤概念へ置換。正答位置は維持。</x:v>
      </x:c>
    </x:row>
    <x:row r="586" ht="84" customHeight="1">
      <x:c r="A586" s="311" t="str">
        <x:v>LO5-105</x:v>
      </x:c>
      <x:c r="B586" s="171" t="str">
        <x:v>LO5</x:v>
      </x:c>
      <x:c r="C586" s="165" t="str">
        <x:v>情報提供・推奨・保管・サービス</x:v>
      </x:c>
      <x:c r="D586" s="165" t="str">
        <x:v>酢のドレッシング</x:v>
      </x:c>
      <x:c r="E586" s="165" t="str">
        <x:v>酢を多く使ったサラダにワインを合わせにくい主な理由はどれか。</x:v>
      </x:c>
      <x:c r="F586" s="165" t="str">
        <x:v>料理の強い酸が、ワインを平坦で苦く、果実味の乏しい印象にしやすい</x:v>
      </x:c>
      <x:c r="G586" s="165" t="str">
        <x:v>料理の酸に負けず、ワインが平坦でぼやけて感じられるのを防ぎやすいため</x:v>
      </x:c>
      <x:c r="H586" s="165" t="str">
        <x:v>酢がワイン中のアルコールを酸へ変え、刺激を強くする</x:v>
      </x:c>
      <x:c r="I586" s="165" t="str">
        <x:v>酢の酸味はワインの残糖を増やし、甘く感じさせる</x:v>
      </x:c>
      <x:c r="J586" s="171" t="str">
        <x:v>A</x:v>
      </x:c>
      <x:c r="K586" s="165" t="str">
        <x:v>料理の強い酸が、ワインを平坦で苦く、果実味の乏しい印象にしやすい</x:v>
      </x:c>
      <x:c r="L586" s="165" t="str">
        <x:v>正しい。ドレッシングを穏やかにするか、高酸・低タンニンのワインを選ぶ。</x:v>
      </x:c>
      <x:c r="M586" s="165" t="str">
        <x:v>正しい。ドレッシングを穏やかにするか、高酸・低タンニンのワインを選ぶ。</x:v>
      </x:c>
      <x:c r="N586" s="165" t="str">
        <x:v>誤り。これは同じ知識領域の「酸味のある料理」に当てはまる説明で、設問の「酢のドレッシング」を最も適切に説明しない。</x:v>
      </x:c>
      <x:c r="O586" s="165" t="str">
        <x:v>誤り。料理がワインのアルコールを化学変換するわけではない。</x:v>
      </x:c>
      <x:c r="P586" s="165" t="str">
        <x:v>誤り。実際の残糖は変わらず、辛口ワインが厳しく感じられやすい。</x:v>
      </x:c>
      <x:c r="Q586" s="165" t="str">
        <x:v>料理との組み合わせ</x:v>
      </x:c>
      <x:c r="R586" s="165" t="str">
        <x:v>酸味</x:v>
      </x:c>
      <x:c r="S586" s="165" t="str">
        <x:v>全般</x:v>
      </x:c>
      <x:c r="T586" s="165"/>
      <x:c r="U586" s="165"/>
      <x:c r="V586" s="165"/>
      <x:c r="W586" s="165" t="str">
        <x:v>因果説明</x:v>
      </x:c>
      <x:c r="X586" s="171" t="str">
        <x:v>D3</x:v>
      </x:c>
      <x:c r="Y586" s="165" t="str">
        <x:v>酢のドレッシングを酸味のある料理の特徴と混同; 酢がワインのアルコールを酸へ変える; 酢でワインの残糖が増える</x:v>
      </x:c>
      <x:c r="Z586" s="171" t="str">
        <x:v>N</x:v>
      </x:c>
      <x:c r="AA586" s="165"/>
      <x:c r="AB586" s="165" t="str">
        <x:v>オリジナル</x:v>
      </x:c>
      <x:c r="AC586" s="165" t="str">
        <x:v>公式Specificationの範囲＋ユーザー作成コーパスの論点を参考に独自作成</x:v>
      </x:c>
      <x:c r="AD586" s="171" t="str">
        <x:v>改稿済み・専門家未承認</x:v>
      </x:c>
      <x:c r="AE586" s="171" t="str">
        <x:v>AI誤答レビュー</x:v>
      </x:c>
      <x:c r="AF586" s="171" t="str">
        <x:v>2026-07-12</x:v>
      </x:c>
      <x:c r="AG586" s="312" t="str">
        <x:v>第4バッチ：同一論点内の典型的誤概念へ置換。正答位置は維持。</x:v>
      </x:c>
    </x:row>
    <x:row r="587" ht="84" customHeight="1">
      <x:c r="A587" s="311" t="str">
        <x:v>LO5-106</x:v>
      </x:c>
      <x:c r="B587" s="171" t="str">
        <x:v>LO5</x:v>
      </x:c>
      <x:c r="C587" s="165" t="str">
        <x:v>情報提供・推奨・保管・サービス</x:v>
      </x:c>
      <x:c r="D587" s="165" t="str">
        <x:v>辛い料理とオフドライ</x:v>
      </x:c>
      <x:c r="E587" s="165" t="str">
        <x:v>トウガラシの辛味が強い料理に、低アルコールでオフドライのワインが合いやすい主な理由はどれか。</x:v>
      </x:c>
      <x:c r="F587" s="165" t="str">
        <x:v>高アルコールほど辛味を弱める</x:v>
      </x:c>
      <x:c r="G587" s="165" t="str">
        <x:v>少量の甘味が辛味を和らげ、低いアルコールが熱感の増幅を抑える</x:v>
      </x:c>
      <x:c r="H587" s="165" t="str">
        <x:v>残糖がカプサイシンを化学的に消滅させる</x:v>
      </x:c>
      <x:c r="I587" s="165" t="str">
        <x:v>高タンニンほど舌を冷やす</x:v>
      </x:c>
      <x:c r="J587" s="171" t="str">
        <x:v>B</x:v>
      </x:c>
      <x:c r="K587" s="165" t="str">
        <x:v>少量の甘味が辛味を和らげ、低いアルコールが熱感の増幅を抑える</x:v>
      </x:c>
      <x:c r="L587" s="165" t="str">
        <x:v>正しい。芳香性と高い酸を持つワインなら、料理の香りに負けず爽やかさも保てる。</x:v>
      </x:c>
      <x:c r="M587" s="165" t="str">
        <x:v>誤り。アルコールの刺激が辛味を強く感じさせることがある。</x:v>
      </x:c>
      <x:c r="N587" s="165" t="str">
        <x:v>正しい。芳香性と高い酸を持つワインなら、料理の香りに負けず爽やかさも保てる。</x:v>
      </x:c>
      <x:c r="O587" s="165" t="str">
        <x:v>誤り。知覚を和らげるが、成分を除去しない。</x:v>
      </x:c>
      <x:c r="P587" s="165" t="str">
        <x:v>誤り。タンニンの苦渋味も強調されやすい。</x:v>
      </x:c>
      <x:c r="Q587" s="165" t="str">
        <x:v>料理との組み合わせ</x:v>
      </x:c>
      <x:c r="R587" s="165" t="str">
        <x:v>辛味</x:v>
      </x:c>
      <x:c r="S587" s="165" t="str">
        <x:v>白ワイン</x:v>
      </x:c>
      <x:c r="T587" s="165"/>
      <x:c r="U587" s="165"/>
      <x:c r="V587" s="165"/>
      <x:c r="W587" s="165" t="str">
        <x:v>因果説明</x:v>
      </x:c>
      <x:c r="X587" s="171" t="str">
        <x:v>D2</x:v>
      </x:c>
      <x:c r="Y587" s="165" t="str">
        <x:v>辛い料理とオフドライについて関連要因を主因とみなす; 辛い料理とオフドライについて関連要因を主因とみなす; 辛い料理とオフドライについて関連要因を主因とみなす</x:v>
      </x:c>
      <x:c r="Z587" s="171" t="str">
        <x:v>N</x:v>
      </x:c>
      <x:c r="AA587" s="165"/>
      <x:c r="AB587" s="165" t="str">
        <x:v>オリジナル</x:v>
      </x:c>
      <x:c r="AC587" s="165" t="str">
        <x:v>公式Specificationの範囲＋ユーザー作成コーパスの論点を参考に独自作成</x:v>
      </x:c>
      <x:c r="AD587" s="171" t="str">
        <x:v>改稿済み・専門家未承認</x:v>
      </x:c>
      <x:c r="AE587" s="171" t="str">
        <x:v>AI誤答レビュー</x:v>
      </x:c>
      <x:c r="AF587" s="171" t="str">
        <x:v>2026-07-12</x:v>
      </x:c>
      <x:c r="AG587" s="312" t="str">
        <x:v>第5バッチ：使用可能な誤答を維持し、弱い誤答を因果逆転・隣接概念へ置換。正答位置は維持。</x:v>
      </x:c>
    </x:row>
    <x:row r="588" ht="84" customHeight="1">
      <x:c r="A588" s="311" t="str">
        <x:v>LO5-107</x:v>
      </x:c>
      <x:c r="B588" s="171" t="str">
        <x:v>LO5</x:v>
      </x:c>
      <x:c r="C588" s="165" t="str">
        <x:v>情報提供・推奨・保管・サービス</x:v>
      </x:c>
      <x:c r="D588" s="165" t="str">
        <x:v>香り高いカレー</x:v>
      </x:c>
      <x:c r="E588" s="165" t="str">
        <x:v>香辛料を多く使った香り高いカレーに合わせやすいワインの特徴はどれか。</x:v>
      </x:c>
      <x:c r="F588" s="165" t="str">
        <x:v>無香で高タンニンの赤だけ</x:v>
      </x:c>
      <x:c r="G588" s="165" t="str">
        <x:v>極端に高アルコールのワイン</x:v>
      </x:c>
      <x:c r="H588" s="165" t="str">
        <x:v>品種香が強く、酸が高く、タンニンとアルコールが過度でない</x:v>
      </x:c>
      <x:c r="I588" s="165" t="str">
        <x:v>酸が全くないワイン</x:v>
      </x:c>
      <x:c r="J588" s="171" t="str">
        <x:v>C</x:v>
      </x:c>
      <x:c r="K588" s="165" t="str">
        <x:v>品種香が強く、酸が高く、タンニンとアルコールが過度でない</x:v>
      </x:c>
      <x:c r="L588" s="165" t="str">
        <x:v>正しい。リースリング、ゲヴュルツトラミネールなどの芳香が料理の強度に釣り合い、少量の甘味も辛味を整える。</x:v>
      </x:c>
      <x:c r="M588" s="165" t="str">
        <x:v>誤り。香りに負け、辛味でタンニンが厳しくなりやすい。</x:v>
      </x:c>
      <x:c r="N588" s="165" t="str">
        <x:v>誤り。熱感を強めることがある。</x:v>
      </x:c>
      <x:c r="O588" s="165" t="str">
        <x:v>正しい。リースリング、ゲヴュルツトラミネールなどの芳香が料理の強度に釣り合い、少量の甘味も辛味を整える。</x:v>
      </x:c>
      <x:c r="P588" s="165" t="str">
        <x:v>誤り。重くぼやけ、料理の脂肪を切りにくい。</x:v>
      </x:c>
      <x:c r="Q588" s="165" t="str">
        <x:v>料理との組み合わせ</x:v>
      </x:c>
      <x:c r="R588" s="165" t="str">
        <x:v>香辛料</x:v>
      </x:c>
      <x:c r="S588" s="165" t="str">
        <x:v>全般</x:v>
      </x:c>
      <x:c r="T588" s="165"/>
      <x:c r="U588" s="165"/>
      <x:c r="V588" s="165"/>
      <x:c r="W588" s="165" t="str">
        <x:v>判断</x:v>
      </x:c>
      <x:c r="X588" s="171" t="str">
        <x:v>D2</x:v>
      </x:c>
      <x:c r="Y588" s="165" t="str">
        <x:v>香り高いカレーに関する別の特徴・要因と混同; 香り高いカレーに関する別の特徴・要因と混同; 香り高いカレーに関する別の特徴・要因と混同</x:v>
      </x:c>
      <x:c r="Z588" s="171" t="str">
        <x:v>N</x:v>
      </x:c>
      <x:c r="AA588" s="165"/>
      <x:c r="AB588" s="165" t="str">
        <x:v>オリジナル</x:v>
      </x:c>
      <x:c r="AC588" s="165" t="str">
        <x:v>公式Specificationの範囲＋ユーザー作成コーパスの論点を参考に独自作成</x:v>
      </x:c>
      <x:c r="AD588" s="171" t="str">
        <x:v>改稿済み・専門家未承認</x:v>
      </x:c>
      <x:c r="AE588" s="171" t="str">
        <x:v>AI誤答レビュー</x:v>
      </x:c>
      <x:c r="AF588" s="171" t="str">
        <x:v>2026-07-12</x:v>
      </x:c>
      <x:c r="AG588" s="312" t="str">
        <x:v>最終バッチ：有効な誤答を維持し、絶対語・物理的不可能な誤答のみ置換。正答位置は維持。</x:v>
      </x:c>
    </x:row>
    <x:row r="589" ht="84" customHeight="1">
      <x:c r="A589" s="311" t="str">
        <x:v>LO5-108</x:v>
      </x:c>
      <x:c r="B589" s="171" t="str">
        <x:v>LO5</x:v>
      </x:c>
      <x:c r="C589" s="165" t="str">
        <x:v>情報提供・推奨・保管・サービス</x:v>
      </x:c>
      <x:c r="D589" s="165" t="str">
        <x:v>塩味と甘口</x:v>
      </x:c>
      <x:c r="E589" s="165" t="str">
        <x:v>塩味の強い料理に甘口ワインが合うことがある主な理由はどれか。</x:v>
      </x:c>
      <x:c r="F589" s="165" t="str">
        <x:v>高タンニンが主に塩味を和らげる</x:v>
      </x:c>
      <x:c r="G589" s="165" t="str">
        <x:v>塩がワインの糖を化学的に増やす</x:v>
      </x:c>
      <x:c r="H589" s="165" t="str">
        <x:v>塩味料理には酸が不要</x:v>
      </x:c>
      <x:c r="I589" s="165" t="str">
        <x:v>塩味がワインの甘味と果実味を引き立て、甘味が料理の塩辛さを和らげる</x:v>
      </x:c>
      <x:c r="J589" s="171" t="str">
        <x:v>D</x:v>
      </x:c>
      <x:c r="K589" s="165" t="str">
        <x:v>塩味がワインの甘味と果実味を引き立て、甘味が料理の塩辛さを和らげる</x:v>
      </x:c>
      <x:c r="L589" s="165" t="str">
        <x:v>正しい。甘味と塩味の対照が心地よく、酸を持つ甘口ワインなら重さも抑えられる。</x:v>
      </x:c>
      <x:c r="M589" s="165" t="str">
        <x:v>誤り。塩とうま味でタンニンが目立つことがある。</x:v>
      </x:c>
      <x:c r="N589" s="165" t="str">
        <x:v>誤り。知覚が強まるが糖量は変わらない。</x:v>
      </x:c>
      <x:c r="O589" s="165" t="str">
        <x:v>誤り。酸は甘味と脂肪のバランスに重要である。</x:v>
      </x:c>
      <x:c r="P589" s="165" t="str">
        <x:v>正しい。甘味と塩味の対照が心地よく、酸を持つ甘口ワインなら重さも抑えられる。</x:v>
      </x:c>
      <x:c r="Q589" s="165" t="str">
        <x:v>料理との組み合わせ</x:v>
      </x:c>
      <x:c r="R589" s="165" t="str">
        <x:v>塩味</x:v>
      </x:c>
      <x:c r="S589" s="165" t="str">
        <x:v>甘口ワイン</x:v>
      </x:c>
      <x:c r="T589" s="165"/>
      <x:c r="U589" s="165"/>
      <x:c r="V589" s="165"/>
      <x:c r="W589" s="165" t="str">
        <x:v>因果説明</x:v>
      </x:c>
      <x:c r="X589" s="171" t="str">
        <x:v>D2</x:v>
      </x:c>
      <x:c r="Y589" s="165" t="str">
        <x:v>塩味と甘口について関連要因を主因とみなす; 塩味と甘口について関連要因を主因とみなす; 塩味と甘口について関連要因を主因とみなす</x:v>
      </x:c>
      <x:c r="Z589" s="171" t="str">
        <x:v>N</x:v>
      </x:c>
      <x:c r="AA589" s="165"/>
      <x:c r="AB589" s="165" t="str">
        <x:v>オリジナル</x:v>
      </x:c>
      <x:c r="AC589" s="165" t="str">
        <x:v>公式Specificationの範囲＋ユーザー作成コーパスの論点を参考に独自作成</x:v>
      </x:c>
      <x:c r="AD589" s="171" t="str">
        <x:v>改稿済み・専門家未承認</x:v>
      </x:c>
      <x:c r="AE589" s="171" t="str">
        <x:v>AI誤答レビュー</x:v>
      </x:c>
      <x:c r="AF589" s="171" t="str">
        <x:v>2026-07-12</x:v>
      </x:c>
      <x:c r="AG589" s="312" t="str">
        <x:v>第5バッチ：使用可能な誤答を維持し、弱い誤答を因果逆転・隣接概念へ置換。正答位置は維持。</x:v>
      </x:c>
    </x:row>
    <x:row r="590" ht="84" customHeight="1">
      <x:c r="A590" s="311" t="str">
        <x:v>LO5-109</x:v>
      </x:c>
      <x:c r="B590" s="171" t="str">
        <x:v>LO5</x:v>
      </x:c>
      <x:c r="C590" s="165" t="str">
        <x:v>情報提供・推奨・保管・サービス</x:v>
      </x:c>
      <x:c r="D590" s="165" t="str">
        <x:v>うま味と成熟赤</x:v>
      </x:c>
      <x:c r="E590" s="165" t="str">
        <x:v>うま味の強いキノコや熟成チーズに、非常に若く高タンニンの赤より成熟した赤が合いやすい理由はどれか。</x:v>
      </x:c>
      <x:c r="F590" s="165" t="str">
        <x:v>熟成でタンニンが穏やかになり、土やキノコの熟成香が料理と調和するため</x:v>
      </x:c>
      <x:c r="G590" s="165" t="str">
        <x:v>若い高タンニン赤の収れん性が、キノコや熟成チーズのうま味を弱める</x:v>
      </x:c>
      <x:c r="H590" s="165" t="str">
        <x:v>熟成でアルコールが消え、うま味による刺激を受けなくなるため</x:v>
      </x:c>
      <x:c r="I590" s="165" t="str">
        <x:v>うま味が成熟赤のタンニンを増やし、料理の強度へ合わせるため</x:v>
      </x:c>
      <x:c r="J590" s="171" t="str">
        <x:v>A</x:v>
      </x:c>
      <x:c r="K590" s="165" t="str">
        <x:v>熟成でタンニンが穏やかになり、土やキノコの熟成香が料理と調和するため</x:v>
      </x:c>
      <x:c r="L590" s="165" t="str">
        <x:v>正しい。若い高タンニン赤より、柔らかな構造と発展した香りがうま味へ適する。</x:v>
      </x:c>
      <x:c r="M590" s="165" t="str">
        <x:v>正しい。若い高タンニン赤より、柔らかな構造と発展した香りがうま味へ適する。</x:v>
      </x:c>
      <x:c r="N590" s="165" t="str">
        <x:v>誤り。うま味は若いタンニンや苦味を強調しやすく、成熟した柔らかな赤が有利である。</x:v>
      </x:c>
      <x:c r="O590" s="165" t="str">
        <x:v>誤り。アルコールは残る。</x:v>
      </x:c>
      <x:c r="P590" s="165" t="str">
        <x:v>誤り。うま味はタンニンの苦渋味を強調し得る。</x:v>
      </x:c>
      <x:c r="Q590" s="165" t="str">
        <x:v>料理との組み合わせ</x:v>
      </x:c>
      <x:c r="R590" s="165" t="str">
        <x:v>うま味</x:v>
      </x:c>
      <x:c r="S590" s="165" t="str">
        <x:v>赤ワイン</x:v>
      </x:c>
      <x:c r="T590" s="165"/>
      <x:c r="U590" s="165"/>
      <x:c r="V590" s="165"/>
      <x:c r="W590" s="165" t="str">
        <x:v>比較</x:v>
      </x:c>
      <x:c r="X590" s="171" t="str">
        <x:v>D3</x:v>
      </x:c>
      <x:c r="Y590" s="165" t="str">
        <x:v>高タンニンがうま味を弱める; 熟成赤はアルコールが消える; うま味でタンニンが増える</x:v>
      </x:c>
      <x:c r="Z590" s="171" t="str">
        <x:v>N</x:v>
      </x:c>
      <x:c r="AA590" s="165"/>
      <x:c r="AB590" s="165" t="str">
        <x:v>オリジナル</x:v>
      </x:c>
      <x:c r="AC590" s="165" t="str">
        <x:v>公式Specificationの範囲＋ユーザー作成コーパスの論点を参考に独自作成</x:v>
      </x:c>
      <x:c r="AD590" s="171" t="str">
        <x:v>改稿済み・専門家未承認</x:v>
      </x:c>
      <x:c r="AE590" s="171" t="str">
        <x:v>AI誤答レビュー</x:v>
      </x:c>
      <x:c r="AF590" s="171" t="str">
        <x:v>2026-07-12</x:v>
      </x:c>
      <x:c r="AG590" s="312" t="str">
        <x:v>第4バッチ：同一論点内の典型的誤概念へ置換。正答位置は維持。</x:v>
      </x:c>
    </x:row>
    <x:row r="591" ht="84" customHeight="1">
      <x:c r="A591" s="311" t="str">
        <x:v>LO5-110</x:v>
      </x:c>
      <x:c r="B591" s="171" t="str">
        <x:v>LO5</x:v>
      </x:c>
      <x:c r="C591" s="165" t="str">
        <x:v>情報提供・推奨・保管・サービス</x:v>
      </x:c>
      <x:c r="D591" s="165" t="str">
        <x:v>チョコレートデザート</x:v>
      </x:c>
      <x:c r="E591" s="165" t="str">
        <x:v>濃厚なチョコレートデザートに合わせるワインの特徴として最も適切なものはどれか。</x:v>
      </x:c>
      <x:c r="F591" s="165" t="str">
        <x:v>ワインの甘味はデザートより低い方がよい</x:v>
      </x:c>
      <x:c r="G591" s="165" t="str">
        <x:v>デザート以上の甘味と、チョコレートに負けない濃い果実・熟成風味を持つ</x:v>
      </x:c>
      <x:c r="H591" s="165" t="str">
        <x:v>低果実味で高タンニンの若い赤</x:v>
      </x:c>
      <x:c r="I591" s="165" t="str">
        <x:v>軽い完全辛口の高酸白だけ</x:v>
      </x:c>
      <x:c r="J591" s="171" t="str">
        <x:v>B</x:v>
      </x:c>
      <x:c r="K591" s="165" t="str">
        <x:v>デザート以上の甘味と、チョコレートに負けない濃い果実・熟成風味を持つ</x:v>
      </x:c>
      <x:c r="L591" s="165" t="str">
        <x:v>正しい。ルビー系ポートや甘口酒精強化赤などは、黒系果実、アルコール、甘味の強度が料理に釣り合う。</x:v>
      </x:c>
      <x:c r="M591" s="165" t="str">
        <x:v>誤り。ワインが厳しく感じられやすい。</x:v>
      </x:c>
      <x:c r="N591" s="165" t="str">
        <x:v>正しい。ルビー系ポートや甘口酒精強化赤などは、黒系果実、アルコール、甘味の強度が料理に釣り合う。</x:v>
      </x:c>
      <x:c r="O591" s="165" t="str">
        <x:v>誤り。チョコレートの苦味とうま味で渋味が強調されることがある。</x:v>
      </x:c>
      <x:c r="P591" s="165" t="str">
        <x:v>誤り。料理の甘味でワインが薄く酸っぱく感じられやすい。</x:v>
      </x:c>
      <x:c r="Q591" s="165" t="str">
        <x:v>料理との組み合わせ</x:v>
      </x:c>
      <x:c r="R591" s="165" t="str">
        <x:v>デザート</x:v>
      </x:c>
      <x:c r="S591" s="165" t="str">
        <x:v>甘口酒精強化ワイン</x:v>
      </x:c>
      <x:c r="T591" s="165"/>
      <x:c r="U591" s="165"/>
      <x:c r="V591" s="165"/>
      <x:c r="W591" s="165" t="str">
        <x:v>判断</x:v>
      </x:c>
      <x:c r="X591" s="171" t="str">
        <x:v>D2</x:v>
      </x:c>
      <x:c r="Y591" s="165" t="str">
        <x:v>チョコレートデザートについて関連要因を主因とみなす; チョコレートデザートについて関連要因を主因とみなす; チョコレートデザートについて関連要因を主因とみなす</x:v>
      </x:c>
      <x:c r="Z591" s="171" t="str">
        <x:v>N</x:v>
      </x:c>
      <x:c r="AA591" s="165"/>
      <x:c r="AB591" s="165" t="str">
        <x:v>オリジナル</x:v>
      </x:c>
      <x:c r="AC591" s="165" t="str">
        <x:v>公式Specificationの範囲＋ユーザー作成コーパスの論点を参考に独自作成</x:v>
      </x:c>
      <x:c r="AD591" s="171" t="str">
        <x:v>改稿済み・専門家未承認</x:v>
      </x:c>
      <x:c r="AE591" s="171" t="str">
        <x:v>AI誤答レビュー</x:v>
      </x:c>
      <x:c r="AF591" s="171" t="str">
        <x:v>2026-07-12</x:v>
      </x:c>
      <x:c r="AG591" s="312" t="str">
        <x:v>第5バッチ：使用可能な誤答を維持し、弱い誤答を因果逆転・隣接概念へ置換。正答位置は維持。</x:v>
      </x:c>
    </x:row>
    <x:row r="592" ht="84" customHeight="1">
      <x:c r="A592" s="311" t="str">
        <x:v>LO5-111</x:v>
      </x:c>
      <x:c r="B592" s="171" t="str">
        <x:v>LO5</x:v>
      </x:c>
      <x:c r="C592" s="165" t="str">
        <x:v>情報提供・推奨・保管・サービス</x:v>
      </x:c>
      <x:c r="D592" s="165" t="str">
        <x:v>レモンデザート</x:v>
      </x:c>
      <x:c r="E592" s="165" t="str">
        <x:v>レモンタルトのように甘味と高い酸を持つデザートに適するワインはどれか。</x:v>
      </x:c>
      <x:c r="F592" s="165" t="str">
        <x:v>低酸の辛口赤</x:v>
      </x:c>
      <x:c r="G592" s="165" t="str">
        <x:v>高タンニンの若いカベルネだけ</x:v>
      </x:c>
      <x:c r="H592" s="165" t="str">
        <x:v>デザート以上の甘味と高い酸を持つ甘口白ワイン</x:v>
      </x:c>
      <x:c r="I592" s="165" t="str">
        <x:v>酸のない極辛口白</x:v>
      </x:c>
      <x:c r="J592" s="171" t="str">
        <x:v>C</x:v>
      </x:c>
      <x:c r="K592" s="165" t="str">
        <x:v>デザート以上の甘味と高い酸を持つ甘口白ワイン</x:v>
      </x:c>
      <x:c r="L592" s="165" t="str">
        <x:v>正しい。ワインの酸がレモンの鮮度に釣り合い、十分な甘味が辛く薄く感じるのを防ぐ。</x:v>
      </x:c>
      <x:c r="M592" s="165" t="str">
        <x:v>誤り。酸味と甘味の双方に負けやすい。</x:v>
      </x:c>
      <x:c r="N592" s="165" t="str">
        <x:v>誤り。タンニンが苦く、果実味が乏しく感じられやすい。</x:v>
      </x:c>
      <x:c r="O592" s="165" t="str">
        <x:v>正しい。ワインの酸がレモンの鮮度に釣り合い、十分な甘味が辛く薄く感じるのを防ぐ。</x:v>
      </x:c>
      <x:c r="P592" s="165" t="str">
        <x:v>誤り。料理の酸でさらに平坦に感じる。</x:v>
      </x:c>
      <x:c r="Q592" s="165" t="str">
        <x:v>料理との組み合わせ</x:v>
      </x:c>
      <x:c r="R592" s="165" t="str">
        <x:v>デザート</x:v>
      </x:c>
      <x:c r="S592" s="165" t="str">
        <x:v>甘口白ワイン</x:v>
      </x:c>
      <x:c r="T592" s="165"/>
      <x:c r="U592" s="165"/>
      <x:c r="V592" s="165"/>
      <x:c r="W592" s="165" t="str">
        <x:v>判断</x:v>
      </x:c>
      <x:c r="X592" s="171" t="str">
        <x:v>D2</x:v>
      </x:c>
      <x:c r="Y592" s="165" t="str">
        <x:v>レモンデザートに関する別の特徴・要因と混同; レモンデザートに関する別の特徴・要因と混同; レモンデザートに関する別の特徴・要因と混同</x:v>
      </x:c>
      <x:c r="Z592" s="171" t="str">
        <x:v>N</x:v>
      </x:c>
      <x:c r="AA592" s="165"/>
      <x:c r="AB592" s="165" t="str">
        <x:v>オリジナル</x:v>
      </x:c>
      <x:c r="AC592" s="165" t="str">
        <x:v>公式Specificationの範囲＋ユーザー作成コーパスの論点を参考に独自作成</x:v>
      </x:c>
      <x:c r="AD592" s="171" t="str">
        <x:v>改稿済み・専門家未承認</x:v>
      </x:c>
      <x:c r="AE592" s="171" t="str">
        <x:v>AI誤答レビュー</x:v>
      </x:c>
      <x:c r="AF592" s="171" t="str">
        <x:v>2026-07-12</x:v>
      </x:c>
      <x:c r="AG592" s="312" t="str">
        <x:v>最終バッチ：有効な誤答を維持し、絶対語・物理的不可能な誤答のみ置換。正答位置は維持。</x:v>
      </x:c>
    </x:row>
    <x:row r="593" ht="84" customHeight="1">
      <x:c r="A593" s="311" t="str">
        <x:v>LO5-112</x:v>
      </x:c>
      <x:c r="B593" s="171" t="str">
        <x:v>LO5</x:v>
      </x:c>
      <x:c r="C593" s="165" t="str">
        <x:v>情報提供・推奨・保管・サービス</x:v>
      </x:c>
      <x:c r="D593" s="165" t="str">
        <x:v>チーズの強度</x:v>
      </x:c>
      <x:c r="E593" s="165" t="str">
        <x:v>ワインとチーズを合わせる際、チーズの風味強度を考慮する主な理由はどれか。</x:v>
      </x:c>
      <x:c r="F593" s="165" t="str">
        <x:v>チーズの色がワインの色と一致していないと、香りが弱くなるため</x:v>
      </x:c>
      <x:c r="G593" s="165" t="str">
        <x:v>熟成チーズほど塩味が下がるため、軽いワインが必要になる</x:v>
      </x:c>
      <x:c r="H593" s="165" t="str">
        <x:v>力強いワインほど、どのチーズにも合わせやすいため</x:v>
      </x:c>
      <x:c r="I593" s="165" t="str">
        <x:v>繊細なワインは強い熟成チーズに覆われ、力強いワインは軽いチーズを圧倒するため</x:v>
      </x:c>
      <x:c r="J593" s="171" t="str">
        <x:v>D</x:v>
      </x:c>
      <x:c r="K593" s="165" t="str">
        <x:v>繊細なワインは強い熟成チーズに覆われ、力強いワインは軽いチーズを圧倒するため</x:v>
      </x:c>
      <x:c r="L593" s="165" t="str">
        <x:v>正しい。双方の風味強度を釣り合わせる必要がある。</x:v>
      </x:c>
      <x:c r="M593" s="165" t="str">
        <x:v>誤り。相性は色の一致ではなく、香味と構造の強さで考える。</x:v>
      </x:c>
      <x:c r="N593" s="165" t="str">
        <x:v>誤り。熟成で塩味やうま味が強まることが多く、記述は逆である。</x:v>
      </x:c>
      <x:c r="O593" s="165" t="str">
        <x:v>誤り。強ければ万能ではなく、軽いチーズを覆うことがある。</x:v>
      </x:c>
      <x:c r="P593" s="165" t="str">
        <x:v>正しい。双方の風味強度を釣り合わせる必要がある。</x:v>
      </x:c>
      <x:c r="Q593" s="165" t="str">
        <x:v>料理との組み合わせ</x:v>
      </x:c>
      <x:c r="R593" s="165" t="str">
        <x:v>チーズ</x:v>
      </x:c>
      <x:c r="S593" s="165" t="str">
        <x:v>全般</x:v>
      </x:c>
      <x:c r="T593" s="165"/>
      <x:c r="U593" s="165"/>
      <x:c r="V593" s="165"/>
      <x:c r="W593" s="165" t="str">
        <x:v>統合判断</x:v>
      </x:c>
      <x:c r="X593" s="171" t="str">
        <x:v>D2</x:v>
      </x:c>
      <x:c r="Y593" s="165" t="str">
        <x:v>チーズとワインは色を合わせる; 熟成チーズほど塩味が低い; 力強いワインは全チーズに合う</x:v>
      </x:c>
      <x:c r="Z593" s="171" t="str">
        <x:v>N</x:v>
      </x:c>
      <x:c r="AA593" s="165"/>
      <x:c r="AB593" s="165" t="str">
        <x:v>オリジナル</x:v>
      </x:c>
      <x:c r="AC593" s="165" t="str">
        <x:v>公式Specificationの範囲＋ユーザー作成コーパスの論点を参考に独自作成</x:v>
      </x:c>
      <x:c r="AD593" s="171" t="str">
        <x:v>改稿済み・専門家未承認</x:v>
      </x:c>
      <x:c r="AE593" s="171" t="str">
        <x:v>AI誤答レビュー</x:v>
      </x:c>
      <x:c r="AF593" s="171" t="str">
        <x:v>2026-07-12</x:v>
      </x:c>
      <x:c r="AG593" s="312" t="str">
        <x:v>第3バッチ：同一論点内の典型的誤概念へ置換。正答位置は維持。</x:v>
      </x:c>
    </x:row>
    <x:row r="594" ht="84" customHeight="1">
      <x:c r="A594" s="311" t="str">
        <x:v>LO5-113</x:v>
      </x:c>
      <x:c r="B594" s="171" t="str">
        <x:v>LO5</x:v>
      </x:c>
      <x:c r="C594" s="165" t="str">
        <x:v>情報提供・推奨・保管・サービス</x:v>
      </x:c>
      <x:c r="D594" s="165" t="str">
        <x:v>植物性うま味料理</x:v>
      </x:c>
      <x:c r="E594" s="165" t="str">
        <x:v>キノコ、味噌、醤油などうま味の強い植物性料理に合わせる際、避けた方がよい傾向はどれか。</x:v>
      </x:c>
      <x:c r="F594" s="165" t="str">
        <x:v>非常に高いタンニンと高いアルコール</x:v>
      </x:c>
      <x:c r="G594" s="165" t="str">
        <x:v>高い酸と鮮度</x:v>
      </x:c>
      <x:c r="H594" s="165" t="str">
        <x:v>適度な果実味</x:v>
      </x:c>
      <x:c r="I594" s="165" t="str">
        <x:v>低いタンニン</x:v>
      </x:c>
      <x:c r="J594" s="171" t="str">
        <x:v>A</x:v>
      </x:c>
      <x:c r="K594" s="165" t="str">
        <x:v>非常に高いタンニンと高いアルコール</x:v>
      </x:c>
      <x:c r="L594" s="165" t="str">
        <x:v>正しい。うま味は苦味、酸、アルコールの刺激を強め、果実味を弱く感じさせるため、柔らかく果実味のあるワインが合わせやすい。</x:v>
      </x:c>
      <x:c r="M594" s="165" t="str">
        <x:v>正しい。うま味は苦味、酸、アルコールの刺激を強め、果実味を弱く感じさせるため、柔らかく果実味のあるワインが合わせやすい。</x:v>
      </x:c>
      <x:c r="N594" s="165" t="str">
        <x:v>誤り。料理の塩味や脂肪を整えるため有利な場合がある。</x:v>
      </x:c>
      <x:c r="O594" s="165" t="str">
        <x:v>誤り。うま味で弱く感じられるため、十分な果実味は役立つ。</x:v>
      </x:c>
      <x:c r="P594" s="165" t="str">
        <x:v>誤り。うま味による苦渋味の強調を避けやすい。</x:v>
      </x:c>
      <x:c r="Q594" s="165" t="str">
        <x:v>料理との組み合わせ</x:v>
      </x:c>
      <x:c r="R594" s="165" t="str">
        <x:v>うま味</x:v>
      </x:c>
      <x:c r="S594" s="165" t="str">
        <x:v>全般</x:v>
      </x:c>
      <x:c r="T594" s="165"/>
      <x:c r="U594" s="165"/>
      <x:c r="V594" s="165"/>
      <x:c r="W594" s="165" t="str">
        <x:v>判断</x:v>
      </x:c>
      <x:c r="X594" s="171" t="str">
        <x:v>D2</x:v>
      </x:c>
      <x:c r="Y594" s="165" t="str">
        <x:v>植物性うま味料理に関する別の特徴・要因と混同; 植物性うま味料理に関する別の特徴・要因と混同; 植物性うま味料理に関する別の特徴・要因と混同</x:v>
      </x:c>
      <x:c r="Z594" s="171" t="str">
        <x:v>N</x:v>
      </x:c>
      <x:c r="AA594" s="165"/>
      <x:c r="AB594" s="165" t="str">
        <x:v>オリジナル</x:v>
      </x:c>
      <x:c r="AC594" s="165" t="str">
        <x:v>公式Specificationの範囲＋ユーザー作成コーパスの論点を参考に独自作成</x:v>
      </x:c>
      <x:c r="AD594" s="171" t="str">
        <x:v>改稿済み・専門家未承認</x:v>
      </x:c>
      <x:c r="AE594" s="171" t="str">
        <x:v>AI誤答レビュー</x:v>
      </x:c>
      <x:c r="AF594" s="171" t="str">
        <x:v>2026-07-12</x:v>
      </x:c>
      <x:c r="AG594" s="312" t="str">
        <x:v>最終バッチ：有効な誤答を維持し、絶対語・物理的不可能な誤答のみ置換。正答位置は維持。</x:v>
      </x:c>
    </x:row>
    <x:row r="595" ht="84" customHeight="1">
      <x:c r="A595" s="311" t="str">
        <x:v>LO5-114</x:v>
      </x:c>
      <x:c r="B595" s="171" t="str">
        <x:v>LO5</x:v>
      </x:c>
      <x:c r="C595" s="165" t="str">
        <x:v>情報提供・推奨・保管・サービス</x:v>
      </x:c>
      <x:c r="D595" s="165" t="str">
        <x:v>予算内の代替提案</x:v>
      </x:c>
      <x:c r="E595" s="165" t="str">
        <x:v>希望銘柄が予算を超える場合の代替提案として、最も適切な方法はどれか。</x:v>
      </x:c>
      <x:c r="F595" s="165" t="str">
        <x:v>同じ国の最安値を選び、スタイルの違いは価格差として説明する</x:v>
      </x:c>
      <x:c r="G595" s="165" t="str">
        <x:v>好みの品種、ボディ、オーク、熟成感を確認し、似たスタイルを提案する</x:v>
      </x:c>
      <x:c r="H595" s="165" t="str">
        <x:v>価格差だけを説明し、味わいは顧客自身に判断してもらう</x:v>
      </x:c>
      <x:c r="I595" s="165" t="str">
        <x:v>予算を少し超えても、希望銘柄より有名な生産者を提案する</x:v>
      </x:c>
      <x:c r="J595" s="171" t="str">
        <x:v>B</x:v>
      </x:c>
      <x:c r="K595" s="165" t="str">
        <x:v>好みの品種、ボディ、オーク、熟成感を確認し、似たスタイルを提案する</x:v>
      </x:c>
      <x:c r="L595" s="165" t="str">
        <x:v>正しい。好みを要素へ分解し、近い特徴を持つ代替を探す。</x:v>
      </x:c>
      <x:c r="M595" s="165" t="str">
        <x:v>誤り。価格だけでなく、顧客が求めたスタイルを維持することが重要である。</x:v>
      </x:c>
      <x:c r="N595" s="165" t="str">
        <x:v>正しい。好みを要素へ分解し、近い特徴を持つ代替を探す。</x:v>
      </x:c>
      <x:c r="O595" s="165" t="str">
        <x:v>誤り。価格差とともに、スタイルや品質の違いを説明する必要がある。</x:v>
      </x:c>
      <x:c r="P595" s="165" t="str">
        <x:v>誤り。予算制約を満たさない提案ではない。</x:v>
      </x:c>
      <x:c r="Q595" s="165" t="str">
        <x:v>推奨</x:v>
      </x:c>
      <x:c r="R595" s="165" t="str">
        <x:v>予算</x:v>
      </x:c>
      <x:c r="S595" s="165" t="str">
        <x:v>全般</x:v>
      </x:c>
      <x:c r="T595" s="165"/>
      <x:c r="U595" s="165"/>
      <x:c r="V595" s="165"/>
      <x:c r="W595" s="165" t="str">
        <x:v>適用</x:v>
      </x:c>
      <x:c r="X595" s="171" t="str">
        <x:v>D3</x:v>
      </x:c>
      <x:c r="Y595" s="165" t="str">
        <x:v>代替は同国最安値でよい; 代替提案で味の違いを説明しない; 予算超過でも有名生産者を勧める</x:v>
      </x:c>
      <x:c r="Z595" s="171" t="str">
        <x:v>N</x:v>
      </x:c>
      <x:c r="AA595" s="165"/>
      <x:c r="AB595" s="165" t="str">
        <x:v>オリジナル</x:v>
      </x:c>
      <x:c r="AC595" s="165" t="str">
        <x:v>公式Specificationの範囲＋ユーザー作成コーパスの論点を参考に独自作成</x:v>
      </x:c>
      <x:c r="AD595" s="171" t="str">
        <x:v>改稿済み・専門家未承認</x:v>
      </x:c>
      <x:c r="AE595" s="171" t="str">
        <x:v>AI誤答レビュー</x:v>
      </x:c>
      <x:c r="AF595" s="171" t="str">
        <x:v>2026-07-12</x:v>
      </x:c>
      <x:c r="AG595" s="312" t="str">
        <x:v>第3バッチ：同一論点内の典型的誤概念へ置換。正答位置は維持。</x:v>
      </x:c>
    </x:row>
    <x:row r="596" ht="84" customHeight="1">
      <x:c r="A596" s="311" t="str">
        <x:v>LO5-115</x:v>
      </x:c>
      <x:c r="B596" s="171" t="str">
        <x:v>LO5</x:v>
      </x:c>
      <x:c r="C596" s="165" t="str">
        <x:v>情報提供・推奨・保管・サービス</x:v>
      </x:c>
      <x:c r="D596" s="165" t="str">
        <x:v>低アルコールの希望</x:v>
      </x:c>
      <x:c r="E596" s="165" t="str">
        <x:v>低アルコールのワインを希望する顧客へ確認すべき事項として最も適切なものはどれか。</x:v>
      </x:c>
      <x:c r="F596" s="165" t="str">
        <x:v>高アルコールのワインを冷やせば低アルコールになると説明する</x:v>
      </x:c>
      <x:c r="G596" s="165" t="str">
        <x:v>低アルコールなら多く甘口と決めつける</x:v>
      </x:c>
      <x:c r="H596" s="165" t="str">
        <x:v>辛口か甘口か、発泡性の可否、好む酸と香り、希望する実際のアルコール度</x:v>
      </x:c>
      <x:c r="I596" s="165" t="str">
        <x:v>価格だけを聞き、味の好みを無視する</x:v>
      </x:c>
      <x:c r="J596" s="171" t="str">
        <x:v>C</x:v>
      </x:c>
      <x:c r="K596" s="165" t="str">
        <x:v>辛口か甘口か、発泡性の可否、好む酸と香り、希望する実際のアルコール度</x:v>
      </x:c>
      <x:c r="L596" s="165" t="str">
        <x:v>正しい。低アルコールには早摘みの辛口、発酵停止した甘口、発泡性など異なるスタイルがあるため、好みを具体化する。</x:v>
      </x:c>
      <x:c r="M596" s="165" t="str">
        <x:v>誤り。温度で実際のアルコール度は変わらない。</x:v>
      </x:c>
      <x:c r="N596" s="165" t="str">
        <x:v>誤り。辛口の低アルコールワインもある。</x:v>
      </x:c>
      <x:c r="O596" s="165" t="str">
        <x:v>正しい。低アルコールには早摘みの辛口、発酵停止した甘口、発泡性など異なるスタイルがあるため、好みを具体化する。</x:v>
      </x:c>
      <x:c r="P596" s="165" t="str">
        <x:v>誤り。満足度の高い提案にはスタイル確認が必要である。</x:v>
      </x:c>
      <x:c r="Q596" s="165" t="str">
        <x:v>推奨</x:v>
      </x:c>
      <x:c r="R596" s="165" t="str">
        <x:v>顧客ニーズ</x:v>
      </x:c>
      <x:c r="S596" s="165" t="str">
        <x:v>全般</x:v>
      </x:c>
      <x:c r="T596" s="165"/>
      <x:c r="U596" s="165"/>
      <x:c r="V596" s="165"/>
      <x:c r="W596" s="165" t="str">
        <x:v>適用</x:v>
      </x:c>
      <x:c r="X596" s="171" t="str">
        <x:v>D3</x:v>
      </x:c>
      <x:c r="Y596" s="165" t="str">
        <x:v>低アルコールの希望について関連要因を主因とみなす; 低アルコールの希望について関連要因を主因とみなす; 低アルコールの希望について関連要因を主因とみなす</x:v>
      </x:c>
      <x:c r="Z596" s="171" t="str">
        <x:v>N</x:v>
      </x:c>
      <x:c r="AA596" s="165"/>
      <x:c r="AB596" s="165" t="str">
        <x:v>オリジナル</x:v>
      </x:c>
      <x:c r="AC596" s="165" t="str">
        <x:v>公式Specificationの範囲＋ユーザー作成コーパスの論点を参考に独自作成</x:v>
      </x:c>
      <x:c r="AD596" s="171" t="str">
        <x:v>改稿済み・専門家未承認</x:v>
      </x:c>
      <x:c r="AE596" s="171" t="str">
        <x:v>AI誤答レビュー</x:v>
      </x:c>
      <x:c r="AF596" s="171" t="str">
        <x:v>2026-07-12</x:v>
      </x:c>
      <x:c r="AG596" s="312" t="str">
        <x:v>第5バッチ：使用可能な誤答を維持し、弱い誤答を因果逆転・隣接概念へ置換。正答位置は維持。</x:v>
      </x:c>
    </x:row>
    <x:row r="597" ht="84" customHeight="1">
      <x:c r="A597" s="311" t="str">
        <x:v>LO5-116</x:v>
      </x:c>
      <x:c r="B597" s="171" t="str">
        <x:v>LO5</x:v>
      </x:c>
      <x:c r="C597" s="165" t="str">
        <x:v>情報提供・推奨・保管・サービス</x:v>
      </x:c>
      <x:c r="D597" s="165" t="str">
        <x:v>オーク香を避ける希望</x:v>
      </x:c>
      <x:c r="E597" s="165" t="str">
        <x:v>オーク香を好まない顧客へ提案しやすいワインの特徴はどれか。</x:v>
      </x:c>
      <x:c r="F597" s="165" t="str">
        <x:v>新樽100%で長期熟成したワイン</x:v>
      </x:c>
      <x:c r="G597" s="165" t="str">
        <x:v>高いトースト度の小樽だけで発酵したワイン</x:v>
      </x:c>
      <x:c r="H597" s="165" t="str">
        <x:v>生産方法は香りに影響しない</x:v>
      </x:c>
      <x:c r="I597" s="165" t="str">
        <x:v>ステンレス発酵・熟成で、若く果実味と酸を重視したスタイル</x:v>
      </x:c>
      <x:c r="J597" s="171" t="str">
        <x:v>D</x:v>
      </x:c>
      <x:c r="K597" s="165" t="str">
        <x:v>ステンレス発酵・熟成で、若く果実味と酸を重視したスタイル</x:v>
      </x:c>
      <x:c r="L597" s="165" t="str">
        <x:v>正しい。シャブリ、ミュスカデ、若いソーヴィニヨン・ブランなど、オークの使用が少ないワインを選びやすい。</x:v>
      </x:c>
      <x:c r="M597" s="165" t="str">
        <x:v>誤り。ヴァニラ、トースト、木質香が強くなりやすい。</x:v>
      </x:c>
      <x:c r="N597" s="165" t="str">
        <x:v>誤り。強いオーク香を避ける希望と逆である。</x:v>
      </x:c>
      <x:c r="O597" s="165" t="str">
        <x:v>誤り。容器と熟成が香味へ大きく影響する。</x:v>
      </x:c>
      <x:c r="P597" s="165" t="str">
        <x:v>正しい。シャブリ、ミュスカデ、若いソーヴィニヨン・ブランなど、オークの使用が少ないワインを選びやすい。</x:v>
      </x:c>
      <x:c r="Q597" s="165" t="str">
        <x:v>推奨</x:v>
      </x:c>
      <x:c r="R597" s="165" t="str">
        <x:v>顧客ニーズ</x:v>
      </x:c>
      <x:c r="S597" s="165" t="str">
        <x:v>全般</x:v>
      </x:c>
      <x:c r="T597" s="165"/>
      <x:c r="U597" s="165"/>
      <x:c r="V597" s="165"/>
      <x:c r="W597" s="165" t="str">
        <x:v>判断</x:v>
      </x:c>
      <x:c r="X597" s="171" t="str">
        <x:v>D2</x:v>
      </x:c>
      <x:c r="Y597" s="165" t="str">
        <x:v>オーク香を避ける希望に関する別の特徴・要因と混同; オーク香を避ける希望に関する別の特徴・要因と混同; オーク香を避ける希望に関する別の特徴・要因と混同</x:v>
      </x:c>
      <x:c r="Z597" s="171" t="str">
        <x:v>N</x:v>
      </x:c>
      <x:c r="AA597" s="165"/>
      <x:c r="AB597" s="165" t="str">
        <x:v>オリジナル</x:v>
      </x:c>
      <x:c r="AC597" s="165" t="str">
        <x:v>公式Specificationの範囲＋ユーザー作成コーパスの論点を参考に独自作成</x:v>
      </x:c>
      <x:c r="AD597" s="171" t="str">
        <x:v>改稿済み・専門家未承認</x:v>
      </x:c>
      <x:c r="AE597" s="171" t="str">
        <x:v>AI誤答レビュー</x:v>
      </x:c>
      <x:c r="AF597" s="171" t="str">
        <x:v>2026-07-12</x:v>
      </x:c>
      <x:c r="AG597" s="312" t="str">
        <x:v>最終バッチ：有効な誤答を維持し、絶対語・物理的不可能な誤答のみ置換。正答位置は維持。</x:v>
      </x:c>
    </x:row>
    <x:row r="598" ht="84" customHeight="1">
      <x:c r="A598" s="311" t="str">
        <x:v>LO5-117</x:v>
      </x:c>
      <x:c r="B598" s="171" t="str">
        <x:v>LO5</x:v>
      </x:c>
      <x:c r="C598" s="165" t="str">
        <x:v>情報提供・推奨・保管・サービス</x:v>
      </x:c>
      <x:c r="D598" s="165" t="str">
        <x:v>古酒の提案リスク</x:v>
      </x:c>
      <x:c r="E598" s="165" t="str">
        <x:v>重要な機会に熟成した古いワインを提案する際、若いワインより注意すべき点はどれか。</x:v>
      </x:c>
      <x:c r="F598" s="165" t="str">
        <x:v>ボトル差、保管履歴、澱、脆いコルク、開栓後の短い飲み頃</x:v>
      </x:c>
      <x:c r="G598" s="165" t="str">
        <x:v>熟成によって澱とコルクの問題が減るため、若いワインより準備が簡単になる</x:v>
      </x:c>
      <x:c r="H598" s="165" t="str">
        <x:v>古いワインはゆっくり開くため、数時間の強いデカンティングが常に安全である</x:v>
      </x:c>
      <x:c r="I598" s="165" t="str">
        <x:v>良好なヴィンテージであれば、保管履歴によるボトル差は無視できる</x:v>
      </x:c>
      <x:c r="J598" s="171" t="str">
        <x:v>A</x:v>
      </x:c>
      <x:c r="K598" s="165" t="str">
        <x:v>ボトル差、保管履歴、澱、脆いコルク、開栓後の短い飲み頃</x:v>
      </x:c>
      <x:c r="L598" s="165" t="str">
        <x:v>正しい。古酒は栓と保管履歴によるボトル差が大きく、澱の分離、脆いコルク、開栓後の急速な衰退へ備える必要がある。</x:v>
      </x:c>
      <x:c r="M598" s="165" t="str">
        <x:v>正しい。古酒は栓と保管履歴によるボトル差が大きく、澱の分離、脆いコルク、開栓後の急速な衰退へ備える必要がある。</x:v>
      </x:c>
      <x:c r="N598" s="165" t="str">
        <x:v>誤り。熟成が長いほどコルクの脆化、澱、液面低下などのサービス上の問題が増えることがある。</x:v>
      </x:c>
      <x:c r="O598" s="165" t="str">
        <x:v>誤り。古酒は空気で急速に衰える場合があり、長時間の強いデカンティングを常に行うべきではない。</x:v>
      </x:c>
      <x:c r="P598" s="165" t="str">
        <x:v>誤り。優良年でも輸送・温度・栓の差によって状態は大きく異なり得る。</x:v>
      </x:c>
      <x:c r="Q598" s="165" t="str">
        <x:v>推奨</x:v>
      </x:c>
      <x:c r="R598" s="165" t="str">
        <x:v>熟成ワイン</x:v>
      </x:c>
      <x:c r="S598" s="165" t="str">
        <x:v>全般</x:v>
      </x:c>
      <x:c r="T598" s="165"/>
      <x:c r="U598" s="165"/>
      <x:c r="V598" s="165"/>
      <x:c r="W598" s="165" t="str">
        <x:v>統合判断</x:v>
      </x:c>
      <x:c r="X598" s="171" t="str">
        <x:v>D3</x:v>
      </x:c>
      <x:c r="Y598" s="165" t="str">
        <x:v>古酒は準備が簡単; 古酒は常に長時間デカント; 良年なら保管履歴無視</x:v>
      </x:c>
      <x:c r="Z598" s="171" t="str">
        <x:v>N</x:v>
      </x:c>
      <x:c r="AA598" s="165"/>
      <x:c r="AB598" s="165" t="str">
        <x:v>オリジナル</x:v>
      </x:c>
      <x:c r="AC598" s="165" t="str">
        <x:v>公式Specificationの範囲＋ユーザー作成コーパスの論点を参考に独自作成</x:v>
      </x:c>
      <x:c r="AD598" s="171" t="str">
        <x:v>改稿済み・専門家未承認</x:v>
      </x:c>
      <x:c r="AE598" s="171" t="str">
        <x:v>AI誤答レビュー</x:v>
      </x:c>
      <x:c r="AF598" s="171" t="str">
        <x:v>2026-07-12</x:v>
      </x:c>
      <x:c r="AG598" s="312" t="str">
        <x:v>誤答を同一論点内の典型的誤概念へ置換。900問本体への反映前に専門家確認推奨。</x:v>
      </x:c>
    </x:row>
    <x:row r="599" ht="84" customHeight="1">
      <x:c r="A599" s="311" t="str">
        <x:v>LO5-118</x:v>
      </x:c>
      <x:c r="B599" s="171" t="str">
        <x:v>LO5</x:v>
      </x:c>
      <x:c r="C599" s="165" t="str">
        <x:v>情報提供・推奨・保管・サービス</x:v>
      </x:c>
      <x:c r="D599" s="165" t="str">
        <x:v>責任ある提供ペース</x:v>
      </x:c>
      <x:c r="E599" s="165" t="str">
        <x:v>責任あるワインサービスで、提供ペースを管理する主な目的はどれか。</x:v>
      </x:c>
      <x:c r="F599" s="165" t="str">
        <x:v>ゆっくり飲めばアルコールが存在しなくなる</x:v>
      </x:c>
      <x:c r="G599" s="165" t="str">
        <x:v>短時間の過剰摂取を避け、顧客の状態を確認しながら安全に楽しめるようにする</x:v>
      </x:c>
      <x:c r="H599" s="165" t="str">
        <x:v>高価なワインなら提供量を管理しなくてよい</x:v>
      </x:c>
      <x:c r="I599" s="165" t="str">
        <x:v>顧客の状態を確認する必要はない</x:v>
      </x:c>
      <x:c r="J599" s="171" t="str">
        <x:v>B</x:v>
      </x:c>
      <x:c r="K599" s="165" t="str">
        <x:v>短時間の過剰摂取を避け、顧客の状態を確認しながら安全に楽しめるようにする</x:v>
      </x:c>
      <x:c r="L599" s="165" t="str">
        <x:v>正しい。量と速度の双方が酩酊へ影響するため、水や料理の案内、追加提供の判断と組み合わせる。</x:v>
      </x:c>
      <x:c r="M599" s="165" t="str">
        <x:v>誤り。体内へ入る総量は残り、時間をかけても無害にはならない。</x:v>
      </x:c>
      <x:c r="N599" s="165" t="str">
        <x:v>正しい。量と速度の双方が酩酊へ影響するため、水や料理の案内、追加提供の判断と組み合わせる。</x:v>
      </x:c>
      <x:c r="O599" s="165" t="str">
        <x:v>誤り。価格にかかわらずアルコールを含む。</x:v>
      </x:c>
      <x:c r="P599" s="165" t="str">
        <x:v>誤り。安全なサービスには観察と判断が必要である。</x:v>
      </x:c>
      <x:c r="Q599" s="165" t="str">
        <x:v>責任ある飲酒</x:v>
      </x:c>
      <x:c r="R599" s="165" t="str">
        <x:v>サービス</x:v>
      </x:c>
      <x:c r="S599" s="165" t="str">
        <x:v>全般</x:v>
      </x:c>
      <x:c r="T599" s="165"/>
      <x:c r="U599" s="165"/>
      <x:c r="V599" s="165"/>
      <x:c r="W599" s="165" t="str">
        <x:v>判断</x:v>
      </x:c>
      <x:c r="X599" s="171" t="str">
        <x:v>D2</x:v>
      </x:c>
      <x:c r="Y599" s="165" t="str">
        <x:v>責任ある提供ペースに関する別の特徴・要因と混同; 責任ある提供ペースに関する別の特徴・要因と混同; 責任ある提供ペースに関する別の特徴・要因と混同</x:v>
      </x:c>
      <x:c r="Z599" s="171" t="str">
        <x:v>Y</x:v>
      </x:c>
      <x:c r="AA599" s="165" t="str">
        <x:v>責任ある提供と地域法規に関わるため、運用地域の法令・社内方針との照合を推奨</x:v>
      </x:c>
      <x:c r="AB599" s="165" t="str">
        <x:v>オリジナル</x:v>
      </x:c>
      <x:c r="AC599" s="165" t="str">
        <x:v>公式Specificationの範囲＋ユーザー作成コーパスの論点を参考に独自作成</x:v>
      </x:c>
      <x:c r="AD599" s="171" t="str">
        <x:v>改稿済み・専門家未承認</x:v>
      </x:c>
      <x:c r="AE599" s="171" t="str">
        <x:v>AI誤答レビュー</x:v>
      </x:c>
      <x:c r="AF599" s="171" t="str">
        <x:v>2026-07-12</x:v>
      </x:c>
      <x:c r="AG599" s="312" t="str">
        <x:v>最終バッチ：有効な誤答を維持し、絶対語・物理的不可能な誤答のみ置換。正答位置は維持。</x:v>
      </x:c>
    </x:row>
    <x:row r="600" ht="84" customHeight="1">
      <x:c r="A600" s="311" t="str">
        <x:v>LO5-119</x:v>
      </x:c>
      <x:c r="B600" s="171" t="str">
        <x:v>LO5</x:v>
      </x:c>
      <x:c r="C600" s="165" t="str">
        <x:v>情報提供・推奨・保管・サービス</x:v>
      </x:c>
      <x:c r="D600" s="165" t="str">
        <x:v>水と食事の役割</x:v>
      </x:c>
      <x:c r="E600" s="165" t="str">
        <x:v>飲酒中に水と食事を取ることについて最も適切な説明はどれか。</x:v>
      </x:c>
      <x:c r="F600" s="165" t="str">
        <x:v>水を多く飲めば肝臓の代謝速度が上がり、血中アルコール濃度が早く下がる</x:v>
      </x:c>
      <x:c r="G600" s="165" t="str">
        <x:v>食事を取ればアルコールの吸収が止まり、血中濃度は上がらない</x:v>
      </x:c>
      <x:c r="H600" s="165" t="str">
        <x:v>脱水や急速な吸収を緩和する助けにはなるが、摂取したアルコールを無効にはしない</x:v>
      </x:c>
      <x:c r="I600" s="165" t="str">
        <x:v>水を飲むと肝臓の代謝速度が上がり、短時間で酔いが消える</x:v>
      </x:c>
      <x:c r="J600" s="171" t="str">
        <x:v>C</x:v>
      </x:c>
      <x:c r="K600" s="165" t="str">
        <x:v>脱水や急速な吸収を緩和する助けにはなるが、摂取したアルコールを無効にはしない</x:v>
      </x:c>
      <x:c r="L600" s="165" t="str">
        <x:v>正しい。食事は吸収を遅らせ、水は水分補給に役立つが、代謝には時間が必要。</x:v>
      </x:c>
      <x:c r="M600" s="165" t="str">
        <x:v>誤り。水は脱水の軽減に役立つが、肝臓のアルコール代謝を急速に高めない。</x:v>
      </x:c>
      <x:c r="N600" s="165" t="str">
        <x:v>誤り。吸収は遅くなるが、摂取量は体内へ入る。</x:v>
      </x:c>
      <x:c r="O600" s="165" t="str">
        <x:v>正しい。食事は吸収を遅らせ、水は水分補給に役立つが、代謝には時間が必要。</x:v>
      </x:c>
      <x:c r="P600" s="165" t="str">
        <x:v>誤り。水分補給はできるが、代謝速度を大幅に上げない。</x:v>
      </x:c>
      <x:c r="Q600" s="165" t="str">
        <x:v>責任ある飲酒</x:v>
      </x:c>
      <x:c r="R600" s="165" t="str">
        <x:v>健康情報</x:v>
      </x:c>
      <x:c r="S600" s="165" t="str">
        <x:v>全般</x:v>
      </x:c>
      <x:c r="T600" s="165"/>
      <x:c r="U600" s="165"/>
      <x:c r="V600" s="165"/>
      <x:c r="W600" s="165" t="str">
        <x:v>知識確認</x:v>
      </x:c>
      <x:c r="X600" s="171" t="str">
        <x:v>D2</x:v>
      </x:c>
      <x:c r="Y600" s="165" t="str">
        <x:v>水でアルコール代謝が加速する; 食事でアルコール吸収が停止; 水でアルコール代謝が加速</x:v>
      </x:c>
      <x:c r="Z600" s="171" t="str">
        <x:v>Y</x:v>
      </x:c>
      <x:c r="AA600" s="165" t="str">
        <x:v>健康関連の一般情報として扱い、医療助言や地域別運転基準の代替にしないことを確認推奨</x:v>
      </x:c>
      <x:c r="AB600" s="165" t="str">
        <x:v>オリジナル</x:v>
      </x:c>
      <x:c r="AC600" s="165" t="str">
        <x:v>公式Specificationの範囲＋ユーザー作成コーパスの論点を参考に独自作成</x:v>
      </x:c>
      <x:c r="AD600" s="171" t="str">
        <x:v>改稿済み・専門家未承認</x:v>
      </x:c>
      <x:c r="AE600" s="171" t="str">
        <x:v>AI誤答レビュー</x:v>
      </x:c>
      <x:c r="AF600" s="171" t="str">
        <x:v>2026-07-12</x:v>
      </x:c>
      <x:c r="AG600" s="312" t="str">
        <x:v>第4バッチ：同一論点内の典型的誤概念へ置換。正答位置は維持。</x:v>
      </x:c>
    </x:row>
    <x:row r="601" ht="84" customHeight="1">
      <x:c r="A601" s="313" t="str">
        <x:v>LO5-120</x:v>
      </x:c>
      <x:c r="B601" s="317" t="str">
        <x:v>LO5</x:v>
      </x:c>
      <x:c r="C601" s="314" t="str">
        <x:v>情報提供・推奨・保管・サービス</x:v>
      </x:c>
      <x:c r="D601" s="314" t="str">
        <x:v>運転者への提案</x:v>
      </x:c>
      <x:c r="E601" s="314" t="str">
        <x:v>車を運転する予定の顧客への最も適切な提案はどれか。</x:v>
      </x:c>
      <x:c r="F601" s="314" t="str">
        <x:v>コーヒーを飲めばすぐ運転できると案内する</x:v>
      </x:c>
      <x:c r="G601" s="314" t="str">
        <x:v>高品質ワインなら運転へ影響しないと説明する</x:v>
      </x:c>
      <x:c r="H601" s="314" t="str">
        <x:v>少量なら法的にも安全と断言する</x:v>
      </x:c>
      <x:c r="I601" s="314" t="str">
        <x:v>アルコールを提供せず、ノンアルコール飲料や安全な帰宅手段を案内する</x:v>
      </x:c>
      <x:c r="J601" s="317" t="str">
        <x:v>D</x:v>
      </x:c>
      <x:c r="K601" s="314" t="str">
        <x:v>アルコールを提供せず、ノンアルコール飲料や安全な帰宅手段を案内する</x:v>
      </x:c>
      <x:c r="L601" s="314" t="str">
        <x:v>正しい。飲酒量や時間から運転可能性を推測せず、安全を最優先にする。</x:v>
      </x:c>
      <x:c r="M601" s="314" t="str">
        <x:v>誤り。覚醒感が変わっても血中アルコールは直ちに下がらない。</x:v>
      </x:c>
      <x:c r="N601" s="314" t="str">
        <x:v>誤り。品質にかかわらずアルコールを含む。</x:v>
      </x:c>
      <x:c r="O601" s="314" t="str">
        <x:v>誤り。個人差と地域法があり、安全を保証できない。</x:v>
      </x:c>
      <x:c r="P601" s="314" t="str">
        <x:v>正しい。飲酒量や時間から運転可能性を推測せず、安全を最優先にする。</x:v>
      </x:c>
      <x:c r="Q601" s="314" t="str">
        <x:v>責任ある飲酒</x:v>
      </x:c>
      <x:c r="R601" s="314" t="str">
        <x:v>安全</x:v>
      </x:c>
      <x:c r="S601" s="314" t="str">
        <x:v>全般</x:v>
      </x:c>
      <x:c r="T601" s="314"/>
      <x:c r="U601" s="314"/>
      <x:c r="V601" s="314"/>
      <x:c r="W601" s="314" t="str">
        <x:v>判断</x:v>
      </x:c>
      <x:c r="X601" s="317" t="str">
        <x:v>D2</x:v>
      </x:c>
      <x:c r="Y601" s="314" t="str">
        <x:v>運転者への提案について関連要因を主因とみなす; 運転者への提案について関連要因を主因とみなす; 運転者への提案について関連要因を主因とみなす</x:v>
      </x:c>
      <x:c r="Z601" s="317" t="str">
        <x:v>Y</x:v>
      </x:c>
      <x:c r="AA601" s="314" t="str">
        <x:v>地域ごとの飲酒運転法規に関わるため、具体的な基準値を示さず安全優先の一般表現として確認推奨</x:v>
      </x:c>
      <x:c r="AB601" s="314" t="str">
        <x:v>オリジナル</x:v>
      </x:c>
      <x:c r="AC601" s="314" t="str">
        <x:v>公式Specificationの範囲＋ユーザー作成コーパスの論点を参考に独自作成</x:v>
      </x:c>
      <x:c r="AD601" s="317" t="str">
        <x:v>改稿済み・専門家未承認</x:v>
      </x:c>
      <x:c r="AE601" s="317" t="str">
        <x:v>AI誤答レビュー</x:v>
      </x:c>
      <x:c r="AF601" s="317" t="str">
        <x:v>2026-07-12</x:v>
      </x:c>
      <x:c r="AG601" s="315" t="str">
        <x:v>第5バッチ：使用可能な誤答を維持し、弱い誤答を因果逆転・隣接概念へ置換。正答位置は維持。</x:v>
      </x:c>
    </x:row>
    <x:row r="602" ht="84" customHeight="1">
      <x:c r="A602" s="365" t="str">
        <x:v>LO1-121</x:v>
      </x:c>
      <x:c r="B602" s="373" t="str">
        <x:v>LO1</x:v>
      </x:c>
      <x:c r="C602" s="366" t="str">
        <x:v>ブドウ畑・ワイナリーの自然要因と人的要因</x:v>
      </x:c>
      <x:c r="D602" s="366" t="str">
        <x:v>一年枝</x:v>
      </x:c>
      <x:c r="E602" s="366" t="str">
        <x:v>ブドウ樹の一年枝が翌年の収量に直接関係する主な理由はどれか。</x:v>
      </x:c>
      <x:c r="F602" s="366" t="str">
        <x:v>冬季剪定で残した一年枝の芽から、翌年の新梢と花房が生じるため</x:v>
      </x:c>
      <x:c r="G602" s="366" t="str">
        <x:v>一年枝がワイナリーでアルコール発酵するため</x:v>
      </x:c>
      <x:c r="H602" s="366" t="str">
        <x:v>一年枝が土壌の排水性を決めるため</x:v>
      </x:c>
      <x:c r="I602" s="366" t="str">
        <x:v>一年枝が成熟果実の酸を直接除去するため</x:v>
      </x:c>
      <x:c r="J602" s="373" t="str">
        <x:v>A</x:v>
      </x:c>
      <x:c r="K602" s="366" t="str">
        <x:v>冬季剪定で残した一年枝の芽から、翌年の新梢と花房が生じるため</x:v>
      </x:c>
      <x:c r="L602" s="366" t="str">
        <x:v>正しい。多くのヴィニフェラでは、前年に成長して木質化した枝の芽に翌年の花房原基が含まれる。</x:v>
      </x:c>
      <x:c r="M602" s="366" t="str">
        <x:v>正しい。多くのヴィニフェラでは、前年に成長して木質化した枝の芽に翌年の花房原基が含まれる。</x:v>
      </x:c>
      <x:c r="N602" s="366" t="str">
        <x:v>誤り。発酵するのは果汁中の糖であり、枝ではない。</x:v>
      </x:c>
      <x:c r="O602" s="366" t="str">
        <x:v>誤り。排水性は主に土壌構造と地形に関係する。</x:v>
      </x:c>
      <x:c r="P602" s="366" t="str">
        <x:v>誤り。酸の変化は果実の成熟と醸造判断による。</x:v>
      </x:c>
      <x:c r="Q602" s="366" t="str">
        <x:v>ブドウ樹</x:v>
      </x:c>
      <x:c r="R602" s="366" t="str">
        <x:v>樹体構造</x:v>
      </x:c>
      <x:c r="S602" s="366" t="str">
        <x:v>非発泡性ワイン</x:v>
      </x:c>
      <x:c r="T602" s="366"/>
      <x:c r="U602" s="366"/>
      <x:c r="V602" s="366"/>
      <x:c r="W602" s="366" t="str">
        <x:v>因果説明</x:v>
      </x:c>
      <x:c r="X602" s="373" t="str">
        <x:v>D2</x:v>
      </x:c>
      <x:c r="Y602" s="366" t="str">
        <x:v>一年枝に関する別の特徴・要因と混同; 一年枝に関する別の特徴・要因と混同; 一年枝に関する別の特徴・要因と混同</x:v>
      </x:c>
      <x:c r="Z602" s="373" t="str">
        <x:v>N</x:v>
      </x:c>
      <x:c r="AA602" s="366"/>
      <x:c r="AB602" s="366" t="str">
        <x:v>オリジナル</x:v>
      </x:c>
      <x:c r="AC602" s="366" t="str">
        <x:v>WSET公式Specificationの範囲＋ユーザー作成コーパスの論点を参考に独自作成</x:v>
      </x:c>
      <x:c r="AD602" s="373" t="str">
        <x:v>改稿済み・専門家未承認</x:v>
      </x:c>
      <x:c r="AE602" s="373" t="str">
        <x:v>AI誤答レビュー</x:v>
      </x:c>
      <x:c r="AF602" s="373" t="str">
        <x:v>2026-07-12</x:v>
      </x:c>
      <x:c r="AG602" s="367" t="str">
        <x:v>最終バッチ：有効な誤答を維持し、絶対語・物理的不可能な誤答のみ置換。正答位置は維持。</x:v>
      </x:c>
    </x:row>
    <x:row r="603" ht="84" customHeight="1">
      <x:c r="A603" s="368" t="str">
        <x:v>LO1-122</x:v>
      </x:c>
      <x:c r="B603" s="171" t="str">
        <x:v>LO1</x:v>
      </x:c>
      <x:c r="C603" s="165" t="str">
        <x:v>ブドウ畑・ワイナリーの自然要因と人的要因</x:v>
      </x:c>
      <x:c r="D603" s="165" t="str">
        <x:v>永年枝</x:v>
      </x:c>
      <x:c r="E603" s="165" t="str">
        <x:v>幹やコルドンなどの永年枝がブドウ樹で果たす役割として最も適切なものはどれか。</x:v>
      </x:c>
      <x:c r="F603" s="165" t="str">
        <x:v>毎年、新梢を出さずに永年枝から直接花房と果実を形成する</x:v>
      </x:c>
      <x:c r="G603" s="165" t="str">
        <x:v>樹体を支え、養分を貯蔵し、水分と同化産物を各部へ輸送する</x:v>
      </x:c>
      <x:c r="H603" s="165" t="str">
        <x:v>毎年果房を直接形成し、収穫後に剪定で除去される</x:v>
      </x:c>
      <x:c r="I603" s="165" t="str">
        <x:v>光合成の大部分を行い、果実へ糖を供給する</x:v>
      </x:c>
      <x:c r="J603" s="171" t="str">
        <x:v>B</x:v>
      </x:c>
      <x:c r="K603" s="165" t="str">
        <x:v>樹体を支え、養分を貯蔵し、水分と同化産物を各部へ輸送する</x:v>
      </x:c>
      <x:c r="L603" s="165" t="str">
        <x:v>正しい。永年木部は樹形を支え、根と葉・果実の間で水分・糖を運び、炭水化物を貯蔵する。</x:v>
      </x:c>
      <x:c r="M603" s="165" t="str">
        <x:v>誤り。果房は永年枝上の芽から伸びた新梢に形成され、永年枝から直接生じない。</x:v>
      </x:c>
      <x:c r="N603" s="165" t="str">
        <x:v>正しい。永年木部は樹形を支え、根と葉・果実の間で水分・糖を運び、炭水化物を貯蔵する。</x:v>
      </x:c>
      <x:c r="O603" s="165" t="str">
        <x:v>誤り。果房は永年枝から出た新梢に形成され、永年部は残す。</x:v>
      </x:c>
      <x:c r="P603" s="165" t="str">
        <x:v>誤り。光合成の主役は緑色の葉である。</x:v>
      </x:c>
      <x:c r="Q603" s="165" t="str">
        <x:v>ブドウ樹</x:v>
      </x:c>
      <x:c r="R603" s="165" t="str">
        <x:v>樹体構造</x:v>
      </x:c>
      <x:c r="S603" s="165" t="str">
        <x:v>非発泡性ワイン</x:v>
      </x:c>
      <x:c r="T603" s="165"/>
      <x:c r="U603" s="165"/>
      <x:c r="V603" s="165"/>
      <x:c r="W603" s="165" t="str">
        <x:v>知識確認</x:v>
      </x:c>
      <x:c r="X603" s="171" t="str">
        <x:v>D1</x:v>
      </x:c>
      <x:c r="Y603" s="165" t="str">
        <x:v>永年枝が直接果房を形成する; 永年枝が直接結実し毎年除去; 永年枝が主に光合成する</x:v>
      </x:c>
      <x:c r="Z603" s="171" t="str">
        <x:v>N</x:v>
      </x:c>
      <x:c r="AA603" s="165"/>
      <x:c r="AB603" s="165" t="str">
        <x:v>オリジナル</x:v>
      </x:c>
      <x:c r="AC603" s="165" t="str">
        <x:v>WSET公式Specificationの範囲＋ユーザー作成コーパスの論点を参考に独自作成</x:v>
      </x:c>
      <x:c r="AD603" s="171" t="str">
        <x:v>改稿済み・専門家未承認</x:v>
      </x:c>
      <x:c r="AE603" s="171" t="str">
        <x:v>AI誤答レビュー</x:v>
      </x:c>
      <x:c r="AF603" s="171" t="str">
        <x:v>2026-07-12</x:v>
      </x:c>
      <x:c r="AG603" s="369" t="str">
        <x:v>第4バッチ：同一論点内の典型的誤概念へ置換。正答位置は維持。</x:v>
      </x:c>
    </x:row>
    <x:row r="604" ht="84" customHeight="1">
      <x:c r="A604" s="368" t="str">
        <x:v>LO1-123</x:v>
      </x:c>
      <x:c r="B604" s="171" t="str">
        <x:v>LO1</x:v>
      </x:c>
      <x:c r="C604" s="165" t="str">
        <x:v>ブドウ畑・ワイナリーの自然要因と人的要因</x:v>
      </x:c>
      <x:c r="D604" s="165" t="str">
        <x:v>緑色部分</x:v>
      </x:c>
      <x:c r="E604" s="165" t="str">
        <x:v>葉などブドウ樹の緑色部分が果実成熟に不可欠な主な理由はどれか。</x:v>
      </x:c>
      <x:c r="F604" s="165" t="str">
        <x:v>緑色部分は土壌から糖を吸収し、果実へ輸送する</x:v>
      </x:c>
      <x:c r="G604" s="165" t="str">
        <x:v>葉が果実中の酸を吸収し、熟成中に除去する</x:v>
      </x:c>
      <x:c r="H604" s="165" t="str">
        <x:v>日光を利用して光合成を行い、果実へ送る糖を生産する</x:v>
      </x:c>
      <x:c r="I604" s="165" t="str">
        <x:v>葉は果実から糖を吸収し、冬季の貯蔵養分として根へ戻す</x:v>
      </x:c>
      <x:c r="J604" s="171" t="str">
        <x:v>C</x:v>
      </x:c>
      <x:c r="K604" s="165" t="str">
        <x:v>日光を利用して光合成を行い、果実へ送る糖を生産する</x:v>
      </x:c>
      <x:c r="L604" s="165" t="str">
        <x:v>正しい。葉のクロロフィルが光を使い、二酸化炭素と水から炭水化物を合成する。</x:v>
      </x:c>
      <x:c r="M604" s="165" t="str">
        <x:v>誤り。糖は葉の光合成で作られ、土壌から吸収されるものではない。</x:v>
      </x:c>
      <x:c r="N604" s="165" t="str">
        <x:v>誤り。酸は果実内で代謝され、葉が吸収して除去するものではない。</x:v>
      </x:c>
      <x:c r="O604" s="165" t="str">
        <x:v>正しい。葉のクロロフィルが光を使い、二酸化炭素と水から炭水化物を合成する。</x:v>
      </x:c>
      <x:c r="P604" s="165" t="str">
        <x:v>誤り。糖は葉で生産され果実や貯蔵器官へ移動し、果実から葉が吸収する方向ではない。</x:v>
      </x:c>
      <x:c r="Q604" s="165" t="str">
        <x:v>ブドウ樹</x:v>
      </x:c>
      <x:c r="R604" s="165" t="str">
        <x:v>光合成</x:v>
      </x:c>
      <x:c r="S604" s="165" t="str">
        <x:v>非発泡性ワイン</x:v>
      </x:c>
      <x:c r="T604" s="165"/>
      <x:c r="U604" s="165"/>
      <x:c r="V604" s="165"/>
      <x:c r="W604" s="165" t="str">
        <x:v>因果説明</x:v>
      </x:c>
      <x:c r="X604" s="171" t="str">
        <x:v>D1</x:v>
      </x:c>
      <x:c r="Y604" s="165" t="str">
        <x:v>葉が土壌から糖を吸収する; 葉が果実酸を吸収する; 葉が果実から糖を吸収する</x:v>
      </x:c>
      <x:c r="Z604" s="171" t="str">
        <x:v>N</x:v>
      </x:c>
      <x:c r="AA604" s="165"/>
      <x:c r="AB604" s="165" t="str">
        <x:v>オリジナル</x:v>
      </x:c>
      <x:c r="AC604" s="165" t="str">
        <x:v>WSET公式Specificationの範囲＋ユーザー作成コーパスの論点を参考に独自作成</x:v>
      </x:c>
      <x:c r="AD604" s="171" t="str">
        <x:v>改稿済み・専門家未承認</x:v>
      </x:c>
      <x:c r="AE604" s="171" t="str">
        <x:v>AI誤答レビュー</x:v>
      </x:c>
      <x:c r="AF604" s="171" t="str">
        <x:v>2026-07-12</x:v>
      </x:c>
      <x:c r="AG604" s="369" t="str">
        <x:v>第4バッチ：同一論点内の典型的誤概念へ置換。正答位置は維持。</x:v>
      </x:c>
    </x:row>
    <x:row r="605" ht="84" customHeight="1">
      <x:c r="A605" s="368" t="str">
        <x:v>LO1-124</x:v>
      </x:c>
      <x:c r="B605" s="171" t="str">
        <x:v>LO1</x:v>
      </x:c>
      <x:c r="C605" s="165" t="str">
        <x:v>ブドウ畑・ワイナリーの自然要因と人的要因</x:v>
      </x:c>
      <x:c r="D605" s="165" t="str">
        <x:v>二酸化炭素</x:v>
      </x:c>
      <x:c r="E605" s="165" t="str">
        <x:v>ブドウ樹が光合成を行うために二酸化炭素を必要とする理由はどれか。</x:v>
      </x:c>
      <x:c r="F605" s="165" t="str">
        <x:v>二酸化炭素が土壌を酸性化して品質を上げるため</x:v>
      </x:c>
      <x:c r="G605" s="165" t="str">
        <x:v>二酸化炭素が果実のアルコールを除去するため</x:v>
      </x:c>
      <x:c r="H605" s="165" t="str">
        <x:v>二酸化炭素が根を直接剪定するため</x:v>
      </x:c>
      <x:c r="I605" s="165" t="str">
        <x:v>糖を構成する炭素の供給源となるため</x:v>
      </x:c>
      <x:c r="J605" s="171" t="str">
        <x:v>D</x:v>
      </x:c>
      <x:c r="K605" s="165" t="str">
        <x:v>糖を構成する炭素の供給源となるため</x:v>
      </x:c>
      <x:c r="L605" s="165" t="str">
        <x:v>正しい。葉は大気中の二酸化炭素を取り込み、光エネルギーを用いて炭水化物へ変換する。</x:v>
      </x:c>
      <x:c r="M605" s="165" t="str">
        <x:v>誤り。光合成上の役割は炭素源であり、土壌pHを必ず変えるわけではない。</x:v>
      </x:c>
      <x:c r="N605" s="165" t="str">
        <x:v>誤り。樹上の果実には通常アルコールはない。</x:v>
      </x:c>
      <x:c r="O605" s="165" t="str">
        <x:v>誤り。気体が剪定を行うことはない。</x:v>
      </x:c>
      <x:c r="P605" s="165" t="str">
        <x:v>正しい。葉は大気中の二酸化炭素を取り込み、光エネルギーを用いて炭水化物へ変換する。</x:v>
      </x:c>
      <x:c r="Q605" s="165" t="str">
        <x:v>ブドウ樹</x:v>
      </x:c>
      <x:c r="R605" s="165" t="str">
        <x:v>光合成</x:v>
      </x:c>
      <x:c r="S605" s="165" t="str">
        <x:v>非発泡性ワイン</x:v>
      </x:c>
      <x:c r="T605" s="165"/>
      <x:c r="U605" s="165"/>
      <x:c r="V605" s="165"/>
      <x:c r="W605" s="165" t="str">
        <x:v>知識確認</x:v>
      </x:c>
      <x:c r="X605" s="171" t="str">
        <x:v>D1</x:v>
      </x:c>
      <x:c r="Y605" s="165" t="str">
        <x:v>二酸化炭素について関連要因を主因とみなす; 二酸化炭素について関連要因を主因とみなす; 二酸化炭素について関連要因を主因とみなす</x:v>
      </x:c>
      <x:c r="Z605" s="171" t="str">
        <x:v>N</x:v>
      </x:c>
      <x:c r="AA605" s="165"/>
      <x:c r="AB605" s="165" t="str">
        <x:v>オリジナル</x:v>
      </x:c>
      <x:c r="AC605" s="165" t="str">
        <x:v>WSET公式Specificationの範囲＋ユーザー作成コーパスの論点を参考に独自作成</x:v>
      </x:c>
      <x:c r="AD605" s="171" t="str">
        <x:v>改稿済み・専門家未承認</x:v>
      </x:c>
      <x:c r="AE605" s="171" t="str">
        <x:v>AI誤答レビュー</x:v>
      </x:c>
      <x:c r="AF605" s="171" t="str">
        <x:v>2026-07-12</x:v>
      </x:c>
      <x:c r="AG605" s="369" t="str">
        <x:v>第5バッチ：使用可能な誤答を維持し、弱い誤答を因果逆転・隣接概念へ置換。正答位置は維持。</x:v>
      </x:c>
    </x:row>
    <x:row r="606" ht="84" customHeight="1">
      <x:c r="A606" s="368" t="str">
        <x:v>LO1-125</x:v>
      </x:c>
      <x:c r="B606" s="171" t="str">
        <x:v>LO1</x:v>
      </x:c>
      <x:c r="C606" s="165" t="str">
        <x:v>ブドウ畑・ワイナリーの自然要因と人的要因</x:v>
      </x:c>
      <x:c r="D606" s="165" t="str">
        <x:v>過度の遮光</x:v>
      </x:c>
      <x:c r="E606" s="165" t="str">
        <x:v>果房が生育期を通じて過度に遮光された場合に、最も起こりやすい結果はどれか。</x:v>
      </x:c>
      <x:c r="F606" s="165" t="str">
        <x:v>風味とフェノール類の成熟が遅れ、青い香りが残りやすい</x:v>
      </x:c>
      <x:c r="G606" s="165" t="str">
        <x:v>果房温度が下がるため、糖成熟は遅れるがアントシアニンと香気前駆体の生成は常に高まる</x:v>
      </x:c>
      <x:c r="H606" s="165" t="str">
        <x:v>遮光は糖度だけを低下させ、果実の香り、色、病害リスクにはほとんど影響しない</x:v>
      </x:c>
      <x:c r="I606" s="165" t="str">
        <x:v>果房が葉で保護されるため病害が減り、成熟度にかかわらず品質は向上する</x:v>
      </x:c>
      <x:c r="J606" s="171" t="str">
        <x:v>A</x:v>
      </x:c>
      <x:c r="K606" s="165" t="str">
        <x:v>風味とフェノール類の成熟が遅れ、青い香りが残りやすい</x:v>
      </x:c>
      <x:c r="L606" s="165" t="str">
        <x:v>正しい。過度な遮光では果房温度と光が不足し、糖・香り・フェノール成熟が遅れやすい。</x:v>
      </x:c>
      <x:c r="M606" s="165" t="str">
        <x:v>正しい。過度な遮光では果房温度と光が不足し、糖・香り・フェノール成熟が遅れやすい。</x:v>
      </x:c>
      <x:c r="N606" s="165" t="str">
        <x:v>誤り。極端な高温回避には日陰が有利だが、過度な遮光が色素や香気前駆体を常に増やすわけではない。</x:v>
      </x:c>
      <x:c r="O606" s="165" t="str">
        <x:v>誤り。遮光は風味、フェノール成熟、キャノピー湿度にも影響する。</x:v>
      </x:c>
      <x:c r="P606" s="165" t="str">
        <x:v>誤り。密な葉は湿度と菌類病リスクを高める場合があり、品質向上を保証しない。</x:v>
      </x:c>
      <x:c r="Q606" s="165" t="str">
        <x:v>自然要因</x:v>
      </x:c>
      <x:c r="R606" s="165" t="str">
        <x:v>日照</x:v>
      </x:c>
      <x:c r="S606" s="165" t="str">
        <x:v>非発泡性ワイン</x:v>
      </x:c>
      <x:c r="T606" s="165"/>
      <x:c r="U606" s="165"/>
      <x:c r="V606" s="165"/>
      <x:c r="W606" s="165" t="str">
        <x:v>因果説明</x:v>
      </x:c>
      <x:c r="X606" s="171" t="str">
        <x:v>D2</x:v>
      </x:c>
      <x:c r="Y606" s="165" t="str">
        <x:v>遮光は色素・香気前駆体を常に増やす; 遮光は糖度にしか影響しない; 遮光は病害を減らし品質を必ず上げる</x:v>
      </x:c>
      <x:c r="Z606" s="171" t="str">
        <x:v>N</x:v>
      </x:c>
      <x:c r="AA606" s="165"/>
      <x:c r="AB606" s="165" t="str">
        <x:v>オリジナル</x:v>
      </x:c>
      <x:c r="AC606" s="165" t="str">
        <x:v>WSET公式Specificationの範囲＋ユーザー作成コーパスの論点を参考に独自作成</x:v>
      </x:c>
      <x:c r="AD606" s="171" t="str">
        <x:v>改稿済み・専門家未承認</x:v>
      </x:c>
      <x:c r="AE606" s="171" t="str">
        <x:v>AI誤答レビュー</x:v>
      </x:c>
      <x:c r="AF606" s="171" t="str">
        <x:v>2026-07-12</x:v>
      </x:c>
      <x:c r="AG606" s="369" t="str">
        <x:v>第2バッチ：誤答を同一論点内の典型的誤概念へ置換。正答位置は維持。</x:v>
      </x:c>
    </x:row>
    <x:row r="607" ht="84" customHeight="1">
      <x:c r="A607" s="368" t="str">
        <x:v>LO1-126</x:v>
      </x:c>
      <x:c r="B607" s="171" t="str">
        <x:v>LO1</x:v>
      </x:c>
      <x:c r="C607" s="165" t="str">
        <x:v>ブドウ畑・ワイナリーの自然要因と人的要因</x:v>
      </x:c>
      <x:c r="D607" s="165" t="str">
        <x:v>頂芽優勢</x:v>
      </x:c>
      <x:c r="E607" s="165" t="str">
        <x:v>ブドウ樹の頂芽優勢が斜めまたは水平の仕立てで管理される主な理由はどれか。</x:v>
      </x:c>
      <x:c r="F607" s="165" t="str">
        <x:v>水平にすると根が光合成するため</x:v>
      </x:c>
      <x:c r="G607" s="165" t="str">
        <x:v>先端芽だけが強く伸びるのを抑え、芽の生育をより均一にするため</x:v>
      </x:c>
      <x:c r="H607" s="165" t="str">
        <x:v>枝を水平にすると果実が無糖になるため</x:v>
      </x:c>
      <x:c r="I607" s="165" t="str">
        <x:v>頂芽優勢はワイナリーの発酵現象だから</x:v>
      </x:c>
      <x:c r="J607" s="171" t="str">
        <x:v>B</x:v>
      </x:c>
      <x:c r="K607" s="165" t="str">
        <x:v>先端芽だけが強く伸びるのを抑え、芽の生育をより均一にするため</x:v>
      </x:c>
      <x:c r="L607" s="165" t="str">
        <x:v>正しい。枝を水平に近づけると各芽の位置差が小さくなり、キャノピーと収量を均等化しやすい。</x:v>
      </x:c>
      <x:c r="M607" s="165" t="str">
        <x:v>誤り。光合成は主に葉で行われる。</x:v>
      </x:c>
      <x:c r="N607" s="165" t="str">
        <x:v>正しい。枝を水平に近づけると各芽の位置差が小さくなり、キャノピーと収量を均等化しやすい。</x:v>
      </x:c>
      <x:c r="O607" s="165" t="str">
        <x:v>誤り。糖生産を止めるものではない。</x:v>
      </x:c>
      <x:c r="P607" s="165" t="str">
        <x:v>誤り。ブドウ樹の生長特性である。</x:v>
      </x:c>
      <x:c r="Q607" s="165" t="str">
        <x:v>栽培</x:v>
      </x:c>
      <x:c r="R607" s="165" t="str">
        <x:v>仕立て</x:v>
      </x:c>
      <x:c r="S607" s="165" t="str">
        <x:v>非発泡性ワイン</x:v>
      </x:c>
      <x:c r="T607" s="165"/>
      <x:c r="U607" s="165"/>
      <x:c r="V607" s="165"/>
      <x:c r="W607" s="165" t="str">
        <x:v>因果説明</x:v>
      </x:c>
      <x:c r="X607" s="171" t="str">
        <x:v>D3</x:v>
      </x:c>
      <x:c r="Y607" s="165" t="str">
        <x:v>頂芽優勢に関する別の特徴・要因と混同; 頂芽優勢に関する別の特徴・要因と混同; 頂芽優勢に関する別の特徴・要因と混同</x:v>
      </x:c>
      <x:c r="Z607" s="171" t="str">
        <x:v>N</x:v>
      </x:c>
      <x:c r="AA607" s="165"/>
      <x:c r="AB607" s="165" t="str">
        <x:v>オリジナル</x:v>
      </x:c>
      <x:c r="AC607" s="165" t="str">
        <x:v>WSET公式Specificationの範囲＋ユーザー作成コーパスの論点を参考に独自作成</x:v>
      </x:c>
      <x:c r="AD607" s="171" t="str">
        <x:v>改稿済み・専門家未承認</x:v>
      </x:c>
      <x:c r="AE607" s="171" t="str">
        <x:v>AI誤答レビュー</x:v>
      </x:c>
      <x:c r="AF607" s="171" t="str">
        <x:v>2026-07-12</x:v>
      </x:c>
      <x:c r="AG607" s="369" t="str">
        <x:v>最終バッチ：有効な誤答を維持し、絶対語・物理的不可能な誤答のみ置換。正答位置は維持。</x:v>
      </x:c>
    </x:row>
    <x:row r="608" ht="84" customHeight="1">
      <x:c r="A608" s="368" t="str">
        <x:v>LO1-127</x:v>
      </x:c>
      <x:c r="B608" s="171" t="str">
        <x:v>LO1</x:v>
      </x:c>
      <x:c r="C608" s="165" t="str">
        <x:v>ブドウ畑・ワイナリーの自然要因と人的要因</x:v>
      </x:c>
      <x:c r="D608" s="165" t="str">
        <x:v>株仕立て</x:v>
      </x:c>
      <x:c r="E608" s="165" t="str">
        <x:v>乾燥して日照の強い地域で、株仕立てが有利となる場合の主な理由はどれか。</x:v>
      </x:c>
      <x:c r="F608" s="165" t="str">
        <x:v>高い樹冠を作って風を遮り、果房を常に日光へ露出できる</x:v>
      </x:c>
      <x:c r="G608" s="165" t="str">
        <x:v>低い樹冠が果房へ自然な日陰を作り、風に耐え、支柱費を抑えられる</x:v>
      </x:c>
      <x:c r="H608" s="165" t="str">
        <x:v>新梢を垂直にそろえるため、機械収穫と除葉を最も容易にする</x:v>
      </x:c>
      <x:c r="I608" s="165" t="str">
        <x:v>湿潤地域でキャノピーを密に保ち、菌類病を抑えられる</x:v>
      </x:c>
      <x:c r="J608" s="171" t="str">
        <x:v>C</x:v>
      </x:c>
      <x:c r="K608" s="165" t="str">
        <x:v>新梢を垂直にそろえるため、機械収穫と除葉を最も容易にする</x:v>
      </x:c>
      <x:c r="L608" s="165" t="str">
        <x:v>正しい。不規則な低樹形は機械化しにくいことが多い。</x:v>
      </x:c>
      <x:c r="M608" s="165" t="str">
        <x:v>誤り。株仕立ては低い自立樹形で、果房へ適度な日陰を作る。</x:v>
      </x:c>
      <x:c r="N608" s="165" t="str">
        <x:v>誤り。乾燥・強風地域で支柱を使わず、日焼けと風害を抑えやすい。</x:v>
      </x:c>
      <x:c r="O608" s="165" t="str">
        <x:v>正しい。不規則な低樹形は機械化しにくいことが多い。</x:v>
      </x:c>
      <x:c r="P608" s="165" t="str">
        <x:v>誤り。湿潤地で密な樹冠は風通しを悪化させ、病害を増やし得る。</x:v>
      </x:c>
      <x:c r="Q608" s="165" t="str">
        <x:v>栽培</x:v>
      </x:c>
      <x:c r="R608" s="165" t="str">
        <x:v>仕立て</x:v>
      </x:c>
      <x:c r="S608" s="165" t="str">
        <x:v>非発泡性ワイン</x:v>
      </x:c>
      <x:c r="T608" s="165"/>
      <x:c r="U608" s="165"/>
      <x:c r="V608" s="165"/>
      <x:c r="W608" s="165" t="str">
        <x:v>適用</x:v>
      </x:c>
      <x:c r="X608" s="171" t="str">
        <x:v>D2</x:v>
      </x:c>
      <x:c r="Y608" s="165" t="str">
        <x:v>株仕立ては高い樹冠で全果房を露出; 株仕立ては湿潤地で病害を抑える</x:v>
      </x:c>
      <x:c r="Z608" s="171" t="str">
        <x:v>N</x:v>
      </x:c>
      <x:c r="AA608" s="165"/>
      <x:c r="AB608" s="165" t="str">
        <x:v>オリジナル</x:v>
      </x:c>
      <x:c r="AC608" s="165" t="str">
        <x:v>WSET公式Specificationの範囲＋ユーザー作成コーパスの論点を参考に独自作成</x:v>
      </x:c>
      <x:c r="AD608" s="171" t="str">
        <x:v>改稿済み・専門家未承認</x:v>
      </x:c>
      <x:c r="AE608" s="171" t="str">
        <x:v>AI誤答レビュー</x:v>
      </x:c>
      <x:c r="AF608" s="171" t="str">
        <x:v>2026-07-12</x:v>
      </x:c>
      <x:c r="AG608" s="369" t="str">
        <x:v>第3バッチ：同一論点内の典型的誤概念へ置換。正答位置は維持。</x:v>
      </x:c>
    </x:row>
    <x:row r="609" ht="84" customHeight="1">
      <x:c r="A609" s="368" t="str">
        <x:v>LO1-128</x:v>
      </x:c>
      <x:c r="B609" s="171" t="str">
        <x:v>LO1</x:v>
      </x:c>
      <x:c r="C609" s="165" t="str">
        <x:v>ブドウ畑・ワイナリーの自然要因と人的要因</x:v>
      </x:c>
      <x:c r="D609" s="165" t="str">
        <x:v>コルドン仕立て</x:v>
      </x:c>
      <x:c r="E609" s="165" t="str">
        <x:v>コルドン仕立てが機械化された畑に適する主な理由はどれか。</x:v>
      </x:c>
      <x:c r="F609" s="165" t="str">
        <x:v>低い樹冠が果房へ自然な日陰を作り、風に耐え、支柱費を抑えられる</x:v>
      </x:c>
      <x:c r="G609" s="165" t="str">
        <x:v>毎年結果母枝の位置が変わり、機械が異なる高さへ対応できる</x:v>
      </x:c>
      <x:c r="H609" s="165" t="str">
        <x:v>新梢を無秩序に垂らすため、機械が果房を傷めにくい</x:v>
      </x:c>
      <x:c r="I609" s="165" t="str">
        <x:v>永年枝と新梢の位置がそろい、剪定・キャノピー管理・収穫を規則的に行える</x:v>
      </x:c>
      <x:c r="J609" s="171" t="str">
        <x:v>D</x:v>
      </x:c>
      <x:c r="K609" s="165" t="str">
        <x:v>永年枝と新梢の位置がそろい、剪定・キャノピー管理・収穫を規則的に行える</x:v>
      </x:c>
      <x:c r="L609" s="165" t="str">
        <x:v>正しい。一定の高さと位置に短梢・新梢が並び、機械が同じ経路で作業できる。</x:v>
      </x:c>
      <x:c r="M609" s="165" t="str">
        <x:v>誤り。これは同じ知識領域の「株仕立て」に当てはまる説明で、設問の「コルドン仕立て」を最も適切に説明しない。</x:v>
      </x:c>
      <x:c r="N609" s="165" t="str">
        <x:v>誤り。コルドンでは芽位置を一定に保つことが機械化の利点である。</x:v>
      </x:c>
      <x:c r="O609" s="165" t="str">
        <x:v>誤り。機械化には規則的な新梢・果房位置が有利である。</x:v>
      </x:c>
      <x:c r="P609" s="165" t="str">
        <x:v>正しい。一定の高さと位置に短梢・新梢が並び、機械が同じ経路で作業できる。</x:v>
      </x:c>
      <x:c r="Q609" s="165" t="str">
        <x:v>栽培</x:v>
      </x:c>
      <x:c r="R609" s="165" t="str">
        <x:v>仕立て</x:v>
      </x:c>
      <x:c r="S609" s="165" t="str">
        <x:v>非発泡性ワイン</x:v>
      </x:c>
      <x:c r="T609" s="165"/>
      <x:c r="U609" s="165"/>
      <x:c r="V609" s="165"/>
      <x:c r="W609" s="165" t="str">
        <x:v>因果説明</x:v>
      </x:c>
      <x:c r="X609" s="171" t="str">
        <x:v>D2</x:v>
      </x:c>
      <x:c r="Y609" s="165" t="str">
        <x:v>コルドン仕立てを株仕立ての特徴と混同; コルドンは毎年芽位置が変わる; 無秩序な新梢が機械化に有利</x:v>
      </x:c>
      <x:c r="Z609" s="171" t="str">
        <x:v>N</x:v>
      </x:c>
      <x:c r="AA609" s="165"/>
      <x:c r="AB609" s="165" t="str">
        <x:v>オリジナル</x:v>
      </x:c>
      <x:c r="AC609" s="165" t="str">
        <x:v>WSET公式Specificationの範囲＋ユーザー作成コーパスの論点を参考に独自作成</x:v>
      </x:c>
      <x:c r="AD609" s="171" t="str">
        <x:v>改稿済み・専門家未承認</x:v>
      </x:c>
      <x:c r="AE609" s="171" t="str">
        <x:v>AI誤答レビュー</x:v>
      </x:c>
      <x:c r="AF609" s="171" t="str">
        <x:v>2026-07-12</x:v>
      </x:c>
      <x:c r="AG609" s="369" t="str">
        <x:v>第4バッチ：同一論点内の典型的誤概念へ置換。正答位置は維持。</x:v>
      </x:c>
    </x:row>
    <x:row r="610" ht="84" customHeight="1">
      <x:c r="A610" s="368" t="str">
        <x:v>LO1-129</x:v>
      </x:c>
      <x:c r="B610" s="171" t="str">
        <x:v>LO1</x:v>
      </x:c>
      <x:c r="C610" s="165" t="str">
        <x:v>ブドウ畑・ワイナリーの自然要因と人的要因</x:v>
      </x:c>
      <x:c r="D610" s="165" t="str">
        <x:v>短梢剪定</x:v>
      </x:c>
      <x:c r="E610" s="165" t="str">
        <x:v>短梢剪定が適する品種の一般的な条件はどれか。</x:v>
      </x:c>
      <x:c r="F610" s="165" t="str">
        <x:v>一年枝の基部にある芽の結実性が高い</x:v>
      </x:c>
      <x:c r="G610" s="165" t="str">
        <x:v>基部芽が常に不結実である</x:v>
      </x:c>
      <x:c r="H610" s="165" t="str">
        <x:v>果実が永年枝から直接生じる</x:v>
      </x:c>
      <x:c r="I610" s="165" t="str">
        <x:v>剪定を行うと光合成が不要になる</x:v>
      </x:c>
      <x:c r="J610" s="171" t="str">
        <x:v>A</x:v>
      </x:c>
      <x:c r="K610" s="165" t="str">
        <x:v>一年枝の基部にある芽の結実性が高い</x:v>
      </x:c>
      <x:c r="L610" s="165" t="str">
        <x:v>正しい。基部芽から十分な花房が生じる品種なら、各短梢に少数の芽を残して安定した収量を得られる。</x:v>
      </x:c>
      <x:c r="M610" s="165" t="str">
        <x:v>正しい。基部芽から十分な花房が生じる品種なら、各短梢に少数の芽を残して安定した収量を得られる。</x:v>
      </x:c>
      <x:c r="N610" s="165" t="str">
        <x:v>誤り。その場合は長い結果母枝を残す必要がある。</x:v>
      </x:c>
      <x:c r="O610" s="165" t="str">
        <x:v>誤り。果房は新梢に生じる。</x:v>
      </x:c>
      <x:c r="P610" s="165" t="str">
        <x:v>誤り。成熟には健全な葉が必要である。</x:v>
      </x:c>
      <x:c r="Q610" s="165" t="str">
        <x:v>栽培</x:v>
      </x:c>
      <x:c r="R610" s="165" t="str">
        <x:v>剪定</x:v>
      </x:c>
      <x:c r="S610" s="165" t="str">
        <x:v>非発泡性ワイン</x:v>
      </x:c>
      <x:c r="T610" s="165"/>
      <x:c r="U610" s="165"/>
      <x:c r="V610" s="165"/>
      <x:c r="W610" s="165" t="str">
        <x:v>適用</x:v>
      </x:c>
      <x:c r="X610" s="171" t="str">
        <x:v>D2</x:v>
      </x:c>
      <x:c r="Y610" s="165" t="str">
        <x:v>短梢剪定に関する別の特徴・要因と混同; 短梢剪定に関する別の特徴・要因と混同; 短梢剪定に関する別の特徴・要因と混同</x:v>
      </x:c>
      <x:c r="Z610" s="171" t="str">
        <x:v>N</x:v>
      </x:c>
      <x:c r="AA610" s="165"/>
      <x:c r="AB610" s="165" t="str">
        <x:v>オリジナル</x:v>
      </x:c>
      <x:c r="AC610" s="165" t="str">
        <x:v>WSET公式Specificationの範囲＋ユーザー作成コーパスの論点を参考に独自作成</x:v>
      </x:c>
      <x:c r="AD610" s="171" t="str">
        <x:v>改稿済み・専門家未承認</x:v>
      </x:c>
      <x:c r="AE610" s="171" t="str">
        <x:v>AI誤答レビュー</x:v>
      </x:c>
      <x:c r="AF610" s="171" t="str">
        <x:v>2026-07-12</x:v>
      </x:c>
      <x:c r="AG610" s="369" t="str">
        <x:v>最終バッチ：有効な誤答を維持し、絶対語・物理的不可能な誤答のみ置換。正答位置は維持。</x:v>
      </x:c>
    </x:row>
    <x:row r="611" ht="84" customHeight="1">
      <x:c r="A611" s="368" t="str">
        <x:v>LO1-130</x:v>
      </x:c>
      <x:c r="B611" s="171" t="str">
        <x:v>LO1</x:v>
      </x:c>
      <x:c r="C611" s="165" t="str">
        <x:v>ブドウ畑・ワイナリーの自然要因と人的要因</x:v>
      </x:c>
      <x:c r="D611" s="165" t="str">
        <x:v>長梢剪定</x:v>
      </x:c>
      <x:c r="E611" s="165" t="str">
        <x:v>長梢剪定が基部芽の結実性が低い品種に適する主な理由はどれか。</x:v>
      </x:c>
      <x:c r="F611" s="165" t="str">
        <x:v>枝を長くすると根が不要になるため</x:v>
      </x:c>
      <x:c r="G611" s="165" t="str">
        <x:v>一年枝を長く残し、先端側の結実性の高い芽を利用できるため</x:v>
      </x:c>
      <x:c r="H611" s="165" t="str">
        <x:v>長梢剪定は収穫後のワインを熟成する方法だから</x:v>
      </x:c>
      <x:c r="I611" s="165" t="str">
        <x:v>長梢には芽が存在しないため</x:v>
      </x:c>
      <x:c r="J611" s="171" t="str">
        <x:v>B</x:v>
      </x:c>
      <x:c r="K611" s="165" t="str">
        <x:v>一年枝を長く残し、先端側の結実性の高い芽を利用できるため</x:v>
      </x:c>
      <x:c r="L611" s="165" t="str">
        <x:v>正しい。結果母枝に多くの芽を残し、翌年に花房を持つ新梢が出る確率を高める。</x:v>
      </x:c>
      <x:c r="M611" s="165" t="str">
        <x:v>誤り。根は水と養分の吸収に必要である。</x:v>
      </x:c>
      <x:c r="N611" s="165" t="str">
        <x:v>正しい。結果母枝に多くの芽を残し、翌年に花房を持つ新梢が出る確率を高める。</x:v>
      </x:c>
      <x:c r="O611" s="165" t="str">
        <x:v>誤り。畑で行う冬季剪定である。</x:v>
      </x:c>
      <x:c r="P611" s="165" t="str">
        <x:v>誤り。多数の芽を残すことが目的である。</x:v>
      </x:c>
      <x:c r="Q611" s="165" t="str">
        <x:v>栽培</x:v>
      </x:c>
      <x:c r="R611" s="165" t="str">
        <x:v>剪定</x:v>
      </x:c>
      <x:c r="S611" s="165" t="str">
        <x:v>非発泡性ワイン</x:v>
      </x:c>
      <x:c r="T611" s="165"/>
      <x:c r="U611" s="165"/>
      <x:c r="V611" s="165"/>
      <x:c r="W611" s="165" t="str">
        <x:v>因果説明</x:v>
      </x:c>
      <x:c r="X611" s="171" t="str">
        <x:v>D2</x:v>
      </x:c>
      <x:c r="Y611" s="165" t="str">
        <x:v>長梢剪定に関する別の特徴・要因と混同; 長梢剪定に関する別の特徴・要因と混同; 長梢剪定に関する別の特徴・要因と混同</x:v>
      </x:c>
      <x:c r="Z611" s="171" t="str">
        <x:v>N</x:v>
      </x:c>
      <x:c r="AA611" s="165"/>
      <x:c r="AB611" s="165" t="str">
        <x:v>オリジナル</x:v>
      </x:c>
      <x:c r="AC611" s="165" t="str">
        <x:v>WSET公式Specificationの範囲＋ユーザー作成コーパスの論点を参考に独自作成</x:v>
      </x:c>
      <x:c r="AD611" s="171" t="str">
        <x:v>改稿済み・専門家未承認</x:v>
      </x:c>
      <x:c r="AE611" s="171" t="str">
        <x:v>AI誤答レビュー</x:v>
      </x:c>
      <x:c r="AF611" s="171" t="str">
        <x:v>2026-07-12</x:v>
      </x:c>
      <x:c r="AG611" s="369" t="str">
        <x:v>最終バッチ：有効な誤答を維持し、絶対語・物理的不可能な誤答のみ置換。正答位置は維持。</x:v>
      </x:c>
    </x:row>
    <x:row r="612" ht="84" customHeight="1">
      <x:c r="A612" s="368" t="str">
        <x:v>LO1-131</x:v>
      </x:c>
      <x:c r="B612" s="171" t="str">
        <x:v>LO1</x:v>
      </x:c>
      <x:c r="C612" s="165" t="str">
        <x:v>ブドウ畑・ワイナリーの自然要因と人的要因</x:v>
      </x:c>
      <x:c r="D612" s="165" t="str">
        <x:v>無棚栽培</x:v>
      </x:c>
      <x:c r="E612" s="165" t="str">
        <x:v>無棚栽培が低樹勢で乾燥した畑に適しやすい主な理由はどれか。</x:v>
      </x:c>
      <x:c r="F612" s="165" t="str">
        <x:v>無棚栽培では樹勢が強いほど、自立した樹冠を管理しやすい</x:v>
      </x:c>
      <x:c r="G612" s="165" t="str">
        <x:v>高樹勢の畑で新梢を地面へ垂らし、日陰を最大化するため</x:v>
      </x:c>
      <x:c r="H612" s="165" t="str">
        <x:v>新梢が過度に伸びにくく、ワイヤーで支持しなくても樹冠を管理できるため</x:v>
      </x:c>
      <x:c r="I612" s="165" t="str">
        <x:v>機械剪定と機械収穫を容易にするため</x:v>
      </x:c>
      <x:c r="J612" s="171" t="str">
        <x:v>C</x:v>
      </x:c>
      <x:c r="K612" s="165" t="str">
        <x:v>新梢が過度に伸びにくく、ワイヤーで支持しなくても樹冠を管理できるため</x:v>
      </x:c>
      <x:c r="L612" s="165" t="str">
        <x:v>正しい。乾燥・低樹勢条件ではキャノピーが小さく、自立した株仕立てを維持しやすい。</x:v>
      </x:c>
      <x:c r="M612" s="165" t="str">
        <x:v>誤り。高樹勢では新梢が長く密集し、無棚での管理が難しくなる。</x:v>
      </x:c>
      <x:c r="N612" s="165" t="str">
        <x:v>誤り。高樹勢では無棚栽培は密集・病害の管理が難しくなりやすい。</x:v>
      </x:c>
      <x:c r="O612" s="165" t="str">
        <x:v>正しい。乾燥・低樹勢条件ではキャノピーが小さく、自立した株仕立てを維持しやすい。</x:v>
      </x:c>
      <x:c r="P612" s="165" t="str">
        <x:v>誤り。不規則な自立樹形は機械化に不利なことが多い。</x:v>
      </x:c>
      <x:c r="Q612" s="165" t="str">
        <x:v>栽培</x:v>
      </x:c>
      <x:c r="R612" s="165" t="str">
        <x:v>仕立て</x:v>
      </x:c>
      <x:c r="S612" s="165" t="str">
        <x:v>非発泡性ワイン</x:v>
      </x:c>
      <x:c r="T612" s="165"/>
      <x:c r="U612" s="165"/>
      <x:c r="V612" s="165"/>
      <x:c r="W612" s="165" t="str">
        <x:v>適用</x:v>
      </x:c>
      <x:c r="X612" s="171" t="str">
        <x:v>D2</x:v>
      </x:c>
      <x:c r="Y612" s="165" t="str">
        <x:v>無棚栽培は高樹勢ほど管理しやすい; 無棚栽培は高樹勢向き; 無棚栽培は機械化向き</x:v>
      </x:c>
      <x:c r="Z612" s="171" t="str">
        <x:v>N</x:v>
      </x:c>
      <x:c r="AA612" s="165"/>
      <x:c r="AB612" s="165" t="str">
        <x:v>オリジナル</x:v>
      </x:c>
      <x:c r="AC612" s="165" t="str">
        <x:v>WSET公式Specificationの範囲＋ユーザー作成コーパスの論点を参考に独自作成</x:v>
      </x:c>
      <x:c r="AD612" s="171" t="str">
        <x:v>改稿済み・専門家未承認</x:v>
      </x:c>
      <x:c r="AE612" s="171" t="str">
        <x:v>AI誤答レビュー</x:v>
      </x:c>
      <x:c r="AF612" s="171" t="str">
        <x:v>2026-07-12</x:v>
      </x:c>
      <x:c r="AG612" s="369" t="str">
        <x:v>第4バッチ：同一論点内の典型的誤概念へ置換。正答位置は維持。</x:v>
      </x:c>
    </x:row>
    <x:row r="613" ht="84" customHeight="1">
      <x:c r="A613" s="368" t="str">
        <x:v>LO1-132</x:v>
      </x:c>
      <x:c r="B613" s="171" t="str">
        <x:v>LO1</x:v>
      </x:c>
      <x:c r="C613" s="165" t="str">
        <x:v>ブドウ畑・ワイナリーの自然要因と人的要因</x:v>
      </x:c>
      <x:c r="D613" s="165" t="str">
        <x:v>棚仕立てのコスト</x:v>
      </x:c>
      <x:c r="E613" s="165" t="str">
        <x:v>棚仕立ての導入が、ワイン価格を押し上げる可能性がある主な理由はどれか。</x:v>
      </x:c>
      <x:c r="F613" s="165" t="str">
        <x:v>棚仕立てでは収量が低下しやすく、原料ブドウ価格だけが上がるため</x:v>
      </x:c>
      <x:c r="G613" s="165" t="str">
        <x:v>ワイヤーが果実の糖度を高めるため、糖度に応じた税負担が増える</x:v>
      </x:c>
      <x:c r="H613" s="165" t="str">
        <x:v>棚仕立てでは機械化が難しく、多くの作業を手作業にする必要がある</x:v>
      </x:c>
      <x:c r="I613" s="165" t="str">
        <x:v>支柱、ワイヤー、設置、修繕、キャノピー作業に費用がかかるため</x:v>
      </x:c>
      <x:c r="J613" s="171" t="str">
        <x:v>D</x:v>
      </x:c>
      <x:c r="K613" s="165" t="str">
        <x:v>支柱、ワイヤー、設置、修繕、キャノピー作業に費用がかかるため</x:v>
      </x:c>
      <x:c r="L613" s="165" t="str">
        <x:v>正しい。設備投資と継続的な管理労働が生産費へ反映される。</x:v>
      </x:c>
      <x:c r="M613" s="165" t="str">
        <x:v>誤り。棚仕立てで収量が低下するとは限らず、初期・維持費が中心である。</x:v>
      </x:c>
      <x:c r="N613" s="165" t="str">
        <x:v>誤り。ワイヤーが糖度を直接高めたり税を生じさせたりしない。</x:v>
      </x:c>
      <x:c r="O613" s="165" t="str">
        <x:v>誤り。仕立てによっては機械化を容易にし、手作業を減らせる。</x:v>
      </x:c>
      <x:c r="P613" s="165" t="str">
        <x:v>正しい。設備投資と継続的な管理労働が生産費へ反映される。</x:v>
      </x:c>
      <x:c r="Q613" s="165" t="str">
        <x:v>商業・価格</x:v>
      </x:c>
      <x:c r="R613" s="165" t="str">
        <x:v>仕立て</x:v>
      </x:c>
      <x:c r="S613" s="165" t="str">
        <x:v>非発泡性ワイン</x:v>
      </x:c>
      <x:c r="T613" s="165"/>
      <x:c r="U613" s="165"/>
      <x:c r="V613" s="165"/>
      <x:c r="W613" s="165" t="str">
        <x:v>統合判断</x:v>
      </x:c>
      <x:c r="X613" s="171" t="str">
        <x:v>D2</x:v>
      </x:c>
      <x:c r="Y613" s="165" t="str">
        <x:v>棚仕立ては収量低下だけで価格を上げる; ワイヤーで糖度と税負担が上がる; 棚仕立ては機械化不能</x:v>
      </x:c>
      <x:c r="Z613" s="171" t="str">
        <x:v>N</x:v>
      </x:c>
      <x:c r="AA613" s="165"/>
      <x:c r="AB613" s="165" t="str">
        <x:v>オリジナル</x:v>
      </x:c>
      <x:c r="AC613" s="165" t="str">
        <x:v>WSET公式Specificationの範囲＋ユーザー作成コーパスの論点を参考に独自作成</x:v>
      </x:c>
      <x:c r="AD613" s="171" t="str">
        <x:v>改稿済み・専門家未承認</x:v>
      </x:c>
      <x:c r="AE613" s="171" t="str">
        <x:v>AI誤答レビュー</x:v>
      </x:c>
      <x:c r="AF613" s="171" t="str">
        <x:v>2026-07-12</x:v>
      </x:c>
      <x:c r="AG613" s="369" t="str">
        <x:v>第3バッチ：同一論点内の典型的誤概念へ置換。正答位置は維持。</x:v>
      </x:c>
    </x:row>
    <x:row r="614" ht="84" customHeight="1">
      <x:c r="A614" s="368" t="str">
        <x:v>LO1-133</x:v>
      </x:c>
      <x:c r="B614" s="171" t="str">
        <x:v>LO1</x:v>
      </x:c>
      <x:c r="C614" s="165" t="str">
        <x:v>ブドウ畑・ワイナリーの自然要因と人的要因</x:v>
      </x:c>
      <x:c r="D614" s="165" t="str">
        <x:v>高密植</x:v>
      </x:c>
      <x:c r="E614" s="165" t="str">
        <x:v>比較的肥沃度が低く降水のある畑で高密植が選ばれる主な狙いはどれか。</x:v>
      </x:c>
      <x:c r="F614" s="165" t="str">
        <x:v>樹同士を競合させ、各樹の樹勢と収量を抑えながら土地を利用するため</x:v>
      </x:c>
      <x:c r="G614" s="165" t="str">
        <x:v>一樹当たりの収量を最大化するため</x:v>
      </x:c>
      <x:c r="H614" s="165" t="str">
        <x:v>多くの畑で機械作業を容易にするため</x:v>
      </x:c>
      <x:c r="I614" s="165" t="str">
        <x:v>乾燥地で水競争を最大化して樹を枯らすため</x:v>
      </x:c>
      <x:c r="J614" s="171" t="str">
        <x:v>A</x:v>
      </x:c>
      <x:c r="K614" s="165" t="str">
        <x:v>樹同士を競合させ、各樹の樹勢と収量を抑えながら土地を利用するため</x:v>
      </x:c>
      <x:c r="L614" s="165" t="str">
        <x:v>正しい。根の競争により一樹当たりの生育を制限し、細かい根系と均一な成熟を得る場合がある。</x:v>
      </x:c>
      <x:c r="M614" s="165" t="str">
        <x:v>正しい。根の競争により一樹当たりの生育を制限し、細かい根系と均一な成熟を得る場合がある。</x:v>
      </x:c>
      <x:c r="N614" s="165" t="str">
        <x:v>誤り。高密植では一樹当たりの収量は低くなりやすい。</x:v>
      </x:c>
      <x:c r="O614" s="165" t="str">
        <x:v>誤り。狭い畝間は機械化を難しくすることがある。</x:v>
      </x:c>
      <x:c r="P614" s="165" t="str">
        <x:v>誤り。極端な乾燥地では高密植が不適切な場合がある。</x:v>
      </x:c>
      <x:c r="Q614" s="165" t="str">
        <x:v>栽培</x:v>
      </x:c>
      <x:c r="R614" s="165" t="str">
        <x:v>植栽密度</x:v>
      </x:c>
      <x:c r="S614" s="165" t="str">
        <x:v>非発泡性ワイン</x:v>
      </x:c>
      <x:c r="T614" s="165"/>
      <x:c r="U614" s="165"/>
      <x:c r="V614" s="165"/>
      <x:c r="W614" s="165" t="str">
        <x:v>因果説明</x:v>
      </x:c>
      <x:c r="X614" s="171" t="str">
        <x:v>D3</x:v>
      </x:c>
      <x:c r="Y614" s="165" t="str">
        <x:v>高密植について関連要因を主因とみなす; 高密植について関連要因を主因とみなす; 高密植について関連要因を主因とみなす</x:v>
      </x:c>
      <x:c r="Z614" s="171" t="str">
        <x:v>N</x:v>
      </x:c>
      <x:c r="AA614" s="165"/>
      <x:c r="AB614" s="165" t="str">
        <x:v>オリジナル</x:v>
      </x:c>
      <x:c r="AC614" s="165" t="str">
        <x:v>WSET公式Specificationの範囲＋ユーザー作成コーパスの論点を参考に独自作成</x:v>
      </x:c>
      <x:c r="AD614" s="171" t="str">
        <x:v>改稿済み・専門家未承認</x:v>
      </x:c>
      <x:c r="AE614" s="171" t="str">
        <x:v>AI誤答レビュー</x:v>
      </x:c>
      <x:c r="AF614" s="171" t="str">
        <x:v>2026-07-12</x:v>
      </x:c>
      <x:c r="AG614" s="369" t="str">
        <x:v>第5バッチ：使用可能な誤答を維持し、弱い誤答を因果逆転・隣接概念へ置換。正答位置は維持。</x:v>
      </x:c>
    </x:row>
    <x:row r="615" ht="84" customHeight="1">
      <x:c r="A615" s="368" t="str">
        <x:v>LO1-134</x:v>
      </x:c>
      <x:c r="B615" s="171" t="str">
        <x:v>LO1</x:v>
      </x:c>
      <x:c r="C615" s="165" t="str">
        <x:v>ブドウ畑・ワイナリーの自然要因と人的要因</x:v>
      </x:c>
      <x:c r="D615" s="165" t="str">
        <x:v>低密植</x:v>
      </x:c>
      <x:c r="E615" s="165" t="str">
        <x:v>乾燥し水分の乏しい畑で低密植が有利となる主な理由はどれか。</x:v>
      </x:c>
      <x:c r="F615" s="165" t="str">
        <x:v>植栽間隔を広げるほど、一樹が利用できる土壌容積は小さくなる</x:v>
      </x:c>
      <x:c r="G615" s="165" t="str">
        <x:v>各樹が広い土壌容積から水を利用でき、樹同士の水分競争を減らせる</x:v>
      </x:c>
      <x:c r="H615" s="165" t="str">
        <x:v>低密植ほど根が浅くなり、少量の表面水を効率よく使える</x:v>
      </x:c>
      <x:c r="I615" s="165" t="str">
        <x:v>樹数が少ないほど一樹当たりの収量も下がり、全体収量も低くなる</x:v>
      </x:c>
      <x:c r="J615" s="171" t="str">
        <x:v>B</x:v>
      </x:c>
      <x:c r="K615" s="165" t="str">
        <x:v>各樹が広い土壌容積から水を利用でき、樹同士の水分競争を減らせる</x:v>
      </x:c>
      <x:c r="L615" s="165" t="str">
        <x:v>正しい。植栽間隔を広げることで、限られた水分を少ない樹で利用できる。</x:v>
      </x:c>
      <x:c r="M615" s="165" t="str">
        <x:v>誤り。低密植では一樹当たりの根域が広がり、水分競争が減る。</x:v>
      </x:c>
      <x:c r="N615" s="165" t="str">
        <x:v>正しい。植栽間隔を広げることで、限られた水分を少ない樹で利用できる。</x:v>
      </x:c>
      <x:c r="O615" s="165" t="str">
        <x:v>誤り。広い間隔は各樹の根域を広げ、深部水利用にも有利となる。</x:v>
      </x:c>
      <x:c r="P615" s="165" t="str">
        <x:v>誤り。一樹当たりの樹冠・収量は増えることもあり、主目的は水競争低下である。</x:v>
      </x:c>
      <x:c r="Q615" s="165" t="str">
        <x:v>栽培</x:v>
      </x:c>
      <x:c r="R615" s="165" t="str">
        <x:v>植栽密度</x:v>
      </x:c>
      <x:c r="S615" s="165" t="str">
        <x:v>非発泡性ワイン</x:v>
      </x:c>
      <x:c r="T615" s="165"/>
      <x:c r="U615" s="165"/>
      <x:c r="V615" s="165"/>
      <x:c r="W615" s="165" t="str">
        <x:v>因果説明</x:v>
      </x:c>
      <x:c r="X615" s="171" t="str">
        <x:v>D2</x:v>
      </x:c>
      <x:c r="Y615" s="165" t="str">
        <x:v>低密植で一樹の根域が小さくなる; 低密植で根が浅くなる; 低密植は一樹収量を必ず下げる</x:v>
      </x:c>
      <x:c r="Z615" s="171" t="str">
        <x:v>N</x:v>
      </x:c>
      <x:c r="AA615" s="165"/>
      <x:c r="AB615" s="165" t="str">
        <x:v>オリジナル</x:v>
      </x:c>
      <x:c r="AC615" s="165" t="str">
        <x:v>WSET公式Specificationの範囲＋ユーザー作成コーパスの論点を参考に独自作成</x:v>
      </x:c>
      <x:c r="AD615" s="171" t="str">
        <x:v>改稿済み・専門家未承認</x:v>
      </x:c>
      <x:c r="AE615" s="171" t="str">
        <x:v>AI誤答レビュー</x:v>
      </x:c>
      <x:c r="AF615" s="171" t="str">
        <x:v>2026-07-12</x:v>
      </x:c>
      <x:c r="AG615" s="369" t="str">
        <x:v>第4バッチ：同一論点内の典型的誤概念へ置換。正答位置は維持。</x:v>
      </x:c>
    </x:row>
    <x:row r="616" ht="84" customHeight="1">
      <x:c r="A616" s="368" t="str">
        <x:v>LO1-135</x:v>
      </x:c>
      <x:c r="B616" s="171" t="str">
        <x:v>LO1</x:v>
      </x:c>
      <x:c r="C616" s="165" t="str">
        <x:v>ブドウ畑・ワイナリーの自然要因と人的要因</x:v>
      </x:c>
      <x:c r="D616" s="165" t="str">
        <x:v>被覆作物</x:v>
      </x:c>
      <x:c r="E616" s="165" t="str">
        <x:v>ブドウ畑に被覆作物を植える利点として、最も適切なものはどれか。</x:v>
      </x:c>
      <x:c r="F616" s="165" t="str">
        <x:v>浸食を抑え、有機物と生物多様性を高め、過剰な樹勢を競合で抑えることがある</x:v>
      </x:c>
      <x:c r="G616" s="165" t="str">
        <x:v>乾燥した畑でも水分競合が起こらず、灌漑量を減らせる</x:v>
      </x:c>
      <x:c r="H616" s="165" t="str">
        <x:v>深い耕起と同じように土壌を毎年反転し、雑草種子を埋める</x:v>
      </x:c>
      <x:c r="I616" s="165" t="str">
        <x:v>根域の窒素を増やすため、多くの被覆作物が樹勢を高める</x:v>
      </x:c>
      <x:c r="J616" s="171" t="str">
        <x:v>C</x:v>
      </x:c>
      <x:c r="K616" s="165" t="str">
        <x:v>深い耕起と同じように土壌を毎年反転し、雑草種子を埋める</x:v>
      </x:c>
      <x:c r="L616" s="165" t="str">
        <x:v>正しい。土壌を反転する耕起とは異なる管理方法である。</x:v>
      </x:c>
      <x:c r="M616" s="165" t="str">
        <x:v>誤り。被覆作物は土壌保護、生物多様性、樹勢管理に役立つ。</x:v>
      </x:c>
      <x:c r="N616" s="165" t="str">
        <x:v>誤り。乾燥地ではブドウ樹と水を競合し、管理や除去が必要になる。</x:v>
      </x:c>
      <x:c r="O616" s="165" t="str">
        <x:v>正しい。土壌を反転する耕起とは異なる管理方法である。</x:v>
      </x:c>
      <x:c r="P616" s="165" t="str">
        <x:v>誤り。マメ科は窒素へ寄与する場合があるが、すべての種類が樹勢を高めるわけではない。</x:v>
      </x:c>
      <x:c r="Q616" s="165" t="str">
        <x:v>栽培</x:v>
      </x:c>
      <x:c r="R616" s="165" t="str">
        <x:v>土壌管理</x:v>
      </x:c>
      <x:c r="S616" s="165" t="str">
        <x:v>非発泡性ワイン</x:v>
      </x:c>
      <x:c r="T616" s="165"/>
      <x:c r="U616" s="165"/>
      <x:c r="V616" s="165"/>
      <x:c r="W616" s="165" t="str">
        <x:v>統合判断</x:v>
      </x:c>
      <x:c r="X616" s="171" t="str">
        <x:v>D3</x:v>
      </x:c>
      <x:c r="Y616" s="165" t="str">
        <x:v>被覆作物は乾燥地でも水競合しない; すべての被覆作物が窒素と樹勢を増やす</x:v>
      </x:c>
      <x:c r="Z616" s="171" t="str">
        <x:v>N</x:v>
      </x:c>
      <x:c r="AA616" s="165"/>
      <x:c r="AB616" s="165" t="str">
        <x:v>オリジナル</x:v>
      </x:c>
      <x:c r="AC616" s="165" t="str">
        <x:v>WSET公式Specificationの範囲＋ユーザー作成コーパスの論点を参考に独自作成</x:v>
      </x:c>
      <x:c r="AD616" s="171" t="str">
        <x:v>改稿済み・専門家未承認</x:v>
      </x:c>
      <x:c r="AE616" s="171" t="str">
        <x:v>AI誤答レビュー</x:v>
      </x:c>
      <x:c r="AF616" s="171" t="str">
        <x:v>2026-07-12</x:v>
      </x:c>
      <x:c r="AG616" s="369" t="str">
        <x:v>第3バッチ：同一論点内の典型的誤概念へ置換。正答位置は維持。</x:v>
      </x:c>
    </x:row>
    <x:row r="617" ht="84" customHeight="1">
      <x:c r="A617" s="368" t="str">
        <x:v>LO1-136</x:v>
      </x:c>
      <x:c r="B617" s="171" t="str">
        <x:v>LO1</x:v>
      </x:c>
      <x:c r="C617" s="165" t="str">
        <x:v>ブドウ畑・ワイナリーの自然要因と人的要因</x:v>
      </x:c>
      <x:c r="D617" s="165" t="str">
        <x:v>耕起</x:v>
      </x:c>
      <x:c r="E617" s="165" t="str">
        <x:v>畝間を耕起する主な目的として、最も適切なものはどれか。</x:v>
      </x:c>
      <x:c r="F617" s="165" t="str">
        <x:v>土壌を常に圧密し、根の酸素供給を減らす</x:v>
      </x:c>
      <x:c r="G617" s="165" t="str">
        <x:v>被覆作物を維持したまま、根域の水分競合だけをなくす</x:v>
      </x:c>
      <x:c r="H617" s="165" t="str">
        <x:v>深い根を毎年切断し、低収量を維持する</x:v>
      </x:c>
      <x:c r="I617" s="165" t="str">
        <x:v>雑草を抑え、土壌表面をほぐして水分と養分の競合を減らす</x:v>
      </x:c>
      <x:c r="J617" s="171" t="str">
        <x:v>D</x:v>
      </x:c>
      <x:c r="K617" s="165" t="str">
        <x:v>雑草を抑え、土壌表面をほぐして水分と養分の競合を減らす</x:v>
      </x:c>
      <x:c r="L617" s="165" t="str">
        <x:v>正しい。機械的に雑草を管理し、表土をほぐす。</x:v>
      </x:c>
      <x:c r="M617" s="165" t="str">
        <x:v>誤り。耕起は圧密を緩和する目的もあり、常に圧密する操作ではない。</x:v>
      </x:c>
      <x:c r="N617" s="165" t="str">
        <x:v>誤り。耕起は被覆作物を除去・抑制することがあり、維持したまま競合だけを消せない。</x:v>
      </x:c>
      <x:c r="O617" s="165" t="str">
        <x:v>誤り。深根を意図的に毎年切ることが主目的ではない。</x:v>
      </x:c>
      <x:c r="P617" s="165" t="str">
        <x:v>正しい。機械的に雑草を管理し、表土をほぐす。</x:v>
      </x:c>
      <x:c r="Q617" s="165" t="str">
        <x:v>栽培</x:v>
      </x:c>
      <x:c r="R617" s="165" t="str">
        <x:v>土壌管理</x:v>
      </x:c>
      <x:c r="S617" s="165" t="str">
        <x:v>非発泡性ワイン</x:v>
      </x:c>
      <x:c r="T617" s="165"/>
      <x:c r="U617" s="165"/>
      <x:c r="V617" s="165"/>
      <x:c r="W617" s="165" t="str">
        <x:v>比較</x:v>
      </x:c>
      <x:c r="X617" s="171" t="str">
        <x:v>D2</x:v>
      </x:c>
      <x:c r="Y617" s="165" t="str">
        <x:v>耕起は土壌を圧密する; 被覆作物を維持しつつ競合だけ除ける; 耕起の目的は深根切断による低収量</x:v>
      </x:c>
      <x:c r="Z617" s="171" t="str">
        <x:v>N</x:v>
      </x:c>
      <x:c r="AA617" s="165"/>
      <x:c r="AB617" s="165" t="str">
        <x:v>オリジナル</x:v>
      </x:c>
      <x:c r="AC617" s="165" t="str">
        <x:v>WSET公式Specificationの範囲＋ユーザー作成コーパスの論点を参考に独自作成</x:v>
      </x:c>
      <x:c r="AD617" s="171" t="str">
        <x:v>改稿済み・専門家未承認</x:v>
      </x:c>
      <x:c r="AE617" s="171" t="str">
        <x:v>AI誤答レビュー</x:v>
      </x:c>
      <x:c r="AF617" s="171" t="str">
        <x:v>2026-07-12</x:v>
      </x:c>
      <x:c r="AG617" s="369" t="str">
        <x:v>第3バッチ：同一論点内の典型的誤概念へ置換。正答位置は維持。</x:v>
      </x:c>
    </x:row>
    <x:row r="618" ht="84" customHeight="1">
      <x:c r="A618" s="368" t="str">
        <x:v>LO1-137</x:v>
      </x:c>
      <x:c r="B618" s="171" t="str">
        <x:v>LO1</x:v>
      </x:c>
      <x:c r="C618" s="165" t="str">
        <x:v>ブドウ畑・ワイナリーの自然要因と人的要因</x:v>
      </x:c>
      <x:c r="D618" s="165" t="str">
        <x:v>除草剤</x:v>
      </x:c>
      <x:c r="E618" s="165" t="str">
        <x:v>除草剤を用いる利点と潜在的な問題の組み合わせとして、最も適切なものはどれか。</x:v>
      </x:c>
      <x:c r="F618" s="165" t="str">
        <x:v>雑草を低コストで抑えられる一方、土壌生物や耐性雑草、環境への影響が懸念される</x:v>
      </x:c>
      <x:c r="G618" s="165" t="str">
        <x:v>雑草管理費は高くなるが、土壌生物と水質への影響は生じにくい</x:v>
      </x:c>
      <x:c r="H618" s="165" t="str">
        <x:v>雑草を抑えると同時に土壌有機物を増やし、浸食を減らす</x:v>
      </x:c>
      <x:c r="I618" s="165" t="str">
        <x:v>同じ薬剤を繰り返すほど耐性雑草の発生リスクは低下する</x:v>
      </x:c>
      <x:c r="J618" s="171" t="str">
        <x:v>A</x:v>
      </x:c>
      <x:c r="K618" s="165" t="str">
        <x:v>雑草を低コストで抑えられる一方、土壌生物や耐性雑草、環境への影響が懸念される</x:v>
      </x:c>
      <x:c r="L618" s="165" t="str">
        <x:v>正しい。労働・機械費を抑えやすいが、非標的生物や耐性の問題がある。</x:v>
      </x:c>
      <x:c r="M618" s="165" t="str">
        <x:v>正しい。労働・機械費を抑えやすいが、非標的生物や耐性の問題がある。</x:v>
      </x:c>
      <x:c r="N618" s="165" t="str">
        <x:v>誤り。低コストが利点の一つで、環境影響が生じにくいとはいえない。</x:v>
      </x:c>
      <x:c r="O618" s="165" t="str">
        <x:v>誤り。植生を除くため、裸地化による浸食や有機物低下を招く場合がある。</x:v>
      </x:c>
      <x:c r="P618" s="165" t="str">
        <x:v>誤り。同一作用機構の反復は耐性選抜を高める。</x:v>
      </x:c>
      <x:c r="Q618" s="165" t="str">
        <x:v>栽培</x:v>
      </x:c>
      <x:c r="R618" s="165" t="str">
        <x:v>土壌管理</x:v>
      </x:c>
      <x:c r="S618" s="165" t="str">
        <x:v>非発泡性ワイン</x:v>
      </x:c>
      <x:c r="T618" s="165"/>
      <x:c r="U618" s="165"/>
      <x:c r="V618" s="165"/>
      <x:c r="W618" s="165" t="str">
        <x:v>比較</x:v>
      </x:c>
      <x:c r="X618" s="171" t="str">
        <x:v>D3</x:v>
      </x:c>
      <x:c r="Y618" s="165" t="str">
        <x:v>除草剤は高コストだが環境影響が少ない; 除草剤で有機物と浸食防止が高まる; 同じ薬剤の反復で耐性リスクが下がる</x:v>
      </x:c>
      <x:c r="Z618" s="171" t="str">
        <x:v>Y</x:v>
      </x:c>
      <x:c r="AA618" s="165" t="str">
        <x:v>除草剤の規制と持続可能性に関する表現は地域差があるため最終確認推奨</x:v>
      </x:c>
      <x:c r="AB618" s="165" t="str">
        <x:v>オリジナル</x:v>
      </x:c>
      <x:c r="AC618" s="165" t="str">
        <x:v>WSET公式Specificationの範囲＋ユーザー作成コーパスの論点を参考に独自作成</x:v>
      </x:c>
      <x:c r="AD618" s="171" t="str">
        <x:v>改稿済み・専門家未承認</x:v>
      </x:c>
      <x:c r="AE618" s="171" t="str">
        <x:v>AI誤答レビュー</x:v>
      </x:c>
      <x:c r="AF618" s="171" t="str">
        <x:v>2026-07-12</x:v>
      </x:c>
      <x:c r="AG618" s="369" t="str">
        <x:v>第3バッチ：同一論点内の典型的誤概念へ置換。正答位置は維持。</x:v>
      </x:c>
    </x:row>
    <x:row r="619" ht="84" customHeight="1">
      <x:c r="A619" s="368" t="str">
        <x:v>LO1-138</x:v>
      </x:c>
      <x:c r="B619" s="171" t="str">
        <x:v>LO1</x:v>
      </x:c>
      <x:c r="C619" s="165" t="str">
        <x:v>ブドウ畑・ワイナリーの自然要因と人的要因</x:v>
      </x:c>
      <x:c r="D619" s="165" t="str">
        <x:v>窒素不足</x:v>
      </x:c>
      <x:c r="E619" s="165" t="str">
        <x:v>ブドウ樹に窒素が不足した場合に起こりやすい影響はどれか。</x:v>
      </x:c>
      <x:c r="F619" s="165" t="str">
        <x:v>土壌の排水が大きく止まる</x:v>
      </x:c>
      <x:c r="G619" s="165" t="str">
        <x:v>葉が淡色になり、新梢成長と光合成が弱まり、成熟が遅れる</x:v>
      </x:c>
      <x:c r="H619" s="165" t="str">
        <x:v>果実が樹上で発泡する</x:v>
      </x:c>
      <x:c r="I619" s="165" t="str">
        <x:v>新梢が過剰に伸び、キャノピーが密になる</x:v>
      </x:c>
      <x:c r="J619" s="171" t="str">
        <x:v>B</x:v>
      </x:c>
      <x:c r="K619" s="165" t="str">
        <x:v>葉が淡色になり、新梢成長と光合成が弱まり、成熟が遅れる</x:v>
      </x:c>
      <x:c r="L619" s="165" t="str">
        <x:v>正しい。窒素は葉緑素とタンパク質の形成に必要で、不足すると樹勢と果実への糖供給が低下する。</x:v>
      </x:c>
      <x:c r="M619" s="165" t="str">
        <x:v>誤り。排水性は土壌物理性に関係する。</x:v>
      </x:c>
      <x:c r="N619" s="165" t="str">
        <x:v>正しい。窒素は葉緑素とタンパク質の形成に必要で、不足すると樹勢と果実への糖供給が低下する。</x:v>
      </x:c>
      <x:c r="O619" s="165" t="str">
        <x:v>誤り。栄養不足で発泡性は生じない。</x:v>
      </x:c>
      <x:c r="P619" s="165" t="str">
        <x:v>誤り。これは窒素過多で起こりやすい。</x:v>
      </x:c>
      <x:c r="Q619" s="165" t="str">
        <x:v>栽培</x:v>
      </x:c>
      <x:c r="R619" s="165" t="str">
        <x:v>栄養管理</x:v>
      </x:c>
      <x:c r="S619" s="165" t="str">
        <x:v>非発泡性ワイン</x:v>
      </x:c>
      <x:c r="T619" s="165"/>
      <x:c r="U619" s="165"/>
      <x:c r="V619" s="165"/>
      <x:c r="W619" s="165" t="str">
        <x:v>因果説明</x:v>
      </x:c>
      <x:c r="X619" s="171" t="str">
        <x:v>D2</x:v>
      </x:c>
      <x:c r="Y619" s="165" t="str">
        <x:v>窒素不足について関連要因を主因とみなす; 窒素不足について関連要因を主因とみなす; 窒素不足について関連要因を主因とみなす</x:v>
      </x:c>
      <x:c r="Z619" s="171" t="str">
        <x:v>N</x:v>
      </x:c>
      <x:c r="AA619" s="165"/>
      <x:c r="AB619" s="165" t="str">
        <x:v>オリジナル</x:v>
      </x:c>
      <x:c r="AC619" s="165" t="str">
        <x:v>WSET公式Specificationの範囲＋ユーザー作成コーパスの論点を参考に独自作成</x:v>
      </x:c>
      <x:c r="AD619" s="171" t="str">
        <x:v>改稿済み・専門家未承認</x:v>
      </x:c>
      <x:c r="AE619" s="171" t="str">
        <x:v>AI誤答レビュー</x:v>
      </x:c>
      <x:c r="AF619" s="171" t="str">
        <x:v>2026-07-12</x:v>
      </x:c>
      <x:c r="AG619" s="369" t="str">
        <x:v>第5バッチ：使用可能な誤答を維持し、弱い誤答を因果逆転・隣接概念へ置換。正答位置は維持。</x:v>
      </x:c>
    </x:row>
    <x:row r="620" ht="84" customHeight="1">
      <x:c r="A620" s="368" t="str">
        <x:v>LO1-139</x:v>
      </x:c>
      <x:c r="B620" s="171" t="str">
        <x:v>LO1</x:v>
      </x:c>
      <x:c r="C620" s="165" t="str">
        <x:v>ブドウ畑・ワイナリーの自然要因と人的要因</x:v>
      </x:c>
      <x:c r="D620" s="165" t="str">
        <x:v>窒素過多</x:v>
      </x:c>
      <x:c r="E620" s="165" t="str">
        <x:v>窒素肥料を過剰に施した場合、ワイン品質を損なう可能性がある主な理由はどれか。</x:v>
      </x:c>
      <x:c r="F620" s="165" t="str">
        <x:v>果房数だけが増える一方で葉面積が不足し、光合成能力が低下するため</x:v>
      </x:c>
      <x:c r="G620" s="165" t="str">
        <x:v>根の成長が強く抑えられ、軽度の水ストレスと小粒化が進むため</x:v>
      </x:c>
      <x:c r="H620" s="165" t="str">
        <x:v>新梢と葉が過剰に成長し、果房の遮光と湿度上昇を招くため</x:v>
      </x:c>
      <x:c r="I620" s="165" t="str">
        <x:v>新梢の木質化と休眠入りが早まり、収穫前に葉が落ちやすくなるため</x:v>
      </x:c>
      <x:c r="J620" s="171" t="str">
        <x:v>C</x:v>
      </x:c>
      <x:c r="K620" s="165" t="str">
        <x:v>新梢と葉が過剰に成長し、果房の遮光と湿度上昇を招くため</x:v>
      </x:c>
      <x:c r="L620" s="165" t="str">
        <x:v>正しい。葉と新梢が過剰に成長すると果房が遮光され、成熟が遅れ、風通しの悪化から菌類病リスクも高まる。</x:v>
      </x:c>
      <x:c r="M620" s="165" t="str">
        <x:v>誤り。窒素過多では葉面積が不足するのではなく、一般に栄養成長と葉量が過剰になりやすい。</x:v>
      </x:c>
      <x:c r="N620" s="165" t="str">
        <x:v>誤り。窒素過多の中心的な問題は根の抑制による適度な水ストレスではなく、過剰な樹勢とキャノピー密度である。</x:v>
      </x:c>
      <x:c r="O620" s="165" t="str">
        <x:v>正しい。葉と新梢が過剰に成長すると果房が遮光され、成熟が遅れ、風通しの悪化から菌類病リスクも高まる。</x:v>
      </x:c>
      <x:c r="P620" s="165" t="str">
        <x:v>誤り。窒素過多は新梢成長を長引かせ、木質化や休眠入りを遅らせることがある。</x:v>
      </x:c>
      <x:c r="Q620" s="165" t="str">
        <x:v>栽培</x:v>
      </x:c>
      <x:c r="R620" s="165" t="str">
        <x:v>栄養管理</x:v>
      </x:c>
      <x:c r="S620" s="165" t="str">
        <x:v>非発泡性ワイン</x:v>
      </x:c>
      <x:c r="T620" s="165"/>
      <x:c r="U620" s="165"/>
      <x:c r="V620" s="165"/>
      <x:c r="W620" s="165" t="str">
        <x:v>因果説明</x:v>
      </x:c>
      <x:c r="X620" s="171" t="str">
        <x:v>D2</x:v>
      </x:c>
      <x:c r="Y620" s="165" t="str">
        <x:v>窒素過多で葉不足; 窒素過多で低樹勢・水ストレス; 窒素過多で木質化が早まる</x:v>
      </x:c>
      <x:c r="Z620" s="171" t="str">
        <x:v>N</x:v>
      </x:c>
      <x:c r="AA620" s="165"/>
      <x:c r="AB620" s="165" t="str">
        <x:v>オリジナル</x:v>
      </x:c>
      <x:c r="AC620" s="165" t="str">
        <x:v>WSET公式Specificationの範囲＋ユーザー作成コーパスの論点を参考に独自作成</x:v>
      </x:c>
      <x:c r="AD620" s="171" t="str">
        <x:v>改稿済み・専門家未承認</x:v>
      </x:c>
      <x:c r="AE620" s="171" t="str">
        <x:v>AI誤答レビュー</x:v>
      </x:c>
      <x:c r="AF620" s="171" t="str">
        <x:v>2026-07-12</x:v>
      </x:c>
      <x:c r="AG620" s="369" t="str">
        <x:v>誤答を同一論点内の典型的誤概念へ置換。900問本体への反映前に専門家確認推奨。</x:v>
      </x:c>
    </x:row>
    <x:row r="621" ht="84" customHeight="1">
      <x:c r="A621" s="368" t="str">
        <x:v>LO1-140</x:v>
      </x:c>
      <x:c r="B621" s="171" t="str">
        <x:v>LO1</x:v>
      </x:c>
      <x:c r="C621" s="165" t="str">
        <x:v>ブドウ畑・ワイナリーの自然要因と人的要因</x:v>
      </x:c>
      <x:c r="D621" s="165" t="str">
        <x:v>カリウム不足</x:v>
      </x:c>
      <x:c r="E621" s="165" t="str">
        <x:v>ブドウ樹のカリウム不足で起こり得る問題として、最も適切なものはどれか。</x:v>
      </x:c>
      <x:c r="F621" s="165" t="str">
        <x:v>果汁中のカリウムが増え、酒石酸塩の形成によってpHが上昇しやすくなる</x:v>
      </x:c>
      <x:c r="G621" s="165" t="str">
        <x:v>新梢と葉が過剰に成長し、果房の遮光が強くなる</x:v>
      </x:c>
      <x:c r="H621" s="165" t="str">
        <x:v>葉の水分調節が改善し、糖の転流が速くなって成熟が均一になる</x:v>
      </x:c>
      <x:c r="I621" s="165" t="str">
        <x:v>葉の機能と糖の移動が低下し、果実成熟が不均一になる</x:v>
      </x:c>
      <x:c r="J621" s="171" t="str">
        <x:v>D</x:v>
      </x:c>
      <x:c r="K621" s="165" t="str">
        <x:v>葉の機能と糖の移動が低下し、果実成熟が不均一になる</x:v>
      </x:c>
      <x:c r="L621" s="165" t="str">
        <x:v>正しい。カリウムは水分調節と糖の移動に関係し、不足すると葉の障害と不均一な成熟を招く。</x:v>
      </x:c>
      <x:c r="M621" s="165" t="str">
        <x:v>誤り。これはカリウム過多で起こり得る影響であり、不足ではない。</x:v>
      </x:c>
      <x:c r="N621" s="165" t="str">
        <x:v>誤り。過剰な栄養成長は主に窒素過多などと関係し、カリウム不足の典型ではない。</x:v>
      </x:c>
      <x:c r="O621" s="165" t="str">
        <x:v>誤り。カリウム不足では気孔調節や同化産物の輸送が損なわれ、成熟は改善しない。</x:v>
      </x:c>
      <x:c r="P621" s="165" t="str">
        <x:v>正しい。カリウムは水分調節と糖の移動に関係し、不足すると葉の障害と不均一な成熟を招く。</x:v>
      </x:c>
      <x:c r="Q621" s="165" t="str">
        <x:v>栽培</x:v>
      </x:c>
      <x:c r="R621" s="165" t="str">
        <x:v>栄養管理</x:v>
      </x:c>
      <x:c r="S621" s="165" t="str">
        <x:v>非発泡性ワイン</x:v>
      </x:c>
      <x:c r="T621" s="165"/>
      <x:c r="U621" s="165"/>
      <x:c r="V621" s="165"/>
      <x:c r="W621" s="165" t="str">
        <x:v>因果説明</x:v>
      </x:c>
      <x:c r="X621" s="171" t="str">
        <x:v>D3</x:v>
      </x:c>
      <x:c r="Y621" s="165" t="str">
        <x:v>カリウム不足とカリウム過多の影響を逆転; カリウム不足を窒素過多と混同; カリウム不足で水分・糖輸送が改善する</x:v>
      </x:c>
      <x:c r="Z621" s="171" t="str">
        <x:v>Y</x:v>
      </x:c>
      <x:c r="AA621" s="165" t="str">
        <x:v>栄養欠乏症状の表現は教材レベルに合わせて最終確認推奨</x:v>
      </x:c>
      <x:c r="AB621" s="165" t="str">
        <x:v>オリジナル</x:v>
      </x:c>
      <x:c r="AC621" s="165" t="str">
        <x:v>WSET公式Specificationの範囲＋ユーザー作成コーパスの論点を参考に独自作成</x:v>
      </x:c>
      <x:c r="AD621" s="171" t="str">
        <x:v>改稿済み・専門家未承認</x:v>
      </x:c>
      <x:c r="AE621" s="171" t="str">
        <x:v>AI誤答レビュー</x:v>
      </x:c>
      <x:c r="AF621" s="171" t="str">
        <x:v>2026-07-12</x:v>
      </x:c>
      <x:c r="AG621" s="369" t="str">
        <x:v>第2バッチ：誤答を同一論点内の典型的誤概念へ置換。正答位置は維持。</x:v>
      </x:c>
    </x:row>
    <x:row r="622" ht="84" customHeight="1">
      <x:c r="A622" s="368" t="str">
        <x:v>LO1-141</x:v>
      </x:c>
      <x:c r="B622" s="171" t="str">
        <x:v>LO1</x:v>
      </x:c>
      <x:c r="C622" s="165" t="str">
        <x:v>ブドウ畑・ワイナリーの自然要因と人的要因</x:v>
      </x:c>
      <x:c r="D622" s="165" t="str">
        <x:v>塩害</x:v>
      </x:c>
      <x:c r="E622" s="165" t="str">
        <x:v>灌漑水や土壌の塩分濃度が高い場合、ブドウ樹が水を吸収しにくくなる主な理由はどれか。</x:v>
      </x:c>
      <x:c r="F622" s="165" t="str">
        <x:v>根の周囲の浸透圧が高まり、土壌に水があっても根へ移動しにくくなるため</x:v>
      </x:c>
      <x:c r="G622" s="165" t="str">
        <x:v>塩分が気孔を開かせ続け、蒸散が増えて根からの吸水が追いつかなくなるため</x:v>
      </x:c>
      <x:c r="H622" s="165" t="str">
        <x:v>塩分が土壌粒子を粗くし、排水が速くなって根域の水だけが減るため</x:v>
      </x:c>
      <x:c r="I622" s="165" t="str">
        <x:v>塩分が根の呼吸を高め、吸収した水を根内で急速に消費するため</x:v>
      </x:c>
      <x:c r="J622" s="171" t="str">
        <x:v>A</x:v>
      </x:c>
      <x:c r="K622" s="165" t="str">
        <x:v>根の周囲の浸透圧が高まり、土壌に水があっても根へ移動しにくくなるため</x:v>
      </x:c>
      <x:c r="L622" s="165" t="str">
        <x:v>正しい。塩類集積は土壌水の浸透ポテンシャルを下げ、根が水を取り込みにくい生理的乾燥を生む。</x:v>
      </x:c>
      <x:c r="M622" s="165" t="str">
        <x:v>正しい。塩類集積は土壌水の浸透ポテンシャルを下げ、根が水を取り込みにくい生理的乾燥を生む。</x:v>
      </x:c>
      <x:c r="N622" s="165" t="str">
        <x:v>誤り。塩害で気孔はむしろ閉じる方向に働くことがあり、主因は根外の浸透圧である。</x:v>
      </x:c>
      <x:c r="O622" s="165" t="str">
        <x:v>誤り。土壌構造へ影響する場合はあるが、吸水困難の直接要因は浸透圧差である。</x:v>
      </x:c>
      <x:c r="P622" s="165" t="str">
        <x:v>誤り。根が水を消費するのではなく、水が根へ移動しにくくなることが中心である。</x:v>
      </x:c>
      <x:c r="Q622" s="165" t="str">
        <x:v>自然要因</x:v>
      </x:c>
      <x:c r="R622" s="165" t="str">
        <x:v>土壌・水質</x:v>
      </x:c>
      <x:c r="S622" s="165" t="str">
        <x:v>非発泡性ワイン</x:v>
      </x:c>
      <x:c r="T622" s="165"/>
      <x:c r="U622" s="165"/>
      <x:c r="V622" s="165"/>
      <x:c r="W622" s="165" t="str">
        <x:v>因果説明</x:v>
      </x:c>
      <x:c r="X622" s="171" t="str">
        <x:v>D3</x:v>
      </x:c>
      <x:c r="Y622" s="165" t="str">
        <x:v>塩害は気孔を開かせ続ける; 塩害の吸水障害は排水加速だけで起こる; 根が吸収水を呼吸で消費する</x:v>
      </x:c>
      <x:c r="Z622" s="171" t="str">
        <x:v>N</x:v>
      </x:c>
      <x:c r="AA622" s="165"/>
      <x:c r="AB622" s="165" t="str">
        <x:v>オリジナル</x:v>
      </x:c>
      <x:c r="AC622" s="165" t="str">
        <x:v>WSET公式Specificationの範囲＋ユーザー作成コーパスの論点を参考に独自作成</x:v>
      </x:c>
      <x:c r="AD622" s="171" t="str">
        <x:v>改稿済み・専門家未承認</x:v>
      </x:c>
      <x:c r="AE622" s="171" t="str">
        <x:v>AI誤答レビュー</x:v>
      </x:c>
      <x:c r="AF622" s="171" t="str">
        <x:v>2026-07-12</x:v>
      </x:c>
      <x:c r="AG622" s="369" t="str">
        <x:v>第3バッチ：同一論点内の典型的誤概念へ置換。正答位置は維持。</x:v>
      </x:c>
    </x:row>
    <x:row r="623" ht="84" customHeight="1">
      <x:c r="A623" s="368" t="str">
        <x:v>LO1-142</x:v>
      </x:c>
      <x:c r="B623" s="171" t="str">
        <x:v>LO1</x:v>
      </x:c>
      <x:c r="C623" s="165" t="str">
        <x:v>ブドウ畑・ワイナリーの自然要因と人的要因</x:v>
      </x:c>
      <x:c r="D623" s="165" t="str">
        <x:v>洪水灌漑</x:v>
      </x:c>
      <x:c r="E623" s="165" t="str">
        <x:v>洪水灌漑が点滴灌漑より水利用効率で劣りやすい主な理由はどれか。</x:v>
      </x:c>
      <x:c r="F623" s="165" t="str">
        <x:v>水をほとんど使用しないため</x:v>
      </x:c>
      <x:c r="G623" s="165" t="str">
        <x:v>畑全体へ大量に水を流すため、蒸発・流出・深部浸透による損失が大きい</x:v>
      </x:c>
      <x:c r="H623" s="165" t="str">
        <x:v>水を一本の樹へ一滴ずつ与えるため</x:v>
      </x:c>
      <x:c r="I623" s="165" t="str">
        <x:v>畑全体を均一に湿らせるため、樹ごとの水分ストレスを点滴より精密に制御できる</x:v>
      </x:c>
      <x:c r="J623" s="171" t="str">
        <x:v>B</x:v>
      </x:c>
      <x:c r="K623" s="165" t="str">
        <x:v>畑全体へ大量に水を流すため、蒸発・流出・深部浸透による損失が大きい</x:v>
      </x:c>
      <x:c r="L623" s="165" t="str">
        <x:v>正しい。設備は単純でも、水を正確に根域へ届けにくく、雑草成長や土壌侵食を招く場合がある。</x:v>
      </x:c>
      <x:c r="M623" s="165" t="str">
        <x:v>誤り。大量の水を必要とする。</x:v>
      </x:c>
      <x:c r="N623" s="165" t="str">
        <x:v>正しい。設備は単純でも、水を正確に根域へ届けにくく、雑草成長や土壌侵食を招く場合がある。</x:v>
      </x:c>
      <x:c r="O623" s="165" t="str">
        <x:v>誤り。これは点滴灌漑の特徴である。</x:v>
      </x:c>
      <x:c r="P623" s="165" t="str">
        <x:v>誤り。洪水灌漑は広範囲へ大量散水するため、樹ごとの精密制御には不向きである。</x:v>
      </x:c>
      <x:c r="Q623" s="165" t="str">
        <x:v>栽培</x:v>
      </x:c>
      <x:c r="R623" s="165" t="str">
        <x:v>灌漑</x:v>
      </x:c>
      <x:c r="S623" s="165" t="str">
        <x:v>非発泡性ワイン</x:v>
      </x:c>
      <x:c r="T623" s="165"/>
      <x:c r="U623" s="165"/>
      <x:c r="V623" s="165"/>
      <x:c r="W623" s="165" t="str">
        <x:v>比較</x:v>
      </x:c>
      <x:c r="X623" s="171" t="str">
        <x:v>D2</x:v>
      </x:c>
      <x:c r="Y623" s="165" t="str">
        <x:v>洪水灌漑について関連要因を主因とみなす; 洪水灌漑について関連要因を主因とみなす; 洪水灌漑は点滴より精密に制御できる</x:v>
      </x:c>
      <x:c r="Z623" s="171" t="str">
        <x:v>N</x:v>
      </x:c>
      <x:c r="AA623" s="165"/>
      <x:c r="AB623" s="165" t="str">
        <x:v>オリジナル</x:v>
      </x:c>
      <x:c r="AC623" s="165" t="str">
        <x:v>WSET公式Specificationの範囲＋ユーザー作成コーパスの論点を参考に独自作成</x:v>
      </x:c>
      <x:c r="AD623" s="171" t="str">
        <x:v>改稿済み・専門家未承認</x:v>
      </x:c>
      <x:c r="AE623" s="171" t="str">
        <x:v>AI誤答レビュー</x:v>
      </x:c>
      <x:c r="AF623" s="171" t="str">
        <x:v>2026-07-12</x:v>
      </x:c>
      <x:c r="AG623" s="369" t="str">
        <x:v>第5バッチ：使用可能な誤答を維持し、弱い誤答を因果逆転・隣接概念へ置換。正答位置は維持。</x:v>
      </x:c>
    </x:row>
    <x:row r="624" ht="84" customHeight="1">
      <x:c r="A624" s="368" t="str">
        <x:v>LO1-143</x:v>
      </x:c>
      <x:c r="B624" s="171" t="str">
        <x:v>LO1</x:v>
      </x:c>
      <x:c r="C624" s="165" t="str">
        <x:v>ブドウ畑・ワイナリーの自然要因と人的要因</x:v>
      </x:c>
      <x:c r="D624" s="165" t="str">
        <x:v>スプリンクラー灌漑</x:v>
      </x:c>
      <x:c r="E624" s="165" t="str">
        <x:v>スプリンクラー灌漑の潜在的な問題として最も適切なものはどれか。</x:v>
      </x:c>
      <x:c r="F624" s="165" t="str">
        <x:v>樹の過剰な新梢成長を抑えつつ、果実成熟に必要な水分を確保する</x:v>
      </x:c>
      <x:c r="G624" s="165" t="str">
        <x:v>根域だけを濡らすため、塩類を葉面へ蓄積させる</x:v>
      </x:c>
      <x:c r="H624" s="165" t="str">
        <x:v>葉と果房を濡らし、蒸発損失と菌類病リスクを高める可能性がある</x:v>
      </x:c>
      <x:c r="I624" s="165" t="str">
        <x:v>風が強いほど水滴が均一に届き、水利用効率が上がる</x:v>
      </x:c>
      <x:c r="J624" s="171" t="str">
        <x:v>C</x:v>
      </x:c>
      <x:c r="K624" s="165" t="str">
        <x:v>葉と果房を濡らし、蒸発損失と菌類病リスクを高める可能性がある</x:v>
      </x:c>
      <x:c r="L624" s="165" t="str">
        <x:v>正しい。広範囲へ散水するため、風と蒸発の影響を受け、キャノピー湿潤も増やす。</x:v>
      </x:c>
      <x:c r="M624" s="165" t="str">
        <x:v>誤り。これは同じ知識領域の「制限灌漑」に当てはまる説明で、設問の「スプリンクラー灌漑」を最も適切に説明しない。</x:v>
      </x:c>
      <x:c r="N624" s="165" t="str">
        <x:v>誤り。根域限定は点滴灌漑に近く、スプリンクラーは広く散水する。</x:v>
      </x:c>
      <x:c r="O624" s="165" t="str">
        <x:v>正しい。広範囲へ散水するため、風と蒸発の影響を受け、キャノピー湿潤も増やす。</x:v>
      </x:c>
      <x:c r="P624" s="165" t="str">
        <x:v>誤り。風で散水が流され、均一性と効率が下がる。</x:v>
      </x:c>
      <x:c r="Q624" s="165" t="str">
        <x:v>栽培</x:v>
      </x:c>
      <x:c r="R624" s="165" t="str">
        <x:v>灌漑</x:v>
      </x:c>
      <x:c r="S624" s="165" t="str">
        <x:v>非発泡性ワイン</x:v>
      </x:c>
      <x:c r="T624" s="165"/>
      <x:c r="U624" s="165"/>
      <x:c r="V624" s="165"/>
      <x:c r="W624" s="165" t="str">
        <x:v>比較</x:v>
      </x:c>
      <x:c r="X624" s="171" t="str">
        <x:v>D2</x:v>
      </x:c>
      <x:c r="Y624" s="165" t="str">
        <x:v>スプリンクラー灌漑を制限灌漑の特徴と混同; スプリンクラーは根域限定; 強風でスプリンクラー効率向上</x:v>
      </x:c>
      <x:c r="Z624" s="171" t="str">
        <x:v>N</x:v>
      </x:c>
      <x:c r="AA624" s="165"/>
      <x:c r="AB624" s="165" t="str">
        <x:v>オリジナル</x:v>
      </x:c>
      <x:c r="AC624" s="165" t="str">
        <x:v>WSET公式Specificationの範囲＋ユーザー作成コーパスの論点を参考に独自作成</x:v>
      </x:c>
      <x:c r="AD624" s="171" t="str">
        <x:v>改稿済み・専門家未承認</x:v>
      </x:c>
      <x:c r="AE624" s="171" t="str">
        <x:v>AI誤答レビュー</x:v>
      </x:c>
      <x:c r="AF624" s="171" t="str">
        <x:v>2026-07-12</x:v>
      </x:c>
      <x:c r="AG624" s="369" t="str">
        <x:v>第4バッチ：同一論点内の典型的誤概念へ置換。正答位置は維持。</x:v>
      </x:c>
    </x:row>
    <x:row r="625" ht="84" customHeight="1">
      <x:c r="A625" s="368" t="str">
        <x:v>LO1-144</x:v>
      </x:c>
      <x:c r="B625" s="171" t="str">
        <x:v>LO1</x:v>
      </x:c>
      <x:c r="C625" s="165" t="str">
        <x:v>ブドウ畑・ワイナリーの自然要因と人的要因</x:v>
      </x:c>
      <x:c r="D625" s="165" t="str">
        <x:v>制限灌漑</x:v>
      </x:c>
      <x:c r="E625" s="165" t="str">
        <x:v>制限灌漑を用いる主な狙いはどれか。</x:v>
      </x:c>
      <x:c r="F625" s="165" t="str">
        <x:v>果実の酸を化学的に除去する</x:v>
      </x:c>
      <x:c r="G625" s="165" t="str">
        <x:v>収量を最大化する</x:v>
      </x:c>
      <x:c r="H625" s="165" t="str">
        <x:v>樹を恒久的に枯死させる</x:v>
      </x:c>
      <x:c r="I625" s="165" t="str">
        <x:v>樹の過剰な新梢成長を抑えつつ、果実成熟に必要な水分を確保する</x:v>
      </x:c>
      <x:c r="J625" s="171" t="str">
        <x:v>D</x:v>
      </x:c>
      <x:c r="K625" s="165" t="str">
        <x:v>樹の過剰な新梢成長を抑えつつ、果実成熟に必要な水分を確保する</x:v>
      </x:c>
      <x:c r="L625" s="165" t="str">
        <x:v>正しい。水不足を厳密に管理し、葉の機能を維持しながら果粒サイズと収量を抑える。</x:v>
      </x:c>
      <x:c r="M625" s="165" t="str">
        <x:v>誤り。水管理が直接除酸するわけではない。</x:v>
      </x:c>
      <x:c r="N625" s="165" t="str">
        <x:v>誤り。品質を重視して過剰収量を抑えることが多い。</x:v>
      </x:c>
      <x:c r="O625" s="165" t="str">
        <x:v>誤り。軽度から中程度の管理された水ストレスが目的である。</x:v>
      </x:c>
      <x:c r="P625" s="165" t="str">
        <x:v>正しい。水不足を厳密に管理し、葉の機能を維持しながら果粒サイズと収量を抑える。</x:v>
      </x:c>
      <x:c r="Q625" s="165" t="str">
        <x:v>栽培</x:v>
      </x:c>
      <x:c r="R625" s="165" t="str">
        <x:v>灌漑</x:v>
      </x:c>
      <x:c r="S625" s="165" t="str">
        <x:v>非発泡性ワイン</x:v>
      </x:c>
      <x:c r="T625" s="165"/>
      <x:c r="U625" s="165"/>
      <x:c r="V625" s="165"/>
      <x:c r="W625" s="165" t="str">
        <x:v>適用</x:v>
      </x:c>
      <x:c r="X625" s="171" t="str">
        <x:v>D3</x:v>
      </x:c>
      <x:c r="Y625" s="165" t="str">
        <x:v>制限灌漑について関連要因を主因とみなす; 制限灌漑について関連要因を主因とみなす; 制限灌漑について関連要因を主因とみなす</x:v>
      </x:c>
      <x:c r="Z625" s="171" t="str">
        <x:v>N</x:v>
      </x:c>
      <x:c r="AA625" s="165"/>
      <x:c r="AB625" s="165" t="str">
        <x:v>オリジナル</x:v>
      </x:c>
      <x:c r="AC625" s="165" t="str">
        <x:v>WSET公式Specificationの範囲＋ユーザー作成コーパスの論点を参考に独自作成</x:v>
      </x:c>
      <x:c r="AD625" s="171" t="str">
        <x:v>改稿済み・専門家未承認</x:v>
      </x:c>
      <x:c r="AE625" s="171" t="str">
        <x:v>AI誤答レビュー</x:v>
      </x:c>
      <x:c r="AF625" s="171" t="str">
        <x:v>2026-07-12</x:v>
      </x:c>
      <x:c r="AG625" s="369" t="str">
        <x:v>第5バッチ：使用可能な誤答を維持し、弱い誤答を因果逆転・隣接概念へ置換。正答位置は維持。</x:v>
      </x:c>
    </x:row>
    <x:row r="626" ht="84" customHeight="1">
      <x:c r="A626" s="368" t="str">
        <x:v>LO1-145</x:v>
      </x:c>
      <x:c r="B626" s="171" t="str">
        <x:v>LO1</x:v>
      </x:c>
      <x:c r="C626" s="165" t="str">
        <x:v>ブドウ畑・ワイナリーの自然要因と人的要因</x:v>
      </x:c>
      <x:c r="D626" s="165" t="str">
        <x:v>成熟期の灌漑</x:v>
      </x:c>
      <x:c r="E626" s="165" t="str">
        <x:v>収穫直前に過剰な灌漑を行うことで起こり得る問題はどれか。</x:v>
      </x:c>
      <x:c r="F626" s="165" t="str">
        <x:v>果粒が膨らんで風味が希釈され、果皮が裂けるリスクが高まる</x:v>
      </x:c>
      <x:c r="G626" s="165" t="str">
        <x:v>糖と風味が濃縮する</x:v>
      </x:c>
      <x:c r="H626" s="165" t="str">
        <x:v>ワインの瓶内圧力が上がる</x:v>
      </x:c>
      <x:c r="I626" s="165" t="str">
        <x:v>果実が乾燥してレーズンになる</x:v>
      </x:c>
      <x:c r="J626" s="171" t="str">
        <x:v>A</x:v>
      </x:c>
      <x:c r="K626" s="165" t="str">
        <x:v>果粒が膨らんで風味が希釈され、果皮が裂けるリスクが高まる</x:v>
      </x:c>
      <x:c r="L626" s="165" t="str">
        <x:v>正しい。急な水分吸収は果実重量を増やし、濃度を下げ、腐敗の入口を作る場合がある。</x:v>
      </x:c>
      <x:c r="M626" s="165" t="str">
        <x:v>正しい。急な水分吸収は果実重量を増やし、濃度を下げ、腐敗の入口を作る場合がある。</x:v>
      </x:c>
      <x:c r="N626" s="165" t="str">
        <x:v>誤り。過剰な水分は希釈方向に働きやすい。</x:v>
      </x:c>
      <x:c r="O626" s="165" t="str">
        <x:v>誤り。収穫前の灌漑と発泡性は無関係である。</x:v>
      </x:c>
      <x:c r="P626" s="165" t="str">
        <x:v>誤り。水分供給は乾燥とは逆である。</x:v>
      </x:c>
      <x:c r="Q626" s="165" t="str">
        <x:v>栽培</x:v>
      </x:c>
      <x:c r="R626" s="165" t="str">
        <x:v>灌漑</x:v>
      </x:c>
      <x:c r="S626" s="165" t="str">
        <x:v>非発泡性ワイン</x:v>
      </x:c>
      <x:c r="T626" s="165"/>
      <x:c r="U626" s="165"/>
      <x:c r="V626" s="165"/>
      <x:c r="W626" s="165" t="str">
        <x:v>因果説明</x:v>
      </x:c>
      <x:c r="X626" s="171" t="str">
        <x:v>D2</x:v>
      </x:c>
      <x:c r="Y626" s="165" t="str">
        <x:v>成熟期の灌漑について関連要因を主因とみなす; 成熟期の灌漑について関連要因を主因とみなす; 成熟期の灌漑について関連要因を主因とみなす</x:v>
      </x:c>
      <x:c r="Z626" s="171" t="str">
        <x:v>N</x:v>
      </x:c>
      <x:c r="AA626" s="165"/>
      <x:c r="AB626" s="165" t="str">
        <x:v>オリジナル</x:v>
      </x:c>
      <x:c r="AC626" s="165" t="str">
        <x:v>WSET公式Specificationの範囲＋ユーザー作成コーパスの論点を参考に独自作成</x:v>
      </x:c>
      <x:c r="AD626" s="171" t="str">
        <x:v>改稿済み・専門家未承認</x:v>
      </x:c>
      <x:c r="AE626" s="171" t="str">
        <x:v>AI誤答レビュー</x:v>
      </x:c>
      <x:c r="AF626" s="171" t="str">
        <x:v>2026-07-12</x:v>
      </x:c>
      <x:c r="AG626" s="369" t="str">
        <x:v>第5バッチ：使用可能な誤答を維持し、弱い誤答を因果逆転・隣接概念へ置換。正答位置は維持。</x:v>
      </x:c>
    </x:row>
    <x:row r="627" ht="84" customHeight="1">
      <x:c r="A627" s="368" t="str">
        <x:v>LO1-146</x:v>
      </x:c>
      <x:c r="B627" s="171" t="str">
        <x:v>LO1</x:v>
      </x:c>
      <x:c r="C627" s="165" t="str">
        <x:v>ブドウ畑・ワイナリーの自然要因と人的要因</x:v>
      </x:c>
      <x:c r="D627" s="165" t="str">
        <x:v>日焼け</x:v>
      </x:c>
      <x:c r="E627" s="165" t="str">
        <x:v>果房の日焼けを抑えるためのキャノピー管理として最も適切なものはどれか。</x:v>
      </x:c>
      <x:c r="F627" s="165" t="str">
        <x:v>果房を黒いプラスチックで密閉する</x:v>
      </x:c>
      <x:c r="G627" s="165" t="str">
        <x:v>暑い午後側に適度な葉を残し、直射日光を和らげる</x:v>
      </x:c>
      <x:c r="H627" s="165" t="str">
        <x:v>収穫後に葉を増やす</x:v>
      </x:c>
      <x:c r="I627" s="165" t="str">
        <x:v>果房周辺の葉を全方向で多く除く</x:v>
      </x:c>
      <x:c r="J627" s="171" t="str">
        <x:v>B</x:v>
      </x:c>
      <x:c r="K627" s="165" t="str">
        <x:v>暑い午後側に適度な葉を残し、直射日光を和らげる</x:v>
      </x:c>
      <x:c r="L627" s="165" t="str">
        <x:v>正しい。風通しを確保しつつ、最も強い日射にさらされる側を保護することで果皮の褐変と風味低下を防ぐ。</x:v>
      </x:c>
      <x:c r="M627" s="165" t="str">
        <x:v>誤り。高温と湿度を高め、病害リスクを増やす。</x:v>
      </x:c>
      <x:c r="N627" s="165" t="str">
        <x:v>正しい。風通しを確保しつつ、最も強い日射にさらされる側を保護することで果皮の褐変と風味低下を防ぐ。</x:v>
      </x:c>
      <x:c r="O627" s="165" t="str">
        <x:v>誤り。収穫後では果実の日焼けを防げない。</x:v>
      </x:c>
      <x:c r="P627" s="165" t="str">
        <x:v>誤り。高温地域では過度な露出が日焼けを増やす。</x:v>
      </x:c>
      <x:c r="Q627" s="165" t="str">
        <x:v>栽培</x:v>
      </x:c>
      <x:c r="R627" s="165" t="str">
        <x:v>日焼け対策</x:v>
      </x:c>
      <x:c r="S627" s="165" t="str">
        <x:v>非発泡性ワイン</x:v>
      </x:c>
      <x:c r="T627" s="165"/>
      <x:c r="U627" s="165"/>
      <x:c r="V627" s="165"/>
      <x:c r="W627" s="165" t="str">
        <x:v>適用</x:v>
      </x:c>
      <x:c r="X627" s="171" t="str">
        <x:v>D2</x:v>
      </x:c>
      <x:c r="Y627" s="165" t="str">
        <x:v>日焼けについて関連要因を主因とみなす; 日焼けについて関連要因を主因とみなす; 日焼けについて関連要因を主因とみなす</x:v>
      </x:c>
      <x:c r="Z627" s="171" t="str">
        <x:v>N</x:v>
      </x:c>
      <x:c r="AA627" s="165"/>
      <x:c r="AB627" s="165" t="str">
        <x:v>オリジナル</x:v>
      </x:c>
      <x:c r="AC627" s="165" t="str">
        <x:v>WSET公式Specificationの範囲＋ユーザー作成コーパスの論点を参考に独自作成</x:v>
      </x:c>
      <x:c r="AD627" s="171" t="str">
        <x:v>改稿済み・専門家未承認</x:v>
      </x:c>
      <x:c r="AE627" s="171" t="str">
        <x:v>AI誤答レビュー</x:v>
      </x:c>
      <x:c r="AF627" s="171" t="str">
        <x:v>2026-07-12</x:v>
      </x:c>
      <x:c r="AG627" s="369" t="str">
        <x:v>第5バッチ：使用可能な誤答を維持し、弱い誤答を因果逆転・隣接概念へ置換。正答位置は維持。</x:v>
      </x:c>
    </x:row>
    <x:row r="628" ht="84" customHeight="1">
      <x:c r="A628" s="368" t="str">
        <x:v>LO1-147</x:v>
      </x:c>
      <x:c r="B628" s="171" t="str">
        <x:v>LO1</x:v>
      </x:c>
      <x:c r="C628" s="165" t="str">
        <x:v>ブドウ畑・ワイナリーの自然要因と人的要因</x:v>
      </x:c>
      <x:c r="D628" s="165" t="str">
        <x:v>遮光ネット</x:v>
      </x:c>
      <x:c r="E628" s="165" t="str">
        <x:v>極端な日射と熱波のある畑で、遮光ネットを用いる主な利点はどれか。</x:v>
      </x:c>
      <x:c r="F628" s="165" t="str">
        <x:v>果房と葉の温度を下げ、日焼けと光合成停止のリスクを減らす</x:v>
      </x:c>
      <x:c r="G628" s="165" t="str">
        <x:v>日射を遮ることで、糖と風味の成熟を大きく遅らせる</x:v>
      </x:c>
      <x:c r="H628" s="165" t="str">
        <x:v>夜間の最低気温を大きく下げ、酸を増加させる</x:v>
      </x:c>
      <x:c r="I628" s="165" t="str">
        <x:v>果房周辺の湿度を下げることだけを目的とし、温度には影響しない</x:v>
      </x:c>
      <x:c r="J628" s="171" t="str">
        <x:v>C</x:v>
      </x:c>
      <x:c r="K628" s="165" t="str">
        <x:v>夜間の最低気温を大きく下げ、酸を増加させる</x:v>
      </x:c>
      <x:c r="L628" s="165" t="str">
        <x:v>正しい。主な効果は日中の放射と温度低下で、夜温を大幅に変えるものではない。</x:v>
      </x:c>
      <x:c r="M628" s="165" t="str">
        <x:v>誤り。適度な遮光は熱ストレスを和らげ、葉と果実の機能を守る。</x:v>
      </x:c>
      <x:c r="N628" s="165" t="str">
        <x:v>誤り。遮光率を管理し、成熟を止めるのではなく過度な熱を避ける。</x:v>
      </x:c>
      <x:c r="O628" s="165" t="str">
        <x:v>正しい。主な効果は日中の放射と温度低下で、夜温を大幅に変えるものではない。</x:v>
      </x:c>
      <x:c r="P628" s="165" t="str">
        <x:v>誤り。ネットは温度と日射へ直接影響し、湿度だけの対策ではない。</x:v>
      </x:c>
      <x:c r="Q628" s="165" t="str">
        <x:v>栽培</x:v>
      </x:c>
      <x:c r="R628" s="165" t="str">
        <x:v>熱害対策</x:v>
      </x:c>
      <x:c r="S628" s="165" t="str">
        <x:v>非発泡性ワイン</x:v>
      </x:c>
      <x:c r="T628" s="165"/>
      <x:c r="U628" s="165"/>
      <x:c r="V628" s="165"/>
      <x:c r="W628" s="165" t="str">
        <x:v>因果説明</x:v>
      </x:c>
      <x:c r="X628" s="171" t="str">
        <x:v>D2</x:v>
      </x:c>
      <x:c r="Y628" s="165" t="str">
        <x:v>遮光ネットは成熟を停止させる; 遮光ネットは湿度だけに作用する</x:v>
      </x:c>
      <x:c r="Z628" s="171" t="str">
        <x:v>N</x:v>
      </x:c>
      <x:c r="AA628" s="165"/>
      <x:c r="AB628" s="165" t="str">
        <x:v>オリジナル</x:v>
      </x:c>
      <x:c r="AC628" s="165" t="str">
        <x:v>WSET公式Specificationの範囲＋ユーザー作成コーパスの論点を参考に独自作成</x:v>
      </x:c>
      <x:c r="AD628" s="171" t="str">
        <x:v>改稿済み・専門家未承認</x:v>
      </x:c>
      <x:c r="AE628" s="171" t="str">
        <x:v>AI誤答レビュー</x:v>
      </x:c>
      <x:c r="AF628" s="171" t="str">
        <x:v>2026-07-12</x:v>
      </x:c>
      <x:c r="AG628" s="369" t="str">
        <x:v>第3バッチ：同一論点内の典型的誤概念へ置換。正答位置は維持。</x:v>
      </x:c>
    </x:row>
    <x:row r="629" ht="84" customHeight="1">
      <x:c r="A629" s="368" t="str">
        <x:v>LO1-148</x:v>
      </x:c>
      <x:c r="B629" s="171" t="str">
        <x:v>LO1</x:v>
      </x:c>
      <x:c r="C629" s="165" t="str">
        <x:v>ブドウ畑・ワイナリーの自然要因と人的要因</x:v>
      </x:c>
      <x:c r="D629" s="165" t="str">
        <x:v>防鳥ネット</x:v>
      </x:c>
      <x:c r="E629" s="165" t="str">
        <x:v>防鳥ネットの使用で注意すべき潜在的な問題はどれか。</x:v>
      </x:c>
      <x:c r="F629" s="165" t="str">
        <x:v>ネットが果汁の酸を除去する</x:v>
      </x:c>
      <x:c r="G629" s="165" t="str">
        <x:v>ネットを使うと鳥が増える</x:v>
      </x:c>
      <x:c r="H629" s="165" t="str">
        <x:v>ネットがブドウを発酵させる</x:v>
      </x:c>
      <x:c r="I629" s="165" t="str">
        <x:v>設置と撤去に費用がかかり、野生動物が絡まないよう管理が必要</x:v>
      </x:c>
      <x:c r="J629" s="171" t="str">
        <x:v>D</x:v>
      </x:c>
      <x:c r="K629" s="165" t="str">
        <x:v>設置と撤去に費用がかかり、野生動物が絡まないよう管理が必要</x:v>
      </x:c>
      <x:c r="L629" s="165" t="str">
        <x:v>正しい。果実損失を減らせるが、労働費、機械作業への影響、生態系への配慮が必要である。</x:v>
      </x:c>
      <x:c r="M629" s="165" t="str">
        <x:v>誤り。果汁成分を直接変えない。</x:v>
      </x:c>
      <x:c r="N629" s="165" t="str">
        <x:v>誤り。目的は果房への接近を防ぐことである。</x:v>
      </x:c>
      <x:c r="O629" s="165" t="str">
        <x:v>誤り。果実保護資材であり、発酵機能はない。</x:v>
      </x:c>
      <x:c r="P629" s="165" t="str">
        <x:v>正しい。果実損失を減らせるが、労働費、機械作業への影響、生態系への配慮が必要である。</x:v>
      </x:c>
      <x:c r="Q629" s="165" t="str">
        <x:v>栽培</x:v>
      </x:c>
      <x:c r="R629" s="165" t="str">
        <x:v>動物害対策</x:v>
      </x:c>
      <x:c r="S629" s="165" t="str">
        <x:v>非発泡性ワイン</x:v>
      </x:c>
      <x:c r="T629" s="165"/>
      <x:c r="U629" s="165"/>
      <x:c r="V629" s="165"/>
      <x:c r="W629" s="165" t="str">
        <x:v>統合判断</x:v>
      </x:c>
      <x:c r="X629" s="171" t="str">
        <x:v>D2</x:v>
      </x:c>
      <x:c r="Y629" s="165" t="str">
        <x:v>防鳥ネットについて関連要因を主因とみなす; 防鳥ネットについて関連要因を主因とみなす; 防鳥ネットについて関連要因を主因とみなす</x:v>
      </x:c>
      <x:c r="Z629" s="171" t="str">
        <x:v>N</x:v>
      </x:c>
      <x:c r="AA629" s="165"/>
      <x:c r="AB629" s="165" t="str">
        <x:v>オリジナル</x:v>
      </x:c>
      <x:c r="AC629" s="165" t="str">
        <x:v>WSET公式Specificationの範囲＋ユーザー作成コーパスの論点を参考に独自作成</x:v>
      </x:c>
      <x:c r="AD629" s="171" t="str">
        <x:v>改稿済み・専門家未承認</x:v>
      </x:c>
      <x:c r="AE629" s="171" t="str">
        <x:v>AI誤答レビュー</x:v>
      </x:c>
      <x:c r="AF629" s="171" t="str">
        <x:v>2026-07-12</x:v>
      </x:c>
      <x:c r="AG629" s="369" t="str">
        <x:v>第5バッチ：使用可能な誤答を維持し、弱い誤答を因果逆転・隣接概念へ置換。正答位置は維持。</x:v>
      </x:c>
    </x:row>
    <x:row r="630" ht="84" customHeight="1">
      <x:c r="A630" s="368" t="str">
        <x:v>LO1-149</x:v>
      </x:c>
      <x:c r="B630" s="171" t="str">
        <x:v>LO1</x:v>
      </x:c>
      <x:c r="C630" s="165" t="str">
        <x:v>ブドウ畑・ワイナリーの自然要因と人的要因</x:v>
      </x:c>
      <x:c r="D630" s="165" t="str">
        <x:v>大型動物害</x:v>
      </x:c>
      <x:c r="E630" s="165" t="str">
        <x:v>シカやイノシシなど大型動物による被害を抑える最も直接的な方法はどれか。</x:v>
      </x:c>
      <x:c r="F630" s="165" t="str">
        <x:v>畑の周囲へ適切な高さと強度のフェンスを設置する</x:v>
      </x:c>
      <x:c r="G630" s="165" t="str">
        <x:v>発酵槽へ亜硫酸を増やす</x:v>
      </x:c>
      <x:c r="H630" s="165" t="str">
        <x:v>収穫後に果房へネットを掛ける</x:v>
      </x:c>
      <x:c r="I630" s="165" t="str">
        <x:v>果実の糖を減らして動物から見えなくする</x:v>
      </x:c>
      <x:c r="J630" s="171" t="str">
        <x:v>A</x:v>
      </x:c>
      <x:c r="K630" s="165" t="str">
        <x:v>畑の周囲へ適切な高さと強度のフェンスを設置する</x:v>
      </x:c>
      <x:c r="L630" s="165" t="str">
        <x:v>正しい。物理的障壁は新梢、葉、成熟果実の食害と畝の踏み荒らしを減らす。</x:v>
      </x:c>
      <x:c r="M630" s="165" t="str">
        <x:v>正しい。物理的障壁は新梢、葉、成熟果実の食害と畝の踏み荒らしを減らす。</x:v>
      </x:c>
      <x:c r="N630" s="165" t="str">
        <x:v>誤り。ワイナリーの亜硫酸は畑の動物を防げない。</x:v>
      </x:c>
      <x:c r="O630" s="165" t="str">
        <x:v>誤り。収穫前の畑で対策する必要がある。</x:v>
      </x:c>
      <x:c r="P630" s="165" t="str">
        <x:v>誤り。糖度を下げても物理的侵入を防げない。</x:v>
      </x:c>
      <x:c r="Q630" s="165" t="str">
        <x:v>栽培</x:v>
      </x:c>
      <x:c r="R630" s="165" t="str">
        <x:v>動物害対策</x:v>
      </x:c>
      <x:c r="S630" s="165" t="str">
        <x:v>非発泡性ワイン</x:v>
      </x:c>
      <x:c r="T630" s="165"/>
      <x:c r="U630" s="165"/>
      <x:c r="V630" s="165"/>
      <x:c r="W630" s="165" t="str">
        <x:v>適用</x:v>
      </x:c>
      <x:c r="X630" s="171" t="str">
        <x:v>D1</x:v>
      </x:c>
      <x:c r="Y630" s="165" t="str">
        <x:v>大型動物害に関する別の特徴・要因と混同; 大型動物害に関する別の特徴・要因と混同; 大型動物害に関する別の特徴・要因と混同</x:v>
      </x:c>
      <x:c r="Z630" s="171" t="str">
        <x:v>N</x:v>
      </x:c>
      <x:c r="AA630" s="165"/>
      <x:c r="AB630" s="165" t="str">
        <x:v>オリジナル</x:v>
      </x:c>
      <x:c r="AC630" s="165" t="str">
        <x:v>WSET公式Specificationの範囲＋ユーザー作成コーパスの論点を参考に独自作成</x:v>
      </x:c>
      <x:c r="AD630" s="171" t="str">
        <x:v>改稿済み・専門家未承認</x:v>
      </x:c>
      <x:c r="AE630" s="171" t="str">
        <x:v>AI誤答レビュー</x:v>
      </x:c>
      <x:c r="AF630" s="171" t="str">
        <x:v>2026-07-12</x:v>
      </x:c>
      <x:c r="AG630" s="369" t="str">
        <x:v>最終バッチ：有効な誤答を維持し、絶対語・物理的不可能な誤答のみ置換。正答位置は維持。</x:v>
      </x:c>
    </x:row>
    <x:row r="631" ht="84" customHeight="1">
      <x:c r="A631" s="368" t="str">
        <x:v>LO1-150</x:v>
      </x:c>
      <x:c r="B631" s="171" t="str">
        <x:v>LO1</x:v>
      </x:c>
      <x:c r="C631" s="165" t="str">
        <x:v>ブドウ畑・ワイナリーの自然要因と人的要因</x:v>
      </x:c>
      <x:c r="D631" s="165" t="str">
        <x:v>うどんこ病</x:v>
      </x:c>
      <x:c r="E631" s="165" t="str">
        <x:v>うどんこ病が比較的乾燥した条件でも広がり得る理由として最も適切なものはどれか。</x:v>
      </x:c>
      <x:c r="F631" s="165" t="str">
        <x:v>細菌による病害である</x:v>
      </x:c>
      <x:c r="G631" s="165" t="str">
        <x:v>感染には高い湿度が役立つが、葉面に自由水がなくても菌が発達できる</x:v>
      </x:c>
      <x:c r="H631" s="165" t="str">
        <x:v>強い雨がなければ発生しない</x:v>
      </x:c>
      <x:c r="I631" s="165" t="str">
        <x:v>根だけに寄生し、葉や果房へ影響しない</x:v>
      </x:c>
      <x:c r="J631" s="171" t="str">
        <x:v>B</x:v>
      </x:c>
      <x:c r="K631" s="165" t="str">
        <x:v>感染には高い湿度が役立つが、葉面に自由水がなくても菌が発達できる</x:v>
      </x:c>
      <x:c r="L631" s="165" t="str">
        <x:v>正しい。密なキャノピーと温暖な条件で広がり、果実の成熟不良やカビ臭の原因となる。</x:v>
      </x:c>
      <x:c r="M631" s="165" t="str">
        <x:v>誤り。菌類病である。</x:v>
      </x:c>
      <x:c r="N631" s="165" t="str">
        <x:v>正しい。密なキャノピーと温暖な条件で広がり、果実の成熟不良やカビ臭の原因となる。</x:v>
      </x:c>
      <x:c r="O631" s="165" t="str">
        <x:v>誤り。自由水がなくても発生可能である。</x:v>
      </x:c>
      <x:c r="P631" s="165" t="str">
        <x:v>誤り。葉、新梢、果房に感染する。</x:v>
      </x:c>
      <x:c r="Q631" s="165" t="str">
        <x:v>病害</x:v>
      </x:c>
      <x:c r="R631" s="165" t="str">
        <x:v>菌類病</x:v>
      </x:c>
      <x:c r="S631" s="165" t="str">
        <x:v>非発泡性ワイン</x:v>
      </x:c>
      <x:c r="T631" s="165"/>
      <x:c r="U631" s="165"/>
      <x:c r="V631" s="165"/>
      <x:c r="W631" s="165" t="str">
        <x:v>因果説明</x:v>
      </x:c>
      <x:c r="X631" s="171" t="str">
        <x:v>D3</x:v>
      </x:c>
      <x:c r="Y631" s="165" t="str">
        <x:v>うどんこ病について関連要因を主因とみなす; うどんこ病について関連要因を主因とみなす; うどんこ病について関連要因を主因とみなす</x:v>
      </x:c>
      <x:c r="Z631" s="171" t="str">
        <x:v>N</x:v>
      </x:c>
      <x:c r="AA631" s="165"/>
      <x:c r="AB631" s="165" t="str">
        <x:v>オリジナル</x:v>
      </x:c>
      <x:c r="AC631" s="165" t="str">
        <x:v>WSET公式Specificationの範囲＋ユーザー作成コーパスの論点を参考に独自作成</x:v>
      </x:c>
      <x:c r="AD631" s="171" t="str">
        <x:v>改稿済み・専門家未承認</x:v>
      </x:c>
      <x:c r="AE631" s="171" t="str">
        <x:v>AI誤答レビュー</x:v>
      </x:c>
      <x:c r="AF631" s="171" t="str">
        <x:v>2026-07-12</x:v>
      </x:c>
      <x:c r="AG631" s="369" t="str">
        <x:v>第5バッチ：使用可能な誤答を維持し、弱い誤答を因果逆転・隣接概念へ置換。正答位置は維持。</x:v>
      </x:c>
    </x:row>
    <x:row r="632" ht="84" customHeight="1">
      <x:c r="A632" s="368" t="str">
        <x:v>LO1-151</x:v>
      </x:c>
      <x:c r="B632" s="171" t="str">
        <x:v>LO1</x:v>
      </x:c>
      <x:c r="C632" s="165" t="str">
        <x:v>ブドウ畑・ワイナリーの自然要因と人的要因</x:v>
      </x:c>
      <x:c r="D632" s="165" t="str">
        <x:v>べと病</x:v>
      </x:c>
      <x:c r="E632" s="165" t="str">
        <x:v>べと病の発生リスクが高まりやすい条件はどれか。</x:v>
      </x:c>
      <x:c r="F632" s="165" t="str">
        <x:v>極端に乾燥し、葉が全く濡れない状態</x:v>
      </x:c>
      <x:c r="G632" s="165" t="str">
        <x:v>瓶詰め後の低温保管</x:v>
      </x:c>
      <x:c r="H632" s="165" t="str">
        <x:v>温暖で湿潤な天候と、葉が長時間濡れる状態</x:v>
      </x:c>
      <x:c r="I632" s="165" t="str">
        <x:v>発酵槽のアルコール度が高い状態</x:v>
      </x:c>
      <x:c r="J632" s="171" t="str">
        <x:v>C</x:v>
      </x:c>
      <x:c r="K632" s="165" t="str">
        <x:v>温暖で湿潤な天候と、葉が長時間濡れる状態</x:v>
      </x:c>
      <x:c r="L632" s="165" t="str">
        <x:v>正しい。雨と高湿度は胞子の発芽と感染を促し、葉の機能低下と収量減少を招く。</x:v>
      </x:c>
      <x:c r="M632" s="165" t="str">
        <x:v>誤り。べと病は水分を必要とする。</x:v>
      </x:c>
      <x:c r="N632" s="165" t="str">
        <x:v>誤り。畑の菌類病である。</x:v>
      </x:c>
      <x:c r="O632" s="165" t="str">
        <x:v>正しい。雨と高湿度は胞子の発芽と感染を促し、葉の機能低下と収量減少を招く。</x:v>
      </x:c>
      <x:c r="P632" s="165" t="str">
        <x:v>誤り。畑の感染条件とは無関係である。</x:v>
      </x:c>
      <x:c r="Q632" s="165" t="str">
        <x:v>病害</x:v>
      </x:c>
      <x:c r="R632" s="165" t="str">
        <x:v>菌類病</x:v>
      </x:c>
      <x:c r="S632" s="165" t="str">
        <x:v>非発泡性ワイン</x:v>
      </x:c>
      <x:c r="T632" s="165"/>
      <x:c r="U632" s="165"/>
      <x:c r="V632" s="165"/>
      <x:c r="W632" s="165" t="str">
        <x:v>知識確認</x:v>
      </x:c>
      <x:c r="X632" s="171" t="str">
        <x:v>D1</x:v>
      </x:c>
      <x:c r="Y632" s="165" t="str">
        <x:v>べと病に関する別の特徴・要因と混同; べと病に関する別の特徴・要因と混同; べと病に関する別の特徴・要因と混同</x:v>
      </x:c>
      <x:c r="Z632" s="171" t="str">
        <x:v>N</x:v>
      </x:c>
      <x:c r="AA632" s="165"/>
      <x:c r="AB632" s="165" t="str">
        <x:v>オリジナル</x:v>
      </x:c>
      <x:c r="AC632" s="165" t="str">
        <x:v>WSET公式Specificationの範囲＋ユーザー作成コーパスの論点を参考に独自作成</x:v>
      </x:c>
      <x:c r="AD632" s="171" t="str">
        <x:v>改稿済み・専門家未承認</x:v>
      </x:c>
      <x:c r="AE632" s="171" t="str">
        <x:v>AI誤答レビュー</x:v>
      </x:c>
      <x:c r="AF632" s="171" t="str">
        <x:v>2026-07-12</x:v>
      </x:c>
      <x:c r="AG632" s="369" t="str">
        <x:v>最終バッチ：有効な誤答を維持し、絶対語・物理的不可能な誤答のみ置換。正答位置は維持。</x:v>
      </x:c>
    </x:row>
    <x:row r="633" ht="84" customHeight="1">
      <x:c r="A633" s="368" t="str">
        <x:v>LO1-152</x:v>
      </x:c>
      <x:c r="B633" s="171" t="str">
        <x:v>LO1</x:v>
      </x:c>
      <x:c r="C633" s="165" t="str">
        <x:v>ブドウ畑・ワイナリーの自然要因と人的要因</x:v>
      </x:c>
      <x:c r="D633" s="165" t="str">
        <x:v>灰色かび病</x:v>
      </x:c>
      <x:c r="E633" s="165" t="str">
        <x:v>貴腐ではなく灰色かび病となりやすい天候の組み合わせはどれか。</x:v>
      </x:c>
      <x:c r="F633" s="165" t="str">
        <x:v>湿った朝と乾燥した暖かな午後</x:v>
      </x:c>
      <x:c r="G633" s="165" t="str">
        <x:v>乾燥した晴天だけ</x:v>
      </x:c>
      <x:c r="H633" s="165" t="str">
        <x:v>冬季休眠中の低温だけ</x:v>
      </x:c>
      <x:c r="I633" s="165" t="str">
        <x:v>湿潤な状態が一日中続き、果実が乾く時間がない</x:v>
      </x:c>
      <x:c r="J633" s="171" t="str">
        <x:v>D</x:v>
      </x:c>
      <x:c r="K633" s="165" t="str">
        <x:v>湿潤な状態が一日中続き、果実が乾く時間がない</x:v>
      </x:c>
      <x:c r="L633" s="165" t="str">
        <x:v>正しい。継続的な雨と湿度では果皮が破れ、酸味と不快臭を伴う腐敗が広がりやすい。</x:v>
      </x:c>
      <x:c r="M633" s="165" t="str">
        <x:v>誤り。これは望ましい貴腐に有利な組み合わせである。</x:v>
      </x:c>
      <x:c r="N633" s="165" t="str">
        <x:v>誤り。ボトリティスの感染には湿度が必要である。</x:v>
      </x:c>
      <x:c r="O633" s="165" t="str">
        <x:v>誤り。成熟果実の腐敗条件ではない。</x:v>
      </x:c>
      <x:c r="P633" s="165" t="str">
        <x:v>正しい。継続的な雨と湿度では果皮が破れ、酸味と不快臭を伴う腐敗が広がりやすい。</x:v>
      </x:c>
      <x:c r="Q633" s="165" t="str">
        <x:v>病害</x:v>
      </x:c>
      <x:c r="R633" s="165" t="str">
        <x:v>ボトリティス</x:v>
      </x:c>
      <x:c r="S633" s="165" t="str">
        <x:v>甘口ワイン</x:v>
      </x:c>
      <x:c r="T633" s="165"/>
      <x:c r="U633" s="165"/>
      <x:c r="V633" s="165"/>
      <x:c r="W633" s="165" t="str">
        <x:v>比較</x:v>
      </x:c>
      <x:c r="X633" s="171" t="str">
        <x:v>D2</x:v>
      </x:c>
      <x:c r="Y633" s="165" t="str">
        <x:v>灰色かび病に関する別の特徴・要因と混同; 灰色かび病に関する別の特徴・要因と混同; 灰色かび病に関する別の特徴・要因と混同</x:v>
      </x:c>
      <x:c r="Z633" s="171" t="str">
        <x:v>N</x:v>
      </x:c>
      <x:c r="AA633" s="165"/>
      <x:c r="AB633" s="165" t="str">
        <x:v>オリジナル</x:v>
      </x:c>
      <x:c r="AC633" s="165" t="str">
        <x:v>WSET公式Specificationの範囲＋ユーザー作成コーパスの論点を参考に独自作成</x:v>
      </x:c>
      <x:c r="AD633" s="171" t="str">
        <x:v>改稿済み・専門家未承認</x:v>
      </x:c>
      <x:c r="AE633" s="171" t="str">
        <x:v>AI誤答レビュー</x:v>
      </x:c>
      <x:c r="AF633" s="171" t="str">
        <x:v>2026-07-12</x:v>
      </x:c>
      <x:c r="AG633" s="369" t="str">
        <x:v>最終バッチ：有効な誤答を維持し、絶対語・物理的不可能な誤答のみ置換。正答位置は維持。</x:v>
      </x:c>
    </x:row>
    <x:row r="634" ht="84" customHeight="1">
      <x:c r="A634" s="368" t="str">
        <x:v>LO1-153</x:v>
      </x:c>
      <x:c r="B634" s="171" t="str">
        <x:v>LO1</x:v>
      </x:c>
      <x:c r="C634" s="165" t="str">
        <x:v>ブドウ畑・ワイナリーの自然要因と人的要因</x:v>
      </x:c>
      <x:c r="D634" s="165" t="str">
        <x:v>幹病害</x:v>
      </x:c>
      <x:c r="E634" s="165" t="str">
        <x:v>幹病害の拡大を抑えるため、剪定時に行うべき対策として最も適切なものはどれか。</x:v>
      </x:c>
      <x:c r="F634" s="165" t="str">
        <x:v>感染した木部を除去し、剪定器具を衛生管理し、大きな傷を保護する</x:v>
      </x:c>
      <x:c r="G634" s="165" t="str">
        <x:v>感染した枝を畑全体へ散布する</x:v>
      </x:c>
      <x:c r="H634" s="165" t="str">
        <x:v>剪定傷へ糖液を塗る</x:v>
      </x:c>
      <x:c r="I634" s="165" t="str">
        <x:v>発酵後のワインを幹へ注ぐ</x:v>
      </x:c>
      <x:c r="J634" s="171" t="str">
        <x:v>A</x:v>
      </x:c>
      <x:c r="K634" s="165" t="str">
        <x:v>感染した木部を除去し、剪定器具を衛生管理し、大きな傷を保護する</x:v>
      </x:c>
      <x:c r="L634" s="165" t="str">
        <x:v>正しい。病原菌は剪定傷から侵入し得るため、乾燥した天候での剪定と器具の消毒が有効である。</x:v>
      </x:c>
      <x:c r="M634" s="165" t="str">
        <x:v>正しい。病原菌は剪定傷から侵入し得るため、乾燥した天候での剪定と器具の消毒が有効である。</x:v>
      </x:c>
      <x:c r="N634" s="165" t="str">
        <x:v>誤り。感染源を広げる可能性がある。</x:v>
      </x:c>
      <x:c r="O634" s="165" t="str">
        <x:v>誤り。病原菌の栄養となる可能性があり、対策ではない。</x:v>
      </x:c>
      <x:c r="P634" s="165" t="str">
        <x:v>誤り。幹病害の標準対策ではない。</x:v>
      </x:c>
      <x:c r="Q634" s="165" t="str">
        <x:v>病害</x:v>
      </x:c>
      <x:c r="R634" s="165" t="str">
        <x:v>衛生管理</x:v>
      </x:c>
      <x:c r="S634" s="165" t="str">
        <x:v>非発泡性ワイン</x:v>
      </x:c>
      <x:c r="T634" s="165"/>
      <x:c r="U634" s="165"/>
      <x:c r="V634" s="165"/>
      <x:c r="W634" s="165" t="str">
        <x:v>適用</x:v>
      </x:c>
      <x:c r="X634" s="171" t="str">
        <x:v>D3</x:v>
      </x:c>
      <x:c r="Y634" s="165" t="str">
        <x:v>幹病害に関する別の特徴・要因と混同; 幹病害に関する別の特徴・要因と混同; 幹病害に関する別の特徴・要因と混同</x:v>
      </x:c>
      <x:c r="Z634" s="171" t="str">
        <x:v>Y</x:v>
      </x:c>
      <x:c r="AA634" s="165" t="str">
        <x:v>幹病害対策の具体的処置は地域・病害で異なるため一般表現として最終確認推奨</x:v>
      </x:c>
      <x:c r="AB634" s="165" t="str">
        <x:v>オリジナル</x:v>
      </x:c>
      <x:c r="AC634" s="165" t="str">
        <x:v>WSET公式Specificationの範囲＋ユーザー作成コーパスの論点を参考に独自作成</x:v>
      </x:c>
      <x:c r="AD634" s="171" t="str">
        <x:v>改稿済み・専門家未承認</x:v>
      </x:c>
      <x:c r="AE634" s="171" t="str">
        <x:v>AI誤答レビュー</x:v>
      </x:c>
      <x:c r="AF634" s="171" t="str">
        <x:v>2026-07-12</x:v>
      </x:c>
      <x:c r="AG634" s="369" t="str">
        <x:v>最終バッチ：有効な誤答を維持し、絶対語・物理的不可能な誤答のみ置換。正答位置は維持。</x:v>
      </x:c>
    </x:row>
    <x:row r="635" ht="84" customHeight="1">
      <x:c r="A635" s="368" t="str">
        <x:v>LO1-154</x:v>
      </x:c>
      <x:c r="B635" s="171" t="str">
        <x:v>LO1</x:v>
      </x:c>
      <x:c r="C635" s="165" t="str">
        <x:v>ブドウ畑・ワイナリーの自然要因と人的要因</x:v>
      </x:c>
      <x:c r="D635" s="165" t="str">
        <x:v>ウイルス病</x:v>
      </x:c>
      <x:c r="E635" s="165" t="str">
        <x:v>ウイルスに感染したブドウ樹を治療することが難しいため、一般に取られる対応はどれか。</x:v>
      </x:c>
      <x:c r="F635" s="165" t="str">
        <x:v>感染樹を残し、窒素肥料を増やして症状を覆う</x:v>
      </x:c>
      <x:c r="G635" s="165" t="str">
        <x:v>感染樹を除去し、健全な認証苗へ植え替える</x:v>
      </x:c>
      <x:c r="H635" s="165" t="str">
        <x:v>果房だけを除去すれば翌年には感染がなくなる</x:v>
      </x:c>
      <x:c r="I635" s="165" t="str">
        <x:v>発酵用酵母を樹へ散布してウイルスを置き換える</x:v>
      </x:c>
      <x:c r="J635" s="171" t="str">
        <x:v>B</x:v>
      </x:c>
      <x:c r="K635" s="165" t="str">
        <x:v>感染樹を除去し、健全な認証苗へ植え替える</x:v>
      </x:c>
      <x:c r="L635" s="165" t="str">
        <x:v>正しい。感染源を除き、健全な植栽材料と媒介害虫管理を組み合わせる。</x:v>
      </x:c>
      <x:c r="M635" s="165" t="str">
        <x:v>誤り。施肥で症状を一時的に変えてもウイルスは樹体内に残る。</x:v>
      </x:c>
      <x:c r="N635" s="165" t="str">
        <x:v>正しい。感染源を除き、健全な植栽材料と媒介害虫管理を組み合わせる。</x:v>
      </x:c>
      <x:c r="O635" s="165" t="str">
        <x:v>誤り。ウイルスは樹体全体に存在し、果房除去だけでは治らない。</x:v>
      </x:c>
      <x:c r="P635" s="165" t="str">
        <x:v>誤り。酵母は植物ウイルスを治療しない。</x:v>
      </x:c>
      <x:c r="Q635" s="165" t="str">
        <x:v>病害</x:v>
      </x:c>
      <x:c r="R635" s="165" t="str">
        <x:v>ウイルス・細菌</x:v>
      </x:c>
      <x:c r="S635" s="165" t="str">
        <x:v>非発泡性ワイン</x:v>
      </x:c>
      <x:c r="T635" s="165"/>
      <x:c r="U635" s="165"/>
      <x:c r="V635" s="165"/>
      <x:c r="W635" s="165" t="str">
        <x:v>適用</x:v>
      </x:c>
      <x:c r="X635" s="171" t="str">
        <x:v>D2</x:v>
      </x:c>
      <x:c r="Y635" s="165" t="str">
        <x:v>施肥でウイルス感染を治療できる; 果房除去で翌年ウイルスが消える; 酵母散布でウイルスを置換できる</x:v>
      </x:c>
      <x:c r="Z635" s="171" t="str">
        <x:v>N</x:v>
      </x:c>
      <x:c r="AA635" s="165"/>
      <x:c r="AB635" s="165" t="str">
        <x:v>オリジナル</x:v>
      </x:c>
      <x:c r="AC635" s="165" t="str">
        <x:v>WSET公式Specificationの範囲＋ユーザー作成コーパスの論点を参考に独自作成</x:v>
      </x:c>
      <x:c r="AD635" s="171" t="str">
        <x:v>改稿済み・専門家未承認</x:v>
      </x:c>
      <x:c r="AE635" s="171" t="str">
        <x:v>AI誤答レビュー</x:v>
      </x:c>
      <x:c r="AF635" s="171" t="str">
        <x:v>2026-07-12</x:v>
      </x:c>
      <x:c r="AG635" s="369" t="str">
        <x:v>第3バッチ：同一論点内の典型的誤概念へ置換。正答位置は維持。</x:v>
      </x:c>
    </x:row>
    <x:row r="636" ht="84" customHeight="1">
      <x:c r="A636" s="368" t="str">
        <x:v>LO1-155</x:v>
      </x:c>
      <x:c r="B636" s="171" t="str">
        <x:v>LO1</x:v>
      </x:c>
      <x:c r="C636" s="165" t="str">
        <x:v>ブドウ畑・ワイナリーの自然要因と人的要因</x:v>
      </x:c>
      <x:c r="D636" s="165" t="str">
        <x:v>接ぎ替え</x:v>
      </x:c>
      <x:c r="E636" s="165" t="str">
        <x:v>既存の成熟した根系を残して品種を変更する接ぎ替えの主な利点はどれか。</x:v>
      </x:c>
      <x:c r="F636" s="165" t="str">
        <x:v>接ぎ替えで根系も新しくなり、土壌病害を同時に除去できる</x:v>
      </x:c>
      <x:c r="G636" s="165" t="str">
        <x:v>既存の根系と土壌病害を除去し、健全な新根へ置き換えられる</x:v>
      </x:c>
      <x:c r="H636" s="165" t="str">
        <x:v>畑を全面改植するより早く、新品種の果実を得られる</x:v>
      </x:c>
      <x:c r="I636" s="165" t="str">
        <x:v>穂木を接いだ年から成熟果実を通常収量で収穫できる</x:v>
      </x:c>
      <x:c r="J636" s="171" t="str">
        <x:v>C</x:v>
      </x:c>
      <x:c r="K636" s="165" t="str">
        <x:v>畑を全面改植するより早く、新品種の果実を得られる</x:v>
      </x:c>
      <x:c r="L636" s="165" t="str">
        <x:v>正しい。既存の幹・根を活用し、新しい穂木を接ぐことで改植より早く生産へ戻せる。</x:v>
      </x:c>
      <x:c r="M636" s="165" t="str">
        <x:v>誤り。既存根系を残すため、根や土壌の問題が残る場合がある。</x:v>
      </x:c>
      <x:c r="N636" s="165" t="str">
        <x:v>誤り。根系を残すため、根や土壌の問題も残り得る。</x:v>
      </x:c>
      <x:c r="O636" s="165" t="str">
        <x:v>正しい。既存の幹・根を活用し、新しい穂木を接ぐことで改植より早く生産へ戻せる。</x:v>
      </x:c>
      <x:c r="P636" s="165" t="str">
        <x:v>誤り。新梢形成と結実まで時間が必要である。</x:v>
      </x:c>
      <x:c r="Q636" s="165" t="str">
        <x:v>栽培</x:v>
      </x:c>
      <x:c r="R636" s="165" t="str">
        <x:v>品種更新</x:v>
      </x:c>
      <x:c r="S636" s="165" t="str">
        <x:v>非発泡性ワイン</x:v>
      </x:c>
      <x:c r="T636" s="165"/>
      <x:c r="U636" s="165"/>
      <x:c r="V636" s="165"/>
      <x:c r="W636" s="165" t="str">
        <x:v>統合判断</x:v>
      </x:c>
      <x:c r="X636" s="171" t="str">
        <x:v>D3</x:v>
      </x:c>
      <x:c r="Y636" s="165" t="str">
        <x:v>接ぎ替えで根系・土壌病害を除去; 接ぎ替えで根系・土壌病害を除去; 接ぎ替えで即通常収量</x:v>
      </x:c>
      <x:c r="Z636" s="171" t="str">
        <x:v>N</x:v>
      </x:c>
      <x:c r="AA636" s="165"/>
      <x:c r="AB636" s="165" t="str">
        <x:v>オリジナル</x:v>
      </x:c>
      <x:c r="AC636" s="165" t="str">
        <x:v>WSET公式Specificationの範囲＋ユーザー作成コーパスの論点を参考に独自作成</x:v>
      </x:c>
      <x:c r="AD636" s="171" t="str">
        <x:v>改稿済み・専門家未承認</x:v>
      </x:c>
      <x:c r="AE636" s="171" t="str">
        <x:v>AI誤答レビュー</x:v>
      </x:c>
      <x:c r="AF636" s="171" t="str">
        <x:v>2026-07-12</x:v>
      </x:c>
      <x:c r="AG636" s="369" t="str">
        <x:v>第4バッチ：同一論点内の典型的誤概念へ置換。正答位置は維持。</x:v>
      </x:c>
    </x:row>
    <x:row r="637" ht="84" customHeight="1">
      <x:c r="A637" s="368" t="str">
        <x:v>LO1-156</x:v>
      </x:c>
      <x:c r="B637" s="171" t="str">
        <x:v>LO1</x:v>
      </x:c>
      <x:c r="C637" s="165" t="str">
        <x:v>ブドウ畑・ワイナリーの自然要因と人的要因</x:v>
      </x:c>
      <x:c r="D637" s="165" t="str">
        <x:v>クローン多様性</x:v>
      </x:c>
      <x:c r="E637" s="165" t="str">
        <x:v>同一品種の複数クローンを一つの畑へ植える主な利点はどれか。</x:v>
      </x:c>
      <x:c r="F637" s="165" t="str">
        <x:v>樹の成熟時期と収量をそろえ、収穫判断を単純化する</x:v>
      </x:c>
      <x:c r="G637" s="165" t="str">
        <x:v>クローン間の違いを消し、単一の香味だけを安定して得る</x:v>
      </x:c>
      <x:c r="H637" s="165" t="str">
        <x:v>品種名を維持しながら、台木の耐乾性も同時に変えられる</x:v>
      </x:c>
      <x:c r="I637" s="165" t="str">
        <x:v>成熟時期、収量、香味の違いを組み合わせ、複雑性と気候リスク分散を得られる</x:v>
      </x:c>
      <x:c r="J637" s="171" t="str">
        <x:v>D</x:v>
      </x:c>
      <x:c r="K637" s="165" t="str">
        <x:v>成熟時期、収量、香味の違いを組み合わせ、複雑性と気候リスク分散を得られる</x:v>
      </x:c>
      <x:c r="L637" s="165" t="str">
        <x:v>正しい。同一品種内の小さな差を組み合わせ、年ごとの条件へ対応しやすくする。</x:v>
      </x:c>
      <x:c r="M637" s="165" t="str">
        <x:v>誤り。複数クローンは成熟や収量に差があるため、完全な均一化が目的ではない。</x:v>
      </x:c>
      <x:c r="N637" s="165" t="str">
        <x:v>誤り。違いを活用して複雑性を得るのであり、差を消すものではない。</x:v>
      </x:c>
      <x:c r="O637" s="165" t="str">
        <x:v>誤り。穂木クローンと台木特性は別で、クローン選択だけで台木の耐乾性は変わらない。</x:v>
      </x:c>
      <x:c r="P637" s="165" t="str">
        <x:v>正しい。同一品種内の小さな差を組み合わせ、年ごとの条件へ対応しやすくする。</x:v>
      </x:c>
      <x:c r="Q637" s="165" t="str">
        <x:v>栽培</x:v>
      </x:c>
      <x:c r="R637" s="165" t="str">
        <x:v>植栽材料</x:v>
      </x:c>
      <x:c r="S637" s="165" t="str">
        <x:v>非発泡性ワイン</x:v>
      </x:c>
      <x:c r="T637" s="165"/>
      <x:c r="U637" s="165"/>
      <x:c r="V637" s="165"/>
      <x:c r="W637" s="165" t="str">
        <x:v>統合判断</x:v>
      </x:c>
      <x:c r="X637" s="171" t="str">
        <x:v>D3</x:v>
      </x:c>
      <x:c r="Y637" s="165" t="str">
        <x:v>複数クローンで成熟・収量を完全均一化; クローン差を消すために混植する; 穂木クローンで台木耐乾性も変わる</x:v>
      </x:c>
      <x:c r="Z637" s="171" t="str">
        <x:v>N</x:v>
      </x:c>
      <x:c r="AA637" s="165"/>
      <x:c r="AB637" s="165" t="str">
        <x:v>オリジナル</x:v>
      </x:c>
      <x:c r="AC637" s="165" t="str">
        <x:v>WSET公式Specificationの範囲＋ユーザー作成コーパスの論点を参考に独自作成</x:v>
      </x:c>
      <x:c r="AD637" s="171" t="str">
        <x:v>改稿済み・専門家未承認</x:v>
      </x:c>
      <x:c r="AE637" s="171" t="str">
        <x:v>AI誤答レビュー</x:v>
      </x:c>
      <x:c r="AF637" s="171" t="str">
        <x:v>2026-07-12</x:v>
      </x:c>
      <x:c r="AG637" s="369" t="str">
        <x:v>第3バッチ：同一論点内の典型的誤概念へ置換。正答位置は維持。</x:v>
      </x:c>
    </x:row>
    <x:row r="638" ht="84" customHeight="1">
      <x:c r="A638" s="368" t="str">
        <x:v>LO1-157</x:v>
      </x:c>
      <x:c r="B638" s="171" t="str">
        <x:v>LO1</x:v>
      </x:c>
      <x:c r="C638" s="165" t="str">
        <x:v>ブドウ畑・ワイナリーの自然要因と人的要因</x:v>
      </x:c>
      <x:c r="D638" s="165" t="str">
        <x:v>収穫後乾燥</x:v>
      </x:c>
      <x:c r="E638" s="165" t="str">
        <x:v>収穫後にブドウを乾燥する際、風通しが重要な主な理由はどれか。</x:v>
      </x:c>
      <x:c r="F638" s="165" t="str">
        <x:v>水分を均一に蒸発させ、望ましくない腐敗を防ぐため</x:v>
      </x:c>
      <x:c r="G638" s="165" t="str">
        <x:v>酸素を大きく排除して水分を増やすため</x:v>
      </x:c>
      <x:c r="H638" s="165" t="str">
        <x:v>発酵を乾燥前に完了させるため</x:v>
      </x:c>
      <x:c r="I638" s="165" t="str">
        <x:v>果実を湿った密閉室へ置くため</x:v>
      </x:c>
      <x:c r="J638" s="171" t="str">
        <x:v>A</x:v>
      </x:c>
      <x:c r="K638" s="165" t="str">
        <x:v>水分を均一に蒸発させ、望ましくない腐敗を防ぐため</x:v>
      </x:c>
      <x:c r="L638" s="165" t="str">
        <x:v>正しい。果房間の湿度を下げることで、糖と風味を濃縮しながら灰色かび病を抑える。</x:v>
      </x:c>
      <x:c r="M638" s="165" t="str">
        <x:v>正しい。果房間の湿度を下げることで、糖と風味を濃縮しながら灰色かび病を抑える。</x:v>
      </x:c>
      <x:c r="N638" s="165" t="str">
        <x:v>誤り。乾燥には水分蒸発が必要である。</x:v>
      </x:c>
      <x:c r="O638" s="165" t="str">
        <x:v>誤り。乾燥は通常、発酵前の果実に行う。</x:v>
      </x:c>
      <x:c r="P638" s="165" t="str">
        <x:v>誤り。高湿度は腐敗を促す。</x:v>
      </x:c>
      <x:c r="Q638" s="165" t="str">
        <x:v>甘口ワイン製法</x:v>
      </x:c>
      <x:c r="R638" s="165" t="str">
        <x:v>ブドウ乾燥</x:v>
      </x:c>
      <x:c r="S638" s="165" t="str">
        <x:v>甘口ワイン</x:v>
      </x:c>
      <x:c r="T638" s="165"/>
      <x:c r="U638" s="165"/>
      <x:c r="V638" s="165"/>
      <x:c r="W638" s="165" t="str">
        <x:v>因果説明</x:v>
      </x:c>
      <x:c r="X638" s="171" t="str">
        <x:v>D2</x:v>
      </x:c>
      <x:c r="Y638" s="165" t="str">
        <x:v>収穫後乾燥について関連要因を主因とみなす; 収穫後乾燥について関連要因を主因とみなす; 収穫後乾燥について関連要因を主因とみなす</x:v>
      </x:c>
      <x:c r="Z638" s="171" t="str">
        <x:v>N</x:v>
      </x:c>
      <x:c r="AA638" s="165"/>
      <x:c r="AB638" s="165" t="str">
        <x:v>オリジナル</x:v>
      </x:c>
      <x:c r="AC638" s="165" t="str">
        <x:v>WSET公式Specificationの範囲＋ユーザー作成コーパスの論点を参考に独自作成</x:v>
      </x:c>
      <x:c r="AD638" s="171" t="str">
        <x:v>改稿済み・専門家未承認</x:v>
      </x:c>
      <x:c r="AE638" s="171" t="str">
        <x:v>AI誤答レビュー</x:v>
      </x:c>
      <x:c r="AF638" s="171" t="str">
        <x:v>2026-07-12</x:v>
      </x:c>
      <x:c r="AG638" s="369" t="str">
        <x:v>第5バッチ：使用可能な誤答を維持し、弱い誤答を因果逆転・隣接概念へ置換。正答位置は維持。</x:v>
      </x:c>
    </x:row>
    <x:row r="639" ht="84" customHeight="1">
      <x:c r="A639" s="368" t="str">
        <x:v>LO1-158</x:v>
      </x:c>
      <x:c r="B639" s="171" t="str">
        <x:v>LO1</x:v>
      </x:c>
      <x:c r="C639" s="165" t="str">
        <x:v>ブドウ畑・ワイナリーの自然要因と人的要因</x:v>
      </x:c>
      <x:c r="D639" s="165" t="str">
        <x:v>樹上乾燥</x:v>
      </x:c>
      <x:c r="E639" s="165" t="str">
        <x:v>ブドウを樹上で乾燥させる方法の主なリスクはどれか。</x:v>
      </x:c>
      <x:c r="F639" s="165" t="str">
        <x:v>発酵停止はブドウ由来の糖を残し、甘味添加は完成した辛口ワインへ別の甘味成分を加える</x:v>
      </x:c>
      <x:c r="G639" s="165" t="str">
        <x:v>鳥害、雨、腐敗、酸の低下にさらされる期間が長くなる</x:v>
      </x:c>
      <x:c r="H639" s="165" t="str">
        <x:v>樹上に残すほど果皮が厚くなり、菌類病への耐性が上がる</x:v>
      </x:c>
      <x:c r="I639" s="165" t="str">
        <x:v>水分が失われるほど果汁収量が増え、収穫費が下がる</x:v>
      </x:c>
      <x:c r="J639" s="171" t="str">
        <x:v>B</x:v>
      </x:c>
      <x:c r="K639" s="165" t="str">
        <x:v>鳥害、雨、腐敗、酸の低下にさらされる期間が長くなる</x:v>
      </x:c>
      <x:c r="L639" s="165" t="str">
        <x:v>正しい。収穫を遅らせるほど、天候・動物・病害にさらされ、果実損失が増える。</x:v>
      </x:c>
      <x:c r="M639" s="165" t="str">
        <x:v>誤り。これは同じ知識領域の「発酵停止と甘味添加」に当てはまる説明で、設問の「樹上乾燥」を最も適切に説明しない。</x:v>
      </x:c>
      <x:c r="N639" s="165" t="str">
        <x:v>正しい。収穫を遅らせるほど、天候・動物・病害にさらされ、果実損失が増える。</x:v>
      </x:c>
      <x:c r="O639" s="165" t="str">
        <x:v>誤り。長い露出は病害・裂果・鳥害リスクを増やす。</x:v>
      </x:c>
      <x:c r="P639" s="165" t="str">
        <x:v>誤り。果汁収量は減り、選別と遅摘みリスクでコストが上がる。</x:v>
      </x:c>
      <x:c r="Q639" s="165" t="str">
        <x:v>甘口ワイン製法</x:v>
      </x:c>
      <x:c r="R639" s="165" t="str">
        <x:v>ブドウ乾燥</x:v>
      </x:c>
      <x:c r="S639" s="165" t="str">
        <x:v>甘口ワイン</x:v>
      </x:c>
      <x:c r="T639" s="165"/>
      <x:c r="U639" s="165"/>
      <x:c r="V639" s="165"/>
      <x:c r="W639" s="165" t="str">
        <x:v>統合判断</x:v>
      </x:c>
      <x:c r="X639" s="171" t="str">
        <x:v>D2</x:v>
      </x:c>
      <x:c r="Y639" s="165" t="str">
        <x:v>樹上乾燥を発酵停止と甘味添加の特徴と混同; 樹上乾燥で病害耐性向上; 樹上乾燥で果汁量増加・低コスト</x:v>
      </x:c>
      <x:c r="Z639" s="171" t="str">
        <x:v>N</x:v>
      </x:c>
      <x:c r="AA639" s="165"/>
      <x:c r="AB639" s="165" t="str">
        <x:v>オリジナル</x:v>
      </x:c>
      <x:c r="AC639" s="165" t="str">
        <x:v>WSET公式Specificationの範囲＋ユーザー作成コーパスの論点を参考に独自作成</x:v>
      </x:c>
      <x:c r="AD639" s="171" t="str">
        <x:v>改稿済み・専門家未承認</x:v>
      </x:c>
      <x:c r="AE639" s="171" t="str">
        <x:v>AI誤答レビュー</x:v>
      </x:c>
      <x:c r="AF639" s="171" t="str">
        <x:v>2026-07-12</x:v>
      </x:c>
      <x:c r="AG639" s="369" t="str">
        <x:v>第4バッチ：同一論点内の典型的誤概念へ置換。正答位置は維持。</x:v>
      </x:c>
    </x:row>
    <x:row r="640" ht="84" customHeight="1">
      <x:c r="A640" s="368" t="str">
        <x:v>LO1-159</x:v>
      </x:c>
      <x:c r="B640" s="171" t="str">
        <x:v>LO1</x:v>
      </x:c>
      <x:c r="C640" s="165" t="str">
        <x:v>ブドウ畑・ワイナリーの自然要因と人的要因</x:v>
      </x:c>
      <x:c r="D640" s="165" t="str">
        <x:v>凍結収穫</x:v>
      </x:c>
      <x:c r="E640" s="165" t="str">
        <x:v>樹上で自然凍結したブドウを凍ったまま圧搾する主な効果はどれか。</x:v>
      </x:c>
      <x:c r="F640" s="165" t="str">
        <x:v>糖だけが氷となって除去される</x:v>
      </x:c>
      <x:c r="G640" s="165" t="str">
        <x:v>果汁量が大幅に増える</x:v>
      </x:c>
      <x:c r="H640" s="165" t="str">
        <x:v>水分の多くを氷として残し、糖・酸・風味の濃い果汁を得る</x:v>
      </x:c>
      <x:c r="I640" s="165" t="str">
        <x:v>発酵が不要になる</x:v>
      </x:c>
      <x:c r="J640" s="171" t="str">
        <x:v>C</x:v>
      </x:c>
      <x:c r="K640" s="165" t="str">
        <x:v>水分の多くを氷として残し、糖・酸・風味の濃い果汁を得る</x:v>
      </x:c>
      <x:c r="L640" s="165" t="str">
        <x:v>正しい。氷晶が圧搾機に残るため果汁量は少なく、非常に甘く高酸のワインを造れる。</x:v>
      </x:c>
      <x:c r="M640" s="165" t="str">
        <x:v>誤り。主に水が凍り、糖は濃縮果汁側へ残る。</x:v>
      </x:c>
      <x:c r="N640" s="165" t="str">
        <x:v>誤り。濃縮するため収量は低い。</x:v>
      </x:c>
      <x:c r="O640" s="165" t="str">
        <x:v>正しい。氷晶が圧搾機に残るため果汁量は少なく、非常に甘く高酸のワインを造れる。</x:v>
      </x:c>
      <x:c r="P640" s="165" t="str">
        <x:v>誤り。濃縮果汁も酵母発酵を行う。</x:v>
      </x:c>
      <x:c r="Q640" s="165" t="str">
        <x:v>甘口ワイン製法</x:v>
      </x:c>
      <x:c r="R640" s="165" t="str">
        <x:v>凍結ブドウ</x:v>
      </x:c>
      <x:c r="S640" s="165" t="str">
        <x:v>甘口ワイン</x:v>
      </x:c>
      <x:c r="T640" s="165"/>
      <x:c r="U640" s="165"/>
      <x:c r="V640" s="165"/>
      <x:c r="W640" s="165" t="str">
        <x:v>因果説明</x:v>
      </x:c>
      <x:c r="X640" s="171" t="str">
        <x:v>D2</x:v>
      </x:c>
      <x:c r="Y640" s="165" t="str">
        <x:v>凍結収穫に関する別の特徴・要因と混同; 凍結収穫に関する別の特徴・要因と混同; 凍結収穫に関する別の特徴・要因と混同</x:v>
      </x:c>
      <x:c r="Z640" s="171" t="str">
        <x:v>N</x:v>
      </x:c>
      <x:c r="AA640" s="165"/>
      <x:c r="AB640" s="165" t="str">
        <x:v>オリジナル</x:v>
      </x:c>
      <x:c r="AC640" s="165" t="str">
        <x:v>WSET公式Specificationの範囲＋ユーザー作成コーパスの論点を参考に独自作成</x:v>
      </x:c>
      <x:c r="AD640" s="171" t="str">
        <x:v>改稿済み・専門家未承認</x:v>
      </x:c>
      <x:c r="AE640" s="171" t="str">
        <x:v>AI誤答レビュー</x:v>
      </x:c>
      <x:c r="AF640" s="171" t="str">
        <x:v>2026-07-12</x:v>
      </x:c>
      <x:c r="AG640" s="369" t="str">
        <x:v>最終バッチ：有効な誤答を維持し、絶対語・物理的不可能な誤答のみ置換。正答位置は維持。</x:v>
      </x:c>
    </x:row>
    <x:row r="641" ht="84" customHeight="1">
      <x:c r="A641" s="368" t="str">
        <x:v>LO1-160</x:v>
      </x:c>
      <x:c r="B641" s="171" t="str">
        <x:v>LO1</x:v>
      </x:c>
      <x:c r="C641" s="165" t="str">
        <x:v>ブドウ畑・ワイナリーの自然要因と人的要因</x:v>
      </x:c>
      <x:c r="D641" s="165" t="str">
        <x:v>甘味成分の添加</x:v>
      </x:c>
      <x:c r="E641" s="165" t="str">
        <x:v>辛口ワインへ甘味成分を加えて甘口にする方法の利点はどれか。</x:v>
      </x:c>
      <x:c r="F641" s="165" t="str">
        <x:v>水分の多くを氷として残し、糖・酸・風味の濃い果汁を得る</x:v>
      </x:c>
      <x:c r="G641" s="165" t="str">
        <x:v>甘味成分を加えれば、残った酵母があっても再発酵しにくい</x:v>
      </x:c>
      <x:c r="H641" s="165" t="str">
        <x:v>辛口発酵後に甘味を加えると、アルコール度も発酵停止型と同じまで下がる</x:v>
      </x:c>
      <x:c r="I641" s="165" t="str">
        <x:v>発酵を終えて微生物安定性を確保した後、甘味を精密に調整できる</x:v>
      </x:c>
      <x:c r="J641" s="171" t="str">
        <x:v>D</x:v>
      </x:c>
      <x:c r="K641" s="165" t="str">
        <x:v>発酵を終えて微生物安定性を確保した後、甘味を精密に調整できる</x:v>
      </x:c>
      <x:c r="L641" s="165" t="str">
        <x:v>正しい。辛口ワインを安定化した上で、濃縮果汁等を用いて残糖を狙った水準へ合わせられる。</x:v>
      </x:c>
      <x:c r="M641" s="165" t="str">
        <x:v>誤り。これは同じ知識領域の「凍結収穫」に当てはまる説明で、設問の「甘味成分の添加」を最も適切に説明しない。</x:v>
      </x:c>
      <x:c r="N641" s="165" t="str">
        <x:v>誤り。糖を加えるため、微生物安定化がより重要になる。</x:v>
      </x:c>
      <x:c r="O641" s="165" t="str">
        <x:v>誤り。甘味添加でアルコール度は大幅には下がらない。</x:v>
      </x:c>
      <x:c r="P641" s="165" t="str">
        <x:v>正しい。辛口ワインを安定化した上で、濃縮果汁等を用いて残糖を狙った水準へ合わせられる。</x:v>
      </x:c>
      <x:c r="Q641" s="165" t="str">
        <x:v>甘口ワイン製法</x:v>
      </x:c>
      <x:c r="R641" s="165" t="str">
        <x:v>甘味調整</x:v>
      </x:c>
      <x:c r="S641" s="165" t="str">
        <x:v>甘口ワイン</x:v>
      </x:c>
      <x:c r="T641" s="165"/>
      <x:c r="U641" s="165"/>
      <x:c r="V641" s="165"/>
      <x:c r="W641" s="165" t="str">
        <x:v>比較</x:v>
      </x:c>
      <x:c r="X641" s="171" t="str">
        <x:v>D3</x:v>
      </x:c>
      <x:c r="Y641" s="165" t="str">
        <x:v>甘味成分の添加を凍結収穫の特徴と混同; 甘味添加後は再発酵しにくい; 甘味添加で低アルコール化</x:v>
      </x:c>
      <x:c r="Z641" s="171" t="str">
        <x:v>N</x:v>
      </x:c>
      <x:c r="AA641" s="165"/>
      <x:c r="AB641" s="165" t="str">
        <x:v>オリジナル</x:v>
      </x:c>
      <x:c r="AC641" s="165" t="str">
        <x:v>WSET公式Specificationの範囲＋ユーザー作成コーパスの論点を参考に独自作成</x:v>
      </x:c>
      <x:c r="AD641" s="171" t="str">
        <x:v>改稿済み・専門家未承認</x:v>
      </x:c>
      <x:c r="AE641" s="171" t="str">
        <x:v>AI誤答レビュー</x:v>
      </x:c>
      <x:c r="AF641" s="171" t="str">
        <x:v>2026-07-12</x:v>
      </x:c>
      <x:c r="AG641" s="369" t="str">
        <x:v>第4バッチ：同一論点内の典型的誤概念へ置換。正答位置は維持。</x:v>
      </x:c>
    </x:row>
    <x:row r="642" ht="84" customHeight="1">
      <x:c r="A642" s="368" t="str">
        <x:v>LO1-161</x:v>
      </x:c>
      <x:c r="B642" s="171" t="str">
        <x:v>LO1</x:v>
      </x:c>
      <x:c r="C642" s="165" t="str">
        <x:v>ブドウ畑・ワイナリーの自然要因と人的要因</x:v>
      </x:c>
      <x:c r="D642" s="165" t="str">
        <x:v>発酵停止と甘味添加</x:v>
      </x:c>
      <x:c r="E642" s="165" t="str">
        <x:v>発酵を途中で止めて甘味を残す方法と、辛口発酵後に甘味成分を加える方法の違いとして、最も適切なものはどれか。</x:v>
      </x:c>
      <x:c r="F642" s="165" t="str">
        <x:v>前者はブドウ由来の糖を残しやすく、後者は完成した辛口ワインへ別の甘味成分を加える</x:v>
      </x:c>
      <x:c r="G642" s="165" t="str">
        <x:v>前者も後者も、発酵を完了させる前に酵母を除去して甘味を残す</x:v>
      </x:c>
      <x:c r="H642" s="165" t="str">
        <x:v>前者は最終アルコールを低くしやすいが、後者も同じ程度までアルコールを低下させる</x:v>
      </x:c>
      <x:c r="I642" s="165" t="str">
        <x:v>後者は辛口まで発酵しているため、甘味成分を加えた後も微生物安定性を考慮する必要がない</x:v>
      </x:c>
      <x:c r="J642" s="171" t="str">
        <x:v>A</x:v>
      </x:c>
      <x:c r="K642" s="165" t="str">
        <x:v>前者はブドウ由来の糖を残しやすく、後者は完成した辛口ワインへ別の甘味成分を加える</x:v>
      </x:c>
      <x:c r="L642" s="165" t="str">
        <x:v>正しい。発酵停止では未発酵糖が残り、甘味添加では辛口ワインに濃縮果汁や甘口ワインなどを加える。</x:v>
      </x:c>
      <x:c r="M642" s="165" t="str">
        <x:v>正しい。発酵停止では未発酵糖が残り、甘味添加では辛口ワインに濃縮果汁や甘口ワインなどを加える。</x:v>
      </x:c>
      <x:c r="N642" s="165" t="str">
        <x:v>誤り。後者は発酵を完了した後に甘味を調整する方法であり、発酵途中で止める方法ではない。</x:v>
      </x:c>
      <x:c r="O642" s="165" t="str">
        <x:v>誤り。甘味添加は通常、完成ワインのアルコールを大幅には下げず、発酵停止型と同じ結果になるとは限らない。</x:v>
      </x:c>
      <x:c r="P642" s="165" t="str">
        <x:v>誤り。糖を加えた後は再発酵を防ぐため、濾過、亜硫酸、衛生管理などが必要となり得る。</x:v>
      </x:c>
      <x:c r="Q642" s="165" t="str">
        <x:v>甘口ワイン製法</x:v>
      </x:c>
      <x:c r="R642" s="165" t="str">
        <x:v>甘味調整</x:v>
      </x:c>
      <x:c r="S642" s="165" t="str">
        <x:v>甘口ワイン</x:v>
      </x:c>
      <x:c r="T642" s="165"/>
      <x:c r="U642" s="165"/>
      <x:c r="V642" s="165"/>
      <x:c r="W642" s="165" t="str">
        <x:v>比較</x:v>
      </x:c>
      <x:c r="X642" s="171" t="str">
        <x:v>D3</x:v>
      </x:c>
      <x:c r="Y642" s="165" t="str">
        <x:v>甘味添加も発酵停止で行う; 甘味添加でも最終アルコールが同程度低下する; 甘味添加後は微生物安定性が不要</x:v>
      </x:c>
      <x:c r="Z642" s="171" t="str">
        <x:v>N</x:v>
      </x:c>
      <x:c r="AA642" s="165"/>
      <x:c r="AB642" s="165" t="str">
        <x:v>オリジナル</x:v>
      </x:c>
      <x:c r="AC642" s="165" t="str">
        <x:v>WSET公式Specificationの範囲＋ユーザー作成コーパスの論点を参考に独自作成</x:v>
      </x:c>
      <x:c r="AD642" s="171" t="str">
        <x:v>改稿済み・専門家未承認</x:v>
      </x:c>
      <x:c r="AE642" s="171" t="str">
        <x:v>AI誤答レビュー</x:v>
      </x:c>
      <x:c r="AF642" s="171" t="str">
        <x:v>2026-07-12</x:v>
      </x:c>
      <x:c r="AG642" s="369" t="str">
        <x:v>第2バッチ：誤答を同一論点内の典型的誤概念へ置換。正答位置は維持。</x:v>
      </x:c>
    </x:row>
    <x:row r="643" ht="84" customHeight="1">
      <x:c r="A643" s="368" t="str">
        <x:v>LO1-162</x:v>
      </x:c>
      <x:c r="B643" s="171" t="str">
        <x:v>LO1</x:v>
      </x:c>
      <x:c r="C643" s="165" t="str">
        <x:v>ブドウ畑・ワイナリーの自然要因と人的要因</x:v>
      </x:c>
      <x:c r="D643" s="165" t="str">
        <x:v>デプス・フィルター</x:v>
      </x:c>
      <x:c r="E643" s="165" t="str">
        <x:v>デプス・フィルターがワインを清澄する仕組みとして最も適切なものはどれか。</x:v>
      </x:c>
      <x:c r="F643" s="165" t="str">
        <x:v>規定サイズの膜孔より大きい酵母や細菌を表面で除去できるため</x:v>
      </x:c>
      <x:c r="G643" s="165" t="str">
        <x:v>厚みのある多孔質素材の内部で粒子を捕捉する</x:v>
      </x:c>
      <x:c r="H643" s="165" t="str">
        <x:v>均一な孔径の膜表面だけで、酵母と細菌を選択的に止める</x:v>
      </x:c>
      <x:c r="I643" s="165" t="str">
        <x:v>遠心力で粒子を沈降させ、上澄みだけを通す</x:v>
      </x:c>
      <x:c r="J643" s="171" t="str">
        <x:v>B</x:v>
      </x:c>
      <x:c r="K643" s="165" t="str">
        <x:v>厚みのある多孔質素材の内部で粒子を捕捉する</x:v>
      </x:c>
      <x:c r="L643" s="165" t="str">
        <x:v>正しい。ワインが繊維や珪藻土等の層を通る間に、粒子が表面だけでなく内部へ保持される。</x:v>
      </x:c>
      <x:c r="M643" s="165" t="str">
        <x:v>誤り。これは同じ知識領域の「サーフェス・フィルター」に当てはまる説明で、設問の「デプス・フィルター」を最も適切に説明しない。</x:v>
      </x:c>
      <x:c r="N643" s="165" t="str">
        <x:v>正しい。ワインが繊維や珪藻土等の層を通る間に、粒子が表面だけでなく内部へ保持される。</x:v>
      </x:c>
      <x:c r="O643" s="165" t="str">
        <x:v>誤り。これはサーフェス／膜濾過の説明に近い。</x:v>
      </x:c>
      <x:c r="P643" s="165" t="str">
        <x:v>誤り。遠心分離の仕組みであり、デプス濾過ではない。</x:v>
      </x:c>
      <x:c r="Q643" s="165" t="str">
        <x:v>醸造</x:v>
      </x:c>
      <x:c r="R643" s="165" t="str">
        <x:v>濾過</x:v>
      </x:c>
      <x:c r="S643" s="165" t="str">
        <x:v>全般</x:v>
      </x:c>
      <x:c r="T643" s="165"/>
      <x:c r="U643" s="165"/>
      <x:c r="V643" s="165"/>
      <x:c r="W643" s="165" t="str">
        <x:v>知識確認</x:v>
      </x:c>
      <x:c r="X643" s="171" t="str">
        <x:v>D2</x:v>
      </x:c>
      <x:c r="Y643" s="165" t="str">
        <x:v>デプス・フィルターをサーフェス・フィルターの特徴と混同; デプスフィルターと膜濾過を混同; デプスフィルターと遠心分離を混同</x:v>
      </x:c>
      <x:c r="Z643" s="171" t="str">
        <x:v>N</x:v>
      </x:c>
      <x:c r="AA643" s="165"/>
      <x:c r="AB643" s="165" t="str">
        <x:v>オリジナル</x:v>
      </x:c>
      <x:c r="AC643" s="165" t="str">
        <x:v>WSET公式Specificationの範囲＋ユーザー作成コーパスの論点を参考に独自作成</x:v>
      </x:c>
      <x:c r="AD643" s="171" t="str">
        <x:v>改稿済み・専門家未承認</x:v>
      </x:c>
      <x:c r="AE643" s="171" t="str">
        <x:v>AI誤答レビュー</x:v>
      </x:c>
      <x:c r="AF643" s="171" t="str">
        <x:v>2026-07-12</x:v>
      </x:c>
      <x:c r="AG643" s="369" t="str">
        <x:v>第4バッチ：同一論点内の典型的誤概念へ置換。正答位置は維持。</x:v>
      </x:c>
    </x:row>
    <x:row r="644" ht="84" customHeight="1">
      <x:c r="A644" s="368" t="str">
        <x:v>LO1-163</x:v>
      </x:c>
      <x:c r="B644" s="171" t="str">
        <x:v>LO1</x:v>
      </x:c>
      <x:c r="C644" s="165" t="str">
        <x:v>ブドウ畑・ワイナリーの自然要因と人的要因</x:v>
      </x:c>
      <x:c r="D644" s="165" t="str">
        <x:v>サーフェス・フィルター</x:v>
      </x:c>
      <x:c r="E644" s="165" t="str">
        <x:v>サーフェス・フィルターが滅菌濾過に適する主な理由はどれか。</x:v>
      </x:c>
      <x:c r="F644" s="165" t="str">
        <x:v>膜が残糖を吸収するため</x:v>
      </x:c>
      <x:c r="G644" s="165" t="str">
        <x:v>膜がアルコールを生成するため</x:v>
      </x:c>
      <x:c r="H644" s="165" t="str">
        <x:v>規定サイズの膜孔より大きい酵母や細菌を表面で除去できるため</x:v>
      </x:c>
      <x:c r="I644" s="165" t="str">
        <x:v>膜がワインへオーク香を加えるため</x:v>
      </x:c>
      <x:c r="J644" s="171" t="str">
        <x:v>C</x:v>
      </x:c>
      <x:c r="K644" s="165" t="str">
        <x:v>規定サイズの膜孔より大きい酵母や細菌を表面で除去できるため</x:v>
      </x:c>
      <x:c r="L644" s="165" t="str">
        <x:v>正しい。均一な膜を用い、瓶詰め直前に微生物を確実に減らす。</x:v>
      </x:c>
      <x:c r="M644" s="165" t="str">
        <x:v>誤り。溶解した糖は膜を通過する。</x:v>
      </x:c>
      <x:c r="N644" s="165" t="str">
        <x:v>誤り。発酵装置ではない。</x:v>
      </x:c>
      <x:c r="O644" s="165" t="str">
        <x:v>正しい。均一な膜を用い、瓶詰め直前に微生物を確実に減らす。</x:v>
      </x:c>
      <x:c r="P644" s="165" t="str">
        <x:v>誤り。香味付与を目的としない。</x:v>
      </x:c>
      <x:c r="Q644" s="165" t="str">
        <x:v>醸造</x:v>
      </x:c>
      <x:c r="R644" s="165" t="str">
        <x:v>濾過</x:v>
      </x:c>
      <x:c r="S644" s="165" t="str">
        <x:v>全般</x:v>
      </x:c>
      <x:c r="T644" s="165"/>
      <x:c r="U644" s="165"/>
      <x:c r="V644" s="165"/>
      <x:c r="W644" s="165" t="str">
        <x:v>因果説明</x:v>
      </x:c>
      <x:c r="X644" s="171" t="str">
        <x:v>D2</x:v>
      </x:c>
      <x:c r="Y644" s="165" t="str">
        <x:v>サーフェス・フィルターに関する別の特徴・要因と混同; サーフェス・フィルターに関する別の特徴・要因と混同; サーフェス・フィルターに関する別の特徴・要因と混同</x:v>
      </x:c>
      <x:c r="Z644" s="171" t="str">
        <x:v>N</x:v>
      </x:c>
      <x:c r="AA644" s="165"/>
      <x:c r="AB644" s="165" t="str">
        <x:v>オリジナル</x:v>
      </x:c>
      <x:c r="AC644" s="165" t="str">
        <x:v>WSET公式Specificationの範囲＋ユーザー作成コーパスの論点を参考に独自作成</x:v>
      </x:c>
      <x:c r="AD644" s="171" t="str">
        <x:v>改稿済み・専門家未承認</x:v>
      </x:c>
      <x:c r="AE644" s="171" t="str">
        <x:v>AI誤答レビュー</x:v>
      </x:c>
      <x:c r="AF644" s="171" t="str">
        <x:v>2026-07-12</x:v>
      </x:c>
      <x:c r="AG644" s="369" t="str">
        <x:v>最終バッチ：有効な誤答を維持し、絶対語・物理的不可能な誤答のみ置換。正答位置は維持。</x:v>
      </x:c>
    </x:row>
    <x:row r="645" ht="84" customHeight="1">
      <x:c r="A645" s="368" t="str">
        <x:v>LO1-164</x:v>
      </x:c>
      <x:c r="B645" s="171" t="str">
        <x:v>LO1</x:v>
      </x:c>
      <x:c r="C645" s="165" t="str">
        <x:v>ブドウ畑・ワイナリーの自然要因と人的要因</x:v>
      </x:c>
      <x:c r="D645" s="165" t="str">
        <x:v>澱引き</x:v>
      </x:c>
      <x:c r="E645" s="165" t="str">
        <x:v>アルコール発酵後に、ワインを粗い澱から澱引きする主な理由はどれか。</x:v>
      </x:c>
      <x:c r="F645" s="165" t="str">
        <x:v>細かい酵母澱との接触を増やし、マンノプロテインの抽出を促すため</x:v>
      </x:c>
      <x:c r="G645" s="165" t="str">
        <x:v>酒石酸塩の析出だけを促し、タンパク質安定性を高めるため</x:v>
      </x:c>
      <x:c r="H645" s="165" t="str">
        <x:v>マロラクティック・コンバージョン用の乳酸菌を大部分除去するため</x:v>
      </x:c>
      <x:c r="I645" s="165" t="str">
        <x:v>腐敗しやすい果皮片や重い酵母を除き、硫黄臭や微生物問題を抑えるため</x:v>
      </x:c>
      <x:c r="J645" s="171" t="str">
        <x:v>D</x:v>
      </x:c>
      <x:c r="K645" s="165" t="str">
        <x:v>腐敗しやすい果皮片や重い酵母を除き、硫黄臭や微生物問題を抑えるため</x:v>
      </x:c>
      <x:c r="L645" s="165" t="str">
        <x:v>正しい。粗い澱は果皮片や重い酵母を含み、長期接触で還元臭や腐敗リスクを高める。</x:v>
      </x:c>
      <x:c r="M645" s="165" t="str">
        <x:v>誤り。細かい澱との接触はバトナージュ等で利用するが、粗い澱の除去目的とは異なる。</x:v>
      </x:c>
      <x:c r="N645" s="165" t="str">
        <x:v>誤り。粗い澱引きは酒石安定化だけを目的とする工程ではない。</x:v>
      </x:c>
      <x:c r="O645" s="165" t="str">
        <x:v>誤り。乳酸菌を選択的にすべて除く操作ではなく、固形沈殿全体を分離する。</x:v>
      </x:c>
      <x:c r="P645" s="165" t="str">
        <x:v>正しい。粗い澱は果皮片や重い酵母を含み、長期接触で還元臭や腐敗リスクを高める。</x:v>
      </x:c>
      <x:c r="Q645" s="165" t="str">
        <x:v>醸造</x:v>
      </x:c>
      <x:c r="R645" s="165" t="str">
        <x:v>澱管理</x:v>
      </x:c>
      <x:c r="S645" s="165" t="str">
        <x:v>全般</x:v>
      </x:c>
      <x:c r="T645" s="165"/>
      <x:c r="U645" s="165"/>
      <x:c r="V645" s="165"/>
      <x:c r="W645" s="165" t="str">
        <x:v>因果説明</x:v>
      </x:c>
      <x:c r="X645" s="171" t="str">
        <x:v>D2</x:v>
      </x:c>
      <x:c r="Y645" s="165" t="str">
        <x:v>粗い澱引きは細かい澱接触を増やす; 粗い澱引きは酒石安定化だけが目的; 澱引きで乳酸菌だけを完全除去する</x:v>
      </x:c>
      <x:c r="Z645" s="171" t="str">
        <x:v>N</x:v>
      </x:c>
      <x:c r="AA645" s="165"/>
      <x:c r="AB645" s="165" t="str">
        <x:v>オリジナル</x:v>
      </x:c>
      <x:c r="AC645" s="165" t="str">
        <x:v>WSET公式Specificationの範囲＋ユーザー作成コーパスの論点を参考に独自作成</x:v>
      </x:c>
      <x:c r="AD645" s="171" t="str">
        <x:v>改稿済み・専門家未承認</x:v>
      </x:c>
      <x:c r="AE645" s="171" t="str">
        <x:v>AI誤答レビュー</x:v>
      </x:c>
      <x:c r="AF645" s="171" t="str">
        <x:v>2026-07-12</x:v>
      </x:c>
      <x:c r="AG645" s="369" t="str">
        <x:v>第3バッチ：同一論点内の典型的誤概念へ置換。正答位置は維持。</x:v>
      </x:c>
    </x:row>
    <x:row r="646" ht="84" customHeight="1">
      <x:c r="A646" s="368" t="str">
        <x:v>LO1-165</x:v>
      </x:c>
      <x:c r="B646" s="171" t="str">
        <x:v>LO1</x:v>
      </x:c>
      <x:c r="C646" s="165" t="str">
        <x:v>ブドウ畑・ワイナリーの自然要因と人的要因</x:v>
      </x:c>
      <x:c r="D646" s="165" t="str">
        <x:v>沈殿清澄</x:v>
      </x:c>
      <x:c r="E646" s="165" t="str">
        <x:v>沈殿による果汁清澄を低温で行う主な理由はどれか。</x:v>
      </x:c>
      <x:c r="F646" s="165" t="str">
        <x:v>微生物活動と酸化を抑えながら固形物を沈めるため</x:v>
      </x:c>
      <x:c r="G646" s="165" t="str">
        <x:v>低温でタンニンを最大限抽出するため</x:v>
      </x:c>
      <x:c r="H646" s="165" t="str">
        <x:v>低温で糖を結晶化して除くため</x:v>
      </x:c>
      <x:c r="I646" s="165" t="str">
        <x:v>低温で果汁を大きく発酵させるため</x:v>
      </x:c>
      <x:c r="J646" s="171" t="str">
        <x:v>A</x:v>
      </x:c>
      <x:c r="K646" s="165" t="str">
        <x:v>微生物活動と酸化を抑えながら固形物を沈めるため</x:v>
      </x:c>
      <x:c r="L646" s="165" t="str">
        <x:v>正しい。冷却した果汁を静置し、重い粒子を底へ沈めて上澄みを発酵させる。</x:v>
      </x:c>
      <x:c r="M646" s="165" t="str">
        <x:v>正しい。冷却した果汁を静置し、重い粒子を底へ沈めて上澄みを発酵させる。</x:v>
      </x:c>
      <x:c r="N646" s="165" t="str">
        <x:v>誤り。果皮接触を抑えた清澄である。</x:v>
      </x:c>
      <x:c r="O646" s="165" t="str">
        <x:v>誤り。糖は溶解したまま残る。</x:v>
      </x:c>
      <x:c r="P646" s="165" t="str">
        <x:v>誤り。清澄段階では発酵を抑える。</x:v>
      </x:c>
      <x:c r="Q646" s="165" t="str">
        <x:v>醸造</x:v>
      </x:c>
      <x:c r="R646" s="165" t="str">
        <x:v>果汁清澄</x:v>
      </x:c>
      <x:c r="S646" s="165" t="str">
        <x:v>白ワイン</x:v>
      </x:c>
      <x:c r="T646" s="165"/>
      <x:c r="U646" s="165"/>
      <x:c r="V646" s="165"/>
      <x:c r="W646" s="165" t="str">
        <x:v>因果説明</x:v>
      </x:c>
      <x:c r="X646" s="171" t="str">
        <x:v>D2</x:v>
      </x:c>
      <x:c r="Y646" s="165" t="str">
        <x:v>沈殿清澄について関連要因を主因とみなす; 沈殿清澄について関連要因を主因とみなす; 沈殿清澄について関連要因を主因とみなす</x:v>
      </x:c>
      <x:c r="Z646" s="171" t="str">
        <x:v>N</x:v>
      </x:c>
      <x:c r="AA646" s="165"/>
      <x:c r="AB646" s="165" t="str">
        <x:v>オリジナル</x:v>
      </x:c>
      <x:c r="AC646" s="165" t="str">
        <x:v>WSET公式Specificationの範囲＋ユーザー作成コーパスの論点を参考に独自作成</x:v>
      </x:c>
      <x:c r="AD646" s="171" t="str">
        <x:v>改稿済み・専門家未承認</x:v>
      </x:c>
      <x:c r="AE646" s="171" t="str">
        <x:v>AI誤答レビュー</x:v>
      </x:c>
      <x:c r="AF646" s="171" t="str">
        <x:v>2026-07-12</x:v>
      </x:c>
      <x:c r="AG646" s="369" t="str">
        <x:v>第5バッチ：使用可能な誤答を維持し、弱い誤答を因果逆転・隣接概念へ置換。正答位置は維持。</x:v>
      </x:c>
    </x:row>
    <x:row r="647" ht="84" customHeight="1">
      <x:c r="A647" s="368" t="str">
        <x:v>LO1-166</x:v>
      </x:c>
      <x:c r="B647" s="171" t="str">
        <x:v>LO1</x:v>
      </x:c>
      <x:c r="C647" s="165" t="str">
        <x:v>ブドウ畑・ワイナリーの自然要因と人的要因</x:v>
      </x:c>
      <x:c r="D647" s="165" t="str">
        <x:v>オーク代替材</x:v>
      </x:c>
      <x:c r="E647" s="165" t="str">
        <x:v>オーク・チップやステーヴを用いる主な利点はどれか。</x:v>
      </x:c>
      <x:c r="F647" s="165" t="str">
        <x:v>残糖を発酵させる酵母を供給する</x:v>
      </x:c>
      <x:c r="G647" s="165" t="str">
        <x:v>新樽より低コストでオーク由来の香りとタンニンを与えられる</x:v>
      </x:c>
      <x:c r="H647" s="165" t="str">
        <x:v>樽と同じ微量酸素効果を再現する</x:v>
      </x:c>
      <x:c r="I647" s="165" t="str">
        <x:v>古樽より低コストでオーク由来の香りとタンニンを与えられる</x:v>
      </x:c>
      <x:c r="J647" s="171" t="str">
        <x:v>B</x:v>
      </x:c>
      <x:c r="K647" s="165" t="str">
        <x:v>新樽より低コストでオーク由来の香りとタンニンを与えられる</x:v>
      </x:c>
      <x:c r="L647" s="165" t="str">
        <x:v>正しい。タンク内で木材接触面積を調整でき、果実味中心の大量生産ワインにも利用しやすい。</x:v>
      </x:c>
      <x:c r="M647" s="165" t="str">
        <x:v>誤り。オーク代替材は発酵酵母の供給源ではない。</x:v>
      </x:c>
      <x:c r="N647" s="165" t="str">
        <x:v>正しい。タンク内で木材接触面積を調整でき、果実味中心の大量生産ワインにも利用しやすい。</x:v>
      </x:c>
      <x:c r="O647" s="165" t="str">
        <x:v>誤り。容器がタンクの場合、酸素供給は別途管理が必要である。</x:v>
      </x:c>
      <x:c r="P647" s="165" t="str">
        <x:v>誤り。正答の「新樽」を「古樽」へ置き換えており、樽の新しさによる香味差を混同している。</x:v>
      </x:c>
      <x:c r="Q647" s="165" t="str">
        <x:v>熟成</x:v>
      </x:c>
      <x:c r="R647" s="165" t="str">
        <x:v>オーク代替材</x:v>
      </x:c>
      <x:c r="S647" s="165" t="str">
        <x:v>全般</x:v>
      </x:c>
      <x:c r="T647" s="165"/>
      <x:c r="U647" s="165"/>
      <x:c r="V647" s="165"/>
      <x:c r="W647" s="165" t="str">
        <x:v>比較</x:v>
      </x:c>
      <x:c r="X647" s="171" t="str">
        <x:v>D3</x:v>
      </x:c>
      <x:c r="Y647" s="165" t="str">
        <x:v>オーク代替材について関連要因を主因とみなす; オーク代替材について関連要因を主因とみなす; 新樽と古樽を混同</x:v>
      </x:c>
      <x:c r="Z647" s="171" t="str">
        <x:v>N</x:v>
      </x:c>
      <x:c r="AA647" s="165"/>
      <x:c r="AB647" s="165" t="str">
        <x:v>オリジナル</x:v>
      </x:c>
      <x:c r="AC647" s="165" t="str">
        <x:v>WSET公式Specificationの範囲＋ユーザー作成コーパスの論点を参考に独自作成</x:v>
      </x:c>
      <x:c r="AD647" s="171" t="str">
        <x:v>改稿済み・専門家未承認</x:v>
      </x:c>
      <x:c r="AE647" s="171" t="str">
        <x:v>AI誤答レビュー</x:v>
      </x:c>
      <x:c r="AF647" s="171" t="str">
        <x:v>2026-07-12</x:v>
      </x:c>
      <x:c r="AG647" s="369" t="str">
        <x:v>第5バッチ：使用可能な誤答を維持し、弱い誤答を因果逆転・隣接概念へ置換。正答位置は維持。</x:v>
      </x:c>
    </x:row>
    <x:row r="648" ht="84" customHeight="1">
      <x:c r="A648" s="368" t="str">
        <x:v>LO1-167</x:v>
      </x:c>
      <x:c r="B648" s="171" t="str">
        <x:v>LO1</x:v>
      </x:c>
      <x:c r="C648" s="165" t="str">
        <x:v>ブドウ畑・ワイナリーの自然要因と人的要因</x:v>
      </x:c>
      <x:c r="D648" s="165" t="str">
        <x:v>テクニカル・コルク</x:v>
      </x:c>
      <x:c r="E648" s="165" t="str">
        <x:v>テクニカル・コルクの一般的な利点として最も適切なものはどれか。</x:v>
      </x:c>
      <x:c r="F648" s="165" t="str">
        <x:v>天然コルク由来のTCAリスクを避け、比較的一貫した密閉性を得やすい</x:v>
      </x:c>
      <x:c r="G648" s="165" t="str">
        <x:v>一本のコルク樹皮から打ち抜くため、天然コルクより個体差が大きい</x:v>
      </x:c>
      <x:c r="H648" s="165" t="str">
        <x:v>天然コルク粒を処理・成型し、TCAリスクと酸素透過のばらつきを減らせる</x:v>
      </x:c>
      <x:c r="I648" s="165" t="str">
        <x:v>金属とプラスチックだけで作られ、コルク素材を含まない</x:v>
      </x:c>
      <x:c r="J648" s="171" t="str">
        <x:v>C</x:v>
      </x:c>
      <x:c r="K648" s="165" t="str">
        <x:v>天然コルク粒を処理・成型し、TCAリスクと酸素透過のばらつきを減らせる</x:v>
      </x:c>
      <x:c r="L648" s="165" t="str">
        <x:v>正しい。天然素材の感触を保ちながら、洗浄と製造管理で一貫性を高める。</x:v>
      </x:c>
      <x:c r="M648" s="165" t="str">
        <x:v>誤り。これは同じ知識領域の「合成コルク」に当てはまる説明で、設問の「テクニカル・コルク」を最も適切に説明しない。</x:v>
      </x:c>
      <x:c r="N648" s="165" t="str">
        <x:v>誤り。粒状素材を均質化・処理するため、ばらつきを減らしやすい。</x:v>
      </x:c>
      <x:c r="O648" s="165" t="str">
        <x:v>正しい。天然素材の感触を保ちながら、洗浄と製造管理で一貫性を高める。</x:v>
      </x:c>
      <x:c r="P648" s="165" t="str">
        <x:v>誤り。通常は処理したコルク粒を用いる。</x:v>
      </x:c>
      <x:c r="Q648" s="165" t="str">
        <x:v>包装</x:v>
      </x:c>
      <x:c r="R648" s="165" t="str">
        <x:v>栓</x:v>
      </x:c>
      <x:c r="S648" s="165" t="str">
        <x:v>全般</x:v>
      </x:c>
      <x:c r="T648" s="165"/>
      <x:c r="U648" s="165"/>
      <x:c r="V648" s="165"/>
      <x:c r="W648" s="165" t="str">
        <x:v>比較</x:v>
      </x:c>
      <x:c r="X648" s="171" t="str">
        <x:v>D2</x:v>
      </x:c>
      <x:c r="Y648" s="165" t="str">
        <x:v>テクニカル・コルクを合成コルクの特徴と混同; テクニカルコルクは単一片で個体差が大きい; テクニカルコルクはコルクを含まない</x:v>
      </x:c>
      <x:c r="Z648" s="171" t="str">
        <x:v>Y</x:v>
      </x:c>
      <x:c r="AA648" s="165" t="str">
        <x:v>テクニカル・コルクの性能は製品差があるため一般表現として最終確認推奨</x:v>
      </x:c>
      <x:c r="AB648" s="165" t="str">
        <x:v>オリジナル</x:v>
      </x:c>
      <x:c r="AC648" s="165" t="str">
        <x:v>WSET公式Specificationの範囲＋ユーザー作成コーパスの論点を参考に独自作成</x:v>
      </x:c>
      <x:c r="AD648" s="171" t="str">
        <x:v>改稿済み・専門家未承認</x:v>
      </x:c>
      <x:c r="AE648" s="171" t="str">
        <x:v>AI誤答レビュー</x:v>
      </x:c>
      <x:c r="AF648" s="171" t="str">
        <x:v>2026-07-12</x:v>
      </x:c>
      <x:c r="AG648" s="369" t="str">
        <x:v>第4バッチ：同一論点内の典型的誤概念へ置換。正答位置は維持。</x:v>
      </x:c>
    </x:row>
    <x:row r="649" ht="84" customHeight="1">
      <x:c r="A649" s="368" t="str">
        <x:v>LO1-168</x:v>
      </x:c>
      <x:c r="B649" s="171" t="str">
        <x:v>LO1</x:v>
      </x:c>
      <x:c r="C649" s="165" t="str">
        <x:v>ブドウ畑・ワイナリーの自然要因と人的要因</x:v>
      </x:c>
      <x:c r="D649" s="165" t="str">
        <x:v>スクリューキャップと還元</x:v>
      </x:c>
      <x:c r="E649" s="165" t="str">
        <x:v>酸素透過性の非常に低いスクリューキャップで、還元的な香りが残りやすい場合がある主な理由はどれか。</x:v>
      </x:c>
      <x:c r="F649" s="165" t="str">
        <x:v>金属製キャップが硫黄化合物をワインへ放出するため</x:v>
      </x:c>
      <x:c r="G649" s="165" t="str">
        <x:v>酸素透過が少ないほど発酵が瓶内で再開しやすいため</x:v>
      </x:c>
      <x:c r="H649" s="165" t="str">
        <x:v>酸素が少ないと果実香が酸化し、還元臭へ変化するため</x:v>
      </x:c>
      <x:c r="I649" s="165" t="str">
        <x:v>瓶内へ入る酸素が少なく、硫黄化合物が酸化されにくいため</x:v>
      </x:c>
      <x:c r="J649" s="171" t="str">
        <x:v>D</x:v>
      </x:c>
      <x:c r="K649" s="165" t="str">
        <x:v>瓶内へ入る酸素が少なく、硫黄化合物が酸化されにくいため</x:v>
      </x:c>
      <x:c r="L649" s="165" t="str">
        <x:v>正しい。高い密閉性は果実香を保つ一方、ワインの還元状態が強いと硫黄臭が表れやすい。</x:v>
      </x:c>
      <x:c r="M649" s="165" t="str">
        <x:v>誤り。還元臭は主にワイン中の硫黄化合物と低酸素環境の組み合わせであり、金属栓からの放出が主因ではない。</x:v>
      </x:c>
      <x:c r="N649" s="165" t="str">
        <x:v>誤り。微生物安定性が確保されていれば、低酸素だけで再発酵は起こらない。</x:v>
      </x:c>
      <x:c r="O649" s="165" t="str">
        <x:v>誤り。果実香の酸化と還元的硫黄臭は別の反応である。</x:v>
      </x:c>
      <x:c r="P649" s="165" t="str">
        <x:v>正しい。高い密閉性は果実香を保つ一方、ワインの還元状態が強いと硫黄臭が表れやすい。</x:v>
      </x:c>
      <x:c r="Q649" s="165" t="str">
        <x:v>包装</x:v>
      </x:c>
      <x:c r="R649" s="165" t="str">
        <x:v>栓</x:v>
      </x:c>
      <x:c r="S649" s="165" t="str">
        <x:v>全般</x:v>
      </x:c>
      <x:c r="T649" s="165"/>
      <x:c r="U649" s="165"/>
      <x:c r="V649" s="165"/>
      <x:c r="W649" s="165" t="str">
        <x:v>因果説明</x:v>
      </x:c>
      <x:c r="X649" s="171" t="str">
        <x:v>D3</x:v>
      </x:c>
      <x:c r="Y649" s="165" t="str">
        <x:v>スクリューキャップ自体が硫黄化合物を生成する; 低酸素で瓶内再発酵が起こる; 酸化した果実香が還元臭になる</x:v>
      </x:c>
      <x:c r="Z649" s="171" t="str">
        <x:v>N</x:v>
      </x:c>
      <x:c r="AA649" s="165"/>
      <x:c r="AB649" s="165" t="str">
        <x:v>オリジナル</x:v>
      </x:c>
      <x:c r="AC649" s="165" t="str">
        <x:v>WSET公式Specificationの範囲＋ユーザー作成コーパスの論点を参考に独自作成</x:v>
      </x:c>
      <x:c r="AD649" s="171" t="str">
        <x:v>改稿済み・専門家未承認</x:v>
      </x:c>
      <x:c r="AE649" s="171" t="str">
        <x:v>AI誤答レビュー</x:v>
      </x:c>
      <x:c r="AF649" s="171" t="str">
        <x:v>2026-07-12</x:v>
      </x:c>
      <x:c r="AG649" s="369" t="str">
        <x:v>第4バッチ：同一論点内の典型的誤概念へ置換。正答位置は維持。</x:v>
      </x:c>
    </x:row>
    <x:row r="650" ht="84" customHeight="1">
      <x:c r="A650" s="368" t="str">
        <x:v>LO1-169</x:v>
      </x:c>
      <x:c r="B650" s="171" t="str">
        <x:v>LO1</x:v>
      </x:c>
      <x:c r="C650" s="165" t="str">
        <x:v>ブドウ畑・ワイナリーの自然要因と人的要因</x:v>
      </x:c>
      <x:c r="D650" s="165" t="str">
        <x:v>プラスチック容器</x:v>
      </x:c>
      <x:c r="E650" s="165" t="str">
        <x:v>プラスチック製ワイン容器が長期熟成に向きにくい主な理由はどれか。</x:v>
      </x:c>
      <x:c r="F650" s="165" t="str">
        <x:v>ガラスより酸素透過性が高く、時間とともに酸化や香味変化が進みやすい</x:v>
      </x:c>
      <x:c r="G650" s="165" t="str">
        <x:v>ガラスより重く輸送費が高いため</x:v>
      </x:c>
      <x:c r="H650" s="165" t="str">
        <x:v>プラスチックがタンニンを増やすため</x:v>
      </x:c>
      <x:c r="I650" s="165" t="str">
        <x:v>プラスチックではワインが凍結するため</x:v>
      </x:c>
      <x:c r="J650" s="171" t="str">
        <x:v>A</x:v>
      </x:c>
      <x:c r="K650" s="165" t="str">
        <x:v>ガラスより酸素透過性が高く、時間とともに酸化や香味変化が進みやすい</x:v>
      </x:c>
      <x:c r="L650" s="165" t="str">
        <x:v>正しい。軽量で輸送効率はよいが、通常は早期消費向けに用いられる。</x:v>
      </x:c>
      <x:c r="M650" s="165" t="str">
        <x:v>正しい。軽量で輸送効率はよいが、通常は早期消費向けに用いられる。</x:v>
      </x:c>
      <x:c r="N650" s="165" t="str">
        <x:v>誤り。一般に軽量である。</x:v>
      </x:c>
      <x:c r="O650" s="165" t="str">
        <x:v>誤り。容器がタンニンを生成しない。</x:v>
      </x:c>
      <x:c r="P650" s="165" t="str">
        <x:v>誤り。容器素材だけで凍結しない。</x:v>
      </x:c>
      <x:c r="Q650" s="165" t="str">
        <x:v>包装</x:v>
      </x:c>
      <x:c r="R650" s="165" t="str">
        <x:v>容器</x:v>
      </x:c>
      <x:c r="S650" s="165" t="str">
        <x:v>全般</x:v>
      </x:c>
      <x:c r="T650" s="165"/>
      <x:c r="U650" s="165"/>
      <x:c r="V650" s="165"/>
      <x:c r="W650" s="165" t="str">
        <x:v>比較</x:v>
      </x:c>
      <x:c r="X650" s="171" t="str">
        <x:v>D2</x:v>
      </x:c>
      <x:c r="Y650" s="165" t="str">
        <x:v>プラスチック容器について関連要因を主因とみなす; プラスチック容器について関連要因を主因とみなす; プラスチック容器について関連要因を主因とみなす</x:v>
      </x:c>
      <x:c r="Z650" s="171" t="str">
        <x:v>N</x:v>
      </x:c>
      <x:c r="AA650" s="165"/>
      <x:c r="AB650" s="165" t="str">
        <x:v>オリジナル</x:v>
      </x:c>
      <x:c r="AC650" s="165" t="str">
        <x:v>WSET公式Specificationの範囲＋ユーザー作成コーパスの論点を参考に独自作成</x:v>
      </x:c>
      <x:c r="AD650" s="171" t="str">
        <x:v>改稿済み・専門家未承認</x:v>
      </x:c>
      <x:c r="AE650" s="171" t="str">
        <x:v>AI誤答レビュー</x:v>
      </x:c>
      <x:c r="AF650" s="171" t="str">
        <x:v>2026-07-12</x:v>
      </x:c>
      <x:c r="AG650" s="369" t="str">
        <x:v>第5バッチ：使用可能な誤答を維持し、弱い誤答を因果逆転・隣接概念へ置換。正答位置は維持。</x:v>
      </x:c>
    </x:row>
    <x:row r="651" ht="84" customHeight="1">
      <x:c r="A651" s="368" t="str">
        <x:v>LO1-170</x:v>
      </x:c>
      <x:c r="B651" s="171" t="str">
        <x:v>LO1</x:v>
      </x:c>
      <x:c r="C651" s="165" t="str">
        <x:v>ブドウ畑・ワイナリーの自然要因と人的要因</x:v>
      </x:c>
      <x:c r="D651" s="165" t="str">
        <x:v>濃色瓶</x:v>
      </x:c>
      <x:c r="E651" s="165" t="str">
        <x:v>白ワインや発泡性ワインを濃色ガラス瓶へ詰める利点はどれか。</x:v>
      </x:c>
      <x:c r="F651" s="165" t="str">
        <x:v>濃色ガラスが瓶内温度を一定に保つため</x:v>
      </x:c>
      <x:c r="G651" s="165" t="str">
        <x:v>紫外線と可視光を遮り、光による香味劣化を抑える</x:v>
      </x:c>
      <x:c r="H651" s="165" t="str">
        <x:v>濃色ガラスが酸素透過を大幅に低下させるため</x:v>
      </x:c>
      <x:c r="I651" s="165" t="str">
        <x:v>濃色ガラスがワイン中の亜硫酸を増加させるため</x:v>
      </x:c>
      <x:c r="J651" s="171" t="str">
        <x:v>B</x:v>
      </x:c>
      <x:c r="K651" s="165" t="str">
        <x:v>紫外線と可視光を遮り、光による香味劣化を抑える</x:v>
      </x:c>
      <x:c r="L651" s="165" t="str">
        <x:v>正しい。光に敏感な化合物を保護し、硫黄系の不快臭や色の変化を防ぎやすい。</x:v>
      </x:c>
      <x:c r="M651" s="165" t="str">
        <x:v>誤り。瓶色だけでは温度を安定させられず、保管環境が必要である。</x:v>
      </x:c>
      <x:c r="N651" s="165" t="str">
        <x:v>正しい。光に敏感な化合物を保護し、硫黄系の不快臭や色の変化を防ぎやすい。</x:v>
      </x:c>
      <x:c r="O651" s="165" t="str">
        <x:v>誤り。光保護が主な利点で、栓を通じた酸素透過を瓶色が決めるわけではない。</x:v>
      </x:c>
      <x:c r="P651" s="165" t="str">
        <x:v>誤り。ガラス色が亜硫酸量を増やすことはない。</x:v>
      </x:c>
      <x:c r="Q651" s="165" t="str">
        <x:v>包装</x:v>
      </x:c>
      <x:c r="R651" s="165" t="str">
        <x:v>ガラス瓶</x:v>
      </x:c>
      <x:c r="S651" s="165" t="str">
        <x:v>全般</x:v>
      </x:c>
      <x:c r="T651" s="165"/>
      <x:c r="U651" s="165"/>
      <x:c r="V651" s="165"/>
      <x:c r="W651" s="165" t="str">
        <x:v>因果説明</x:v>
      </x:c>
      <x:c r="X651" s="171" t="str">
        <x:v>D2</x:v>
      </x:c>
      <x:c r="Y651" s="165" t="str">
        <x:v>濃色瓶は温度調整を行う; 瓶色が酸素透過を決める; 濃色瓶が亜硫酸を生成する</x:v>
      </x:c>
      <x:c r="Z651" s="171" t="str">
        <x:v>N</x:v>
      </x:c>
      <x:c r="AA651" s="165"/>
      <x:c r="AB651" s="165" t="str">
        <x:v>オリジナル</x:v>
      </x:c>
      <x:c r="AC651" s="165" t="str">
        <x:v>WSET公式Specificationの範囲＋ユーザー作成コーパスの論点を参考に独自作成</x:v>
      </x:c>
      <x:c r="AD651" s="171" t="str">
        <x:v>改稿済み・専門家未承認</x:v>
      </x:c>
      <x:c r="AE651" s="171" t="str">
        <x:v>AI誤答レビュー</x:v>
      </x:c>
      <x:c r="AF651" s="171" t="str">
        <x:v>2026-07-12</x:v>
      </x:c>
      <x:c r="AG651" s="369" t="str">
        <x:v>第4バッチ：同一論点内の典型的誤概念へ置換。正答位置は維持。</x:v>
      </x:c>
    </x:row>
    <x:row r="652" ht="84" customHeight="1">
      <x:c r="A652" s="368" t="str">
        <x:v>LO1-171</x:v>
      </x:c>
      <x:c r="B652" s="171" t="str">
        <x:v>LO1</x:v>
      </x:c>
      <x:c r="C652" s="165" t="str">
        <x:v>ブドウ畑・ワイナリーの自然要因と人的要因</x:v>
      </x:c>
      <x:c r="D652" s="165" t="str">
        <x:v>品種ブレンド</x:v>
      </x:c>
      <x:c r="E652" s="165" t="str">
        <x:v>異なる品種をブレンドする主な目的として最も適切なものはどれか。</x:v>
      </x:c>
      <x:c r="F652" s="165" t="str">
        <x:v>ヴィンテージ差をならし、熟成香と若い果実味を組み合わせる</x:v>
      </x:c>
      <x:c r="G652" s="165" t="str">
        <x:v>異なる品種を混ぜることで、品種間の収穫時期をそろえられる</x:v>
      </x:c>
      <x:c r="H652" s="165" t="str">
        <x:v>酸、タンニン、色、香り、アルコールの不足を相互に補う</x:v>
      </x:c>
      <x:c r="I652" s="165" t="str">
        <x:v>品種数を増やすほど、品質と熟成能力が高くなる</x:v>
      </x:c>
      <x:c r="J652" s="171" t="str">
        <x:v>C</x:v>
      </x:c>
      <x:c r="K652" s="165" t="str">
        <x:v>酸、タンニン、色、香り、アルコールの不足を相互に補う</x:v>
      </x:c>
      <x:c r="L652" s="165" t="str">
        <x:v>正しい。異なる品種の長所を組み合わせ、目的のスタイルとバランスを作る。</x:v>
      </x:c>
      <x:c r="M652" s="165" t="str">
        <x:v>誤り。これは同じ知識領域の「収穫年ブレンド」に当てはまる説明で、設問の「品種ブレンド」を最も適切に説明しない。</x:v>
      </x:c>
      <x:c r="N652" s="165" t="str">
        <x:v>誤り。ブレンド後も各品種の収穫時期は変わらない。</x:v>
      </x:c>
      <x:c r="O652" s="165" t="str">
        <x:v>正しい。異なる品種の長所を組み合わせ、目的のスタイルとバランスを作る。</x:v>
      </x:c>
      <x:c r="P652" s="165" t="str">
        <x:v>誤り。品種数ではなく、各ロットの品質とバランスが重要である。</x:v>
      </x:c>
      <x:c r="Q652" s="165" t="str">
        <x:v>ブレンド</x:v>
      </x:c>
      <x:c r="R652" s="165" t="str">
        <x:v>品種ブレンド</x:v>
      </x:c>
      <x:c r="S652" s="165" t="str">
        <x:v>全般</x:v>
      </x:c>
      <x:c r="T652" s="165"/>
      <x:c r="U652" s="165"/>
      <x:c r="V652" s="165"/>
      <x:c r="W652" s="165" t="str">
        <x:v>統合判断</x:v>
      </x:c>
      <x:c r="X652" s="171" t="str">
        <x:v>D2</x:v>
      </x:c>
      <x:c r="Y652" s="165" t="str">
        <x:v>品種ブレンドを収穫年ブレンドの特徴と混同; ブレンドで収穫時期が同一になる; 品種数が多いほど高品質</x:v>
      </x:c>
      <x:c r="Z652" s="171" t="str">
        <x:v>N</x:v>
      </x:c>
      <x:c r="AA652" s="165"/>
      <x:c r="AB652" s="165" t="str">
        <x:v>オリジナル</x:v>
      </x:c>
      <x:c r="AC652" s="165" t="str">
        <x:v>WSET公式Specificationの範囲＋ユーザー作成コーパスの論点を参考に独自作成</x:v>
      </x:c>
      <x:c r="AD652" s="171" t="str">
        <x:v>改稿済み・専門家未承認</x:v>
      </x:c>
      <x:c r="AE652" s="171" t="str">
        <x:v>AI誤答レビュー</x:v>
      </x:c>
      <x:c r="AF652" s="171" t="str">
        <x:v>2026-07-12</x:v>
      </x:c>
      <x:c r="AG652" s="369" t="str">
        <x:v>第4バッチ：同一論点内の典型的誤概念へ置換。正答位置は維持。</x:v>
      </x:c>
    </x:row>
    <x:row r="653" ht="84" customHeight="1">
      <x:c r="A653" s="368" t="str">
        <x:v>LO1-172</x:v>
      </x:c>
      <x:c r="B653" s="171" t="str">
        <x:v>LO1</x:v>
      </x:c>
      <x:c r="C653" s="165" t="str">
        <x:v>ブドウ畑・ワイナリーの自然要因と人的要因</x:v>
      </x:c>
      <x:c r="D653" s="165" t="str">
        <x:v>区画ブレンド</x:v>
      </x:c>
      <x:c r="E653" s="165" t="str">
        <x:v>同じ品種でも複数区画のワインをブレンドする利点はどれか。</x:v>
      </x:c>
      <x:c r="F653" s="165" t="str">
        <x:v>複数区画の成熟度と香味を均一化できる</x:v>
      </x:c>
      <x:c r="G653" s="165" t="str">
        <x:v>収量の高い区画を加えるほど、凝縮度と品質が高くなる</x:v>
      </x:c>
      <x:c r="H653" s="165" t="str">
        <x:v>異なる区画を混ぜると単一畑表示より熟成能力が高くなる</x:v>
      </x:c>
      <x:c r="I653" s="165" t="str">
        <x:v>土壌、方角、標高、成熟度の違いを組み合わせ、複雑性とバランスを高める</x:v>
      </x:c>
      <x:c r="J653" s="171" t="str">
        <x:v>D</x:v>
      </x:c>
      <x:c r="K653" s="165" t="str">
        <x:v>土壌、方角、標高、成熟度の違いを組み合わせ、複雑性とバランスを高める</x:v>
      </x:c>
      <x:c r="L653" s="165" t="str">
        <x:v>正しい。冷涼区画の酸と温暖区画の熟した果実味など、区画ごとの長所を統合できる。</x:v>
      </x:c>
      <x:c r="M653" s="165" t="str">
        <x:v>誤り。ブレンド後の均衡は作れるが、区画自体の成熟度や香味が同一になるわけではない。</x:v>
      </x:c>
      <x:c r="N653" s="165" t="str">
        <x:v>誤り。高収量区画は濃度を下げる可能性があり、比率と品質評価が必要である。</x:v>
      </x:c>
      <x:c r="O653" s="165" t="str">
        <x:v>誤り。熟成能力は酸、濃度、タンニン等によるもので、区画数だけでは決まらない。</x:v>
      </x:c>
      <x:c r="P653" s="165" t="str">
        <x:v>正しい。冷涼区画の酸と温暖区画の熟した果実味など、区画ごとの長所を統合できる。</x:v>
      </x:c>
      <x:c r="Q653" s="165" t="str">
        <x:v>ブレンド</x:v>
      </x:c>
      <x:c r="R653" s="165" t="str">
        <x:v>区画ブレンド</x:v>
      </x:c>
      <x:c r="S653" s="165" t="str">
        <x:v>全般</x:v>
      </x:c>
      <x:c r="T653" s="165"/>
      <x:c r="U653" s="165"/>
      <x:c r="V653" s="165"/>
      <x:c r="W653" s="165" t="str">
        <x:v>統合判断</x:v>
      </x:c>
      <x:c r="X653" s="171" t="str">
        <x:v>D3</x:v>
      </x:c>
      <x:c r="Y653" s="165" t="str">
        <x:v>区画ブレンドで原酒差が消える; 高収量区画ほど品質を高める; ブレンド区画数が熟成能力を決める</x:v>
      </x:c>
      <x:c r="Z653" s="171" t="str">
        <x:v>N</x:v>
      </x:c>
      <x:c r="AA653" s="165"/>
      <x:c r="AB653" s="165" t="str">
        <x:v>オリジナル</x:v>
      </x:c>
      <x:c r="AC653" s="165" t="str">
        <x:v>WSET公式Specificationの範囲＋ユーザー作成コーパスの論点を参考に独自作成</x:v>
      </x:c>
      <x:c r="AD653" s="171" t="str">
        <x:v>改稿済み・専門家未承認</x:v>
      </x:c>
      <x:c r="AE653" s="171" t="str">
        <x:v>AI誤答レビュー</x:v>
      </x:c>
      <x:c r="AF653" s="171" t="str">
        <x:v>2026-07-12</x:v>
      </x:c>
      <x:c r="AG653" s="369" t="str">
        <x:v>第4バッチ：同一論点内の典型的誤概念へ置換。正答位置は維持。</x:v>
      </x:c>
    </x:row>
    <x:row r="654" ht="84" customHeight="1">
      <x:c r="A654" s="368" t="str">
        <x:v>LO1-173</x:v>
      </x:c>
      <x:c r="B654" s="171" t="str">
        <x:v>LO1</x:v>
      </x:c>
      <x:c r="C654" s="165" t="str">
        <x:v>ブドウ畑・ワイナリーの自然要因と人的要因</x:v>
      </x:c>
      <x:c r="D654" s="165" t="str">
        <x:v>収穫年ブレンド</x:v>
      </x:c>
      <x:c r="E654" s="165" t="str">
        <x:v>異なる収穫年のワインをブレンドする主な目的はどれか。</x:v>
      </x:c>
      <x:c r="F654" s="165" t="str">
        <x:v>ヴィンテージ差をならし、熟成香と若い果実味を組み合わせる</x:v>
      </x:c>
      <x:c r="G654" s="165" t="str">
        <x:v>多くのワインで法律上必須である</x:v>
      </x:c>
      <x:c r="H654" s="165" t="str">
        <x:v>糖をアルコールへ変換する</x:v>
      </x:c>
      <x:c r="I654" s="165" t="str">
        <x:v>単一ヴィンテージの個性を最大化する</x:v>
      </x:c>
      <x:c r="J654" s="171" t="str">
        <x:v>A</x:v>
      </x:c>
      <x:c r="K654" s="165" t="str">
        <x:v>ヴィンテージ差をならし、熟成香と若い果実味を組み合わせる</x:v>
      </x:c>
      <x:c r="L654" s="165" t="str">
        <x:v>正しい。複数年を用いることで、毎年一貫したスタイルを維持しやすい。</x:v>
      </x:c>
      <x:c r="M654" s="165" t="str">
        <x:v>正しい。複数年を用いることで、毎年一貫したスタイルを維持しやすい。</x:v>
      </x:c>
      <x:c r="N654" s="165" t="str">
        <x:v>誤り。単一年表示のワインも多い。</x:v>
      </x:c>
      <x:c r="O654" s="165" t="str">
        <x:v>誤り。ブレンドは発酵ではない。</x:v>
      </x:c>
      <x:c r="P654" s="165" t="str">
        <x:v>誤り。複数年ブレンドは年の個性を平準化する。</x:v>
      </x:c>
      <x:c r="Q654" s="165" t="str">
        <x:v>ブレンド</x:v>
      </x:c>
      <x:c r="R654" s="165" t="str">
        <x:v>ヴィンテージブレンド</x:v>
      </x:c>
      <x:c r="S654" s="165" t="str">
        <x:v>全般</x:v>
      </x:c>
      <x:c r="T654" s="165"/>
      <x:c r="U654" s="165"/>
      <x:c r="V654" s="165"/>
      <x:c r="W654" s="165" t="str">
        <x:v>因果説明</x:v>
      </x:c>
      <x:c r="X654" s="171" t="str">
        <x:v>D2</x:v>
      </x:c>
      <x:c r="Y654" s="165" t="str">
        <x:v>収穫年ブレンドについて関連要因を主因とみなす; 収穫年ブレンドについて関連要因を主因とみなす; 収穫年ブレンドについて関連要因を主因とみなす</x:v>
      </x:c>
      <x:c r="Z654" s="171" t="str">
        <x:v>N</x:v>
      </x:c>
      <x:c r="AA654" s="165"/>
      <x:c r="AB654" s="165" t="str">
        <x:v>オリジナル</x:v>
      </x:c>
      <x:c r="AC654" s="165" t="str">
        <x:v>WSET公式Specificationの範囲＋ユーザー作成コーパスの論点を参考に独自作成</x:v>
      </x:c>
      <x:c r="AD654" s="171" t="str">
        <x:v>改稿済み・専門家未承認</x:v>
      </x:c>
      <x:c r="AE654" s="171" t="str">
        <x:v>AI誤答レビュー</x:v>
      </x:c>
      <x:c r="AF654" s="171" t="str">
        <x:v>2026-07-12</x:v>
      </x:c>
      <x:c r="AG654" s="369" t="str">
        <x:v>第5バッチ：使用可能な誤答を維持し、弱い誤答を因果逆転・隣接概念へ置換。正答位置は維持。</x:v>
      </x:c>
    </x:row>
    <x:row r="655" ht="84" customHeight="1">
      <x:c r="A655" s="368" t="str">
        <x:v>LO1-174</x:v>
      </x:c>
      <x:c r="B655" s="171" t="str">
        <x:v>LO1</x:v>
      </x:c>
      <x:c r="C655" s="165" t="str">
        <x:v>ブドウ畑・ワイナリーの自然要因と人的要因</x:v>
      </x:c>
      <x:c r="D655" s="165" t="str">
        <x:v>一貫性のためのブレンド</x:v>
      </x:c>
      <x:c r="E655" s="165" t="str">
        <x:v>大量生産ブランドが多数のロットをブレンドする主な商業的理由はどれか。</x:v>
      </x:c>
      <x:c r="F655" s="165" t="str">
        <x:v>毎ボトルの味を意図的に異ならせる</x:v>
      </x:c>
      <x:c r="G655" s="165" t="str">
        <x:v>消費者が期待する味を大量かつ毎年安定して供給するため</x:v>
      </x:c>
      <x:c r="H655" s="165" t="str">
        <x:v>品質検査を不要にする</x:v>
      </x:c>
      <x:c r="I655" s="165" t="str">
        <x:v>輸送中にワインを発酵させる</x:v>
      </x:c>
      <x:c r="J655" s="171" t="str">
        <x:v>B</x:v>
      </x:c>
      <x:c r="K655" s="165" t="str">
        <x:v>消費者が期待する味を大量かつ毎年安定して供給するため</x:v>
      </x:c>
      <x:c r="L655" s="165" t="str">
        <x:v>正しい。地域、品種、発酵槽の差を調整し、品質基準を満たす均一な製品にする。</x:v>
      </x:c>
      <x:c r="M655" s="165" t="str">
        <x:v>誤り。ブランドでは一貫性が重視される。</x:v>
      </x:c>
      <x:c r="N655" s="165" t="str">
        <x:v>正しい。地域、品種、発酵槽の差を調整し、品質基準を満たす均一な製品にする。</x:v>
      </x:c>
      <x:c r="O655" s="165" t="str">
        <x:v>誤り。多数ロットの分析と試飲が必要である。</x:v>
      </x:c>
      <x:c r="P655" s="165" t="str">
        <x:v>誤り。ブレンド目的ではない。</x:v>
      </x:c>
      <x:c r="Q655" s="165" t="str">
        <x:v>商業・価格</x:v>
      </x:c>
      <x:c r="R655" s="165" t="str">
        <x:v>ブレンド</x:v>
      </x:c>
      <x:c r="S655" s="165" t="str">
        <x:v>全般</x:v>
      </x:c>
      <x:c r="T655" s="165"/>
      <x:c r="U655" s="165"/>
      <x:c r="V655" s="165"/>
      <x:c r="W655" s="165" t="str">
        <x:v>統合判断</x:v>
      </x:c>
      <x:c r="X655" s="171" t="str">
        <x:v>D2</x:v>
      </x:c>
      <x:c r="Y655" s="165" t="str">
        <x:v>一貫性のためのブレンドに関する別の特徴・要因と混同; 一貫性のためのブレンドに関する別の特徴・要因と混同; 一貫性のためのブレンドに関する別の特徴・要因と混同</x:v>
      </x:c>
      <x:c r="Z655" s="171" t="str">
        <x:v>N</x:v>
      </x:c>
      <x:c r="AA655" s="165"/>
      <x:c r="AB655" s="165" t="str">
        <x:v>オリジナル</x:v>
      </x:c>
      <x:c r="AC655" s="165" t="str">
        <x:v>WSET公式Specificationの範囲＋ユーザー作成コーパスの論点を参考に独自作成</x:v>
      </x:c>
      <x:c r="AD655" s="171" t="str">
        <x:v>改稿済み・専門家未承認</x:v>
      </x:c>
      <x:c r="AE655" s="171" t="str">
        <x:v>AI誤答レビュー</x:v>
      </x:c>
      <x:c r="AF655" s="171" t="str">
        <x:v>2026-07-12</x:v>
      </x:c>
      <x:c r="AG655" s="369" t="str">
        <x:v>最終バッチ：有効な誤答を維持し、絶対語・物理的不可能な誤答のみ置換。正答位置は維持。</x:v>
      </x:c>
    </x:row>
    <x:row r="656" ht="84" customHeight="1">
      <x:c r="A656" s="368" t="str">
        <x:v>LO1-175</x:v>
      </x:c>
      <x:c r="B656" s="171" t="str">
        <x:v>LO1</x:v>
      </x:c>
      <x:c r="C656" s="165" t="str">
        <x:v>ブドウ畑・ワイナリーの自然要因と人的要因</x:v>
      </x:c>
      <x:c r="D656" s="165" t="str">
        <x:v>瓶熟成香</x:v>
      </x:c>
      <x:c r="E656" s="165" t="str">
        <x:v>瓶熟成によって若い果実香から発達しやすい第三アロマの組み合わせはどれか。</x:v>
      </x:c>
      <x:c r="F656" s="165" t="str">
        <x:v>新鮮な草と未熟な青ピーマンだけ</x:v>
      </x:c>
      <x:c r="G656" s="165" t="str">
        <x:v>発酵前のブドウ糖の香りだけ</x:v>
      </x:c>
      <x:c r="H656" s="165" t="str">
        <x:v>ドライフルーツ、革、土、蜂蜜、ナッツ</x:v>
      </x:c>
      <x:c r="I656" s="165" t="str">
        <x:v>強い炭酸ガスの香り</x:v>
      </x:c>
      <x:c r="J656" s="171" t="str">
        <x:v>C</x:v>
      </x:c>
      <x:c r="K656" s="165" t="str">
        <x:v>ドライフルーツ、革、土、蜂蜜、ナッツ</x:v>
      </x:c>
      <x:c r="L656" s="165" t="str">
        <x:v>正しい。酸素の少ない環境で香気成分が変化し、品種とワインタイプに応じた熟成香が生まれる。</x:v>
      </x:c>
      <x:c r="M656" s="165" t="str">
        <x:v>誤り。これらは主に一次香や未熟香である。</x:v>
      </x:c>
      <x:c r="N656" s="165" t="str">
        <x:v>誤り。糖そのものは主要な香気ではない。</x:v>
      </x:c>
      <x:c r="O656" s="165" t="str">
        <x:v>正しい。酸素の少ない環境で香気成分が変化し、品種とワインタイプに応じた熟成香が生まれる。</x:v>
      </x:c>
      <x:c r="P656" s="165" t="str">
        <x:v>誤り。第三アロマではない。</x:v>
      </x:c>
      <x:c r="Q656" s="165" t="str">
        <x:v>熟成</x:v>
      </x:c>
      <x:c r="R656" s="165" t="str">
        <x:v>瓶熟成</x:v>
      </x:c>
      <x:c r="S656" s="165" t="str">
        <x:v>全般</x:v>
      </x:c>
      <x:c r="T656" s="165"/>
      <x:c r="U656" s="165"/>
      <x:c r="V656" s="165"/>
      <x:c r="W656" s="165" t="str">
        <x:v>知識確認</x:v>
      </x:c>
      <x:c r="X656" s="171" t="str">
        <x:v>D1</x:v>
      </x:c>
      <x:c r="Y656" s="165" t="str">
        <x:v>瓶熟成香に関する別の特徴・要因と混同; 瓶熟成香に関する別の特徴・要因と混同; 瓶熟成香に関する別の特徴・要因と混同</x:v>
      </x:c>
      <x:c r="Z656" s="171" t="str">
        <x:v>N</x:v>
      </x:c>
      <x:c r="AA656" s="165"/>
      <x:c r="AB656" s="165" t="str">
        <x:v>オリジナル</x:v>
      </x:c>
      <x:c r="AC656" s="165" t="str">
        <x:v>WSET公式Specificationの範囲＋ユーザー作成コーパスの論点を参考に独自作成</x:v>
      </x:c>
      <x:c r="AD656" s="171" t="str">
        <x:v>改稿済み・専門家未承認</x:v>
      </x:c>
      <x:c r="AE656" s="171" t="str">
        <x:v>AI誤答レビュー</x:v>
      </x:c>
      <x:c r="AF656" s="171" t="str">
        <x:v>2026-07-12</x:v>
      </x:c>
      <x:c r="AG656" s="369" t="str">
        <x:v>最終バッチ：有効な誤答を維持し、絶対語・物理的不可能な誤答のみ置換。正答位置は維持。</x:v>
      </x:c>
    </x:row>
    <x:row r="657" ht="84" customHeight="1">
      <x:c r="A657" s="368" t="str">
        <x:v>LO1-176</x:v>
      </x:c>
      <x:c r="B657" s="171" t="str">
        <x:v>LO1</x:v>
      </x:c>
      <x:c r="C657" s="165" t="str">
        <x:v>ブドウ畑・ワイナリーの自然要因と人的要因</x:v>
      </x:c>
      <x:c r="D657" s="165" t="str">
        <x:v>色素とタンニン</x:v>
      </x:c>
      <x:c r="E657" s="165" t="str">
        <x:v>赤ワイン熟成中に色素とタンニンが結合する主な効果はどれか。</x:v>
      </x:c>
      <x:c r="F657" s="165" t="str">
        <x:v>重合が進むとタンニンは小さくなり、収れん性が強まる</x:v>
      </x:c>
      <x:c r="G657" s="165" t="str">
        <x:v>色素が小さな分子へ分解し、紫色と渋味が強くなる</x:v>
      </x:c>
      <x:c r="H657" s="165" t="str">
        <x:v>タンニンが糖へ変化し、赤ワインに甘味を与える</x:v>
      </x:c>
      <x:c r="I657" s="165" t="str">
        <x:v>色を安定させ、タンニンの収れん性を穏やかにする</x:v>
      </x:c>
      <x:c r="J657" s="171" t="str">
        <x:v>D</x:v>
      </x:c>
      <x:c r="K657" s="165" t="str">
        <x:v>色を安定させ、タンニンの収れん性を穏やかにする</x:v>
      </x:c>
      <x:c r="L657" s="165" t="str">
        <x:v>正しい。色素とタンニンが重合し、口当たりが柔らかくなり、やがて一部は澱として沈殿する。</x:v>
      </x:c>
      <x:c r="M657" s="165" t="str">
        <x:v>誤り。色素とタンニンはより大きな分子へ重合し、口当たりが穏やかになる。</x:v>
      </x:c>
      <x:c r="N657" s="165" t="str">
        <x:v>誤り。熟成では重合・沈殿が進み、紫色と粗い渋味は弱まる。</x:v>
      </x:c>
      <x:c r="O657" s="165" t="str">
        <x:v>誤り。タンニンは糖へ変化しない。</x:v>
      </x:c>
      <x:c r="P657" s="165" t="str">
        <x:v>正しい。色素とタンニンが重合し、口当たりが柔らかくなり、やがて一部は澱として沈殿する。</x:v>
      </x:c>
      <x:c r="Q657" s="165" t="str">
        <x:v>熟成</x:v>
      </x:c>
      <x:c r="R657" s="165" t="str">
        <x:v>赤ワイン構造</x:v>
      </x:c>
      <x:c r="S657" s="165" t="str">
        <x:v>赤ワイン</x:v>
      </x:c>
      <x:c r="T657" s="165"/>
      <x:c r="U657" s="165"/>
      <x:c r="V657" s="165"/>
      <x:c r="W657" s="165" t="str">
        <x:v>因果説明</x:v>
      </x:c>
      <x:c r="X657" s="171" t="str">
        <x:v>D3</x:v>
      </x:c>
      <x:c r="Y657" s="165" t="str">
        <x:v>重合でタンニンが小さく粗くなる; 熟成で色素が小分子化・渋味増加; タンニンが糖へ変化</x:v>
      </x:c>
      <x:c r="Z657" s="171" t="str">
        <x:v>N</x:v>
      </x:c>
      <x:c r="AA657" s="165"/>
      <x:c r="AB657" s="165" t="str">
        <x:v>オリジナル</x:v>
      </x:c>
      <x:c r="AC657" s="165" t="str">
        <x:v>WSET公式Specificationの範囲＋ユーザー作成コーパスの論点を参考に独自作成</x:v>
      </x:c>
      <x:c r="AD657" s="171" t="str">
        <x:v>改稿済み・専門家未承認</x:v>
      </x:c>
      <x:c r="AE657" s="171" t="str">
        <x:v>AI誤答レビュー</x:v>
      </x:c>
      <x:c r="AF657" s="171" t="str">
        <x:v>2026-07-12</x:v>
      </x:c>
      <x:c r="AG657" s="369" t="str">
        <x:v>第4バッチ：同一論点内の典型的誤概念へ置換。正答位置は維持。</x:v>
      </x:c>
    </x:row>
    <x:row r="658" ht="84" customHeight="1">
      <x:c r="A658" s="368" t="str">
        <x:v>LO1-177</x:v>
      </x:c>
      <x:c r="B658" s="171" t="str">
        <x:v>LO1</x:v>
      </x:c>
      <x:c r="C658" s="165" t="str">
        <x:v>ブドウ畑・ワイナリーの自然要因と人的要因</x:v>
      </x:c>
      <x:c r="D658" s="165" t="str">
        <x:v>MLCの時期</x:v>
      </x:c>
      <x:c r="E658" s="165" t="str">
        <x:v>アルコール発酵と同時期にマロラクティック・コンバージョンを進める潜在的な利点はどれか。</x:v>
      </x:c>
      <x:c r="F658" s="165" t="str">
        <x:v>温度と酵母栄養が豊富な時期に乳酸菌が働き、醸造期間を短縮できる</x:v>
      </x:c>
      <x:c r="G658" s="165" t="str">
        <x:v>果皮から色を抽出しなくなる</x:v>
      </x:c>
      <x:c r="H658" s="165" t="str">
        <x:v>二次発酵の圧力を高める</x:v>
      </x:c>
      <x:c r="I658" s="165" t="str">
        <x:v>ワインの酸をゼロにする</x:v>
      </x:c>
      <x:c r="J658" s="171" t="str">
        <x:v>A</x:v>
      </x:c>
      <x:c r="K658" s="165" t="str">
        <x:v>温度と酵母栄養が豊富な時期に乳酸菌が働き、醸造期間を短縮できる</x:v>
      </x:c>
      <x:c r="L658" s="165" t="str">
        <x:v>正しい。早期に酸を安定化できる一方、香味や微生物相の管理が必要である。</x:v>
      </x:c>
      <x:c r="M658" s="165" t="str">
        <x:v>正しい。早期に酸を安定化できる一方、香味や微生物相の管理が必要である。</x:v>
      </x:c>
      <x:c r="N658" s="165" t="str">
        <x:v>誤り。MLCと色抽出は別の工程である。</x:v>
      </x:c>
      <x:c r="O658" s="165" t="str">
        <x:v>誤り。非発泡性ワインでは圧力が目的ではない。</x:v>
      </x:c>
      <x:c r="P658" s="165" t="str">
        <x:v>誤り。リンゴ酸を乳酸へ変えるが、酒石酸などは残る。</x:v>
      </x:c>
      <x:c r="Q658" s="165" t="str">
        <x:v>醸造</x:v>
      </x:c>
      <x:c r="R658" s="165" t="str">
        <x:v>マロラクティック・コンバージョン</x:v>
      </x:c>
      <x:c r="S658" s="165" t="str">
        <x:v>全般</x:v>
      </x:c>
      <x:c r="T658" s="165"/>
      <x:c r="U658" s="165"/>
      <x:c r="V658" s="165"/>
      <x:c r="W658" s="165" t="str">
        <x:v>比較</x:v>
      </x:c>
      <x:c r="X658" s="171" t="str">
        <x:v>D3</x:v>
      </x:c>
      <x:c r="Y658" s="165" t="str">
        <x:v>MLCの時期について関連要因を主因とみなす; MLCの時期について関連要因を主因とみなす; MLCの時期について関連要因を主因とみなす</x:v>
      </x:c>
      <x:c r="Z658" s="171" t="str">
        <x:v>N</x:v>
      </x:c>
      <x:c r="AA658" s="165"/>
      <x:c r="AB658" s="165" t="str">
        <x:v>オリジナル</x:v>
      </x:c>
      <x:c r="AC658" s="165" t="str">
        <x:v>WSET公式Specificationの範囲＋ユーザー作成コーパスの論点を参考に独自作成</x:v>
      </x:c>
      <x:c r="AD658" s="171" t="str">
        <x:v>改稿済み・専門家未承認</x:v>
      </x:c>
      <x:c r="AE658" s="171" t="str">
        <x:v>AI誤答レビュー</x:v>
      </x:c>
      <x:c r="AF658" s="171" t="str">
        <x:v>2026-07-12</x:v>
      </x:c>
      <x:c r="AG658" s="369" t="str">
        <x:v>第5バッチ：使用可能な誤答を維持し、弱い誤答を因果逆転・隣接概念へ置換。正答位置は維持。</x:v>
      </x:c>
    </x:row>
    <x:row r="659" ht="84" customHeight="1">
      <x:c r="A659" s="368" t="str">
        <x:v>LO1-178</x:v>
      </x:c>
      <x:c r="B659" s="171" t="str">
        <x:v>LO1</x:v>
      </x:c>
      <x:c r="C659" s="165" t="str">
        <x:v>ブドウ畑・ワイナリーの自然要因と人的要因</x:v>
      </x:c>
      <x:c r="D659" s="165" t="str">
        <x:v>培養酵母</x:v>
      </x:c>
      <x:c r="E659" s="165" t="str">
        <x:v>培養酵母を接種する主な利点はどれか。</x:v>
      </x:c>
      <x:c r="F659" s="165" t="str">
        <x:v>毎回大きく異なる結果を得る</x:v>
      </x:c>
      <x:c r="G659" s="165" t="str">
        <x:v>発酵速度、耐アルコール性、香味の結果を予測しやすい</x:v>
      </x:c>
      <x:c r="H659" s="165" t="str">
        <x:v>糖を発酵せずに残すことが主に目的</x:v>
      </x:c>
      <x:c r="I659" s="165" t="str">
        <x:v>野生酵母の多様性を保ちながら、発酵結果だけを毎年同じにできる</x:v>
      </x:c>
      <x:c r="J659" s="171" t="str">
        <x:v>B</x:v>
      </x:c>
      <x:c r="K659" s="165" t="str">
        <x:v>発酵速度、耐アルコール性、香味の結果を予測しやすい</x:v>
      </x:c>
      <x:c r="L659" s="165" t="str">
        <x:v>正しい。選択された酵母を十分な数で加えることで、望ましくない微生物より優勢になり、発酵停止リスクを下げる。</x:v>
      </x:c>
      <x:c r="M659" s="165" t="str">
        <x:v>誤り。一貫性を高めることが利点である。</x:v>
      </x:c>
      <x:c r="N659" s="165" t="str">
        <x:v>正しい。選択された酵母を十分な数で加えることで、望ましくない微生物より優勢になり、発酵停止リスクを下げる。</x:v>
      </x:c>
      <x:c r="O659" s="165" t="str">
        <x:v>誤り。多くの場合、健全な発酵完了が目的である。</x:v>
      </x:c>
      <x:c r="P659" s="165" t="str">
        <x:v>誤り。培養酵母は再現性を高めるが、野生酵母の多様性をそのまま維持する目的ではない。</x:v>
      </x:c>
      <x:c r="Q659" s="165" t="str">
        <x:v>醸造</x:v>
      </x:c>
      <x:c r="R659" s="165" t="str">
        <x:v>酵母</x:v>
      </x:c>
      <x:c r="S659" s="165" t="str">
        <x:v>全般</x:v>
      </x:c>
      <x:c r="T659" s="165"/>
      <x:c r="U659" s="165"/>
      <x:c r="V659" s="165"/>
      <x:c r="W659" s="165" t="str">
        <x:v>比較</x:v>
      </x:c>
      <x:c r="X659" s="171" t="str">
        <x:v>D2</x:v>
      </x:c>
      <x:c r="Y659" s="165" t="str">
        <x:v>培養酵母について関連要因を主因とみなす; 培養酵母について関連要因を主因とみなす; 培養酵母で野生酵母多様性と完全な再現性を両立</x:v>
      </x:c>
      <x:c r="Z659" s="171" t="str">
        <x:v>N</x:v>
      </x:c>
      <x:c r="AA659" s="165"/>
      <x:c r="AB659" s="165" t="str">
        <x:v>オリジナル</x:v>
      </x:c>
      <x:c r="AC659" s="165" t="str">
        <x:v>WSET公式Specificationの範囲＋ユーザー作成コーパスの論点を参考に独自作成</x:v>
      </x:c>
      <x:c r="AD659" s="171" t="str">
        <x:v>改稿済み・専門家未承認</x:v>
      </x:c>
      <x:c r="AE659" s="171" t="str">
        <x:v>AI誤答レビュー</x:v>
      </x:c>
      <x:c r="AF659" s="171" t="str">
        <x:v>2026-07-12</x:v>
      </x:c>
      <x:c r="AG659" s="369" t="str">
        <x:v>第5バッチ：使用可能な誤答を維持し、弱い誤答を因果逆転・隣接概念へ置換。正答位置は維持。</x:v>
      </x:c>
    </x:row>
    <x:row r="660" ht="84" customHeight="1">
      <x:c r="A660" s="368" t="str">
        <x:v>LO1-179</x:v>
      </x:c>
      <x:c r="B660" s="171" t="str">
        <x:v>LO1</x:v>
      </x:c>
      <x:c r="C660" s="165" t="str">
        <x:v>ブドウ畑・ワイナリーの自然要因と人的要因</x:v>
      </x:c>
      <x:c r="D660" s="165" t="str">
        <x:v>発酵温度の急上昇</x:v>
      </x:c>
      <x:c r="E660" s="165" t="str">
        <x:v>アルコール発酵中の温度が酵母の耐性を超えて上昇した場合、最も起こりやすい問題はどれか。</x:v>
      </x:c>
      <x:c r="F660" s="165" t="str">
        <x:v>酵母活動が安定して緩やかになり、揮発性の果実香が保持されやすくなる</x:v>
      </x:c>
      <x:c r="G660" s="165" t="str">
        <x:v>アルコール発酵は正常に完了するが、マロラクティック・コンバージョンだけが停止する</x:v>
      </x:c>
      <x:c r="H660" s="165" t="str">
        <x:v>酵母が弱って発酵が停止し、残糖と微生物汚染のリスクが残る</x:v>
      </x:c>
      <x:c r="I660" s="165" t="str">
        <x:v>糖の消費速度が上がり続け、酵母ストレスを伴わず完全発酵しやすくなる</x:v>
      </x:c>
      <x:c r="J660" s="171" t="str">
        <x:v>C</x:v>
      </x:c>
      <x:c r="K660" s="165" t="str">
        <x:v>酵母が弱って発酵が停止し、残糖と微生物汚染のリスクが残る</x:v>
      </x:c>
      <x:c r="L660" s="165" t="str">
        <x:v>正しい。発酵は発熱反応であり、冷却不足で温度が上がり過ぎると酵母が不活性化または死滅し、停止発酵となり得る。</x:v>
      </x:c>
      <x:c r="M660" s="165" t="str">
        <x:v>誤り。適度な低温は香り保持に役立つが、耐性を超える高温は酵母を弱らせ、揮発性香気も失わせる。</x:v>
      </x:c>
      <x:c r="N660" s="165" t="str">
        <x:v>誤り。高温はまずアルコール発酵を担う酵母へ直接ストレスを与え、正常完了を保証しない。</x:v>
      </x:c>
      <x:c r="O660" s="165" t="str">
        <x:v>正しい。発酵は発熱反応であり、冷却不足で温度が上がり過ぎると酵母が不活性化または死滅し、停止発酵となり得る。</x:v>
      </x:c>
      <x:c r="P660" s="165" t="str">
        <x:v>誤り。温度上昇で一時的に発酵が速まっても、耐性を超えると酵母ストレスが増し、完全発酵しにくくなる。</x:v>
      </x:c>
      <x:c r="Q660" s="165" t="str">
        <x:v>醸造</x:v>
      </x:c>
      <x:c r="R660" s="165" t="str">
        <x:v>発酵管理</x:v>
      </x:c>
      <x:c r="S660" s="165" t="str">
        <x:v>全般</x:v>
      </x:c>
      <x:c r="T660" s="165"/>
      <x:c r="U660" s="165"/>
      <x:c r="V660" s="165"/>
      <x:c r="W660" s="165" t="str">
        <x:v>因果説明</x:v>
      </x:c>
      <x:c r="X660" s="171" t="str">
        <x:v>D2</x:v>
      </x:c>
      <x:c r="Y660" s="165" t="str">
        <x:v>高温ほど香り保持; 高温はMLCだけを止める; 高温ならストレスなく完全発酵</x:v>
      </x:c>
      <x:c r="Z660" s="171" t="str">
        <x:v>N</x:v>
      </x:c>
      <x:c r="AA660" s="165"/>
      <x:c r="AB660" s="165" t="str">
        <x:v>オリジナル</x:v>
      </x:c>
      <x:c r="AC660" s="165" t="str">
        <x:v>WSET公式Specificationの範囲＋ユーザー作成コーパスの論点を参考に独自作成</x:v>
      </x:c>
      <x:c r="AD660" s="171" t="str">
        <x:v>改稿済み・専門家未承認</x:v>
      </x:c>
      <x:c r="AE660" s="171" t="str">
        <x:v>AI誤答レビュー</x:v>
      </x:c>
      <x:c r="AF660" s="171" t="str">
        <x:v>2026-07-12</x:v>
      </x:c>
      <x:c r="AG660" s="369" t="str">
        <x:v>誤答を同一論点内の典型的誤概念へ置換。900問本体への反映前に専門家確認推奨。</x:v>
      </x:c>
    </x:row>
    <x:row r="661" ht="84" customHeight="1">
      <x:c r="A661" s="368" t="str">
        <x:v>LO1-180</x:v>
      </x:c>
      <x:c r="B661" s="171" t="str">
        <x:v>LO1</x:v>
      </x:c>
      <x:c r="C661" s="165" t="str">
        <x:v>ブドウ畑・ワイナリーの自然要因と人的要因</x:v>
      </x:c>
      <x:c r="D661" s="165" t="str">
        <x:v>発酵停止への対応</x:v>
      </x:c>
      <x:c r="E661" s="165" t="str">
        <x:v>栄養不足が原因でアルコール発酵が停止しかけている場合の適切な対応はどれか。</x:v>
      </x:c>
      <x:c r="F661" s="165" t="str">
        <x:v>原因を確認せず大量の酸素へ放置する</x:v>
      </x:c>
      <x:c r="G661" s="165" t="str">
        <x:v>砂糖を追加して負担を増やす</x:v>
      </x:c>
      <x:c r="H661" s="165" t="str">
        <x:v>発酵槽を直射日光下へ置く</x:v>
      </x:c>
      <x:c r="I661" s="165" t="str">
        <x:v>温度と分析値を確認し、必要な栄養を補い、活性の高い酵母で再開を試みる</x:v>
      </x:c>
      <x:c r="J661" s="171" t="str">
        <x:v>D</x:v>
      </x:c>
      <x:c r="K661" s="165" t="str">
        <x:v>温度と分析値を確認し、必要な栄養を補い、活性の高い酵母で再開を試みる</x:v>
      </x:c>
      <x:c r="L661" s="165" t="str">
        <x:v>正しい。原因を特定した上で、衛生的に酵母を順応させて加え、残糖の再発酵を管理する。</x:v>
      </x:c>
      <x:c r="M661" s="165" t="str">
        <x:v>誤り。酸化と腐敗のリスクが高まる。</x:v>
      </x:c>
      <x:c r="N661" s="165" t="str">
        <x:v>誤り。既に糖が残っており、問題を悪化させる。</x:v>
      </x:c>
      <x:c r="O661" s="165" t="str">
        <x:v>誤り。過熱と酸化を招く。</x:v>
      </x:c>
      <x:c r="P661" s="165" t="str">
        <x:v>正しい。原因を特定した上で、衛生的に酵母を順応させて加え、残糖の再発酵を管理する。</x:v>
      </x:c>
      <x:c r="Q661" s="165" t="str">
        <x:v>醸造</x:v>
      </x:c>
      <x:c r="R661" s="165" t="str">
        <x:v>発酵管理</x:v>
      </x:c>
      <x:c r="S661" s="165" t="str">
        <x:v>全般</x:v>
      </x:c>
      <x:c r="T661" s="165"/>
      <x:c r="U661" s="165"/>
      <x:c r="V661" s="165"/>
      <x:c r="W661" s="165" t="str">
        <x:v>適用</x:v>
      </x:c>
      <x:c r="X661" s="171" t="str">
        <x:v>D3</x:v>
      </x:c>
      <x:c r="Y661" s="165" t="str">
        <x:v>発酵停止への対応に関する別の特徴・要因と混同; 発酵停止への対応に関する別の特徴・要因と混同; 発酵停止への対応に関する別の特徴・要因と混同</x:v>
      </x:c>
      <x:c r="Z661" s="171" t="str">
        <x:v>N</x:v>
      </x:c>
      <x:c r="AA661" s="165"/>
      <x:c r="AB661" s="165" t="str">
        <x:v>オリジナル</x:v>
      </x:c>
      <x:c r="AC661" s="165" t="str">
        <x:v>WSET公式Specificationの範囲＋ユーザー作成コーパスの論点を参考に独自作成</x:v>
      </x:c>
      <x:c r="AD661" s="171" t="str">
        <x:v>改稿済み・専門家未承認</x:v>
      </x:c>
      <x:c r="AE661" s="171" t="str">
        <x:v>AI誤答レビュー</x:v>
      </x:c>
      <x:c r="AF661" s="171" t="str">
        <x:v>2026-07-12</x:v>
      </x:c>
      <x:c r="AG661" s="369" t="str">
        <x:v>最終バッチ：有効な誤答を維持し、絶対語・物理的不可能な誤答のみ置換。正答位置は維持。</x:v>
      </x:c>
    </x:row>
    <x:row r="662" ht="84" customHeight="1">
      <x:c r="A662" s="368" t="str">
        <x:v>LO2-121</x:v>
      </x:c>
      <x:c r="B662" s="171" t="str">
        <x:v>LO2</x:v>
      </x:c>
      <x:c r="C662" s="165" t="str">
        <x:v>世界の主要な非発泡性ワイン</x:v>
      </x:c>
      <x:c r="D662" s="165" t="str">
        <x:v>グラーヴの辛口白</x:v>
      </x:c>
      <x:c r="E662" s="165" t="str">
        <x:v>グラーヴの高品質な辛口白ワインに典型的なスタイルはどれか。</x:v>
      </x:c>
      <x:c r="F662" s="165" t="str">
        <x:v>ソーヴィニヨン・ブランとセミヨンのブレンドで、高い酸、柑橘、ハーブ、オーク由来の複雑性を持つ</x:v>
      </x:c>
      <x:c r="G662" s="165" t="str">
        <x:v>ムロン・ド・ブルゴーニュ主体の、軽いボディと塩味を思わせる辛口白</x:v>
      </x:c>
      <x:c r="H662" s="165" t="str">
        <x:v>シャルドネ単一で、バターとトーストの豊かな白</x:v>
      </x:c>
      <x:c r="I662" s="165" t="str">
        <x:v>セミヨンの貴腐果から造る高残糖の甘口だけ</x:v>
      </x:c>
      <x:c r="J662" s="171" t="str">
        <x:v>A</x:v>
      </x:c>
      <x:c r="K662" s="165" t="str">
        <x:v>ソーヴィニヨン・ブランとセミヨンのブレンドで、高い酸、柑橘、ハーブ、オーク由来の複雑性を持つ</x:v>
      </x:c>
      <x:c r="L662" s="165" t="str">
        <x:v>正しい。二品種と樽発酵・熟成が、鮮度とボディ、熟成力を与える。</x:v>
      </x:c>
      <x:c r="M662" s="165" t="str">
        <x:v>正しい。二品種と樽発酵・熟成が、鮮度とボディ、熟成力を与える。</x:v>
      </x:c>
      <x:c r="N662" s="165" t="str">
        <x:v>誤り。これはミュスカデの説明に近く、グラーヴのソーヴィニヨン・ブランとセミヨンの樽熟成型とは異なる。</x:v>
      </x:c>
      <x:c r="O662" s="165" t="str">
        <x:v>誤り。主要品種が異なる。</x:v>
      </x:c>
      <x:c r="P662" s="165" t="str">
        <x:v>誤り。グラーヴには辛口白が重要で、ソーテルヌ型だけではない。</x:v>
      </x:c>
      <x:c r="Q662" s="165" t="str">
        <x:v>産地</x:v>
      </x:c>
      <x:c r="R662" s="165" t="str">
        <x:v>ボルドー</x:v>
      </x:c>
      <x:c r="S662" s="165" t="str">
        <x:v>白ワイン</x:v>
      </x:c>
      <x:c r="T662" s="165" t="str">
        <x:v>フランス</x:v>
      </x:c>
      <x:c r="U662" s="165" t="str">
        <x:v>グラーヴ</x:v>
      </x:c>
      <x:c r="V662" s="165" t="str">
        <x:v>ソーヴィニヨン・ブラン、セミヨン</x:v>
      </x:c>
      <x:c r="W662" s="165" t="str">
        <x:v>知識確認</x:v>
      </x:c>
      <x:c r="X662" s="171" t="str">
        <x:v>D2</x:v>
      </x:c>
      <x:c r="Y662" s="165" t="str">
        <x:v>グラーヴ白をミュスカデと混同; グラーヴ白をブルゴーニュ型と混同; グラーヴ辛口白を貴腐甘口と混同</x:v>
      </x:c>
      <x:c r="Z662" s="171" t="str">
        <x:v>N</x:v>
      </x:c>
      <x:c r="AA662" s="165"/>
      <x:c r="AB662" s="165" t="str">
        <x:v>オリジナル</x:v>
      </x:c>
      <x:c r="AC662" s="165" t="str">
        <x:v>WSET公式Specificationの範囲＋ユーザー作成コーパスの論点を参考に独自作成</x:v>
      </x:c>
      <x:c r="AD662" s="171" t="str">
        <x:v>改稿済み・専門家未承認</x:v>
      </x:c>
      <x:c r="AE662" s="171" t="str">
        <x:v>AI誤答レビュー</x:v>
      </x:c>
      <x:c r="AF662" s="171" t="str">
        <x:v>2026-07-12</x:v>
      </x:c>
      <x:c r="AG662" s="369" t="str">
        <x:v>第4バッチ：同一論点内の典型的誤概念へ置換。正答位置は維持。</x:v>
      </x:c>
    </x:row>
    <x:row r="663" ht="84" customHeight="1">
      <x:c r="A663" s="368" t="str">
        <x:v>LO2-122</x:v>
      </x:c>
      <x:c r="B663" s="171" t="str">
        <x:v>LO2</x:v>
      </x:c>
      <x:c r="C663" s="165" t="str">
        <x:v>世界の主要な非発泡性ワイン</x:v>
      </x:c>
      <x:c r="D663" s="165" t="str">
        <x:v>アントル・ドゥー・メール</x:v>
      </x:c>
      <x:c r="E663" s="165" t="str">
        <x:v>アントル・ドゥー・メールの典型的なワインとして最も適切なものはどれか。</x:v>
      </x:c>
      <x:c r="F663" s="165" t="str">
        <x:v>ソーヴィニヨン・ブラン主体のフレッシュで甘口の白ワイン</x:v>
      </x:c>
      <x:c r="G663" s="165" t="str">
        <x:v>ソーヴィニヨン・ブラン主体のフレッシュで辛口の白ワイン</x:v>
      </x:c>
      <x:c r="H663" s="165" t="str">
        <x:v>メルロ主体の柔らかな赤ワイン</x:v>
      </x:c>
      <x:c r="I663" s="165" t="str">
        <x:v>セミヨン主体の貴腐甘口ワイン</x:v>
      </x:c>
      <x:c r="J663" s="171" t="str">
        <x:v>B</x:v>
      </x:c>
      <x:c r="K663" s="165" t="str">
        <x:v>ソーヴィニヨン・ブラン主体のフレッシュで辛口の白ワイン</x:v>
      </x:c>
      <x:c r="L663" s="165" t="str">
        <x:v>正しい。柑橘、青草、高い酸を持つ若飲みの辛口白が中心である。</x:v>
      </x:c>
      <x:c r="M663" s="165" t="str">
        <x:v>誤り。正答では「辛口」ことが重要であり、この選択肢は「甘口」へ置き換えて関係を逆にしている。</x:v>
      </x:c>
      <x:c r="N663" s="165" t="str">
        <x:v>正しい。柑橘、青草、高い酸を持つ若飲みの辛口白が中心である。</x:v>
      </x:c>
      <x:c r="O663" s="165" t="str">
        <x:v>誤り。アントル・ドゥー・メールAOCの代表的表示は辛口白。</x:v>
      </x:c>
      <x:c r="P663" s="165" t="str">
        <x:v>誤り。ボルドー甘口の別産地スタイル。</x:v>
      </x:c>
      <x:c r="Q663" s="165" t="str">
        <x:v>産地</x:v>
      </x:c>
      <x:c r="R663" s="165" t="str">
        <x:v>ボルドー</x:v>
      </x:c>
      <x:c r="S663" s="165" t="str">
        <x:v>白ワイン</x:v>
      </x:c>
      <x:c r="T663" s="165" t="str">
        <x:v>フランス</x:v>
      </x:c>
      <x:c r="U663" s="165" t="str">
        <x:v>アントル・ドゥー・メール</x:v>
      </x:c>
      <x:c r="V663" s="165" t="str">
        <x:v>ソーヴィニヨン・ブラン、セミヨン</x:v>
      </x:c>
      <x:c r="W663" s="165" t="str">
        <x:v>知識確認</x:v>
      </x:c>
      <x:c r="X663" s="171" t="str">
        <x:v>D1</x:v>
      </x:c>
      <x:c r="Y663" s="165" t="str">
        <x:v>「辛口」と「甘口」の関係を逆転; アントルドゥーメールを赤AOCと混同; アントルドゥーメールを貴腐甘口と混同</x:v>
      </x:c>
      <x:c r="Z663" s="171" t="str">
        <x:v>N</x:v>
      </x:c>
      <x:c r="AA663" s="165"/>
      <x:c r="AB663" s="165" t="str">
        <x:v>オリジナル</x:v>
      </x:c>
      <x:c r="AC663" s="165" t="str">
        <x:v>WSET公式Specificationの範囲＋ユーザー作成コーパスの論点を参考に独自作成</x:v>
      </x:c>
      <x:c r="AD663" s="171" t="str">
        <x:v>改稿済み・専門家未承認</x:v>
      </x:c>
      <x:c r="AE663" s="171" t="str">
        <x:v>AI誤答レビュー</x:v>
      </x:c>
      <x:c r="AF663" s="171" t="str">
        <x:v>2026-07-12</x:v>
      </x:c>
      <x:c r="AG663" s="369" t="str">
        <x:v>第4バッチ：同一論点内の典型的誤概念へ置換。正答位置は維持。</x:v>
      </x:c>
    </x:row>
    <x:row r="664" ht="84" customHeight="1">
      <x:c r="A664" s="368" t="str">
        <x:v>LO2-123</x:v>
      </x:c>
      <x:c r="B664" s="171" t="str">
        <x:v>LO2</x:v>
      </x:c>
      <x:c r="C664" s="165" t="str">
        <x:v>世界の主要な非発泡性ワイン</x:v>
      </x:c>
      <x:c r="D664" s="165" t="str">
        <x:v>バルサック</x:v>
      </x:c>
      <x:c r="E664" s="165" t="str">
        <x:v>バルサックの貴腐甘口ワインがソーテルヌの一部より軽快で高い酸を示しやすい主な理由はどれか。</x:v>
      </x:c>
      <x:c r="F664" s="165" t="str">
        <x:v>石灰岩を含む土壌と比較的温暖なメソ気候が、酸と繊細さを保ちやすいため</x:v>
      </x:c>
      <x:c r="G664" s="165" t="str">
        <x:v>ソーテルヌより低地で温暖なため、糖度とアルコールだけが高くなる</x:v>
      </x:c>
      <x:c r="H664" s="165" t="str">
        <x:v>石灰岩を含む土壌と比較的冷涼なメソ気候が、酸と繊細さを保ちやすいため</x:v>
      </x:c>
      <x:c r="I664" s="165" t="str">
        <x:v>貴腐を用いず、発酵後の甘味添加で軽いスタイルを作るため</x:v>
      </x:c>
      <x:c r="J664" s="171" t="str">
        <x:v>C</x:v>
      </x:c>
      <x:c r="K664" s="165" t="str">
        <x:v>石灰岩を含む土壌と比較的冷涼なメソ気候が、酸と繊細さを保ちやすいため</x:v>
      </x:c>
      <x:c r="L664" s="165" t="str">
        <x:v>正しい。ソーテルヌと同じ貴腐条件を持ちながら、より引き締まったスタイルになりやすい。</x:v>
      </x:c>
      <x:c r="M664" s="165" t="str">
        <x:v>誤り。正答では「冷涼」ことが重要であり、この選択肢は「温暖」へ置き換えて関係を逆にしている。</x:v>
      </x:c>
      <x:c r="N664" s="165" t="str">
        <x:v>誤り。バルサックは比較的引き締まった酸と軽快さで知られる。</x:v>
      </x:c>
      <x:c r="O664" s="165" t="str">
        <x:v>正しい。ソーテルヌと同じ貴腐条件を持ちながら、より引き締まったスタイルになりやすい。</x:v>
      </x:c>
      <x:c r="P664" s="165" t="str">
        <x:v>誤り。貴腐果から造る自然甘口である。</x:v>
      </x:c>
      <x:c r="Q664" s="165" t="str">
        <x:v>自然要因</x:v>
      </x:c>
      <x:c r="R664" s="165" t="str">
        <x:v>ボルドー甘口</x:v>
      </x:c>
      <x:c r="S664" s="165" t="str">
        <x:v>甘口白ワイン</x:v>
      </x:c>
      <x:c r="T664" s="165" t="str">
        <x:v>フランス</x:v>
      </x:c>
      <x:c r="U664" s="165" t="str">
        <x:v>バルサック</x:v>
      </x:c>
      <x:c r="V664" s="165" t="str">
        <x:v>セミヨン、ソーヴィニヨン・ブラン</x:v>
      </x:c>
      <x:c r="W664" s="165" t="str">
        <x:v>比較</x:v>
      </x:c>
      <x:c r="X664" s="171" t="str">
        <x:v>D3</x:v>
      </x:c>
      <x:c r="Y664" s="165" t="str">
        <x:v>「冷涼」と「温暖」の関係を逆転; バルサックをより温暖高糖型とみなす; バルサックを甘味添加型と混同</x:v>
      </x:c>
      <x:c r="Z664" s="171" t="str">
        <x:v>N</x:v>
      </x:c>
      <x:c r="AA664" s="165"/>
      <x:c r="AB664" s="165" t="str">
        <x:v>オリジナル</x:v>
      </x:c>
      <x:c r="AC664" s="165" t="str">
        <x:v>WSET公式Specificationの範囲＋ユーザー作成コーパスの論点を参考に独自作成</x:v>
      </x:c>
      <x:c r="AD664" s="171" t="str">
        <x:v>改稿済み・専門家未承認</x:v>
      </x:c>
      <x:c r="AE664" s="171" t="str">
        <x:v>AI誤答レビュー</x:v>
      </x:c>
      <x:c r="AF664" s="171" t="str">
        <x:v>2026-07-12</x:v>
      </x:c>
      <x:c r="AG664" s="369" t="str">
        <x:v>第4バッチ：同一論点内の典型的誤概念へ置換。正答位置は維持。</x:v>
      </x:c>
    </x:row>
    <x:row r="665" ht="84" customHeight="1">
      <x:c r="A665" s="368" t="str">
        <x:v>LO2-124</x:v>
      </x:c>
      <x:c r="B665" s="171" t="str">
        <x:v>LO2</x:v>
      </x:c>
      <x:c r="C665" s="165" t="str">
        <x:v>世界の主要な非発泡性ワイン</x:v>
      </x:c>
      <x:c r="D665" s="165" t="str">
        <x:v>ボルドー・シュペリュール</x:v>
      </x:c>
      <x:c r="E665" s="165" t="str">
        <x:v>赤のボルドー・シュペリュールが、基本的なボルドーAOCより一般に豊かなスタイルになりやすい主な理由はどれか。</x:v>
      </x:c>
      <x:c r="F665" s="165" t="str">
        <x:v>基本のボルドーAOCより高い収量が認められ、軽い果実味を樽熟成で補うため</x:v>
      </x:c>
      <x:c r="G665" s="165" t="str">
        <x:v>使用品種は同じだが、ワインに長期瓶熟成が広く義務付けられるため</x:v>
      </x:c>
      <x:c r="H665" s="165" t="str">
        <x:v>メルロの最低使用比率が高く定められ、カベルネ系品種を使用できないため</x:v>
      </x:c>
      <x:c r="I665" s="165" t="str">
        <x:v>より厳しい収量や成熟度の要件を満たすブドウを用いるため</x:v>
      </x:c>
      <x:c r="J665" s="171" t="str">
        <x:v>D</x:v>
      </x:c>
      <x:c r="K665" s="165" t="str">
        <x:v>より厳しい収量や成熟度の要件を満たすブドウを用いるため</x:v>
      </x:c>
      <x:c r="L665" s="165" t="str">
        <x:v>正しい。より成熟した果実と低い収量により、濃度とアルコールがやや高いスタイルになりやすい。</x:v>
      </x:c>
      <x:c r="M665" s="165" t="str">
        <x:v>誤り。一般に収量要件はより厳しく、豊かさを高収量で得るわけではない。</x:v>
      </x:c>
      <x:c r="N665" s="165" t="str">
        <x:v>誤り。熟成の選択は生産者による部分があり、長期瓶熟成の一律義務が主因ではない。</x:v>
      </x:c>
      <x:c r="O665" s="165" t="str">
        <x:v>誤り。ボルドー系品種を用い、カベルネ系を排除する規定ではない。</x:v>
      </x:c>
      <x:c r="P665" s="165" t="str">
        <x:v>正しい。より成熟した果実と低い収量により、濃度とアルコールがやや高いスタイルになりやすい。</x:v>
      </x:c>
      <x:c r="Q665" s="165" t="str">
        <x:v>法律・表示</x:v>
      </x:c>
      <x:c r="R665" s="165" t="str">
        <x:v>ボルドー</x:v>
      </x:c>
      <x:c r="S665" s="165" t="str">
        <x:v>赤ワイン</x:v>
      </x:c>
      <x:c r="T665" s="165" t="str">
        <x:v>フランス</x:v>
      </x:c>
      <x:c r="U665" s="165" t="str">
        <x:v>ボルドー</x:v>
      </x:c>
      <x:c r="V665" s="165" t="str">
        <x:v>メルロ、カベルネ・ソーヴィニヨン</x:v>
      </x:c>
      <x:c r="W665" s="165" t="str">
        <x:v>因果説明</x:v>
      </x:c>
      <x:c r="X665" s="171" t="str">
        <x:v>D2</x:v>
      </x:c>
      <x:c r="Y665" s="165" t="str">
        <x:v>シュペリュールは高収量区分; シュペリュールは長期瓶熟成義務の区分; シュペリュールはメルロのみでカベルネ禁止</x:v>
      </x:c>
      <x:c r="Z665" s="171" t="str">
        <x:v>Y</x:v>
      </x:c>
      <x:c r="AA665" s="165" t="str">
        <x:v>ボルドー・シュペリュールの現行収量・成熟度規定を最新教材と照合推奨</x:v>
      </x:c>
      <x:c r="AB665" s="165" t="str">
        <x:v>オリジナル</x:v>
      </x:c>
      <x:c r="AC665" s="165" t="str">
        <x:v>WSET公式Specificationの範囲＋ユーザー作成コーパスの論点を参考に独自作成</x:v>
      </x:c>
      <x:c r="AD665" s="171" t="str">
        <x:v>改稿済み・専門家未承認</x:v>
      </x:c>
      <x:c r="AE665" s="171" t="str">
        <x:v>AI誤答レビュー</x:v>
      </x:c>
      <x:c r="AF665" s="171" t="str">
        <x:v>2026-07-12</x:v>
      </x:c>
      <x:c r="AG665" s="369" t="str">
        <x:v>第2バッチ：誤答を同一論点内の典型的誤概念へ置換。正答位置は維持。</x:v>
      </x:c>
    </x:row>
    <x:row r="666" ht="84" customHeight="1">
      <x:c r="A666" s="368" t="str">
        <x:v>LO2-125</x:v>
      </x:c>
      <x:c r="B666" s="171" t="str">
        <x:v>LO2</x:v>
      </x:c>
      <x:c r="C666" s="165" t="str">
        <x:v>世界の主要な非発泡性ワイン</x:v>
      </x:c>
      <x:c r="D666" s="165" t="str">
        <x:v>ジュヴレ・シャンベルタン</x:v>
      </x:c>
      <x:c r="E666" s="165" t="str">
        <x:v>ジュヴレ・シャンベルタンの典型的な赤ワインを、最もよく説明しているものはどれか。</x:v>
      </x:c>
      <x:c r="F666" s="165" t="str">
        <x:v>ピノ・ノワールから造る、黒いチェリー、土、スパイス、比較的力強いタンニンを持つ赤</x:v>
      </x:c>
      <x:c r="G666" s="165" t="str">
        <x:v>ピノ・ノワールから造る、淡い赤系果実と花が中心で、タンニンが特に軽い繊細な赤</x:v>
      </x:c>
      <x:c r="H666" s="165" t="str">
        <x:v>ピノ・ノワールから造る、甘いスパイスと絹のような質感を最も強く示す赤</x:v>
      </x:c>
      <x:c r="I666" s="165" t="str">
        <x:v>ピノ・ノワールから造る、酸が低く、熟した黒系果実と高いアルコールが中心の温暖気候型赤</x:v>
      </x:c>
      <x:c r="J666" s="171" t="str">
        <x:v>A</x:v>
      </x:c>
      <x:c r="K666" s="165" t="str">
        <x:v>ピノ・ノワールから造る、黒いチェリー、土、スパイス、比較的力強いタンニンを持つ赤</x:v>
      </x:c>
      <x:c r="L666" s="165" t="str">
        <x:v>正しい。ジュヴレはコート・ド・ニュイの中でも比較的構造が強く、黒系果実と土・スパイスを示しやすい。</x:v>
      </x:c>
      <x:c r="M666" s="165" t="str">
        <x:v>正しい。ジュヴレはコート・ド・ニュイの中でも比較的構造が強く、黒系果実と土・スパイスを示しやすい。</x:v>
      </x:c>
      <x:c r="N666" s="165" t="str">
        <x:v>誤り。これはシャンボール・ミュジニーなど、より繊細なスタイルに近い。</x:v>
      </x:c>
      <x:c r="O666" s="165" t="str">
        <x:v>誤り。これはヴォーヌ・ロマネを連想させる特徴で、ジュヴレの典型的な力強さとは異なる。</x:v>
      </x:c>
      <x:c r="P666" s="165" t="str">
        <x:v>誤り。ブルゴーニュの冷涼なピノ・ノワールとして高い酸を持ち、低酸の温暖型が典型ではない。</x:v>
      </x:c>
      <x:c r="Q666" s="165" t="str">
        <x:v>産地</x:v>
      </x:c>
      <x:c r="R666" s="165" t="str">
        <x:v>ブルゴーニュ</x:v>
      </x:c>
      <x:c r="S666" s="165" t="str">
        <x:v>赤ワイン</x:v>
      </x:c>
      <x:c r="T666" s="165" t="str">
        <x:v>フランス</x:v>
      </x:c>
      <x:c r="U666" s="165" t="str">
        <x:v>ジュヴレ・シャンベルタン</x:v>
      </x:c>
      <x:c r="V666" s="165" t="str">
        <x:v>ピノ・ノワール</x:v>
      </x:c>
      <x:c r="W666" s="165" t="str">
        <x:v>知識確認</x:v>
      </x:c>
      <x:c r="X666" s="171" t="str">
        <x:v>D2</x:v>
      </x:c>
      <x:c r="Y666" s="165" t="str">
        <x:v>ジュヴレをシャンボール型の繊細さと混同; ジュヴレをヴォーヌ型の甘いスパイスと絹質に限定; ジュヴレを低酸・高アルコールの温暖型とみなす</x:v>
      </x:c>
      <x:c r="Z666" s="171" t="str">
        <x:v>N</x:v>
      </x:c>
      <x:c r="AA666" s="165"/>
      <x:c r="AB666" s="165" t="str">
        <x:v>オリジナル</x:v>
      </x:c>
      <x:c r="AC666" s="165" t="str">
        <x:v>WSET公式Specificationの範囲＋ユーザー作成コーパスの論点を参考に独自作成</x:v>
      </x:c>
      <x:c r="AD666" s="171" t="str">
        <x:v>改稿済み・専門家未承認</x:v>
      </x:c>
      <x:c r="AE666" s="171" t="str">
        <x:v>AI誤答レビュー</x:v>
      </x:c>
      <x:c r="AF666" s="171" t="str">
        <x:v>2026-07-12</x:v>
      </x:c>
      <x:c r="AG666" s="369" t="str">
        <x:v>第2バッチ：誤答を同一論点内の典型的誤概念へ置換。正答位置は維持。</x:v>
      </x:c>
    </x:row>
    <x:row r="667" ht="84" customHeight="1">
      <x:c r="A667" s="368" t="str">
        <x:v>LO2-126</x:v>
      </x:c>
      <x:c r="B667" s="171" t="str">
        <x:v>LO2</x:v>
      </x:c>
      <x:c r="C667" s="165" t="str">
        <x:v>世界の主要な非発泡性ワイン</x:v>
      </x:c>
      <x:c r="D667" s="165" t="str">
        <x:v>ヴォーヌ・ロマネ</x:v>
      </x:c>
      <x:c r="E667" s="165" t="str">
        <x:v>ヴォーヌ・ロマネの高品質ピノ・ノワールに期待される特徴はどれか。</x:v>
      </x:c>
      <x:c r="F667" s="165" t="str">
        <x:v>極めて高い残糖の甘口赤</x:v>
      </x:c>
      <x:c r="G667" s="165" t="str">
        <x:v>赤・黒系果実、花、甘いスパイス、絹のような質感と高い熟成力</x:v>
      </x:c>
      <x:c r="H667" s="165" t="str">
        <x:v>ソーヴィニヨン・ブランの青草香</x:v>
      </x:c>
      <x:c r="I667" s="165" t="str">
        <x:v>炭酸ガス注入による単純な発泡性</x:v>
      </x:c>
      <x:c r="J667" s="171" t="str">
        <x:v>B</x:v>
      </x:c>
      <x:c r="K667" s="165" t="str">
        <x:v>赤・黒系果実、花、甘いスパイス、絹のような質感と高い熟成力</x:v>
      </x:c>
      <x:c r="L667" s="165" t="str">
        <x:v>正しい。優良な東向き斜面と低収量により、香りの複雑性と凝縮した構造を兼ね備える。</x:v>
      </x:c>
      <x:c r="M667" s="165" t="str">
        <x:v>誤り。通常は辛口である。</x:v>
      </x:c>
      <x:c r="N667" s="165" t="str">
        <x:v>正しい。優良な東向き斜面と低収量により、香りの複雑性と凝縮した構造を兼ね備える。</x:v>
      </x:c>
      <x:c r="O667" s="165" t="str">
        <x:v>誤り。主要品種はピノ・ノワールである。</x:v>
      </x:c>
      <x:c r="P667" s="165" t="str">
        <x:v>誤り。非発泡性の高級赤である。</x:v>
      </x:c>
      <x:c r="Q667" s="165" t="str">
        <x:v>産地</x:v>
      </x:c>
      <x:c r="R667" s="165" t="str">
        <x:v>ブルゴーニュ</x:v>
      </x:c>
      <x:c r="S667" s="165" t="str">
        <x:v>赤ワイン</x:v>
      </x:c>
      <x:c r="T667" s="165" t="str">
        <x:v>フランス</x:v>
      </x:c>
      <x:c r="U667" s="165" t="str">
        <x:v>ヴォーヌ・ロマネ</x:v>
      </x:c>
      <x:c r="V667" s="165" t="str">
        <x:v>ピノ・ノワール</x:v>
      </x:c>
      <x:c r="W667" s="165" t="str">
        <x:v>知識確認</x:v>
      </x:c>
      <x:c r="X667" s="171" t="str">
        <x:v>D2</x:v>
      </x:c>
      <x:c r="Y667" s="165" t="str">
        <x:v>ヴォーヌ・ロマネに関する別の特徴・要因と混同; ヴォーヌ・ロマネに関する別の特徴・要因と混同; ヴォーヌ・ロマネに関する別の特徴・要因と混同</x:v>
      </x:c>
      <x:c r="Z667" s="171" t="str">
        <x:v>N</x:v>
      </x:c>
      <x:c r="AA667" s="165"/>
      <x:c r="AB667" s="165" t="str">
        <x:v>オリジナル</x:v>
      </x:c>
      <x:c r="AC667" s="165" t="str">
        <x:v>WSET公式Specificationの範囲＋ユーザー作成コーパスの論点を参考に独自作成</x:v>
      </x:c>
      <x:c r="AD667" s="171" t="str">
        <x:v>改稿済み・専門家未承認</x:v>
      </x:c>
      <x:c r="AE667" s="171" t="str">
        <x:v>AI誤答レビュー</x:v>
      </x:c>
      <x:c r="AF667" s="171" t="str">
        <x:v>2026-07-12</x:v>
      </x:c>
      <x:c r="AG667" s="369" t="str">
        <x:v>最終バッチ：有効な誤答を維持し、絶対語・物理的不可能な誤答のみ置換。正答位置は維持。</x:v>
      </x:c>
    </x:row>
    <x:row r="668" ht="84" customHeight="1">
      <x:c r="A668" s="368" t="str">
        <x:v>LO2-127</x:v>
      </x:c>
      <x:c r="B668" s="171" t="str">
        <x:v>LO2</x:v>
      </x:c>
      <x:c r="C668" s="165" t="str">
        <x:v>世界の主要な非発泡性ワイン</x:v>
      </x:c>
      <x:c r="D668" s="165" t="str">
        <x:v>シャンボール・ミュジニー</x:v>
      </x:c>
      <x:c r="E668" s="165" t="str">
        <x:v>シャンボール・ミュジニーが同じコート・ド・ニュイの一部産地より繊細で花香豊かになりやすい主な理由はどれか。</x:v>
      </x:c>
      <x:c r="F668" s="165" t="str">
        <x:v>石灰岩の多い斜面と高い酸が、柑橘とミネラルを思わせる線の細い構造を与えるため</x:v>
      </x:c>
      <x:c r="G668" s="165" t="str">
        <x:v>粘土の厚い低地でピノ・ノワールが高アルコールまで成熟するため</x:v>
      </x:c>
      <x:c r="H668" s="165" t="str">
        <x:v>石灰岩の比率が高い薄い土壌と、繊細な抽出が花香と細やかなタンニンを強調するため</x:v>
      </x:c>
      <x:c r="I668" s="165" t="str">
        <x:v>全房発酵が法的に義務付けられ、花香だけを抽出するため</x:v>
      </x:c>
      <x:c r="J668" s="171" t="str">
        <x:v>C</x:v>
      </x:c>
      <x:c r="K668" s="165" t="str">
        <x:v>石灰岩の比率が高い薄い土壌と、繊細な抽出が花香と細やかなタンニンを強調するため</x:v>
      </x:c>
      <x:c r="L668" s="165" t="str">
        <x:v>正しい。土壌と醸造の組み合わせが、赤い果実、スミレ、軽やかな構造を生む。</x:v>
      </x:c>
      <x:c r="M668" s="165" t="str">
        <x:v>誤り。これは同じ知識領域の「ピュリニー・モンラッシェ」に当てはまる説明で、設問の「シャンボール・ミュジニー」を最も適切に説明しない。</x:v>
      </x:c>
      <x:c r="N668" s="165" t="str">
        <x:v>誤り。シャンボールは石灰質の斜面と繊細さで知られる。</x:v>
      </x:c>
      <x:c r="O668" s="165" t="str">
        <x:v>正しい。土壌と醸造の組み合わせが、赤い果実、スミレ、軽やかな構造を生む。</x:v>
      </x:c>
      <x:c r="P668" s="165" t="str">
        <x:v>誤り。醸造選択は生産者によるもので、法的義務ではない。</x:v>
      </x:c>
      <x:c r="Q668" s="165" t="str">
        <x:v>自然要因</x:v>
      </x:c>
      <x:c r="R668" s="165" t="str">
        <x:v>ブルゴーニュ</x:v>
      </x:c>
      <x:c r="S668" s="165" t="str">
        <x:v>赤ワイン</x:v>
      </x:c>
      <x:c r="T668" s="165" t="str">
        <x:v>フランス</x:v>
      </x:c>
      <x:c r="U668" s="165" t="str">
        <x:v>シャンボール・ミュジニー</x:v>
      </x:c>
      <x:c r="V668" s="165" t="str">
        <x:v>ピノ・ノワール</x:v>
      </x:c>
      <x:c r="W668" s="165" t="str">
        <x:v>因果説明</x:v>
      </x:c>
      <x:c r="X668" s="171" t="str">
        <x:v>D3</x:v>
      </x:c>
      <x:c r="Y668" s="165" t="str">
        <x:v>シャンボール・ミュジニーをピュリニー・モンラッシェの特徴と混同; シャンボールを粘土低地・高アルコール型とみなす; 全房発酵義務で花香を得る</x:v>
      </x:c>
      <x:c r="Z668" s="171" t="str">
        <x:v>N</x:v>
      </x:c>
      <x:c r="AA668" s="165"/>
      <x:c r="AB668" s="165" t="str">
        <x:v>オリジナル</x:v>
      </x:c>
      <x:c r="AC668" s="165" t="str">
        <x:v>WSET公式Specificationの範囲＋ユーザー作成コーパスの論点を参考に独自作成</x:v>
      </x:c>
      <x:c r="AD668" s="171" t="str">
        <x:v>改稿済み・専門家未承認</x:v>
      </x:c>
      <x:c r="AE668" s="171" t="str">
        <x:v>AI誤答レビュー</x:v>
      </x:c>
      <x:c r="AF668" s="171" t="str">
        <x:v>2026-07-12</x:v>
      </x:c>
      <x:c r="AG668" s="369" t="str">
        <x:v>第4バッチ：同一論点内の典型的誤概念へ置換。正答位置は維持。</x:v>
      </x:c>
    </x:row>
    <x:row r="669" ht="84" customHeight="1">
      <x:c r="A669" s="368" t="str">
        <x:v>LO2-128</x:v>
      </x:c>
      <x:c r="B669" s="171" t="str">
        <x:v>LO2</x:v>
      </x:c>
      <x:c r="C669" s="165" t="str">
        <x:v>世界の主要な非発泡性ワイン</x:v>
      </x:c>
      <x:c r="D669" s="165" t="str">
        <x:v>ムルソー</x:v>
      </x:c>
      <x:c r="E669" s="165" t="str">
        <x:v>ムルソーのシャルドネに典型的なスタイルはどれか。</x:v>
      </x:c>
      <x:c r="F669" s="165" t="str">
        <x:v>熟した核果、ナッツ、バター、豊かなボディと十分な酸を持つ甘口白</x:v>
      </x:c>
      <x:c r="G669" s="165" t="str">
        <x:v>柑橘、火打石、高い酸を持つ非常に引き締まった無樽白</x:v>
      </x:c>
      <x:c r="H669" s="165" t="str">
        <x:v>淡い花香と低アルコールを持つ甘口白</x:v>
      </x:c>
      <x:c r="I669" s="165" t="str">
        <x:v>熟した核果、ナッツ、バター、豊かなボディと十分な酸を持つ辛口白</x:v>
      </x:c>
      <x:c r="J669" s="171" t="str">
        <x:v>D</x:v>
      </x:c>
      <x:c r="K669" s="165" t="str">
        <x:v>熟した核果、ナッツ、バター、豊かなボディと十分な酸を持つ辛口白</x:v>
      </x:c>
      <x:c r="L669" s="165" t="str">
        <x:v>正しい。粘土を含む畑と樽発酵・MLC・澱熟成が幅のある質感を与える。</x:v>
      </x:c>
      <x:c r="M669" s="165" t="str">
        <x:v>誤り。正答では「辛口」ことが重要であり、この選択肢は「甘口」へ置き換えて関係を逆にしている。</x:v>
      </x:c>
      <x:c r="N669" s="165" t="str">
        <x:v>誤り。これはシャブリやピュリニー寄りの特徴である。</x:v>
      </x:c>
      <x:c r="O669" s="165" t="str">
        <x:v>誤り。ムルソーは通常辛口で、豊かなボディを持つ。</x:v>
      </x:c>
      <x:c r="P669" s="165" t="str">
        <x:v>正しい。粘土を含む畑と樽発酵・MLC・澱熟成が幅のある質感を与える。</x:v>
      </x:c>
      <x:c r="Q669" s="165" t="str">
        <x:v>産地</x:v>
      </x:c>
      <x:c r="R669" s="165" t="str">
        <x:v>ブルゴーニュ</x:v>
      </x:c>
      <x:c r="S669" s="165" t="str">
        <x:v>白ワイン</x:v>
      </x:c>
      <x:c r="T669" s="165" t="str">
        <x:v>フランス</x:v>
      </x:c>
      <x:c r="U669" s="165" t="str">
        <x:v>ムルソー</x:v>
      </x:c>
      <x:c r="V669" s="165" t="str">
        <x:v>シャルドネ</x:v>
      </x:c>
      <x:c r="W669" s="165" t="str">
        <x:v>知識確認</x:v>
      </x:c>
      <x:c r="X669" s="171" t="str">
        <x:v>D2</x:v>
      </x:c>
      <x:c r="Y669" s="165" t="str">
        <x:v>「辛口」と「甘口」の関係を逆転; ムルソーを無樽・火打石型と混同; ムルソーを軽い甘口白とみなす</x:v>
      </x:c>
      <x:c r="Z669" s="171" t="str">
        <x:v>N</x:v>
      </x:c>
      <x:c r="AA669" s="165"/>
      <x:c r="AB669" s="165" t="str">
        <x:v>オリジナル</x:v>
      </x:c>
      <x:c r="AC669" s="165" t="str">
        <x:v>WSET公式Specificationの範囲＋ユーザー作成コーパスの論点を参考に独自作成</x:v>
      </x:c>
      <x:c r="AD669" s="171" t="str">
        <x:v>改稿済み・専門家未承認</x:v>
      </x:c>
      <x:c r="AE669" s="171" t="str">
        <x:v>AI誤答レビュー</x:v>
      </x:c>
      <x:c r="AF669" s="171" t="str">
        <x:v>2026-07-12</x:v>
      </x:c>
      <x:c r="AG669" s="369" t="str">
        <x:v>第4バッチ：同一論点内の典型的誤概念へ置換。正答位置は維持。</x:v>
      </x:c>
    </x:row>
    <x:row r="670" ht="84" customHeight="1">
      <x:c r="A670" s="368" t="str">
        <x:v>LO2-129</x:v>
      </x:c>
      <x:c r="B670" s="171" t="str">
        <x:v>LO2</x:v>
      </x:c>
      <x:c r="C670" s="165" t="str">
        <x:v>世界の主要な非発泡性ワイン</x:v>
      </x:c>
      <x:c r="D670" s="165" t="str">
        <x:v>ピュリニー・モンラッシェ</x:v>
      </x:c>
      <x:c r="E670" s="165" t="str">
        <x:v>ピュリニー・モンラッシェが、ムルソーより引き締まった印象になりやすい主な理由はどれか。</x:v>
      </x:c>
      <x:c r="F670" s="165" t="str">
        <x:v>石灰岩の多い斜面と高い酸が、柑橘とミネラルを思わせる線の細い構造を与えるため</x:v>
      </x:c>
      <x:c r="G670" s="165" t="str">
        <x:v>より温暖で粘土が多く、マロラクティック・コンバージョンが常に進みやすいため</x:v>
      </x:c>
      <x:c r="H670" s="165" t="str">
        <x:v>収穫時の糖度が高く、アルコールと新樽香が強いため</x:v>
      </x:c>
      <x:c r="I670" s="165" t="str">
        <x:v>シャルドネへアリゴテをブレンドし、酸を高めるため</x:v>
      </x:c>
      <x:c r="J670" s="171" t="str">
        <x:v>A</x:v>
      </x:c>
      <x:c r="K670" s="165" t="str">
        <x:v>石灰岩の多い斜面と高い酸が、柑橘とミネラルを思わせる線の細い構造を与えるため</x:v>
      </x:c>
      <x:c r="L670" s="165" t="str">
        <x:v>正しい。石灰質と酸の緊張感が、比較的精密なスタイルを支える。</x:v>
      </x:c>
      <x:c r="M670" s="165" t="str">
        <x:v>正しい。石灰質と酸の緊張感が、比較的精密なスタイルを支える。</x:v>
      </x:c>
      <x:c r="N670" s="165" t="str">
        <x:v>誤り。これはムルソーの豊かさを説明する方向に近く、ピュリニーの主因ではない。</x:v>
      </x:c>
      <x:c r="O670" s="165" t="str">
        <x:v>誤り。高アルコール・強い新樽より、酸と石灰質由来の引き締まりが特徴である。</x:v>
      </x:c>
      <x:c r="P670" s="165" t="str">
        <x:v>誤り。主要品種はシャルドネで、アリゴテのブレンドが典型ではない。</x:v>
      </x:c>
      <x:c r="Q670" s="165" t="str">
        <x:v>自然要因</x:v>
      </x:c>
      <x:c r="R670" s="165" t="str">
        <x:v>ブルゴーニュ</x:v>
      </x:c>
      <x:c r="S670" s="165" t="str">
        <x:v>白ワイン</x:v>
      </x:c>
      <x:c r="T670" s="165" t="str">
        <x:v>フランス</x:v>
      </x:c>
      <x:c r="U670" s="165" t="str">
        <x:v>ピュリニー・モンラッシェ</x:v>
      </x:c>
      <x:c r="V670" s="165" t="str">
        <x:v>シャルドネ</x:v>
      </x:c>
      <x:c r="W670" s="165" t="str">
        <x:v>比較</x:v>
      </x:c>
      <x:c r="X670" s="171" t="str">
        <x:v>D3</x:v>
      </x:c>
      <x:c r="Y670" s="165" t="str">
        <x:v>ピュリニーは温暖・粘土多・MLCで引き締まる; 高糖度・高アルコール・新樽が引き締まりの主因; アリゴテのブレンドで酸を得る</x:v>
      </x:c>
      <x:c r="Z670" s="171" t="str">
        <x:v>N</x:v>
      </x:c>
      <x:c r="AA670" s="165"/>
      <x:c r="AB670" s="165" t="str">
        <x:v>オリジナル</x:v>
      </x:c>
      <x:c r="AC670" s="165" t="str">
        <x:v>WSET公式Specificationの範囲＋ユーザー作成コーパスの論点を参考に独自作成</x:v>
      </x:c>
      <x:c r="AD670" s="171" t="str">
        <x:v>改稿済み・専門家未承認</x:v>
      </x:c>
      <x:c r="AE670" s="171" t="str">
        <x:v>AI誤答レビュー</x:v>
      </x:c>
      <x:c r="AF670" s="171" t="str">
        <x:v>2026-07-12</x:v>
      </x:c>
      <x:c r="AG670" s="369" t="str">
        <x:v>第3バッチ：同一論点内の典型的誤概念へ置換。正答位置は維持。</x:v>
      </x:c>
    </x:row>
    <x:row r="671" ht="84" customHeight="1">
      <x:c r="A671" s="368" t="str">
        <x:v>LO2-130</x:v>
      </x:c>
      <x:c r="B671" s="171" t="str">
        <x:v>LO2</x:v>
      </x:c>
      <x:c r="C671" s="165" t="str">
        <x:v>世界の主要な非発泡性ワイン</x:v>
      </x:c>
      <x:c r="D671" s="165" t="str">
        <x:v>フルーリー</x:v>
      </x:c>
      <x:c r="E671" s="165" t="str">
        <x:v>フルーリーのクリュ・ボージョレに典型的な特徴はどれか。</x:v>
      </x:c>
      <x:c r="F671" s="165" t="str">
        <x:v>シャルドネ主体の樽熟成白</x:v>
      </x:c>
      <x:c r="G671" s="165" t="str">
        <x:v>ガメイから造る、赤い果実、スミレ、軽やかなタンニンを持つ香り高い赤</x:v>
      </x:c>
      <x:c r="H671" s="165" t="str">
        <x:v>カベルネ主体の高タンニン赤</x:v>
      </x:c>
      <x:c r="I671" s="165" t="str">
        <x:v>濃い黒系果実と高いタンニンを持つ、長期熟成型の力強いガメイ</x:v>
      </x:c>
      <x:c r="J671" s="171" t="str">
        <x:v>B</x:v>
      </x:c>
      <x:c r="K671" s="165" t="str">
        <x:v>ガメイから造る、赤い果実、スミレ、軽やかなタンニンを持つ香り高い赤</x:v>
      </x:c>
      <x:c r="L671" s="165" t="str">
        <x:v>正しい。花崗岩質の斜面と炭酸ガス浸漬系の醸造により、繊細で芳香の高いスタイルになる。</x:v>
      </x:c>
      <x:c r="M671" s="165" t="str">
        <x:v>誤り。フルーリーは赤ワイン産地である。</x:v>
      </x:c>
      <x:c r="N671" s="165" t="str">
        <x:v>正しい。花崗岩質の斜面と炭酸ガス浸漬系の醸造により、繊細で芳香の高いスタイルになる。</x:v>
      </x:c>
      <x:c r="O671" s="165" t="str">
        <x:v>誤り。主要品種はガメイである。</x:v>
      </x:c>
      <x:c r="P671" s="165" t="str">
        <x:v>誤り。これはモルゴンなどの力強いクリュに近く、フルーリーは花香と繊細さで知られる。</x:v>
      </x:c>
      <x:c r="Q671" s="165" t="str">
        <x:v>産地</x:v>
      </x:c>
      <x:c r="R671" s="165" t="str">
        <x:v>ボージョレ</x:v>
      </x:c>
      <x:c r="S671" s="165" t="str">
        <x:v>赤ワイン</x:v>
      </x:c>
      <x:c r="T671" s="165" t="str">
        <x:v>フランス</x:v>
      </x:c>
      <x:c r="U671" s="165" t="str">
        <x:v>フルーリー</x:v>
      </x:c>
      <x:c r="V671" s="165" t="str">
        <x:v>ガメイ</x:v>
      </x:c>
      <x:c r="W671" s="165" t="str">
        <x:v>知識確認</x:v>
      </x:c>
      <x:c r="X671" s="171" t="str">
        <x:v>D1</x:v>
      </x:c>
      <x:c r="Y671" s="165" t="str">
        <x:v>フルーリーについて関連要因を主因とみなす; フルーリーについて関連要因を主因とみなす; フルーリーをモルゴン型と混同</x:v>
      </x:c>
      <x:c r="Z671" s="171" t="str">
        <x:v>N</x:v>
      </x:c>
      <x:c r="AA671" s="165"/>
      <x:c r="AB671" s="165" t="str">
        <x:v>オリジナル</x:v>
      </x:c>
      <x:c r="AC671" s="165" t="str">
        <x:v>WSET公式Specificationの範囲＋ユーザー作成コーパスの論点を参考に独自作成</x:v>
      </x:c>
      <x:c r="AD671" s="171" t="str">
        <x:v>改稿済み・専門家未承認</x:v>
      </x:c>
      <x:c r="AE671" s="171" t="str">
        <x:v>AI誤答レビュー</x:v>
      </x:c>
      <x:c r="AF671" s="171" t="str">
        <x:v>2026-07-12</x:v>
      </x:c>
      <x:c r="AG671" s="369" t="str">
        <x:v>第5バッチ：使用可能な誤答を維持し、弱い誤答を因果逆転・隣接概念へ置換。正答位置は維持。</x:v>
      </x:c>
    </x:row>
    <x:row r="672" ht="84" customHeight="1">
      <x:c r="A672" s="368" t="str">
        <x:v>LO2-131</x:v>
      </x:c>
      <x:c r="B672" s="171" t="str">
        <x:v>LO2</x:v>
      </x:c>
      <x:c r="C672" s="165" t="str">
        <x:v>世界の主要な非発泡性ワイン</x:v>
      </x:c>
      <x:c r="D672" s="165" t="str">
        <x:v>モルゴン</x:v>
      </x:c>
      <x:c r="E672" s="165" t="str">
        <x:v>モルゴンが、多くのボージョレより熟成能力を持ちやすい主な理由はどれか。</x:v>
      </x:c>
      <x:c r="F672" s="165" t="str">
        <x:v>高収量のガメイを炭酸ガス浸漬し、低タンニンの軽い赤にするため</x:v>
      </x:c>
      <x:c r="G672" s="165" t="str">
        <x:v>花崗岩ではなく肥沃な粘土平地で、果粒が大きくなるため</x:v>
      </x:c>
      <x:c r="H672" s="165" t="str">
        <x:v>低収量のガメイから、より深い色、濃い果実味、しっかりしたタンニンを得るため</x:v>
      </x:c>
      <x:c r="I672" s="165" t="str">
        <x:v>ガメイへピノ・ノワールをブレンドし、タンニンを補うため</x:v>
      </x:c>
      <x:c r="J672" s="171" t="str">
        <x:v>C</x:v>
      </x:c>
      <x:c r="K672" s="165" t="str">
        <x:v>低収量のガメイから、より深い色、濃い果実味、しっかりしたタンニンを得るため</x:v>
      </x:c>
      <x:c r="L672" s="165" t="str">
        <x:v>正しい。低収量と十分な抽出により、構造と濃度が高くなる。</x:v>
      </x:c>
      <x:c r="M672" s="165" t="str">
        <x:v>誤り。高収量・低タンニン型は早飲みボージョレに近い。</x:v>
      </x:c>
      <x:c r="N672" s="165" t="str">
        <x:v>誤り。優良畑は花崗岩系丘陵で、肥沃な平地の大粒果が主因ではない。</x:v>
      </x:c>
      <x:c r="O672" s="165" t="str">
        <x:v>正しい。低収量と十分な抽出により、構造と濃度が高くなる。</x:v>
      </x:c>
      <x:c r="P672" s="165" t="str">
        <x:v>誤り。主要品種はガメイで、ピノ・ノワールのブレンドが熟成力の主因ではない。</x:v>
      </x:c>
      <x:c r="Q672" s="165" t="str">
        <x:v>産地</x:v>
      </x:c>
      <x:c r="R672" s="165" t="str">
        <x:v>ボージョレ</x:v>
      </x:c>
      <x:c r="S672" s="165" t="str">
        <x:v>赤ワイン</x:v>
      </x:c>
      <x:c r="T672" s="165" t="str">
        <x:v>フランス</x:v>
      </x:c>
      <x:c r="U672" s="165" t="str">
        <x:v>モルゴン</x:v>
      </x:c>
      <x:c r="V672" s="165" t="str">
        <x:v>ガメイ</x:v>
      </x:c>
      <x:c r="W672" s="165" t="str">
        <x:v>因果説明</x:v>
      </x:c>
      <x:c r="X672" s="171" t="str">
        <x:v>D2</x:v>
      </x:c>
      <x:c r="Y672" s="165" t="str">
        <x:v>モルゴンは高収量・低タンニンだから熟成する; 肥沃な粘土平地と大粒果が主因; ピノ・ノワールのブレンドで熟成力を得る</x:v>
      </x:c>
      <x:c r="Z672" s="171" t="str">
        <x:v>N</x:v>
      </x:c>
      <x:c r="AA672" s="165"/>
      <x:c r="AB672" s="165" t="str">
        <x:v>オリジナル</x:v>
      </x:c>
      <x:c r="AC672" s="165" t="str">
        <x:v>WSET公式Specificationの範囲＋ユーザー作成コーパスの論点を参考に独自作成</x:v>
      </x:c>
      <x:c r="AD672" s="171" t="str">
        <x:v>改稿済み・専門家未承認</x:v>
      </x:c>
      <x:c r="AE672" s="171" t="str">
        <x:v>AI誤答レビュー</x:v>
      </x:c>
      <x:c r="AF672" s="171" t="str">
        <x:v>2026-07-12</x:v>
      </x:c>
      <x:c r="AG672" s="369" t="str">
        <x:v>第3バッチ：同一論点内の典型的誤概念へ置換。正答位置は維持。</x:v>
      </x:c>
    </x:row>
    <x:row r="673" ht="84" customHeight="1">
      <x:c r="A673" s="368" t="str">
        <x:v>LO2-132</x:v>
      </x:c>
      <x:c r="B673" s="171" t="str">
        <x:v>LO2</x:v>
      </x:c>
      <x:c r="C673" s="165" t="str">
        <x:v>世界の主要な非発泡性ワイン</x:v>
      </x:c>
      <x:c r="D673" s="165" t="str">
        <x:v>ミュスカデ・セーヴル・エ・メーヌ</x:v>
      </x:c>
      <x:c r="E673" s="165" t="str">
        <x:v>ミュスカデ・セーヴル・エ・メーヌ・シュール・リーに典型的な特徴はどれか。</x:v>
      </x:c>
      <x:c r="F673" s="165" t="str">
        <x:v>低い酸、軽いボディ、柑橘と塩味を思わせる風味、澱由来のわずかな厚み</x:v>
      </x:c>
      <x:c r="G673" s="165" t="str">
        <x:v>熟した核果、低い酸、新樽のヴァニラ香を持つフルボディ白</x:v>
      </x:c>
      <x:c r="H673" s="165" t="str">
        <x:v>高い残糖と貴腐香を持つ甘口白</x:v>
      </x:c>
      <x:c r="I673" s="165" t="str">
        <x:v>高い酸、軽いボディ、柑橘と塩味を思わせる風味、澱由来のわずかな厚み</x:v>
      </x:c>
      <x:c r="J673" s="171" t="str">
        <x:v>D</x:v>
      </x:c>
      <x:c r="K673" s="165" t="str">
        <x:v>高い酸、軽いボディ、柑橘と塩味を思わせる風味、澱由来のわずかな厚み</x:v>
      </x:c>
      <x:c r="L673" s="165" t="str">
        <x:v>正しい。冷涼な海洋性気候と澱上熟成が、鮮度と軽い質感を両立する。</x:v>
      </x:c>
      <x:c r="M673" s="165" t="str">
        <x:v>誤り。正答では「高い酸」ことが重要であり、この選択肢は「低い酸」へ置き換えて関係を逆にしている。</x:v>
      </x:c>
      <x:c r="N673" s="165" t="str">
        <x:v>誤り。ミュスカデは高酸・軽快で、強い新樽が典型ではない。</x:v>
      </x:c>
      <x:c r="O673" s="165" t="str">
        <x:v>誤り。通常は辛口で、貴腐甘口ではない。</x:v>
      </x:c>
      <x:c r="P673" s="165" t="str">
        <x:v>正しい。冷涼な海洋性気候と澱上熟成が、鮮度と軽い質感を両立する。</x:v>
      </x:c>
      <x:c r="Q673" s="165" t="str">
        <x:v>産地</x:v>
      </x:c>
      <x:c r="R673" s="165" t="str">
        <x:v>ロワール</x:v>
      </x:c>
      <x:c r="S673" s="165" t="str">
        <x:v>白ワイン</x:v>
      </x:c>
      <x:c r="T673" s="165" t="str">
        <x:v>フランス</x:v>
      </x:c>
      <x:c r="U673" s="165" t="str">
        <x:v>ミュスカデ・セーヴル・エ・メーヌ</x:v>
      </x:c>
      <x:c r="V673" s="165" t="str">
        <x:v>ムロン・ド・ブルゴーニュ</x:v>
      </x:c>
      <x:c r="W673" s="165" t="str">
        <x:v>知識確認</x:v>
      </x:c>
      <x:c r="X673" s="171" t="str">
        <x:v>D2</x:v>
      </x:c>
      <x:c r="Y673" s="165" t="str">
        <x:v>「高い酸」と「低い酸」の関係を逆転; ミュスカデを樽熟成フルボディ型と混同; ミュスカデを貴腐甘口と混同</x:v>
      </x:c>
      <x:c r="Z673" s="171" t="str">
        <x:v>N</x:v>
      </x:c>
      <x:c r="AA673" s="165"/>
      <x:c r="AB673" s="165" t="str">
        <x:v>オリジナル</x:v>
      </x:c>
      <x:c r="AC673" s="165" t="str">
        <x:v>WSET公式Specificationの範囲＋ユーザー作成コーパスの論点を参考に独自作成</x:v>
      </x:c>
      <x:c r="AD673" s="171" t="str">
        <x:v>改稿済み・専門家未承認</x:v>
      </x:c>
      <x:c r="AE673" s="171" t="str">
        <x:v>AI誤答レビュー</x:v>
      </x:c>
      <x:c r="AF673" s="171" t="str">
        <x:v>2026-07-12</x:v>
      </x:c>
      <x:c r="AG673" s="369" t="str">
        <x:v>第4バッチ：同一論点内の典型的誤概念へ置換。正答位置は維持。</x:v>
      </x:c>
    </x:row>
    <x:row r="674" ht="84" customHeight="1">
      <x:c r="A674" s="368" t="str">
        <x:v>LO2-133</x:v>
      </x:c>
      <x:c r="B674" s="171" t="str">
        <x:v>LO2</x:v>
      </x:c>
      <x:c r="C674" s="165" t="str">
        <x:v>世界の主要な非発泡性ワイン</x:v>
      </x:c>
      <x:c r="D674" s="165" t="str">
        <x:v>プイィ・フュメ</x:v>
      </x:c>
      <x:c r="E674" s="165" t="str">
        <x:v>プイィ・フュメの典型的なスタイルとして最も適切なものはどれか。</x:v>
      </x:c>
      <x:c r="F674" s="165" t="str">
        <x:v>ソーヴィニヨン・ブランから造る、高い酸、柑橘、青草、煙や火打石を思わせる辛口白</x:v>
      </x:c>
      <x:c r="G674" s="165" t="str">
        <x:v>シャルドネから造る、熟した核果と樽由来のバター香を持つ豊かな辛口白</x:v>
      </x:c>
      <x:c r="H674" s="165" t="str">
        <x:v>シラー主体で、黒果実、黒胡椒、高いタンニンを持つ辛口赤</x:v>
      </x:c>
      <x:c r="I674" s="165" t="str">
        <x:v>モスカート主体で、花香と高い残糖を持つ低アルコールの甘口発泡性</x:v>
      </x:c>
      <x:c r="J674" s="171" t="str">
        <x:v>A</x:v>
      </x:c>
      <x:c r="K674" s="165" t="str">
        <x:v>ソーヴィニヨン・ブランから造る、高い酸、柑橘、青草、煙や火打石を思わせる辛口白</x:v>
      </x:c>
      <x:c r="L674" s="165" t="str">
        <x:v>正しい。ロワール上流の冷涼な大陸性気候と石灰・火打石を含む土壌から、引き締まった白が生まれる。</x:v>
      </x:c>
      <x:c r="M674" s="165" t="str">
        <x:v>正しい。ロワール上流の冷涼な大陸性気候と石灰・火打石を含む土壌から、引き締まった白が生まれる。</x:v>
      </x:c>
      <x:c r="N674" s="165" t="str">
        <x:v>誤り。これはブルゴーニュのシャルドネに近く、プイィ・フュメはソーヴィニヨン・ブランである。</x:v>
      </x:c>
      <x:c r="O674" s="165" t="str">
        <x:v>誤り。プイィ・フュメは白のソーヴィニヨン・ブランである。</x:v>
      </x:c>
      <x:c r="P674" s="165" t="str">
        <x:v>誤り。プイィ・フュメは辛口・非発泡性のソーヴィニヨン・ブランである。</x:v>
      </x:c>
      <x:c r="Q674" s="165" t="str">
        <x:v>産地</x:v>
      </x:c>
      <x:c r="R674" s="165" t="str">
        <x:v>ロワール</x:v>
      </x:c>
      <x:c r="S674" s="165" t="str">
        <x:v>白ワイン</x:v>
      </x:c>
      <x:c r="T674" s="165" t="str">
        <x:v>フランス</x:v>
      </x:c>
      <x:c r="U674" s="165" t="str">
        <x:v>プイィ・フュメ</x:v>
      </x:c>
      <x:c r="V674" s="165" t="str">
        <x:v>ソーヴィニヨン・ブラン</x:v>
      </x:c>
      <x:c r="W674" s="165" t="str">
        <x:v>知識確認</x:v>
      </x:c>
      <x:c r="X674" s="171" t="str">
        <x:v>D2</x:v>
      </x:c>
      <x:c r="Y674" s="165" t="str">
        <x:v>プイィ・フュメを樽熟成シャルドネと混同; プイィ・フュメをシラー赤ワインと混同; プイィ・フュメを甘口発泡性マスカットと混同</x:v>
      </x:c>
      <x:c r="Z674" s="171" t="str">
        <x:v>N</x:v>
      </x:c>
      <x:c r="AA674" s="165"/>
      <x:c r="AB674" s="165" t="str">
        <x:v>オリジナル</x:v>
      </x:c>
      <x:c r="AC674" s="165" t="str">
        <x:v>WSET公式Specificationの範囲＋ユーザー作成コーパスの論点を参考に独自作成</x:v>
      </x:c>
      <x:c r="AD674" s="171" t="str">
        <x:v>改稿済み・専門家未承認</x:v>
      </x:c>
      <x:c r="AE674" s="171" t="str">
        <x:v>AI誤答レビュー</x:v>
      </x:c>
      <x:c r="AF674" s="171" t="str">
        <x:v>2026-07-12</x:v>
      </x:c>
      <x:c r="AG674" s="369" t="str">
        <x:v>第5バッチ：使用可能な誤答を維持し、弱い誤答を因果逆転・隣接概念へ置換。正答位置は維持。</x:v>
      </x:c>
    </x:row>
    <x:row r="675" ht="84" customHeight="1">
      <x:c r="A675" s="368" t="str">
        <x:v>LO2-134</x:v>
      </x:c>
      <x:c r="B675" s="171" t="str">
        <x:v>LO2</x:v>
      </x:c>
      <x:c r="C675" s="165" t="str">
        <x:v>世界の主要な非発泡性ワイン</x:v>
      </x:c>
      <x:c r="D675" s="165" t="str">
        <x:v>ソミュール・シャンピニー</x:v>
      </x:c>
      <x:c r="E675" s="165" t="str">
        <x:v>ソミュール・シャンピニーの赤ワインに典型的な特徴はどれか。</x:v>
      </x:c>
      <x:c r="F675" s="165" t="str">
        <x:v>シュナン・ブラン主体の甘口白だけ</x:v>
      </x:c>
      <x:c r="G675" s="165" t="str">
        <x:v>カベルネ・フランから造る、赤系果実、高い酸、中程度のタンニンを持つ辛口赤</x:v>
      </x:c>
      <x:c r="H675" s="165" t="str">
        <x:v>グルナッシュ主体の高アルコール赤</x:v>
      </x:c>
      <x:c r="I675" s="165" t="str">
        <x:v>カベルネ・フランから造る、赤系果実、低い酸、中程度のタンニンを持つ辛口赤</x:v>
      </x:c>
      <x:c r="J675" s="171" t="str">
        <x:v>B</x:v>
      </x:c>
      <x:c r="K675" s="165" t="str">
        <x:v>カベルネ・フランから造る、赤系果実、高い酸、中程度のタンニンを持つ辛口赤</x:v>
      </x:c>
      <x:c r="L675" s="165" t="str">
        <x:v>正しい。石灰質のトゥフォー土壌と比較的冷涼な気候から、香り高く軽快から中程度のボディの赤を生む。</x:v>
      </x:c>
      <x:c r="M675" s="165" t="str">
        <x:v>誤り。ソミュールには白や発泡性もあるが、シャンピニーは赤である。</x:v>
      </x:c>
      <x:c r="N675" s="165" t="str">
        <x:v>正しい。石灰質のトゥフォー土壌と比較的冷涼な気候から、香り高く軽快から中程度のボディの赤を生む。</x:v>
      </x:c>
      <x:c r="O675" s="165" t="str">
        <x:v>誤り。南ローヌのスタイルに近い。</x:v>
      </x:c>
      <x:c r="P675" s="165" t="str">
        <x:v>誤り。正答の「高い酸」を「低い酸」へ置き換えており、酸の水準を逆にしている。</x:v>
      </x:c>
      <x:c r="Q675" s="165" t="str">
        <x:v>産地</x:v>
      </x:c>
      <x:c r="R675" s="165" t="str">
        <x:v>ロワール</x:v>
      </x:c>
      <x:c r="S675" s="165" t="str">
        <x:v>赤ワイン</x:v>
      </x:c>
      <x:c r="T675" s="165" t="str">
        <x:v>フランス</x:v>
      </x:c>
      <x:c r="U675" s="165" t="str">
        <x:v>ソミュール・シャンピニー</x:v>
      </x:c>
      <x:c r="V675" s="165" t="str">
        <x:v>カベルネ・フラン</x:v>
      </x:c>
      <x:c r="W675" s="165" t="str">
        <x:v>知識確認</x:v>
      </x:c>
      <x:c r="X675" s="171" t="str">
        <x:v>D2</x:v>
      </x:c>
      <x:c r="Y675" s="165" t="str">
        <x:v>ソミュール・シャンピニーについて関連要因を主因とみなす; ソミュール・シャンピニーについて関連要因を主因とみなす; 高い酸と低い酸を混同</x:v>
      </x:c>
      <x:c r="Z675" s="171" t="str">
        <x:v>N</x:v>
      </x:c>
      <x:c r="AA675" s="165"/>
      <x:c r="AB675" s="165" t="str">
        <x:v>オリジナル</x:v>
      </x:c>
      <x:c r="AC675" s="165" t="str">
        <x:v>WSET公式Specificationの範囲＋ユーザー作成コーパスの論点を参考に独自作成</x:v>
      </x:c>
      <x:c r="AD675" s="171" t="str">
        <x:v>改稿済み・専門家未承認</x:v>
      </x:c>
      <x:c r="AE675" s="171" t="str">
        <x:v>AI誤答レビュー</x:v>
      </x:c>
      <x:c r="AF675" s="171" t="str">
        <x:v>2026-07-12</x:v>
      </x:c>
      <x:c r="AG675" s="369" t="str">
        <x:v>第5バッチ：使用可能な誤答を維持し、弱い誤答を因果逆転・隣接概念へ置換。正答位置は維持。</x:v>
      </x:c>
    </x:row>
    <x:row r="676" ht="84" customHeight="1">
      <x:c r="A676" s="368" t="str">
        <x:v>LO2-135</x:v>
      </x:c>
      <x:c r="B676" s="171" t="str">
        <x:v>LO2</x:v>
      </x:c>
      <x:c r="C676" s="165" t="str">
        <x:v>世界の主要な非発泡性ワイン</x:v>
      </x:c>
      <x:c r="D676" s="165" t="str">
        <x:v>クローズ・エルミタージュ</x:v>
      </x:c>
      <x:c r="E676" s="165" t="str">
        <x:v>クローズ・エルミタージュがエルミタージュより一般に早飲みで手頃な価格になりやすい主な理由はどれか。</x:v>
      </x:c>
      <x:c r="F676" s="165" t="str">
        <x:v>ヴィオニエの混植比率が高く、シラーの色とタンニンが常に低くなるため</x:v>
      </x:c>
      <x:c r="G676" s="165" t="str">
        <x:v>オーク樽熟成が認められず、果実味中心の若いスタイルに限定されるため</x:v>
      </x:c>
      <x:c r="H676" s="165" t="str">
        <x:v>広い平地と緩斜面を含み、収量が高く機械化しやすい畑が多いため</x:v>
      </x:c>
      <x:c r="I676" s="165" t="str">
        <x:v>エルミタージュより標高が高く冷涼な畑が中心で、シラーの成熟度が常に低いため</x:v>
      </x:c>
      <x:c r="J676" s="171" t="str">
        <x:v>C</x:v>
      </x:c>
      <x:c r="K676" s="165" t="str">
        <x:v>広い平地と緩斜面を含み、収量が高く機械化しやすい畑が多いため</x:v>
      </x:c>
      <x:c r="L676" s="165" t="str">
        <x:v>正しい。アペラシオンが広く、平地や緩斜面の機械化可能な畑と比較的高い収量により、生産コストと凝縮度がエルミタージュより低くなりやすい。</x:v>
      </x:c>
      <x:c r="M676" s="165" t="str">
        <x:v>誤り。ヴィオニエとの共発酵はコート・ロティで特に知られ、クローズ・エルミタージュの価格差を説明する主因ではない。</x:v>
      </x:c>
      <x:c r="N676" s="165" t="str">
        <x:v>誤り。クローズ・エルミタージュでも樽熟成は可能で、スタイルは生産者と畑によって異なる。</x:v>
      </x:c>
      <x:c r="O676" s="165" t="str">
        <x:v>正しい。アペラシオンが広く、平地や緩斜面の機械化可能な畑と比較的高い収量により、生産コストと凝縮度がエルミタージュより低くなりやすい。</x:v>
      </x:c>
      <x:c r="P676" s="165" t="str">
        <x:v>誤り。クローズ全体がエルミタージュより高標高・低成熟というわけではなく、主な差は畑の質、斜面、収量、機械化可能性である。</x:v>
      </x:c>
      <x:c r="Q676" s="165" t="str">
        <x:v>商業・価格</x:v>
      </x:c>
      <x:c r="R676" s="165" t="str">
        <x:v>北部ローヌ</x:v>
      </x:c>
      <x:c r="S676" s="165" t="str">
        <x:v>赤ワイン</x:v>
      </x:c>
      <x:c r="T676" s="165" t="str">
        <x:v>フランス</x:v>
      </x:c>
      <x:c r="U676" s="165" t="str">
        <x:v>クローズ・エルミタージュ</x:v>
      </x:c>
      <x:c r="V676" s="165" t="str">
        <x:v>シラー</x:v>
      </x:c>
      <x:c r="W676" s="165" t="str">
        <x:v>統合判断</x:v>
      </x:c>
      <x:c r="X676" s="171" t="str">
        <x:v>D3</x:v>
      </x:c>
      <x:c r="Y676" s="165" t="str">
        <x:v>価格差はヴィオニエ混植; クローズは樽熟成禁止; クローズは一律に高標高・低成熟</x:v>
      </x:c>
      <x:c r="Z676" s="171" t="str">
        <x:v>N</x:v>
      </x:c>
      <x:c r="AA676" s="165"/>
      <x:c r="AB676" s="165" t="str">
        <x:v>オリジナル</x:v>
      </x:c>
      <x:c r="AC676" s="165" t="str">
        <x:v>WSET公式Specificationの範囲＋ユーザー作成コーパスの論点を参考に独自作成</x:v>
      </x:c>
      <x:c r="AD676" s="171" t="str">
        <x:v>改稿済み・専門家未承認</x:v>
      </x:c>
      <x:c r="AE676" s="171" t="str">
        <x:v>AI誤答レビュー</x:v>
      </x:c>
      <x:c r="AF676" s="171" t="str">
        <x:v>2026-07-12</x:v>
      </x:c>
      <x:c r="AG676" s="369" t="str">
        <x:v>誤答を同一論点内の典型的誤概念へ置換。900問本体への反映前に専門家確認推奨。</x:v>
      </x:c>
    </x:row>
    <x:row r="677" ht="84" customHeight="1">
      <x:c r="A677" s="368" t="str">
        <x:v>LO2-136</x:v>
      </x:c>
      <x:c r="B677" s="171" t="str">
        <x:v>LO2</x:v>
      </x:c>
      <x:c r="C677" s="165" t="str">
        <x:v>世界の主要な非発泡性ワイン</x:v>
      </x:c>
      <x:c r="D677" s="165" t="str">
        <x:v>サン・ジョゼフ</x:v>
      </x:c>
      <x:c r="E677" s="165" t="str">
        <x:v>サン・ジョゼフの優良なシラーに期待される特徴はどれか。</x:v>
      </x:c>
      <x:c r="F677" s="165" t="str">
        <x:v>低酸の甘口白</x:v>
      </x:c>
      <x:c r="G677" s="165" t="str">
        <x:v>グレーラ主体の発泡性</x:v>
      </x:c>
      <x:c r="H677" s="165" t="str">
        <x:v>ネッビオーロ主体のバローロ型</x:v>
      </x:c>
      <x:c r="I677" s="165" t="str">
        <x:v>黒系果実、黒胡椒、花、高い酸、中程度以上のタンニン</x:v>
      </x:c>
      <x:c r="J677" s="171" t="str">
        <x:v>D</x:v>
      </x:c>
      <x:c r="K677" s="165" t="str">
        <x:v>黒系果実、黒胡椒、花、高い酸、中程度以上のタンニン</x:v>
      </x:c>
      <x:c r="L677" s="165" t="str">
        <x:v>正しい。花崗岩の急斜面では成熟と排水に恵まれ、北部ローヌらしい香りと構造が得られる。</x:v>
      </x:c>
      <x:c r="M677" s="165" t="str">
        <x:v>誤り。シラーの辛口赤が中心である。</x:v>
      </x:c>
      <x:c r="N677" s="165" t="str">
        <x:v>誤り。プロセッコの特徴である。</x:v>
      </x:c>
      <x:c r="O677" s="165" t="str">
        <x:v>誤り。品種と地域が異なる。</x:v>
      </x:c>
      <x:c r="P677" s="165" t="str">
        <x:v>正しい。花崗岩の急斜面では成熟と排水に恵まれ、北部ローヌらしい香りと構造が得られる。</x:v>
      </x:c>
      <x:c r="Q677" s="165" t="str">
        <x:v>産地</x:v>
      </x:c>
      <x:c r="R677" s="165" t="str">
        <x:v>北部ローヌ</x:v>
      </x:c>
      <x:c r="S677" s="165" t="str">
        <x:v>赤ワイン</x:v>
      </x:c>
      <x:c r="T677" s="165" t="str">
        <x:v>フランス</x:v>
      </x:c>
      <x:c r="U677" s="165" t="str">
        <x:v>サン・ジョゼフ</x:v>
      </x:c>
      <x:c r="V677" s="165" t="str">
        <x:v>シラー</x:v>
      </x:c>
      <x:c r="W677" s="165" t="str">
        <x:v>知識確認</x:v>
      </x:c>
      <x:c r="X677" s="171" t="str">
        <x:v>D2</x:v>
      </x:c>
      <x:c r="Y677" s="165" t="str">
        <x:v>サン・ジョゼフに関する別の特徴・要因と混同; サン・ジョゼフに関する別の特徴・要因と混同; サン・ジョゼフに関する別の特徴・要因と混同</x:v>
      </x:c>
      <x:c r="Z677" s="171" t="str">
        <x:v>N</x:v>
      </x:c>
      <x:c r="AA677" s="165"/>
      <x:c r="AB677" s="165" t="str">
        <x:v>オリジナル</x:v>
      </x:c>
      <x:c r="AC677" s="165" t="str">
        <x:v>WSET公式Specificationの範囲＋ユーザー作成コーパスの論点を参考に独自作成</x:v>
      </x:c>
      <x:c r="AD677" s="171" t="str">
        <x:v>改稿済み・専門家未承認</x:v>
      </x:c>
      <x:c r="AE677" s="171" t="str">
        <x:v>AI誤答レビュー</x:v>
      </x:c>
      <x:c r="AF677" s="171" t="str">
        <x:v>2026-07-12</x:v>
      </x:c>
      <x:c r="AG677" s="369" t="str">
        <x:v>最終バッチ：有効な誤答を維持し、絶対語・物理的不可能な誤答のみ置換。正答位置は維持。</x:v>
      </x:c>
    </x:row>
    <x:row r="678" ht="84" customHeight="1">
      <x:c r="A678" s="368" t="str">
        <x:v>LO2-137</x:v>
      </x:c>
      <x:c r="B678" s="171" t="str">
        <x:v>LO2</x:v>
      </x:c>
      <x:c r="C678" s="165" t="str">
        <x:v>世界の主要な非発泡性ワイン</x:v>
      </x:c>
      <x:c r="D678" s="165" t="str">
        <x:v>コート・デュ・ローヌ・ヴィラージュ</x:v>
      </x:c>
      <x:c r="E678" s="165" t="str">
        <x:v>コート・デュ・ローヌ・ヴィラージュが、基本のコート・デュ・ローヌより高品質になりやすい主な理由はどれか。</x:v>
      </x:c>
      <x:c r="F678" s="165" t="str">
        <x:v>指定された優良村・区域で、より厳しい収量や成熟基準を満たすため</x:v>
      </x:c>
      <x:c r="G678" s="165" t="str">
        <x:v>基本AOCと同じ地理・収量基準だが、長期オーク熟成だけが追加で義務付けられるため</x:v>
      </x:c>
      <x:c r="H678" s="165" t="str">
        <x:v>より高い収量を認める代わりに、使用品種をグルナッシュ一種へ限定するため</x:v>
      </x:c>
      <x:c r="I678" s="165" t="str">
        <x:v>生産者の評価だけで表示でき、畑の所在地や成熟度は要件にならないため</x:v>
      </x:c>
      <x:c r="J678" s="171" t="str">
        <x:v>A</x:v>
      </x:c>
      <x:c r="K678" s="165" t="str">
        <x:v>指定された優良村・区域で、より厳しい収量や成熟基準を満たすため</x:v>
      </x:c>
      <x:c r="L678" s="165" t="str">
        <x:v>正しい。指定区域とより厳しい栽培・成熟要件が、凝縮度の高いブドウを生みやすい。</x:v>
      </x:c>
      <x:c r="M678" s="165" t="str">
        <x:v>正しい。指定区域とより厳しい栽培・成熟要件が、凝縮度の高いブドウを生みやすい。</x:v>
      </x:c>
      <x:c r="N678" s="165" t="str">
        <x:v>誤り。品質差を一律の長期オーク熟成義務だけで説明できず、地理と栽培基準が重要である。</x:v>
      </x:c>
      <x:c r="O678" s="165" t="str">
        <x:v>誤り。一般に収量要件は厳しく、単一品種限定で高収量を認める制度ではない。</x:v>
      </x:c>
      <x:c r="P678" s="165" t="str">
        <x:v>誤り。地理的表示であり、指定区域や規定への適合が必要である。</x:v>
      </x:c>
      <x:c r="Q678" s="165" t="str">
        <x:v>法律・表示</x:v>
      </x:c>
      <x:c r="R678" s="165" t="str">
        <x:v>南部ローヌ</x:v>
      </x:c>
      <x:c r="S678" s="165" t="str">
        <x:v>赤ワイン</x:v>
      </x:c>
      <x:c r="T678" s="165" t="str">
        <x:v>フランス</x:v>
      </x:c>
      <x:c r="U678" s="165" t="str">
        <x:v>コート・デュ・ローヌ・ヴィラージュ</x:v>
      </x:c>
      <x:c r="V678" s="165" t="str">
        <x:v>グルナッシュ、シラー、ムールヴェードル</x:v>
      </x:c>
      <x:c r="W678" s="165" t="str">
        <x:v>因果説明</x:v>
      </x:c>
      <x:c r="X678" s="171" t="str">
        <x:v>D2</x:v>
      </x:c>
      <x:c r="Y678" s="165" t="str">
        <x:v>ヴィラージュは熟成義務だけの区分; ヴィラージュは高収量・グルナッシュ単一; ヴィラージュは生産者評価だけで表示可能</x:v>
      </x:c>
      <x:c r="Z678" s="171" t="str">
        <x:v>Y</x:v>
      </x:c>
      <x:c r="AA678" s="165" t="str">
        <x:v>コート・デュ・ローヌ・ヴィラージュの現行規定を最新教材と照合推奨</x:v>
      </x:c>
      <x:c r="AB678" s="165" t="str">
        <x:v>オリジナル</x:v>
      </x:c>
      <x:c r="AC678" s="165" t="str">
        <x:v>WSET公式Specificationの範囲＋ユーザー作成コーパスの論点を参考に独自作成</x:v>
      </x:c>
      <x:c r="AD678" s="171" t="str">
        <x:v>改稿済み・専門家未承認</x:v>
      </x:c>
      <x:c r="AE678" s="171" t="str">
        <x:v>AI誤答レビュー</x:v>
      </x:c>
      <x:c r="AF678" s="171" t="str">
        <x:v>2026-07-12</x:v>
      </x:c>
      <x:c r="AG678" s="369" t="str">
        <x:v>第2バッチ：誤答を同一論点内の典型的誤概念へ置換。正答位置は維持。</x:v>
      </x:c>
    </x:row>
    <x:row r="679" ht="84" customHeight="1">
      <x:c r="A679" s="368" t="str">
        <x:v>LO2-138</x:v>
      </x:c>
      <x:c r="B679" s="171" t="str">
        <x:v>LO2</x:v>
      </x:c>
      <x:c r="C679" s="165" t="str">
        <x:v>世界の主要な非発泡性ワイン</x:v>
      </x:c>
      <x:c r="D679" s="165" t="str">
        <x:v>リラック</x:v>
      </x:c>
      <x:c r="E679" s="165" t="str">
        <x:v>リラックの赤ワインに典型的なスタイルはどれか。</x:v>
      </x:c>
      <x:c r="F679" s="165" t="str">
        <x:v>カベルネ主体で、ポイヤックの構造とマルゴーの香り高さの中間的な均衡を持つ</x:v>
      </x:c>
      <x:c r="G679" s="165" t="str">
        <x:v>グルナッシュ主体で、熟した赤・黒系果実、スパイス、中程度以上のボディを持つ</x:v>
      </x:c>
      <x:c r="H679" s="165" t="str">
        <x:v>シラー単一で、高い酸と黒胡椒を持つ北部ローヌ型</x:v>
      </x:c>
      <x:c r="I679" s="165" t="str">
        <x:v>ピノ・ノワール主体で、淡色・低タンニンの冷涼赤</x:v>
      </x:c>
      <x:c r="J679" s="171" t="str">
        <x:v>B</x:v>
      </x:c>
      <x:c r="K679" s="165" t="str">
        <x:v>グルナッシュ主体で、熟した赤・黒系果実、スパイス、中程度以上のボディを持つ</x:v>
      </x:c>
      <x:c r="L679" s="165" t="str">
        <x:v>正しい。温暖な南部ローヌで、グルナッシュ、シラー、ムールヴェードルなどをブレンドする。</x:v>
      </x:c>
      <x:c r="M679" s="165" t="str">
        <x:v>誤り。これは同じ知識領域の「サン・ジュリアン」に当てはまる説明で、設問の「リラック」を最も適切に説明しない。</x:v>
      </x:c>
      <x:c r="N679" s="165" t="str">
        <x:v>正しい。温暖な南部ローヌで、グルナッシュ、シラー、ムールヴェードルなどをブレンドする。</x:v>
      </x:c>
      <x:c r="O679" s="165" t="str">
        <x:v>誤り。リラックは南部ローヌの複数品種ブレンドが中心である。</x:v>
      </x:c>
      <x:c r="P679" s="165" t="str">
        <x:v>誤り。主要品種と気候が異なる。</x:v>
      </x:c>
      <x:c r="Q679" s="165" t="str">
        <x:v>産地</x:v>
      </x:c>
      <x:c r="R679" s="165" t="str">
        <x:v>南部ローヌ</x:v>
      </x:c>
      <x:c r="S679" s="165" t="str">
        <x:v>赤ワイン</x:v>
      </x:c>
      <x:c r="T679" s="165" t="str">
        <x:v>フランス</x:v>
      </x:c>
      <x:c r="U679" s="165" t="str">
        <x:v>リラック</x:v>
      </x:c>
      <x:c r="V679" s="165" t="str">
        <x:v>グルナッシュ、シラー、ムールヴェードル</x:v>
      </x:c>
      <x:c r="W679" s="165" t="str">
        <x:v>知識確認</x:v>
      </x:c>
      <x:c r="X679" s="171" t="str">
        <x:v>D2</x:v>
      </x:c>
      <x:c r="Y679" s="165" t="str">
        <x:v>リラックをサン・ジュリアンの特徴と混同; リラックを北部ローヌ・シラー単一と混同; リラックを冷涼ピノ型と混同</x:v>
      </x:c>
      <x:c r="Z679" s="171" t="str">
        <x:v>N</x:v>
      </x:c>
      <x:c r="AA679" s="165"/>
      <x:c r="AB679" s="165" t="str">
        <x:v>オリジナル</x:v>
      </x:c>
      <x:c r="AC679" s="165" t="str">
        <x:v>WSET公式Specificationの範囲＋ユーザー作成コーパスの論点を参考に独自作成</x:v>
      </x:c>
      <x:c r="AD679" s="171" t="str">
        <x:v>改稿済み・専門家未承認</x:v>
      </x:c>
      <x:c r="AE679" s="171" t="str">
        <x:v>AI誤答レビュー</x:v>
      </x:c>
      <x:c r="AF679" s="171" t="str">
        <x:v>2026-07-12</x:v>
      </x:c>
      <x:c r="AG679" s="369" t="str">
        <x:v>第4バッチ：同一論点内の典型的誤概念へ置換。正答位置は維持。</x:v>
      </x:c>
    </x:row>
    <x:row r="680" ht="84" customHeight="1">
      <x:c r="A680" s="368" t="str">
        <x:v>LO2-139</x:v>
      </x:c>
      <x:c r="B680" s="171" t="str">
        <x:v>LO2</x:v>
      </x:c>
      <x:c r="C680" s="165" t="str">
        <x:v>世界の主要な非発泡性ワイン</x:v>
      </x:c>
      <x:c r="D680" s="165" t="str">
        <x:v>ミネルヴォワ</x:v>
      </x:c>
      <x:c r="E680" s="165" t="str">
        <x:v>ミネルヴォワの典型的な赤ワインを最もよく説明しているものはどれか。</x:v>
      </x:c>
      <x:c r="F680" s="165" t="str">
        <x:v>モスカート主体の甘口発泡性</x:v>
      </x:c>
      <x:c r="G680" s="165" t="str">
        <x:v>ネッビオーロ主体の高酸高タンニン赤</x:v>
      </x:c>
      <x:c r="H680" s="165" t="str">
        <x:v>シラー、グルナッシュ、カリニャンなどから造る、熟した果実とハーブ香を持つ辛口赤</x:v>
      </x:c>
      <x:c r="I680" s="165" t="str">
        <x:v>ソーヴィニヨン・ブラン主体の冷涼白</x:v>
      </x:c>
      <x:c r="J680" s="171" t="str">
        <x:v>C</x:v>
      </x:c>
      <x:c r="K680" s="165" t="str">
        <x:v>シラー、グルナッシュ、カリニャンなどから造る、熟した果実とハーブ香を持つ辛口赤</x:v>
      </x:c>
      <x:c r="L680" s="165" t="str">
        <x:v>正しい。地中海性の暖かく乾燥した気候と石の多い畑から、果実味豊かでスパイシーなスタイルになる。</x:v>
      </x:c>
      <x:c r="M680" s="165" t="str">
        <x:v>誤り。アスティに近い。</x:v>
      </x:c>
      <x:c r="N680" s="165" t="str">
        <x:v>誤り。ピエモンテの特徴である。</x:v>
      </x:c>
      <x:c r="O680" s="165" t="str">
        <x:v>正しい。地中海性の暖かく乾燥した気候と石の多い畑から、果実味豊かでスパイシーなスタイルになる。</x:v>
      </x:c>
      <x:c r="P680" s="165" t="str">
        <x:v>誤り。南フランスの赤ブレンドが中心である。</x:v>
      </x:c>
      <x:c r="Q680" s="165" t="str">
        <x:v>産地</x:v>
      </x:c>
      <x:c r="R680" s="165" t="str">
        <x:v>ラングドック</x:v>
      </x:c>
      <x:c r="S680" s="165" t="str">
        <x:v>赤ワイン</x:v>
      </x:c>
      <x:c r="T680" s="165" t="str">
        <x:v>フランス</x:v>
      </x:c>
      <x:c r="U680" s="165" t="str">
        <x:v>ミネルヴォワ</x:v>
      </x:c>
      <x:c r="V680" s="165" t="str">
        <x:v>シラー、グルナッシュ、カリニャン</x:v>
      </x:c>
      <x:c r="W680" s="165" t="str">
        <x:v>知識確認</x:v>
      </x:c>
      <x:c r="X680" s="171" t="str">
        <x:v>D1</x:v>
      </x:c>
      <x:c r="Y680" s="165" t="str">
        <x:v>ミネルヴォワについて関連要因を主因とみなす; ミネルヴォワについて関連要因を主因とみなす; ミネルヴォワについて関連要因を主因とみなす</x:v>
      </x:c>
      <x:c r="Z680" s="171" t="str">
        <x:v>N</x:v>
      </x:c>
      <x:c r="AA680" s="165"/>
      <x:c r="AB680" s="165" t="str">
        <x:v>オリジナル</x:v>
      </x:c>
      <x:c r="AC680" s="165" t="str">
        <x:v>WSET公式Specificationの範囲＋ユーザー作成コーパスの論点を参考に独自作成</x:v>
      </x:c>
      <x:c r="AD680" s="171" t="str">
        <x:v>改稿済み・専門家未承認</x:v>
      </x:c>
      <x:c r="AE680" s="171" t="str">
        <x:v>AI誤答レビュー</x:v>
      </x:c>
      <x:c r="AF680" s="171" t="str">
        <x:v>2026-07-12</x:v>
      </x:c>
      <x:c r="AG680" s="369" t="str">
        <x:v>第5バッチ：使用可能な誤答を維持し、弱い誤答を因果逆転・隣接概念へ置換。正答位置は維持。</x:v>
      </x:c>
    </x:row>
    <x:row r="681" ht="84" customHeight="1">
      <x:c r="A681" s="368" t="str">
        <x:v>LO2-140</x:v>
      </x:c>
      <x:c r="B681" s="171" t="str">
        <x:v>LO2</x:v>
      </x:c>
      <x:c r="C681" s="165" t="str">
        <x:v>世界の主要な非発泡性ワイン</x:v>
      </x:c>
      <x:c r="D681" s="165" t="str">
        <x:v>フィトゥー</x:v>
      </x:c>
      <x:c r="E681" s="165" t="str">
        <x:v>フィトゥーの赤ワインで、古木カリニャンが重要な理由はどれか。</x:v>
      </x:c>
      <x:c r="F681" s="165" t="str">
        <x:v>高収量でも酸と色が安定し、軽快で早飲みの赤を造りやすいため</x:v>
      </x:c>
      <x:c r="G681" s="165" t="str">
        <x:v>白ブドウとして高い酸を与え、グルナッシュの色を薄めるため</x:v>
      </x:c>
      <x:c r="H681" s="165" t="str">
        <x:v>早熟で糖度が上がりやすく、アルコールだけを補うため</x:v>
      </x:c>
      <x:c r="I681" s="165" t="str">
        <x:v>低収量の古木が濃い色、酸、タンニン、野生のハーブ香を与えるため</x:v>
      </x:c>
      <x:c r="J681" s="171" t="str">
        <x:v>D</x:v>
      </x:c>
      <x:c r="K681" s="165" t="str">
        <x:v>低収量の古木が濃い色、酸、タンニン、野生のハーブ香を与えるため</x:v>
      </x:c>
      <x:c r="L681" s="165" t="str">
        <x:v>正しい。古木の低収量が、濃い果実、酸、タンニン、ハーブ香をもたらす。</x:v>
      </x:c>
      <x:c r="M681" s="165" t="str">
        <x:v>誤り。古木カリニャンの価値は高収量ではなく、低収量による凝縮にある。</x:v>
      </x:c>
      <x:c r="N681" s="165" t="str">
        <x:v>誤り。カリニャンは黒品種で、色を薄める役割ではない。</x:v>
      </x:c>
      <x:c r="O681" s="165" t="str">
        <x:v>誤り。比較的晩熟で、酸と構造も与えるため、アルコールだけの補完ではない。</x:v>
      </x:c>
      <x:c r="P681" s="165" t="str">
        <x:v>正しい。古木の低収量が、濃い果実、酸、タンニン、ハーブ香をもたらす。</x:v>
      </x:c>
      <x:c r="Q681" s="165" t="str">
        <x:v>品種</x:v>
      </x:c>
      <x:c r="R681" s="165" t="str">
        <x:v>ラングドック</x:v>
      </x:c>
      <x:c r="S681" s="165" t="str">
        <x:v>赤ワイン</x:v>
      </x:c>
      <x:c r="T681" s="165" t="str">
        <x:v>フランス</x:v>
      </x:c>
      <x:c r="U681" s="165" t="str">
        <x:v>フィトゥー</x:v>
      </x:c>
      <x:c r="V681" s="165" t="str">
        <x:v>カリニャン、グルナッシュ、シラー</x:v>
      </x:c>
      <x:c r="W681" s="165" t="str">
        <x:v>因果説明</x:v>
      </x:c>
      <x:c r="X681" s="171" t="str">
        <x:v>D2</x:v>
      </x:c>
      <x:c r="Y681" s="165" t="str">
        <x:v>古木カリニャンは高収量・早飲み向き; カリニャンは白品種; カリニャンは早熟でアルコールだけを与える</x:v>
      </x:c>
      <x:c r="Z681" s="171" t="str">
        <x:v>N</x:v>
      </x:c>
      <x:c r="AA681" s="165"/>
      <x:c r="AB681" s="165" t="str">
        <x:v>オリジナル</x:v>
      </x:c>
      <x:c r="AC681" s="165" t="str">
        <x:v>WSET公式Specificationの範囲＋ユーザー作成コーパスの論点を参考に独自作成</x:v>
      </x:c>
      <x:c r="AD681" s="171" t="str">
        <x:v>改稿済み・専門家未承認</x:v>
      </x:c>
      <x:c r="AE681" s="171" t="str">
        <x:v>AI誤答レビュー</x:v>
      </x:c>
      <x:c r="AF681" s="171" t="str">
        <x:v>2026-07-12</x:v>
      </x:c>
      <x:c r="AG681" s="369" t="str">
        <x:v>第3バッチ：同一論点内の典型的誤概念へ置換。正答位置は維持。</x:v>
      </x:c>
    </x:row>
    <x:row r="682" ht="84" customHeight="1">
      <x:c r="A682" s="368" t="str">
        <x:v>LO2-141</x:v>
      </x:c>
      <x:c r="B682" s="171" t="str">
        <x:v>LO2</x:v>
      </x:c>
      <x:c r="C682" s="165" t="str">
        <x:v>世界の主要な非発泡性ワイン</x:v>
      </x:c>
      <x:c r="D682" s="165" t="str">
        <x:v>コルビエール</x:v>
      </x:c>
      <x:c r="E682" s="165" t="str">
        <x:v>コルビエールで多様な赤ワインスタイルが生まれる主な理由はどれか。</x:v>
      </x:c>
      <x:c r="F682" s="165" t="str">
        <x:v>海沿いから高い内陸まで標高、土壌、風の条件が大きく異なるため</x:v>
      </x:c>
      <x:c r="G682" s="165" t="str">
        <x:v>暑く乾燥した気候と低収量の古木が、小粒で風味の濃い果実を生むため</x:v>
      </x:c>
      <x:c r="H682" s="165" t="str">
        <x:v>単一品種カリニャンだけが許可され、醸造方法で多様性を出すため</x:v>
      </x:c>
      <x:c r="I682" s="165" t="str">
        <x:v>地域全体が平坦で均一だが、生産者ごとの新樽使用量だけが異なるため</x:v>
      </x:c>
      <x:c r="J682" s="171" t="str">
        <x:v>A</x:v>
      </x:c>
      <x:c r="K682" s="165" t="str">
        <x:v>海沿いから高い内陸まで標高、土壌、風の条件が大きく異なるため</x:v>
      </x:c>
      <x:c r="L682" s="165" t="str">
        <x:v>正しい。沿岸の温暖地から高地の冷涼区画まで、メソ気候が大きく異なる。</x:v>
      </x:c>
      <x:c r="M682" s="165" t="str">
        <x:v>正しい。沿岸の温暖地から高地の冷涼区画まで、メソ気候が大きく異なる。</x:v>
      </x:c>
      <x:c r="N682" s="165" t="str">
        <x:v>誤り。これは同じ知識領域の「ルーションの辛口赤」に当てはまる説明で、設問の「コルビエール」を最も適切に説明しない。</x:v>
      </x:c>
      <x:c r="O682" s="165" t="str">
        <x:v>誤り。複数品種と多様な地形がスタイル差を生む。</x:v>
      </x:c>
      <x:c r="P682" s="165" t="str">
        <x:v>誤り。自然条件の多様性が大きい。</x:v>
      </x:c>
      <x:c r="Q682" s="165" t="str">
        <x:v>自然要因</x:v>
      </x:c>
      <x:c r="R682" s="165" t="str">
        <x:v>ラングドック</x:v>
      </x:c>
      <x:c r="S682" s="165" t="str">
        <x:v>赤ワイン</x:v>
      </x:c>
      <x:c r="T682" s="165" t="str">
        <x:v>フランス</x:v>
      </x:c>
      <x:c r="U682" s="165" t="str">
        <x:v>コルビエール</x:v>
      </x:c>
      <x:c r="V682" s="165" t="str">
        <x:v>グルナッシュ、シラー、カリニャン、ムールヴェードル</x:v>
      </x:c>
      <x:c r="W682" s="165" t="str">
        <x:v>因果説明</x:v>
      </x:c>
      <x:c r="X682" s="171" t="str">
        <x:v>D3</x:v>
      </x:c>
      <x:c r="Y682" s="165" t="str">
        <x:v>コルビエールをルーションの辛口赤の特徴と混同; コルビエールはカリニャン単一; コルビエールの差は新樽量だけ</x:v>
      </x:c>
      <x:c r="Z682" s="171" t="str">
        <x:v>N</x:v>
      </x:c>
      <x:c r="AA682" s="165"/>
      <x:c r="AB682" s="165" t="str">
        <x:v>オリジナル</x:v>
      </x:c>
      <x:c r="AC682" s="165" t="str">
        <x:v>WSET公式Specificationの範囲＋ユーザー作成コーパスの論点を参考に独自作成</x:v>
      </x:c>
      <x:c r="AD682" s="171" t="str">
        <x:v>改稿済み・専門家未承認</x:v>
      </x:c>
      <x:c r="AE682" s="171" t="str">
        <x:v>AI誤答レビュー</x:v>
      </x:c>
      <x:c r="AF682" s="171" t="str">
        <x:v>2026-07-12</x:v>
      </x:c>
      <x:c r="AG682" s="369" t="str">
        <x:v>第4バッチ：同一論点内の典型的誤概念へ置換。正答位置は維持。</x:v>
      </x:c>
    </x:row>
    <x:row r="683" ht="84" customHeight="1">
      <x:c r="A683" s="368" t="str">
        <x:v>LO2-142</x:v>
      </x:c>
      <x:c r="B683" s="171" t="str">
        <x:v>LO2</x:v>
      </x:c>
      <x:c r="C683" s="165" t="str">
        <x:v>世界の主要な非発泡性ワイン</x:v>
      </x:c>
      <x:c r="D683" s="165" t="str">
        <x:v>ピクプール・ド・ピネ</x:v>
      </x:c>
      <x:c r="E683" s="165" t="str">
        <x:v>ピクプール・ド・ピネの典型的なスタイルはどれか。</x:v>
      </x:c>
      <x:c r="F683" s="165" t="str">
        <x:v>甘口の貴腐ワイン</x:v>
      </x:c>
      <x:c r="G683" s="165" t="str">
        <x:v>高い酸、軽いボディ、レモンと青リンゴを持つ辛口白</x:v>
      </x:c>
      <x:c r="H683" s="165" t="str">
        <x:v>濃厚な高タンニン赤</x:v>
      </x:c>
      <x:c r="I683" s="165" t="str">
        <x:v>低い酸、軽いボディ、レモンと青リンゴを持つ辛口白</x:v>
      </x:c>
      <x:c r="J683" s="171" t="str">
        <x:v>B</x:v>
      </x:c>
      <x:c r="K683" s="165" t="str">
        <x:v>高い酸、軽いボディ、レモンと青リンゴを持つ辛口白</x:v>
      </x:c>
      <x:c r="L683" s="165" t="str">
        <x:v>正しい。地中海沿岸の海風の影響を受け、酸を保つピクプールから魚介向きの爽やかな白を造る。</x:v>
      </x:c>
      <x:c r="M683" s="165" t="str">
        <x:v>誤り。通常は辛口である。</x:v>
      </x:c>
      <x:c r="N683" s="165" t="str">
        <x:v>正しい。地中海沿岸の海風の影響を受け、酸を保つピクプールから魚介向きの爽やかな白を造る。</x:v>
      </x:c>
      <x:c r="O683" s="165" t="str">
        <x:v>誤り。白品種から造る。</x:v>
      </x:c>
      <x:c r="P683" s="165" t="str">
        <x:v>誤り。正答の「高い酸」を「低い酸」へ置き換えており、酸の水準を逆にしている。</x:v>
      </x:c>
      <x:c r="Q683" s="165" t="str">
        <x:v>産地</x:v>
      </x:c>
      <x:c r="R683" s="165" t="str">
        <x:v>ラングドック</x:v>
      </x:c>
      <x:c r="S683" s="165" t="str">
        <x:v>白ワイン</x:v>
      </x:c>
      <x:c r="T683" s="165" t="str">
        <x:v>フランス</x:v>
      </x:c>
      <x:c r="U683" s="165" t="str">
        <x:v>ピクプール・ド・ピネ</x:v>
      </x:c>
      <x:c r="V683" s="165" t="str">
        <x:v>ピクプール</x:v>
      </x:c>
      <x:c r="W683" s="165" t="str">
        <x:v>知識確認</x:v>
      </x:c>
      <x:c r="X683" s="171" t="str">
        <x:v>D1</x:v>
      </x:c>
      <x:c r="Y683" s="165" t="str">
        <x:v>ピクプール・ド・ピネについて関連要因を主因とみなす; ピクプール・ド・ピネについて関連要因を主因とみなす; 高い酸と低い酸を混同</x:v>
      </x:c>
      <x:c r="Z683" s="171" t="str">
        <x:v>N</x:v>
      </x:c>
      <x:c r="AA683" s="165"/>
      <x:c r="AB683" s="165" t="str">
        <x:v>オリジナル</x:v>
      </x:c>
      <x:c r="AC683" s="165" t="str">
        <x:v>WSET公式Specificationの範囲＋ユーザー作成コーパスの論点を参考に独自作成</x:v>
      </x:c>
      <x:c r="AD683" s="171" t="str">
        <x:v>改稿済み・専門家未承認</x:v>
      </x:c>
      <x:c r="AE683" s="171" t="str">
        <x:v>AI誤答レビュー</x:v>
      </x:c>
      <x:c r="AF683" s="171" t="str">
        <x:v>2026-07-12</x:v>
      </x:c>
      <x:c r="AG683" s="369" t="str">
        <x:v>第5バッチ：使用可能な誤答を維持し、弱い誤答を因果逆転・隣接概念へ置換。正答位置は維持。</x:v>
      </x:c>
    </x:row>
    <x:row r="684" ht="84" customHeight="1">
      <x:c r="A684" s="368" t="str">
        <x:v>LO2-143</x:v>
      </x:c>
      <x:c r="B684" s="171" t="str">
        <x:v>LO2</x:v>
      </x:c>
      <x:c r="C684" s="165" t="str">
        <x:v>世界の主要な非発泡性ワイン</x:v>
      </x:c>
      <x:c r="D684" s="165" t="str">
        <x:v>コート・デュ・ルーション・ヴィラージュ</x:v>
      </x:c>
      <x:c r="E684" s="165" t="str">
        <x:v>コート・デュ・ルーション・ヴィラージュの赤が基本のコート・デュ・ルーションより凝縮しやすい主な理由はどれか。</x:v>
      </x:c>
      <x:c r="F684" s="165" t="str">
        <x:v>冷涼な海洋性平地で高収量栽培するため</x:v>
      </x:c>
      <x:c r="G684" s="165" t="str">
        <x:v>リースリングを早摘みするため</x:v>
      </x:c>
      <x:c r="H684" s="165" t="str">
        <x:v>選ばれた低収量の内陸斜面で、古木グルナッシュやカリニャンを用いるため</x:v>
      </x:c>
      <x:c r="I684" s="165" t="str">
        <x:v>発酵を止めて甘口にするため</x:v>
      </x:c>
      <x:c r="J684" s="171" t="str">
        <x:v>C</x:v>
      </x:c>
      <x:c r="K684" s="165" t="str">
        <x:v>選ばれた低収量の内陸斜面で、古木グルナッシュやカリニャンを用いるため</x:v>
      </x:c>
      <x:c r="L684" s="165" t="str">
        <x:v>正しい。暑く乾燥した条件と痩せた土壌が小粒の果実を生み、濃い果実味と高いアルコールを与える。</x:v>
      </x:c>
      <x:c r="M684" s="165" t="str">
        <x:v>誤り。内陸の乾燥した斜面が重要である。</x:v>
      </x:c>
      <x:c r="N684" s="165" t="str">
        <x:v>誤り。主要品種は地中海系黒品種である。</x:v>
      </x:c>
      <x:c r="O684" s="165" t="str">
        <x:v>正しい。暑く乾燥した条件と痩せた土壌が小粒の果実を生み、濃い果実味と高いアルコールを与える。</x:v>
      </x:c>
      <x:c r="P684" s="165" t="str">
        <x:v>誤り。通常は辛口赤である。</x:v>
      </x:c>
      <x:c r="Q684" s="165" t="str">
        <x:v>自然要因</x:v>
      </x:c>
      <x:c r="R684" s="165" t="str">
        <x:v>ルーション</x:v>
      </x:c>
      <x:c r="S684" s="165" t="str">
        <x:v>赤ワイン</x:v>
      </x:c>
      <x:c r="T684" s="165" t="str">
        <x:v>フランス</x:v>
      </x:c>
      <x:c r="U684" s="165" t="str">
        <x:v>コート・デュ・ルーション・ヴィラージュ</x:v>
      </x:c>
      <x:c r="V684" s="165" t="str">
        <x:v>グルナッシュ、カリニャン、シラー</x:v>
      </x:c>
      <x:c r="W684" s="165" t="str">
        <x:v>統合判断</x:v>
      </x:c>
      <x:c r="X684" s="171" t="str">
        <x:v>D3</x:v>
      </x:c>
      <x:c r="Y684" s="165" t="str">
        <x:v>コート・デュ・ルーション・ヴィラージュに関する別の特徴・要因と混同; コート・デュ・ルーション・ヴィラージュに関する別の特徴・要因と混同; コート・デュ・ルーション・ヴィラージュに関する別の特徴・要因と混同</x:v>
      </x:c>
      <x:c r="Z684" s="171" t="str">
        <x:v>N</x:v>
      </x:c>
      <x:c r="AA684" s="165"/>
      <x:c r="AB684" s="165" t="str">
        <x:v>オリジナル</x:v>
      </x:c>
      <x:c r="AC684" s="165" t="str">
        <x:v>WSET公式Specificationの範囲＋ユーザー作成コーパスの論点を参考に独自作成</x:v>
      </x:c>
      <x:c r="AD684" s="171" t="str">
        <x:v>改稿済み・専門家未承認</x:v>
      </x:c>
      <x:c r="AE684" s="171" t="str">
        <x:v>AI誤答レビュー</x:v>
      </x:c>
      <x:c r="AF684" s="171" t="str">
        <x:v>2026-07-12</x:v>
      </x:c>
      <x:c r="AG684" s="369" t="str">
        <x:v>最終バッチ：有効な誤答を維持し、絶対語・物理的不可能な誤答のみ置換。正答位置は維持。</x:v>
      </x:c>
    </x:row>
    <x:row r="685" ht="84" customHeight="1">
      <x:c r="A685" s="368" t="str">
        <x:v>LO2-144</x:v>
      </x:c>
      <x:c r="B685" s="171" t="str">
        <x:v>LO2</x:v>
      </x:c>
      <x:c r="C685" s="165" t="str">
        <x:v>世界の主要な非発泡性ワイン</x:v>
      </x:c>
      <x:c r="D685" s="165" t="str">
        <x:v>フランケン</x:v>
      </x:c>
      <x:c r="E685" s="165" t="str">
        <x:v>フランケンのシルヴァーナーに典型的な特徴はどれか。</x:v>
      </x:c>
      <x:c r="F685" s="165" t="str">
        <x:v>低酸の甘口発泡性</x:v>
      </x:c>
      <x:c r="G685" s="165" t="str">
        <x:v>黒系果実と高タンニンの赤</x:v>
      </x:c>
      <x:c r="H685" s="165" t="str">
        <x:v>中程度以上の酸、リンゴやハーブ、土を思わせる風味を持つ甘口白</x:v>
      </x:c>
      <x:c r="I685" s="165" t="str">
        <x:v>中程度以上の酸、リンゴやハーブ、土を思わせる風味を持つ辛口白</x:v>
      </x:c>
      <x:c r="J685" s="171" t="str">
        <x:v>D</x:v>
      </x:c>
      <x:c r="K685" s="165" t="str">
        <x:v>中程度以上の酸、リンゴやハーブ、土を思わせる風味を持つ辛口白</x:v>
      </x:c>
      <x:c r="L685" s="165" t="str">
        <x:v>正しい。大陸性の冷涼な気候と石灰質土壌で、リースリングより中立的だが土地の特徴を表す白になる。</x:v>
      </x:c>
      <x:c r="M685" s="165" t="str">
        <x:v>誤り。辛口非発泡性が重要である。</x:v>
      </x:c>
      <x:c r="N685" s="165" t="str">
        <x:v>誤り。シルヴァーナーは白品種である。</x:v>
      </x:c>
      <x:c r="O685" s="165" t="str">
        <x:v>誤り。正答の「辛口」を「甘口」へ置き換えており、甘味スタイルを混同している。</x:v>
      </x:c>
      <x:c r="P685" s="165" t="str">
        <x:v>正しい。大陸性の冷涼な気候と石灰質土壌で、リースリングより中立的だが土地の特徴を表す白になる。</x:v>
      </x:c>
      <x:c r="Q685" s="165" t="str">
        <x:v>産地</x:v>
      </x:c>
      <x:c r="R685" s="165" t="str">
        <x:v>ドイツ</x:v>
      </x:c>
      <x:c r="S685" s="165" t="str">
        <x:v>白ワイン</x:v>
      </x:c>
      <x:c r="T685" s="165" t="str">
        <x:v>ドイツ</x:v>
      </x:c>
      <x:c r="U685" s="165" t="str">
        <x:v>フランケン</x:v>
      </x:c>
      <x:c r="V685" s="165" t="str">
        <x:v>シルヴァーナー</x:v>
      </x:c>
      <x:c r="W685" s="165" t="str">
        <x:v>知識確認</x:v>
      </x:c>
      <x:c r="X685" s="171" t="str">
        <x:v>D2</x:v>
      </x:c>
      <x:c r="Y685" s="165" t="str">
        <x:v>フランケンについて関連要因を主因とみなす; フランケンについて関連要因を主因とみなす; 辛口と甘口を混同</x:v>
      </x:c>
      <x:c r="Z685" s="171" t="str">
        <x:v>N</x:v>
      </x:c>
      <x:c r="AA685" s="165"/>
      <x:c r="AB685" s="165" t="str">
        <x:v>オリジナル</x:v>
      </x:c>
      <x:c r="AC685" s="165" t="str">
        <x:v>WSET公式Specificationの範囲＋ユーザー作成コーパスの論点を参考に独自作成</x:v>
      </x:c>
      <x:c r="AD685" s="171" t="str">
        <x:v>改稿済み・専門家未承認</x:v>
      </x:c>
      <x:c r="AE685" s="171" t="str">
        <x:v>AI誤答レビュー</x:v>
      </x:c>
      <x:c r="AF685" s="171" t="str">
        <x:v>2026-07-12</x:v>
      </x:c>
      <x:c r="AG685" s="369" t="str">
        <x:v>第5バッチ：使用可能な誤答を維持し、弱い誤答を因果逆転・隣接概念へ置換。正答位置は維持。</x:v>
      </x:c>
    </x:row>
    <x:row r="686" ht="84" customHeight="1">
      <x:c r="A686" s="368" t="str">
        <x:v>LO2-145</x:v>
      </x:c>
      <x:c r="B686" s="171" t="str">
        <x:v>LO2</x:v>
      </x:c>
      <x:c r="C686" s="165" t="str">
        <x:v>世界の主要な非発泡性ワイン</x:v>
      </x:c>
      <x:c r="D686" s="165" t="str">
        <x:v>ベルンカステル</x:v>
      </x:c>
      <x:c r="E686" s="165" t="str">
        <x:v>モーゼルのベルンカステル周辺で繊細なリースリングが造られやすい主な理由はどれか。</x:v>
      </x:c>
      <x:c r="F686" s="165" t="str">
        <x:v>急な南向き粘板岩斜面が日射を受け、川が熱を反射して成熟を助けるため</x:v>
      </x:c>
      <x:c r="G686" s="165" t="str">
        <x:v>ブドウを凍結収穫するから</x:v>
      </x:c>
      <x:c r="H686" s="165" t="str">
        <x:v>黒ブドウを長期浸漬するから</x:v>
      </x:c>
      <x:c r="I686" s="165" t="str">
        <x:v>平坦な熱帯低地だから</x:v>
      </x:c>
      <x:c r="J686" s="171" t="str">
        <x:v>A</x:v>
      </x:c>
      <x:c r="K686" s="165" t="str">
        <x:v>急な南向き粘板岩斜面が日射を受け、川が熱を反射して成熟を助けるため</x:v>
      </x:c>
      <x:c r="L686" s="165" t="str">
        <x:v>正しい。冷涼な気候でも高い酸を保ちながら、低アルコールで花・柑橘・核果の香りを発達させる。</x:v>
      </x:c>
      <x:c r="M686" s="165" t="str">
        <x:v>正しい。冷涼な気候でも高い酸を保ちながら、低アルコールで花・柑橘・核果の香りを発達させる。</x:v>
      </x:c>
      <x:c r="N686" s="165" t="str">
        <x:v>誤り。通常の辛口・甘口も多い。</x:v>
      </x:c>
      <x:c r="O686" s="165" t="str">
        <x:v>誤り。主要品種は白のリースリングである。</x:v>
      </x:c>
      <x:c r="P686" s="165" t="str">
        <x:v>誤り。急斜面の冷涼産地である。</x:v>
      </x:c>
      <x:c r="Q686" s="165" t="str">
        <x:v>自然要因</x:v>
      </x:c>
      <x:c r="R686" s="165" t="str">
        <x:v>モーゼル</x:v>
      </x:c>
      <x:c r="S686" s="165" t="str">
        <x:v>白ワイン</x:v>
      </x:c>
      <x:c r="T686" s="165" t="str">
        <x:v>ドイツ</x:v>
      </x:c>
      <x:c r="U686" s="165" t="str">
        <x:v>ベルンカステル</x:v>
      </x:c>
      <x:c r="V686" s="165" t="str">
        <x:v>リースリング</x:v>
      </x:c>
      <x:c r="W686" s="165" t="str">
        <x:v>因果説明</x:v>
      </x:c>
      <x:c r="X686" s="171" t="str">
        <x:v>D3</x:v>
      </x:c>
      <x:c r="Y686" s="165" t="str">
        <x:v>ベルンカステルについて関連要因を主因とみなす; ベルンカステルについて関連要因を主因とみなす; ベルンカステルについて関連要因を主因とみなす</x:v>
      </x:c>
      <x:c r="Z686" s="171" t="str">
        <x:v>N</x:v>
      </x:c>
      <x:c r="AA686" s="165"/>
      <x:c r="AB686" s="165" t="str">
        <x:v>オリジナル</x:v>
      </x:c>
      <x:c r="AC686" s="165" t="str">
        <x:v>WSET公式Specificationの範囲＋ユーザー作成コーパスの論点を参考に独自作成</x:v>
      </x:c>
      <x:c r="AD686" s="171" t="str">
        <x:v>改稿済み・専門家未承認</x:v>
      </x:c>
      <x:c r="AE686" s="171" t="str">
        <x:v>AI誤答レビュー</x:v>
      </x:c>
      <x:c r="AF686" s="171" t="str">
        <x:v>2026-07-12</x:v>
      </x:c>
      <x:c r="AG686" s="369" t="str">
        <x:v>第5バッチ：使用可能な誤答を維持し、弱い誤答を因果逆転・隣接概念へ置換。正答位置は維持。</x:v>
      </x:c>
    </x:row>
    <x:row r="687" ht="84" customHeight="1">
      <x:c r="A687" s="368" t="str">
        <x:v>LO2-146</x:v>
      </x:c>
      <x:c r="B687" s="171" t="str">
        <x:v>LO2</x:v>
      </x:c>
      <x:c r="C687" s="165" t="str">
        <x:v>世界の主要な非発泡性ワイン</x:v>
      </x:c>
      <x:c r="D687" s="165" t="str">
        <x:v>ヴェーレン</x:v>
      </x:c>
      <x:c r="E687" s="165" t="str">
        <x:v>ヴェーレンの青色粘板岩畑がリースリングに与えやすい特徴はどれか。</x:v>
      </x:c>
      <x:c r="F687" s="165" t="str">
        <x:v>フロール由来のアセトアルデヒド香</x:v>
      </x:c>
      <x:c r="G687" s="165" t="str">
        <x:v>高い酸、繊細な花と柑橘、軽いボディ、長い熟成力</x:v>
      </x:c>
      <x:c r="H687" s="165" t="str">
        <x:v>強いタンニンと深い色</x:v>
      </x:c>
      <x:c r="I687" s="165" t="str">
        <x:v>低酸でジャム状の高アルコール赤</x:v>
      </x:c>
      <x:c r="J687" s="171" t="str">
        <x:v>B</x:v>
      </x:c>
      <x:c r="K687" s="165" t="str">
        <x:v>高い酸、繊細な花と柑橘、軽いボディ、長い熟成力</x:v>
      </x:c>
      <x:c r="L687" s="165" t="str">
        <x:v>正しい。急斜面の排水と熱保持が冷涼気候での成熟を助け、低収量で精密なワインを生む。</x:v>
      </x:c>
      <x:c r="M687" s="165" t="str">
        <x:v>誤り。シェリーの特徴である。</x:v>
      </x:c>
      <x:c r="N687" s="165" t="str">
        <x:v>正しい。急斜面の排水と熱保持が冷涼気候での成熟を助け、低収量で精密なワインを生む。</x:v>
      </x:c>
      <x:c r="O687" s="165" t="str">
        <x:v>誤り。白品種でタンニンは低い。</x:v>
      </x:c>
      <x:c r="P687" s="165" t="str">
        <x:v>誤り。リースリングの冷涼な白である。</x:v>
      </x:c>
      <x:c r="Q687" s="165" t="str">
        <x:v>自然要因</x:v>
      </x:c>
      <x:c r="R687" s="165" t="str">
        <x:v>モーゼル</x:v>
      </x:c>
      <x:c r="S687" s="165" t="str">
        <x:v>白ワイン</x:v>
      </x:c>
      <x:c r="T687" s="165" t="str">
        <x:v>ドイツ</x:v>
      </x:c>
      <x:c r="U687" s="165" t="str">
        <x:v>ヴェーレン</x:v>
      </x:c>
      <x:c r="V687" s="165" t="str">
        <x:v>リースリング</x:v>
      </x:c>
      <x:c r="W687" s="165" t="str">
        <x:v>知識確認</x:v>
      </x:c>
      <x:c r="X687" s="171" t="str">
        <x:v>D2</x:v>
      </x:c>
      <x:c r="Y687" s="165" t="str">
        <x:v>ヴェーレンについて関連要因を主因とみなす; ヴェーレンについて関連要因を主因とみなす; ヴェーレンについて関連要因を主因とみなす</x:v>
      </x:c>
      <x:c r="Z687" s="171" t="str">
        <x:v>N</x:v>
      </x:c>
      <x:c r="AA687" s="165"/>
      <x:c r="AB687" s="165" t="str">
        <x:v>オリジナル</x:v>
      </x:c>
      <x:c r="AC687" s="165" t="str">
        <x:v>WSET公式Specificationの範囲＋ユーザー作成コーパスの論点を参考に独自作成</x:v>
      </x:c>
      <x:c r="AD687" s="171" t="str">
        <x:v>改稿済み・専門家未承認</x:v>
      </x:c>
      <x:c r="AE687" s="171" t="str">
        <x:v>AI誤答レビュー</x:v>
      </x:c>
      <x:c r="AF687" s="171" t="str">
        <x:v>2026-07-12</x:v>
      </x:c>
      <x:c r="AG687" s="369" t="str">
        <x:v>第5バッチ：使用可能な誤答を維持し、弱い誤答を因果逆転・隣接概念へ置換。正答位置は維持。</x:v>
      </x:c>
    </x:row>
    <x:row r="688" ht="84" customHeight="1">
      <x:c r="A688" s="368" t="str">
        <x:v>LO2-147</x:v>
      </x:c>
      <x:c r="B688" s="171" t="str">
        <x:v>LO2</x:v>
      </x:c>
      <x:c r="C688" s="165" t="str">
        <x:v>世界の主要な非発泡性ワイン</x:v>
      </x:c>
      <x:c r="D688" s="165" t="str">
        <x:v>ピースポート</x:v>
      </x:c>
      <x:c r="E688" s="165" t="str">
        <x:v>ピースポートのリースリングが熟した核果香を持ちやすい主な理由はどれか。</x:v>
      </x:c>
      <x:c r="F688" s="165" t="str">
        <x:v>グルナッシュを栽培するため</x:v>
      </x:c>
      <x:c r="G688" s="165" t="str">
        <x:v>北向きの平地で日照を避けるため</x:v>
      </x:c>
      <x:c r="H688" s="165" t="str">
        <x:v>モーゼル川の曲流に沿う南向き斜面が日射を集め、風から守られるため</x:v>
      </x:c>
      <x:c r="I688" s="165" t="str">
        <x:v>モーゼル川の曲流に沿う北向き斜面が日射を集め、風から守られるため</x:v>
      </x:c>
      <x:c r="J688" s="171" t="str">
        <x:v>C</x:v>
      </x:c>
      <x:c r="K688" s="165" t="str">
        <x:v>モーゼル川の曲流に沿う南向き斜面が日射を集め、風から守られるため</x:v>
      </x:c>
      <x:c r="L688" s="165" t="str">
        <x:v>正しい。冷涼な地域の中でも暖かいメソ気候が糖と風味の成熟を促す。</x:v>
      </x:c>
      <x:c r="M688" s="165" t="str">
        <x:v>誤り。主要品種はリースリングである。</x:v>
      </x:c>
      <x:c r="N688" s="165" t="str">
        <x:v>誤り。良い畑は日射を受ける斜面にある。</x:v>
      </x:c>
      <x:c r="O688" s="165" t="str">
        <x:v>正しい。冷涼な地域の中でも暖かいメソ気候が糖と風味の成熟を促す。</x:v>
      </x:c>
      <x:c r="P688" s="165" t="str">
        <x:v>誤り。正答の「南向き」を「北向き」へ置き換えており、斜面方角の効果を逆にしている。</x:v>
      </x:c>
      <x:c r="Q688" s="165" t="str">
        <x:v>自然要因</x:v>
      </x:c>
      <x:c r="R688" s="165" t="str">
        <x:v>モーゼル</x:v>
      </x:c>
      <x:c r="S688" s="165" t="str">
        <x:v>白ワイン</x:v>
      </x:c>
      <x:c r="T688" s="165" t="str">
        <x:v>ドイツ</x:v>
      </x:c>
      <x:c r="U688" s="165" t="str">
        <x:v>ピースポート</x:v>
      </x:c>
      <x:c r="V688" s="165" t="str">
        <x:v>リースリング</x:v>
      </x:c>
      <x:c r="W688" s="165" t="str">
        <x:v>因果説明</x:v>
      </x:c>
      <x:c r="X688" s="171" t="str">
        <x:v>D2</x:v>
      </x:c>
      <x:c r="Y688" s="165" t="str">
        <x:v>ピースポートについて関連要因を主因とみなす; ピースポートについて関連要因を主因とみなす; 南向きと北向きを混同</x:v>
      </x:c>
      <x:c r="Z688" s="171" t="str">
        <x:v>N</x:v>
      </x:c>
      <x:c r="AA688" s="165"/>
      <x:c r="AB688" s="165" t="str">
        <x:v>オリジナル</x:v>
      </x:c>
      <x:c r="AC688" s="165" t="str">
        <x:v>WSET公式Specificationの範囲＋ユーザー作成コーパスの論点を参考に独自作成</x:v>
      </x:c>
      <x:c r="AD688" s="171" t="str">
        <x:v>改稿済み・専門家未承認</x:v>
      </x:c>
      <x:c r="AE688" s="171" t="str">
        <x:v>AI誤答レビュー</x:v>
      </x:c>
      <x:c r="AF688" s="171" t="str">
        <x:v>2026-07-12</x:v>
      </x:c>
      <x:c r="AG688" s="369" t="str">
        <x:v>第5バッチ：使用可能な誤答を維持し、弱い誤答を因果逆転・隣接概念へ置換。正答位置は維持。</x:v>
      </x:c>
    </x:row>
    <x:row r="689" ht="84" customHeight="1">
      <x:c r="A689" s="368" t="str">
        <x:v>LO2-148</x:v>
      </x:c>
      <x:c r="B689" s="171" t="str">
        <x:v>LO2</x:v>
      </x:c>
      <x:c r="C689" s="165" t="str">
        <x:v>世界の主要な非発泡性ワイン</x:v>
      </x:c>
      <x:c r="D689" s="165" t="str">
        <x:v>リューデスハイム</x:v>
      </x:c>
      <x:c r="E689" s="165" t="str">
        <x:v>ラインガウのリューデスハイムで凝縮したリースリングが造られやすい主な理由はどれか。</x:v>
      </x:c>
      <x:c r="F689" s="165" t="str">
        <x:v>一年中霧で日照がないため</x:v>
      </x:c>
      <x:c r="G689" s="165" t="str">
        <x:v>黒ブドウの長期マセレーションを行うため</x:v>
      </x:c>
      <x:c r="H689" s="165" t="str">
        <x:v>タンク方式の発泡性だけを造るため</x:v>
      </x:c>
      <x:c r="I689" s="165" t="str">
        <x:v>ライン川を見下ろす急な南向き斜面が強い日射を受けるため</x:v>
      </x:c>
      <x:c r="J689" s="171" t="str">
        <x:v>D</x:v>
      </x:c>
      <x:c r="K689" s="165" t="str">
        <x:v>ライン川を見下ろす急な南向き斜面が強い日射を受けるため</x:v>
      </x:c>
      <x:c r="L689" s="165" t="str">
        <x:v>正しい。川の反射熱と排水のよい斜面が成熟を助け、酸と果実濃度を両立する。</x:v>
      </x:c>
      <x:c r="M689" s="165" t="str">
        <x:v>誤り。日射を受ける斜面が重要である。</x:v>
      </x:c>
      <x:c r="N689" s="165" t="str">
        <x:v>誤り。リースリングの白である。</x:v>
      </x:c>
      <x:c r="O689" s="165" t="str">
        <x:v>誤り。非発泡性リースリングも重要である。</x:v>
      </x:c>
      <x:c r="P689" s="165" t="str">
        <x:v>正しい。川の反射熱と排水のよい斜面が成熟を助け、酸と果実濃度を両立する。</x:v>
      </x:c>
      <x:c r="Q689" s="165" t="str">
        <x:v>自然要因</x:v>
      </x:c>
      <x:c r="R689" s="165" t="str">
        <x:v>ラインガウ</x:v>
      </x:c>
      <x:c r="S689" s="165" t="str">
        <x:v>白ワイン</x:v>
      </x:c>
      <x:c r="T689" s="165" t="str">
        <x:v>ドイツ</x:v>
      </x:c>
      <x:c r="U689" s="165" t="str">
        <x:v>リューデスハイム</x:v>
      </x:c>
      <x:c r="V689" s="165" t="str">
        <x:v>リースリング</x:v>
      </x:c>
      <x:c r="W689" s="165" t="str">
        <x:v>因果説明</x:v>
      </x:c>
      <x:c r="X689" s="171" t="str">
        <x:v>D2</x:v>
      </x:c>
      <x:c r="Y689" s="165" t="str">
        <x:v>リューデスハイムに関する別の特徴・要因と混同; リューデスハイムに関する別の特徴・要因と混同; リューデスハイムに関する別の特徴・要因と混同</x:v>
      </x:c>
      <x:c r="Z689" s="171" t="str">
        <x:v>N</x:v>
      </x:c>
      <x:c r="AA689" s="165"/>
      <x:c r="AB689" s="165" t="str">
        <x:v>オリジナル</x:v>
      </x:c>
      <x:c r="AC689" s="165" t="str">
        <x:v>WSET公式Specificationの範囲＋ユーザー作成コーパスの論点を参考に独自作成</x:v>
      </x:c>
      <x:c r="AD689" s="171" t="str">
        <x:v>改稿済み・専門家未承認</x:v>
      </x:c>
      <x:c r="AE689" s="171" t="str">
        <x:v>AI誤答レビュー</x:v>
      </x:c>
      <x:c r="AF689" s="171" t="str">
        <x:v>2026-07-12</x:v>
      </x:c>
      <x:c r="AG689" s="369" t="str">
        <x:v>最終バッチ：有効な誤答を維持し、絶対語・物理的不可能な誤答のみ置換。正答位置は維持。</x:v>
      </x:c>
    </x:row>
    <x:row r="690" ht="84" customHeight="1">
      <x:c r="A690" s="368" t="str">
        <x:v>LO2-149</x:v>
      </x:c>
      <x:c r="B690" s="171" t="str">
        <x:v>LO2</x:v>
      </x:c>
      <x:c r="C690" s="165" t="str">
        <x:v>世界の主要な非発泡性ワイン</x:v>
      </x:c>
      <x:c r="D690" s="165" t="str">
        <x:v>ヨハニスベルク</x:v>
      </x:c>
      <x:c r="E690" s="165" t="str">
        <x:v>ヨハニスベルクのリースリングに期待される典型的な特徴はどれか。</x:v>
      </x:c>
      <x:c r="F690" s="165" t="str">
        <x:v>熟した柑橘・核果、高い酸、十分なボディと熟成力</x:v>
      </x:c>
      <x:c r="G690" s="165" t="str">
        <x:v>グレーラ主体の発泡性</x:v>
      </x:c>
      <x:c r="H690" s="165" t="str">
        <x:v>低酸で高タンニンの赤</x:v>
      </x:c>
      <x:c r="I690" s="165" t="str">
        <x:v>熟した柑橘・核果、低い酸、十分なボディと熟成力</x:v>
      </x:c>
      <x:c r="J690" s="171" t="str">
        <x:v>A</x:v>
      </x:c>
      <x:c r="K690" s="165" t="str">
        <x:v>熟した柑橘・核果、高い酸、十分なボディと熟成力</x:v>
      </x:c>
      <x:c r="L690" s="165" t="str">
        <x:v>正しい。ラインガウの南向き斜面とライン川の温和な影響により、冷涼ながら完熟したリースリングを得る。</x:v>
      </x:c>
      <x:c r="M690" s="165" t="str">
        <x:v>正しい。ラインガウの南向き斜面とライン川の温和な影響により、冷涼ながら完熟したリースリングを得る。</x:v>
      </x:c>
      <x:c r="N690" s="165" t="str">
        <x:v>誤り。プロセッコの特徴である。</x:v>
      </x:c>
      <x:c r="O690" s="165" t="str">
        <x:v>誤り。白品種リースリングのスタイルではない。</x:v>
      </x:c>
      <x:c r="P690" s="165" t="str">
        <x:v>誤り。正答の「高い酸」を「低い酸」へ置き換えており、酸の水準を逆にしている。</x:v>
      </x:c>
      <x:c r="Q690" s="165" t="str">
        <x:v>産地</x:v>
      </x:c>
      <x:c r="R690" s="165" t="str">
        <x:v>ラインガウ</x:v>
      </x:c>
      <x:c r="S690" s="165" t="str">
        <x:v>白ワイン</x:v>
      </x:c>
      <x:c r="T690" s="165" t="str">
        <x:v>ドイツ</x:v>
      </x:c>
      <x:c r="U690" s="165" t="str">
        <x:v>ヨハニスベルク</x:v>
      </x:c>
      <x:c r="V690" s="165" t="str">
        <x:v>リースリング</x:v>
      </x:c>
      <x:c r="W690" s="165" t="str">
        <x:v>知識確認</x:v>
      </x:c>
      <x:c r="X690" s="171" t="str">
        <x:v>D2</x:v>
      </x:c>
      <x:c r="Y690" s="165" t="str">
        <x:v>ヨハニスベルクについて関連要因を主因とみなす; ヨハニスベルクについて関連要因を主因とみなす; 高い酸と低い酸を混同</x:v>
      </x:c>
      <x:c r="Z690" s="171" t="str">
        <x:v>N</x:v>
      </x:c>
      <x:c r="AA690" s="165"/>
      <x:c r="AB690" s="165" t="str">
        <x:v>オリジナル</x:v>
      </x:c>
      <x:c r="AC690" s="165" t="str">
        <x:v>WSET公式Specificationの範囲＋ユーザー作成コーパスの論点を参考に独自作成</x:v>
      </x:c>
      <x:c r="AD690" s="171" t="str">
        <x:v>改稿済み・専門家未承認</x:v>
      </x:c>
      <x:c r="AE690" s="171" t="str">
        <x:v>AI誤答レビュー</x:v>
      </x:c>
      <x:c r="AF690" s="171" t="str">
        <x:v>2026-07-12</x:v>
      </x:c>
      <x:c r="AG690" s="369" t="str">
        <x:v>第5バッチ：使用可能な誤答を維持し、弱い誤答を因果逆転・隣接概念へ置換。正答位置は維持。</x:v>
      </x:c>
    </x:row>
    <x:row r="691" ht="84" customHeight="1">
      <x:c r="A691" s="368" t="str">
        <x:v>LO2-150</x:v>
      </x:c>
      <x:c r="B691" s="171" t="str">
        <x:v>LO2</x:v>
      </x:c>
      <x:c r="C691" s="165" t="str">
        <x:v>世界の主要な非発泡性ワイン</x:v>
      </x:c>
      <x:c r="D691" s="165" t="str">
        <x:v>ニーアシュタイン</x:v>
      </x:c>
      <x:c r="E691" s="165" t="str">
        <x:v>ラインヘッセンのニーアシュタインで、高品質リースリングが造られやすい主な理由はどれか。</x:v>
      </x:c>
      <x:c r="F691" s="165" t="str">
        <x:v>肥沃な平地で高収量となり、軽い果実味を得やすいため</x:v>
      </x:c>
      <x:c r="G691" s="165" t="str">
        <x:v>ライン川沿いの急な赤色粘板岩斜面が日射と排水に恵まれるため</x:v>
      </x:c>
      <x:c r="H691" s="165" t="str">
        <x:v>北向き斜面が日射を抑え、酸だけを高く保つため</x:v>
      </x:c>
      <x:c r="I691" s="165" t="str">
        <x:v>海洋性の多雨気候が成熟を遅らせ、貴腐を毎年安定して生じさせるため</x:v>
      </x:c>
      <x:c r="J691" s="171" t="str">
        <x:v>B</x:v>
      </x:c>
      <x:c r="K691" s="165" t="str">
        <x:v>ライン川沿いの急な赤色粘板岩斜面が日射と排水に恵まれるため</x:v>
      </x:c>
      <x:c r="L691" s="165" t="str">
        <x:v>正しい。急斜面、川の反射熱、排水のよい赤色土壌が成熟と濃度を助ける。</x:v>
      </x:c>
      <x:c r="M691" s="165" t="str">
        <x:v>誤り。高品質区画は低収量の斜面で、肥沃な平地の高収量が主因ではない。</x:v>
      </x:c>
      <x:c r="N691" s="165" t="str">
        <x:v>正しい。急斜面、川の反射熱、排水のよい赤色土壌が成熟と濃度を助ける。</x:v>
      </x:c>
      <x:c r="O691" s="165" t="str">
        <x:v>誤り。優良畑は日射を受ける斜面で、北向きの遮光が主因ではない。</x:v>
      </x:c>
      <x:c r="P691" s="165" t="str">
        <x:v>誤り。ラインヘッセンは比較的乾燥し、毎年の貴腐が高品質辛口の主因ではない。</x:v>
      </x:c>
      <x:c r="Q691" s="165" t="str">
        <x:v>自然要因</x:v>
      </x:c>
      <x:c r="R691" s="165" t="str">
        <x:v>ラインヘッセン</x:v>
      </x:c>
      <x:c r="S691" s="165" t="str">
        <x:v>白ワイン</x:v>
      </x:c>
      <x:c r="T691" s="165" t="str">
        <x:v>ドイツ</x:v>
      </x:c>
      <x:c r="U691" s="165" t="str">
        <x:v>ニーアシュタイン</x:v>
      </x:c>
      <x:c r="V691" s="165" t="str">
        <x:v>リースリング</x:v>
      </x:c>
      <x:c r="W691" s="165" t="str">
        <x:v>因果説明</x:v>
      </x:c>
      <x:c r="X691" s="171" t="str">
        <x:v>D3</x:v>
      </x:c>
      <x:c r="Y691" s="165" t="str">
        <x:v>ニーアシュタインの品質は肥沃な高収量平地; 北向き斜面が高品質の主因; 海洋性多雨と毎年の貴腐が主因</x:v>
      </x:c>
      <x:c r="Z691" s="171" t="str">
        <x:v>N</x:v>
      </x:c>
      <x:c r="AA691" s="165"/>
      <x:c r="AB691" s="165" t="str">
        <x:v>オリジナル</x:v>
      </x:c>
      <x:c r="AC691" s="165" t="str">
        <x:v>WSET公式Specificationの範囲＋ユーザー作成コーパスの論点を参考に独自作成</x:v>
      </x:c>
      <x:c r="AD691" s="171" t="str">
        <x:v>改稿済み・専門家未承認</x:v>
      </x:c>
      <x:c r="AE691" s="171" t="str">
        <x:v>AI誤答レビュー</x:v>
      </x:c>
      <x:c r="AF691" s="171" t="str">
        <x:v>2026-07-12</x:v>
      </x:c>
      <x:c r="AG691" s="369" t="str">
        <x:v>第3バッチ：同一論点内の典型的誤概念へ置換。正答位置は維持。</x:v>
      </x:c>
    </x:row>
    <x:row r="692" ht="84" customHeight="1">
      <x:c r="A692" s="368" t="str">
        <x:v>LO2-151</x:v>
      </x:c>
      <x:c r="B692" s="171" t="str">
        <x:v>LO2</x:v>
      </x:c>
      <x:c r="C692" s="165" t="str">
        <x:v>世界の主要な非発泡性ワイン</x:v>
      </x:c>
      <x:c r="D692" s="165" t="str">
        <x:v>フォルストとダイデスハイム</x:v>
      </x:c>
      <x:c r="E692" s="165" t="str">
        <x:v>ファルツのフォルストやダイデスハイムが力強い辛口リースリングで知られる主な理由はどれか。</x:v>
      </x:c>
      <x:c r="F692" s="165" t="str">
        <x:v>年間降水が極端に多く、日照が少ないため</x:v>
      </x:c>
      <x:c r="G692" s="165" t="str">
        <x:v>黒品種シラーだけを栽培するため</x:v>
      </x:c>
      <x:c r="H692" s="165" t="str">
        <x:v>ハールト山地の雨陰で乾燥し、日照が多く、ブドウが十分に成熟するため</x:v>
      </x:c>
      <x:c r="I692" s="165" t="str">
        <x:v>ハールト山地の雨陰で湿潤し、日照が多く、ブドウが十分に成熟するため</x:v>
      </x:c>
      <x:c r="J692" s="171" t="str">
        <x:v>C</x:v>
      </x:c>
      <x:c r="K692" s="165" t="str">
        <x:v>ハールト山地の雨陰で乾燥し、日照が多く、ブドウが十分に成熟するため</x:v>
      </x:c>
      <x:c r="L692" s="165" t="str">
        <x:v>正しい。モーゼルより温暖な条件から、熟した核果、より高いボディとアルコールを持つ辛口を生む。</x:v>
      </x:c>
      <x:c r="M692" s="165" t="str">
        <x:v>誤り。山地の雨陰で比較的乾燥している。</x:v>
      </x:c>
      <x:c r="N692" s="165" t="str">
        <x:v>誤り。リースリングが重要である。</x:v>
      </x:c>
      <x:c r="O692" s="165" t="str">
        <x:v>正しい。モーゼルより温暖な条件から、熟した核果、より高いボディとアルコールを持つ辛口を生む。</x:v>
      </x:c>
      <x:c r="P692" s="165" t="str">
        <x:v>誤り。正答の「乾燥」を「湿潤」へ置き換えており、水分条件を逆にしている。</x:v>
      </x:c>
      <x:c r="Q692" s="165" t="str">
        <x:v>自然要因</x:v>
      </x:c>
      <x:c r="R692" s="165" t="str">
        <x:v>ファルツ</x:v>
      </x:c>
      <x:c r="S692" s="165" t="str">
        <x:v>白ワイン</x:v>
      </x:c>
      <x:c r="T692" s="165" t="str">
        <x:v>ドイツ</x:v>
      </x:c>
      <x:c r="U692" s="165" t="str">
        <x:v>フォルスト／ダイデスハイム</x:v>
      </x:c>
      <x:c r="V692" s="165" t="str">
        <x:v>リースリング</x:v>
      </x:c>
      <x:c r="W692" s="165" t="str">
        <x:v>比較</x:v>
      </x:c>
      <x:c r="X692" s="171" t="str">
        <x:v>D3</x:v>
      </x:c>
      <x:c r="Y692" s="165" t="str">
        <x:v>フォルストとダイデスハイムについて関連要因を主因とみなす; フォルストとダイデスハイムについて関連要因を主因とみなす; 乾燥と湿潤を混同</x:v>
      </x:c>
      <x:c r="Z692" s="171" t="str">
        <x:v>N</x:v>
      </x:c>
      <x:c r="AA692" s="165"/>
      <x:c r="AB692" s="165" t="str">
        <x:v>オリジナル</x:v>
      </x:c>
      <x:c r="AC692" s="165" t="str">
        <x:v>WSET公式Specificationの範囲＋ユーザー作成コーパスの論点を参考に独自作成</x:v>
      </x:c>
      <x:c r="AD692" s="171" t="str">
        <x:v>改稿済み・専門家未承認</x:v>
      </x:c>
      <x:c r="AE692" s="171" t="str">
        <x:v>AI誤答レビュー</x:v>
      </x:c>
      <x:c r="AF692" s="171" t="str">
        <x:v>2026-07-12</x:v>
      </x:c>
      <x:c r="AG692" s="369" t="str">
        <x:v>第5バッチ：使用可能な誤答を維持し、弱い誤答を因果逆転・隣接概念へ置換。正答位置は維持。</x:v>
      </x:c>
    </x:row>
    <x:row r="693" ht="84" customHeight="1">
      <x:c r="A693" s="368" t="str">
        <x:v>LO2-152</x:v>
      </x:c>
      <x:c r="B693" s="171" t="str">
        <x:v>LO2</x:v>
      </x:c>
      <x:c r="C693" s="165" t="str">
        <x:v>世界の主要な非発泡性ワイン</x:v>
      </x:c>
      <x:c r="D693" s="165" t="str">
        <x:v>ヴァインフィアテル</x:v>
      </x:c>
      <x:c r="E693" s="165" t="str">
        <x:v>ヴァインフィアテルの典型的なグリューナー・ヴェルトリーナーを最もよく説明しているものはどれか。</x:v>
      </x:c>
      <x:c r="F693" s="165" t="str">
        <x:v>低酸のタンク方式発泡性のみ</x:v>
      </x:c>
      <x:c r="G693" s="165" t="str">
        <x:v>高タンニンの黒系果実赤</x:v>
      </x:c>
      <x:c r="H693" s="165" t="str">
        <x:v>低い酸、柑橘、青リンゴ、白胡椒を持つ辛口白</x:v>
      </x:c>
      <x:c r="I693" s="165" t="str">
        <x:v>高い酸、柑橘、青リンゴ、白胡椒を持つ辛口白</x:v>
      </x:c>
      <x:c r="J693" s="171" t="str">
        <x:v>D</x:v>
      </x:c>
      <x:c r="K693" s="165" t="str">
        <x:v>高い酸、柑橘、青リンゴ、白胡椒を持つ辛口白</x:v>
      </x:c>
      <x:c r="L693" s="165" t="str">
        <x:v>正しい。レス土壌と大陸性気候から、フレッシュで品種のスパイシーさを明瞭に表す。</x:v>
      </x:c>
      <x:c r="M693" s="165" t="str">
        <x:v>誤り。非発泡性辛口が中心である。</x:v>
      </x:c>
      <x:c r="N693" s="165" t="str">
        <x:v>誤り。白品種である。</x:v>
      </x:c>
      <x:c r="O693" s="165" t="str">
        <x:v>誤り。正答の「高い酸」を「低い酸」へ置き換えており、酸の水準を逆にしている。</x:v>
      </x:c>
      <x:c r="P693" s="165" t="str">
        <x:v>正しい。レス土壌と大陸性気候から、フレッシュで品種のスパイシーさを明瞭に表す。</x:v>
      </x:c>
      <x:c r="Q693" s="165" t="str">
        <x:v>産地</x:v>
      </x:c>
      <x:c r="R693" s="165" t="str">
        <x:v>オーストリア</x:v>
      </x:c>
      <x:c r="S693" s="165" t="str">
        <x:v>白ワイン</x:v>
      </x:c>
      <x:c r="T693" s="165" t="str">
        <x:v>オーストリア</x:v>
      </x:c>
      <x:c r="U693" s="165" t="str">
        <x:v>ヴァインフィアテル</x:v>
      </x:c>
      <x:c r="V693" s="165" t="str">
        <x:v>グリューナー・ヴェルトリーナー</x:v>
      </x:c>
      <x:c r="W693" s="165" t="str">
        <x:v>知識確認</x:v>
      </x:c>
      <x:c r="X693" s="171" t="str">
        <x:v>D1</x:v>
      </x:c>
      <x:c r="Y693" s="165" t="str">
        <x:v>ヴァインフィアテルについて関連要因を主因とみなす; ヴァインフィアテルについて関連要因を主因とみなす; 高い酸と低い酸を混同</x:v>
      </x:c>
      <x:c r="Z693" s="171" t="str">
        <x:v>N</x:v>
      </x:c>
      <x:c r="AA693" s="165"/>
      <x:c r="AB693" s="165" t="str">
        <x:v>オリジナル</x:v>
      </x:c>
      <x:c r="AC693" s="165" t="str">
        <x:v>WSET公式Specificationの範囲＋ユーザー作成コーパスの論点を参考に独自作成</x:v>
      </x:c>
      <x:c r="AD693" s="171" t="str">
        <x:v>改稿済み・専門家未承認</x:v>
      </x:c>
      <x:c r="AE693" s="171" t="str">
        <x:v>AI誤答レビュー</x:v>
      </x:c>
      <x:c r="AF693" s="171" t="str">
        <x:v>2026-07-12</x:v>
      </x:c>
      <x:c r="AG693" s="369" t="str">
        <x:v>第5バッチ：使用可能な誤答を維持し、弱い誤答を因果逆転・隣接概念へ置換。正答位置は維持。</x:v>
      </x:c>
    </x:row>
    <x:row r="694" ht="84" customHeight="1">
      <x:c r="A694" s="368" t="str">
        <x:v>LO2-153</x:v>
      </x:c>
      <x:c r="B694" s="171" t="str">
        <x:v>LO2</x:v>
      </x:c>
      <x:c r="C694" s="165" t="str">
        <x:v>世界の主要な非発泡性ワイン</x:v>
      </x:c>
      <x:c r="D694" s="165" t="str">
        <x:v>ヴァッハウの段丘</x:v>
      </x:c>
      <x:c r="E694" s="165" t="str">
        <x:v>ヴァッハウの急な石造り段丘が高品質リースリングとグリューナーに寄与する主な理由はどれか。</x:v>
      </x:c>
      <x:c r="F694" s="165" t="str">
        <x:v>日照と排水を確保し、ドナウ川と石壁の熱で成熟を助けるため</x:v>
      </x:c>
      <x:c r="G694" s="165" t="str">
        <x:v>ライン川を見下ろす急な南向き斜面が強い日射を受けるため</x:v>
      </x:c>
      <x:c r="H694" s="165" t="str">
        <x:v>段丘が降雨を増やし、樹勢と収量を高めるため</x:v>
      </x:c>
      <x:c r="I694" s="165" t="str">
        <x:v>機械収穫を容易にし、生産費を下げるため</x:v>
      </x:c>
      <x:c r="J694" s="171" t="str">
        <x:v>A</x:v>
      </x:c>
      <x:c r="K694" s="165" t="str">
        <x:v>日照と排水を確保し、ドナウ川と石壁の熱で成熟を助けるため</x:v>
      </x:c>
      <x:c r="L694" s="165" t="str">
        <x:v>正しい。冷涼な地域で斜面と石壁が日射を活用し、川が気温を緩和する。</x:v>
      </x:c>
      <x:c r="M694" s="165" t="str">
        <x:v>正しい。冷涼な地域で斜面と石壁が日射を活用し、川が気温を緩和する。</x:v>
      </x:c>
      <x:c r="N694" s="165" t="str">
        <x:v>誤り。これは同じ知識領域の「リューデスハイム」に当てはまる説明で、設問の「ヴァッハウの段丘」を最も適切に説明しない。</x:v>
      </x:c>
      <x:c r="O694" s="165" t="str">
        <x:v>誤り。段丘は日照・排水に有利で、降雨量を増やさない。</x:v>
      </x:c>
      <x:c r="P694" s="165" t="str">
        <x:v>誤り。急斜面の石造り段丘は手作業が多く高コストである。</x:v>
      </x:c>
      <x:c r="Q694" s="165" t="str">
        <x:v>自然要因</x:v>
      </x:c>
      <x:c r="R694" s="165" t="str">
        <x:v>オーストリア</x:v>
      </x:c>
      <x:c r="S694" s="165" t="str">
        <x:v>白ワイン</x:v>
      </x:c>
      <x:c r="T694" s="165" t="str">
        <x:v>オーストリア</x:v>
      </x:c>
      <x:c r="U694" s="165" t="str">
        <x:v>ヴァッハウ</x:v>
      </x:c>
      <x:c r="V694" s="165" t="str">
        <x:v>リースリング、グリューナー・ヴェルトリーナー</x:v>
      </x:c>
      <x:c r="W694" s="165" t="str">
        <x:v>統合判断</x:v>
      </x:c>
      <x:c r="X694" s="171" t="str">
        <x:v>D3</x:v>
      </x:c>
      <x:c r="Y694" s="165" t="str">
        <x:v>ヴァッハウの段丘をリューデスハイムの特徴と混同; 段丘で降雨・樹勢増加; 段丘は機械化・低コスト</x:v>
      </x:c>
      <x:c r="Z694" s="171" t="str">
        <x:v>N</x:v>
      </x:c>
      <x:c r="AA694" s="165"/>
      <x:c r="AB694" s="165" t="str">
        <x:v>オリジナル</x:v>
      </x:c>
      <x:c r="AC694" s="165" t="str">
        <x:v>WSET公式Specificationの範囲＋ユーザー作成コーパスの論点を参考に独自作成</x:v>
      </x:c>
      <x:c r="AD694" s="171" t="str">
        <x:v>改稿済み・専門家未承認</x:v>
      </x:c>
      <x:c r="AE694" s="171" t="str">
        <x:v>AI誤答レビュー</x:v>
      </x:c>
      <x:c r="AF694" s="171" t="str">
        <x:v>2026-07-12</x:v>
      </x:c>
      <x:c r="AG694" s="369" t="str">
        <x:v>第4バッチ：同一論点内の典型的誤概念へ置換。正答位置は維持。</x:v>
      </x:c>
    </x:row>
    <x:row r="695" ht="84" customHeight="1">
      <x:c r="A695" s="368" t="str">
        <x:v>LO2-154</x:v>
      </x:c>
      <x:c r="B695" s="171" t="str">
        <x:v>LO2</x:v>
      </x:c>
      <x:c r="C695" s="165" t="str">
        <x:v>世界の主要な非発泡性ワイン</x:v>
      </x:c>
      <x:c r="D695" s="165" t="str">
        <x:v>ネメア</x:v>
      </x:c>
      <x:c r="E695" s="165" t="str">
        <x:v>ネメアのアギオルギティコに典型的な特徴はどれか。</x:v>
      </x:c>
      <x:c r="F695" s="165" t="str">
        <x:v>非常に高タンニンのクシノマヴロ</x:v>
      </x:c>
      <x:c r="G695" s="165" t="str">
        <x:v>熟した赤・黒系果実、中程度の酸とタンニン、柔らかなスパイスを持つ赤</x:v>
      </x:c>
      <x:c r="H695" s="165" t="str">
        <x:v>高酸の白いアシルティコ</x:v>
      </x:c>
      <x:c r="I695" s="165" t="str">
        <x:v>クシノマヴロから造る、淡い色、高い酸とタンニンを持つ長期熟成型赤</x:v>
      </x:c>
      <x:c r="J695" s="171" t="str">
        <x:v>B</x:v>
      </x:c>
      <x:c r="K695" s="165" t="str">
        <x:v>熟した赤・黒系果実、中程度の酸とタンニン、柔らかなスパイスを持つ赤</x:v>
      </x:c>
      <x:c r="L695" s="165" t="str">
        <x:v>正しい。標高の異なる畑から、軽い果実味中心から樽熟成の濃厚なスタイルまで造られる。</x:v>
      </x:c>
      <x:c r="M695" s="165" t="str">
        <x:v>誤り。これはナウサの主要品種である。</x:v>
      </x:c>
      <x:c r="N695" s="165" t="str">
        <x:v>正しい。標高の異なる畑から、軽い果実味中心から樽熟成の濃厚なスタイルまで造られる。</x:v>
      </x:c>
      <x:c r="O695" s="165" t="str">
        <x:v>誤り。これはサントリーニの主要品種である。</x:v>
      </x:c>
      <x:c r="P695" s="165" t="str">
        <x:v>誤り。これはナウサに近く、ネメアはアギオルギティコの熟した赤果実と柔らかなタンニンが典型である。</x:v>
      </x:c>
      <x:c r="Q695" s="165" t="str">
        <x:v>産地</x:v>
      </x:c>
      <x:c r="R695" s="165" t="str">
        <x:v>ギリシャ</x:v>
      </x:c>
      <x:c r="S695" s="165" t="str">
        <x:v>赤ワイン</x:v>
      </x:c>
      <x:c r="T695" s="165" t="str">
        <x:v>ギリシャ</x:v>
      </x:c>
      <x:c r="U695" s="165" t="str">
        <x:v>ネメア</x:v>
      </x:c>
      <x:c r="V695" s="165" t="str">
        <x:v>アギオルギティコ</x:v>
      </x:c>
      <x:c r="W695" s="165" t="str">
        <x:v>知識確認</x:v>
      </x:c>
      <x:c r="X695" s="171" t="str">
        <x:v>D2</x:v>
      </x:c>
      <x:c r="Y695" s="165" t="str">
        <x:v>ネメアについて関連要因を主因とみなす; ネメアについて関連要因を主因とみなす; ネメアをナウサのクシノマヴロと混同</x:v>
      </x:c>
      <x:c r="Z695" s="171" t="str">
        <x:v>N</x:v>
      </x:c>
      <x:c r="AA695" s="165"/>
      <x:c r="AB695" s="165" t="str">
        <x:v>オリジナル</x:v>
      </x:c>
      <x:c r="AC695" s="165" t="str">
        <x:v>WSET公式Specificationの範囲＋ユーザー作成コーパスの論点を参考に独自作成</x:v>
      </x:c>
      <x:c r="AD695" s="171" t="str">
        <x:v>改稿済み・専門家未承認</x:v>
      </x:c>
      <x:c r="AE695" s="171" t="str">
        <x:v>AI誤答レビュー</x:v>
      </x:c>
      <x:c r="AF695" s="171" t="str">
        <x:v>2026-07-12</x:v>
      </x:c>
      <x:c r="AG695" s="369" t="str">
        <x:v>第5バッチ：使用可能な誤答を維持し、弱い誤答を因果逆転・隣接概念へ置換。正答位置は維持。</x:v>
      </x:c>
    </x:row>
    <x:row r="696" ht="84" customHeight="1">
      <x:c r="A696" s="368" t="str">
        <x:v>LO2-155</x:v>
      </x:c>
      <x:c r="B696" s="171" t="str">
        <x:v>LO2</x:v>
      </x:c>
      <x:c r="C696" s="165" t="str">
        <x:v>世界の主要な非発泡性ワイン</x:v>
      </x:c>
      <x:c r="D696" s="165" t="str">
        <x:v>ナウサの熟成力</x:v>
      </x:c>
      <x:c r="E696" s="165" t="str">
        <x:v>ナウサのクシノマヴロが長期熟成に向く主な理由はどれか。</x:v>
      </x:c>
      <x:c r="F696" s="165" t="str">
        <x:v>低い酸とタンニン、赤系果実、トマト、オリーブを思わせる複雑な香りを持つため</x:v>
      </x:c>
      <x:c r="G696" s="165" t="str">
        <x:v>低い酸と柔らかなタンニンを持ち、樽熟成だけで構造を得るため</x:v>
      </x:c>
      <x:c r="H696" s="165" t="str">
        <x:v>高い酸とタンニン、赤系果実、トマト、オリーブを思わせる複雑な香りを持つため</x:v>
      </x:c>
      <x:c r="I696" s="165" t="str">
        <x:v>高い残糖と低アルコールが酸化を防ぐため</x:v>
      </x:c>
      <x:c r="J696" s="171" t="str">
        <x:v>C</x:v>
      </x:c>
      <x:c r="K696" s="165" t="str">
        <x:v>高い酸とタンニン、赤系果実、トマト、オリーブを思わせる複雑な香りを持つため</x:v>
      </x:c>
      <x:c r="L696" s="165" t="str">
        <x:v>正しい。強い構造と個性的な香味が長期瓶熟成を支える。</x:v>
      </x:c>
      <x:c r="M696" s="165" t="str">
        <x:v>誤り。正答では「高い酸」ことが重要であり、この選択肢は「低い酸」へ置き換えて関係を逆にしている。</x:v>
      </x:c>
      <x:c r="N696" s="165" t="str">
        <x:v>誤り。クシノマヴロ自体が高酸・高タンニンである。</x:v>
      </x:c>
      <x:c r="O696" s="165" t="str">
        <x:v>正しい。強い構造と個性的な香味が長期瓶熟成を支える。</x:v>
      </x:c>
      <x:c r="P696" s="165" t="str">
        <x:v>誤り。通常は辛口で、残糖が熟成力の主因ではない。</x:v>
      </x:c>
      <x:c r="Q696" s="165" t="str">
        <x:v>品種</x:v>
      </x:c>
      <x:c r="R696" s="165" t="str">
        <x:v>ギリシャ</x:v>
      </x:c>
      <x:c r="S696" s="165" t="str">
        <x:v>赤ワイン</x:v>
      </x:c>
      <x:c r="T696" s="165" t="str">
        <x:v>ギリシャ</x:v>
      </x:c>
      <x:c r="U696" s="165" t="str">
        <x:v>ナウサ</x:v>
      </x:c>
      <x:c r="V696" s="165" t="str">
        <x:v>クシノマヴロ</x:v>
      </x:c>
      <x:c r="W696" s="165" t="str">
        <x:v>因果説明</x:v>
      </x:c>
      <x:c r="X696" s="171" t="str">
        <x:v>D2</x:v>
      </x:c>
      <x:c r="Y696" s="165" t="str">
        <x:v>「高い酸」と「低い酸」の関係を逆転; クシノマヴロを低酸低タンニンとみなす; ナウサを甘口低アルコールとみなす</x:v>
      </x:c>
      <x:c r="Z696" s="171" t="str">
        <x:v>N</x:v>
      </x:c>
      <x:c r="AA696" s="165"/>
      <x:c r="AB696" s="165" t="str">
        <x:v>オリジナル</x:v>
      </x:c>
      <x:c r="AC696" s="165" t="str">
        <x:v>WSET公式Specificationの範囲＋ユーザー作成コーパスの論点を参考に独自作成</x:v>
      </x:c>
      <x:c r="AD696" s="171" t="str">
        <x:v>改稿済み・専門家未承認</x:v>
      </x:c>
      <x:c r="AE696" s="171" t="str">
        <x:v>AI誤答レビュー</x:v>
      </x:c>
      <x:c r="AF696" s="171" t="str">
        <x:v>2026-07-12</x:v>
      </x:c>
      <x:c r="AG696" s="369" t="str">
        <x:v>第4バッチ：同一論点内の典型的誤概念へ置換。正答位置は維持。</x:v>
      </x:c>
    </x:row>
    <x:row r="697" ht="84" customHeight="1">
      <x:c r="A697" s="368" t="str">
        <x:v>LO2-156</x:v>
      </x:c>
      <x:c r="B697" s="171" t="str">
        <x:v>LO2</x:v>
      </x:c>
      <x:c r="C697" s="165" t="str">
        <x:v>世界の主要な非発泡性ワイン</x:v>
      </x:c>
      <x:c r="D697" s="165" t="str">
        <x:v>コッリオ</x:v>
      </x:c>
      <x:c r="E697" s="165" t="str">
        <x:v>フリウリのコッリオで香り高く高品質な白ワインが造られやすい主な理由はどれか。</x:v>
      </x:c>
      <x:c r="F697" s="165" t="str">
        <x:v>石灰岩の多い斜面と高い酸が、柑橘とミネラルを思わせる線の細い構造を与えるため</x:v>
      </x:c>
      <x:c r="G697" s="165" t="str">
        <x:v>北向きの平地で日照を抑え、未熟な青草香を保つため</x:v>
      </x:c>
      <x:c r="H697" s="165" t="str">
        <x:v>乾燥した内陸高原で、海の影響を受けず高アルコールにするため</x:v>
      </x:c>
      <x:c r="I697" s="165" t="str">
        <x:v>アルプスの冷気とアドリア海の温和な影響が、日較差と長い成熟期間を生むため</x:v>
      </x:c>
      <x:c r="J697" s="171" t="str">
        <x:v>D</x:v>
      </x:c>
      <x:c r="K697" s="165" t="str">
        <x:v>アルプスの冷気とアドリア海の温和な影響が、日較差と長い成熟期間を生むため</x:v>
      </x:c>
      <x:c r="L697" s="165" t="str">
        <x:v>正しい。暖かな日中と冷涼な夜が、芳香と酸を保った白を生む。</x:v>
      </x:c>
      <x:c r="M697" s="165" t="str">
        <x:v>誤り。これは同じ知識領域の「ピュリニー・モンラッシェ」に当てはまる説明で、設問の「コッリオ」を最も適切に説明しない。</x:v>
      </x:c>
      <x:c r="N697" s="165" t="str">
        <x:v>誤り。高品質は丘陵・成熟・酸の両立による。</x:v>
      </x:c>
      <x:c r="O697" s="165" t="str">
        <x:v>誤り。海洋と山地の両方の影響が重要である。</x:v>
      </x:c>
      <x:c r="P697" s="165" t="str">
        <x:v>正しい。暖かな日中と冷涼な夜が、芳香と酸を保った白を生む。</x:v>
      </x:c>
      <x:c r="Q697" s="165" t="str">
        <x:v>自然要因</x:v>
      </x:c>
      <x:c r="R697" s="165" t="str">
        <x:v>フリウリ</x:v>
      </x:c>
      <x:c r="S697" s="165" t="str">
        <x:v>白ワイン</x:v>
      </x:c>
      <x:c r="T697" s="165" t="str">
        <x:v>イタリア</x:v>
      </x:c>
      <x:c r="U697" s="165" t="str">
        <x:v>コッリオ</x:v>
      </x:c>
      <x:c r="V697" s="165" t="str">
        <x:v>フリウラーノ、ソーヴィニヨン・ブラン、ピノ・グリージョ</x:v>
      </x:c>
      <x:c r="W697" s="165" t="str">
        <x:v>因果説明</x:v>
      </x:c>
      <x:c r="X697" s="171" t="str">
        <x:v>D3</x:v>
      </x:c>
      <x:c r="Y697" s="165" t="str">
        <x:v>コッリオをピュリニー・モンラッシェの特徴と混同; コッリオは未熟青草を狙う北向き平地; コッリオを内陸高アルコール型とみなす</x:v>
      </x:c>
      <x:c r="Z697" s="171" t="str">
        <x:v>N</x:v>
      </x:c>
      <x:c r="AA697" s="165"/>
      <x:c r="AB697" s="165" t="str">
        <x:v>オリジナル</x:v>
      </x:c>
      <x:c r="AC697" s="165" t="str">
        <x:v>WSET公式Specificationの範囲＋ユーザー作成コーパスの論点を参考に独自作成</x:v>
      </x:c>
      <x:c r="AD697" s="171" t="str">
        <x:v>改稿済み・専門家未承認</x:v>
      </x:c>
      <x:c r="AE697" s="171" t="str">
        <x:v>AI誤答レビュー</x:v>
      </x:c>
      <x:c r="AF697" s="171" t="str">
        <x:v>2026-07-12</x:v>
      </x:c>
      <x:c r="AG697" s="369" t="str">
        <x:v>第4バッチ：同一論点内の典型的誤概念へ置換。正答位置は維持。</x:v>
      </x:c>
    </x:row>
    <x:row r="698" ht="84" customHeight="1">
      <x:c r="A698" s="368" t="str">
        <x:v>LO2-157</x:v>
      </x:c>
      <x:c r="B698" s="171" t="str">
        <x:v>LO2</x:v>
      </x:c>
      <x:c r="C698" s="165" t="str">
        <x:v>世界の主要な非発泡性ワイン</x:v>
      </x:c>
      <x:c r="D698" s="165" t="str">
        <x:v>オルヴィエート</x:v>
      </x:c>
      <x:c r="E698" s="165" t="str">
        <x:v>オルヴィエートの伝統的な白ワインに典型的な特徴はどれか。</x:v>
      </x:c>
      <x:c r="F698" s="165" t="str">
        <x:v>グレケットとトレッビアーノ系品種から造る、軽快で高酸の辛口から中辛口白</x:v>
      </x:c>
      <x:c r="G698" s="165" t="str">
        <x:v>高い残糖を持つ甘口白が中心で、辛口は例外的である</x:v>
      </x:c>
      <x:c r="H698" s="165" t="str">
        <x:v>ヴェルディッキオ単一で、長期樽熟成した濃厚辛口白</x:v>
      </x:c>
      <x:c r="I698" s="165" t="str">
        <x:v>マルヴァジア主体の強い芳香と高残糖を持つ甘口白のみ</x:v>
      </x:c>
      <x:c r="J698" s="171" t="str">
        <x:v>A</x:v>
      </x:c>
      <x:c r="K698" s="165" t="str">
        <x:v>グレケットとトレッビアーノ系品種から造る、軽快で高酸の辛口から中辛口白</x:v>
      </x:c>
      <x:c r="L698" s="165" t="str">
        <x:v>正しい。ウンブリアの丘陵から、柑橘、リンゴ、アーモンドを思わせる白を造る。</x:v>
      </x:c>
      <x:c r="M698" s="165" t="str">
        <x:v>正しい。ウンブリアの丘陵から、柑橘、リンゴ、アーモンドを思わせる白を造る。</x:v>
      </x:c>
      <x:c r="N698" s="165" t="str">
        <x:v>誤り。オルヴィエートの典型は軽快な辛口から中辛口で、甘口だけが中心ではない。</x:v>
      </x:c>
      <x:c r="O698" s="165" t="str">
        <x:v>誤り。主要品種とスタイルが異なる。</x:v>
      </x:c>
      <x:c r="P698" s="165" t="str">
        <x:v>誤り。甘口もあり得るが、軽快な辛口〜中辛口が典型。</x:v>
      </x:c>
      <x:c r="Q698" s="165" t="str">
        <x:v>産地</x:v>
      </x:c>
      <x:c r="R698" s="165" t="str">
        <x:v>ウンブリア</x:v>
      </x:c>
      <x:c r="S698" s="165" t="str">
        <x:v>白ワイン</x:v>
      </x:c>
      <x:c r="T698" s="165" t="str">
        <x:v>イタリア</x:v>
      </x:c>
      <x:c r="U698" s="165" t="str">
        <x:v>オルヴィエート</x:v>
      </x:c>
      <x:c r="V698" s="165" t="str">
        <x:v>グレケット、トレッビアーノ</x:v>
      </x:c>
      <x:c r="W698" s="165" t="str">
        <x:v>知識確認</x:v>
      </x:c>
      <x:c r="X698" s="171" t="str">
        <x:v>D2</x:v>
      </x:c>
      <x:c r="Y698" s="165" t="str">
        <x:v>オルヴィエートは甘口中心; オルヴィエートをヴェルディッキオ樽熟成型と混同; オルヴィエートは甘口芳香型のみ</x:v>
      </x:c>
      <x:c r="Z698" s="171" t="str">
        <x:v>N</x:v>
      </x:c>
      <x:c r="AA698" s="165"/>
      <x:c r="AB698" s="165" t="str">
        <x:v>オリジナル</x:v>
      </x:c>
      <x:c r="AC698" s="165" t="str">
        <x:v>WSET公式Specificationの範囲＋ユーザー作成コーパスの論点を参考に独自作成</x:v>
      </x:c>
      <x:c r="AD698" s="171" t="str">
        <x:v>改稿済み・専門家未承認</x:v>
      </x:c>
      <x:c r="AE698" s="171" t="str">
        <x:v>AI誤答レビュー</x:v>
      </x:c>
      <x:c r="AF698" s="171" t="str">
        <x:v>2026-07-12</x:v>
      </x:c>
      <x:c r="AG698" s="369" t="str">
        <x:v>第4バッチ：同一論点内の典型的誤概念へ置換。正答位置は維持。</x:v>
      </x:c>
    </x:row>
    <x:row r="699" ht="84" customHeight="1">
      <x:c r="A699" s="368" t="str">
        <x:v>LO2-158</x:v>
      </x:c>
      <x:c r="B699" s="171" t="str">
        <x:v>LO2</x:v>
      </x:c>
      <x:c r="C699" s="165" t="str">
        <x:v>世界の主要な非発泡性ワイン</x:v>
      </x:c>
      <x:c r="D699" s="165" t="str">
        <x:v>フラスカーティ</x:v>
      </x:c>
      <x:c r="E699" s="165" t="str">
        <x:v>フラスカーティの典型的なスタイルとして最も適切なものはどれか。</x:v>
      </x:c>
      <x:c r="F699" s="165" t="str">
        <x:v>テンプラニーリョ主体の樽熟成赤</x:v>
      </x:c>
      <x:c r="G699" s="165" t="str">
        <x:v>マルヴァジアとトレッビアーノ主体の、軽いボディと花・柑橘を持つ白</x:v>
      </x:c>
      <x:c r="H699" s="165" t="str">
        <x:v>アリアニコ主体の高タンニン赤</x:v>
      </x:c>
      <x:c r="I699" s="165" t="str">
        <x:v>ヴェルディッキオ単一で造る、長期樽熟成の濃厚な辛口白</x:v>
      </x:c>
      <x:c r="J699" s="171" t="str">
        <x:v>B</x:v>
      </x:c>
      <x:c r="K699" s="165" t="str">
        <x:v>マルヴァジアとトレッビアーノ主体の、軽いボディと花・柑橘を持つ白</x:v>
      </x:c>
      <x:c r="L699" s="165" t="str">
        <x:v>正しい。ローマ近郊の火山性丘陵で造られ、若いうちに飲むフレッシュな白が中心である。</x:v>
      </x:c>
      <x:c r="M699" s="165" t="str">
        <x:v>誤り。スペインの特徴である。</x:v>
      </x:c>
      <x:c r="N699" s="165" t="str">
        <x:v>正しい。ローマ近郊の火山性丘陵で造られ、若いうちに飲むフレッシュな白が中心である。</x:v>
      </x:c>
      <x:c r="O699" s="165" t="str">
        <x:v>誤り。南イタリアの赤品種である。</x:v>
      </x:c>
      <x:c r="P699" s="165" t="str">
        <x:v>誤り。フラスカーティはマルヴァジアとトレッビアーノ系品種の軽快な白が典型である。</x:v>
      </x:c>
      <x:c r="Q699" s="165" t="str">
        <x:v>産地</x:v>
      </x:c>
      <x:c r="R699" s="165" t="str">
        <x:v>ラツィオ</x:v>
      </x:c>
      <x:c r="S699" s="165" t="str">
        <x:v>白ワイン</x:v>
      </x:c>
      <x:c r="T699" s="165" t="str">
        <x:v>イタリア</x:v>
      </x:c>
      <x:c r="U699" s="165" t="str">
        <x:v>フラスカーティ</x:v>
      </x:c>
      <x:c r="V699" s="165" t="str">
        <x:v>マルヴァジア、トレッビアーノ</x:v>
      </x:c>
      <x:c r="W699" s="165" t="str">
        <x:v>知識確認</x:v>
      </x:c>
      <x:c r="X699" s="171" t="str">
        <x:v>D1</x:v>
      </x:c>
      <x:c r="Y699" s="165" t="str">
        <x:v>フラスカーティについて関連要因を主因とみなす; フラスカーティについて関連要因を主因とみなす; フラスカーティをヴェルディッキオ樽熟成型と混同</x:v>
      </x:c>
      <x:c r="Z699" s="171" t="str">
        <x:v>N</x:v>
      </x:c>
      <x:c r="AA699" s="165"/>
      <x:c r="AB699" s="165" t="str">
        <x:v>オリジナル</x:v>
      </x:c>
      <x:c r="AC699" s="165" t="str">
        <x:v>WSET公式Specificationの範囲＋ユーザー作成コーパスの論点を参考に独自作成</x:v>
      </x:c>
      <x:c r="AD699" s="171" t="str">
        <x:v>改稿済み・専門家未承認</x:v>
      </x:c>
      <x:c r="AE699" s="171" t="str">
        <x:v>AI誤答レビュー</x:v>
      </x:c>
      <x:c r="AF699" s="171" t="str">
        <x:v>2026-07-12</x:v>
      </x:c>
      <x:c r="AG699" s="369" t="str">
        <x:v>第5バッチ：使用可能な誤答を維持し、弱い誤答を因果逆転・隣接概念へ置換。正答位置は維持。</x:v>
      </x:c>
    </x:row>
    <x:row r="700" ht="84" customHeight="1">
      <x:c r="A700" s="368" t="str">
        <x:v>LO2-159</x:v>
      </x:c>
      <x:c r="B700" s="171" t="str">
        <x:v>LO2</x:v>
      </x:c>
      <x:c r="C700" s="165" t="str">
        <x:v>世界の主要な非発泡性ワイン</x:v>
      </x:c>
      <x:c r="D700" s="165" t="str">
        <x:v>フィアーノ・ディ・アヴェッリーノ</x:v>
      </x:c>
      <x:c r="E700" s="165" t="str">
        <x:v>フィアーノ・ディ・アヴェッリーノが熟成可能な白ワインになりやすい主な理由はどれか。</x:v>
      </x:c>
      <x:c r="F700" s="165" t="str">
        <x:v>黒品種でタンニンが非常に高いため</x:v>
      </x:c>
      <x:c r="G700" s="165" t="str">
        <x:v>酸が低く、果実味がほとんどないため</x:v>
      </x:c>
      <x:c r="H700" s="165" t="str">
        <x:v>高い酸と十分な果実濃度を持ち、熟成で蜂蜜、ナッツ、煙の香りが発達するため</x:v>
      </x:c>
      <x:c r="I700" s="165" t="str">
        <x:v>低い酸と十分な果実濃度を持ち、熟成で蜂蜜、ナッツ、煙の香りが発達するため</x:v>
      </x:c>
      <x:c r="J700" s="171" t="str">
        <x:v>C</x:v>
      </x:c>
      <x:c r="K700" s="165" t="str">
        <x:v>高い酸と十分な果実濃度を持ち、熟成で蜂蜜、ナッツ、煙の香りが発達するため</x:v>
      </x:c>
      <x:c r="L700" s="165" t="str">
        <x:v>正しい。カンパーニアの高標高丘陵で成熟が緩やかに進み、構造のある白を生む。</x:v>
      </x:c>
      <x:c r="M700" s="165" t="str">
        <x:v>誤り。フィアーノは白品種である。</x:v>
      </x:c>
      <x:c r="N700" s="165" t="str">
        <x:v>誤り。高い酸と濃度が熟成を支える。</x:v>
      </x:c>
      <x:c r="O700" s="165" t="str">
        <x:v>正しい。カンパーニアの高標高丘陵で成熟が緩やかに進み、構造のある白を生む。</x:v>
      </x:c>
      <x:c r="P700" s="165" t="str">
        <x:v>誤り。正答の「高い酸」を「低い酸」へ置き換えており、酸の水準を逆にしている。</x:v>
      </x:c>
      <x:c r="Q700" s="165" t="str">
        <x:v>産地</x:v>
      </x:c>
      <x:c r="R700" s="165" t="str">
        <x:v>カンパーニア</x:v>
      </x:c>
      <x:c r="S700" s="165" t="str">
        <x:v>白ワイン</x:v>
      </x:c>
      <x:c r="T700" s="165" t="str">
        <x:v>イタリア</x:v>
      </x:c>
      <x:c r="U700" s="165" t="str">
        <x:v>フィアーノ・ディ・アヴェッリーノ</x:v>
      </x:c>
      <x:c r="V700" s="165" t="str">
        <x:v>フィアーノ</x:v>
      </x:c>
      <x:c r="W700" s="165" t="str">
        <x:v>因果説明</x:v>
      </x:c>
      <x:c r="X700" s="171" t="str">
        <x:v>D2</x:v>
      </x:c>
      <x:c r="Y700" s="165" t="str">
        <x:v>フィアーノ・ディ・アヴェッリーノについて関連要因を主因とみなす; フィアーノ・ディ・アヴェッリーノについて関連要因を主因とみなす; 高い酸と低い酸を混同</x:v>
      </x:c>
      <x:c r="Z700" s="171" t="str">
        <x:v>N</x:v>
      </x:c>
      <x:c r="AA700" s="165"/>
      <x:c r="AB700" s="165" t="str">
        <x:v>オリジナル</x:v>
      </x:c>
      <x:c r="AC700" s="165" t="str">
        <x:v>WSET公式Specificationの範囲＋ユーザー作成コーパスの論点を参考に独自作成</x:v>
      </x:c>
      <x:c r="AD700" s="171" t="str">
        <x:v>改稿済み・専門家未承認</x:v>
      </x:c>
      <x:c r="AE700" s="171" t="str">
        <x:v>AI誤答レビュー</x:v>
      </x:c>
      <x:c r="AF700" s="171" t="str">
        <x:v>2026-07-12</x:v>
      </x:c>
      <x:c r="AG700" s="369" t="str">
        <x:v>第5バッチ：使用可能な誤答を維持し、弱い誤答を因果逆転・隣接概念へ置換。正答位置は維持。</x:v>
      </x:c>
    </x:row>
    <x:row r="701" ht="84" customHeight="1">
      <x:c r="A701" s="368" t="str">
        <x:v>LO2-160</x:v>
      </x:c>
      <x:c r="B701" s="171" t="str">
        <x:v>LO2</x:v>
      </x:c>
      <x:c r="C701" s="165" t="str">
        <x:v>世界の主要な非発泡性ワイン</x:v>
      </x:c>
      <x:c r="D701" s="165" t="str">
        <x:v>タウラージ</x:v>
      </x:c>
      <x:c r="E701" s="165" t="str">
        <x:v>タウラージが「南のバローロ」と呼ばれることがある主な理由はどれか。</x:v>
      </x:c>
      <x:c r="F701" s="165" t="str">
        <x:v>ネッビオーロをピエモンテで栽培するから</x:v>
      </x:c>
      <x:c r="G701" s="165" t="str">
        <x:v>低タンニンで早飲みだから</x:v>
      </x:c>
      <x:c r="H701" s="165" t="str">
        <x:v>甘口発泡性だから</x:v>
      </x:c>
      <x:c r="I701" s="165" t="str">
        <x:v>アリアニコから造る高酸・高タンニンで長期熟成可能な赤だから</x:v>
      </x:c>
      <x:c r="J701" s="171" t="str">
        <x:v>D</x:v>
      </x:c>
      <x:c r="K701" s="165" t="str">
        <x:v>アリアニコから造る高酸・高タンニンで長期熟成可能な赤だから</x:v>
      </x:c>
      <x:c r="L701" s="165" t="str">
        <x:v>正しい。高標高の冷涼な内陸で晩熟品種がゆっくり成熟し、黒系果実、煙、革の複雑性を持つ。</x:v>
      </x:c>
      <x:c r="M701" s="165" t="str">
        <x:v>誤り。タウラージはカンパーニアのアリアニコである。</x:v>
      </x:c>
      <x:c r="N701" s="165" t="str">
        <x:v>誤り。強い構造と熟成力が特徴である。</x:v>
      </x:c>
      <x:c r="O701" s="165" t="str">
        <x:v>誤り。辛口非発泡性赤である。</x:v>
      </x:c>
      <x:c r="P701" s="165" t="str">
        <x:v>正しい。高標高の冷涼な内陸で晩熟品種がゆっくり成熟し、黒系果実、煙、革の複雑性を持つ。</x:v>
      </x:c>
      <x:c r="Q701" s="165" t="str">
        <x:v>産地</x:v>
      </x:c>
      <x:c r="R701" s="165" t="str">
        <x:v>カンパーニア</x:v>
      </x:c>
      <x:c r="S701" s="165" t="str">
        <x:v>赤ワイン</x:v>
      </x:c>
      <x:c r="T701" s="165" t="str">
        <x:v>イタリア</x:v>
      </x:c>
      <x:c r="U701" s="165" t="str">
        <x:v>タウラージ</x:v>
      </x:c>
      <x:c r="V701" s="165" t="str">
        <x:v>アリアニコ</x:v>
      </x:c>
      <x:c r="W701" s="165" t="str">
        <x:v>比較</x:v>
      </x:c>
      <x:c r="X701" s="171" t="str">
        <x:v>D2</x:v>
      </x:c>
      <x:c r="Y701" s="165" t="str">
        <x:v>タウラージに関する別の特徴・要因と混同; タウラージに関する別の特徴・要因と混同; タウラージに関する別の特徴・要因と混同</x:v>
      </x:c>
      <x:c r="Z701" s="171" t="str">
        <x:v>N</x:v>
      </x:c>
      <x:c r="AA701" s="165"/>
      <x:c r="AB701" s="165" t="str">
        <x:v>オリジナル</x:v>
      </x:c>
      <x:c r="AC701" s="165" t="str">
        <x:v>WSET公式Specificationの範囲＋ユーザー作成コーパスの論点を参考に独自作成</x:v>
      </x:c>
      <x:c r="AD701" s="171" t="str">
        <x:v>改稿済み・専門家未承認</x:v>
      </x:c>
      <x:c r="AE701" s="171" t="str">
        <x:v>AI誤答レビュー</x:v>
      </x:c>
      <x:c r="AF701" s="171" t="str">
        <x:v>2026-07-12</x:v>
      </x:c>
      <x:c r="AG701" s="369" t="str">
        <x:v>最終バッチ：有効な誤答を維持し、絶対語・物理的不可能な誤答のみ置換。正答位置は維持。</x:v>
      </x:c>
    </x:row>
    <x:row r="702" ht="84" customHeight="1">
      <x:c r="A702" s="368" t="str">
        <x:v>LO2-161</x:v>
      </x:c>
      <x:c r="B702" s="171" t="str">
        <x:v>LO2</x:v>
      </x:c>
      <x:c r="C702" s="165" t="str">
        <x:v>世界の主要な非発泡性ワイン</x:v>
      </x:c>
      <x:c r="D702" s="165" t="str">
        <x:v>アリアニコ・デル・ヴルトゥレ</x:v>
      </x:c>
      <x:c r="E702" s="165" t="str">
        <x:v>アリアニコ・デル・ヴルトゥレに高い酸とミネラルを思わせる引き締まった構造が出やすい主な理由はどれか。</x:v>
      </x:c>
      <x:c r="F702" s="165" t="str">
        <x:v>火山性の高標高斜面と大きな日較差でアリアニコがゆっくり成熟するため</x:v>
      </x:c>
      <x:c r="G702" s="165" t="str">
        <x:v>白品種コルテーゼを用いるから</x:v>
      </x:c>
      <x:c r="H702" s="165" t="str">
        <x:v>火山性の低標高斜面と大きな日較差でアリアニコがゆっくり成熟するため</x:v>
      </x:c>
      <x:c r="I702" s="165" t="str">
        <x:v>温暖な海沿いの平地で早く成熟し、低い酸と柔らかなタンニンを持つため</x:v>
      </x:c>
      <x:c r="J702" s="171" t="str">
        <x:v>A</x:v>
      </x:c>
      <x:c r="K702" s="165" t="str">
        <x:v>火山性の高標高斜面と大きな日較差でアリアニコがゆっくり成熟するため</x:v>
      </x:c>
      <x:c r="L702" s="165" t="str">
        <x:v>正しい。南イタリアでも夜間が冷涼で、晩熟品種の酸を保ちながら黒系果実とタンニンを発達させる。</x:v>
      </x:c>
      <x:c r="M702" s="165" t="str">
        <x:v>正しい。南イタリアでも夜間が冷涼で、晩熟品種の酸を保ちながら黒系果実とタンニンを発達させる。</x:v>
      </x:c>
      <x:c r="N702" s="165" t="str">
        <x:v>誤り。主要品種は黒のアリアニコである。</x:v>
      </x:c>
      <x:c r="O702" s="165" t="str">
        <x:v>誤り。正答の「高標高」を「低標高」へ置き換えており、標高の効果を逆にしている。</x:v>
      </x:c>
      <x:c r="P702" s="165" t="str">
        <x:v>誤り。ヴルトゥレは火山性の高標高斜面でゆっくり成熟し、高い酸と構造を保つ。</x:v>
      </x:c>
      <x:c r="Q702" s="165" t="str">
        <x:v>自然要因</x:v>
      </x:c>
      <x:c r="R702" s="165" t="str">
        <x:v>バジリカータ</x:v>
      </x:c>
      <x:c r="S702" s="165" t="str">
        <x:v>赤ワイン</x:v>
      </x:c>
      <x:c r="T702" s="165" t="str">
        <x:v>イタリア</x:v>
      </x:c>
      <x:c r="U702" s="165" t="str">
        <x:v>アリアニコ・デル・ヴルトゥレ</x:v>
      </x:c>
      <x:c r="V702" s="165" t="str">
        <x:v>アリアニコ</x:v>
      </x:c>
      <x:c r="W702" s="165" t="str">
        <x:v>因果説明</x:v>
      </x:c>
      <x:c r="X702" s="171" t="str">
        <x:v>D3</x:v>
      </x:c>
      <x:c r="Y702" s="165" t="str">
        <x:v>アリアニコ・デル・ヴルトゥレについて関連要因を主因とみなす; 高標高と低標高を混同; アリアニコ・デル・ヴルトゥレを温暖な海岸平地型と混同</x:v>
      </x:c>
      <x:c r="Z702" s="171" t="str">
        <x:v>N</x:v>
      </x:c>
      <x:c r="AA702" s="165"/>
      <x:c r="AB702" s="165" t="str">
        <x:v>オリジナル</x:v>
      </x:c>
      <x:c r="AC702" s="165" t="str">
        <x:v>WSET公式Specificationの範囲＋ユーザー作成コーパスの論点を参考に独自作成</x:v>
      </x:c>
      <x:c r="AD702" s="171" t="str">
        <x:v>改稿済み・専門家未承認</x:v>
      </x:c>
      <x:c r="AE702" s="171" t="str">
        <x:v>AI誤答レビュー</x:v>
      </x:c>
      <x:c r="AF702" s="171" t="str">
        <x:v>2026-07-12</x:v>
      </x:c>
      <x:c r="AG702" s="369" t="str">
        <x:v>第5バッチ：使用可能な誤答を維持し、弱い誤答を因果逆転・隣接概念へ置換。正答位置は維持。</x:v>
      </x:c>
    </x:row>
    <x:row r="703" ht="84" customHeight="1">
      <x:c r="A703" s="368" t="str">
        <x:v>LO2-162</x:v>
      </x:c>
      <x:c r="B703" s="171" t="str">
        <x:v>LO2</x:v>
      </x:c>
      <x:c r="C703" s="165" t="str">
        <x:v>世界の主要な非発泡性ワイン</x:v>
      </x:c>
      <x:c r="D703" s="165" t="str">
        <x:v>ネロ・ダーヴォラ</x:v>
      </x:c>
      <x:c r="E703" s="165" t="str">
        <x:v>シチリアのネロ・ダーヴォラに、典型的な特徴はどれか。</x:v>
      </x:c>
      <x:c r="F703" s="165" t="str">
        <x:v>淡い色、赤いベリー、低いアルコール、高い酸を持つ軽快な赤</x:v>
      </x:c>
      <x:c r="G703" s="165" t="str">
        <x:v>熟した黒いチェリーとプラム、中程度以上の酸とタンニン、スパイスを持つ赤</x:v>
      </x:c>
      <x:c r="H703" s="165" t="str">
        <x:v>深い色と黒果実を持つが、酸とタンニンがほとんどなく早期酸化しやすい</x:v>
      </x:c>
      <x:c r="I703" s="165" t="str">
        <x:v>高いタンニンと酸を持つが、果実は未熟な青い香りが中心</x:v>
      </x:c>
      <x:c r="J703" s="171" t="str">
        <x:v>B</x:v>
      </x:c>
      <x:c r="K703" s="165" t="str">
        <x:v>熟した黒いチェリーとプラム、中程度以上の酸とタンニン、スパイスを持つ赤</x:v>
      </x:c>
      <x:c r="L703" s="165" t="str">
        <x:v>正しい。熟した黒果実、スパイス、十分な酸とタンニンを持つ。</x:v>
      </x:c>
      <x:c r="M703" s="165" t="str">
        <x:v>誤り。温暖なシチリアの典型はより熟した黒果実と豊かなボディである。</x:v>
      </x:c>
      <x:c r="N703" s="165" t="str">
        <x:v>正しい。熟した黒果実、スパイス、十分な酸とタンニンを持つ。</x:v>
      </x:c>
      <x:c r="O703" s="165" t="str">
        <x:v>誤り。酸とタンニンを持たないわけではなく、優良例は構造を備える。</x:v>
      </x:c>
      <x:c r="P703" s="165" t="str">
        <x:v>誤り。十分に成熟した果実が典型で、未熟な青い香りが中心ではない。</x:v>
      </x:c>
      <x:c r="Q703" s="165" t="str">
        <x:v>品種</x:v>
      </x:c>
      <x:c r="R703" s="165" t="str">
        <x:v>シチリア</x:v>
      </x:c>
      <x:c r="S703" s="165" t="str">
        <x:v>赤ワイン</x:v>
      </x:c>
      <x:c r="T703" s="165" t="str">
        <x:v>イタリア</x:v>
      </x:c>
      <x:c r="U703" s="165" t="str">
        <x:v>シチリア</x:v>
      </x:c>
      <x:c r="V703" s="165" t="str">
        <x:v>ネロ・ダーヴォラ</x:v>
      </x:c>
      <x:c r="W703" s="165" t="str">
        <x:v>知識確認</x:v>
      </x:c>
      <x:c r="X703" s="171" t="str">
        <x:v>D1</x:v>
      </x:c>
      <x:c r="Y703" s="165" t="str">
        <x:v>ネロ・ダーヴォラは淡色・低アルコール型; ネロ・ダーヴォラは酸・タンニンがほぼない; 高構造だが未熟青香が典型</x:v>
      </x:c>
      <x:c r="Z703" s="171" t="str">
        <x:v>N</x:v>
      </x:c>
      <x:c r="AA703" s="165"/>
      <x:c r="AB703" s="165" t="str">
        <x:v>オリジナル</x:v>
      </x:c>
      <x:c r="AC703" s="165" t="str">
        <x:v>WSET公式Specificationの範囲＋ユーザー作成コーパスの論点を参考に独自作成</x:v>
      </x:c>
      <x:c r="AD703" s="171" t="str">
        <x:v>改稿済み・専門家未承認</x:v>
      </x:c>
      <x:c r="AE703" s="171" t="str">
        <x:v>AI誤答レビュー</x:v>
      </x:c>
      <x:c r="AF703" s="171" t="str">
        <x:v>2026-07-12</x:v>
      </x:c>
      <x:c r="AG703" s="369" t="str">
        <x:v>第3バッチ：同一論点内の典型的誤概念へ置換。正答位置は維持。</x:v>
      </x:c>
    </x:row>
    <x:row r="704" ht="84" customHeight="1">
      <x:c r="A704" s="368" t="str">
        <x:v>LO2-163</x:v>
      </x:c>
      <x:c r="B704" s="171" t="str">
        <x:v>LO2</x:v>
      </x:c>
      <x:c r="C704" s="165" t="str">
        <x:v>世界の主要な非発泡性ワイン</x:v>
      </x:c>
      <x:c r="D704" s="165" t="str">
        <x:v>ヴェルメンティーノ・ディ・ガッルーラ</x:v>
      </x:c>
      <x:c r="E704" s="165" t="str">
        <x:v>ヴェルメンティーノ・ディ・ガッルーラの典型的なスタイルはどれか。</x:v>
      </x:c>
      <x:c r="F704" s="165" t="str">
        <x:v>高タンニンの黒系果実赤</x:v>
      </x:c>
      <x:c r="G704" s="165" t="str">
        <x:v>低い酸、柑橘、白い花、ハーブ、わずかな塩味を思わせる辛口白</x:v>
      </x:c>
      <x:c r="H704" s="165" t="str">
        <x:v>高い酸、柑橘、白い花、ハーブ、わずかな塩味を思わせる辛口白</x:v>
      </x:c>
      <x:c r="I704" s="165" t="str">
        <x:v>低い酸、熟したトロピカル果実、強い新樽香を持つフルボディ白</x:v>
      </x:c>
      <x:c r="J704" s="171" t="str">
        <x:v>C</x:v>
      </x:c>
      <x:c r="K704" s="165" t="str">
        <x:v>高い酸、柑橘、白い花、ハーブ、わずかな塩味を思わせる辛口白</x:v>
      </x:c>
      <x:c r="L704" s="165" t="str">
        <x:v>正しい。サルデーニャ北東部の花崗岩質土壌と海風により、芳香と爽やかさを保つ。</x:v>
      </x:c>
      <x:c r="M704" s="165" t="str">
        <x:v>誤り。ヴェルメンティーノは白品種である。</x:v>
      </x:c>
      <x:c r="N704" s="165" t="str">
        <x:v>誤り。正答の「高い酸」を「低い酸」へ置き換えており、酸の水準を逆にしている。</x:v>
      </x:c>
      <x:c r="O704" s="165" t="str">
        <x:v>正しい。サルデーニャ北東部の花崗岩質土壌と海風により、芳香と爽やかさを保つ。</x:v>
      </x:c>
      <x:c r="P704" s="165" t="str">
        <x:v>誤り。ヴェルメンティーノ・ディ・ガッルーラは高い酸、柑橘、花、ハーブ、塩味を思わせる辛口白である。</x:v>
      </x:c>
      <x:c r="Q704" s="165" t="str">
        <x:v>産地</x:v>
      </x:c>
      <x:c r="R704" s="165" t="str">
        <x:v>サルデーニャ</x:v>
      </x:c>
      <x:c r="S704" s="165" t="str">
        <x:v>白ワイン</x:v>
      </x:c>
      <x:c r="T704" s="165" t="str">
        <x:v>イタリア</x:v>
      </x:c>
      <x:c r="U704" s="165" t="str">
        <x:v>ヴェルメンティーノ・ディ・ガッルーラ</x:v>
      </x:c>
      <x:c r="V704" s="165" t="str">
        <x:v>ヴェルメンティーノ</x:v>
      </x:c>
      <x:c r="W704" s="165" t="str">
        <x:v>知識確認</x:v>
      </x:c>
      <x:c r="X704" s="171" t="str">
        <x:v>D2</x:v>
      </x:c>
      <x:c r="Y704" s="165" t="str">
        <x:v>ヴェルメンティーノ・ディ・ガッルーラについて関連要因を主因とみなす; 高い酸と低い酸を混同; ヴェルメンティーノを温暖な新樽フルボディ白と混同</x:v>
      </x:c>
      <x:c r="Z704" s="171" t="str">
        <x:v>N</x:v>
      </x:c>
      <x:c r="AA704" s="165"/>
      <x:c r="AB704" s="165" t="str">
        <x:v>オリジナル</x:v>
      </x:c>
      <x:c r="AC704" s="165" t="str">
        <x:v>WSET公式Specificationの範囲＋ユーザー作成コーパスの論点を参考に独自作成</x:v>
      </x:c>
      <x:c r="AD704" s="171" t="str">
        <x:v>改稿済み・専門家未承認</x:v>
      </x:c>
      <x:c r="AE704" s="171" t="str">
        <x:v>AI誤答レビュー</x:v>
      </x:c>
      <x:c r="AF704" s="171" t="str">
        <x:v>2026-07-12</x:v>
      </x:c>
      <x:c r="AG704" s="369" t="str">
        <x:v>第5バッチ：使用可能な誤答を維持し、弱い誤答を因果逆転・隣接概念へ置換。正答位置は維持。</x:v>
      </x:c>
    </x:row>
    <x:row r="705" ht="84" customHeight="1">
      <x:c r="A705" s="368" t="str">
        <x:v>LO2-164</x:v>
      </x:c>
      <x:c r="B705" s="171" t="str">
        <x:v>LO2</x:v>
      </x:c>
      <x:c r="C705" s="165" t="str">
        <x:v>世界の主要な非発泡性ワイン</x:v>
      </x:c>
      <x:c r="D705" s="165" t="str">
        <x:v>リオハ・アルタ</x:v>
      </x:c>
      <x:c r="E705" s="165" t="str">
        <x:v>リオハ・アルタのテンプラニーリョがリオハ・オリエンタルより高い酸と赤系果実を持ちやすい主な理由はどれか。</x:v>
      </x:c>
      <x:c r="F705" s="165" t="str">
        <x:v>最も暑く乾燥した低地だから</x:v>
      </x:c>
      <x:c r="G705" s="165" t="str">
        <x:v>モナストレルだけを栽培するため</x:v>
      </x:c>
      <x:c r="H705" s="165" t="str">
        <x:v>発酵を止めて甘口にするため</x:v>
      </x:c>
      <x:c r="I705" s="165" t="str">
        <x:v>標高が高く大西洋の影響が強いため、成熟が緩やかに進む</x:v>
      </x:c>
      <x:c r="J705" s="171" t="str">
        <x:v>D</x:v>
      </x:c>
      <x:c r="K705" s="165" t="str">
        <x:v>標高が高く大西洋の影響が強いため、成熟が緩やかに進む</x:v>
      </x:c>
      <x:c r="L705" s="165" t="str">
        <x:v>正しい。冷涼な夜と短い生育期間が酸を保ち、繊細で熟成向きのワインを生む。</x:v>
      </x:c>
      <x:c r="M705" s="165" t="str">
        <x:v>誤り。より冷涼な西側に位置する。</x:v>
      </x:c>
      <x:c r="N705" s="165" t="str">
        <x:v>誤り。主要品種はテンプラニーリョである。</x:v>
      </x:c>
      <x:c r="O705" s="165" t="str">
        <x:v>誤り。通常は辛口赤である。</x:v>
      </x:c>
      <x:c r="P705" s="165" t="str">
        <x:v>正しい。冷涼な夜と短い生育期間が酸を保ち、繊細で熟成向きのワインを生む。</x:v>
      </x:c>
      <x:c r="Q705" s="165" t="str">
        <x:v>自然要因</x:v>
      </x:c>
      <x:c r="R705" s="165" t="str">
        <x:v>リオハ</x:v>
      </x:c>
      <x:c r="S705" s="165" t="str">
        <x:v>赤ワイン</x:v>
      </x:c>
      <x:c r="T705" s="165" t="str">
        <x:v>スペイン</x:v>
      </x:c>
      <x:c r="U705" s="165" t="str">
        <x:v>リオハ・アルタ</x:v>
      </x:c>
      <x:c r="V705" s="165" t="str">
        <x:v>テンプラニーリョ</x:v>
      </x:c>
      <x:c r="W705" s="165" t="str">
        <x:v>比較</x:v>
      </x:c>
      <x:c r="X705" s="171" t="str">
        <x:v>D3</x:v>
      </x:c>
      <x:c r="Y705" s="165" t="str">
        <x:v>リオハ・アルタに関する別の特徴・要因と混同; リオハ・アルタに関する別の特徴・要因と混同; リオハ・アルタに関する別の特徴・要因と混同</x:v>
      </x:c>
      <x:c r="Z705" s="171" t="str">
        <x:v>N</x:v>
      </x:c>
      <x:c r="AA705" s="165"/>
      <x:c r="AB705" s="165" t="str">
        <x:v>オリジナル</x:v>
      </x:c>
      <x:c r="AC705" s="165" t="str">
        <x:v>WSET公式Specificationの範囲＋ユーザー作成コーパスの論点を参考に独自作成</x:v>
      </x:c>
      <x:c r="AD705" s="171" t="str">
        <x:v>改稿済み・専門家未承認</x:v>
      </x:c>
      <x:c r="AE705" s="171" t="str">
        <x:v>AI誤答レビュー</x:v>
      </x:c>
      <x:c r="AF705" s="171" t="str">
        <x:v>2026-07-12</x:v>
      </x:c>
      <x:c r="AG705" s="369" t="str">
        <x:v>最終バッチ：有効な誤答を維持し、絶対語・物理的不可能な誤答のみ置換。正答位置は維持。</x:v>
      </x:c>
    </x:row>
    <x:row r="706" ht="84" customHeight="1">
      <x:c r="A706" s="368" t="str">
        <x:v>LO2-165</x:v>
      </x:c>
      <x:c r="B706" s="171" t="str">
        <x:v>LO2</x:v>
      </x:c>
      <x:c r="C706" s="165" t="str">
        <x:v>世界の主要な非発泡性ワイン</x:v>
      </x:c>
      <x:c r="D706" s="165" t="str">
        <x:v>リオハ・オリエンタル</x:v>
      </x:c>
      <x:c r="E706" s="165" t="str">
        <x:v>リオハ・オリエンタルでガルナッチャが十分に成熟し、高アルコールのスタイルになりやすい主な理由はどれか。</x:v>
      </x:c>
      <x:c r="F706" s="165" t="str">
        <x:v>地中海性の影響が強く、標高が低めで夏が暑く乾燥するため</x:v>
      </x:c>
      <x:c r="G706" s="165" t="str">
        <x:v>リースリングを栽培するため</x:v>
      </x:c>
      <x:c r="H706" s="165" t="str">
        <x:v>大西洋の冷たい霧が一年中続くため</x:v>
      </x:c>
      <x:c r="I706" s="165" t="str">
        <x:v>地中海性の影響が強く、標高が低めで夏が暑く湿潤するため</x:v>
      </x:c>
      <x:c r="J706" s="171" t="str">
        <x:v>A</x:v>
      </x:c>
      <x:c r="K706" s="165" t="str">
        <x:v>地中海性の影響が強く、標高が低めで夏が暑く乾燥するため</x:v>
      </x:c>
      <x:c r="L706" s="165" t="str">
        <x:v>正しい。糖度が高まりやすく、熟した赤系果実と豊かなボディをブレンドへ与える。</x:v>
      </x:c>
      <x:c r="M706" s="165" t="str">
        <x:v>正しい。糖度が高まりやすく、熟した赤系果実と豊かなボディをブレンドへ与える。</x:v>
      </x:c>
      <x:c r="N706" s="165" t="str">
        <x:v>誤り。ガルナッチャとテンプラニーリョが重要である。</x:v>
      </x:c>
      <x:c r="O706" s="165" t="str">
        <x:v>誤り。東側はより温暖で乾燥する。</x:v>
      </x:c>
      <x:c r="P706" s="165" t="str">
        <x:v>誤り。正答の「乾燥」を「湿潤」へ置き換えており、水分条件を逆にしている。</x:v>
      </x:c>
      <x:c r="Q706" s="165" t="str">
        <x:v>自然要因</x:v>
      </x:c>
      <x:c r="R706" s="165" t="str">
        <x:v>リオハ</x:v>
      </x:c>
      <x:c r="S706" s="165" t="str">
        <x:v>赤ワイン</x:v>
      </x:c>
      <x:c r="T706" s="165" t="str">
        <x:v>スペイン</x:v>
      </x:c>
      <x:c r="U706" s="165" t="str">
        <x:v>リオハ・オリエンタル</x:v>
      </x:c>
      <x:c r="V706" s="165" t="str">
        <x:v>ガルナッチャ、テンプラニーリョ</x:v>
      </x:c>
      <x:c r="W706" s="165" t="str">
        <x:v>因果説明</x:v>
      </x:c>
      <x:c r="X706" s="171" t="str">
        <x:v>D2</x:v>
      </x:c>
      <x:c r="Y706" s="165" t="str">
        <x:v>リオハ・オリエンタルについて関連要因を主因とみなす; リオハ・オリエンタルについて関連要因を主因とみなす; 乾燥と湿潤を混同</x:v>
      </x:c>
      <x:c r="Z706" s="171" t="str">
        <x:v>N</x:v>
      </x:c>
      <x:c r="AA706" s="165"/>
      <x:c r="AB706" s="165" t="str">
        <x:v>オリジナル</x:v>
      </x:c>
      <x:c r="AC706" s="165" t="str">
        <x:v>WSET公式Specificationの範囲＋ユーザー作成コーパスの論点を参考に独自作成</x:v>
      </x:c>
      <x:c r="AD706" s="171" t="str">
        <x:v>改稿済み・専門家未承認</x:v>
      </x:c>
      <x:c r="AE706" s="171" t="str">
        <x:v>AI誤答レビュー</x:v>
      </x:c>
      <x:c r="AF706" s="171" t="str">
        <x:v>2026-07-12</x:v>
      </x:c>
      <x:c r="AG706" s="369" t="str">
        <x:v>第5バッチ：使用可能な誤答を維持し、弱い誤答を因果逆転・隣接概念へ置換。正答位置は維持。</x:v>
      </x:c>
    </x:row>
    <x:row r="707" ht="84" customHeight="1">
      <x:c r="A707" s="368" t="str">
        <x:v>LO2-166</x:v>
      </x:c>
      <x:c r="B707" s="171" t="str">
        <x:v>LO2</x:v>
      </x:c>
      <x:c r="C707" s="165" t="str">
        <x:v>世界の主要な非発泡性ワイン</x:v>
      </x:c>
      <x:c r="D707" s="165" t="str">
        <x:v>ヴァル・ド・サルネス</x:v>
      </x:c>
      <x:c r="E707" s="165" t="str">
        <x:v>リアス・バイシャスのヴァル・ド・サルネスでアルバリーニョが高い酸と海を思わせる風味を持ちやすい主な理由はどれか。</x:v>
      </x:c>
      <x:c r="F707" s="165" t="str">
        <x:v>内陸砂漠の高温だから</x:v>
      </x:c>
      <x:c r="G707" s="165" t="str">
        <x:v>大西洋に近い冷涼で湿潤な気候と花崗岩質土壌</x:v>
      </x:c>
      <x:c r="H707" s="165" t="str">
        <x:v>黒品種テンプラニーリョだけを栽培するため</x:v>
      </x:c>
      <x:c r="I707" s="165" t="str">
        <x:v>ブドウを樹上乾燥するため</x:v>
      </x:c>
      <x:c r="J707" s="171" t="str">
        <x:v>B</x:v>
      </x:c>
      <x:c r="K707" s="165" t="str">
        <x:v>大西洋に近い冷涼で湿潤な気候と花崗岩質土壌</x:v>
      </x:c>
      <x:c r="L707" s="165" t="str">
        <x:v>正しい。成熟がゆっくり進み、柑橘、核果、花、高い酸を保つ。棚仕立てで風通しを確保する。</x:v>
      </x:c>
      <x:c r="M707" s="165" t="str">
        <x:v>誤り。沿岸の海洋性地域である。</x:v>
      </x:c>
      <x:c r="N707" s="165" t="str">
        <x:v>正しい。成熟がゆっくり進み、柑橘、核果、花、高い酸を保つ。棚仕立てで風通しを確保する。</x:v>
      </x:c>
      <x:c r="O707" s="165" t="str">
        <x:v>誤り。主要品種は白のアルバリーニョである。</x:v>
      </x:c>
      <x:c r="P707" s="165" t="str">
        <x:v>誤り。フレッシュな辛口白が中心である。</x:v>
      </x:c>
      <x:c r="Q707" s="165" t="str">
        <x:v>自然要因</x:v>
      </x:c>
      <x:c r="R707" s="165" t="str">
        <x:v>リアス・バイシャス</x:v>
      </x:c>
      <x:c r="S707" s="165" t="str">
        <x:v>白ワイン</x:v>
      </x:c>
      <x:c r="T707" s="165" t="str">
        <x:v>スペイン</x:v>
      </x:c>
      <x:c r="U707" s="165" t="str">
        <x:v>ヴァル・ド・サルネス</x:v>
      </x:c>
      <x:c r="V707" s="165" t="str">
        <x:v>アルバリーニョ</x:v>
      </x:c>
      <x:c r="W707" s="165" t="str">
        <x:v>因果説明</x:v>
      </x:c>
      <x:c r="X707" s="171" t="str">
        <x:v>D3</x:v>
      </x:c>
      <x:c r="Y707" s="165" t="str">
        <x:v>ヴァル・ド・サルネスに関する別の特徴・要因と混同; ヴァル・ド・サルネスに関する別の特徴・要因と混同; ヴァル・ド・サルネスに関する別の特徴・要因と混同</x:v>
      </x:c>
      <x:c r="Z707" s="171" t="str">
        <x:v>N</x:v>
      </x:c>
      <x:c r="AA707" s="165"/>
      <x:c r="AB707" s="165" t="str">
        <x:v>オリジナル</x:v>
      </x:c>
      <x:c r="AC707" s="165" t="str">
        <x:v>WSET公式Specificationの範囲＋ユーザー作成コーパスの論点を参考に独自作成</x:v>
      </x:c>
      <x:c r="AD707" s="171" t="str">
        <x:v>改稿済み・専門家未承認</x:v>
      </x:c>
      <x:c r="AE707" s="171" t="str">
        <x:v>AI誤答レビュー</x:v>
      </x:c>
      <x:c r="AF707" s="171" t="str">
        <x:v>2026-07-12</x:v>
      </x:c>
      <x:c r="AG707" s="369" t="str">
        <x:v>最終バッチ：有効な誤答を維持し、絶対語・物理的不可能な誤答のみ置換。正答位置は維持。</x:v>
      </x:c>
    </x:row>
    <x:row r="708" ht="84" customHeight="1">
      <x:c r="A708" s="368" t="str">
        <x:v>LO2-167</x:v>
      </x:c>
      <x:c r="B708" s="171" t="str">
        <x:v>LO2</x:v>
      </x:c>
      <x:c r="C708" s="165" t="str">
        <x:v>世界の主要な非発泡性ワイン</x:v>
      </x:c>
      <x:c r="D708" s="165" t="str">
        <x:v>ラ・マンチャのアイレン</x:v>
      </x:c>
      <x:c r="E708" s="165" t="str">
        <x:v>ラ・マンチャでアイレンが広く栽培されてきた主な理由はどれか。</x:v>
      </x:c>
      <x:c r="F708" s="165" t="str">
        <x:v>冷涼多雨な気候でのみ育つため</x:v>
      </x:c>
      <x:c r="G708" s="165" t="str">
        <x:v>非常に芳香性が高く低収量だから</x:v>
      </x:c>
      <x:c r="H708" s="165" t="str">
        <x:v>暑く乾燥した条件に耐え、低密植の株仕立てで安定した収量を得やすい</x:v>
      </x:c>
      <x:c r="I708" s="165" t="str">
        <x:v>黒品種で高タンニンだから</x:v>
      </x:c>
      <x:c r="J708" s="171" t="str">
        <x:v>C</x:v>
      </x:c>
      <x:c r="K708" s="165" t="str">
        <x:v>暑く乾燥した条件に耐え、低密植の株仕立てで安定した収量を得やすい</x:v>
      </x:c>
      <x:c r="L708" s="165" t="str">
        <x:v>正しい。病害が少なく機械化もしやすいため、大量の中立的な白ワインや蒸留原料を生産できる。</x:v>
      </x:c>
      <x:c r="M708" s="165" t="str">
        <x:v>誤り。乾燥と高温への適応が強い。</x:v>
      </x:c>
      <x:c r="N708" s="165" t="str">
        <x:v>誤り。一般に中立的で高収量になり得る。</x:v>
      </x:c>
      <x:c r="O708" s="165" t="str">
        <x:v>正しい。病害が少なく機械化もしやすいため、大量の中立的な白ワインや蒸留原料を生産できる。</x:v>
      </x:c>
      <x:c r="P708" s="165" t="str">
        <x:v>誤り。白品種である。</x:v>
      </x:c>
      <x:c r="Q708" s="165" t="str">
        <x:v>品種</x:v>
      </x:c>
      <x:c r="R708" s="165" t="str">
        <x:v>カスティーリャ・ラ・マンチャ</x:v>
      </x:c>
      <x:c r="S708" s="165" t="str">
        <x:v>白ワイン</x:v>
      </x:c>
      <x:c r="T708" s="165" t="str">
        <x:v>スペイン</x:v>
      </x:c>
      <x:c r="U708" s="165" t="str">
        <x:v>ラ・マンチャ</x:v>
      </x:c>
      <x:c r="V708" s="165" t="str">
        <x:v>アイレン</x:v>
      </x:c>
      <x:c r="W708" s="165" t="str">
        <x:v>因果説明</x:v>
      </x:c>
      <x:c r="X708" s="171" t="str">
        <x:v>D2</x:v>
      </x:c>
      <x:c r="Y708" s="165" t="str">
        <x:v>ラ・マンチャのアイレンに関する別の特徴・要因と混同; ラ・マンチャのアイレンに関する別の特徴・要因と混同; ラ・マンチャのアイレンに関する別の特徴・要因と混同</x:v>
      </x:c>
      <x:c r="Z708" s="171" t="str">
        <x:v>N</x:v>
      </x:c>
      <x:c r="AA708" s="165"/>
      <x:c r="AB708" s="165" t="str">
        <x:v>オリジナル</x:v>
      </x:c>
      <x:c r="AC708" s="165" t="str">
        <x:v>WSET公式Specificationの範囲＋ユーザー作成コーパスの論点を参考に独自作成</x:v>
      </x:c>
      <x:c r="AD708" s="171" t="str">
        <x:v>改稿済み・専門家未承認</x:v>
      </x:c>
      <x:c r="AE708" s="171" t="str">
        <x:v>AI誤答レビュー</x:v>
      </x:c>
      <x:c r="AF708" s="171" t="str">
        <x:v>2026-07-12</x:v>
      </x:c>
      <x:c r="AG708" s="369" t="str">
        <x:v>最終バッチ：有効な誤答を維持し、絶対語・物理的不可能な誤答のみ置換。正答位置は維持。</x:v>
      </x:c>
    </x:row>
    <x:row r="709" ht="84" customHeight="1">
      <x:c r="A709" s="368" t="str">
        <x:v>LO2-168</x:v>
      </x:c>
      <x:c r="B709" s="171" t="str">
        <x:v>LO2</x:v>
      </x:c>
      <x:c r="C709" s="165" t="str">
        <x:v>世界の主要な非発泡性ワイン</x:v>
      </x:c>
      <x:c r="D709" s="165" t="str">
        <x:v>バルデペーニャス</x:v>
      </x:c>
      <x:c r="E709" s="165" t="str">
        <x:v>バルデペーニャスのテンプラニーリョに典型的なスタイルはどれか。</x:v>
      </x:c>
      <x:c r="F709" s="165" t="str">
        <x:v>低アルコールの甘口発泡性</x:v>
      </x:c>
      <x:c r="G709" s="165" t="str">
        <x:v>高酸の海洋性アルバリーニョ</x:v>
      </x:c>
      <x:c r="H709" s="165" t="str">
        <x:v>熟した赤系果実、中程度の酸とタンニンを持つ、比較的手頃な甘口赤</x:v>
      </x:c>
      <x:c r="I709" s="165" t="str">
        <x:v>熟した赤系果実、中程度の酸とタンニンを持つ、比較的手頃な辛口赤</x:v>
      </x:c>
      <x:c r="J709" s="171" t="str">
        <x:v>D</x:v>
      </x:c>
      <x:c r="K709" s="165" t="str">
        <x:v>熟した赤系果実、中程度の酸とタンニンを持つ、比較的手頃な辛口赤</x:v>
      </x:c>
      <x:c r="L709" s="165" t="str">
        <x:v>正しい。暑く乾燥した内陸気候で成熟し、近代的な温度管理により果実味中心のスタイルを造れる。</x:v>
      </x:c>
      <x:c r="M709" s="165" t="str">
        <x:v>誤り。通常は非発泡性赤である。</x:v>
      </x:c>
      <x:c r="N709" s="165" t="str">
        <x:v>誤り。地域と品種が異なる。</x:v>
      </x:c>
      <x:c r="O709" s="165" t="str">
        <x:v>誤り。正答の「辛口」を「甘口」へ置き換えており、甘味スタイルを混同している。</x:v>
      </x:c>
      <x:c r="P709" s="165" t="str">
        <x:v>正しい。暑く乾燥した内陸気候で成熟し、近代的な温度管理により果実味中心のスタイルを造れる。</x:v>
      </x:c>
      <x:c r="Q709" s="165" t="str">
        <x:v>産地</x:v>
      </x:c>
      <x:c r="R709" s="165" t="str">
        <x:v>カスティーリャ・ラ・マンチャ</x:v>
      </x:c>
      <x:c r="S709" s="165" t="str">
        <x:v>赤ワイン</x:v>
      </x:c>
      <x:c r="T709" s="165" t="str">
        <x:v>スペイン</x:v>
      </x:c>
      <x:c r="U709" s="165" t="str">
        <x:v>バルデペーニャス</x:v>
      </x:c>
      <x:c r="V709" s="165" t="str">
        <x:v>テンプラニーリョ</x:v>
      </x:c>
      <x:c r="W709" s="165" t="str">
        <x:v>知識確認</x:v>
      </x:c>
      <x:c r="X709" s="171" t="str">
        <x:v>D2</x:v>
      </x:c>
      <x:c r="Y709" s="165" t="str">
        <x:v>バルデペーニャスについて関連要因を主因とみなす; バルデペーニャスについて関連要因を主因とみなす; 辛口と甘口を混同</x:v>
      </x:c>
      <x:c r="Z709" s="171" t="str">
        <x:v>N</x:v>
      </x:c>
      <x:c r="AA709" s="165"/>
      <x:c r="AB709" s="165" t="str">
        <x:v>オリジナル</x:v>
      </x:c>
      <x:c r="AC709" s="165" t="str">
        <x:v>WSET公式Specificationの範囲＋ユーザー作成コーパスの論点を参考に独自作成</x:v>
      </x:c>
      <x:c r="AD709" s="171" t="str">
        <x:v>改稿済み・専門家未承認</x:v>
      </x:c>
      <x:c r="AE709" s="171" t="str">
        <x:v>AI誤答レビュー</x:v>
      </x:c>
      <x:c r="AF709" s="171" t="str">
        <x:v>2026-07-12</x:v>
      </x:c>
      <x:c r="AG709" s="369" t="str">
        <x:v>第5バッチ：使用可能な誤答を維持し、弱い誤答を因果逆転・隣接概念へ置換。正答位置は維持。</x:v>
      </x:c>
    </x:row>
    <x:row r="710" ht="84" customHeight="1">
      <x:c r="A710" s="368" t="str">
        <x:v>LO2-169</x:v>
      </x:c>
      <x:c r="B710" s="171" t="str">
        <x:v>LO2</x:v>
      </x:c>
      <x:c r="C710" s="165" t="str">
        <x:v>世界の主要な非発泡性ワイン</x:v>
      </x:c>
      <x:c r="D710" s="165" t="str">
        <x:v>フミーリャ</x:v>
      </x:c>
      <x:c r="E710" s="165" t="str">
        <x:v>フミーリャのモナストレルが濃厚で高アルコールになりやすい主な理由はどれか。</x:v>
      </x:c>
      <x:c r="F710" s="165" t="str">
        <x:v>暑く乾燥した高原で、耐乾性の高い晩熟品種が高い糖度まで成熟するため</x:v>
      </x:c>
      <x:c r="G710" s="165" t="str">
        <x:v>白品種アルバリーニョを用いるため</x:v>
      </x:c>
      <x:c r="H710" s="165" t="str">
        <x:v>冷涼な大西洋沿岸で早摘みするため</x:v>
      </x:c>
      <x:c r="I710" s="165" t="str">
        <x:v>暑く湿潤した高原で、耐乾性の高い晩熟品種が高い糖度まで成熟するため</x:v>
      </x:c>
      <x:c r="J710" s="171" t="str">
        <x:v>A</x:v>
      </x:c>
      <x:c r="K710" s="165" t="str">
        <x:v>暑く乾燥した高原で、耐乾性の高い晩熟品種が高い糖度まで成熟するため</x:v>
      </x:c>
      <x:c r="L710" s="165" t="str">
        <x:v>正しい。古木の低収量と大きな日較差により、黒系果実、ハーブ、強いタンニンを持つ。</x:v>
      </x:c>
      <x:c r="M710" s="165" t="str">
        <x:v>正しい。古木の低収量と大きな日較差により、黒系果実、ハーブ、強いタンニンを持つ。</x:v>
      </x:c>
      <x:c r="N710" s="165" t="str">
        <x:v>誤り。主要品種は黒のモナストレルである。</x:v>
      </x:c>
      <x:c r="O710" s="165" t="str">
        <x:v>誤り。スペイン南東部の乾燥した内陸である。</x:v>
      </x:c>
      <x:c r="P710" s="165" t="str">
        <x:v>誤り。正答の「乾燥」を「湿潤」へ置き換えており、水分条件を逆にしている。</x:v>
      </x:c>
      <x:c r="Q710" s="165" t="str">
        <x:v>自然要因</x:v>
      </x:c>
      <x:c r="R710" s="165" t="str">
        <x:v>レバンテ</x:v>
      </x:c>
      <x:c r="S710" s="165" t="str">
        <x:v>赤ワイン</x:v>
      </x:c>
      <x:c r="T710" s="165" t="str">
        <x:v>スペイン</x:v>
      </x:c>
      <x:c r="U710" s="165" t="str">
        <x:v>フミーリャ</x:v>
      </x:c>
      <x:c r="V710" s="165" t="str">
        <x:v>モナストレル</x:v>
      </x:c>
      <x:c r="W710" s="165" t="str">
        <x:v>因果説明</x:v>
      </x:c>
      <x:c r="X710" s="171" t="str">
        <x:v>D2</x:v>
      </x:c>
      <x:c r="Y710" s="165" t="str">
        <x:v>フミーリャについて関連要因を主因とみなす; フミーリャについて関連要因を主因とみなす; 乾燥と湿潤を混同</x:v>
      </x:c>
      <x:c r="Z710" s="171" t="str">
        <x:v>N</x:v>
      </x:c>
      <x:c r="AA710" s="165"/>
      <x:c r="AB710" s="165" t="str">
        <x:v>オリジナル</x:v>
      </x:c>
      <x:c r="AC710" s="165" t="str">
        <x:v>WSET公式Specificationの範囲＋ユーザー作成コーパスの論点を参考に独自作成</x:v>
      </x:c>
      <x:c r="AD710" s="171" t="str">
        <x:v>改稿済み・専門家未承認</x:v>
      </x:c>
      <x:c r="AE710" s="171" t="str">
        <x:v>AI誤答レビュー</x:v>
      </x:c>
      <x:c r="AF710" s="171" t="str">
        <x:v>2026-07-12</x:v>
      </x:c>
      <x:c r="AG710" s="369" t="str">
        <x:v>第5バッチ：使用可能な誤答を維持し、弱い誤答を因果逆転・隣接概念へ置換。正答位置は維持。</x:v>
      </x:c>
    </x:row>
    <x:row r="711" ht="84" customHeight="1">
      <x:c r="A711" s="368" t="str">
        <x:v>LO2-170</x:v>
      </x:c>
      <x:c r="B711" s="171" t="str">
        <x:v>LO2</x:v>
      </x:c>
      <x:c r="C711" s="165" t="str">
        <x:v>世界の主要な非発泡性ワイン</x:v>
      </x:c>
      <x:c r="D711" s="165" t="str">
        <x:v>リスボア</x:v>
      </x:c>
      <x:c r="E711" s="165" t="str">
        <x:v>リスボア地方で多様なワインスタイルが造られる主な理由はどれか。</x:v>
      </x:c>
      <x:c r="F711" s="165" t="str">
        <x:v>大西洋沿岸の温暖な区域から内陸の温暖な区域まで気候差が大きい</x:v>
      </x:c>
      <x:c r="G711" s="165" t="str">
        <x:v>大西洋沿岸の冷涼な区域から内陸の温暖な区域まで気候差が大きい</x:v>
      </x:c>
      <x:c r="H711" s="165" t="str">
        <x:v>地域全体が単一の海洋性気候で、品種差だけがスタイルを決める</x:v>
      </x:c>
      <x:c r="I711" s="165" t="str">
        <x:v>赤ワイン用と白ワイン用の産地が法的に完全分離されている</x:v>
      </x:c>
      <x:c r="J711" s="171" t="str">
        <x:v>B</x:v>
      </x:c>
      <x:c r="K711" s="165" t="str">
        <x:v>大西洋沿岸の冷涼な区域から内陸の温暖な区域まで気候差が大きい</x:v>
      </x:c>
      <x:c r="L711" s="165" t="str">
        <x:v>正しい。海風の強い白産地から熟した赤を生む内陸まで幅がある。</x:v>
      </x:c>
      <x:c r="M711" s="165" t="str">
        <x:v>誤り。正答では「冷涼」ことが重要であり、この選択肢は「温暖」へ置き換えて関係を逆にしている。</x:v>
      </x:c>
      <x:c r="N711" s="165" t="str">
        <x:v>正しい。海風の強い白産地から熟した赤を生む内陸まで幅がある。</x:v>
      </x:c>
      <x:c r="O711" s="165" t="str">
        <x:v>誤り。沿岸と内陸で気温・風・降水が異なる。</x:v>
      </x:c>
      <x:c r="P711" s="165" t="str">
        <x:v>誤り。多くの区域で複数スタイルが造られる。</x:v>
      </x:c>
      <x:c r="Q711" s="165" t="str">
        <x:v>自然要因</x:v>
      </x:c>
      <x:c r="R711" s="165" t="str">
        <x:v>ポルトガル</x:v>
      </x:c>
      <x:c r="S711" s="165" t="str">
        <x:v>赤・白ワイン</x:v>
      </x:c>
      <x:c r="T711" s="165" t="str">
        <x:v>ポルトガル</x:v>
      </x:c>
      <x:c r="U711" s="165" t="str">
        <x:v>リスボア</x:v>
      </x:c>
      <x:c r="V711" s="165" t="str">
        <x:v>土着品種・国際品種</x:v>
      </x:c>
      <x:c r="W711" s="165" t="str">
        <x:v>統合判断</x:v>
      </x:c>
      <x:c r="X711" s="171" t="str">
        <x:v>D3</x:v>
      </x:c>
      <x:c r="Y711" s="165" t="str">
        <x:v>「冷涼」と「温暖」の関係を逆転; リスボアの気候は均一; リスボアは赤白産地が完全分離</x:v>
      </x:c>
      <x:c r="Z711" s="171" t="str">
        <x:v>N</x:v>
      </x:c>
      <x:c r="AA711" s="165"/>
      <x:c r="AB711" s="165" t="str">
        <x:v>オリジナル</x:v>
      </x:c>
      <x:c r="AC711" s="165" t="str">
        <x:v>WSET公式Specificationの範囲＋ユーザー作成コーパスの論点を参考に独自作成</x:v>
      </x:c>
      <x:c r="AD711" s="171" t="str">
        <x:v>改稿済み・専門家未承認</x:v>
      </x:c>
      <x:c r="AE711" s="171" t="str">
        <x:v>AI誤答レビュー</x:v>
      </x:c>
      <x:c r="AF711" s="171" t="str">
        <x:v>2026-07-12</x:v>
      </x:c>
      <x:c r="AG711" s="369" t="str">
        <x:v>第4バッチ：同一論点内の典型的誤概念へ置換。正答位置は維持。</x:v>
      </x:c>
    </x:row>
    <x:row r="712" ht="84" customHeight="1">
      <x:c r="A712" s="368" t="str">
        <x:v>LO2-171</x:v>
      </x:c>
      <x:c r="B712" s="171" t="str">
        <x:v>LO2</x:v>
      </x:c>
      <x:c r="C712" s="165" t="str">
        <x:v>世界の主要な非発泡性ワイン</x:v>
      </x:c>
      <x:c r="D712" s="165" t="str">
        <x:v>ラザフォード</x:v>
      </x:c>
      <x:c r="E712" s="165" t="str">
        <x:v>ナパ・ヴァレーのラザフォードのカベルネに典型的な特徴として最も適切なものはどれか。</x:v>
      </x:c>
      <x:c r="F712" s="165" t="str">
        <x:v>低アルコールの甘口発泡性</x:v>
      </x:c>
      <x:c r="G712" s="165" t="str">
        <x:v>高酸の軽いリースリング</x:v>
      </x:c>
      <x:c r="H712" s="165" t="str">
        <x:v>熟したカシス、杉、しっかりしたタンニンと、土っぽい粉状の質感</x:v>
      </x:c>
      <x:c r="I712" s="165" t="str">
        <x:v>高標高の冷涼な山地から造る、黒胡椒と非常に高い酸を持つカベルネ</x:v>
      </x:c>
      <x:c r="J712" s="171" t="str">
        <x:v>C</x:v>
      </x:c>
      <x:c r="K712" s="165" t="str">
        <x:v>熟したカシス、杉、しっかりしたタンニンと、土っぽい粉状の質感</x:v>
      </x:c>
      <x:c r="L712" s="165" t="str">
        <x:v>正しい。谷床の砂利・ローム質土壌と暖かな気候で、成熟した果実と構造を持つ赤を生む。</x:v>
      </x:c>
      <x:c r="M712" s="165" t="str">
        <x:v>誤り。辛口非発泡性赤である。</x:v>
      </x:c>
      <x:c r="N712" s="165" t="str">
        <x:v>誤り。主要品種はカベルネ・ソーヴィニヨンである。</x:v>
      </x:c>
      <x:c r="O712" s="165" t="str">
        <x:v>正しい。谷床の砂利・ローム質土壌と暖かな気候で、成熟した果実と構造を持つ赤を生む。</x:v>
      </x:c>
      <x:c r="P712" s="165" t="str">
        <x:v>誤り。ラザフォードは谷床の温暖な条件と熟した果実、特徴的な土っぽさで知られる。</x:v>
      </x:c>
      <x:c r="Q712" s="165" t="str">
        <x:v>産地</x:v>
      </x:c>
      <x:c r="R712" s="165" t="str">
        <x:v>ナパ・ヴァレー</x:v>
      </x:c>
      <x:c r="S712" s="165" t="str">
        <x:v>赤ワイン</x:v>
      </x:c>
      <x:c r="T712" s="165" t="str">
        <x:v>米国</x:v>
      </x:c>
      <x:c r="U712" s="165" t="str">
        <x:v>ラザフォード</x:v>
      </x:c>
      <x:c r="V712" s="165" t="str">
        <x:v>カベルネ・ソーヴィニヨン</x:v>
      </x:c>
      <x:c r="W712" s="165" t="str">
        <x:v>知識確認</x:v>
      </x:c>
      <x:c r="X712" s="171" t="str">
        <x:v>D2</x:v>
      </x:c>
      <x:c r="Y712" s="165" t="str">
        <x:v>ラザフォードについて関連要因を主因とみなす; ラザフォードについて関連要因を主因とみなす; ラザフォードを冷涼な山地カベルネと混同</x:v>
      </x:c>
      <x:c r="Z712" s="171" t="str">
        <x:v>N</x:v>
      </x:c>
      <x:c r="AA712" s="165"/>
      <x:c r="AB712" s="165" t="str">
        <x:v>オリジナル</x:v>
      </x:c>
      <x:c r="AC712" s="165" t="str">
        <x:v>WSET公式Specificationの範囲＋ユーザー作成コーパスの論点を参考に独自作成</x:v>
      </x:c>
      <x:c r="AD712" s="171" t="str">
        <x:v>改稿済み・専門家未承認</x:v>
      </x:c>
      <x:c r="AE712" s="171" t="str">
        <x:v>AI誤答レビュー</x:v>
      </x:c>
      <x:c r="AF712" s="171" t="str">
        <x:v>2026-07-12</x:v>
      </x:c>
      <x:c r="AG712" s="369" t="str">
        <x:v>第5バッチ：使用可能な誤答を維持し、弱い誤答を因果逆転・隣接概念へ置換。正答位置は維持。</x:v>
      </x:c>
    </x:row>
    <x:row r="713" ht="84" customHeight="1">
      <x:c r="A713" s="368" t="str">
        <x:v>LO2-172</x:v>
      </x:c>
      <x:c r="B713" s="171" t="str">
        <x:v>LO2</x:v>
      </x:c>
      <x:c r="C713" s="165" t="str">
        <x:v>世界の主要な非発泡性ワイン</x:v>
      </x:c>
      <x:c r="D713" s="165" t="str">
        <x:v>オークヴィル</x:v>
      </x:c>
      <x:c r="E713" s="165" t="str">
        <x:v>オークヴィルのカベルネ・ソーヴィニヨンが凝縮しながら酸も保ちやすい主な理由はどれか。</x:v>
      </x:c>
      <x:c r="F713" s="165" t="str">
        <x:v>白品種だけを栽培するため</x:v>
      </x:c>
      <x:c r="G713" s="165" t="str">
        <x:v>高山の雪と低温で成熟が進まず、酸だけが高く残る</x:v>
      </x:c>
      <x:c r="H713" s="165" t="str">
        <x:v>太平洋の霧で一日中日照がないため</x:v>
      </x:c>
      <x:c r="I713" s="165" t="str">
        <x:v>谷床の暖かさと、湾から入る午後の冷気の両方を受けるため</x:v>
      </x:c>
      <x:c r="J713" s="171" t="str">
        <x:v>D</x:v>
      </x:c>
      <x:c r="K713" s="165" t="str">
        <x:v>谷床の暖かさと、湾から入る午後の冷気の両方を受けるため</x:v>
      </x:c>
      <x:c r="L713" s="165" t="str">
        <x:v>正しい。日中の成熟と夜間の冷却を両立し、黒系果実、上質なタンニン、熟成力を持つ。</x:v>
      </x:c>
      <x:c r="M713" s="165" t="str">
        <x:v>誤り。カベルネが重要である。</x:v>
      </x:c>
      <x:c r="N713" s="165" t="str">
        <x:v>誤り。谷床の温暖な産地である。</x:v>
      </x:c>
      <x:c r="O713" s="165" t="str">
        <x:v>誤り。十分な暖かさと日照がある。</x:v>
      </x:c>
      <x:c r="P713" s="165" t="str">
        <x:v>正しい。日中の成熟と夜間の冷却を両立し、黒系果実、上質なタンニン、熟成力を持つ。</x:v>
      </x:c>
      <x:c r="Q713" s="165" t="str">
        <x:v>自然要因</x:v>
      </x:c>
      <x:c r="R713" s="165" t="str">
        <x:v>ナパ・ヴァレー</x:v>
      </x:c>
      <x:c r="S713" s="165" t="str">
        <x:v>赤ワイン</x:v>
      </x:c>
      <x:c r="T713" s="165" t="str">
        <x:v>米国</x:v>
      </x:c>
      <x:c r="U713" s="165" t="str">
        <x:v>オークヴィル</x:v>
      </x:c>
      <x:c r="V713" s="165" t="str">
        <x:v>カベルネ・ソーヴィニヨン</x:v>
      </x:c>
      <x:c r="W713" s="165" t="str">
        <x:v>因果説明</x:v>
      </x:c>
      <x:c r="X713" s="171" t="str">
        <x:v>D3</x:v>
      </x:c>
      <x:c r="Y713" s="165" t="str">
        <x:v>オークヴィルについて関連要因を主因とみなす; オークヴィルについて関連要因を主因とみなす; オークヴィルについて関連要因を主因とみなす</x:v>
      </x:c>
      <x:c r="Z713" s="171" t="str">
        <x:v>N</x:v>
      </x:c>
      <x:c r="AA713" s="165"/>
      <x:c r="AB713" s="165" t="str">
        <x:v>オリジナル</x:v>
      </x:c>
      <x:c r="AC713" s="165" t="str">
        <x:v>WSET公式Specificationの範囲＋ユーザー作成コーパスの論点を参考に独自作成</x:v>
      </x:c>
      <x:c r="AD713" s="171" t="str">
        <x:v>改稿済み・専門家未承認</x:v>
      </x:c>
      <x:c r="AE713" s="171" t="str">
        <x:v>AI誤答レビュー</x:v>
      </x:c>
      <x:c r="AF713" s="171" t="str">
        <x:v>2026-07-12</x:v>
      </x:c>
      <x:c r="AG713" s="369" t="str">
        <x:v>第5バッチ：使用可能な誤答を維持し、弱い誤答を因果逆転・隣接概念へ置換。正答位置は維持。</x:v>
      </x:c>
    </x:row>
    <x:row r="714" ht="84" customHeight="1">
      <x:c r="A714" s="368" t="str">
        <x:v>LO2-173</x:v>
      </x:c>
      <x:c r="B714" s="171" t="str">
        <x:v>LO2</x:v>
      </x:c>
      <x:c r="C714" s="165" t="str">
        <x:v>世界の主要な非発泡性ワイン</x:v>
      </x:c>
      <x:c r="D714" s="165" t="str">
        <x:v>スタッグス・リープ・ディストリクト</x:v>
      </x:c>
      <x:c r="E714" s="165" t="str">
        <x:v>スタッグス・リープ・ディストリクトのカベルネが成熟した果実と比較的滑らかなタンニンを持ちやすい主な理由はどれか。</x:v>
      </x:c>
      <x:c r="F714" s="165" t="str">
        <x:v>暖かな岩壁と午後の湾風が、成熟と冷却を組み合わせるため</x:v>
      </x:c>
      <x:c r="G714" s="165" t="str">
        <x:v>ブドウを貴腐化するため</x:v>
      </x:c>
      <x:c r="H714" s="165" t="str">
        <x:v>グレーラをタンク方式で発泡させるため</x:v>
      </x:c>
      <x:c r="I714" s="165" t="str">
        <x:v>極端な寒冷地で糖が蓄積しないため</x:v>
      </x:c>
      <x:c r="J714" s="171" t="str">
        <x:v>A</x:v>
      </x:c>
      <x:c r="K714" s="165" t="str">
        <x:v>暖かな岩壁と午後の湾風が、成熟と冷却を組み合わせるため</x:v>
      </x:c>
      <x:c r="L714" s="165" t="str">
        <x:v>正しい。火山性・沖積性土壌と温度のバランスが、香り高く細やかな構造を生む。</x:v>
      </x:c>
      <x:c r="M714" s="165" t="str">
        <x:v>正しい。火山性・沖積性土壌と温度のバランスが、香り高く細やかな構造を生む。</x:v>
      </x:c>
      <x:c r="N714" s="165" t="str">
        <x:v>誤り。健全な黒ブドウを用いる。</x:v>
      </x:c>
      <x:c r="O714" s="165" t="str">
        <x:v>誤り。カベルネの非発泡性赤である。</x:v>
      </x:c>
      <x:c r="P714" s="165" t="str">
        <x:v>誤り。十分な成熟が得られる。</x:v>
      </x:c>
      <x:c r="Q714" s="165" t="str">
        <x:v>自然要因</x:v>
      </x:c>
      <x:c r="R714" s="165" t="str">
        <x:v>ナパ・ヴァレー</x:v>
      </x:c>
      <x:c r="S714" s="165" t="str">
        <x:v>赤ワイン</x:v>
      </x:c>
      <x:c r="T714" s="165" t="str">
        <x:v>米国</x:v>
      </x:c>
      <x:c r="U714" s="165" t="str">
        <x:v>スタッグス・リープ・ディストリクト</x:v>
      </x:c>
      <x:c r="V714" s="165" t="str">
        <x:v>カベルネ・ソーヴィニヨン</x:v>
      </x:c>
      <x:c r="W714" s="165" t="str">
        <x:v>因果説明</x:v>
      </x:c>
      <x:c r="X714" s="171" t="str">
        <x:v>D3</x:v>
      </x:c>
      <x:c r="Y714" s="165" t="str">
        <x:v>スタッグス・リープ・ディストリクトについて関連要因を主因とみなす; スタッグス・リープ・ディストリクトについて関連要因を主因とみなす; スタッグス・リープ・ディストリクトについて関連要因を主因とみなす</x:v>
      </x:c>
      <x:c r="Z714" s="171" t="str">
        <x:v>N</x:v>
      </x:c>
      <x:c r="AA714" s="165"/>
      <x:c r="AB714" s="165" t="str">
        <x:v>オリジナル</x:v>
      </x:c>
      <x:c r="AC714" s="165" t="str">
        <x:v>WSET公式Specificationの範囲＋ユーザー作成コーパスの論点を参考に独自作成</x:v>
      </x:c>
      <x:c r="AD714" s="171" t="str">
        <x:v>改稿済み・専門家未承認</x:v>
      </x:c>
      <x:c r="AE714" s="171" t="str">
        <x:v>AI誤答レビュー</x:v>
      </x:c>
      <x:c r="AF714" s="171" t="str">
        <x:v>2026-07-12</x:v>
      </x:c>
      <x:c r="AG714" s="369" t="str">
        <x:v>第5バッチ：使用可能な誤答を維持し、弱い誤答を因果逆転・隣接概念へ置換。正答位置は維持。</x:v>
      </x:c>
    </x:row>
    <x:row r="715" ht="84" customHeight="1">
      <x:c r="A715" s="368" t="str">
        <x:v>LO2-174</x:v>
      </x:c>
      <x:c r="B715" s="171" t="str">
        <x:v>LO2</x:v>
      </x:c>
      <x:c r="C715" s="165" t="str">
        <x:v>世界の主要な非発泡性ワイン</x:v>
      </x:c>
      <x:c r="D715" s="165" t="str">
        <x:v>ハウエル・マウンテン</x:v>
      </x:c>
      <x:c r="E715" s="165" t="str">
        <x:v>ハウエル・マウンテンのカベルネが、ナパ・ヴァレーの谷床より高いタンニンと酸を持ちやすい主な理由はどれか。</x:v>
      </x:c>
      <x:c r="F715" s="165" t="str">
        <x:v>高標高で夜が冷涼かつ痩せた火山性土壌により、低収量で厚い果皮の果実を得るため</x:v>
      </x:c>
      <x:c r="G715" s="165" t="str">
        <x:v>谷床より肥沃で水分が多く、果粒が大きくなるため</x:v>
      </x:c>
      <x:c r="H715" s="165" t="str">
        <x:v>霧の下に位置し、日照が少なく成熟しないため</x:v>
      </x:c>
      <x:c r="I715" s="165" t="str">
        <x:v>メルロの比率を高めて、カベルネの酸とタンニンを補うため</x:v>
      </x:c>
      <x:c r="J715" s="171" t="str">
        <x:v>B</x:v>
      </x:c>
      <x:c r="K715" s="165" t="str">
        <x:v>谷床より肥沃で水分が多く、果粒が大きくなるため</x:v>
      </x:c>
      <x:c r="L715" s="165" t="str">
        <x:v>正しい。肥沃で大粒になる条件は、一般に凝縮と果皮比率を下げやすい。</x:v>
      </x:c>
      <x:c r="M715" s="165" t="str">
        <x:v>誤り。山地の冷涼な夜、痩せた土壌、低収量が果皮比率と構造を高める。</x:v>
      </x:c>
      <x:c r="N715" s="165" t="str">
        <x:v>正しい。肥沃で大粒になる条件は、一般に凝縮と果皮比率を下げやすい。</x:v>
      </x:c>
      <x:c r="O715" s="165" t="str">
        <x:v>誤り。ハウエル・マウンテンは霧の上に出ることが多く、日照を受ける。</x:v>
      </x:c>
      <x:c r="P715" s="165" t="str">
        <x:v>誤り。酸とタンニンは主に畑条件とカベルネ自体から生じ、メルロで補う説明ではない。</x:v>
      </x:c>
      <x:c r="Q715" s="165" t="str">
        <x:v>自然要因</x:v>
      </x:c>
      <x:c r="R715" s="165" t="str">
        <x:v>ナパ・ヴァレー</x:v>
      </x:c>
      <x:c r="S715" s="165" t="str">
        <x:v>赤ワイン</x:v>
      </x:c>
      <x:c r="T715" s="165" t="str">
        <x:v>米国</x:v>
      </x:c>
      <x:c r="U715" s="165" t="str">
        <x:v>ハウエル・マウンテン</x:v>
      </x:c>
      <x:c r="V715" s="165" t="str">
        <x:v>カベルネ・ソーヴィニヨン</x:v>
      </x:c>
      <x:c r="W715" s="165" t="str">
        <x:v>比較</x:v>
      </x:c>
      <x:c r="X715" s="171" t="str">
        <x:v>D3</x:v>
      </x:c>
      <x:c r="Y715" s="165" t="str">
        <x:v>ハウエルは霧の下で日照不足; メルロがカベルネの酸・タンニンを補う</x:v>
      </x:c>
      <x:c r="Z715" s="171" t="str">
        <x:v>N</x:v>
      </x:c>
      <x:c r="AA715" s="165"/>
      <x:c r="AB715" s="165" t="str">
        <x:v>オリジナル</x:v>
      </x:c>
      <x:c r="AC715" s="165" t="str">
        <x:v>WSET公式Specificationの範囲＋ユーザー作成コーパスの論点を参考に独自作成</x:v>
      </x:c>
      <x:c r="AD715" s="171" t="str">
        <x:v>改稿済み・専門家未承認</x:v>
      </x:c>
      <x:c r="AE715" s="171" t="str">
        <x:v>AI誤答レビュー</x:v>
      </x:c>
      <x:c r="AF715" s="171" t="str">
        <x:v>2026-07-12</x:v>
      </x:c>
      <x:c r="AG715" s="369" t="str">
        <x:v>第3バッチ：同一論点内の典型的誤概念へ置換。正答位置は維持。</x:v>
      </x:c>
    </x:row>
    <x:row r="716" ht="84" customHeight="1">
      <x:c r="A716" s="368" t="str">
        <x:v>LO2-175</x:v>
      </x:c>
      <x:c r="B716" s="171" t="str">
        <x:v>LO2</x:v>
      </x:c>
      <x:c r="C716" s="165" t="str">
        <x:v>世界の主要な非発泡性ワイン</x:v>
      </x:c>
      <x:c r="D716" s="165" t="str">
        <x:v>マウント・ヴィーダー</x:v>
      </x:c>
      <x:c r="E716" s="165" t="str">
        <x:v>マウント・ヴィーダーの赤ワインが香り高く堅固な構造になりやすい主な理由はどれか。</x:v>
      </x:c>
      <x:c r="F716" s="165" t="str">
        <x:v>炭酸ガス浸漬だけで造るため</x:v>
      </x:c>
      <x:c r="G716" s="165" t="str">
        <x:v>平坦な肥沃地で高収量だから</x:v>
      </x:c>
      <x:c r="H716" s="165" t="str">
        <x:v>冷涼な山地、急斜面、痩せた土壌が低収量と長い成熟をもたらすため</x:v>
      </x:c>
      <x:c r="I716" s="165" t="str">
        <x:v>冷涼な山地、急斜面、痩せた土壌が高収量と長い成熟をもたらすため</x:v>
      </x:c>
      <x:c r="J716" s="171" t="str">
        <x:v>C</x:v>
      </x:c>
      <x:c r="K716" s="165" t="str">
        <x:v>冷涼な山地、急斜面、痩せた土壌が低収量と長い成熟をもたらすため</x:v>
      </x:c>
      <x:c r="L716" s="165" t="str">
        <x:v>正しい。小粒のカベルネ系果実から、高い酸、タンニン、ハーブと黒系果実の風味を得る。</x:v>
      </x:c>
      <x:c r="M716" s="165" t="str">
        <x:v>誤り。一般的なカベルネ醸造と樽熟成を行う。</x:v>
      </x:c>
      <x:c r="N716" s="165" t="str">
        <x:v>誤り。山地の低収量畑である。</x:v>
      </x:c>
      <x:c r="O716" s="165" t="str">
        <x:v>正しい。小粒のカベルネ系果実から、高い酸、タンニン、ハーブと黒系果実の風味を得る。</x:v>
      </x:c>
      <x:c r="P716" s="165" t="str">
        <x:v>誤り。正答の「低収量」を「高収量」へ置き換えており、収量と凝縮度の関係を逆にしている。</x:v>
      </x:c>
      <x:c r="Q716" s="165" t="str">
        <x:v>自然要因</x:v>
      </x:c>
      <x:c r="R716" s="165" t="str">
        <x:v>ナパ・ヴァレー</x:v>
      </x:c>
      <x:c r="S716" s="165" t="str">
        <x:v>赤ワイン</x:v>
      </x:c>
      <x:c r="T716" s="165" t="str">
        <x:v>米国</x:v>
      </x:c>
      <x:c r="U716" s="165" t="str">
        <x:v>マウント・ヴィーダー</x:v>
      </x:c>
      <x:c r="V716" s="165" t="str">
        <x:v>カベルネ・ソーヴィニヨン、メルロ</x:v>
      </x:c>
      <x:c r="W716" s="165" t="str">
        <x:v>因果説明</x:v>
      </x:c>
      <x:c r="X716" s="171" t="str">
        <x:v>D3</x:v>
      </x:c>
      <x:c r="Y716" s="165" t="str">
        <x:v>マウント・ヴィーダーについて関連要因を主因とみなす; マウント・ヴィーダーについて関連要因を主因とみなす; 低収量と高収量を混同</x:v>
      </x:c>
      <x:c r="Z716" s="171" t="str">
        <x:v>N</x:v>
      </x:c>
      <x:c r="AA716" s="165"/>
      <x:c r="AB716" s="165" t="str">
        <x:v>オリジナル</x:v>
      </x:c>
      <x:c r="AC716" s="165" t="str">
        <x:v>WSET公式Specificationの範囲＋ユーザー作成コーパスの論点を参考に独自作成</x:v>
      </x:c>
      <x:c r="AD716" s="171" t="str">
        <x:v>改稿済み・専門家未承認</x:v>
      </x:c>
      <x:c r="AE716" s="171" t="str">
        <x:v>AI誤答レビュー</x:v>
      </x:c>
      <x:c r="AF716" s="171" t="str">
        <x:v>2026-07-12</x:v>
      </x:c>
      <x:c r="AG716" s="369" t="str">
        <x:v>第5バッチ：使用可能な誤答を維持し、弱い誤答を因果逆転・隣接概念へ置換。正答位置は維持。</x:v>
      </x:c>
    </x:row>
    <x:row r="717" ht="84" customHeight="1">
      <x:c r="A717" s="368" t="str">
        <x:v>LO2-176</x:v>
      </x:c>
      <x:c r="B717" s="171" t="str">
        <x:v>LO2</x:v>
      </x:c>
      <x:c r="C717" s="165" t="str">
        <x:v>世界の主要な非発泡性ワイン</x:v>
      </x:c>
      <x:c r="D717" s="165" t="str">
        <x:v>アレクサンダー・ヴァレー</x:v>
      </x:c>
      <x:c r="E717" s="165" t="str">
        <x:v>アレクサンダー・ヴァレーのカベルネに熟した果実味と比較的柔らかなタンニンが出やすい主な理由はどれか。</x:v>
      </x:c>
      <x:c r="F717" s="165" t="str">
        <x:v>発酵を止めて甘口にするため</x:v>
      </x:c>
      <x:c r="G717" s="165" t="str">
        <x:v>リースリングだけを栽培するため</x:v>
      </x:c>
      <x:c r="H717" s="165" t="str">
        <x:v>太平洋の霧で一日中冷涼だから</x:v>
      </x:c>
      <x:c r="I717" s="165" t="str">
        <x:v>ソノマ北部の内陸で日中が暖かく、十分な成熟が得られるため</x:v>
      </x:c>
      <x:c r="J717" s="171" t="str">
        <x:v>D</x:v>
      </x:c>
      <x:c r="K717" s="165" t="str">
        <x:v>ソノマ北部の内陸で日中が暖かく、十分な成熟が得られるため</x:v>
      </x:c>
      <x:c r="L717" s="165" t="str">
        <x:v>正しい。夜間の冷却もあるが、ロシアン・リヴァー・ヴァレーより温暖で、親しみやすい黒系果実の赤を生む。</x:v>
      </x:c>
      <x:c r="M717" s="165" t="str">
        <x:v>誤り。通常は辛口赤である。</x:v>
      </x:c>
      <x:c r="N717" s="165" t="str">
        <x:v>誤り。カベルネが重要である。</x:v>
      </x:c>
      <x:c r="O717" s="165" t="str">
        <x:v>誤り。沿岸より内陸で暖かい。</x:v>
      </x:c>
      <x:c r="P717" s="165" t="str">
        <x:v>正しい。夜間の冷却もあるが、ロシアン・リヴァー・ヴァレーより温暖で、親しみやすい黒系果実の赤を生む。</x:v>
      </x:c>
      <x:c r="Q717" s="165" t="str">
        <x:v>自然要因</x:v>
      </x:c>
      <x:c r="R717" s="165" t="str">
        <x:v>ソノマ</x:v>
      </x:c>
      <x:c r="S717" s="165" t="str">
        <x:v>赤ワイン</x:v>
      </x:c>
      <x:c r="T717" s="165" t="str">
        <x:v>米国</x:v>
      </x:c>
      <x:c r="U717" s="165" t="str">
        <x:v>アレクサンダー・ヴァレー</x:v>
      </x:c>
      <x:c r="V717" s="165" t="str">
        <x:v>カベルネ・ソーヴィニヨン</x:v>
      </x:c>
      <x:c r="W717" s="165" t="str">
        <x:v>比較</x:v>
      </x:c>
      <x:c r="X717" s="171" t="str">
        <x:v>D2</x:v>
      </x:c>
      <x:c r="Y717" s="165" t="str">
        <x:v>アレクサンダー・ヴァレーについて関連要因を主因とみなす; アレクサンダー・ヴァレーについて関連要因を主因とみなす; アレクサンダー・ヴァレーについて関連要因を主因とみなす</x:v>
      </x:c>
      <x:c r="Z717" s="171" t="str">
        <x:v>N</x:v>
      </x:c>
      <x:c r="AA717" s="165"/>
      <x:c r="AB717" s="165" t="str">
        <x:v>オリジナル</x:v>
      </x:c>
      <x:c r="AC717" s="165" t="str">
        <x:v>WSET公式Specificationの範囲＋ユーザー作成コーパスの論点を参考に独自作成</x:v>
      </x:c>
      <x:c r="AD717" s="171" t="str">
        <x:v>改稿済み・専門家未承認</x:v>
      </x:c>
      <x:c r="AE717" s="171" t="str">
        <x:v>AI誤答レビュー</x:v>
      </x:c>
      <x:c r="AF717" s="171" t="str">
        <x:v>2026-07-12</x:v>
      </x:c>
      <x:c r="AG717" s="369" t="str">
        <x:v>第5バッチ：使用可能な誤答を維持し、弱い誤答を因果逆転・隣接概念へ置換。正答位置は維持。</x:v>
      </x:c>
    </x:row>
    <x:row r="718" ht="84" customHeight="1">
      <x:c r="A718" s="368" t="str">
        <x:v>LO2-177</x:v>
      </x:c>
      <x:c r="B718" s="171" t="str">
        <x:v>LO2</x:v>
      </x:c>
      <x:c r="C718" s="165" t="str">
        <x:v>世界の主要な非発泡性ワイン</x:v>
      </x:c>
      <x:c r="D718" s="165" t="str">
        <x:v>メンドシーノ</x:v>
      </x:c>
      <x:c r="E718" s="165" t="str">
        <x:v>メンドシーノ郡で、有機・持続可能な栽培が広がりやすい自然上の理由はどれか。</x:v>
      </x:c>
      <x:c r="F718" s="165" t="str">
        <x:v>乾燥した夏と多様な冷涼区画により、菌類病圧を抑えながら幅広い品種を栽培できる</x:v>
      </x:c>
      <x:c r="G718" s="165" t="str">
        <x:v>年間を通じて多雨であるため、灌漑と病害防除が不要になる</x:v>
      </x:c>
      <x:c r="H718" s="165" t="str">
        <x:v>沿岸から内陸まで気候が均一で、同じ管理方法を全地域に適用できる</x:v>
      </x:c>
      <x:c r="I718" s="165" t="str">
        <x:v>有機栽培では海洋霧が農薬の代わりに病原菌を除去する</x:v>
      </x:c>
      <x:c r="J718" s="171" t="str">
        <x:v>A</x:v>
      </x:c>
      <x:c r="K718" s="165" t="str">
        <x:v>乾燥した夏と多様な冷涼区画により、菌類病圧を抑えながら幅広い品種を栽培できる</x:v>
      </x:c>
      <x:c r="L718" s="165" t="str">
        <x:v>正しい。乾燥した夏は病害圧を抑え、多様なメソ気候が品種選択を可能にする。</x:v>
      </x:c>
      <x:c r="M718" s="165" t="str">
        <x:v>正しい。乾燥した夏は病害圧を抑え、多様なメソ気候が品種選択を可能にする。</x:v>
      </x:c>
      <x:c r="N718" s="165" t="str">
        <x:v>誤り。冬雨型で、夏の乾燥が利点だが、灌漑や病害防除が不要になるわけではない。</x:v>
      </x:c>
      <x:c r="O718" s="165" t="str">
        <x:v>誤り。沿岸と内陸で気温・霧・日較差が大きく異なる。</x:v>
      </x:c>
      <x:c r="P718" s="165" t="str">
        <x:v>誤り。霧は冷却するが、病原菌を除去する防除手段ではない。</x:v>
      </x:c>
      <x:c r="Q718" s="165" t="str">
        <x:v>自然要因</x:v>
      </x:c>
      <x:c r="R718" s="165" t="str">
        <x:v>カリフォルニア</x:v>
      </x:c>
      <x:c r="S718" s="165" t="str">
        <x:v>赤・白ワイン</x:v>
      </x:c>
      <x:c r="T718" s="165" t="str">
        <x:v>米国</x:v>
      </x:c>
      <x:c r="U718" s="165" t="str">
        <x:v>メンドシーノ郡</x:v>
      </x:c>
      <x:c r="V718" s="165" t="str">
        <x:v>ピノ・ノワール、シャルドネ、ジンファンデル</x:v>
      </x:c>
      <x:c r="W718" s="165" t="str">
        <x:v>統合判断</x:v>
      </x:c>
      <x:c r="X718" s="171" t="str">
        <x:v>D3</x:v>
      </x:c>
      <x:c r="Y718" s="165" t="str">
        <x:v>多雨なら有機栽培で灌漑・防除不要; メンドシーノの気候は均一; 海洋霧が病原菌を除去する</x:v>
      </x:c>
      <x:c r="Z718" s="171" t="str">
        <x:v>N</x:v>
      </x:c>
      <x:c r="AA718" s="165"/>
      <x:c r="AB718" s="165" t="str">
        <x:v>オリジナル</x:v>
      </x:c>
      <x:c r="AC718" s="165" t="str">
        <x:v>WSET公式Specificationの範囲＋ユーザー作成コーパスの論点を参考に独自作成</x:v>
      </x:c>
      <x:c r="AD718" s="171" t="str">
        <x:v>改稿済み・専門家未承認</x:v>
      </x:c>
      <x:c r="AE718" s="171" t="str">
        <x:v>AI誤答レビュー</x:v>
      </x:c>
      <x:c r="AF718" s="171" t="str">
        <x:v>2026-07-12</x:v>
      </x:c>
      <x:c r="AG718" s="369" t="str">
        <x:v>第3バッチ：同一論点内の典型的誤概念へ置換。正答位置は維持。</x:v>
      </x:c>
    </x:row>
    <x:row r="719" ht="84" customHeight="1">
      <x:c r="A719" s="368" t="str">
        <x:v>LO2-178</x:v>
      </x:c>
      <x:c r="B719" s="171" t="str">
        <x:v>LO2</x:v>
      </x:c>
      <x:c r="C719" s="165" t="str">
        <x:v>世界の主要な非発泡性ワイン</x:v>
      </x:c>
      <x:c r="D719" s="165" t="str">
        <x:v>サンタ・クルーズ・マウンテンズ</x:v>
      </x:c>
      <x:c r="E719" s="165" t="str">
        <x:v>サンタ・クルーズ・マウンテンズのシャルドネとピノ・ノワールが高い酸と凝縮度を持ちやすい主な理由はどれか。</x:v>
      </x:c>
      <x:c r="F719" s="165" t="str">
        <x:v>低標高の山地と太平洋の冷却、低収量の痩せた畑</x:v>
      </x:c>
      <x:c r="G719" s="165" t="str">
        <x:v>高標高の山地と太平洋の冷却、低収量の痩せた畑</x:v>
      </x:c>
      <x:c r="H719" s="165" t="str">
        <x:v>内陸谷の高温と肥沃土壌で大粒果を得ること</x:v>
      </x:c>
      <x:c r="I719" s="165" t="str">
        <x:v>霧がほとんどなく、夜温が高いため成熟が速いこと</x:v>
      </x:c>
      <x:c r="J719" s="171" t="str">
        <x:v>B</x:v>
      </x:c>
      <x:c r="K719" s="165" t="str">
        <x:v>高標高の山地と太平洋の冷却、低収量の痩せた畑</x:v>
      </x:c>
      <x:c r="L719" s="165" t="str">
        <x:v>正しい。長い成熟期間と高い酸、凝縮した果実を両立する。</x:v>
      </x:c>
      <x:c r="M719" s="165" t="str">
        <x:v>誤り。正答では「高標高」ことが重要であり、この選択肢は「低標高」へ置き換えて関係を逆にしている。</x:v>
      </x:c>
      <x:c r="N719" s="165" t="str">
        <x:v>正しい。長い成熟期間と高い酸、凝縮した果実を両立する。</x:v>
      </x:c>
      <x:c r="O719" s="165" t="str">
        <x:v>誤り。冷涼山地の低収量が品質を支える。</x:v>
      </x:c>
      <x:c r="P719" s="165" t="str">
        <x:v>誤り。太平洋の冷却と夜間の低温が酸保持に重要。</x:v>
      </x:c>
      <x:c r="Q719" s="165" t="str">
        <x:v>自然要因</x:v>
      </x:c>
      <x:c r="R719" s="165" t="str">
        <x:v>カリフォルニア</x:v>
      </x:c>
      <x:c r="S719" s="165" t="str">
        <x:v>赤・白ワイン</x:v>
      </x:c>
      <x:c r="T719" s="165" t="str">
        <x:v>米国</x:v>
      </x:c>
      <x:c r="U719" s="165" t="str">
        <x:v>サンタ・クルーズ・マウンテンズ</x:v>
      </x:c>
      <x:c r="V719" s="165" t="str">
        <x:v>シャルドネ、ピノ・ノワール</x:v>
      </x:c>
      <x:c r="W719" s="165" t="str">
        <x:v>因果説明</x:v>
      </x:c>
      <x:c r="X719" s="171" t="str">
        <x:v>D3</x:v>
      </x:c>
      <x:c r="Y719" s="165" t="str">
        <x:v>「高標高」と「低標高」の関係を逆転; サンタクルーズを高温肥沃谷とみなす; 霧なし・高夜温が品質要因</x:v>
      </x:c>
      <x:c r="Z719" s="171" t="str">
        <x:v>N</x:v>
      </x:c>
      <x:c r="AA719" s="165"/>
      <x:c r="AB719" s="165" t="str">
        <x:v>オリジナル</x:v>
      </x:c>
      <x:c r="AC719" s="165" t="str">
        <x:v>WSET公式Specificationの範囲＋ユーザー作成コーパスの論点を参考に独自作成</x:v>
      </x:c>
      <x:c r="AD719" s="171" t="str">
        <x:v>改稿済み・専門家未承認</x:v>
      </x:c>
      <x:c r="AE719" s="171" t="str">
        <x:v>AI誤答レビュー</x:v>
      </x:c>
      <x:c r="AF719" s="171" t="str">
        <x:v>2026-07-12</x:v>
      </x:c>
      <x:c r="AG719" s="369" t="str">
        <x:v>第4バッチ：同一論点内の典型的誤概念へ置換。正答位置は維持。</x:v>
      </x:c>
    </x:row>
    <x:row r="720" ht="84" customHeight="1">
      <x:c r="A720" s="368" t="str">
        <x:v>LO2-179</x:v>
      </x:c>
      <x:c r="B720" s="171" t="str">
        <x:v>LO2</x:v>
      </x:c>
      <x:c r="C720" s="165" t="str">
        <x:v>世界の主要な非発泡性ワイン</x:v>
      </x:c>
      <x:c r="D720" s="165" t="str">
        <x:v>モントレー</x:v>
      </x:c>
      <x:c r="E720" s="165" t="str">
        <x:v>モントレー郡で冷涼気候品種が内陸深くまで栽培できる主な理由はどれか。</x:v>
      </x:c>
      <x:c r="F720" s="165" t="str">
        <x:v>山脈と谷が東西方向に走り、太平洋からの風と霧の通り道となるため</x:v>
      </x:c>
      <x:c r="G720" s="165" t="str">
        <x:v>谷が海風を遮り、内陸の熱を蓄えるため</x:v>
      </x:c>
      <x:c r="H720" s="165" t="str">
        <x:v>モントレー湾からの冷たい風と霧がサリナス・ヴァレーへ流れ込むため</x:v>
      </x:c>
      <x:c r="I720" s="165" t="str">
        <x:v>高標高の山岳畑だけで栽培されるため</x:v>
      </x:c>
      <x:c r="J720" s="171" t="str">
        <x:v>C</x:v>
      </x:c>
      <x:c r="K720" s="165" t="str">
        <x:v>モントレー湾からの冷たい風と霧がサリナス・ヴァレーへ流れ込むため</x:v>
      </x:c>
      <x:c r="L720" s="165" t="str">
        <x:v>正しい。谷の向きが冷気の通路となり、内陸深くまで冷涼条件をもたらす。</x:v>
      </x:c>
      <x:c r="M720" s="165" t="str">
        <x:v>誤り。これは同じ知識領域の「サンタ・バーバラ」に当てはまる説明で、設問の「モントレー」を最も適切に説明しない。</x:v>
      </x:c>
      <x:c r="N720" s="165" t="str">
        <x:v>誤り。谷は冷気の通路となる。</x:v>
      </x:c>
      <x:c r="O720" s="165" t="str">
        <x:v>正しい。谷の向きが冷気の通路となり、内陸深くまで冷涼条件をもたらす。</x:v>
      </x:c>
      <x:c r="P720" s="165" t="str">
        <x:v>誤り。低地まで海洋冷却が入り、標高だけではない。</x:v>
      </x:c>
      <x:c r="Q720" s="165" t="str">
        <x:v>自然要因</x:v>
      </x:c>
      <x:c r="R720" s="165" t="str">
        <x:v>カリフォルニア</x:v>
      </x:c>
      <x:c r="S720" s="165" t="str">
        <x:v>赤・白ワイン</x:v>
      </x:c>
      <x:c r="T720" s="165" t="str">
        <x:v>米国</x:v>
      </x:c>
      <x:c r="U720" s="165" t="str">
        <x:v>モントレー郡</x:v>
      </x:c>
      <x:c r="V720" s="165" t="str">
        <x:v>シャルドネ、ピノ・ノワール</x:v>
      </x:c>
      <x:c r="W720" s="165" t="str">
        <x:v>因果説明</x:v>
      </x:c>
      <x:c r="X720" s="171" t="str">
        <x:v>D2</x:v>
      </x:c>
      <x:c r="Y720" s="165" t="str">
        <x:v>モントレーをサンタ・バーバラの特徴と混同; サリナス谷は海風を遮る; モントレーの冷涼さは高標高だけ</x:v>
      </x:c>
      <x:c r="Z720" s="171" t="str">
        <x:v>N</x:v>
      </x:c>
      <x:c r="AA720" s="165"/>
      <x:c r="AB720" s="165" t="str">
        <x:v>オリジナル</x:v>
      </x:c>
      <x:c r="AC720" s="165" t="str">
        <x:v>WSET公式Specificationの範囲＋ユーザー作成コーパスの論点を参考に独自作成</x:v>
      </x:c>
      <x:c r="AD720" s="171" t="str">
        <x:v>改稿済み・専門家未承認</x:v>
      </x:c>
      <x:c r="AE720" s="171" t="str">
        <x:v>AI誤答レビュー</x:v>
      </x:c>
      <x:c r="AF720" s="171" t="str">
        <x:v>2026-07-12</x:v>
      </x:c>
      <x:c r="AG720" s="369" t="str">
        <x:v>第4バッチ：同一論点内の典型的誤概念へ置換。正答位置は維持。</x:v>
      </x:c>
    </x:row>
    <x:row r="721" ht="84" customHeight="1">
      <x:c r="A721" s="368" t="str">
        <x:v>LO2-180</x:v>
      </x:c>
      <x:c r="B721" s="171" t="str">
        <x:v>LO2</x:v>
      </x:c>
      <x:c r="C721" s="165" t="str">
        <x:v>世界の主要な非発泡性ワイン</x:v>
      </x:c>
      <x:c r="D721" s="165" t="str">
        <x:v>マーティンボロー</x:v>
      </x:c>
      <x:c r="E721" s="165" t="str">
        <x:v>マーティンボローのピノ・ノワールに典型的な特徴はどれか。</x:v>
      </x:c>
      <x:c r="F721" s="165" t="str">
        <x:v>赤いチェリー、プラム、スパイス、低い酸、細やかだが明瞭なタンニン</x:v>
      </x:c>
      <x:c r="G721" s="165" t="str">
        <x:v>熟したブラックベリー、低い酸、非常に高いアルコールの濃厚赤</x:v>
      </x:c>
      <x:c r="H721" s="165" t="str">
        <x:v>淡い色、低タンニン、残糖のある軽い赤</x:v>
      </x:c>
      <x:c r="I721" s="165" t="str">
        <x:v>赤いチェリー、プラム、スパイス、高い酸、細やかだが明瞭なタンニン</x:v>
      </x:c>
      <x:c r="J721" s="171" t="str">
        <x:v>D</x:v>
      </x:c>
      <x:c r="K721" s="165" t="str">
        <x:v>赤いチェリー、プラム、スパイス、高い酸、細やかだが明瞭なタンニン</x:v>
      </x:c>
      <x:c r="L721" s="165" t="str">
        <x:v>正しい。大きな日較差と低収量が、香りと酸、構造を保つ。</x:v>
      </x:c>
      <x:c r="M721" s="165" t="str">
        <x:v>誤り。正答では「高い酸」ことが重要であり、この選択肢は「低い酸」へ置き換えて関係を逆にしている。</x:v>
      </x:c>
      <x:c r="N721" s="165" t="str">
        <x:v>誤り。マーティンボローは冷涼で、より赤果実・高酸型である。</x:v>
      </x:c>
      <x:c r="O721" s="165" t="str">
        <x:v>誤り。通常は辛口で、タンニンも明瞭。</x:v>
      </x:c>
      <x:c r="P721" s="165" t="str">
        <x:v>正しい。大きな日較差と低収量が、香りと酸、構造を保つ。</x:v>
      </x:c>
      <x:c r="Q721" s="165" t="str">
        <x:v>産地</x:v>
      </x:c>
      <x:c r="R721" s="165" t="str">
        <x:v>ニュージーランド</x:v>
      </x:c>
      <x:c r="S721" s="165" t="str">
        <x:v>赤ワイン</x:v>
      </x:c>
      <x:c r="T721" s="165" t="str">
        <x:v>ニュージーランド</x:v>
      </x:c>
      <x:c r="U721" s="165" t="str">
        <x:v>マーティンボロー</x:v>
      </x:c>
      <x:c r="V721" s="165" t="str">
        <x:v>ピノ・ノワール</x:v>
      </x:c>
      <x:c r="W721" s="165" t="str">
        <x:v>知識確認</x:v>
      </x:c>
      <x:c r="X721" s="171" t="str">
        <x:v>D2</x:v>
      </x:c>
      <x:c r="Y721" s="165" t="str">
        <x:v>「高い酸」と「低い酸」の関係を逆転; マーティンボローを温暖濃厚型と混同; マーティンボローをオフドライ軽赤とみなす</x:v>
      </x:c>
      <x:c r="Z721" s="171" t="str">
        <x:v>N</x:v>
      </x:c>
      <x:c r="AA721" s="165"/>
      <x:c r="AB721" s="165" t="str">
        <x:v>オリジナル</x:v>
      </x:c>
      <x:c r="AC721" s="165" t="str">
        <x:v>WSET公式Specificationの範囲＋ユーザー作成コーパスの論点を参考に独自作成</x:v>
      </x:c>
      <x:c r="AD721" s="171" t="str">
        <x:v>改稿済み・専門家未承認</x:v>
      </x:c>
      <x:c r="AE721" s="171" t="str">
        <x:v>AI誤答レビュー</x:v>
      </x:c>
      <x:c r="AF721" s="171" t="str">
        <x:v>2026-07-12</x:v>
      </x:c>
      <x:c r="AG721" s="369" t="str">
        <x:v>第4バッチ：同一論点内の典型的誤概念へ置換。正答位置は維持。</x:v>
      </x:c>
    </x:row>
    <x:row r="722" ht="84" customHeight="1">
      <x:c r="A722" s="368" t="str">
        <x:v>LO3-121</x:v>
      </x:c>
      <x:c r="B722" s="171" t="str">
        <x:v>LO3</x:v>
      </x:c>
      <x:c r="C722" s="165" t="str">
        <x:v>世界の主要な発泡性ワイン</x:v>
      </x:c>
      <x:c r="D722" s="165" t="str">
        <x:v>ビデュール</x:v>
      </x:c>
      <x:c r="E722" s="165" t="str">
        <x:v>伝統的方式の発泡性ワインで、王冠の内側にビデュールを取り付ける主な目的はどれか。</x:v>
      </x:c>
      <x:c r="F722" s="165" t="str">
        <x:v>ルミュアージュで瓶口へ集めた澱を小さな容器内にまとめるため</x:v>
      </x:c>
      <x:c r="G722" s="165" t="str">
        <x:v>二次発酵用の糖を長期保存するため</x:v>
      </x:c>
      <x:c r="H722" s="165" t="str">
        <x:v>ドザージュを瓶底へ沈めるため</x:v>
      </x:c>
      <x:c r="I722" s="165" t="str">
        <x:v>コルクを瓶内圧力から保護するため</x:v>
      </x:c>
      <x:c r="J722" s="171" t="str">
        <x:v>A</x:v>
      </x:c>
      <x:c r="K722" s="165" t="str">
        <x:v>ルミュアージュで瓶口へ集めた澱を小さな容器内にまとめるため</x:v>
      </x:c>
      <x:c r="L722" s="165" t="str">
        <x:v>正しい。澱を集中させることで、凍結デゴルジュマン時に氷栓として効率よく除去できる。</x:v>
      </x:c>
      <x:c r="M722" s="165" t="str">
        <x:v>正しい。澱を集中させることで、凍結デゴルジュマン時に氷栓として効率よく除去できる。</x:v>
      </x:c>
      <x:c r="N722" s="165" t="str">
        <x:v>誤り。糖はティラージュ時にワインへ溶かして加える。</x:v>
      </x:c>
      <x:c r="O722" s="165" t="str">
        <x:v>誤り。ドザージュはデゴルジュマン後に加える。</x:v>
      </x:c>
      <x:c r="P722" s="165" t="str">
        <x:v>誤り。二次発酵中は通常王冠で密閉する。</x:v>
      </x:c>
      <x:c r="Q722" s="165" t="str">
        <x:v>発泡性ワイン製法</x:v>
      </x:c>
      <x:c r="R722" s="165" t="str">
        <x:v>瓶内二次発酵</x:v>
      </x:c>
      <x:c r="S722" s="165" t="str">
        <x:v>発泡性ワイン</x:v>
      </x:c>
      <x:c r="T722" s="165"/>
      <x:c r="U722" s="165"/>
      <x:c r="V722" s="165"/>
      <x:c r="W722" s="165" t="str">
        <x:v>知識確認</x:v>
      </x:c>
      <x:c r="X722" s="171" t="str">
        <x:v>D2</x:v>
      </x:c>
      <x:c r="Y722" s="165" t="str">
        <x:v>ビデュールに関する別の特徴・要因と混同; ビデュールに関する別の特徴・要因と混同; ビデュールに関する別の特徴・要因と混同</x:v>
      </x:c>
      <x:c r="Z722" s="171" t="str">
        <x:v>N</x:v>
      </x:c>
      <x:c r="AA722" s="165"/>
      <x:c r="AB722" s="165" t="str">
        <x:v>オリジナル</x:v>
      </x:c>
      <x:c r="AC722" s="165" t="str">
        <x:v>WSET公式Specificationの範囲＋ユーザー作成コーパスの論点を参考に独自作成</x:v>
      </x:c>
      <x:c r="AD722" s="171" t="str">
        <x:v>改稿済み・専門家未承認</x:v>
      </x:c>
      <x:c r="AE722" s="171" t="str">
        <x:v>AI誤答レビュー</x:v>
      </x:c>
      <x:c r="AF722" s="171" t="str">
        <x:v>2026-07-12</x:v>
      </x:c>
      <x:c r="AG722" s="369" t="str">
        <x:v>最終バッチ：有効な誤答を維持し、絶対語・物理的不可能な誤答のみ置換。正答位置は維持。</x:v>
      </x:c>
    </x:row>
    <x:row r="723" ht="84" customHeight="1">
      <x:c r="A723" s="368" t="str">
        <x:v>LO3-122</x:v>
      </x:c>
      <x:c r="B723" s="171" t="str">
        <x:v>LO3</x:v>
      </x:c>
      <x:c r="C723" s="165" t="str">
        <x:v>世界の主要な発泡性ワイン</x:v>
      </x:c>
      <x:c r="D723" s="165" t="str">
        <x:v>王冠</x:v>
      </x:c>
      <x:c r="E723" s="165" t="str">
        <x:v>瓶内二次発酵からデゴルジュマンまで王冠を用いる主な理由はどれか。</x:v>
      </x:c>
      <x:c r="F723" s="165" t="str">
        <x:v>澱を発酵前に除去するため</x:v>
      </x:c>
      <x:c r="G723" s="165" t="str">
        <x:v>高い瓶内圧力へ耐え、安価で確実に密閉できる</x:v>
      </x:c>
      <x:c r="H723" s="165" t="str">
        <x:v>ワインへオーク香を加えるため</x:v>
      </x:c>
      <x:c r="I723" s="165" t="str">
        <x:v>天然コルクより酸素を多く通し、瓶内圧力を安定させる</x:v>
      </x:c>
      <x:c r="J723" s="171" t="str">
        <x:v>B</x:v>
      </x:c>
      <x:c r="K723" s="165" t="str">
        <x:v>高い瓶内圧力へ耐え、安価で確実に密閉できる</x:v>
      </x:c>
      <x:c r="L723" s="165" t="str">
        <x:v>正しい。王冠は機械で高速に装着でき、長期澱熟成中も二酸化炭素を保持する。</x:v>
      </x:c>
      <x:c r="M723" s="165" t="str">
        <x:v>誤り。澱は二次発酵後に生じる。</x:v>
      </x:c>
      <x:c r="N723" s="165" t="str">
        <x:v>正しい。王冠は機械で高速に装着でき、長期澱熟成中も二酸化炭素を保持する。</x:v>
      </x:c>
      <x:c r="O723" s="165" t="str">
        <x:v>誤り。金属製栓は木材香を付与しない。</x:v>
      </x:c>
      <x:c r="P723" s="165" t="str">
        <x:v>誤り。確実な密閉が目的である。</x:v>
      </x:c>
      <x:c r="Q723" s="165" t="str">
        <x:v>包装</x:v>
      </x:c>
      <x:c r="R723" s="165" t="str">
        <x:v>瓶内二次発酵</x:v>
      </x:c>
      <x:c r="S723" s="165" t="str">
        <x:v>発泡性ワイン</x:v>
      </x:c>
      <x:c r="T723" s="165"/>
      <x:c r="U723" s="165"/>
      <x:c r="V723" s="165"/>
      <x:c r="W723" s="165" t="str">
        <x:v>因果説明</x:v>
      </x:c>
      <x:c r="X723" s="171" t="str">
        <x:v>D1</x:v>
      </x:c>
      <x:c r="Y723" s="165" t="str">
        <x:v>王冠について関連要因を主因とみなす; 王冠について関連要因を主因とみなす; 王冠について関連要因を主因とみなす</x:v>
      </x:c>
      <x:c r="Z723" s="171" t="str">
        <x:v>N</x:v>
      </x:c>
      <x:c r="AA723" s="165"/>
      <x:c r="AB723" s="165" t="str">
        <x:v>オリジナル</x:v>
      </x:c>
      <x:c r="AC723" s="165" t="str">
        <x:v>WSET公式Specificationの範囲＋ユーザー作成コーパスの論点を参考に独自作成</x:v>
      </x:c>
      <x:c r="AD723" s="171" t="str">
        <x:v>改稿済み・専門家未承認</x:v>
      </x:c>
      <x:c r="AE723" s="171" t="str">
        <x:v>AI誤答レビュー</x:v>
      </x:c>
      <x:c r="AF723" s="171" t="str">
        <x:v>2026-07-12</x:v>
      </x:c>
      <x:c r="AG723" s="369" t="str">
        <x:v>第5バッチ：使用可能な誤答を維持し、弱い誤答を因果逆転・隣接概念へ置換。正答位置は維持。</x:v>
      </x:c>
    </x:row>
    <x:row r="724" ht="84" customHeight="1">
      <x:c r="A724" s="368" t="str">
        <x:v>LO3-123</x:v>
      </x:c>
      <x:c r="B724" s="171" t="str">
        <x:v>LO3</x:v>
      </x:c>
      <x:c r="C724" s="165" t="str">
        <x:v>世界の主要な発泡性ワイン</x:v>
      </x:c>
      <x:c r="D724" s="165" t="str">
        <x:v>二次発酵用酵母</x:v>
      </x:c>
      <x:c r="E724" s="165" t="str">
        <x:v>瓶内二次発酵用の酵母に求められる性質として最も適切なものはどれか。</x:v>
      </x:c>
      <x:c r="F724" s="165" t="str">
        <x:v>低温、低い酸、既存アルコール、高圧の条件でも安定して発酵できる</x:v>
      </x:c>
      <x:c r="G724" s="165" t="str">
        <x:v>高温で速く発酵し、泡が粗くなるほど二酸化炭素を多く作る</x:v>
      </x:c>
      <x:c r="H724" s="165" t="str">
        <x:v>低温、高い酸、既存アルコール、高圧の条件でも安定して発酵できる</x:v>
      </x:c>
      <x:c r="I724" s="165" t="str">
        <x:v>発酵後も沈降せず、ワイン中へ均一に浮遊し続ける</x:v>
      </x:c>
      <x:c r="J724" s="171" t="str">
        <x:v>C</x:v>
      </x:c>
      <x:c r="K724" s="165" t="str">
        <x:v>低温、高い酸、既存アルコール、高圧の条件でも安定して発酵できる</x:v>
      </x:c>
      <x:c r="L724" s="165" t="str">
        <x:v>正しい。ベースワインは厳しい環境のため、耐性と凝集性の高い株を選ぶ。</x:v>
      </x:c>
      <x:c r="M724" s="165" t="str">
        <x:v>誤り。正答では「高い酸」ことが重要であり、この選択肢は「低い酸」へ置き換えて関係を逆にしている。</x:v>
      </x:c>
      <x:c r="N724" s="165" t="str">
        <x:v>誤り。二次発酵は低温で制御し、粗い泡を狙わない。</x:v>
      </x:c>
      <x:c r="O724" s="165" t="str">
        <x:v>正しい。ベースワインは厳しい環境のため、耐性と凝集性の高い株を選ぶ。</x:v>
      </x:c>
      <x:c r="P724" s="165" t="str">
        <x:v>誤り。ルミュアージュのため凝集・沈降性が望ましい。</x:v>
      </x:c>
      <x:c r="Q724" s="165" t="str">
        <x:v>発泡性ワイン製法</x:v>
      </x:c>
      <x:c r="R724" s="165" t="str">
        <x:v>酵母</x:v>
      </x:c>
      <x:c r="S724" s="165" t="str">
        <x:v>発泡性ワイン</x:v>
      </x:c>
      <x:c r="T724" s="165"/>
      <x:c r="U724" s="165"/>
      <x:c r="V724" s="165"/>
      <x:c r="W724" s="165" t="str">
        <x:v>適用</x:v>
      </x:c>
      <x:c r="X724" s="171" t="str">
        <x:v>D3</x:v>
      </x:c>
      <x:c r="Y724" s="165" t="str">
        <x:v>「高い酸」と「低い酸」の関係を逆転; 二次酵母は高温・粗い泡向き; 二次酵母は沈降しない方が良い</x:v>
      </x:c>
      <x:c r="Z724" s="171" t="str">
        <x:v>N</x:v>
      </x:c>
      <x:c r="AA724" s="165"/>
      <x:c r="AB724" s="165" t="str">
        <x:v>オリジナル</x:v>
      </x:c>
      <x:c r="AC724" s="165" t="str">
        <x:v>WSET公式Specificationの範囲＋ユーザー作成コーパスの論点を参考に独自作成</x:v>
      </x:c>
      <x:c r="AD724" s="171" t="str">
        <x:v>改稿済み・専門家未承認</x:v>
      </x:c>
      <x:c r="AE724" s="171" t="str">
        <x:v>AI誤答レビュー</x:v>
      </x:c>
      <x:c r="AF724" s="171" t="str">
        <x:v>2026-07-12</x:v>
      </x:c>
      <x:c r="AG724" s="369" t="str">
        <x:v>第4バッチ：同一論点内の典型的誤概念へ置換。正答位置は維持。</x:v>
      </x:c>
    </x:row>
    <x:row r="725" ht="84" customHeight="1">
      <x:c r="A725" s="368" t="str">
        <x:v>LO3-124</x:v>
      </x:c>
      <x:c r="B725" s="171" t="str">
        <x:v>LO3</x:v>
      </x:c>
      <x:c r="C725" s="165" t="str">
        <x:v>世界の主要な発泡性ワイン</x:v>
      </x:c>
      <x:c r="D725" s="165" t="str">
        <x:v>ティラージュ糖と圧力</x:v>
      </x:c>
      <x:c r="E725" s="165" t="str">
        <x:v>リクール・ドゥ・ティラージュへ加える糖の量を増やした場合、他条件が同じなら何が起こりやすいか。</x:v>
      </x:c>
      <x:c r="F725" s="165" t="str">
        <x:v>ティラージュ糖を増やしても、アルコールだけが増え、二酸化炭素量と圧力は変わらない</x:v>
      </x:c>
      <x:c r="G725" s="165" t="str">
        <x:v>糖が多いほど酵母が早く死滅し、圧力は低くなる</x:v>
      </x:c>
      <x:c r="H725" s="165" t="str">
        <x:v>糖が酸を中和し、泡の細かさだけが増す</x:v>
      </x:c>
      <x:c r="I725" s="165" t="str">
        <x:v>二次発酵で生成される二酸化炭素が増え、瓶内圧力が高くなる</x:v>
      </x:c>
      <x:c r="J725" s="171" t="str">
        <x:v>D</x:v>
      </x:c>
      <x:c r="K725" s="165" t="str">
        <x:v>二次発酵で生成される二酸化炭素が増え、瓶内圧力が高くなる</x:v>
      </x:c>
      <x:c r="L725" s="165" t="str">
        <x:v>正しい。酵母がより多くの糖を発酵し、アルコールと二酸化炭素を多く生成する。</x:v>
      </x:c>
      <x:c r="M725" s="165" t="str">
        <x:v>誤り。酵母は糖からアルコールと二酸化炭素の両方を生成するため、糖量は圧力にも影響する。</x:v>
      </x:c>
      <x:c r="N725" s="165" t="str">
        <x:v>誤り。発酵可能範囲では糖量増加はCO2生成を増やす。</x:v>
      </x:c>
      <x:c r="O725" s="165" t="str">
        <x:v>誤り。糖は酸を中和する主要手段ではなく、圧力へ直接影響する。</x:v>
      </x:c>
      <x:c r="P725" s="165" t="str">
        <x:v>正しい。酵母がより多くの糖を発酵し、アルコールと二酸化炭素を多く生成する。</x:v>
      </x:c>
      <x:c r="Q725" s="165" t="str">
        <x:v>発泡性ワイン製法</x:v>
      </x:c>
      <x:c r="R725" s="165" t="str">
        <x:v>瓶内圧力</x:v>
      </x:c>
      <x:c r="S725" s="165" t="str">
        <x:v>発泡性ワイン</x:v>
      </x:c>
      <x:c r="T725" s="165"/>
      <x:c r="U725" s="165"/>
      <x:c r="V725" s="165"/>
      <x:c r="W725" s="165" t="str">
        <x:v>因果説明</x:v>
      </x:c>
      <x:c r="X725" s="171" t="str">
        <x:v>D2</x:v>
      </x:c>
      <x:c r="Y725" s="165" t="str">
        <x:v>ティラージュ糖はアルコールだけを増やす; ティラージュ糖増加で圧力低下; 糖増加は酸中和・泡質だけに影響</x:v>
      </x:c>
      <x:c r="Z725" s="171" t="str">
        <x:v>N</x:v>
      </x:c>
      <x:c r="AA725" s="165"/>
      <x:c r="AB725" s="165" t="str">
        <x:v>オリジナル</x:v>
      </x:c>
      <x:c r="AC725" s="165" t="str">
        <x:v>WSET公式Specificationの範囲＋ユーザー作成コーパスの論点を参考に独自作成</x:v>
      </x:c>
      <x:c r="AD725" s="171" t="str">
        <x:v>改稿済み・専門家未承認</x:v>
      </x:c>
      <x:c r="AE725" s="171" t="str">
        <x:v>AI誤答レビュー</x:v>
      </x:c>
      <x:c r="AF725" s="171" t="str">
        <x:v>2026-07-12</x:v>
      </x:c>
      <x:c r="AG725" s="369" t="str">
        <x:v>第4バッチ：同一論点内の典型的誤概念へ置換。正答位置は維持。</x:v>
      </x:c>
    </x:row>
    <x:row r="726" ht="84" customHeight="1">
      <x:c r="A726" s="368" t="str">
        <x:v>LO3-125</x:v>
      </x:c>
      <x:c r="B726" s="171" t="str">
        <x:v>LO3</x:v>
      </x:c>
      <x:c r="C726" s="165" t="str">
        <x:v>世界の主要な発泡性ワイン</x:v>
      </x:c>
      <x:c r="D726" s="165" t="str">
        <x:v>二次発酵とアルコール</x:v>
      </x:c>
      <x:c r="E726" s="165" t="str">
        <x:v>発泡性ワインのベースワインが完成品より低アルコールである主な理由はどれか。</x:v>
      </x:c>
      <x:c r="F726" s="165" t="str">
        <x:v>二次発酵でも糖がアルコールへ変換されるため</x:v>
      </x:c>
      <x:c r="G726" s="165" t="str">
        <x:v>瓶を冷やすとアルコールが消えるため</x:v>
      </x:c>
      <x:c r="H726" s="165" t="str">
        <x:v>ルミュアージュでアルコールが沈殿するため</x:v>
      </x:c>
      <x:c r="I726" s="165" t="str">
        <x:v>ドザージュがアルコールを除去するため</x:v>
      </x:c>
      <x:c r="J726" s="171" t="str">
        <x:v>A</x:v>
      </x:c>
      <x:c r="K726" s="165" t="str">
        <x:v>二次発酵でも糖がアルコールへ変換されるため</x:v>
      </x:c>
      <x:c r="L726" s="165" t="str">
        <x:v>正しい。ティラージュ糖の発酵により、二酸化炭素とともに追加のアルコールが生成される。</x:v>
      </x:c>
      <x:c r="M726" s="165" t="str">
        <x:v>正しい。ティラージュ糖の発酵により、二酸化炭素とともに追加のアルコールが生成される。</x:v>
      </x:c>
      <x:c r="N726" s="165" t="str">
        <x:v>誤り。冷却で実際のアルコール濃度は変わらない。</x:v>
      </x:c>
      <x:c r="O726" s="165" t="str">
        <x:v>誤り。アルコールは澱として沈殿しない。</x:v>
      </x:c>
      <x:c r="P726" s="165" t="str">
        <x:v>誤り。ドザージュは主に甘味調整である。</x:v>
      </x:c>
      <x:c r="Q726" s="165" t="str">
        <x:v>発泡性ワイン製法</x:v>
      </x:c>
      <x:c r="R726" s="165" t="str">
        <x:v>二次発酵</x:v>
      </x:c>
      <x:c r="S726" s="165" t="str">
        <x:v>発泡性ワイン</x:v>
      </x:c>
      <x:c r="T726" s="165"/>
      <x:c r="U726" s="165"/>
      <x:c r="V726" s="165"/>
      <x:c r="W726" s="165" t="str">
        <x:v>因果説明</x:v>
      </x:c>
      <x:c r="X726" s="171" t="str">
        <x:v>D1</x:v>
      </x:c>
      <x:c r="Y726" s="165" t="str">
        <x:v>二次発酵とアルコールについて関連要因を主因とみなす; 二次発酵とアルコールについて関連要因を主因とみなす; 二次発酵とアルコールについて関連要因を主因とみなす</x:v>
      </x:c>
      <x:c r="Z726" s="171" t="str">
        <x:v>N</x:v>
      </x:c>
      <x:c r="AA726" s="165"/>
      <x:c r="AB726" s="165" t="str">
        <x:v>オリジナル</x:v>
      </x:c>
      <x:c r="AC726" s="165" t="str">
        <x:v>WSET公式Specificationの範囲＋ユーザー作成コーパスの論点を参考に独自作成</x:v>
      </x:c>
      <x:c r="AD726" s="171" t="str">
        <x:v>改稿済み・専門家未承認</x:v>
      </x:c>
      <x:c r="AE726" s="171" t="str">
        <x:v>AI誤答レビュー</x:v>
      </x:c>
      <x:c r="AF726" s="171" t="str">
        <x:v>2026-07-12</x:v>
      </x:c>
      <x:c r="AG726" s="369" t="str">
        <x:v>第5バッチ：使用可能な誤答を維持し、弱い誤答を因果逆転・隣接概念へ置換。正答位置は維持。</x:v>
      </x:c>
    </x:row>
    <x:row r="727" ht="84" customHeight="1">
      <x:c r="A727" s="368" t="str">
        <x:v>LO3-126</x:v>
      </x:c>
      <x:c r="B727" s="171" t="str">
        <x:v>LO3</x:v>
      </x:c>
      <x:c r="C727" s="165" t="str">
        <x:v>世界の主要な発泡性ワイン</x:v>
      </x:c>
      <x:c r="D727" s="165" t="str">
        <x:v>ベースワインの酸化防止</x:v>
      </x:c>
      <x:c r="E727" s="165" t="str">
        <x:v>発泡性ワインのベースワインをブレンド・瓶詰めするまで酸化から守る主な理由はどれか。</x:v>
      </x:c>
      <x:c r="F727" s="165" t="str">
        <x:v>酸化で瓶内圧力が上がるため</x:v>
      </x:c>
      <x:c r="G727" s="165" t="str">
        <x:v>繊細な果実香と高い酸のフレッシュなスタイルを保つため</x:v>
      </x:c>
      <x:c r="H727" s="165" t="str">
        <x:v>酸化すると泡が細かくなるため</x:v>
      </x:c>
      <x:c r="I727" s="165" t="str">
        <x:v>酸素が残糖を増やすため</x:v>
      </x:c>
      <x:c r="J727" s="171" t="str">
        <x:v>B</x:v>
      </x:c>
      <x:c r="K727" s="165" t="str">
        <x:v>繊細な果実香と高い酸のフレッシュなスタイルを保つため</x:v>
      </x:c>
      <x:c r="L727" s="165" t="str">
        <x:v>正しい。早摘み果実の淡い香りは酸素で失われやすく、褐変や熟れたリンゴ香を避ける必要がある。</x:v>
      </x:c>
      <x:c r="M727" s="165" t="str">
        <x:v>誤り。圧力は二次発酵の二酸化炭素による。</x:v>
      </x:c>
      <x:c r="N727" s="165" t="str">
        <x:v>正しい。早摘み果実の淡い香りは酸素で失われやすく、褐変や熟れたリンゴ香を避ける必要がある。</x:v>
      </x:c>
      <x:c r="O727" s="165" t="str">
        <x:v>誤り。酸化は泡の質を改善する目的ではない。</x:v>
      </x:c>
      <x:c r="P727" s="165" t="str">
        <x:v>誤り。酸素接触で糖は増えない。</x:v>
      </x:c>
      <x:c r="Q727" s="165" t="str">
        <x:v>発泡性ワイン製法</x:v>
      </x:c>
      <x:c r="R727" s="165" t="str">
        <x:v>酸素管理</x:v>
      </x:c>
      <x:c r="S727" s="165" t="str">
        <x:v>発泡性ワイン</x:v>
      </x:c>
      <x:c r="T727" s="165"/>
      <x:c r="U727" s="165"/>
      <x:c r="V727" s="165"/>
      <x:c r="W727" s="165" t="str">
        <x:v>因果説明</x:v>
      </x:c>
      <x:c r="X727" s="171" t="str">
        <x:v>D2</x:v>
      </x:c>
      <x:c r="Y727" s="165" t="str">
        <x:v>ベースワインの酸化防止について関連要因を主因とみなす; ベースワインの酸化防止について関連要因を主因とみなす; ベースワインの酸化防止について関連要因を主因とみなす</x:v>
      </x:c>
      <x:c r="Z727" s="171" t="str">
        <x:v>N</x:v>
      </x:c>
      <x:c r="AA727" s="165"/>
      <x:c r="AB727" s="165" t="str">
        <x:v>オリジナル</x:v>
      </x:c>
      <x:c r="AC727" s="165" t="str">
        <x:v>WSET公式Specificationの範囲＋ユーザー作成コーパスの論点を参考に独自作成</x:v>
      </x:c>
      <x:c r="AD727" s="171" t="str">
        <x:v>改稿済み・専門家未承認</x:v>
      </x:c>
      <x:c r="AE727" s="171" t="str">
        <x:v>AI誤答レビュー</x:v>
      </x:c>
      <x:c r="AF727" s="171" t="str">
        <x:v>2026-07-12</x:v>
      </x:c>
      <x:c r="AG727" s="369" t="str">
        <x:v>第5バッチ：使用可能な誤答を維持し、弱い誤答を因果逆転・隣接概念へ置換。正答位置は維持。</x:v>
      </x:c>
    </x:row>
    <x:row r="728" ht="84" customHeight="1">
      <x:c r="A728" s="368" t="str">
        <x:v>LO3-127</x:v>
      </x:c>
      <x:c r="B728" s="171" t="str">
        <x:v>LO3</x:v>
      </x:c>
      <x:c r="C728" s="165" t="str">
        <x:v>世界の主要な発泡性ワイン</x:v>
      </x:c>
      <x:c r="D728" s="165" t="str">
        <x:v>リザーヴワインの容器</x:v>
      </x:c>
      <x:c r="E728" s="165" t="str">
        <x:v>リザーヴワインをステンレスタンクではなく古樽で保管する場合に起こりやすい違いはどれか。</x:v>
      </x:c>
      <x:c r="F728" s="165" t="str">
        <x:v>古樽では酸素接触がより少なく、一次果実香をステンレスより強く保持する</x:v>
      </x:c>
      <x:c r="G728" s="165" t="str">
        <x:v>古樽は使用済みでも新樽に近いヴァニラ香を与える</x:v>
      </x:c>
      <x:c r="H728" s="165" t="str">
        <x:v>穏やかな酸素接触と熟成香が加わり、ブレンドへ複雑性を与える</x:v>
      </x:c>
      <x:c r="I728" s="165" t="str">
        <x:v>古樽で保管するとマロラクティック・コンバージョンが起こりにくく、酸が高く残る</x:v>
      </x:c>
      <x:c r="J728" s="171" t="str">
        <x:v>C</x:v>
      </x:c>
      <x:c r="K728" s="165" t="str">
        <x:v>穏やかな酸素接触と熟成香が加わり、ブレンドへ複雑性を与える</x:v>
      </x:c>
      <x:c r="L728" s="165" t="str">
        <x:v>正しい。古樽は強い新樽香を付けずに微量酸素と熟成ニュアンスを加え、ブレンドの複雑性を高められる。</x:v>
      </x:c>
      <x:c r="M728" s="165" t="str">
        <x:v>誤り。ステンレスの方が不活性で酸素接触を抑えやすく、古樽は穏やかな酸素交換を許す。</x:v>
      </x:c>
      <x:c r="N728" s="165" t="str">
        <x:v>誤り。古樽は新樽より抽出可能なオーク香が少なく、同程度のヴァニラ香を必ず与えるわけではない。</x:v>
      </x:c>
      <x:c r="O728" s="165" t="str">
        <x:v>正しい。古樽は強い新樽香を付けずに微量酸素と熟成ニュアンスを加え、ブレンドの複雑性を高められる。</x:v>
      </x:c>
      <x:c r="P728" s="165" t="str">
        <x:v>誤り。MLCの有無は菌、温度、亜硫酸などの管理によって決まり、古樽保管だけで必ず阻止されない。</x:v>
      </x:c>
      <x:c r="Q728" s="165" t="str">
        <x:v>熟成</x:v>
      </x:c>
      <x:c r="R728" s="165" t="str">
        <x:v>リザーヴワイン</x:v>
      </x:c>
      <x:c r="S728" s="165" t="str">
        <x:v>発泡性ワイン</x:v>
      </x:c>
      <x:c r="T728" s="165"/>
      <x:c r="U728" s="165"/>
      <x:c r="V728" s="165"/>
      <x:c r="W728" s="165" t="str">
        <x:v>比較</x:v>
      </x:c>
      <x:c r="X728" s="171" t="str">
        <x:v>D3</x:v>
      </x:c>
      <x:c r="Y728" s="165" t="str">
        <x:v>古樽はステンレスより還元的; 古樽も新樽同等の香り; 古樽ならMLC不可</x:v>
      </x:c>
      <x:c r="Z728" s="171" t="str">
        <x:v>N</x:v>
      </x:c>
      <x:c r="AA728" s="165"/>
      <x:c r="AB728" s="165" t="str">
        <x:v>オリジナル</x:v>
      </x:c>
      <x:c r="AC728" s="165" t="str">
        <x:v>WSET公式Specificationの範囲＋ユーザー作成コーパスの論点を参考に独自作成</x:v>
      </x:c>
      <x:c r="AD728" s="171" t="str">
        <x:v>改稿済み・専門家未承認</x:v>
      </x:c>
      <x:c r="AE728" s="171" t="str">
        <x:v>AI誤答レビュー</x:v>
      </x:c>
      <x:c r="AF728" s="171" t="str">
        <x:v>2026-07-12</x:v>
      </x:c>
      <x:c r="AG728" s="369" t="str">
        <x:v>誤答を同一論点内の典型的誤概念へ置換。900問本体への反映前に専門家確認推奨。</x:v>
      </x:c>
    </x:row>
    <x:row r="729" ht="84" customHeight="1">
      <x:c r="A729" s="368" t="str">
        <x:v>LO3-128</x:v>
      </x:c>
      <x:c r="B729" s="171" t="str">
        <x:v>LO3</x:v>
      </x:c>
      <x:c r="C729" s="165" t="str">
        <x:v>世界の主要な発泡性ワイン</x:v>
      </x:c>
      <x:c r="D729" s="165" t="str">
        <x:v>樽発酵ベースワイン</x:v>
      </x:c>
      <x:c r="E729" s="165" t="str">
        <x:v>発泡性ワインのベースワインの一部をオーク樽で発酵する主な狙いはどれか。</x:v>
      </x:c>
      <x:c r="F729" s="165" t="str">
        <x:v>オーク由来タンニンによって瓶内圧力を高め、泡を大きくする</x:v>
      </x:c>
      <x:c r="G729" s="165" t="str">
        <x:v>樽を通じた酸素で酸を急速に減らし、マロラクティック・コンバージョンを不要にする</x:v>
      </x:c>
      <x:c r="H729" s="165" t="str">
        <x:v>ステンレスより一次果実香を強く保持し、還元的なスタイルにする</x:v>
      </x:c>
      <x:c r="I729" s="165" t="str">
        <x:v>質感、穏やかな酸素接触、トーストやスパイスの複雑性を加える</x:v>
      </x:c>
      <x:c r="J729" s="171" t="str">
        <x:v>D</x:v>
      </x:c>
      <x:c r="K729" s="165" t="str">
        <x:v>質感、穏やかな酸素接触、トーストやスパイスの複雑性を加える</x:v>
      </x:c>
      <x:c r="L729" s="165" t="str">
        <x:v>正しい。部分的な樽発酵は全体の果実香を保ちながら、質感、微量酸素、穏やかなオーク由来の複雑性を加えられる。</x:v>
      </x:c>
      <x:c r="M729" s="165" t="str">
        <x:v>誤り。瓶内圧力は二次発酵で生成される二酸化炭素によって決まり、オークタンニンでは高まらない。</x:v>
      </x:c>
      <x:c r="N729" s="165" t="str">
        <x:v>誤り。樽発酵は酸を急速に除去せず、MLCを行うかどうかは別の醸造判断である。</x:v>
      </x:c>
      <x:c r="O729" s="165" t="str">
        <x:v>誤り。一次果実香の保持と還元的な管理には一般にステンレスの方が適する。</x:v>
      </x:c>
      <x:c r="P729" s="165" t="str">
        <x:v>正しい。部分的な樽発酵は全体の果実香を保ちながら、質感、微量酸素、穏やかなオーク由来の複雑性を加えられる。</x:v>
      </x:c>
      <x:c r="Q729" s="165" t="str">
        <x:v>発泡性ワイン製法</x:v>
      </x:c>
      <x:c r="R729" s="165" t="str">
        <x:v>ベースワイン醸造</x:v>
      </x:c>
      <x:c r="S729" s="165" t="str">
        <x:v>発泡性ワイン</x:v>
      </x:c>
      <x:c r="T729" s="165"/>
      <x:c r="U729" s="165"/>
      <x:c r="V729" s="165"/>
      <x:c r="W729" s="165" t="str">
        <x:v>統合判断</x:v>
      </x:c>
      <x:c r="X729" s="171" t="str">
        <x:v>D3</x:v>
      </x:c>
      <x:c r="Y729" s="165" t="str">
        <x:v>オークタンニンが圧力を上げる; 樽酸素が酸を除去しMLC不要; 樽はステンレスより還元的</x:v>
      </x:c>
      <x:c r="Z729" s="171" t="str">
        <x:v>N</x:v>
      </x:c>
      <x:c r="AA729" s="165"/>
      <x:c r="AB729" s="165" t="str">
        <x:v>オリジナル</x:v>
      </x:c>
      <x:c r="AC729" s="165" t="str">
        <x:v>WSET公式Specificationの範囲＋ユーザー作成コーパスの論点を参考に独自作成</x:v>
      </x:c>
      <x:c r="AD729" s="171" t="str">
        <x:v>改稿済み・専門家未承認</x:v>
      </x:c>
      <x:c r="AE729" s="171" t="str">
        <x:v>AI誤答レビュー</x:v>
      </x:c>
      <x:c r="AF729" s="171" t="str">
        <x:v>2026-07-12</x:v>
      </x:c>
      <x:c r="AG729" s="369" t="str">
        <x:v>誤答を同一論点内の典型的誤概念へ置換。900問本体への反映前に専門家確認推奨。</x:v>
      </x:c>
    </x:row>
    <x:row r="730" ht="84" customHeight="1">
      <x:c r="A730" s="368" t="str">
        <x:v>LO3-129</x:v>
      </x:c>
      <x:c r="B730" s="171" t="str">
        <x:v>LO3</x:v>
      </x:c>
      <x:c r="C730" s="165" t="str">
        <x:v>世界の主要な発泡性ワイン</x:v>
      </x:c>
      <x:c r="D730" s="165" t="str">
        <x:v>MLCを行わないベースワイン</x:v>
      </x:c>
      <x:c r="E730" s="165" t="str">
        <x:v>ベースワインでマロラクティック・コンバージョンを行わない場合に期待される特徴はどれか。</x:v>
      </x:c>
      <x:c r="F730" s="165" t="str">
        <x:v>より鋭い酸とリンゴを思わせる香りを保ちやすい</x:v>
      </x:c>
      <x:c r="G730" s="165" t="str">
        <x:v>MLCを行わないとリンゴ酸が乳酸へ変わり、酸が柔らかくなる</x:v>
      </x:c>
      <x:c r="H730" s="165" t="str">
        <x:v>乳酸とバター香が増え、口当たりが柔らかくなる</x:v>
      </x:c>
      <x:c r="I730" s="165" t="str">
        <x:v>酸が低下するため、ドザージュを少なくできる</x:v>
      </x:c>
      <x:c r="J730" s="171" t="str">
        <x:v>A</x:v>
      </x:c>
      <x:c r="K730" s="165" t="str">
        <x:v>より鋭い酸とリンゴを思わせる香りを保ちやすい</x:v>
      </x:c>
      <x:c r="L730" s="165" t="str">
        <x:v>正しい。リンゴ酸が乳酸へ変換されず、高い酸とリンゴ様の印象が残る。</x:v>
      </x:c>
      <x:c r="M730" s="165" t="str">
        <x:v>正しい。リンゴ酸が乳酸へ変換されず、高い酸とリンゴ様の印象が残る。</x:v>
      </x:c>
      <x:c r="N730" s="165" t="str">
        <x:v>誤り。MLCを行わないためリンゴ酸が残り、より鋭い酸を保つ。</x:v>
      </x:c>
      <x:c r="O730" s="165" t="str">
        <x:v>誤り。MLCを行わないためリンゴ酸が残る。</x:v>
      </x:c>
      <x:c r="P730" s="165" t="str">
        <x:v>誤り。MLCを行わないと酸はより高く残る。</x:v>
      </x:c>
      <x:c r="Q730" s="165" t="str">
        <x:v>発泡性ワイン製法</x:v>
      </x:c>
      <x:c r="R730" s="165" t="str">
        <x:v>酸の管理</x:v>
      </x:c>
      <x:c r="S730" s="165" t="str">
        <x:v>発泡性ワイン</x:v>
      </x:c>
      <x:c r="T730" s="165"/>
      <x:c r="U730" s="165"/>
      <x:c r="V730" s="165"/>
      <x:c r="W730" s="165" t="str">
        <x:v>比較</x:v>
      </x:c>
      <x:c r="X730" s="171" t="str">
        <x:v>D2</x:v>
      </x:c>
      <x:c r="Y730" s="165" t="str">
        <x:v>MLCなしでもリンゴ酸が乳酸へ変わる; MLCなしで乳酸・バター香増加; MLCなしで酸低下</x:v>
      </x:c>
      <x:c r="Z730" s="171" t="str">
        <x:v>N</x:v>
      </x:c>
      <x:c r="AA730" s="165"/>
      <x:c r="AB730" s="165" t="str">
        <x:v>オリジナル</x:v>
      </x:c>
      <x:c r="AC730" s="165" t="str">
        <x:v>WSET公式Specificationの範囲＋ユーザー作成コーパスの論点を参考に独自作成</x:v>
      </x:c>
      <x:c r="AD730" s="171" t="str">
        <x:v>改稿済み・専門家未承認</x:v>
      </x:c>
      <x:c r="AE730" s="171" t="str">
        <x:v>AI誤答レビュー</x:v>
      </x:c>
      <x:c r="AF730" s="171" t="str">
        <x:v>2026-07-12</x:v>
      </x:c>
      <x:c r="AG730" s="369" t="str">
        <x:v>第4バッチ：同一論点内の典型的誤概念へ置換。正答位置は維持。</x:v>
      </x:c>
    </x:row>
    <x:row r="731" ht="84" customHeight="1">
      <x:c r="A731" s="368" t="str">
        <x:v>LO3-130</x:v>
      </x:c>
      <x:c r="B731" s="171" t="str">
        <x:v>LO3</x:v>
      </x:c>
      <x:c r="C731" s="165" t="str">
        <x:v>世界の主要な発泡性ワイン</x:v>
      </x:c>
      <x:c r="D731" s="165" t="str">
        <x:v>アッサンブラージュ試験</x:v>
      </x:c>
      <x:c r="E731" s="165" t="str">
        <x:v>発泡性ワインのアッサンブラージュ前に多数のブレンド試験を行う主な理由はどれか。</x:v>
      </x:c>
      <x:c r="F731" s="165" t="str">
        <x:v>ブレンドすれば二次発酵が不要になる</x:v>
      </x:c>
      <x:c r="G731" s="165" t="str">
        <x:v>二次発酵と熟成後のスタイルを予測し、酸、果実、構造を最適化する</x:v>
      </x:c>
      <x:c r="H731" s="165" t="str">
        <x:v>残糖を測らず甘味を決める</x:v>
      </x:c>
      <x:c r="I731" s="165" t="str">
        <x:v>多くのロットを同量にすることが目的</x:v>
      </x:c>
      <x:c r="J731" s="171" t="str">
        <x:v>B</x:v>
      </x:c>
      <x:c r="K731" s="165" t="str">
        <x:v>二次発酵と熟成後のスタイルを予測し、酸、果実、構造を最適化する</x:v>
      </x:c>
      <x:c r="L731" s="165" t="str">
        <x:v>正しい。若いベースワインは完成品より厳しく感じられるため、品種・畑・年のロットを試飲して将来の均衡を判断する。</x:v>
      </x:c>
      <x:c r="M731" s="165" t="str">
        <x:v>誤り。泡を得る工程は別途必要である。</x:v>
      </x:c>
      <x:c r="N731" s="165" t="str">
        <x:v>正しい。若いベースワインは完成品より厳しく感じられるため、品種・畑・年のロットを試飲して将来の均衡を判断する。</x:v>
      </x:c>
      <x:c r="O731" s="165" t="str">
        <x:v>誤り。分析と試飲の双方が重要である。</x:v>
      </x:c>
      <x:c r="P731" s="165" t="str">
        <x:v>誤り。目的のスタイルに応じて比率を変える。</x:v>
      </x:c>
      <x:c r="Q731" s="165" t="str">
        <x:v>ブレンド</x:v>
      </x:c>
      <x:c r="R731" s="165" t="str">
        <x:v>アッサンブラージュ</x:v>
      </x:c>
      <x:c r="S731" s="165" t="str">
        <x:v>発泡性ワイン</x:v>
      </x:c>
      <x:c r="T731" s="165"/>
      <x:c r="U731" s="165"/>
      <x:c r="V731" s="165"/>
      <x:c r="W731" s="165" t="str">
        <x:v>統合判断</x:v>
      </x:c>
      <x:c r="X731" s="171" t="str">
        <x:v>D3</x:v>
      </x:c>
      <x:c r="Y731" s="165" t="str">
        <x:v>アッサンブラージュ試験について関連要因を主因とみなす; アッサンブラージュ試験について関連要因を主因とみなす; アッサンブラージュ試験について関連要因を主因とみなす</x:v>
      </x:c>
      <x:c r="Z731" s="171" t="str">
        <x:v>N</x:v>
      </x:c>
      <x:c r="AA731" s="165"/>
      <x:c r="AB731" s="165" t="str">
        <x:v>オリジナル</x:v>
      </x:c>
      <x:c r="AC731" s="165" t="str">
        <x:v>WSET公式Specificationの範囲＋ユーザー作成コーパスの論点を参考に独自作成</x:v>
      </x:c>
      <x:c r="AD731" s="171" t="str">
        <x:v>改稿済み・専門家未承認</x:v>
      </x:c>
      <x:c r="AE731" s="171" t="str">
        <x:v>AI誤答レビュー</x:v>
      </x:c>
      <x:c r="AF731" s="171" t="str">
        <x:v>2026-07-12</x:v>
      </x:c>
      <x:c r="AG731" s="369" t="str">
        <x:v>第5バッチ：使用可能な誤答を維持し、弱い誤答を因果逆転・隣接概念へ置換。正答位置は維持。</x:v>
      </x:c>
    </x:row>
    <x:row r="732" ht="84" customHeight="1">
      <x:c r="A732" s="368" t="str">
        <x:v>LO3-131</x:v>
      </x:c>
      <x:c r="B732" s="171" t="str">
        <x:v>LO3</x:v>
      </x:c>
      <x:c r="C732" s="165" t="str">
        <x:v>世界の主要な発泡性ワイン</x:v>
      </x:c>
      <x:c r="D732" s="165" t="str">
        <x:v>ベースワインの酸調整</x:v>
      </x:c>
      <x:c r="E732" s="165" t="str">
        <x:v>温暖な年の発泡性ベースワインで酸の調整を検討する主な理由はどれか。</x:v>
      </x:c>
      <x:c r="F732" s="165" t="str">
        <x:v>酸を加えると澱が生じなくなる</x:v>
      </x:c>
      <x:c r="G732" s="165" t="str">
        <x:v>酸調整でアルコールが消える</x:v>
      </x:c>
      <x:c r="H732" s="165" t="str">
        <x:v>完成品が平坦にならないよう、二次発酵・ドザージュ後の鮮度を確保するため</x:v>
      </x:c>
      <x:c r="I732" s="165" t="str">
        <x:v>酸を加えると瓶内圧力が倍になる</x:v>
      </x:c>
      <x:c r="J732" s="171" t="str">
        <x:v>C</x:v>
      </x:c>
      <x:c r="K732" s="165" t="str">
        <x:v>完成品が平坦にならないよう、二次発酵・ドザージュ後の鮮度を確保するため</x:v>
      </x:c>
      <x:c r="L732" s="165" t="str">
        <x:v>正しい。原料果実の酸が低い場合、法律の範囲内で酸味とpHを調整し、微生物安定性とバランスを高める。</x:v>
      </x:c>
      <x:c r="M732" s="165" t="str">
        <x:v>誤り。二次発酵すれば酵母澱が生じる。</x:v>
      </x:c>
      <x:c r="N732" s="165" t="str">
        <x:v>誤り。アルコール度を除去する工程ではない。</x:v>
      </x:c>
      <x:c r="O732" s="165" t="str">
        <x:v>正しい。原料果実の酸が低い場合、法律の範囲内で酸味とpHを調整し、微生物安定性とバランスを高める。</x:v>
      </x:c>
      <x:c r="P732" s="165" t="str">
        <x:v>誤り。圧力は主に発酵糖量で決まる。</x:v>
      </x:c>
      <x:c r="Q732" s="165" t="str">
        <x:v>発泡性ワイン製法</x:v>
      </x:c>
      <x:c r="R732" s="165" t="str">
        <x:v>ベースワイン調整</x:v>
      </x:c>
      <x:c r="S732" s="165" t="str">
        <x:v>発泡性ワイン</x:v>
      </x:c>
      <x:c r="T732" s="165"/>
      <x:c r="U732" s="165"/>
      <x:c r="V732" s="165"/>
      <x:c r="W732" s="165" t="str">
        <x:v>適用</x:v>
      </x:c>
      <x:c r="X732" s="171" t="str">
        <x:v>D3</x:v>
      </x:c>
      <x:c r="Y732" s="165" t="str">
        <x:v>ベースワインの酸調整について関連要因を主因とみなす; ベースワインの酸調整について関連要因を主因とみなす; ベースワインの酸調整について関連要因を主因とみなす</x:v>
      </x:c>
      <x:c r="Z732" s="171" t="str">
        <x:v>Y</x:v>
      </x:c>
      <x:c r="AA732" s="165" t="str">
        <x:v>酸調整の可否・上限は産地法規で異なるため、一般原則として最終確認推奨</x:v>
      </x:c>
      <x:c r="AB732" s="165" t="str">
        <x:v>オリジナル</x:v>
      </x:c>
      <x:c r="AC732" s="165" t="str">
        <x:v>WSET公式Specificationの範囲＋ユーザー作成コーパスの論点を参考に独自作成</x:v>
      </x:c>
      <x:c r="AD732" s="171" t="str">
        <x:v>改稿済み・専門家未承認</x:v>
      </x:c>
      <x:c r="AE732" s="171" t="str">
        <x:v>AI誤答レビュー</x:v>
      </x:c>
      <x:c r="AF732" s="171" t="str">
        <x:v>2026-07-12</x:v>
      </x:c>
      <x:c r="AG732" s="369" t="str">
        <x:v>第5バッチ：使用可能な誤答を維持し、弱い誤答を因果逆転・隣接概念へ置換。正答位置は維持。</x:v>
      </x:c>
    </x:row>
    <x:row r="733" ht="84" customHeight="1">
      <x:c r="A733" s="368" t="str">
        <x:v>LO3-132</x:v>
      </x:c>
      <x:c r="B733" s="171" t="str">
        <x:v>LO3</x:v>
      </x:c>
      <x:c r="C733" s="165" t="str">
        <x:v>世界の主要な発泡性ワイン</x:v>
      </x:c>
      <x:c r="D733" s="165" t="str">
        <x:v>ティラージュ前の清澄</x:v>
      </x:c>
      <x:c r="E733" s="165" t="str">
        <x:v>ティラージュ前にベースワインを十分に清澄・安定化する主な理由はどれか。</x:v>
      </x:c>
      <x:c r="F733" s="165" t="str">
        <x:v>清澄度を下げ、天然酵母と固形物を多く残すほど二次発酵が均一になる</x:v>
      </x:c>
      <x:c r="G733" s="165" t="str">
        <x:v>ベースワイン中の酵母と栄養を除き、ティラージュ酵母を加えなくても発酵できるようにする</x:v>
      </x:c>
      <x:c r="H733" s="165" t="str">
        <x:v>タンニンを高め、澱を瓶側面へ付着させやすくする</x:v>
      </x:c>
      <x:c r="I733" s="165" t="str">
        <x:v>不要な固形物や微生物を除き、二次発酵と後の澱抜きを均一にする</x:v>
      </x:c>
      <x:c r="J733" s="171" t="str">
        <x:v>D</x:v>
      </x:c>
      <x:c r="K733" s="165" t="str">
        <x:v>不要な固形物や微生物を除き、二次発酵と後の澱抜きを均一にする</x:v>
      </x:c>
      <x:c r="L733" s="165" t="str">
        <x:v>正しい。濁りを減らし、酵母添加と沈降を管理しやすくする。</x:v>
      </x:c>
      <x:c r="M733" s="165" t="str">
        <x:v>誤り。ティラージュ前には不要な固形物と微生物を除き、条件を均一化する。</x:v>
      </x:c>
      <x:c r="N733" s="165" t="str">
        <x:v>誤り。二次発酵用酵母は別途加える必要がある。</x:v>
      </x:c>
      <x:c r="O733" s="165" t="str">
        <x:v>誤り。清澄は不要成分を減らし、澱抜きを容易にする。</x:v>
      </x:c>
      <x:c r="P733" s="165" t="str">
        <x:v>正しい。濁りを減らし、酵母添加と沈降を管理しやすくする。</x:v>
      </x:c>
      <x:c r="Q733" s="165" t="str">
        <x:v>発泡性ワイン製法</x:v>
      </x:c>
      <x:c r="R733" s="165" t="str">
        <x:v>清澄・安定化</x:v>
      </x:c>
      <x:c r="S733" s="165" t="str">
        <x:v>発泡性ワイン</x:v>
      </x:c>
      <x:c r="T733" s="165"/>
      <x:c r="U733" s="165"/>
      <x:c r="V733" s="165"/>
      <x:c r="W733" s="165" t="str">
        <x:v>因果説明</x:v>
      </x:c>
      <x:c r="X733" s="171" t="str">
        <x:v>D2</x:v>
      </x:c>
      <x:c r="Y733" s="165" t="str">
        <x:v>濁ったベースほど二次発酵が均一; 清澄で酵母不要になる; 清澄でタンニン・澱付着を増やす</x:v>
      </x:c>
      <x:c r="Z733" s="171" t="str">
        <x:v>N</x:v>
      </x:c>
      <x:c r="AA733" s="165"/>
      <x:c r="AB733" s="165" t="str">
        <x:v>オリジナル</x:v>
      </x:c>
      <x:c r="AC733" s="165" t="str">
        <x:v>WSET公式Specificationの範囲＋ユーザー作成コーパスの論点を参考に独自作成</x:v>
      </x:c>
      <x:c r="AD733" s="171" t="str">
        <x:v>改稿済み・専門家未承認</x:v>
      </x:c>
      <x:c r="AE733" s="171" t="str">
        <x:v>AI誤答レビュー</x:v>
      </x:c>
      <x:c r="AF733" s="171" t="str">
        <x:v>2026-07-12</x:v>
      </x:c>
      <x:c r="AG733" s="369" t="str">
        <x:v>第4バッチ：同一論点内の典型的誤概念へ置換。正答位置は維持。</x:v>
      </x:c>
    </x:row>
    <x:row r="734" ht="84" customHeight="1">
      <x:c r="A734" s="368" t="str">
        <x:v>LO3-133</x:v>
      </x:c>
      <x:c r="B734" s="171" t="str">
        <x:v>LO3</x:v>
      </x:c>
      <x:c r="C734" s="165" t="str">
        <x:v>世界の主要な発泡性ワイン</x:v>
      </x:c>
      <x:c r="D734" s="165" t="str">
        <x:v>瓶ごとの差</x:v>
      </x:c>
      <x:c r="E734" s="165" t="str">
        <x:v>伝統的方式で瓶ごとの品質差が生じる可能性がある要因はどれか。</x:v>
      </x:c>
      <x:c r="F734" s="165" t="str">
        <x:v>各瓶が独立して二次発酵・澱熟成し、栓や温度に小さな差が生じるため</x:v>
      </x:c>
      <x:c r="G734" s="165" t="str">
        <x:v>炭酸ガスを直接注入するため</x:v>
      </x:c>
      <x:c r="H734" s="165" t="str">
        <x:v>瓶内で発酵を行わないため</x:v>
      </x:c>
      <x:c r="I734" s="165" t="str">
        <x:v>多くの瓶を一つのタンクで同時に発酵するため</x:v>
      </x:c>
      <x:c r="J734" s="171" t="str">
        <x:v>A</x:v>
      </x:c>
      <x:c r="K734" s="165" t="str">
        <x:v>各瓶が独立して二次発酵・澱熟成し、栓や温度に小さな差が生じるため</x:v>
      </x:c>
      <x:c r="L734" s="165" t="str">
        <x:v>正しい。タンク方式より個々の瓶の発酵条件とデゴルジュマン作業が品質差へ影響しやすい。</x:v>
      </x:c>
      <x:c r="M734" s="165" t="str">
        <x:v>正しい。タンク方式より個々の瓶の発酵条件とデゴルジュマン作業が品質差へ影響しやすい。</x:v>
      </x:c>
      <x:c r="N734" s="165" t="str">
        <x:v>誤り。それは炭酸ガス注入方式である。</x:v>
      </x:c>
      <x:c r="O734" s="165" t="str">
        <x:v>誤り。瓶内二次発酵が特徴である。</x:v>
      </x:c>
      <x:c r="P734" s="165" t="str">
        <x:v>誤り。伝統的方式では販売瓶ごとに発酵する。</x:v>
      </x:c>
      <x:c r="Q734" s="165" t="str">
        <x:v>品質管理</x:v>
      </x:c>
      <x:c r="R734" s="165" t="str">
        <x:v>伝統的方式</x:v>
      </x:c>
      <x:c r="S734" s="165" t="str">
        <x:v>発泡性ワイン</x:v>
      </x:c>
      <x:c r="T734" s="165"/>
      <x:c r="U734" s="165"/>
      <x:c r="V734" s="165"/>
      <x:c r="W734" s="165" t="str">
        <x:v>比較</x:v>
      </x:c>
      <x:c r="X734" s="171" t="str">
        <x:v>D3</x:v>
      </x:c>
      <x:c r="Y734" s="165" t="str">
        <x:v>瓶ごとの差について関連要因を主因とみなす; 瓶ごとの差について関連要因を主因とみなす; 瓶ごとの差について関連要因を主因とみなす</x:v>
      </x:c>
      <x:c r="Z734" s="171" t="str">
        <x:v>N</x:v>
      </x:c>
      <x:c r="AA734" s="165"/>
      <x:c r="AB734" s="165" t="str">
        <x:v>オリジナル</x:v>
      </x:c>
      <x:c r="AC734" s="165" t="str">
        <x:v>WSET公式Specificationの範囲＋ユーザー作成コーパスの論点を参考に独自作成</x:v>
      </x:c>
      <x:c r="AD734" s="171" t="str">
        <x:v>改稿済み・専門家未承認</x:v>
      </x:c>
      <x:c r="AE734" s="171" t="str">
        <x:v>AI誤答レビュー</x:v>
      </x:c>
      <x:c r="AF734" s="171" t="str">
        <x:v>2026-07-12</x:v>
      </x:c>
      <x:c r="AG734" s="369" t="str">
        <x:v>第5バッチ：使用可能な誤答を維持し、弱い誤答を因果逆転・隣接概念へ置換。正答位置は維持。</x:v>
      </x:c>
    </x:row>
    <x:row r="735" ht="84" customHeight="1">
      <x:c r="A735" s="368" t="str">
        <x:v>LO3-134</x:v>
      </x:c>
      <x:c r="B735" s="171" t="str">
        <x:v>LO3</x:v>
      </x:c>
      <x:c r="C735" s="165" t="str">
        <x:v>世界の主要な発泡性ワイン</x:v>
      </x:c>
      <x:c r="D735" s="165" t="str">
        <x:v>ルミュアージュ補助剤</x:v>
      </x:c>
      <x:c r="E735" s="165" t="str">
        <x:v>ティラージュに少量の清澄補助剤を加えることがある主な理由はどれか。</x:v>
      </x:c>
      <x:c r="F735" s="165" t="str">
        <x:v>補助剤が酵母澱を細かく分散させ、瓶側面へ付着しやすくする</x:v>
      </x:c>
      <x:c r="G735" s="165" t="str">
        <x:v>酵母澱をまとまりやすくし、ルミュアージュで瓶口へ移動しやすくする</x:v>
      </x:c>
      <x:c r="H735" s="165" t="str">
        <x:v>二次発酵中の糖を吸着し、残糖を低くする</x:v>
      </x:c>
      <x:c r="I735" s="165" t="str">
        <x:v>瓶内圧力を下げ、デゴルジュマン時の噴出を防ぐ</x:v>
      </x:c>
      <x:c r="J735" s="171" t="str">
        <x:v>B</x:v>
      </x:c>
      <x:c r="K735" s="165" t="str">
        <x:v>酵母澱をまとまりやすくし、ルミュアージュで瓶口へ移動しやすくする</x:v>
      </x:c>
      <x:c r="L735" s="165" t="str">
        <x:v>正しい。澱の凝集性を高め、瓶側面への付着を減らす。</x:v>
      </x:c>
      <x:c r="M735" s="165" t="str">
        <x:v>誤り。補助剤は澱を凝集させ、瓶口へ移動しやすくする。</x:v>
      </x:c>
      <x:c r="N735" s="165" t="str">
        <x:v>正しい。澱の凝集性を高め、瓶側面への付着を減らす。</x:v>
      </x:c>
      <x:c r="O735" s="165" t="str">
        <x:v>誤り。清澄補助剤は糖を除くためではない。</x:v>
      </x:c>
      <x:c r="P735" s="165" t="str">
        <x:v>誤り。圧力調整は補助剤の役割ではない。</x:v>
      </x:c>
      <x:c r="Q735" s="165" t="str">
        <x:v>発泡性ワイン製法</x:v>
      </x:c>
      <x:c r="R735" s="165" t="str">
        <x:v>ルミュアージュ</x:v>
      </x:c>
      <x:c r="S735" s="165" t="str">
        <x:v>発泡性ワイン</x:v>
      </x:c>
      <x:c r="T735" s="165"/>
      <x:c r="U735" s="165"/>
      <x:c r="V735" s="165"/>
      <x:c r="W735" s="165" t="str">
        <x:v>因果説明</x:v>
      </x:c>
      <x:c r="X735" s="171" t="str">
        <x:v>D3</x:v>
      </x:c>
      <x:c r="Y735" s="165" t="str">
        <x:v>ルミュアージュ補助剤は澱を分散させる; ルミュアージュ補助剤が糖を吸着; 補助剤で瓶内圧力低下</x:v>
      </x:c>
      <x:c r="Z735" s="171" t="str">
        <x:v>N</x:v>
      </x:c>
      <x:c r="AA735" s="165"/>
      <x:c r="AB735" s="165" t="str">
        <x:v>オリジナル</x:v>
      </x:c>
      <x:c r="AC735" s="165" t="str">
        <x:v>WSET公式Specificationの範囲＋ユーザー作成コーパスの論点を参考に独自作成</x:v>
      </x:c>
      <x:c r="AD735" s="171" t="str">
        <x:v>改稿済み・専門家未承認</x:v>
      </x:c>
      <x:c r="AE735" s="171" t="str">
        <x:v>AI誤答レビュー</x:v>
      </x:c>
      <x:c r="AF735" s="171" t="str">
        <x:v>2026-07-12</x:v>
      </x:c>
      <x:c r="AG735" s="369" t="str">
        <x:v>第4バッチ：同一論点内の典型的誤概念へ置換。正答位置は維持。</x:v>
      </x:c>
    </x:row>
    <x:row r="736" ht="84" customHeight="1">
      <x:c r="A736" s="368" t="str">
        <x:v>LO3-135</x:v>
      </x:c>
      <x:c r="B736" s="171" t="str">
        <x:v>LO3</x:v>
      </x:c>
      <x:c r="C736" s="165" t="str">
        <x:v>世界の主要な発泡性ワイン</x:v>
      </x:c>
      <x:c r="D736" s="165" t="str">
        <x:v>デゴルジュマンの損失</x:v>
      </x:c>
      <x:c r="E736" s="165" t="str">
        <x:v>デゴルジュマン時のワイン損失を最小限にするため重要な条件はどれか。</x:v>
      </x:c>
      <x:c r="F736" s="165" t="str">
        <x:v>開栓後に長時間放置する</x:v>
      </x:c>
      <x:c r="G736" s="165" t="str">
        <x:v>澱を瓶全体へ再分散する</x:v>
      </x:c>
      <x:c r="H736" s="165" t="str">
        <x:v>瓶を十分に冷やし、澱を凍結し、迅速に再栓する</x:v>
      </x:c>
      <x:c r="I736" s="165" t="str">
        <x:v>瓶を温めて圧力を最大化する</x:v>
      </x:c>
      <x:c r="J736" s="171" t="str">
        <x:v>C</x:v>
      </x:c>
      <x:c r="K736" s="165" t="str">
        <x:v>瓶を十分に冷やし、澱を凍結し、迅速に再栓する</x:v>
      </x:c>
      <x:c r="L736" s="165" t="str">
        <x:v>正しい。低温では圧力と泡立ちが抑えられ、氷栓だけを効率的に排出できる。</x:v>
      </x:c>
      <x:c r="M736" s="165" t="str">
        <x:v>誤り。炭酸ガスとワインを失う。</x:v>
      </x:c>
      <x:c r="N736" s="165" t="str">
        <x:v>誤り。除去しにくくなり濁る。</x:v>
      </x:c>
      <x:c r="O736" s="165" t="str">
        <x:v>正しい。低温では圧力と泡立ちが抑えられ、氷栓だけを効率的に排出できる。</x:v>
      </x:c>
      <x:c r="P736" s="165" t="str">
        <x:v>誤り。噴出とワイン損失が増える。</x:v>
      </x:c>
      <x:c r="Q736" s="165" t="str">
        <x:v>発泡性ワイン製法</x:v>
      </x:c>
      <x:c r="R736" s="165" t="str">
        <x:v>デゴルジュマン</x:v>
      </x:c>
      <x:c r="S736" s="165" t="str">
        <x:v>発泡性ワイン</x:v>
      </x:c>
      <x:c r="T736" s="165"/>
      <x:c r="U736" s="165"/>
      <x:c r="V736" s="165"/>
      <x:c r="W736" s="165" t="str">
        <x:v>適用</x:v>
      </x:c>
      <x:c r="X736" s="171" t="str">
        <x:v>D2</x:v>
      </x:c>
      <x:c r="Y736" s="165" t="str">
        <x:v>デゴルジュマンの損失について関連要因を主因とみなす; デゴルジュマンの損失について関連要因を主因とみなす; デゴルジュマンの損失について関連要因を主因とみなす</x:v>
      </x:c>
      <x:c r="Z736" s="171" t="str">
        <x:v>N</x:v>
      </x:c>
      <x:c r="AA736" s="165"/>
      <x:c r="AB736" s="165" t="str">
        <x:v>オリジナル</x:v>
      </x:c>
      <x:c r="AC736" s="165" t="str">
        <x:v>WSET公式Specificationの範囲＋ユーザー作成コーパスの論点を参考に独自作成</x:v>
      </x:c>
      <x:c r="AD736" s="171" t="str">
        <x:v>改稿済み・専門家未承認</x:v>
      </x:c>
      <x:c r="AE736" s="171" t="str">
        <x:v>AI誤答レビュー</x:v>
      </x:c>
      <x:c r="AF736" s="171" t="str">
        <x:v>2026-07-12</x:v>
      </x:c>
      <x:c r="AG736" s="369" t="str">
        <x:v>第5バッチ：使用可能な誤答を維持し、弱い誤答を因果逆転・隣接概念へ置換。正答位置は維持。</x:v>
      </x:c>
    </x:row>
    <x:row r="737" ht="84" customHeight="1">
      <x:c r="A737" s="368" t="str">
        <x:v>LO3-136</x:v>
      </x:c>
      <x:c r="B737" s="171" t="str">
        <x:v>LO3</x:v>
      </x:c>
      <x:c r="C737" s="165" t="str">
        <x:v>世界の主要な発泡性ワイン</x:v>
      </x:c>
      <x:c r="D737" s="165" t="str">
        <x:v>ドザージュ用ワイン</x:v>
      </x:c>
      <x:c r="E737" s="165" t="str">
        <x:v>リクール・デクスペディシオンに熟成したリザーヴワインを用いる潜在的な効果はどれか。</x:v>
      </x:c>
      <x:c r="F737" s="165" t="str">
        <x:v>澱を瓶口へ集める</x:v>
      </x:c>
      <x:c r="G737" s="165" t="str">
        <x:v>二次発酵を最初からやり直す</x:v>
      </x:c>
      <x:c r="H737" s="165" t="str">
        <x:v>ドザージュ後に瓶内二次発酵を再開し、圧力を高める</x:v>
      </x:c>
      <x:c r="I737" s="165" t="str">
        <x:v>最終甘味に加え、ナッツや熟した果実の複雑性を少量加えられる</x:v>
      </x:c>
      <x:c r="J737" s="171" t="str">
        <x:v>D</x:v>
      </x:c>
      <x:c r="K737" s="165" t="str">
        <x:v>最終甘味に加え、ナッツや熟した果実の複雑性を少量加えられる</x:v>
      </x:c>
      <x:c r="L737" s="165" t="str">
        <x:v>正しい。ドザージュ液のワイン部分も完成品の香味へ影響し、ハウス・スタイルの調整手段となる。</x:v>
      </x:c>
      <x:c r="M737" s="165" t="str">
        <x:v>誤り。ルミュアージュの役割である。</x:v>
      </x:c>
      <x:c r="N737" s="165" t="str">
        <x:v>誤り。デゴルジュマン後の仕上げ工程である。</x:v>
      </x:c>
      <x:c r="O737" s="165" t="str">
        <x:v>誤り。リザーヴワインの使用は香味とハウス・スタイルを調整するためで、再発酵が目的ではない。</x:v>
      </x:c>
      <x:c r="P737" s="165" t="str">
        <x:v>正しい。ドザージュ液のワイン部分も完成品の香味へ影響し、ハウス・スタイルの調整手段となる。</x:v>
      </x:c>
      <x:c r="Q737" s="165" t="str">
        <x:v>発泡性ワイン製法</x:v>
      </x:c>
      <x:c r="R737" s="165" t="str">
        <x:v>ドザージュ</x:v>
      </x:c>
      <x:c r="S737" s="165" t="str">
        <x:v>発泡性ワイン</x:v>
      </x:c>
      <x:c r="T737" s="165"/>
      <x:c r="U737" s="165"/>
      <x:c r="V737" s="165"/>
      <x:c r="W737" s="165" t="str">
        <x:v>統合判断</x:v>
      </x:c>
      <x:c r="X737" s="171" t="str">
        <x:v>D3</x:v>
      </x:c>
      <x:c r="Y737" s="165" t="str">
        <x:v>ドザージュ用ワインについて関連要因を主因とみなす; ドザージュ用ワインについて関連要因を主因とみなす; 熟成リザーヴワインで二次発酵を再開する</x:v>
      </x:c>
      <x:c r="Z737" s="171" t="str">
        <x:v>N</x:v>
      </x:c>
      <x:c r="AA737" s="165"/>
      <x:c r="AB737" s="165" t="str">
        <x:v>オリジナル</x:v>
      </x:c>
      <x:c r="AC737" s="165" t="str">
        <x:v>WSET公式Specificationの範囲＋ユーザー作成コーパスの論点を参考に独自作成</x:v>
      </x:c>
      <x:c r="AD737" s="171" t="str">
        <x:v>改稿済み・専門家未承認</x:v>
      </x:c>
      <x:c r="AE737" s="171" t="str">
        <x:v>AI誤答レビュー</x:v>
      </x:c>
      <x:c r="AF737" s="171" t="str">
        <x:v>2026-07-12</x:v>
      </x:c>
      <x:c r="AG737" s="369" t="str">
        <x:v>第5バッチ：使用可能な誤答を維持し、弱い誤答を因果逆転・隣接概念へ置換。正答位置は維持。</x:v>
      </x:c>
    </x:row>
    <x:row r="738" ht="84" customHeight="1">
      <x:c r="A738" s="368" t="str">
        <x:v>LO3-137</x:v>
      </x:c>
      <x:c r="B738" s="171" t="str">
        <x:v>LO3</x:v>
      </x:c>
      <x:c r="C738" s="165" t="str">
        <x:v>世界の主要な発泡性ワイン</x:v>
      </x:c>
      <x:c r="D738" s="165" t="str">
        <x:v>エクストラ・ブリュット</x:v>
      </x:c>
      <x:c r="E738" s="165" t="str">
        <x:v>エクストラ・ブリュットがブリュットより一般に辛口に感じられる主な理由はどれか。</x:v>
      </x:c>
      <x:c r="F738" s="165" t="str">
        <x:v>許容される残糖が低く、ドザージュ量が少ないため</x:v>
      </x:c>
      <x:c r="G738" s="165" t="str">
        <x:v>瓶内圧力が低く、溶けている二酸化炭素が少ないため</x:v>
      </x:c>
      <x:c r="H738" s="165" t="str">
        <x:v>瓶内圧力がブリュットより高く、酸が強く感じられるため</x:v>
      </x:c>
      <x:c r="I738" s="165" t="str">
        <x:v>二次発酵を途中で止めず、ブリュットよりアルコールが高いため</x:v>
      </x:c>
      <x:c r="J738" s="171" t="str">
        <x:v>A</x:v>
      </x:c>
      <x:c r="K738" s="165" t="str">
        <x:v>許容される残糖が低く、ドザージュ量が少ないため</x:v>
      </x:c>
      <x:c r="L738" s="165" t="str">
        <x:v>正しい。酸と果実がより直接表れ、甘味が少なく感じられる。</x:v>
      </x:c>
      <x:c r="M738" s="165" t="str">
        <x:v>正しい。酸と果実がより直接表れ、甘味が少なく感じられる。</x:v>
      </x:c>
      <x:c r="N738" s="165" t="str">
        <x:v>誤り。これは同じ知識領域の「フリッザンテとスプマンテ」に当てはまる説明で、設問の「エクストラ・ブリュット」を最も適切に説明しない。</x:v>
      </x:c>
      <x:c r="O738" s="165" t="str">
        <x:v>誤り。甘味区分は残糖で、圧力が主因ではない。</x:v>
      </x:c>
      <x:c r="P738" s="165" t="str">
        <x:v>誤り。両者とも二次発酵は通常完了し、辛口感は残糖差。</x:v>
      </x:c>
      <x:c r="Q738" s="165" t="str">
        <x:v>法律・表示</x:v>
      </x:c>
      <x:c r="R738" s="165" t="str">
        <x:v>甘味区分</x:v>
      </x:c>
      <x:c r="S738" s="165" t="str">
        <x:v>発泡性ワイン</x:v>
      </x:c>
      <x:c r="T738" s="165"/>
      <x:c r="U738" s="165"/>
      <x:c r="V738" s="165"/>
      <x:c r="W738" s="165" t="str">
        <x:v>比較</x:v>
      </x:c>
      <x:c r="X738" s="171" t="str">
        <x:v>D2</x:v>
      </x:c>
      <x:c r="Y738" s="165" t="str">
        <x:v>エクストラ・ブリュットをフリッザンテとスプマンテの特徴と混同; Extra Brutは高圧だから辛口; Extra Brutは二次発酵完了・高アルコールだから辛口</x:v>
      </x:c>
      <x:c r="Z738" s="171" t="str">
        <x:v>Y</x:v>
      </x:c>
      <x:c r="AA738" s="165" t="str">
        <x:v>甘味区分の残糖範囲は最新規定・教材との最終照合を推奨</x:v>
      </x:c>
      <x:c r="AB738" s="165" t="str">
        <x:v>オリジナル</x:v>
      </x:c>
      <x:c r="AC738" s="165" t="str">
        <x:v>WSET公式Specificationの範囲＋ユーザー作成コーパスの論点を参考に独自作成</x:v>
      </x:c>
      <x:c r="AD738" s="171" t="str">
        <x:v>改稿済み・専門家未承認</x:v>
      </x:c>
      <x:c r="AE738" s="171" t="str">
        <x:v>AI誤答レビュー</x:v>
      </x:c>
      <x:c r="AF738" s="171" t="str">
        <x:v>2026-07-12</x:v>
      </x:c>
      <x:c r="AG738" s="369" t="str">
        <x:v>第4バッチ：同一論点内の典型的誤概念へ置換。正答位置は維持。</x:v>
      </x:c>
    </x:row>
    <x:row r="739" ht="84" customHeight="1">
      <x:c r="A739" s="368" t="str">
        <x:v>LO3-138</x:v>
      </x:c>
      <x:c r="B739" s="171" t="str">
        <x:v>LO3</x:v>
      </x:c>
      <x:c r="C739" s="165" t="str">
        <x:v>世界の主要な発泡性ワイン</x:v>
      </x:c>
      <x:c r="D739" s="165" t="str">
        <x:v>ドゥミ・セック</x:v>
      </x:c>
      <x:c r="E739" s="165" t="str">
        <x:v>ドゥミ・セックの発泡性ワインがデザートと合わせやすい主な理由はどれか。</x:v>
      </x:c>
      <x:c r="F739" s="165" t="str">
        <x:v>糖で酸や未熟な風味を補正できないため、ベースワイン自体のバランスが明確に表れる</x:v>
      </x:c>
      <x:c r="G739" s="165" t="str">
        <x:v>ブリュットより高い残糖を持ち、料理の甘味に負けにくい</x:v>
      </x:c>
      <x:c r="H739" s="165" t="str">
        <x:v>瓶内圧力が低く、甘味をより強く感じるため</x:v>
      </x:c>
      <x:c r="I739" s="165" t="str">
        <x:v>高いタンニンを持ち、デザートの甘味を和らげるため</x:v>
      </x:c>
      <x:c r="J739" s="171" t="str">
        <x:v>B</x:v>
      </x:c>
      <x:c r="K739" s="165" t="str">
        <x:v>ブリュットより高い残糖を持ち、料理の甘味に負けにくい</x:v>
      </x:c>
      <x:c r="L739" s="165" t="str">
        <x:v>正しい。十分な酸を持つ甘口発泡性は、果物や焼菓子とバランスを取りやすい。</x:v>
      </x:c>
      <x:c r="M739" s="165" t="str">
        <x:v>誤り。これは同じ知識領域の「ゼロ・ドザージュ」に当てはまる説明で、設問の「ドゥミ・セック」を最も適切に説明しない。</x:v>
      </x:c>
      <x:c r="N739" s="165" t="str">
        <x:v>正しい。十分な酸を持つ甘口発泡性は、果物や焼菓子とバランスを取りやすい。</x:v>
      </x:c>
      <x:c r="O739" s="165" t="str">
        <x:v>誤り。Demi-secは甘味区分で、圧力差が主因ではない。</x:v>
      </x:c>
      <x:c r="P739" s="165" t="str">
        <x:v>誤り。多くは白・ロゼで低タンニン。</x:v>
      </x:c>
      <x:c r="Q739" s="165" t="str">
        <x:v>スタイル</x:v>
      </x:c>
      <x:c r="R739" s="165" t="str">
        <x:v>甘味区分</x:v>
      </x:c>
      <x:c r="S739" s="165" t="str">
        <x:v>発泡性ワイン</x:v>
      </x:c>
      <x:c r="T739" s="165"/>
      <x:c r="U739" s="165"/>
      <x:c r="V739" s="165"/>
      <x:c r="W739" s="165" t="str">
        <x:v>適用</x:v>
      </x:c>
      <x:c r="X739" s="171" t="str">
        <x:v>D2</x:v>
      </x:c>
      <x:c r="Y739" s="165" t="str">
        <x:v>ドゥミ・セックをゼロ・ドザージュの特徴と混同; Demi-secは低圧だから甘い; Demi-secは高タンニン</x:v>
      </x:c>
      <x:c r="Z739" s="171" t="str">
        <x:v>Y</x:v>
      </x:c>
      <x:c r="AA739" s="165" t="str">
        <x:v>甘味区分の残糖範囲は最新規定と照合推奨</x:v>
      </x:c>
      <x:c r="AB739" s="165" t="str">
        <x:v>オリジナル</x:v>
      </x:c>
      <x:c r="AC739" s="165" t="str">
        <x:v>WSET公式Specificationの範囲＋ユーザー作成コーパスの論点を参考に独自作成</x:v>
      </x:c>
      <x:c r="AD739" s="171" t="str">
        <x:v>改稿済み・専門家未承認</x:v>
      </x:c>
      <x:c r="AE739" s="171" t="str">
        <x:v>AI誤答レビュー</x:v>
      </x:c>
      <x:c r="AF739" s="171" t="str">
        <x:v>2026-07-12</x:v>
      </x:c>
      <x:c r="AG739" s="369" t="str">
        <x:v>第4バッチ：同一論点内の典型的誤概念へ置換。正答位置は維持。</x:v>
      </x:c>
    </x:row>
    <x:row r="740" ht="84" customHeight="1">
      <x:c r="A740" s="368" t="str">
        <x:v>LO3-139</x:v>
      </x:c>
      <x:c r="B740" s="171" t="str">
        <x:v>LO3</x:v>
      </x:c>
      <x:c r="C740" s="165" t="str">
        <x:v>世界の主要な発泡性ワイン</x:v>
      </x:c>
      <x:c r="D740" s="165" t="str">
        <x:v>自己分解と口当たり</x:v>
      </x:c>
      <x:c r="E740" s="165" t="str">
        <x:v>酵母の自己分解が発泡性ワインの口当たりを豊かにする主な理由はどれか。</x:v>
      </x:c>
      <x:c r="F740" s="165" t="str">
        <x:v>自己分解で多糖類が失われ、口当たりが軽く鋭くなる</x:v>
      </x:c>
      <x:c r="G740" s="165" t="str">
        <x:v>酵母が残糖を生成し、甘味と粘性を増やすため</x:v>
      </x:c>
      <x:c r="H740" s="165" t="str">
        <x:v>マンノプロテインなどの多糖類が放出され、クリーミーな質感を与えるため</x:v>
      </x:c>
      <x:c r="I740" s="165" t="str">
        <x:v>澱がタンニンを抽出し、収れん性を高めるため</x:v>
      </x:c>
      <x:c r="J740" s="171" t="str">
        <x:v>C</x:v>
      </x:c>
      <x:c r="K740" s="165" t="str">
        <x:v>マンノプロテインなどの多糖類が放出され、クリーミーな質感を与えるため</x:v>
      </x:c>
      <x:c r="L740" s="165" t="str">
        <x:v>正しい。自己分解成分が粘性、泡安定性、酸の知覚へ影響する。</x:v>
      </x:c>
      <x:c r="M740" s="165" t="str">
        <x:v>誤り。自己分解でマンノプロテイン等が放出され、質感が豊かになる。</x:v>
      </x:c>
      <x:c r="N740" s="165" t="str">
        <x:v>誤り。自己分解で糖は生成されない。</x:v>
      </x:c>
      <x:c r="O740" s="165" t="str">
        <x:v>正しい。自己分解成分が粘性、泡安定性、酸の知覚へ影響する。</x:v>
      </x:c>
      <x:c r="P740" s="165" t="str">
        <x:v>誤り。澱接触は果皮抽出ではなく、質感を滑らかにする。</x:v>
      </x:c>
      <x:c r="Q740" s="165" t="str">
        <x:v>熟成</x:v>
      </x:c>
      <x:c r="R740" s="165" t="str">
        <x:v>酵母の自己分解</x:v>
      </x:c>
      <x:c r="S740" s="165" t="str">
        <x:v>発泡性ワイン</x:v>
      </x:c>
      <x:c r="T740" s="165"/>
      <x:c r="U740" s="165"/>
      <x:c r="V740" s="165"/>
      <x:c r="W740" s="165" t="str">
        <x:v>因果説明</x:v>
      </x:c>
      <x:c r="X740" s="171" t="str">
        <x:v>D3</x:v>
      </x:c>
      <x:c r="Y740" s="165" t="str">
        <x:v>自己分解で多糖類が減り質感が軽くなる; 自己分解で糖生成; 自己分解でタンニン抽出</x:v>
      </x:c>
      <x:c r="Z740" s="171" t="str">
        <x:v>N</x:v>
      </x:c>
      <x:c r="AA740" s="165"/>
      <x:c r="AB740" s="165" t="str">
        <x:v>オリジナル</x:v>
      </x:c>
      <x:c r="AC740" s="165" t="str">
        <x:v>WSET公式Specificationの範囲＋ユーザー作成コーパスの論点を参考に独自作成</x:v>
      </x:c>
      <x:c r="AD740" s="171" t="str">
        <x:v>改稿済み・専門家未承認</x:v>
      </x:c>
      <x:c r="AE740" s="171" t="str">
        <x:v>AI誤答レビュー</x:v>
      </x:c>
      <x:c r="AF740" s="171" t="str">
        <x:v>2026-07-12</x:v>
      </x:c>
      <x:c r="AG740" s="369" t="str">
        <x:v>第4バッチ：同一論点内の典型的誤概念へ置換。正答位置は維持。</x:v>
      </x:c>
    </x:row>
    <x:row r="741" ht="84" customHeight="1">
      <x:c r="A741" s="368" t="str">
        <x:v>LO3-140</x:v>
      </x:c>
      <x:c r="B741" s="171" t="str">
        <x:v>LO3</x:v>
      </x:c>
      <x:c r="C741" s="165" t="str">
        <x:v>世界の主要な発泡性ワイン</x:v>
      </x:c>
      <x:c r="D741" s="165" t="str">
        <x:v>酵母の凝集性</x:v>
      </x:c>
      <x:c r="E741" s="165" t="str">
        <x:v>二次発酵用酵母が発酵後にまとまりやすい性質を持つ利点はどれか。</x:v>
      </x:c>
      <x:c r="F741" s="165" t="str">
        <x:v>酵母が凝集せず細かく浮遊するほど、ルミュアージュが容易になる</x:v>
      </x:c>
      <x:c r="G741" s="165" t="str">
        <x:v>酵母が浮遊し続け、澱熟成中の接触面積を最大化できる</x:v>
      </x:c>
      <x:c r="H741" s="165" t="str">
        <x:v>凝集すると発酵速度が上がり、二次発酵期間が短くなる</x:v>
      </x:c>
      <x:c r="I741" s="165" t="str">
        <x:v>澱が瓶口へ移動しやすく、デゴルジュマン後の透明度を高められる</x:v>
      </x:c>
      <x:c r="J741" s="171" t="str">
        <x:v>D</x:v>
      </x:c>
      <x:c r="K741" s="165" t="str">
        <x:v>澱が瓶口へ移動しやすく、デゴルジュマン後の透明度を高められる</x:v>
      </x:c>
      <x:c r="L741" s="165" t="str">
        <x:v>正しい。まとまった澱はルミュアージュとデゴルジュマンを効率化する。</x:v>
      </x:c>
      <x:c r="M741" s="165" t="str">
        <x:v>誤り。凝集してまとまる酵母澱の方が瓶口へ移動しやすい。</x:v>
      </x:c>
      <x:c r="N741" s="165" t="str">
        <x:v>誤り。最終的には凝集・沈降して動瓶しやすい方が有利。</x:v>
      </x:c>
      <x:c r="O741" s="165" t="str">
        <x:v>誤り。凝集性の主な利点は澱処理で、発酵速度ではない。</x:v>
      </x:c>
      <x:c r="P741" s="165" t="str">
        <x:v>正しい。まとまった澱はルミュアージュとデゴルジュマンを効率化する。</x:v>
      </x:c>
      <x:c r="Q741" s="165" t="str">
        <x:v>発泡性ワイン製法</x:v>
      </x:c>
      <x:c r="R741" s="165" t="str">
        <x:v>酵母</x:v>
      </x:c>
      <x:c r="S741" s="165" t="str">
        <x:v>発泡性ワイン</x:v>
      </x:c>
      <x:c r="T741" s="165"/>
      <x:c r="U741" s="165"/>
      <x:c r="V741" s="165"/>
      <x:c r="W741" s="165" t="str">
        <x:v>因果説明</x:v>
      </x:c>
      <x:c r="X741" s="171" t="str">
        <x:v>D2</x:v>
      </x:c>
      <x:c r="Y741" s="165" t="str">
        <x:v>非凝集性酵母の方が動瓶しやすい; 二次酵母は浮遊し続ける方が良い; 凝集性で発酵速度向上</x:v>
      </x:c>
      <x:c r="Z741" s="171" t="str">
        <x:v>N</x:v>
      </x:c>
      <x:c r="AA741" s="165"/>
      <x:c r="AB741" s="165" t="str">
        <x:v>オリジナル</x:v>
      </x:c>
      <x:c r="AC741" s="165" t="str">
        <x:v>WSET公式Specificationの範囲＋ユーザー作成コーパスの論点を参考に独自作成</x:v>
      </x:c>
      <x:c r="AD741" s="171" t="str">
        <x:v>改稿済み・専門家未承認</x:v>
      </x:c>
      <x:c r="AE741" s="171" t="str">
        <x:v>AI誤答レビュー</x:v>
      </x:c>
      <x:c r="AF741" s="171" t="str">
        <x:v>2026-07-12</x:v>
      </x:c>
      <x:c r="AG741" s="369" t="str">
        <x:v>第4バッチ：同一論点内の典型的誤概念へ置換。正答位置は維持。</x:v>
      </x:c>
    </x:row>
    <x:row r="742" ht="84" customHeight="1">
      <x:c r="A742" s="368" t="str">
        <x:v>LO3-141</x:v>
      </x:c>
      <x:c r="B742" s="171" t="str">
        <x:v>LO3</x:v>
      </x:c>
      <x:c r="C742" s="165" t="str">
        <x:v>世界の主要な発泡性ワイン</x:v>
      </x:c>
      <x:c r="D742" s="165" t="str">
        <x:v>トランスファー方式の濾過</x:v>
      </x:c>
      <x:c r="E742" s="165" t="str">
        <x:v>トランスファー方式で瓶内二次発酵後のワインを加圧タンクへ移す主な利点はどれか。</x:v>
      </x:c>
      <x:c r="F742" s="165" t="str">
        <x:v>まとめて濾過し、ドザージュして均一なロットとして再瓶詰めできる</x:v>
      </x:c>
      <x:c r="G742" s="165" t="str">
        <x:v>加圧タンクへ移した後に新たな二次発酵を行い、瓶ごとの差を修正する</x:v>
      </x:c>
      <x:c r="H742" s="165" t="str">
        <x:v>加圧タンクで新たな二次発酵を行い、瓶内発酵のばらつきを修正する</x:v>
      </x:c>
      <x:c r="I742" s="165" t="str">
        <x:v>タンクへ移すことで二酸化炭素を除き、静かなワインとして瓶詰めする</x:v>
      </x:c>
      <x:c r="J742" s="171" t="str">
        <x:v>A</x:v>
      </x:c>
      <x:c r="K742" s="165" t="str">
        <x:v>まとめて濾過し、ドザージュして均一なロットとして再瓶詰めできる</x:v>
      </x:c>
      <x:c r="L742" s="165" t="str">
        <x:v>正しい。個別ルミュアージュを省き、均一なワインを多様な瓶へ充填できる。</x:v>
      </x:c>
      <x:c r="M742" s="165" t="str">
        <x:v>正しい。個別ルミュアージュを省き、均一なワインを多様な瓶へ充填できる。</x:v>
      </x:c>
      <x:c r="N742" s="165" t="str">
        <x:v>誤り。二次発酵は瓶内で完了済みで、タンクでは濾過・ドザージュ・再瓶詰めを行う。</x:v>
      </x:c>
      <x:c r="O742" s="165" t="str">
        <x:v>誤り。二次発酵は既に瓶内で完了している。</x:v>
      </x:c>
      <x:c r="P742" s="165" t="str">
        <x:v>誤り。加圧下で発泡性を保持する。</x:v>
      </x:c>
      <x:c r="Q742" s="165" t="str">
        <x:v>発泡性ワイン製法</x:v>
      </x:c>
      <x:c r="R742" s="165" t="str">
        <x:v>トランスファー方式</x:v>
      </x:c>
      <x:c r="S742" s="165" t="str">
        <x:v>発泡性ワイン</x:v>
      </x:c>
      <x:c r="T742" s="165"/>
      <x:c r="U742" s="165"/>
      <x:c r="V742" s="165"/>
      <x:c r="W742" s="165" t="str">
        <x:v>統合判断</x:v>
      </x:c>
      <x:c r="X742" s="171" t="str">
        <x:v>D3</x:v>
      </x:c>
      <x:c r="Y742" s="165" t="str">
        <x:v>トランスファー方式はタンクで再び二次発酵する; トランスファーで二回目の二次発酵; トランスファーで脱泡</x:v>
      </x:c>
      <x:c r="Z742" s="171" t="str">
        <x:v>N</x:v>
      </x:c>
      <x:c r="AA742" s="165"/>
      <x:c r="AB742" s="165" t="str">
        <x:v>オリジナル</x:v>
      </x:c>
      <x:c r="AC742" s="165" t="str">
        <x:v>WSET公式Specificationの範囲＋ユーザー作成コーパスの論点を参考に独自作成</x:v>
      </x:c>
      <x:c r="AD742" s="171" t="str">
        <x:v>改稿済み・専門家未承認</x:v>
      </x:c>
      <x:c r="AE742" s="171" t="str">
        <x:v>AI誤答レビュー</x:v>
      </x:c>
      <x:c r="AF742" s="171" t="str">
        <x:v>2026-07-12</x:v>
      </x:c>
      <x:c r="AG742" s="369" t="str">
        <x:v>第4バッチ：同一論点内の典型的誤概念へ置換。正答位置は維持。</x:v>
      </x:c>
    </x:row>
    <x:row r="743" ht="84" customHeight="1">
      <x:c r="A743" s="368" t="str">
        <x:v>LO3-142</x:v>
      </x:c>
      <x:c r="B743" s="171" t="str">
        <x:v>LO3</x:v>
      </x:c>
      <x:c r="C743" s="165" t="str">
        <x:v>世界の主要な発泡性ワイン</x:v>
      </x:c>
      <x:c r="D743" s="165" t="str">
        <x:v>タンク方式の圧力保持</x:v>
      </x:c>
      <x:c r="E743" s="165" t="str">
        <x:v>タンク方式で濾過と瓶詰めを加圧下で行う主な理由はどれか。</x:v>
      </x:c>
      <x:c r="F743" s="165" t="str">
        <x:v>アルコールを蒸発させるため</x:v>
      </x:c>
      <x:c r="G743" s="165" t="str">
        <x:v>溶けた二酸化炭素が逃げるのを防ぎ、目的の発泡性を保つ</x:v>
      </x:c>
      <x:c r="H743" s="165" t="str">
        <x:v>残糖を除去するため</x:v>
      </x:c>
      <x:c r="I743" s="165" t="str">
        <x:v>ワインを酸化させるため</x:v>
      </x:c>
      <x:c r="J743" s="171" t="str">
        <x:v>B</x:v>
      </x:c>
      <x:c r="K743" s="165" t="str">
        <x:v>溶けた二酸化炭素が逃げるのを防ぎ、目的の発泡性を保つ</x:v>
      </x:c>
      <x:c r="L743" s="165" t="str">
        <x:v>正しい。圧力を下げると激しく泡立つため、密閉配管と耐圧設備で処理する。</x:v>
      </x:c>
      <x:c r="M743" s="165" t="str">
        <x:v>誤り。加圧下では揮発を抑える。</x:v>
      </x:c>
      <x:c r="N743" s="165" t="str">
        <x:v>正しい。圧力を下げると激しく泡立つため、密閉配管と耐圧設備で処理する。</x:v>
      </x:c>
      <x:c r="O743" s="165" t="str">
        <x:v>誤り。濾過は酵母を除けるが糖は残る。</x:v>
      </x:c>
      <x:c r="P743" s="165" t="str">
        <x:v>誤り。酸素接触は抑える。</x:v>
      </x:c>
      <x:c r="Q743" s="165" t="str">
        <x:v>発泡性ワイン製法</x:v>
      </x:c>
      <x:c r="R743" s="165" t="str">
        <x:v>タンク方式</x:v>
      </x:c>
      <x:c r="S743" s="165" t="str">
        <x:v>発泡性ワイン</x:v>
      </x:c>
      <x:c r="T743" s="165"/>
      <x:c r="U743" s="165"/>
      <x:c r="V743" s="165"/>
      <x:c r="W743" s="165" t="str">
        <x:v>因果説明</x:v>
      </x:c>
      <x:c r="X743" s="171" t="str">
        <x:v>D2</x:v>
      </x:c>
      <x:c r="Y743" s="165" t="str">
        <x:v>タンク方式の圧力保持について関連要因を主因とみなす; タンク方式の圧力保持について関連要因を主因とみなす; タンク方式の圧力保持について関連要因を主因とみなす</x:v>
      </x:c>
      <x:c r="Z743" s="171" t="str">
        <x:v>N</x:v>
      </x:c>
      <x:c r="AA743" s="165"/>
      <x:c r="AB743" s="165" t="str">
        <x:v>オリジナル</x:v>
      </x:c>
      <x:c r="AC743" s="165" t="str">
        <x:v>WSET公式Specificationの範囲＋ユーザー作成コーパスの論点を参考に独自作成</x:v>
      </x:c>
      <x:c r="AD743" s="171" t="str">
        <x:v>改稿済み・専門家未承認</x:v>
      </x:c>
      <x:c r="AE743" s="171" t="str">
        <x:v>AI誤答レビュー</x:v>
      </x:c>
      <x:c r="AF743" s="171" t="str">
        <x:v>2026-07-12</x:v>
      </x:c>
      <x:c r="AG743" s="369" t="str">
        <x:v>第5バッチ：使用可能な誤答を維持し、弱い誤答を因果逆転・隣接概念へ置換。正答位置は維持。</x:v>
      </x:c>
    </x:row>
    <x:row r="744" ht="84" customHeight="1">
      <x:c r="A744" s="368" t="str">
        <x:v>LO3-143</x:v>
      </x:c>
      <x:c r="B744" s="171" t="str">
        <x:v>LO3</x:v>
      </x:c>
      <x:c r="C744" s="165" t="str">
        <x:v>世界の主要な発泡性ワイン</x:v>
      </x:c>
      <x:c r="D744" s="165" t="str">
        <x:v>タンク内澱接触</x:v>
      </x:c>
      <x:c r="E744" s="165" t="str">
        <x:v>タンク方式でも二次発酵後に澱との接触期間を延ばすと起こり得る変化はどれか。</x:v>
      </x:c>
      <x:c r="F744" s="165" t="str">
        <x:v>穏やかな酸素接触と熟成香が加わり、ブレンドへ複雑性を与える</x:v>
      </x:c>
      <x:c r="G744" s="165" t="str">
        <x:v>タンク内では自己分解が起こらず、果実香だけが保たれる</x:v>
      </x:c>
      <x:c r="H744" s="165" t="str">
        <x:v>果実香に酵母やパンを思わせる風味と滑らかな質感が加わる</x:v>
      </x:c>
      <x:c r="I744" s="165" t="str">
        <x:v>澱接触により瓶ごとの差が増え、複雑なボトル差を作れる</x:v>
      </x:c>
      <x:c r="J744" s="171" t="str">
        <x:v>C</x:v>
      </x:c>
      <x:c r="K744" s="165" t="str">
        <x:v>果実香に酵母やパンを思わせる風味と滑らかな質感が加わる</x:v>
      </x:c>
      <x:c r="L744" s="165" t="str">
        <x:v>正しい。接触時間や攪拌により自己分解由来の複雑性を得られる。</x:v>
      </x:c>
      <x:c r="M744" s="165" t="str">
        <x:v>誤り。これは同じ知識領域の「リザーヴワインの容器」に当てはまる説明で、設問の「タンク内澱接触」を最も適切に説明しない。</x:v>
      </x:c>
      <x:c r="N744" s="165" t="str">
        <x:v>誤り。澱接触期間を延ばせばタンクでも自己分解の影響を得られる。</x:v>
      </x:c>
      <x:c r="O744" s="165" t="str">
        <x:v>正しい。接触時間や攪拌により自己分解由来の複雑性を得られる。</x:v>
      </x:c>
      <x:c r="P744" s="165" t="str">
        <x:v>誤り。タンク内でロットは均一に処理される。</x:v>
      </x:c>
      <x:c r="Q744" s="165" t="str">
        <x:v>熟成</x:v>
      </x:c>
      <x:c r="R744" s="165" t="str">
        <x:v>タンク方式</x:v>
      </x:c>
      <x:c r="S744" s="165" t="str">
        <x:v>発泡性ワイン</x:v>
      </x:c>
      <x:c r="T744" s="165"/>
      <x:c r="U744" s="165"/>
      <x:c r="V744" s="165"/>
      <x:c r="W744" s="165" t="str">
        <x:v>比較</x:v>
      </x:c>
      <x:c r="X744" s="171" t="str">
        <x:v>D3</x:v>
      </x:c>
      <x:c r="Y744" s="165" t="str">
        <x:v>タンク内澱接触をリザーヴワインの容器の特徴と混同; タンク方式では自己分解しない; タンク澱接触でボトル差が増える</x:v>
      </x:c>
      <x:c r="Z744" s="171" t="str">
        <x:v>N</x:v>
      </x:c>
      <x:c r="AA744" s="165"/>
      <x:c r="AB744" s="165" t="str">
        <x:v>オリジナル</x:v>
      </x:c>
      <x:c r="AC744" s="165" t="str">
        <x:v>WSET公式Specificationの範囲＋ユーザー作成コーパスの論点を参考に独自作成</x:v>
      </x:c>
      <x:c r="AD744" s="171" t="str">
        <x:v>改稿済み・専門家未承認</x:v>
      </x:c>
      <x:c r="AE744" s="171" t="str">
        <x:v>AI誤答レビュー</x:v>
      </x:c>
      <x:c r="AF744" s="171" t="str">
        <x:v>2026-07-12</x:v>
      </x:c>
      <x:c r="AG744" s="369" t="str">
        <x:v>第4バッチ：同一論点内の典型的誤概念へ置換。正答位置は維持。</x:v>
      </x:c>
    </x:row>
    <x:row r="745" ht="84" customHeight="1">
      <x:c r="A745" s="368" t="str">
        <x:v>LO3-144</x:v>
      </x:c>
      <x:c r="B745" s="171" t="str">
        <x:v>LO3</x:v>
      </x:c>
      <x:c r="C745" s="165" t="str">
        <x:v>世界の主要な発泡性ワイン</x:v>
      </x:c>
      <x:c r="D745" s="165" t="str">
        <x:v>フリッザンテとスプマンテ</x:v>
      </x:c>
      <x:c r="E745" s="165" t="str">
        <x:v>一般にフリッザンテが、スプマンテより軽い泡に感じられる主な理由はどれか。</x:v>
      </x:c>
      <x:c r="F745" s="165" t="str">
        <x:v>フリッザンテは残糖が低く、甘味が泡を弱く感じさせるため</x:v>
      </x:c>
      <x:c r="G745" s="165" t="str">
        <x:v>フリッザンテは主にタンク方式、スプマンテは主に瓶内二次発酵で造られるため</x:v>
      </x:c>
      <x:c r="H745" s="165" t="str">
        <x:v>フリッザンテは低アルコールなので、二酸化炭素を溶かせないため</x:v>
      </x:c>
      <x:c r="I745" s="165" t="str">
        <x:v>瓶内圧力が低く、溶けている二酸化炭素が少ないため</x:v>
      </x:c>
      <x:c r="J745" s="171" t="str">
        <x:v>D</x:v>
      </x:c>
      <x:c r="K745" s="165" t="str">
        <x:v>瓶内圧力が低く、溶けている二酸化炭素が少ないため</x:v>
      </x:c>
      <x:c r="L745" s="165" t="str">
        <x:v>正しい。圧力と溶存二酸化炭素量が低いため、口当たりが穏やかになる。</x:v>
      </x:c>
      <x:c r="M745" s="165" t="str">
        <x:v>誤り。甘味区分と発泡圧力は別である。</x:v>
      </x:c>
      <x:c r="N745" s="165" t="str">
        <x:v>誤り。製法はさまざまで、泡の強さを製法だけで決めることはできない。</x:v>
      </x:c>
      <x:c r="O745" s="165" t="str">
        <x:v>誤り。アルコール度だけで泡の強さは決まらない。</x:v>
      </x:c>
      <x:c r="P745" s="165" t="str">
        <x:v>正しい。圧力と溶存二酸化炭素量が低いため、口当たりが穏やかになる。</x:v>
      </x:c>
      <x:c r="Q745" s="165" t="str">
        <x:v>法律・表示</x:v>
      </x:c>
      <x:c r="R745" s="165" t="str">
        <x:v>発泡圧力</x:v>
      </x:c>
      <x:c r="S745" s="165" t="str">
        <x:v>発泡性ワイン</x:v>
      </x:c>
      <x:c r="T745" s="165"/>
      <x:c r="U745" s="165"/>
      <x:c r="V745" s="165"/>
      <x:c r="W745" s="165" t="str">
        <x:v>比較</x:v>
      </x:c>
      <x:c r="X745" s="171" t="str">
        <x:v>D2</x:v>
      </x:c>
      <x:c r="Y745" s="165" t="str">
        <x:v>フリッザンテは低残糖だから泡が軽い; フリッザンテとスプマンテの差は製法だけ; 低アルコールではCO2を溶かせない</x:v>
      </x:c>
      <x:c r="Z745" s="171" t="str">
        <x:v>Y</x:v>
      </x:c>
      <x:c r="AA745" s="165" t="str">
        <x:v>圧力区分の具体値と表示は最新EU規定・教材との最終照合を推奨</x:v>
      </x:c>
      <x:c r="AB745" s="165" t="str">
        <x:v>オリジナル</x:v>
      </x:c>
      <x:c r="AC745" s="165" t="str">
        <x:v>WSET公式Specificationの範囲＋ユーザー作成コーパスの論点を参考に独自作成</x:v>
      </x:c>
      <x:c r="AD745" s="171" t="str">
        <x:v>改稿済み・専門家未承認</x:v>
      </x:c>
      <x:c r="AE745" s="171" t="str">
        <x:v>AI誤答レビュー</x:v>
      </x:c>
      <x:c r="AF745" s="171" t="str">
        <x:v>2026-07-12</x:v>
      </x:c>
      <x:c r="AG745" s="369" t="str">
        <x:v>第3バッチ：同一論点内の典型的誤概念へ置換。正答位置は維持。</x:v>
      </x:c>
    </x:row>
    <x:row r="746" ht="84" customHeight="1">
      <x:c r="A746" s="368" t="str">
        <x:v>LO3-145</x:v>
      </x:c>
      <x:c r="B746" s="171" t="str">
        <x:v>LO3</x:v>
      </x:c>
      <x:c r="C746" s="165" t="str">
        <x:v>世界の主要な発泡性ワイン</x:v>
      </x:c>
      <x:c r="D746" s="165" t="str">
        <x:v>発泡性ワインの酸化欠陥</x:v>
      </x:c>
      <x:c r="E746" s="165" t="str">
        <x:v>若い果実味中心の発泡性ワインが酸化した場合、最も見られやすい変化はどれか。</x:v>
      </x:c>
      <x:c r="F746" s="165" t="str">
        <x:v>色が濃くなり、リンゴの打ち身やナッツ香が出て、泡と果実味が弱く感じられる</x:v>
      </x:c>
      <x:c r="G746" s="165" t="str">
        <x:v>色が淡くなり、柑橘香と酸が強まり、泡が細かくなる</x:v>
      </x:c>
      <x:c r="H746" s="165" t="str">
        <x:v>果実香は保たれるが、ドザージュの甘味だけが減少する</x:v>
      </x:c>
      <x:c r="I746" s="165" t="str">
        <x:v>酸化によって二酸化炭素が増え、泡が強くなる</x:v>
      </x:c>
      <x:c r="J746" s="171" t="str">
        <x:v>A</x:v>
      </x:c>
      <x:c r="K746" s="165" t="str">
        <x:v>色が濃くなり、リンゴの打ち身やナッツ香が出て、泡と果実味が弱く感じられる</x:v>
      </x:c>
      <x:c r="L746" s="165" t="str">
        <x:v>正しい。褐変、熟れたリンゴ・ナッツ香、果実味と泡の弱まりが典型的である。</x:v>
      </x:c>
      <x:c r="M746" s="165" t="str">
        <x:v>正しい。褐変、熟れたリンゴ・ナッツ香、果実味と泡の弱まりが典型的である。</x:v>
      </x:c>
      <x:c r="N746" s="165" t="str">
        <x:v>誤り。酸化はフレッシュさを高めるのではなく、果実香を失わせる。</x:v>
      </x:c>
      <x:c r="O746" s="165" t="str">
        <x:v>誤り。甘味だけの変化ではなく、色・香り・泡へ広く影響する。</x:v>
      </x:c>
      <x:c r="P746" s="165" t="str">
        <x:v>誤り。酸化でCO2が生成されるわけではない。</x:v>
      </x:c>
      <x:c r="Q746" s="165" t="str">
        <x:v>欠陥</x:v>
      </x:c>
      <x:c r="R746" s="165" t="str">
        <x:v>酸化</x:v>
      </x:c>
      <x:c r="S746" s="165" t="str">
        <x:v>発泡性ワイン</x:v>
      </x:c>
      <x:c r="T746" s="165"/>
      <x:c r="U746" s="165"/>
      <x:c r="V746" s="165"/>
      <x:c r="W746" s="165" t="str">
        <x:v>因果説明</x:v>
      </x:c>
      <x:c r="X746" s="171" t="str">
        <x:v>D2</x:v>
      </x:c>
      <x:c r="Y746" s="165" t="str">
        <x:v>酸化で色が淡くなり鮮度と泡が向上; 酸化はドザージュの甘味だけを減らす; 酸化でCO2が増える</x:v>
      </x:c>
      <x:c r="Z746" s="171" t="str">
        <x:v>N</x:v>
      </x:c>
      <x:c r="AA746" s="165"/>
      <x:c r="AB746" s="165" t="str">
        <x:v>オリジナル</x:v>
      </x:c>
      <x:c r="AC746" s="165" t="str">
        <x:v>WSET公式Specificationの範囲＋ユーザー作成コーパスの論点を参考に独自作成</x:v>
      </x:c>
      <x:c r="AD746" s="171" t="str">
        <x:v>改稿済み・専門家未承認</x:v>
      </x:c>
      <x:c r="AE746" s="171" t="str">
        <x:v>AI誤答レビュー</x:v>
      </x:c>
      <x:c r="AF746" s="171" t="str">
        <x:v>2026-07-12</x:v>
      </x:c>
      <x:c r="AG746" s="369" t="str">
        <x:v>第3バッチ：同一論点内の典型的誤概念へ置換。正答位置は維持。</x:v>
      </x:c>
    </x:row>
    <x:row r="747" ht="84" customHeight="1">
      <x:c r="A747" s="368" t="str">
        <x:v>LO3-146</x:v>
      </x:c>
      <x:c r="B747" s="171" t="str">
        <x:v>LO3</x:v>
      </x:c>
      <x:c r="C747" s="165" t="str">
        <x:v>世界の主要な発泡性ワイン</x:v>
      </x:c>
      <x:c r="D747" s="165" t="str">
        <x:v>コート・ド・セザンヌ</x:v>
      </x:c>
      <x:c r="E747" s="165" t="str">
        <x:v>コート・ド・セザンヌがシャンパーニュのブレンドへ与えやすい特徴はどれか。</x:v>
      </x:c>
      <x:c r="F747" s="165" t="str">
        <x:v>極端に低い酸の甘口ワイン</x:v>
      </x:c>
      <x:c r="G747" s="165" t="str">
        <x:v>比較的熟したシャルドネの果実味と丸み</x:v>
      </x:c>
      <x:c r="H747" s="165" t="str">
        <x:v>ムニエだけから生じる高タンニン</x:v>
      </x:c>
      <x:c r="I747" s="165" t="str">
        <x:v>ピノ・ノワールの高いタンニンと黒系果実をブレンドへ加える</x:v>
      </x:c>
      <x:c r="J747" s="171" t="str">
        <x:v>B</x:v>
      </x:c>
      <x:c r="K747" s="165" t="str">
        <x:v>比較的熟したシャルドネの果実味と丸み</x:v>
      </x:c>
      <x:c r="L747" s="165" t="str">
        <x:v>正しい。南寄りでやや温暖なため、コート・デ・ブランより豊かな柑橘・核果のシャルドネを生むことがある。</x:v>
      </x:c>
      <x:c r="M747" s="165" t="str">
        <x:v>誤り。発泡性ベースとして十分な酸を持つ。</x:v>
      </x:c>
      <x:c r="N747" s="165" t="str">
        <x:v>正しい。南寄りでやや温暖なため、コート・デ・ブランより豊かな柑橘・核果のシャルドネを生むことがある。</x:v>
      </x:c>
      <x:c r="O747" s="165" t="str">
        <x:v>誤り。シャルドネが重要である。</x:v>
      </x:c>
      <x:c r="P747" s="165" t="str">
        <x:v>誤り。コート・ド・セザンヌは主にシャルドネから、比較的熟した果実と柔らかな酸を与える。</x:v>
      </x:c>
      <x:c r="Q747" s="165" t="str">
        <x:v>産地</x:v>
      </x:c>
      <x:c r="R747" s="165" t="str">
        <x:v>シャンパーニュ</x:v>
      </x:c>
      <x:c r="S747" s="165" t="str">
        <x:v>発泡性ワイン</x:v>
      </x:c>
      <x:c r="T747" s="165" t="str">
        <x:v>フランス</x:v>
      </x:c>
      <x:c r="U747" s="165" t="str">
        <x:v>コート・ド・セザンヌ</x:v>
      </x:c>
      <x:c r="V747" s="165" t="str">
        <x:v>シャルドネ</x:v>
      </x:c>
      <x:c r="W747" s="165" t="str">
        <x:v>知識確認</x:v>
      </x:c>
      <x:c r="X747" s="171" t="str">
        <x:v>D2</x:v>
      </x:c>
      <x:c r="Y747" s="165" t="str">
        <x:v>コート・ド・セザンヌについて関連要因を主因とみなす; コート・ド・セザンヌについて関連要因を主因とみなす; コート・ド・セザンヌを力強いピノ産地と混同</x:v>
      </x:c>
      <x:c r="Z747" s="171" t="str">
        <x:v>N</x:v>
      </x:c>
      <x:c r="AA747" s="165"/>
      <x:c r="AB747" s="165" t="str">
        <x:v>オリジナル</x:v>
      </x:c>
      <x:c r="AC747" s="165" t="str">
        <x:v>WSET公式Specificationの範囲＋ユーザー作成コーパスの論点を参考に独自作成</x:v>
      </x:c>
      <x:c r="AD747" s="171" t="str">
        <x:v>改稿済み・専門家未承認</x:v>
      </x:c>
      <x:c r="AE747" s="171" t="str">
        <x:v>AI誤答レビュー</x:v>
      </x:c>
      <x:c r="AF747" s="171" t="str">
        <x:v>2026-07-12</x:v>
      </x:c>
      <x:c r="AG747" s="369" t="str">
        <x:v>第5バッチ：使用可能な誤答を維持し、弱い誤答を因果逆転・隣接概念へ置換。正答位置は維持。</x:v>
      </x:c>
    </x:row>
    <x:row r="748" ht="84" customHeight="1">
      <x:c r="A748" s="368" t="str">
        <x:v>LO3-147</x:v>
      </x:c>
      <x:c r="B748" s="171" t="str">
        <x:v>LO3</x:v>
      </x:c>
      <x:c r="C748" s="165" t="str">
        <x:v>世界の主要な発泡性ワイン</x:v>
      </x:c>
      <x:c r="D748" s="165" t="str">
        <x:v>コート・デ・バール</x:v>
      </x:c>
      <x:c r="E748" s="165" t="str">
        <x:v>コート・デ・バールで、ピノ・ノワールが重要な主な理由はどれか。</x:v>
      </x:c>
      <x:c r="F748" s="165" t="str">
        <x:v>シャンパーニュ北部より冷涼で、シャルドネが成熟しにくいため</x:v>
      </x:c>
      <x:c r="G748" s="165" t="str">
        <x:v>白亜質土壌だけが広がり、ピノ・ノワールの酸を増やすため</x:v>
      </x:c>
      <x:c r="H748" s="165" t="str">
        <x:v>南部のやや温暖な気候と粘土石灰質土壌で、黒ブドウが十分に成熟するため</x:v>
      </x:c>
      <x:c r="I748" s="165" t="str">
        <x:v>ムニエより芽吹きが遅く霜害を避けやすいため</x:v>
      </x:c>
      <x:c r="J748" s="171" t="str">
        <x:v>C</x:v>
      </x:c>
      <x:c r="K748" s="165" t="str">
        <x:v>南部のやや温暖な気候と粘土石灰質土壌で、黒ブドウが十分に成熟するため</x:v>
      </x:c>
      <x:c r="L748" s="165" t="str">
        <x:v>正しい。温暖さと土壌が、赤系果実と構造を与えるピノの成熟を支える。</x:v>
      </x:c>
      <x:c r="M748" s="165" t="str">
        <x:v>誤り。南部はやや温暖で、ピノ・ノワールの成熟に有利である。</x:v>
      </x:c>
      <x:c r="N748" s="165" t="str">
        <x:v>誤り。土壌はキンメリジャン系粘土石灰質が重要で、白亜だけではない。</x:v>
      </x:c>
      <x:c r="O748" s="165" t="str">
        <x:v>正しい。温暖さと土壌が、赤系果実と構造を与えるピノの成熟を支える。</x:v>
      </x:c>
      <x:c r="P748" s="165" t="str">
        <x:v>誤り。ピノ・ノワールはムニエより芽吹きが遅いとは限らず、霜回避が主因ではない。</x:v>
      </x:c>
      <x:c r="Q748" s="165" t="str">
        <x:v>自然要因</x:v>
      </x:c>
      <x:c r="R748" s="165" t="str">
        <x:v>シャンパーニュ</x:v>
      </x:c>
      <x:c r="S748" s="165" t="str">
        <x:v>発泡性ワイン</x:v>
      </x:c>
      <x:c r="T748" s="165" t="str">
        <x:v>フランス</x:v>
      </x:c>
      <x:c r="U748" s="165" t="str">
        <x:v>コート・デ・バール</x:v>
      </x:c>
      <x:c r="V748" s="165" t="str">
        <x:v>ピノ・ノワール</x:v>
      </x:c>
      <x:c r="W748" s="165" t="str">
        <x:v>因果説明</x:v>
      </x:c>
      <x:c r="X748" s="171" t="str">
        <x:v>D2</x:v>
      </x:c>
      <x:c r="Y748" s="165" t="str">
        <x:v>コート・デ・バールは北部より冷涼; 白亜質だけがピノの重要性を決める; ピノはムニエより遅芽吹きで霜回避</x:v>
      </x:c>
      <x:c r="Z748" s="171" t="str">
        <x:v>N</x:v>
      </x:c>
      <x:c r="AA748" s="165"/>
      <x:c r="AB748" s="165" t="str">
        <x:v>オリジナル</x:v>
      </x:c>
      <x:c r="AC748" s="165" t="str">
        <x:v>WSET公式Specificationの範囲＋ユーザー作成コーパスの論点を参考に独自作成</x:v>
      </x:c>
      <x:c r="AD748" s="171" t="str">
        <x:v>改稿済み・専門家未承認</x:v>
      </x:c>
      <x:c r="AE748" s="171" t="str">
        <x:v>AI誤答レビュー</x:v>
      </x:c>
      <x:c r="AF748" s="171" t="str">
        <x:v>2026-07-12</x:v>
      </x:c>
      <x:c r="AG748" s="369" t="str">
        <x:v>第3バッチ：同一論点内の典型的誤概念へ置換。正答位置は維持。</x:v>
      </x:c>
    </x:row>
    <x:row r="749" ht="84" customHeight="1">
      <x:c r="A749" s="368" t="str">
        <x:v>LO3-148</x:v>
      </x:c>
      <x:c r="B749" s="171" t="str">
        <x:v>LO3</x:v>
      </x:c>
      <x:c r="C749" s="165" t="str">
        <x:v>世界の主要な発泡性ワイン</x:v>
      </x:c>
      <x:c r="D749" s="165" t="str">
        <x:v>モンターニュとコート・デ・ブラン</x:v>
      </x:c>
      <x:c r="E749" s="165" t="str">
        <x:v>モンターニュ・ド・ランスのワインとコート・デ・ブランのワインをブレンドする主な利点はどれか。</x:v>
      </x:c>
      <x:c r="F749" s="165" t="str">
        <x:v>ブレンドすると甘口になる</x:v>
      </x:c>
      <x:c r="G749" s="165" t="str">
        <x:v>ブレンドで二次発酵が不要になる</x:v>
      </x:c>
      <x:c r="H749" s="165" t="str">
        <x:v>両地域が同じ品種と同じスタイルだけを生む</x:v>
      </x:c>
      <x:c r="I749" s="165" t="str">
        <x:v>ピノ・ノワールの構造とシャルドネの酸・繊細さを組み合わせられる</x:v>
      </x:c>
      <x:c r="J749" s="171" t="str">
        <x:v>D</x:v>
      </x:c>
      <x:c r="K749" s="165" t="str">
        <x:v>ピノ・ノワールの構造とシャルドネの酸・繊細さを組み合わせられる</x:v>
      </x:c>
      <x:c r="L749" s="165" t="str">
        <x:v>正しい。赤系果実とボディに、柑橘、花、長期熟成力を加えて均衡したキュヴェを作る。</x:v>
      </x:c>
      <x:c r="M749" s="165" t="str">
        <x:v>誤り。甘味はドザージュで調整する。</x:v>
      </x:c>
      <x:c r="N749" s="165" t="str">
        <x:v>誤り。発泡化には二次発酵が必要である。</x:v>
      </x:c>
      <x:c r="O749" s="165" t="str">
        <x:v>誤り。主要品種と役割が異なる。</x:v>
      </x:c>
      <x:c r="P749" s="165" t="str">
        <x:v>正しい。赤系果実とボディに、柑橘、花、長期熟成力を加えて均衡したキュヴェを作る。</x:v>
      </x:c>
      <x:c r="Q749" s="165" t="str">
        <x:v>ブレンド</x:v>
      </x:c>
      <x:c r="R749" s="165" t="str">
        <x:v>シャンパーニュ</x:v>
      </x:c>
      <x:c r="S749" s="165" t="str">
        <x:v>発泡性ワイン</x:v>
      </x:c>
      <x:c r="T749" s="165" t="str">
        <x:v>フランス</x:v>
      </x:c>
      <x:c r="U749" s="165" t="str">
        <x:v>シャンパーニュ</x:v>
      </x:c>
      <x:c r="V749" s="165" t="str">
        <x:v>ピノ・ノワール、シャルドネ</x:v>
      </x:c>
      <x:c r="W749" s="165" t="str">
        <x:v>統合判断</x:v>
      </x:c>
      <x:c r="X749" s="171" t="str">
        <x:v>D3</x:v>
      </x:c>
      <x:c r="Y749" s="165" t="str">
        <x:v>モンターニュとコート・デ・ブランについて関連要因を主因とみなす; モンターニュとコート・デ・ブランについて関連要因を主因とみなす; モンターニュとコート・デ・ブランについて関連要因を主因とみなす</x:v>
      </x:c>
      <x:c r="Z749" s="171" t="str">
        <x:v>N</x:v>
      </x:c>
      <x:c r="AA749" s="165"/>
      <x:c r="AB749" s="165" t="str">
        <x:v>オリジナル</x:v>
      </x:c>
      <x:c r="AC749" s="165" t="str">
        <x:v>WSET公式Specificationの範囲＋ユーザー作成コーパスの論点を参考に独自作成</x:v>
      </x:c>
      <x:c r="AD749" s="171" t="str">
        <x:v>改稿済み・専門家未承認</x:v>
      </x:c>
      <x:c r="AE749" s="171" t="str">
        <x:v>AI誤答レビュー</x:v>
      </x:c>
      <x:c r="AF749" s="171" t="str">
        <x:v>2026-07-12</x:v>
      </x:c>
      <x:c r="AG749" s="369" t="str">
        <x:v>第5バッチ：使用可能な誤答を維持し、弱い誤答を因果逆転・隣接概念へ置換。正答位置は維持。</x:v>
      </x:c>
    </x:row>
    <x:row r="750" ht="84" customHeight="1">
      <x:c r="A750" s="368" t="str">
        <x:v>LO3-149</x:v>
      </x:c>
      <x:c r="B750" s="171" t="str">
        <x:v>LO3</x:v>
      </x:c>
      <x:c r="C750" s="165" t="str">
        <x:v>世界の主要な発泡性ワイン</x:v>
      </x:c>
      <x:c r="D750" s="165" t="str">
        <x:v>ヴァレ・ド・ラ・マルヌとムニエ</x:v>
      </x:c>
      <x:c r="E750" s="165" t="str">
        <x:v>ヴァレ・ド・ラ・マルヌでムニエが広く栽培される主な理由はどれか。</x:v>
      </x:c>
      <x:c r="F750" s="165" t="str">
        <x:v>芽吹きが遅く成熟が早めで、霜の起こりやすい谷でも安定して熟す</x:v>
      </x:c>
      <x:c r="G750" s="165" t="str">
        <x:v>酒精強化に適するため</x:v>
      </x:c>
      <x:c r="H750" s="165" t="str">
        <x:v>白品種で高いタンニンを与えるため</x:v>
      </x:c>
      <x:c r="I750" s="165" t="str">
        <x:v>最も晩熟で温暖地にしか適さないため</x:v>
      </x:c>
      <x:c r="J750" s="171" t="str">
        <x:v>A</x:v>
      </x:c>
      <x:c r="K750" s="165" t="str">
        <x:v>芽吹きが遅く成熟が早めで、霜の起こりやすい谷でも安定して熟す</x:v>
      </x:c>
      <x:c r="L750" s="165" t="str">
        <x:v>正しい。粘土質で冷涼な畑に適応し、果実味豊かで若いうちから親しみやすいベースワインを生む。</x:v>
      </x:c>
      <x:c r="M750" s="165" t="str">
        <x:v>正しい。粘土質で冷涼な畑に適応し、果実味豊かで若いうちから親しみやすいベースワインを生む。</x:v>
      </x:c>
      <x:c r="N750" s="165" t="str">
        <x:v>誤り。シャンパーニュは酒精強化しない。</x:v>
      </x:c>
      <x:c r="O750" s="165" t="str">
        <x:v>誤り。黒品種で、タンニンは穏やかである。</x:v>
      </x:c>
      <x:c r="P750" s="165" t="str">
        <x:v>誤り。ムニエは比較的早く成熟する。</x:v>
      </x:c>
      <x:c r="Q750" s="165" t="str">
        <x:v>自然要因</x:v>
      </x:c>
      <x:c r="R750" s="165" t="str">
        <x:v>シャンパーニュ</x:v>
      </x:c>
      <x:c r="S750" s="165" t="str">
        <x:v>発泡性ワイン</x:v>
      </x:c>
      <x:c r="T750" s="165" t="str">
        <x:v>フランス</x:v>
      </x:c>
      <x:c r="U750" s="165" t="str">
        <x:v>ヴァレ・ド・ラ・マルヌ</x:v>
      </x:c>
      <x:c r="V750" s="165" t="str">
        <x:v>ムニエ</x:v>
      </x:c>
      <x:c r="W750" s="165" t="str">
        <x:v>因果説明</x:v>
      </x:c>
      <x:c r="X750" s="171" t="str">
        <x:v>D2</x:v>
      </x:c>
      <x:c r="Y750" s="165" t="str">
        <x:v>ヴァレ・ド・ラ・マルヌとムニエについて関連要因を主因とみなす; ヴァレ・ド・ラ・マルヌとムニエについて関連要因を主因とみなす; ヴァレ・ド・ラ・マルヌとムニエについて関連要因を主因とみなす</x:v>
      </x:c>
      <x:c r="Z750" s="171" t="str">
        <x:v>N</x:v>
      </x:c>
      <x:c r="AA750" s="165"/>
      <x:c r="AB750" s="165" t="str">
        <x:v>オリジナル</x:v>
      </x:c>
      <x:c r="AC750" s="165" t="str">
        <x:v>WSET公式Specificationの範囲＋ユーザー作成コーパスの論点を参考に独自作成</x:v>
      </x:c>
      <x:c r="AD750" s="171" t="str">
        <x:v>改稿済み・専門家未承認</x:v>
      </x:c>
      <x:c r="AE750" s="171" t="str">
        <x:v>AI誤答レビュー</x:v>
      </x:c>
      <x:c r="AF750" s="171" t="str">
        <x:v>2026-07-12</x:v>
      </x:c>
      <x:c r="AG750" s="369" t="str">
        <x:v>第5バッチ：使用可能な誤答を維持し、弱い誤答を因果逆転・隣接概念へ置換。正答位置は維持。</x:v>
      </x:c>
    </x:row>
    <x:row r="751" ht="84" customHeight="1">
      <x:c r="A751" s="368" t="str">
        <x:v>LO3-150</x:v>
      </x:c>
      <x:c r="B751" s="171" t="str">
        <x:v>LO3</x:v>
      </x:c>
      <x:c r="C751" s="165" t="str">
        <x:v>世界の主要な発泡性ワイン</x:v>
      </x:c>
      <x:c r="D751" s="165" t="str">
        <x:v>白亜質土壌</x:v>
      </x:c>
      <x:c r="E751" s="165" t="str">
        <x:v>シャンパーニュの白亜質土壌が、ブドウ栽培に有利な主な理由はどれか。</x:v>
      </x:c>
      <x:c r="F751" s="165" t="str">
        <x:v>排水しながら冬の水分を保持し、根へ安定して供給できる</x:v>
      </x:c>
      <x:c r="G751" s="165" t="str">
        <x:v>水を全く保持しないため、根を深く伸ばして干ばつを避ける</x:v>
      </x:c>
      <x:c r="H751" s="165" t="str">
        <x:v>土壌pHが低いため、果汁の酸を直接増やす</x:v>
      </x:c>
      <x:c r="I751" s="165" t="str">
        <x:v>白色が日光を遮り、果房温度を常に低く保つ</x:v>
      </x:c>
      <x:c r="J751" s="171" t="str">
        <x:v>B</x:v>
      </x:c>
      <x:c r="K751" s="165" t="str">
        <x:v>水を全く保持しないため、根を深く伸ばして干ばつを避ける</x:v>
      </x:c>
      <x:c r="L751" s="165" t="str">
        <x:v>正しい。白亜は水を保持できるため、完全な乾燥土壌ではない。</x:v>
      </x:c>
      <x:c r="M751" s="165" t="str">
        <x:v>誤り。多孔質で排水と保水を両立し、乾燥期の水分供給を助ける。</x:v>
      </x:c>
      <x:c r="N751" s="165" t="str">
        <x:v>正しい。白亜は水を保持できるため、完全な乾燥土壌ではない。</x:v>
      </x:c>
      <x:c r="O751" s="165" t="str">
        <x:v>誤り。土壌pHが果汁酸を直接増やす単純な関係ではない。</x:v>
      </x:c>
      <x:c r="P751" s="165" t="str">
        <x:v>誤り。白色は光を反射するが、日光を遮って果房を常に冷却するわけではない。</x:v>
      </x:c>
      <x:c r="Q751" s="165" t="str">
        <x:v>自然要因</x:v>
      </x:c>
      <x:c r="R751" s="165" t="str">
        <x:v>シャンパーニュ</x:v>
      </x:c>
      <x:c r="S751" s="165" t="str">
        <x:v>発泡性ワイン</x:v>
      </x:c>
      <x:c r="T751" s="165" t="str">
        <x:v>フランス</x:v>
      </x:c>
      <x:c r="U751" s="165" t="str">
        <x:v>シャンパーニュ</x:v>
      </x:c>
      <x:c r="V751" s="165"/>
      <x:c r="W751" s="165" t="str">
        <x:v>因果説明</x:v>
      </x:c>
      <x:c r="X751" s="171" t="str">
        <x:v>D2</x:v>
      </x:c>
      <x:c r="Y751" s="165" t="str">
        <x:v>白亜の低pHが果汁酸を直接増加; 白色が日光を遮って常に低温</x:v>
      </x:c>
      <x:c r="Z751" s="171" t="str">
        <x:v>N</x:v>
      </x:c>
      <x:c r="AA751" s="165"/>
      <x:c r="AB751" s="165" t="str">
        <x:v>オリジナル</x:v>
      </x:c>
      <x:c r="AC751" s="165" t="str">
        <x:v>WSET公式Specificationの範囲＋ユーザー作成コーパスの論点を参考に独自作成</x:v>
      </x:c>
      <x:c r="AD751" s="171" t="str">
        <x:v>改稿済み・専門家未承認</x:v>
      </x:c>
      <x:c r="AE751" s="171" t="str">
        <x:v>AI誤答レビュー</x:v>
      </x:c>
      <x:c r="AF751" s="171" t="str">
        <x:v>2026-07-12</x:v>
      </x:c>
      <x:c r="AG751" s="369" t="str">
        <x:v>第3バッチ：同一論点内の典型的誤概念へ置換。正答位置は維持。</x:v>
      </x:c>
    </x:row>
    <x:row r="752" ht="84" customHeight="1">
      <x:c r="A752" s="368" t="str">
        <x:v>LO3-151</x:v>
      </x:c>
      <x:c r="B752" s="171" t="str">
        <x:v>LO3</x:v>
      </x:c>
      <x:c r="C752" s="165" t="str">
        <x:v>世界の主要な発泡性ワイン</x:v>
      </x:c>
      <x:c r="D752" s="165" t="str">
        <x:v>シャンパーニュの降雨</x:v>
      </x:c>
      <x:c r="E752" s="165" t="str">
        <x:v>シャンパーニュで生育期の降雨が品質へ与える主なリスクはどれか。</x:v>
      </x:c>
      <x:c r="F752" s="165" t="str">
        <x:v>降雨が多いほど糖度が高くなる</x:v>
      </x:c>
      <x:c r="G752" s="165" t="str">
        <x:v>雨が澱熟成を短縮する</x:v>
      </x:c>
      <x:c r="H752" s="165" t="str">
        <x:v>菌類病、開花不良、収穫時の希釈と腐敗</x:v>
      </x:c>
      <x:c r="I752" s="165" t="str">
        <x:v>雨が二次発酵を開始する</x:v>
      </x:c>
      <x:c r="J752" s="171" t="str">
        <x:v>C</x:v>
      </x:c>
      <x:c r="K752" s="165" t="str">
        <x:v>菌類病、開花不良、収穫時の希釈と腐敗</x:v>
      </x:c>
      <x:c r="L752" s="165" t="str">
        <x:v>正しい。冷涼な地域では成熟が限界に近く、雨が日照を減らし、果実の健全性と濃度を損なう。</x:v>
      </x:c>
      <x:c r="M752" s="165" t="str">
        <x:v>誤り。日照不足と希釈で成熟を妨げることがある。</x:v>
      </x:c>
      <x:c r="N752" s="165" t="str">
        <x:v>誤り。畑の天候と瓶熟成期間は別である。</x:v>
      </x:c>
      <x:c r="O752" s="165" t="str">
        <x:v>正しい。冷涼な地域では成熟が限界に近く、雨が日照を減らし、果実の健全性と濃度を損なう。</x:v>
      </x:c>
      <x:c r="P752" s="165" t="str">
        <x:v>誤り。二次発酵はワイナリーで行う。</x:v>
      </x:c>
      <x:c r="Q752" s="165" t="str">
        <x:v>自然要因</x:v>
      </x:c>
      <x:c r="R752" s="165" t="str">
        <x:v>シャンパーニュ</x:v>
      </x:c>
      <x:c r="S752" s="165" t="str">
        <x:v>発泡性ワイン</x:v>
      </x:c>
      <x:c r="T752" s="165" t="str">
        <x:v>フランス</x:v>
      </x:c>
      <x:c r="U752" s="165" t="str">
        <x:v>シャンパーニュ</x:v>
      </x:c>
      <x:c r="V752" s="165"/>
      <x:c r="W752" s="165" t="str">
        <x:v>統合判断</x:v>
      </x:c>
      <x:c r="X752" s="171" t="str">
        <x:v>D3</x:v>
      </x:c>
      <x:c r="Y752" s="165" t="str">
        <x:v>シャンパーニュの降雨について関連要因を主因とみなす; シャンパーニュの降雨について関連要因を主因とみなす; シャンパーニュの降雨について関連要因を主因とみなす</x:v>
      </x:c>
      <x:c r="Z752" s="171" t="str">
        <x:v>N</x:v>
      </x:c>
      <x:c r="AA752" s="165"/>
      <x:c r="AB752" s="165" t="str">
        <x:v>オリジナル</x:v>
      </x:c>
      <x:c r="AC752" s="165" t="str">
        <x:v>WSET公式Specificationの範囲＋ユーザー作成コーパスの論点を参考に独自作成</x:v>
      </x:c>
      <x:c r="AD752" s="171" t="str">
        <x:v>改稿済み・専門家未承認</x:v>
      </x:c>
      <x:c r="AE752" s="171" t="str">
        <x:v>AI誤答レビュー</x:v>
      </x:c>
      <x:c r="AF752" s="171" t="str">
        <x:v>2026-07-12</x:v>
      </x:c>
      <x:c r="AG752" s="369" t="str">
        <x:v>第5バッチ：使用可能な誤答を維持し、弱い誤答を因果逆転・隣接概念へ置換。正答位置は維持。</x:v>
      </x:c>
    </x:row>
    <x:row r="753" ht="84" customHeight="1">
      <x:c r="A753" s="368" t="str">
        <x:v>LO3-152</x:v>
      </x:c>
      <x:c r="B753" s="171" t="str">
        <x:v>LO3</x:v>
      </x:c>
      <x:c r="C753" s="165" t="str">
        <x:v>世界の主要な発泡性ワイン</x:v>
      </x:c>
      <x:c r="D753" s="165" t="str">
        <x:v>手摘みのコスト</x:v>
      </x:c>
      <x:c r="E753" s="165" t="str">
        <x:v>シャンパーニュで手摘みが生産コストを高める一方、品質に有利な主な理由はどれか。</x:v>
      </x:c>
      <x:c r="F753" s="165" t="str">
        <x:v>手摘みで残糖が増える</x:v>
      </x:c>
      <x:c r="G753" s="165" t="str">
        <x:v>手摘みは機械より安価である</x:v>
      </x:c>
      <x:c r="H753" s="165" t="str">
        <x:v>手摘みで二次発酵が不要になる</x:v>
      </x:c>
      <x:c r="I753" s="165" t="str">
        <x:v>果房を傷めず選別して収穫し、色とフェノール抽出を抑えられる</x:v>
      </x:c>
      <x:c r="J753" s="171" t="str">
        <x:v>D</x:v>
      </x:c>
      <x:c r="K753" s="165" t="str">
        <x:v>果房を傷めず選別して収穫し、色とフェノール抽出を抑えられる</x:v>
      </x:c>
      <x:c r="L753" s="165" t="str">
        <x:v>正しい。黒ブドウを白く圧搾するため、破砕と果汁漏出を避け、迅速に圧搾所へ運ぶ必要がある。</x:v>
      </x:c>
      <x:c r="M753" s="165" t="str">
        <x:v>誤り。収穫方法は糖を直接増やさない。</x:v>
      </x:c>
      <x:c r="N753" s="165" t="str">
        <x:v>誤り。労働集約的で高コストである。</x:v>
      </x:c>
      <x:c r="O753" s="165" t="str">
        <x:v>誤り。発泡化には二次発酵が必要である。</x:v>
      </x:c>
      <x:c r="P753" s="165" t="str">
        <x:v>正しい。黒ブドウを白く圧搾するため、破砕と果汁漏出を避け、迅速に圧搾所へ運ぶ必要がある。</x:v>
      </x:c>
      <x:c r="Q753" s="165" t="str">
        <x:v>商業・価格</x:v>
      </x:c>
      <x:c r="R753" s="165" t="str">
        <x:v>シャンパーニュ</x:v>
      </x:c>
      <x:c r="S753" s="165" t="str">
        <x:v>発泡性ワイン</x:v>
      </x:c>
      <x:c r="T753" s="165" t="str">
        <x:v>フランス</x:v>
      </x:c>
      <x:c r="U753" s="165" t="str">
        <x:v>シャンパーニュ</x:v>
      </x:c>
      <x:c r="V753" s="165"/>
      <x:c r="W753" s="165" t="str">
        <x:v>統合判断</x:v>
      </x:c>
      <x:c r="X753" s="171" t="str">
        <x:v>D3</x:v>
      </x:c>
      <x:c r="Y753" s="165" t="str">
        <x:v>手摘みのコストについて関連要因を主因とみなす; 手摘みのコストについて関連要因を主因とみなす; 手摘みのコストについて関連要因を主因とみなす</x:v>
      </x:c>
      <x:c r="Z753" s="171" t="str">
        <x:v>N</x:v>
      </x:c>
      <x:c r="AA753" s="165"/>
      <x:c r="AB753" s="165" t="str">
        <x:v>オリジナル</x:v>
      </x:c>
      <x:c r="AC753" s="165" t="str">
        <x:v>WSET公式Specificationの範囲＋ユーザー作成コーパスの論点を参考に独自作成</x:v>
      </x:c>
      <x:c r="AD753" s="171" t="str">
        <x:v>改稿済み・専門家未承認</x:v>
      </x:c>
      <x:c r="AE753" s="171" t="str">
        <x:v>AI誤答レビュー</x:v>
      </x:c>
      <x:c r="AF753" s="171" t="str">
        <x:v>2026-07-12</x:v>
      </x:c>
      <x:c r="AG753" s="369" t="str">
        <x:v>第5バッチ：使用可能な誤答を維持し、弱い誤答を因果逆転・隣接概念へ置換。正答位置は維持。</x:v>
      </x:c>
    </x:row>
    <x:row r="754" ht="84" customHeight="1">
      <x:c r="A754" s="368" t="str">
        <x:v>LO3-153</x:v>
      </x:c>
      <x:c r="B754" s="171" t="str">
        <x:v>LO3</x:v>
      </x:c>
      <x:c r="C754" s="165" t="str">
        <x:v>世界の主要な発泡性ワイン</x:v>
      </x:c>
      <x:c r="D754" s="165" t="str">
        <x:v>圧搾区分</x:v>
      </x:c>
      <x:c r="E754" s="165" t="str">
        <x:v>発泡性ワインの後半の圧搾果汁を最上級キュヴェへ多く用いない主な理由はどれか。</x:v>
      </x:c>
      <x:c r="F754" s="165" t="str">
        <x:v>果皮由来の色、タンニン、カリウムが増え、酸が低く粗くなりやすい</x:v>
      </x:c>
      <x:c r="G754" s="165" t="str">
        <x:v>後半の圧搾ほど色、タンニン、カリウムが減り、酸の高い繊細な果汁になる</x:v>
      </x:c>
      <x:c r="H754" s="165" t="str">
        <x:v>後半果汁は糖度が低く発酵できない</x:v>
      </x:c>
      <x:c r="I754" s="165" t="str">
        <x:v>後半果汁は最初の果汁より酸が高く、長期熟成に適する</x:v>
      </x:c>
      <x:c r="J754" s="171" t="str">
        <x:v>A</x:v>
      </x:c>
      <x:c r="K754" s="165" t="str">
        <x:v>果皮由来の色、タンニン、カリウムが増え、酸が低く粗くなりやすい</x:v>
      </x:c>
      <x:c r="L754" s="165" t="str">
        <x:v>正しい。圧力が高まるほど果皮・種子・房軸由来成分が増える。</x:v>
      </x:c>
      <x:c r="M754" s="165" t="str">
        <x:v>正しい。圧力が高まるほど果皮・種子・房軸由来成分が増える。</x:v>
      </x:c>
      <x:c r="N754" s="165" t="str">
        <x:v>誤り。後半の強い圧搾では果皮・種子成分とカリウムが増え、酸が低く粗くなりやすい。</x:v>
      </x:c>
      <x:c r="O754" s="165" t="str">
        <x:v>誤り。糖は含まれ、品質差は主にフェノール・酸・清澄度。</x:v>
      </x:c>
      <x:c r="P754" s="165" t="str">
        <x:v>誤り。一般にカリウムとフェノールが増え、酸は低くなりやすい。</x:v>
      </x:c>
      <x:c r="Q754" s="165" t="str">
        <x:v>発泡性ワイン製法</x:v>
      </x:c>
      <x:c r="R754" s="165" t="str">
        <x:v>圧搾</x:v>
      </x:c>
      <x:c r="S754" s="165" t="str">
        <x:v>発泡性ワイン</x:v>
      </x:c>
      <x:c r="T754" s="165"/>
      <x:c r="U754" s="165"/>
      <x:c r="V754" s="165"/>
      <x:c r="W754" s="165" t="str">
        <x:v>因果説明</x:v>
      </x:c>
      <x:c r="X754" s="171" t="str">
        <x:v>D3</x:v>
      </x:c>
      <x:c r="Y754" s="165" t="str">
        <x:v>後半圧搾果汁は低フェノール・高酸; 後半圧搾果汁は発酵不能; 後半果汁は高酸高品質</x:v>
      </x:c>
      <x:c r="Z754" s="171" t="str">
        <x:v>N</x:v>
      </x:c>
      <x:c r="AA754" s="165"/>
      <x:c r="AB754" s="165" t="str">
        <x:v>オリジナル</x:v>
      </x:c>
      <x:c r="AC754" s="165" t="str">
        <x:v>WSET公式Specificationの範囲＋ユーザー作成コーパスの論点を参考に独自作成</x:v>
      </x:c>
      <x:c r="AD754" s="171" t="str">
        <x:v>改稿済み・専門家未承認</x:v>
      </x:c>
      <x:c r="AE754" s="171" t="str">
        <x:v>AI誤答レビュー</x:v>
      </x:c>
      <x:c r="AF754" s="171" t="str">
        <x:v>2026-07-12</x:v>
      </x:c>
      <x:c r="AG754" s="369" t="str">
        <x:v>第4バッチ：同一論点内の典型的誤概念へ置換。正答位置は維持。</x:v>
      </x:c>
    </x:row>
    <x:row r="755" ht="84" customHeight="1">
      <x:c r="A755" s="368" t="str">
        <x:v>LO3-154</x:v>
      </x:c>
      <x:c r="B755" s="171" t="str">
        <x:v>LO3</x:v>
      </x:c>
      <x:c r="C755" s="165" t="str">
        <x:v>世界の主要な発泡性ワイン</x:v>
      </x:c>
      <x:c r="D755" s="165" t="str">
        <x:v>シャンパーニュの村格付け</x:v>
      </x:c>
      <x:c r="E755" s="165" t="str">
        <x:v>シャンパーニュで村の歴史的な格付けがブドウ価格へ影響してきた主な理由はどれか。</x:v>
      </x:c>
      <x:c r="F755" s="165" t="str">
        <x:v>格付けが品種を一つに限定する</x:v>
      </x:c>
      <x:c r="G755" s="165" t="str">
        <x:v>優良と評価された村のブドウは成熟度と品質への需要が高い</x:v>
      </x:c>
      <x:c r="H755" s="165" t="str">
        <x:v>格付け村では甘口しか造れない</x:v>
      </x:c>
      <x:c r="I755" s="165" t="str">
        <x:v>格付けが二次発酵の圧力を決める</x:v>
      </x:c>
      <x:c r="J755" s="171" t="str">
        <x:v>B</x:v>
      </x:c>
      <x:c r="K755" s="165" t="str">
        <x:v>優良と評価された村のブドウは成熟度と品質への需要が高い</x:v>
      </x:c>
      <x:c r="L755" s="165" t="str">
        <x:v>正しい。原料ブドウの希少性とブランド価値が、完成ワインの価格にも反映される。</x:v>
      </x:c>
      <x:c r="M755" s="165" t="str">
        <x:v>誤り。複数品種が用いられる。</x:v>
      </x:c>
      <x:c r="N755" s="165" t="str">
        <x:v>正しい。原料ブドウの希少性とブランド価値が、完成ワインの価格にも反映される。</x:v>
      </x:c>
      <x:c r="O755" s="165" t="str">
        <x:v>誤り。多様な甘味区分がある。</x:v>
      </x:c>
      <x:c r="P755" s="165" t="str">
        <x:v>誤り。圧力は製法で決まる。</x:v>
      </x:c>
      <x:c r="Q755" s="165" t="str">
        <x:v>法律・価格</x:v>
      </x:c>
      <x:c r="R755" s="165" t="str">
        <x:v>シャンパーニュ</x:v>
      </x:c>
      <x:c r="S755" s="165" t="str">
        <x:v>発泡性ワイン</x:v>
      </x:c>
      <x:c r="T755" s="165" t="str">
        <x:v>フランス</x:v>
      </x:c>
      <x:c r="U755" s="165" t="str">
        <x:v>シャンパーニュ</x:v>
      </x:c>
      <x:c r="V755" s="165"/>
      <x:c r="W755" s="165" t="str">
        <x:v>統合判断</x:v>
      </x:c>
      <x:c r="X755" s="171" t="str">
        <x:v>D3</x:v>
      </x:c>
      <x:c r="Y755" s="165" t="str">
        <x:v>シャンパーニュの村格付けについて関連要因を主因とみなす; シャンパーニュの村格付けについて関連要因を主因とみなす; シャンパーニュの村格付けについて関連要因を主因とみなす</x:v>
      </x:c>
      <x:c r="Z755" s="171" t="str">
        <x:v>Y</x:v>
      </x:c>
      <x:c r="AA755" s="165" t="str">
        <x:v>シャンパーニュの村格付け制度の現行的な扱いと用語を最新教材で確認推奨</x:v>
      </x:c>
      <x:c r="AB755" s="165" t="str">
        <x:v>オリジナル</x:v>
      </x:c>
      <x:c r="AC755" s="165" t="str">
        <x:v>WSET公式Specificationの範囲＋ユーザー作成コーパスの論点を参考に独自作成</x:v>
      </x:c>
      <x:c r="AD755" s="171" t="str">
        <x:v>改稿済み・専門家未承認</x:v>
      </x:c>
      <x:c r="AE755" s="171" t="str">
        <x:v>AI誤答レビュー</x:v>
      </x:c>
      <x:c r="AF755" s="171" t="str">
        <x:v>2026-07-12</x:v>
      </x:c>
      <x:c r="AG755" s="369" t="str">
        <x:v>第5バッチ：使用可能な誤答を維持し、弱い誤答を因果逆転・隣接概念へ置換。正答位置は維持。</x:v>
      </x:c>
    </x:row>
    <x:row r="756" ht="84" customHeight="1">
      <x:c r="A756" s="368" t="str">
        <x:v>LO3-155</x:v>
      </x:c>
      <x:c r="B756" s="171" t="str">
        <x:v>LO3</x:v>
      </x:c>
      <x:c r="C756" s="165" t="str">
        <x:v>世界の主要な発泡性ワイン</x:v>
      </x:c>
      <x:c r="D756" s="165" t="str">
        <x:v>生産者シャンパーニュ</x:v>
      </x:c>
      <x:c r="E756" s="165" t="str">
        <x:v>自社畑中心の小規模生産者のシャンパーニュが、大手メゾンより区画や収穫年の個性を表しやすい主な理由はどれか。</x:v>
      </x:c>
      <x:c r="F756" s="165" t="str">
        <x:v>自社畑のブドウを用いるため、品質差は主に生産規模で決まり、小規模ほど高品質になりやすい</x:v>
      </x:c>
      <x:c r="G756" s="165" t="str">
        <x:v>使用する畑は狭いが、リザーヴワインを用いれば大手メゾンと同程度にヴィンテージ差を均せる</x:v>
      </x:c>
      <x:c r="H756" s="165" t="str">
        <x:v>使用する畑とリザーヴワインの範囲が狭く、広域ブレンドによる均質化が少ないため</x:v>
      </x:c>
      <x:c r="I756" s="165" t="str">
        <x:v>小規模生産者は単一村・単一品種・単一収穫年だけを使用しなければならない</x:v>
      </x:c>
      <x:c r="J756" s="171" t="str">
        <x:v>C</x:v>
      </x:c>
      <x:c r="K756" s="165" t="str">
        <x:v>使用する畑とリザーヴワインの範囲が狭く、広域ブレンドによる均質化が少ないため</x:v>
      </x:c>
      <x:c r="L756" s="165" t="str">
        <x:v>正しい。限られた畑・村・年の特徴が、広域かつ多数年のブレンドより残りやすい。</x:v>
      </x:c>
      <x:c r="M756" s="165" t="str">
        <x:v>誤り。自社畑中心であることは個性を表しやすくするが、品質は栽培・醸造・熟成にも左右される。</x:v>
      </x:c>
      <x:c r="N756" s="165" t="str">
        <x:v>誤り。リザーヴワインを用いる生産者もいるが、狭い原料範囲では大手ほど広域に年差を均せないことが多い。</x:v>
      </x:c>
      <x:c r="O756" s="165" t="str">
        <x:v>正しい。限られた畑・村・年の特徴が、広域かつ多数年のブレンドより残りやすい。</x:v>
      </x:c>
      <x:c r="P756" s="165" t="str">
        <x:v>誤り。小規模でも複数村、複数品種、複数年をブレンドでき、単一要素は義務ではない。</x:v>
      </x:c>
      <x:c r="Q756" s="165" t="str">
        <x:v>商業・スタイル</x:v>
      </x:c>
      <x:c r="R756" s="165" t="str">
        <x:v>シャンパーニュ</x:v>
      </x:c>
      <x:c r="S756" s="165" t="str">
        <x:v>発泡性ワイン</x:v>
      </x:c>
      <x:c r="T756" s="165" t="str">
        <x:v>フランス</x:v>
      </x:c>
      <x:c r="U756" s="165" t="str">
        <x:v>シャンパーニュ</x:v>
      </x:c>
      <x:c r="V756" s="165"/>
      <x:c r="W756" s="165" t="str">
        <x:v>比較</x:v>
      </x:c>
      <x:c r="X756" s="171" t="str">
        <x:v>D3</x:v>
      </x:c>
      <x:c r="Y756" s="165" t="str">
        <x:v>小規模・自社畑であること自体が品質を決める; 狭い原料範囲でも大手と同程度に年差を均せる; 小規模生産者は単一村・品種・年が義務</x:v>
      </x:c>
      <x:c r="Z756" s="171" t="str">
        <x:v>N</x:v>
      </x:c>
      <x:c r="AA756" s="165"/>
      <x:c r="AB756" s="165" t="str">
        <x:v>オリジナル</x:v>
      </x:c>
      <x:c r="AC756" s="165" t="str">
        <x:v>WSET公式Specificationの範囲＋ユーザー作成コーパスの論点を参考に独自作成</x:v>
      </x:c>
      <x:c r="AD756" s="171" t="str">
        <x:v>改稿済み・専門家未承認</x:v>
      </x:c>
      <x:c r="AE756" s="171" t="str">
        <x:v>AI誤答レビュー</x:v>
      </x:c>
      <x:c r="AF756" s="171" t="str">
        <x:v>2026-07-12</x:v>
      </x:c>
      <x:c r="AG756" s="369" t="str">
        <x:v>第2バッチ：誤答を同一論点内の典型的誤概念へ置換。正答位置は維持。</x:v>
      </x:c>
    </x:row>
    <x:row r="757" ht="84" customHeight="1">
      <x:c r="A757" s="368" t="str">
        <x:v>LO3-156</x:v>
      </x:c>
      <x:c r="B757" s="171" t="str">
        <x:v>LO3</x:v>
      </x:c>
      <x:c r="C757" s="165" t="str">
        <x:v>世界の主要な発泡性ワイン</x:v>
      </x:c>
      <x:c r="D757" s="165" t="str">
        <x:v>ソミュール発泡性</x:v>
      </x:c>
      <x:c r="E757" s="165" t="str">
        <x:v>ソミュールの発泡性ワインに典型的な特徴はどれか。</x:v>
      </x:c>
      <x:c r="F757" s="165" t="str">
        <x:v>パロミノの酒精強化ワイン</x:v>
      </x:c>
      <x:c r="G757" s="165" t="str">
        <x:v>ネッビオーロ主体の高タンニン赤</x:v>
      </x:c>
      <x:c r="H757" s="165" t="str">
        <x:v>グレーラ主体の洋梨香</x:v>
      </x:c>
      <x:c r="I757" s="165" t="str">
        <x:v>シュナン・ブラン主体で、高い酸、リンゴ・カリン、澱由来の風味を持つ</x:v>
      </x:c>
      <x:c r="J757" s="171" t="str">
        <x:v>D</x:v>
      </x:c>
      <x:c r="K757" s="165" t="str">
        <x:v>シュナン・ブラン主体で、高い酸、リンゴ・カリン、澱由来の風味を持つ</x:v>
      </x:c>
      <x:c r="L757" s="165" t="str">
        <x:v>正しい。ロワールの冷涼な気候で高酸のベースワインを造り、伝統的方式で熟成させる。</x:v>
      </x:c>
      <x:c r="M757" s="165" t="str">
        <x:v>誤り。シェリーの特徴である。</x:v>
      </x:c>
      <x:c r="N757" s="165" t="str">
        <x:v>誤り。ピエモンテの特徴である。</x:v>
      </x:c>
      <x:c r="O757" s="165" t="str">
        <x:v>誤り。プロセッコの特徴である。</x:v>
      </x:c>
      <x:c r="P757" s="165" t="str">
        <x:v>正しい。ロワールの冷涼な気候で高酸のベースワインを造り、伝統的方式で熟成させる。</x:v>
      </x:c>
      <x:c r="Q757" s="165" t="str">
        <x:v>産地</x:v>
      </x:c>
      <x:c r="R757" s="165" t="str">
        <x:v>ロワール発泡性</x:v>
      </x:c>
      <x:c r="S757" s="165" t="str">
        <x:v>発泡性ワイン</x:v>
      </x:c>
      <x:c r="T757" s="165" t="str">
        <x:v>フランス</x:v>
      </x:c>
      <x:c r="U757" s="165" t="str">
        <x:v>ソミュール</x:v>
      </x:c>
      <x:c r="V757" s="165" t="str">
        <x:v>シュナン・ブラン</x:v>
      </x:c>
      <x:c r="W757" s="165" t="str">
        <x:v>知識確認</x:v>
      </x:c>
      <x:c r="X757" s="171" t="str">
        <x:v>D2</x:v>
      </x:c>
      <x:c r="Y757" s="165" t="str">
        <x:v>ソミュール発泡性について関連要因を主因とみなす; ソミュール発泡性について関連要因を主因とみなす; ソミュール発泡性について関連要因を主因とみなす</x:v>
      </x:c>
      <x:c r="Z757" s="171" t="str">
        <x:v>N</x:v>
      </x:c>
      <x:c r="AA757" s="165"/>
      <x:c r="AB757" s="165" t="str">
        <x:v>オリジナル</x:v>
      </x:c>
      <x:c r="AC757" s="165" t="str">
        <x:v>WSET公式Specificationの範囲＋ユーザー作成コーパスの論点を参考に独自作成</x:v>
      </x:c>
      <x:c r="AD757" s="171" t="str">
        <x:v>改稿済み・専門家未承認</x:v>
      </x:c>
      <x:c r="AE757" s="171" t="str">
        <x:v>AI誤答レビュー</x:v>
      </x:c>
      <x:c r="AF757" s="171" t="str">
        <x:v>2026-07-12</x:v>
      </x:c>
      <x:c r="AG757" s="369" t="str">
        <x:v>第5バッチ：使用可能な誤答を維持し、弱い誤答を因果逆転・隣接概念へ置換。正答位置は維持。</x:v>
      </x:c>
    </x:row>
    <x:row r="758" ht="84" customHeight="1">
      <x:c r="A758" s="368" t="str">
        <x:v>LO3-157</x:v>
      </x:c>
      <x:c r="B758" s="171" t="str">
        <x:v>LO3</x:v>
      </x:c>
      <x:c r="C758" s="165" t="str">
        <x:v>世界の主要な発泡性ワイン</x:v>
      </x:c>
      <x:c r="D758" s="165" t="str">
        <x:v>ヴーヴレ発泡性</x:v>
      </x:c>
      <x:c r="E758" s="165" t="str">
        <x:v>ヴーヴレの発泡性シュナン・ブランが瓶熟成に向く主な理由はどれか。</x:v>
      </x:c>
      <x:c r="F758" s="165" t="str">
        <x:v>自然な高い酸と、リンゴ・蜂蜜・蝋を思わせる風味が熟成で複雑になるため</x:v>
      </x:c>
      <x:c r="G758" s="165" t="str">
        <x:v>自然な低い酸と、リンゴ・蜂蜜・蝋を思わせる風味が熟成で複雑になるため</x:v>
      </x:c>
      <x:c r="H758" s="165" t="str">
        <x:v>高いタンニンと深い色が瓶内熟成を支えるため</x:v>
      </x:c>
      <x:c r="I758" s="165" t="str">
        <x:v>低い酸と高いアルコールが澱熟成香を強くするため</x:v>
      </x:c>
      <x:c r="J758" s="171" t="str">
        <x:v>A</x:v>
      </x:c>
      <x:c r="K758" s="165" t="str">
        <x:v>自然な高い酸と、リンゴ・蜂蜜・蝋を思わせる風味が熟成で複雑になるため</x:v>
      </x:c>
      <x:c r="L758" s="165" t="str">
        <x:v>正しい。品種の酸と熟成能力が、澱由来香と長期瓶熟成を支える。</x:v>
      </x:c>
      <x:c r="M758" s="165" t="str">
        <x:v>正しい。品種の酸と熟成能力が、澱由来香と長期瓶熟成を支える。</x:v>
      </x:c>
      <x:c r="N758" s="165" t="str">
        <x:v>誤り。正答では「高い酸」ことが重要であり、この選択肢は「低い酸」へ置き換えて関係を逆にしている。</x:v>
      </x:c>
      <x:c r="O758" s="165" t="str">
        <x:v>誤り。シュナン・ブランは白品種で低タンニン。</x:v>
      </x:c>
      <x:c r="P758" s="165" t="str">
        <x:v>誤り。高酸が熟成を支え、低酸高アルコールが主因ではない。</x:v>
      </x:c>
      <x:c r="Q758" s="165" t="str">
        <x:v>品種</x:v>
      </x:c>
      <x:c r="R758" s="165" t="str">
        <x:v>ロワール発泡性</x:v>
      </x:c>
      <x:c r="S758" s="165" t="str">
        <x:v>発泡性ワイン</x:v>
      </x:c>
      <x:c r="T758" s="165" t="str">
        <x:v>フランス</x:v>
      </x:c>
      <x:c r="U758" s="165" t="str">
        <x:v>ヴーヴレ</x:v>
      </x:c>
      <x:c r="V758" s="165" t="str">
        <x:v>シュナン・ブラン</x:v>
      </x:c>
      <x:c r="W758" s="165" t="str">
        <x:v>因果説明</x:v>
      </x:c>
      <x:c r="X758" s="171" t="str">
        <x:v>D2</x:v>
      </x:c>
      <x:c r="Y758" s="165" t="str">
        <x:v>「高い酸」と「低い酸」の関係を逆転; ヴーヴレ発泡性は高タンニン深色; ヴーヴレ発泡性は低酸高アルコール</x:v>
      </x:c>
      <x:c r="Z758" s="171" t="str">
        <x:v>N</x:v>
      </x:c>
      <x:c r="AA758" s="165"/>
      <x:c r="AB758" s="165" t="str">
        <x:v>オリジナル</x:v>
      </x:c>
      <x:c r="AC758" s="165" t="str">
        <x:v>WSET公式Specificationの範囲＋ユーザー作成コーパスの論点を参考に独自作成</x:v>
      </x:c>
      <x:c r="AD758" s="171" t="str">
        <x:v>改稿済み・専門家未承認</x:v>
      </x:c>
      <x:c r="AE758" s="171" t="str">
        <x:v>AI誤答レビュー</x:v>
      </x:c>
      <x:c r="AF758" s="171" t="str">
        <x:v>2026-07-12</x:v>
      </x:c>
      <x:c r="AG758" s="369" t="str">
        <x:v>第4バッチ：同一論点内の典型的誤概念へ置換。正答位置は維持。</x:v>
      </x:c>
    </x:row>
    <x:row r="759" ht="84" customHeight="1">
      <x:c r="A759" s="368" t="str">
        <x:v>LO3-158</x:v>
      </x:c>
      <x:c r="B759" s="171" t="str">
        <x:v>LO3</x:v>
      </x:c>
      <x:c r="C759" s="165" t="str">
        <x:v>世界の主要な発泡性ワイン</x:v>
      </x:c>
      <x:c r="D759" s="165" t="str">
        <x:v>クレマン・ダルザスの価格</x:v>
      </x:c>
      <x:c r="E759" s="165" t="str">
        <x:v>クレマン・ダルザスがシャンパーニュより手頃になりやすい主な理由はどれか。</x:v>
      </x:c>
      <x:c r="F759" s="165" t="str">
        <x:v>クレマンは機械収穫と短期タンク発酵を用いるため、シャンパーニュより安い</x:v>
      </x:c>
      <x:c r="G759" s="165" t="str">
        <x:v>土地とブドウ価格、熟成期間、ブランド需要が一般に低い</x:v>
      </x:c>
      <x:c r="H759" s="165" t="str">
        <x:v>伝統的方式を用いず、炭酸ガス注入だけで造るため</x:v>
      </x:c>
      <x:c r="I759" s="165" t="str">
        <x:v>品質基準がなく、どのブドウでも使用できるため</x:v>
      </x:c>
      <x:c r="J759" s="171" t="str">
        <x:v>B</x:v>
      </x:c>
      <x:c r="K759" s="165" t="str">
        <x:v>土地とブドウ価格、熟成期間、ブランド需要が一般に低い</x:v>
      </x:c>
      <x:c r="L759" s="165" t="str">
        <x:v>正しい。同じ伝統的方式でも、原料・在庫・ブランドコストが比較的低い。</x:v>
      </x:c>
      <x:c r="M759" s="165" t="str">
        <x:v>誤り。クレマンも伝統的方式で造られ、価格差は土地・ブドウ・熟成・ブランド需要の差による。</x:v>
      </x:c>
      <x:c r="N759" s="165" t="str">
        <x:v>正しい。同じ伝統的方式でも、原料・在庫・ブランドコストが比較的低い。</x:v>
      </x:c>
      <x:c r="O759" s="165" t="str">
        <x:v>誤り。クレマンは伝統的方式で造る。</x:v>
      </x:c>
      <x:c r="P759" s="165" t="str">
        <x:v>誤り。AOC規定と伝統的方式の要件がある。</x:v>
      </x:c>
      <x:c r="Q759" s="165" t="str">
        <x:v>商業・価格</x:v>
      </x:c>
      <x:c r="R759" s="165" t="str">
        <x:v>クレマン</x:v>
      </x:c>
      <x:c r="S759" s="165" t="str">
        <x:v>発泡性ワイン</x:v>
      </x:c>
      <x:c r="T759" s="165" t="str">
        <x:v>フランス</x:v>
      </x:c>
      <x:c r="U759" s="165" t="str">
        <x:v>アルザス</x:v>
      </x:c>
      <x:c r="V759" s="165"/>
      <x:c r="W759" s="165" t="str">
        <x:v>統合判断</x:v>
      </x:c>
      <x:c r="X759" s="171" t="str">
        <x:v>D3</x:v>
      </x:c>
      <x:c r="Y759" s="165" t="str">
        <x:v>クレマンは機械収穫・タンク方式だから安い; クレマンは炭酸注入; クレマンに品質・品種規定がない</x:v>
      </x:c>
      <x:c r="Z759" s="171" t="str">
        <x:v>N</x:v>
      </x:c>
      <x:c r="AA759" s="165"/>
      <x:c r="AB759" s="165" t="str">
        <x:v>オリジナル</x:v>
      </x:c>
      <x:c r="AC759" s="165" t="str">
        <x:v>WSET公式Specificationの範囲＋ユーザー作成コーパスの論点を参考に独自作成</x:v>
      </x:c>
      <x:c r="AD759" s="171" t="str">
        <x:v>改稿済み・専門家未承認</x:v>
      </x:c>
      <x:c r="AE759" s="171" t="str">
        <x:v>AI誤答レビュー</x:v>
      </x:c>
      <x:c r="AF759" s="171" t="str">
        <x:v>2026-07-12</x:v>
      </x:c>
      <x:c r="AG759" s="369" t="str">
        <x:v>第4バッチ：同一論点内の典型的誤概念へ置換。正答位置は維持。</x:v>
      </x:c>
    </x:row>
    <x:row r="760" ht="84" customHeight="1">
      <x:c r="A760" s="368" t="str">
        <x:v>LO3-159</x:v>
      </x:c>
      <x:c r="B760" s="171" t="str">
        <x:v>LO3</x:v>
      </x:c>
      <x:c r="C760" s="165" t="str">
        <x:v>世界の主要な発泡性ワイン</x:v>
      </x:c>
      <x:c r="D760" s="165" t="str">
        <x:v>クレマン・ド・ブルゴーニュのブレンド</x:v>
      </x:c>
      <x:c r="E760" s="165" t="str">
        <x:v>クレマン・ド・ブルゴーニュでシャルドネとピノ・ノワールをブレンドする主な利点はどれか。</x:v>
      </x:c>
      <x:c r="F760" s="165" t="str">
        <x:v>ブレンドで発酵が不要になる</x:v>
      </x:c>
      <x:c r="G760" s="165" t="str">
        <x:v>甘味が最大になる</x:v>
      </x:c>
      <x:c r="H760" s="165" t="str">
        <x:v>シャルドネの酸と柑橘に、ピノ・ノワールのボディと赤系果実を加えられる</x:v>
      </x:c>
      <x:c r="I760" s="165" t="str">
        <x:v>両品種とも高タンニンの黒品種だから</x:v>
      </x:c>
      <x:c r="J760" s="171" t="str">
        <x:v>C</x:v>
      </x:c>
      <x:c r="K760" s="165" t="str">
        <x:v>シャルドネの酸と柑橘に、ピノ・ノワールのボディと赤系果実を加えられる</x:v>
      </x:c>
      <x:c r="L760" s="165" t="str">
        <x:v>正しい。ブルゴーニュの主要品種を組み合わせ、フレッシュさと構造の均衡を作る。</x:v>
      </x:c>
      <x:c r="M760" s="165" t="str">
        <x:v>誤り。一次・二次発酵が必要である。</x:v>
      </x:c>
      <x:c r="N760" s="165" t="str">
        <x:v>誤り。甘味はドザージュで調整する。</x:v>
      </x:c>
      <x:c r="O760" s="165" t="str">
        <x:v>正しい。ブルゴーニュの主要品種を組み合わせ、フレッシュさと構造の均衡を作る。</x:v>
      </x:c>
      <x:c r="P760" s="165" t="str">
        <x:v>誤り。シャルドネは白品種である。</x:v>
      </x:c>
      <x:c r="Q760" s="165" t="str">
        <x:v>ブレンド</x:v>
      </x:c>
      <x:c r="R760" s="165" t="str">
        <x:v>クレマン</x:v>
      </x:c>
      <x:c r="S760" s="165" t="str">
        <x:v>発泡性ワイン</x:v>
      </x:c>
      <x:c r="T760" s="165" t="str">
        <x:v>フランス</x:v>
      </x:c>
      <x:c r="U760" s="165" t="str">
        <x:v>ブルゴーニュ</x:v>
      </x:c>
      <x:c r="V760" s="165" t="str">
        <x:v>シャルドネ、ピノ・ノワール</x:v>
      </x:c>
      <x:c r="W760" s="165" t="str">
        <x:v>統合判断</x:v>
      </x:c>
      <x:c r="X760" s="171" t="str">
        <x:v>D2</x:v>
      </x:c>
      <x:c r="Y760" s="165" t="str">
        <x:v>クレマン・ド・ブルゴーニュのブレンドについて関連要因を主因とみなす; クレマン・ド・ブルゴーニュのブレンドについて関連要因を主因とみなす; クレマン・ド・ブルゴーニュのブレンドについて関連要因を主因とみなす</x:v>
      </x:c>
      <x:c r="Z760" s="171" t="str">
        <x:v>N</x:v>
      </x:c>
      <x:c r="AA760" s="165"/>
      <x:c r="AB760" s="165" t="str">
        <x:v>オリジナル</x:v>
      </x:c>
      <x:c r="AC760" s="165" t="str">
        <x:v>WSET公式Specificationの範囲＋ユーザー作成コーパスの論点を参考に独自作成</x:v>
      </x:c>
      <x:c r="AD760" s="171" t="str">
        <x:v>改稿済み・専門家未承認</x:v>
      </x:c>
      <x:c r="AE760" s="171" t="str">
        <x:v>AI誤答レビュー</x:v>
      </x:c>
      <x:c r="AF760" s="171" t="str">
        <x:v>2026-07-12</x:v>
      </x:c>
      <x:c r="AG760" s="369" t="str">
        <x:v>第5バッチ：使用可能な誤答を維持し、弱い誤答を因果逆転・隣接概念へ置換。正答位置は維持。</x:v>
      </x:c>
    </x:row>
    <x:row r="761" ht="84" customHeight="1">
      <x:c r="A761" s="368" t="str">
        <x:v>LO3-160</x:v>
      </x:c>
      <x:c r="B761" s="171" t="str">
        <x:v>LO3</x:v>
      </x:c>
      <x:c r="C761" s="165" t="str">
        <x:v>世界の主要な発泡性ワイン</x:v>
      </x:c>
      <x:c r="D761" s="165" t="str">
        <x:v>クレマン・ド・ロワールの土壌</x:v>
      </x:c>
      <x:c r="E761" s="165" t="str">
        <x:v>クレマン・ド・ロワールで、トゥフォー石灰岩の地下セラーが瓶内二次発酵と澱熟成に適する主な理由はどれか。</x:v>
      </x:c>
      <x:c r="F761" s="165" t="str">
        <x:v>地下は地上より暖かく、二次発酵を短期間で完了させやすい</x:v>
      </x:c>
      <x:c r="G761" s="165" t="str">
        <x:v>高い湿度が瓶内の二酸化炭素を吸収し、圧力を一定に保つ</x:v>
      </x:c>
      <x:c r="H761" s="165" t="str">
        <x:v>温度が一定であれば酵母の自己分解が起こらないため、果実香だけを保持できる</x:v>
      </x:c>
      <x:c r="I761" s="165" t="str">
        <x:v>年間を通じて低温で湿度が安定し、瓶内二次発酵と澱熟成をゆっくり進められる</x:v>
      </x:c>
      <x:c r="J761" s="171" t="str">
        <x:v>D</x:v>
      </x:c>
      <x:c r="K761" s="165" t="str">
        <x:v>年間を通じて低温で湿度が安定し、瓶内二次発酵と澱熟成をゆっくり進められる</x:v>
      </x:c>
      <x:c r="L761" s="165" t="str">
        <x:v>正しい。低温・暗所・安定環境が、均一な発酵と長期澱熟成に適する。</x:v>
      </x:c>
      <x:c r="M761" s="165" t="str">
        <x:v>誤り。地下セラーは一般に低温で、発酵を急速に進める暖かい環境ではない。</x:v>
      </x:c>
      <x:c r="N761" s="165" t="str">
        <x:v>誤り。湿度は栓と建物管理に影響するが、瓶内の二酸化炭素を吸収して圧力を調整するわけではない。</x:v>
      </x:c>
      <x:c r="O761" s="165" t="str">
        <x:v>誤り。安定した低温でも自己分解は徐々に進み、熟成香と質感を与える。</x:v>
      </x:c>
      <x:c r="P761" s="165" t="str">
        <x:v>正しい。低温・暗所・安定環境が、均一な発酵と長期澱熟成に適する。</x:v>
      </x:c>
      <x:c r="Q761" s="165" t="str">
        <x:v>熟成</x:v>
      </x:c>
      <x:c r="R761" s="165" t="str">
        <x:v>クレマン</x:v>
      </x:c>
      <x:c r="S761" s="165" t="str">
        <x:v>発泡性ワイン</x:v>
      </x:c>
      <x:c r="T761" s="165" t="str">
        <x:v>フランス</x:v>
      </x:c>
      <x:c r="U761" s="165" t="str">
        <x:v>ロワール</x:v>
      </x:c>
      <x:c r="V761" s="165"/>
      <x:c r="W761" s="165" t="str">
        <x:v>因果説明</x:v>
      </x:c>
      <x:c r="X761" s="171" t="str">
        <x:v>D2</x:v>
      </x:c>
      <x:c r="Y761" s="165" t="str">
        <x:v>地下セラーは高温で発酵を加速する; 湿度が瓶内CO2を吸収して圧力調整する; 安定低温では自己分解が起こらない</x:v>
      </x:c>
      <x:c r="Z761" s="171" t="str">
        <x:v>N</x:v>
      </x:c>
      <x:c r="AA761" s="165"/>
      <x:c r="AB761" s="165" t="str">
        <x:v>オリジナル</x:v>
      </x:c>
      <x:c r="AC761" s="165" t="str">
        <x:v>WSET公式Specificationの範囲＋ユーザー作成コーパスの論点を参考に独自作成</x:v>
      </x:c>
      <x:c r="AD761" s="171" t="str">
        <x:v>改稿済み・専門家未承認</x:v>
      </x:c>
      <x:c r="AE761" s="171" t="str">
        <x:v>AI誤答レビュー</x:v>
      </x:c>
      <x:c r="AF761" s="171" t="str">
        <x:v>2026-07-12</x:v>
      </x:c>
      <x:c r="AG761" s="369" t="str">
        <x:v>第2バッチ：誤答を同一論点内の典型的誤概念へ置換。正答位置は維持。</x:v>
      </x:c>
    </x:row>
    <x:row r="762" ht="84" customHeight="1">
      <x:c r="A762" s="368" t="str">
        <x:v>LO3-161</x:v>
      </x:c>
      <x:c r="B762" s="171" t="str">
        <x:v>LO3</x:v>
      </x:c>
      <x:c r="C762" s="165" t="str">
        <x:v>世界の主要な発泡性ワイン</x:v>
      </x:c>
      <x:c r="D762" s="165" t="str">
        <x:v>カバ三品種の役割</x:v>
      </x:c>
      <x:c r="E762" s="165" t="str">
        <x:v>伝統的なカバのマカベオ、チャレッロ、パレリャーダの組み合わせとして最も適切なものはどれか。</x:v>
      </x:c>
      <x:c r="F762" s="165" t="str">
        <x:v>マカベオの穏やかな果実、チャレッロの酸と構造、パレリャーダの繊細な香り</x:v>
      </x:c>
      <x:c r="G762" s="165" t="str">
        <x:v>ブレンドすると二次発酵が不要になる</x:v>
      </x:c>
      <x:c r="H762" s="165" t="str">
        <x:v>三品種とも強いマスカット香だけを与える</x:v>
      </x:c>
      <x:c r="I762" s="165" t="str">
        <x:v>三品種とも黒品種で高タンニンを与える</x:v>
      </x:c>
      <x:c r="J762" s="171" t="str">
        <x:v>A</x:v>
      </x:c>
      <x:c r="K762" s="165" t="str">
        <x:v>マカベオの穏やかな果実、チャレッロの酸と構造、パレリャーダの繊細な香り</x:v>
      </x:c>
      <x:c r="L762" s="165" t="str">
        <x:v>正しい。三品種の成熟時期と成分の違いをブレンドし、果実味、骨格、芳香の均衡を作る。</x:v>
      </x:c>
      <x:c r="M762" s="165" t="str">
        <x:v>正しい。三品種の成熟時期と成分の違いをブレンドし、果実味、骨格、芳香の均衡を作る。</x:v>
      </x:c>
      <x:c r="N762" s="165" t="str">
        <x:v>誤り。伝統的方式で二次発酵する。</x:v>
      </x:c>
      <x:c r="O762" s="165" t="str">
        <x:v>誤り。役割と芳香強度は異なる。</x:v>
      </x:c>
      <x:c r="P762" s="165" t="str">
        <x:v>誤り。すべて白品種である。</x:v>
      </x:c>
      <x:c r="Q762" s="165" t="str">
        <x:v>ブレンド</x:v>
      </x:c>
      <x:c r="R762" s="165" t="str">
        <x:v>カバ</x:v>
      </x:c>
      <x:c r="S762" s="165" t="str">
        <x:v>発泡性ワイン</x:v>
      </x:c>
      <x:c r="T762" s="165" t="str">
        <x:v>スペイン</x:v>
      </x:c>
      <x:c r="U762" s="165" t="str">
        <x:v>カバ</x:v>
      </x:c>
      <x:c r="V762" s="165" t="str">
        <x:v>マカベオ、チャレッロ、パレリャーダ</x:v>
      </x:c>
      <x:c r="W762" s="165" t="str">
        <x:v>統合判断</x:v>
      </x:c>
      <x:c r="X762" s="171" t="str">
        <x:v>D3</x:v>
      </x:c>
      <x:c r="Y762" s="165" t="str">
        <x:v>カバ三品種の役割について関連要因を主因とみなす; カバ三品種の役割について関連要因を主因とみなす; カバ三品種の役割について関連要因を主因とみなす</x:v>
      </x:c>
      <x:c r="Z762" s="171" t="str">
        <x:v>N</x:v>
      </x:c>
      <x:c r="AA762" s="165"/>
      <x:c r="AB762" s="165" t="str">
        <x:v>オリジナル</x:v>
      </x:c>
      <x:c r="AC762" s="165" t="str">
        <x:v>WSET公式Specificationの範囲＋ユーザー作成コーパスの論点を参考に独自作成</x:v>
      </x:c>
      <x:c r="AD762" s="171" t="str">
        <x:v>改稿済み・専門家未承認</x:v>
      </x:c>
      <x:c r="AE762" s="171" t="str">
        <x:v>AI誤答レビュー</x:v>
      </x:c>
      <x:c r="AF762" s="171" t="str">
        <x:v>2026-07-12</x:v>
      </x:c>
      <x:c r="AG762" s="369" t="str">
        <x:v>第5バッチ：使用可能な誤答を維持し、弱い誤答を因果逆転・隣接概念へ置換。正答位置は維持。</x:v>
      </x:c>
    </x:row>
    <x:row r="763" ht="84" customHeight="1">
      <x:c r="A763" s="368" t="str">
        <x:v>LO3-162</x:v>
      </x:c>
      <x:c r="B763" s="171" t="str">
        <x:v>LO3</x:v>
      </x:c>
      <x:c r="C763" s="165" t="str">
        <x:v>世界の主要な発泡性ワイン</x:v>
      </x:c>
      <x:c r="D763" s="165" t="str">
        <x:v>カバ・グラン・レセルバ</x:v>
      </x:c>
      <x:c r="E763" s="165" t="str">
        <x:v>カバ・グラン・レセルバが若いカバより高価格になりやすい主な理由はどれか。</x:v>
      </x:c>
      <x:c r="F763" s="165" t="str">
        <x:v>酒精強化するため</x:v>
      </x:c>
      <x:c r="G763" s="165" t="str">
        <x:v>長い瓶内澱熟成、在庫費用、厳しい選別により複雑性が高まるため</x:v>
      </x:c>
      <x:c r="H763" s="165" t="str">
        <x:v>高収量の未熟果だけを使うため</x:v>
      </x:c>
      <x:c r="I763" s="165" t="str">
        <x:v>炭酸ガス注入で大量生産するため</x:v>
      </x:c>
      <x:c r="J763" s="171" t="str">
        <x:v>B</x:v>
      </x:c>
      <x:c r="K763" s="165" t="str">
        <x:v>長い瓶内澱熟成、在庫費用、厳しい選別により複雑性が高まるため</x:v>
      </x:c>
      <x:c r="L763" s="165" t="str">
        <x:v>正しい。自己分解香と滑らかな泡が発達する一方、生産者の資金が長期間拘束される。</x:v>
      </x:c>
      <x:c r="M763" s="165" t="str">
        <x:v>誤り。カバは酒精強化しない。</x:v>
      </x:c>
      <x:c r="N763" s="165" t="str">
        <x:v>正しい。自己分解香と滑らかな泡が発達する一方、生産者の資金が長期間拘束される。</x:v>
      </x:c>
      <x:c r="O763" s="165" t="str">
        <x:v>誤り。上質な高酸果実が必要である。</x:v>
      </x:c>
      <x:c r="P763" s="165" t="str">
        <x:v>誤り。伝統的方式で長く熟成する。</x:v>
      </x:c>
      <x:c r="Q763" s="165" t="str">
        <x:v>商業・価格</x:v>
      </x:c>
      <x:c r="R763" s="165" t="str">
        <x:v>カバ</x:v>
      </x:c>
      <x:c r="S763" s="165" t="str">
        <x:v>発泡性ワイン</x:v>
      </x:c>
      <x:c r="T763" s="165" t="str">
        <x:v>スペイン</x:v>
      </x:c>
      <x:c r="U763" s="165" t="str">
        <x:v>カバ</x:v>
      </x:c>
      <x:c r="V763" s="165"/>
      <x:c r="W763" s="165" t="str">
        <x:v>統合判断</x:v>
      </x:c>
      <x:c r="X763" s="171" t="str">
        <x:v>D3</x:v>
      </x:c>
      <x:c r="Y763" s="165" t="str">
        <x:v>カバ・グラン・レセルバについて関連要因を主因とみなす; カバ・グラン・レセルバについて関連要因を主因とみなす; カバ・グラン・レセルバについて関連要因を主因とみなす</x:v>
      </x:c>
      <x:c r="Z763" s="171" t="str">
        <x:v>Y</x:v>
      </x:c>
      <x:c r="AA763" s="165" t="str">
        <x:v>カバの熟成区分と表示要件は最新規定・教材との最終照合を推奨</x:v>
      </x:c>
      <x:c r="AB763" s="165" t="str">
        <x:v>オリジナル</x:v>
      </x:c>
      <x:c r="AC763" s="165" t="str">
        <x:v>WSET公式Specificationの範囲＋ユーザー作成コーパスの論点を参考に独自作成</x:v>
      </x:c>
      <x:c r="AD763" s="171" t="str">
        <x:v>改稿済み・専門家未承認</x:v>
      </x:c>
      <x:c r="AE763" s="171" t="str">
        <x:v>AI誤答レビュー</x:v>
      </x:c>
      <x:c r="AF763" s="171" t="str">
        <x:v>2026-07-12</x:v>
      </x:c>
      <x:c r="AG763" s="369" t="str">
        <x:v>第5バッチ：使用可能な誤答を維持し、弱い誤答を因果逆転・隣接概念へ置換。正答位置は維持。</x:v>
      </x:c>
    </x:row>
    <x:row r="764" ht="84" customHeight="1">
      <x:c r="A764" s="368" t="str">
        <x:v>LO3-163</x:v>
      </x:c>
      <x:c r="B764" s="171" t="str">
        <x:v>LO3</x:v>
      </x:c>
      <x:c r="C764" s="165" t="str">
        <x:v>世界の主要な発泡性ワイン</x:v>
      </x:c>
      <x:c r="D764" s="165" t="str">
        <x:v>カバの乾燥気候</x:v>
      </x:c>
      <x:c r="E764" s="165" t="str">
        <x:v>カバ主要産地の乾燥した地中海性気候がブドウ栽培に与える利点はどれか。</x:v>
      </x:c>
      <x:c r="F764" s="165" t="str">
        <x:v>日照が多いため酸が高く保たれ、早期収穫の必要がなくなる</x:v>
      </x:c>
      <x:c r="G764" s="165" t="str">
        <x:v>乾燥によって水分競争がなくなり、高収量でも果実が濃縮する</x:v>
      </x:c>
      <x:c r="H764" s="165" t="str">
        <x:v>菌類病が少なく、健全な果実を安定して収穫しやすい</x:v>
      </x:c>
      <x:c r="I764" s="165" t="str">
        <x:v>雨が少ないため成熟が遅れ、潜在アルコールが低くなりやすい</x:v>
      </x:c>
      <x:c r="J764" s="171" t="str">
        <x:v>C</x:v>
      </x:c>
      <x:c r="K764" s="165" t="str">
        <x:v>菌類病が少なく、健全な果実を安定して収穫しやすい</x:v>
      </x:c>
      <x:c r="L764" s="165" t="str">
        <x:v>正しい。乾燥した生育期はべと病や灰色かびなどの菌類病圧を下げ、健全果の確保に有利である。</x:v>
      </x:c>
      <x:c r="M764" s="165" t="str">
        <x:v>誤り。暖かく日照が多い条件では酸が低下しやすく、高い酸を得るため早期収穫や高標高畑が重要になる。</x:v>
      </x:c>
      <x:c r="N764" s="165" t="str">
        <x:v>誤り。乾燥地域では水不足と樹間競争が問題となり、高収量が自動的に濃縮を生むわけではない。</x:v>
      </x:c>
      <x:c r="O764" s="165" t="str">
        <x:v>正しい。乾燥した生育期はべと病や灰色かびなどの菌類病圧を下げ、健全果の確保に有利である。</x:v>
      </x:c>
      <x:c r="P764" s="165" t="str">
        <x:v>誤り。日照と暖かさは成熟を進め、潜在アルコールが高くなる可能性がある。</x:v>
      </x:c>
      <x:c r="Q764" s="165" t="str">
        <x:v>自然要因</x:v>
      </x:c>
      <x:c r="R764" s="165" t="str">
        <x:v>カバ</x:v>
      </x:c>
      <x:c r="S764" s="165" t="str">
        <x:v>発泡性ワイン</x:v>
      </x:c>
      <x:c r="T764" s="165" t="str">
        <x:v>スペイン</x:v>
      </x:c>
      <x:c r="U764" s="165" t="str">
        <x:v>カバ</x:v>
      </x:c>
      <x:c r="V764" s="165"/>
      <x:c r="W764" s="165" t="str">
        <x:v>統合判断</x:v>
      </x:c>
      <x:c r="X764" s="171" t="str">
        <x:v>D3</x:v>
      </x:c>
      <x:c r="Y764" s="165" t="str">
        <x:v>日照が酸を高く保つ; 乾燥なら水分競争なし; 乾燥・日照で成熟が遅れる</x:v>
      </x:c>
      <x:c r="Z764" s="171" t="str">
        <x:v>N</x:v>
      </x:c>
      <x:c r="AA764" s="165"/>
      <x:c r="AB764" s="165" t="str">
        <x:v>オリジナル</x:v>
      </x:c>
      <x:c r="AC764" s="165" t="str">
        <x:v>WSET公式Specificationの範囲＋ユーザー作成コーパスの論点を参考に独自作成</x:v>
      </x:c>
      <x:c r="AD764" s="171" t="str">
        <x:v>改稿済み・専門家未承認</x:v>
      </x:c>
      <x:c r="AE764" s="171" t="str">
        <x:v>AI誤答レビュー</x:v>
      </x:c>
      <x:c r="AF764" s="171" t="str">
        <x:v>2026-07-12</x:v>
      </x:c>
      <x:c r="AG764" s="369" t="str">
        <x:v>誤答を同一論点内の典型的誤概念へ置換。900問本体への反映前に専門家確認推奨。</x:v>
      </x:c>
    </x:row>
    <x:row r="765" ht="84" customHeight="1">
      <x:c r="A765" s="368" t="str">
        <x:v>LO3-164</x:v>
      </x:c>
      <x:c r="B765" s="171" t="str">
        <x:v>LO3</x:v>
      </x:c>
      <x:c r="C765" s="165" t="str">
        <x:v>世界の主要な発泡性ワイン</x:v>
      </x:c>
      <x:c r="D765" s="165" t="str">
        <x:v>カバの収穫</x:v>
      </x:c>
      <x:c r="E765" s="165" t="str">
        <x:v>高品質カバ用ブドウを手摘みして小箱で運ぶ利点はどれか。</x:v>
      </x:c>
      <x:c r="F765" s="165" t="str">
        <x:v>手摘みは機械より低コスト</x:v>
      </x:c>
      <x:c r="G765" s="165" t="str">
        <x:v>手摘みで二次発酵が不要になる</x:v>
      </x:c>
      <x:c r="H765" s="165" t="str">
        <x:v>手摘みで残糖を増やす</x:v>
      </x:c>
      <x:c r="I765" s="165" t="str">
        <x:v>果房の破損と酸化を抑え、白い果汁へ色やタンニンが移るのを防ぐ</x:v>
      </x:c>
      <x:c r="J765" s="171" t="str">
        <x:v>D</x:v>
      </x:c>
      <x:c r="K765" s="165" t="str">
        <x:v>果房の破損と酸化を抑え、白い果汁へ色やタンニンが移るのを防ぐ</x:v>
      </x:c>
      <x:c r="L765" s="165" t="str">
        <x:v>正しい。健全な高酸果実を低温のまま圧搾所へ運び、繊細なベースワインを得る。</x:v>
      </x:c>
      <x:c r="M765" s="165" t="str">
        <x:v>誤り。労働集約的で高コストである。</x:v>
      </x:c>
      <x:c r="N765" s="165" t="str">
        <x:v>誤り。発泡化には二次発酵が必要である。</x:v>
      </x:c>
      <x:c r="O765" s="165" t="str">
        <x:v>誤り。収穫方法は糖量を直接増やさない。</x:v>
      </x:c>
      <x:c r="P765" s="165" t="str">
        <x:v>正しい。健全な高酸果実を低温のまま圧搾所へ運び、繊細なベースワインを得る。</x:v>
      </x:c>
      <x:c r="Q765" s="165" t="str">
        <x:v>栽培</x:v>
      </x:c>
      <x:c r="R765" s="165" t="str">
        <x:v>カバ</x:v>
      </x:c>
      <x:c r="S765" s="165" t="str">
        <x:v>発泡性ワイン</x:v>
      </x:c>
      <x:c r="T765" s="165" t="str">
        <x:v>スペイン</x:v>
      </x:c>
      <x:c r="U765" s="165" t="str">
        <x:v>カバ</x:v>
      </x:c>
      <x:c r="V765" s="165"/>
      <x:c r="W765" s="165" t="str">
        <x:v>因果説明</x:v>
      </x:c>
      <x:c r="X765" s="171" t="str">
        <x:v>D2</x:v>
      </x:c>
      <x:c r="Y765" s="165" t="str">
        <x:v>カバの収穫について関連要因を主因とみなす; カバの収穫について関連要因を主因とみなす; カバの収穫について関連要因を主因とみなす</x:v>
      </x:c>
      <x:c r="Z765" s="171" t="str">
        <x:v>N</x:v>
      </x:c>
      <x:c r="AA765" s="165"/>
      <x:c r="AB765" s="165" t="str">
        <x:v>オリジナル</x:v>
      </x:c>
      <x:c r="AC765" s="165" t="str">
        <x:v>WSET公式Specificationの範囲＋ユーザー作成コーパスの論点を参考に独自作成</x:v>
      </x:c>
      <x:c r="AD765" s="171" t="str">
        <x:v>改稿済み・専門家未承認</x:v>
      </x:c>
      <x:c r="AE765" s="171" t="str">
        <x:v>AI誤答レビュー</x:v>
      </x:c>
      <x:c r="AF765" s="171" t="str">
        <x:v>2026-07-12</x:v>
      </x:c>
      <x:c r="AG765" s="369" t="str">
        <x:v>第5バッチ：使用可能な誤答を維持し、弱い誤答を因果逆転・隣接概念へ置換。正答位置は維持。</x:v>
      </x:c>
    </x:row>
    <x:row r="766" ht="84" customHeight="1">
      <x:c r="A766" s="368" t="str">
        <x:v>LO3-165</x:v>
      </x:c>
      <x:c r="B766" s="171" t="str">
        <x:v>LO3</x:v>
      </x:c>
      <x:c r="C766" s="165" t="str">
        <x:v>世界の主要な発泡性ワイン</x:v>
      </x:c>
      <x:c r="D766" s="165" t="str">
        <x:v>カルティッツェ</x:v>
      </x:c>
      <x:c r="E766" s="165" t="str">
        <x:v>カルティッツェのプロセッコが一般的なDOCより高価になりやすい主な理由はどれか。</x:v>
      </x:c>
      <x:c r="F766" s="165" t="str">
        <x:v>限られた急斜面の優良区画で手作業が多く、ブドウの需要と希少性が高い</x:v>
      </x:c>
      <x:c r="G766" s="165" t="str">
        <x:v>平地で完全機械化されるため</x:v>
      </x:c>
      <x:c r="H766" s="165" t="str">
        <x:v>酒精強化されるため</x:v>
      </x:c>
      <x:c r="I766" s="165" t="str">
        <x:v>瓶内で数十年澱熟成するため</x:v>
      </x:c>
      <x:c r="J766" s="171" t="str">
        <x:v>A</x:v>
      </x:c>
      <x:c r="K766" s="165" t="str">
        <x:v>限られた急斜面の優良区画で手作業が多く、ブドウの需要と希少性が高い</x:v>
      </x:c>
      <x:c r="L766" s="165" t="str">
        <x:v>正しい。日照に恵まれた小区画から熟したグレーラを得る一方、収量と生産量が限られる。</x:v>
      </x:c>
      <x:c r="M766" s="165" t="str">
        <x:v>正しい。日照に恵まれた小区画から熟したグレーラを得る一方、収量と生産量が限られる。</x:v>
      </x:c>
      <x:c r="N766" s="165" t="str">
        <x:v>誤り。急斜面で手作業が多い。</x:v>
      </x:c>
      <x:c r="O766" s="165" t="str">
        <x:v>誤り。プロセッコは酒精強化ワインではない。</x:v>
      </x:c>
      <x:c r="P766" s="165" t="str">
        <x:v>誤り。通常はタンク方式で果実香を重視する。</x:v>
      </x:c>
      <x:c r="Q766" s="165" t="str">
        <x:v>商業・価格</x:v>
      </x:c>
      <x:c r="R766" s="165" t="str">
        <x:v>プロセッコ</x:v>
      </x:c>
      <x:c r="S766" s="165" t="str">
        <x:v>発泡性ワイン</x:v>
      </x:c>
      <x:c r="T766" s="165" t="str">
        <x:v>イタリア</x:v>
      </x:c>
      <x:c r="U766" s="165" t="str">
        <x:v>カルティッツェ</x:v>
      </x:c>
      <x:c r="V766" s="165" t="str">
        <x:v>グレーラ</x:v>
      </x:c>
      <x:c r="W766" s="165" t="str">
        <x:v>統合判断</x:v>
      </x:c>
      <x:c r="X766" s="171" t="str">
        <x:v>D3</x:v>
      </x:c>
      <x:c r="Y766" s="165" t="str">
        <x:v>カルティッツェについて関連要因を主因とみなす; カルティッツェについて関連要因を主因とみなす; カルティッツェについて関連要因を主因とみなす</x:v>
      </x:c>
      <x:c r="Z766" s="171" t="str">
        <x:v>Y</x:v>
      </x:c>
      <x:c r="AA766" s="165" t="str">
        <x:v>Cartizzeの現行表示・地理区分を最新規定と教材で最終照合推奨</x:v>
      </x:c>
      <x:c r="AB766" s="165" t="str">
        <x:v>オリジナル</x:v>
      </x:c>
      <x:c r="AC766" s="165" t="str">
        <x:v>WSET公式Specificationの範囲＋ユーザー作成コーパスの論点を参考に独自作成</x:v>
      </x:c>
      <x:c r="AD766" s="171" t="str">
        <x:v>改稿済み・専門家未承認</x:v>
      </x:c>
      <x:c r="AE766" s="171" t="str">
        <x:v>AI誤答レビュー</x:v>
      </x:c>
      <x:c r="AF766" s="171" t="str">
        <x:v>2026-07-12</x:v>
      </x:c>
      <x:c r="AG766" s="369" t="str">
        <x:v>第5バッチ：使用可能な誤答を維持し、弱い誤答を因果逆転・隣接概念へ置換。正答位置は維持。</x:v>
      </x:c>
    </x:row>
    <x:row r="767" ht="84" customHeight="1">
      <x:c r="A767" s="368" t="str">
        <x:v>LO3-166</x:v>
      </x:c>
      <x:c r="B767" s="171" t="str">
        <x:v>LO3</x:v>
      </x:c>
      <x:c r="C767" s="165" t="str">
        <x:v>世界の主要な発泡性ワイン</x:v>
      </x:c>
      <x:c r="D767" s="165" t="str">
        <x:v>リーヴェ</x:v>
      </x:c>
      <x:c r="E767" s="165" t="str">
        <x:v>プロセッコDOCGの「リーヴェ」表示が示すものとして最も適切なものはどれか。</x:v>
      </x:c>
      <x:c r="F767" s="165" t="str">
        <x:v>無アルコールの表示</x:v>
      </x:c>
      <x:c r="G767" s="165" t="str">
        <x:v>特定の村または斜面由来のブドウを用い、産地の個性を示すワイン</x:v>
      </x:c>
      <x:c r="H767" s="165" t="str">
        <x:v>炭酸ガス注入方式の名称</x:v>
      </x:c>
      <x:c r="I767" s="165" t="str">
        <x:v>残糖が最も高い甘味区分</x:v>
      </x:c>
      <x:c r="J767" s="171" t="str">
        <x:v>B</x:v>
      </x:c>
      <x:c r="K767" s="165" t="str">
        <x:v>特定の村または斜面由来のブドウを用い、産地の個性を示すワイン</x:v>
      </x:c>
      <x:c r="L767" s="165" t="str">
        <x:v>正しい。急斜面の小区画を区別し、収穫年と地域性を前面に出す上位スタイルである。</x:v>
      </x:c>
      <x:c r="M767" s="165" t="str">
        <x:v>誤り。通常の発泡性ワインである。</x:v>
      </x:c>
      <x:c r="N767" s="165" t="str">
        <x:v>正しい。急斜面の小区画を区別し、収穫年と地域性を前面に出す上位スタイルである。</x:v>
      </x:c>
      <x:c r="O767" s="165" t="str">
        <x:v>誤り。製法名ではない。</x:v>
      </x:c>
      <x:c r="P767" s="165" t="str">
        <x:v>誤り。地理的な表示であり甘味区分ではない。</x:v>
      </x:c>
      <x:c r="Q767" s="165" t="str">
        <x:v>法律・表示</x:v>
      </x:c>
      <x:c r="R767" s="165" t="str">
        <x:v>プロセッコ</x:v>
      </x:c>
      <x:c r="S767" s="165" t="str">
        <x:v>発泡性ワイン</x:v>
      </x:c>
      <x:c r="T767" s="165" t="str">
        <x:v>イタリア</x:v>
      </x:c>
      <x:c r="U767" s="165" t="str">
        <x:v>コネリアーノ・ヴァルドッビアーデネ</x:v>
      </x:c>
      <x:c r="V767" s="165" t="str">
        <x:v>グレーラ</x:v>
      </x:c>
      <x:c r="W767" s="165" t="str">
        <x:v>知識確認</x:v>
      </x:c>
      <x:c r="X767" s="171" t="str">
        <x:v>D2</x:v>
      </x:c>
      <x:c r="Y767" s="165" t="str">
        <x:v>リーヴェについて関連要因を主因とみなす; リーヴェについて関連要因を主因とみなす; リーヴェについて関連要因を主因とみなす</x:v>
      </x:c>
      <x:c r="Z767" s="171" t="str">
        <x:v>Y</x:v>
      </x:c>
      <x:c r="AA767" s="165" t="str">
        <x:v>Riveの現行表示条件を最新規定・教材と最終照合推奨</x:v>
      </x:c>
      <x:c r="AB767" s="165" t="str">
        <x:v>オリジナル</x:v>
      </x:c>
      <x:c r="AC767" s="165" t="str">
        <x:v>WSET公式Specificationの範囲＋ユーザー作成コーパスの論点を参考に独自作成</x:v>
      </x:c>
      <x:c r="AD767" s="171" t="str">
        <x:v>改稿済み・専門家未承認</x:v>
      </x:c>
      <x:c r="AE767" s="171" t="str">
        <x:v>AI誤答レビュー</x:v>
      </x:c>
      <x:c r="AF767" s="171" t="str">
        <x:v>2026-07-12</x:v>
      </x:c>
      <x:c r="AG767" s="369" t="str">
        <x:v>第5バッチ：使用可能な誤答を維持し、弱い誤答を因果逆転・隣接概念へ置換。正答位置は維持。</x:v>
      </x:c>
    </x:row>
    <x:row r="768" ht="84" customHeight="1">
      <x:c r="A768" s="368" t="str">
        <x:v>LO3-167</x:v>
      </x:c>
      <x:c r="B768" s="171" t="str">
        <x:v>LO3</x:v>
      </x:c>
      <x:c r="C768" s="165" t="str">
        <x:v>世界の主要な発泡性ワイン</x:v>
      </x:c>
      <x:c r="D768" s="165" t="str">
        <x:v>プロセッコ・ロゼ</x:v>
      </x:c>
      <x:c r="E768" s="165" t="str">
        <x:v>プロセッコ・ロゼで色と赤系果実の風味を与える品種はどれか。</x:v>
      </x:c>
      <x:c r="F768" s="165" t="str">
        <x:v>トウリガ・ナシオナル</x:v>
      </x:c>
      <x:c r="G768" s="165" t="str">
        <x:v>シャルドネを加え、柑橘と高い酸を補う</x:v>
      </x:c>
      <x:c r="H768" s="165" t="str">
        <x:v>ピノ・ノワール</x:v>
      </x:c>
      <x:c r="I768" s="165" t="str">
        <x:v>ランブルスコを加え、濃い色と高いタンニンを得る</x:v>
      </x:c>
      <x:c r="J768" s="171" t="str">
        <x:v>C</x:v>
      </x:c>
      <x:c r="K768" s="165" t="str">
        <x:v>ピノ・ノワール</x:v>
      </x:c>
      <x:c r="L768" s="165" t="str">
        <x:v>正しい。グレーラ主体の白ベースへピノ・ノワールを加え、淡いロゼ色と赤い果実の香りを持たせる。</x:v>
      </x:c>
      <x:c r="M768" s="165" t="str">
        <x:v>誤り。ポートの主要品種である。</x:v>
      </x:c>
      <x:c r="N768" s="165" t="str">
        <x:v>誤り。プロセッコ・ロゼの色と赤系果実は主にピノ・ネロから得る。</x:v>
      </x:c>
      <x:c r="O768" s="165" t="str">
        <x:v>正しい。グレーラ主体の白ベースへピノ・ノワールを加え、淡いロゼ色と赤い果実の香りを持たせる。</x:v>
      </x:c>
      <x:c r="P768" s="165" t="str">
        <x:v>誤り。規定される黒品種はピノ・ネロで、ランブルスコではない。</x:v>
      </x:c>
      <x:c r="Q768" s="165" t="str">
        <x:v>品種</x:v>
      </x:c>
      <x:c r="R768" s="165" t="str">
        <x:v>プロセッコ</x:v>
      </x:c>
      <x:c r="S768" s="165" t="str">
        <x:v>ロゼ発泡性ワイン</x:v>
      </x:c>
      <x:c r="T768" s="165" t="str">
        <x:v>イタリア</x:v>
      </x:c>
      <x:c r="U768" s="165" t="str">
        <x:v>プロセッコ</x:v>
      </x:c>
      <x:c r="V768" s="165" t="str">
        <x:v>グレーラ、ピノ・ノワール</x:v>
      </x:c>
      <x:c r="W768" s="165" t="str">
        <x:v>知識確認</x:v>
      </x:c>
      <x:c r="X768" s="171" t="str">
        <x:v>D1</x:v>
      </x:c>
      <x:c r="Y768" s="165" t="str">
        <x:v>プロセッコ・ロゼについて関連要因を主因とみなす; プロセッコ・ロゼの着色品種をシャルドネと混同; プロセッコ・ロゼへランブルスコを用いる</x:v>
      </x:c>
      <x:c r="Z768" s="171" t="str">
        <x:v>Y</x:v>
      </x:c>
      <x:c r="AA768" s="165" t="str">
        <x:v>Prosecco Roséの現行品種比率・表示条件を最新規定と照合推奨</x:v>
      </x:c>
      <x:c r="AB768" s="165" t="str">
        <x:v>オリジナル</x:v>
      </x:c>
      <x:c r="AC768" s="165" t="str">
        <x:v>WSET公式Specificationの範囲＋ユーザー作成コーパスの論点を参考に独自作成</x:v>
      </x:c>
      <x:c r="AD768" s="171" t="str">
        <x:v>改稿済み・専門家未承認</x:v>
      </x:c>
      <x:c r="AE768" s="171" t="str">
        <x:v>AI誤答レビュー</x:v>
      </x:c>
      <x:c r="AF768" s="171" t="str">
        <x:v>2026-07-12</x:v>
      </x:c>
      <x:c r="AG768" s="369" t="str">
        <x:v>第5バッチ：使用可能な誤答を維持し、弱い誤答を因果逆転・隣接概念へ置換。正答位置は維持。</x:v>
      </x:c>
    </x:row>
    <x:row r="769" ht="84" customHeight="1">
      <x:c r="A769" s="368" t="str">
        <x:v>LO3-168</x:v>
      </x:c>
      <x:c r="B769" s="171" t="str">
        <x:v>LO3</x:v>
      </x:c>
      <x:c r="C769" s="165" t="str">
        <x:v>世界の主要な発泡性ワイン</x:v>
      </x:c>
      <x:c r="D769" s="165" t="str">
        <x:v>アスティとモスカート・ダスティの泡</x:v>
      </x:c>
      <x:c r="E769" s="165" t="str">
        <x:v>アスティがモスカート・ダスティより強い発泡性を持つ主な理由はどれか。</x:v>
      </x:c>
      <x:c r="F769" s="165" t="str">
        <x:v>アスティはモスカート・ダスティより発酵を早く止めるため、圧力が高い</x:v>
      </x:c>
      <x:c r="G769" s="165" t="str">
        <x:v>アスティだけが瓶内二次発酵し、モスカート・ダスティはタンク発酵だから</x:v>
      </x:c>
      <x:c r="H769" s="165" t="str">
        <x:v>アスティの方が残糖が低く、糖が泡へ変わるため</x:v>
      </x:c>
      <x:c r="I769" s="165" t="str">
        <x:v>発酵をより高い圧力まで進めてから冷却・濾過するため</x:v>
      </x:c>
      <x:c r="J769" s="171" t="str">
        <x:v>D</x:v>
      </x:c>
      <x:c r="K769" s="165" t="str">
        <x:v>発酵をより高い圧力まで進めてから冷却・濾過するため</x:v>
      </x:c>
      <x:c r="L769" s="165" t="str">
        <x:v>正しい。アスティはより多くのCO2を生成・保持してから発酵を止める。</x:v>
      </x:c>
      <x:c r="M769" s="165" t="str">
        <x:v>誤り。より高い圧力まで発酵を進めるのがアスティであり、早く止めるのではない。</x:v>
      </x:c>
      <x:c r="N769" s="165" t="str">
        <x:v>誤り。両方とも一般にタンク内の発酵を管理する。</x:v>
      </x:c>
      <x:c r="O769" s="165" t="str">
        <x:v>誤り。圧力差は発酵停止時点で決まり、残糖が低いこと自体が泡になるわけではない。</x:v>
      </x:c>
      <x:c r="P769" s="165" t="str">
        <x:v>正しい。アスティはより多くのCO2を生成・保持してから発酵を止める。</x:v>
      </x:c>
      <x:c r="Q769" s="165" t="str">
        <x:v>発泡性ワイン製法</x:v>
      </x:c>
      <x:c r="R769" s="165" t="str">
        <x:v>アスティ</x:v>
      </x:c>
      <x:c r="S769" s="165" t="str">
        <x:v>甘口発泡性ワイン</x:v>
      </x:c>
      <x:c r="T769" s="165" t="str">
        <x:v>イタリア</x:v>
      </x:c>
      <x:c r="U769" s="165" t="str">
        <x:v>アスティ</x:v>
      </x:c>
      <x:c r="V769" s="165" t="str">
        <x:v>モスカート・ビアンコ</x:v>
      </x:c>
      <x:c r="W769" s="165" t="str">
        <x:v>比較</x:v>
      </x:c>
      <x:c r="X769" s="171" t="str">
        <x:v>D2</x:v>
      </x:c>
      <x:c r="Y769" s="165" t="str">
        <x:v>アスティは早く発酵停止するから高圧; アスティは瓶内二次発酵; 低残糖が泡へ変わる</x:v>
      </x:c>
      <x:c r="Z769" s="171" t="str">
        <x:v>N</x:v>
      </x:c>
      <x:c r="AA769" s="165"/>
      <x:c r="AB769" s="165" t="str">
        <x:v>オリジナル</x:v>
      </x:c>
      <x:c r="AC769" s="165" t="str">
        <x:v>WSET公式Specificationの範囲＋ユーザー作成コーパスの論点を参考に独自作成</x:v>
      </x:c>
      <x:c r="AD769" s="171" t="str">
        <x:v>改稿済み・専門家未承認</x:v>
      </x:c>
      <x:c r="AE769" s="171" t="str">
        <x:v>AI誤答レビュー</x:v>
      </x:c>
      <x:c r="AF769" s="171" t="str">
        <x:v>2026-07-12</x:v>
      </x:c>
      <x:c r="AG769" s="369" t="str">
        <x:v>第4バッチ：同一論点内の典型的誤概念へ置換。正答位置は維持。</x:v>
      </x:c>
    </x:row>
    <x:row r="770" ht="84" customHeight="1">
      <x:c r="A770" s="368" t="str">
        <x:v>LO3-169</x:v>
      </x:c>
      <x:c r="B770" s="171" t="str">
        <x:v>LO3</x:v>
      </x:c>
      <x:c r="C770" s="165" t="str">
        <x:v>世界の主要な発泡性ワイン</x:v>
      </x:c>
      <x:c r="D770" s="165" t="str">
        <x:v>アスティ用果汁の保存</x:v>
      </x:c>
      <x:c r="E770" s="165" t="str">
        <x:v>アスティ生産で収穫後の果汁を冷却保存する主な理由はどれか。</x:v>
      </x:c>
      <x:c r="F770" s="165" t="str">
        <x:v>需要に合わせて年間を通じて発酵し、フレッシュな品種香を保つため</x:v>
      </x:c>
      <x:c r="G770" s="165" t="str">
        <x:v>冷却保存中に果汁の糖をゆっくり発酵し、低糖のベースを作る</x:v>
      </x:c>
      <x:c r="H770" s="165" t="str">
        <x:v>冷却中に果汁の糖をアルコールへゆっくり変換するため</x:v>
      </x:c>
      <x:c r="I770" s="165" t="str">
        <x:v>果汁を酸化させ、ナッツ香を加えてから発酵するため</x:v>
      </x:c>
      <x:c r="J770" s="171" t="str">
        <x:v>A</x:v>
      </x:c>
      <x:c r="K770" s="165" t="str">
        <x:v>需要に合わせて年間を通じて発酵し、フレッシュな品種香を保つため</x:v>
      </x:c>
      <x:c r="L770" s="165" t="str">
        <x:v>正しい。低温で酵母活動を抑え、必要時にタンク発酵を開始できる。</x:v>
      </x:c>
      <x:c r="M770" s="165" t="str">
        <x:v>正しい。低温で酵母活動を抑え、必要時にタンク発酵を開始できる。</x:v>
      </x:c>
      <x:c r="N770" s="165" t="str">
        <x:v>誤り。冷却で酵母活動を抑え、糖と品種香を保つ。</x:v>
      </x:c>
      <x:c r="O770" s="165" t="str">
        <x:v>誤り。冷却は酵母活動を止め、未発酵状態を保つ。</x:v>
      </x:c>
      <x:c r="P770" s="165" t="str">
        <x:v>誤り。マスカットの新鮮な芳香を保護する。</x:v>
      </x:c>
      <x:c r="Q770" s="165" t="str">
        <x:v>発泡性ワイン製法</x:v>
      </x:c>
      <x:c r="R770" s="165" t="str">
        <x:v>アスティ</x:v>
      </x:c>
      <x:c r="S770" s="165" t="str">
        <x:v>甘口発泡性ワイン</x:v>
      </x:c>
      <x:c r="T770" s="165" t="str">
        <x:v>イタリア</x:v>
      </x:c>
      <x:c r="U770" s="165" t="str">
        <x:v>アスティ</x:v>
      </x:c>
      <x:c r="V770" s="165" t="str">
        <x:v>モスカート・ビアンコ</x:v>
      </x:c>
      <x:c r="W770" s="165" t="str">
        <x:v>因果説明</x:v>
      </x:c>
      <x:c r="X770" s="171" t="str">
        <x:v>D2</x:v>
      </x:c>
      <x:c r="Y770" s="165" t="str">
        <x:v>冷却保存中にアスティ果汁を発酵させる; 冷却保存中にゆっくり発酵する; 冷却保存は酸化熟成のため</x:v>
      </x:c>
      <x:c r="Z770" s="171" t="str">
        <x:v>N</x:v>
      </x:c>
      <x:c r="AA770" s="165"/>
      <x:c r="AB770" s="165" t="str">
        <x:v>オリジナル</x:v>
      </x:c>
      <x:c r="AC770" s="165" t="str">
        <x:v>WSET公式Specificationの範囲＋ユーザー作成コーパスの論点を参考に独自作成</x:v>
      </x:c>
      <x:c r="AD770" s="171" t="str">
        <x:v>改稿済み・専門家未承認</x:v>
      </x:c>
      <x:c r="AE770" s="171" t="str">
        <x:v>AI誤答レビュー</x:v>
      </x:c>
      <x:c r="AF770" s="171" t="str">
        <x:v>2026-07-12</x:v>
      </x:c>
      <x:c r="AG770" s="369" t="str">
        <x:v>第4バッチ：同一論点内の典型的誤概念へ置換。正答位置は維持。</x:v>
      </x:c>
    </x:row>
    <x:row r="771" ht="84" customHeight="1">
      <x:c r="A771" s="368" t="str">
        <x:v>LO3-170</x:v>
      </x:c>
      <x:c r="B771" s="171" t="str">
        <x:v>LO3</x:v>
      </x:c>
      <x:c r="C771" s="165" t="str">
        <x:v>世界の主要な発泡性ワイン</x:v>
      </x:c>
      <x:c r="D771" s="165" t="str">
        <x:v>一般的なゼクト</x:v>
      </x:c>
      <x:c r="E771" s="165" t="str">
        <x:v>低価格の一般的なゼクトで輸入ベースワインが用いられる主な理由はどれか。</x:v>
      </x:c>
      <x:c r="F771" s="165" t="str">
        <x:v>大量に安定した価格で原料を確保し、伝統的方式で一貫した製品を造れる</x:v>
      </x:c>
      <x:c r="G771" s="165" t="str">
        <x:v>大量に安定した価格で原料を確保し、タンク方式で一貫した製品を造れる</x:v>
      </x:c>
      <x:c r="H771" s="165" t="str">
        <x:v>輸入ベースワインはドイツ産より高酸で、長期瓶熟成に適するため</x:v>
      </x:c>
      <x:c r="I771" s="165" t="str">
        <x:v>ドイツでは発泡性用ブドウを栽培できないため</x:v>
      </x:c>
      <x:c r="J771" s="171" t="str">
        <x:v>B</x:v>
      </x:c>
      <x:c r="K771" s="165" t="str">
        <x:v>大量に安定した価格で原料を確保し、タンク方式で一貫した製品を造れる</x:v>
      </x:c>
      <x:c r="L771" s="165" t="str">
        <x:v>正しい。輸入ワインを用いて低価格帯のブランドスタイルを大量生産できる。</x:v>
      </x:c>
      <x:c r="M771" s="165" t="str">
        <x:v>誤り。正答では「タンク方式」ことが重要であり、この選択肢は「伝統的方式」へ置き換えて関係を逆にしている。</x:v>
      </x:c>
      <x:c r="N771" s="165" t="str">
        <x:v>正しい。輸入ワインを用いて低価格帯のブランドスタイルを大量生産できる。</x:v>
      </x:c>
      <x:c r="O771" s="165" t="str">
        <x:v>誤り。低価格一般ゼクトの主因はコストと供給安定性。</x:v>
      </x:c>
      <x:c r="P771" s="165" t="str">
        <x:v>誤り。ドイツ産ブドウのゼクトも多い。</x:v>
      </x:c>
      <x:c r="Q771" s="165" t="str">
        <x:v>商業・価格</x:v>
      </x:c>
      <x:c r="R771" s="165" t="str">
        <x:v>ゼクト</x:v>
      </x:c>
      <x:c r="S771" s="165" t="str">
        <x:v>発泡性ワイン</x:v>
      </x:c>
      <x:c r="T771" s="165" t="str">
        <x:v>ドイツ</x:v>
      </x:c>
      <x:c r="U771" s="165" t="str">
        <x:v>ドイツ</x:v>
      </x:c>
      <x:c r="V771" s="165"/>
      <x:c r="W771" s="165" t="str">
        <x:v>統合判断</x:v>
      </x:c>
      <x:c r="X771" s="171" t="str">
        <x:v>D3</x:v>
      </x:c>
      <x:c r="Y771" s="165" t="str">
        <x:v>「タンク方式」と「伝統的方式」の関係を逆転; 輸入原料は高酸長期熟成向きだから使う; ドイツでは発泡性用ブドウを栽培できない</x:v>
      </x:c>
      <x:c r="Z771" s="171" t="str">
        <x:v>N</x:v>
      </x:c>
      <x:c r="AA771" s="165"/>
      <x:c r="AB771" s="165" t="str">
        <x:v>オリジナル</x:v>
      </x:c>
      <x:c r="AC771" s="165" t="str">
        <x:v>WSET公式Specificationの範囲＋ユーザー作成コーパスの論点を参考に独自作成</x:v>
      </x:c>
      <x:c r="AD771" s="171" t="str">
        <x:v>改稿済み・専門家未承認</x:v>
      </x:c>
      <x:c r="AE771" s="171" t="str">
        <x:v>AI誤答レビュー</x:v>
      </x:c>
      <x:c r="AF771" s="171" t="str">
        <x:v>2026-07-12</x:v>
      </x:c>
      <x:c r="AG771" s="369" t="str">
        <x:v>第4バッチ：同一論点内の典型的誤概念へ置換。正答位置は維持。</x:v>
      </x:c>
    </x:row>
    <x:row r="772" ht="84" customHeight="1">
      <x:c r="A772" s="368" t="str">
        <x:v>LO3-171</x:v>
      </x:c>
      <x:c r="B772" s="171" t="str">
        <x:v>LO3</x:v>
      </x:c>
      <x:c r="C772" s="165" t="str">
        <x:v>世界の主要な発泡性ワイン</x:v>
      </x:c>
      <x:c r="D772" s="165" t="str">
        <x:v>ドイチャー・ゼクト</x:v>
      </x:c>
      <x:c r="E772" s="165" t="str">
        <x:v>ドイチャー・ゼクトが一般的なゼクトより産地情報を多く伝える理由はどれか。</x:v>
      </x:c>
      <x:c r="F772" s="165" t="str">
        <x:v>無アルコールを示すから</x:v>
      </x:c>
      <x:c r="G772" s="165" t="str">
        <x:v>最も甘い区分を示すから</x:v>
      </x:c>
      <x:c r="H772" s="165" t="str">
        <x:v>ベースとなるブドウがドイツ産であることを示すため</x:v>
      </x:c>
      <x:c r="I772" s="165" t="str">
        <x:v>単一畑の伝統的方式だから</x:v>
      </x:c>
      <x:c r="J772" s="171" t="str">
        <x:v>C</x:v>
      </x:c>
      <x:c r="K772" s="165" t="str">
        <x:v>ベースとなるブドウがドイツ産であることを示すため</x:v>
      </x:c>
      <x:c r="L772" s="165" t="str">
        <x:v>正しい。輸入ワインをドイツで発泡化した製品と区別でき、品種や地域の個性を訴求しやすい。</x:v>
      </x:c>
      <x:c r="M772" s="165" t="str">
        <x:v>誤り。通常の発泡性ワインである。</x:v>
      </x:c>
      <x:c r="N772" s="165" t="str">
        <x:v>誤り。原料産地の表示であり甘味区分ではない。</x:v>
      </x:c>
      <x:c r="O772" s="165" t="str">
        <x:v>正しい。輸入ワインをドイツで発泡化した製品と区別でき、品種や地域の個性を訴求しやすい。</x:v>
      </x:c>
      <x:c r="P772" s="165" t="str">
        <x:v>誤り。ドイツ産を示すが、製法や畑は別条件である。</x:v>
      </x:c>
      <x:c r="Q772" s="165" t="str">
        <x:v>法律・表示</x:v>
      </x:c>
      <x:c r="R772" s="165" t="str">
        <x:v>ゼクト</x:v>
      </x:c>
      <x:c r="S772" s="165" t="str">
        <x:v>発泡性ワイン</x:v>
      </x:c>
      <x:c r="T772" s="165" t="str">
        <x:v>ドイツ</x:v>
      </x:c>
      <x:c r="U772" s="165" t="str">
        <x:v>ドイツ</x:v>
      </x:c>
      <x:c r="V772" s="165"/>
      <x:c r="W772" s="165" t="str">
        <x:v>比較</x:v>
      </x:c>
      <x:c r="X772" s="171" t="str">
        <x:v>D2</x:v>
      </x:c>
      <x:c r="Y772" s="165" t="str">
        <x:v>ドイチャー・ゼクトについて関連要因を主因とみなす; ドイチャー・ゼクトについて関連要因を主因とみなす; ドイチャー・ゼクトについて関連要因を主因とみなす</x:v>
      </x:c>
      <x:c r="Z772" s="171" t="str">
        <x:v>Y</x:v>
      </x:c>
      <x:c r="AA772" s="165" t="str">
        <x:v>Deutscher Sektの現行表示要件を最新教材と照合推奨</x:v>
      </x:c>
      <x:c r="AB772" s="165" t="str">
        <x:v>オリジナル</x:v>
      </x:c>
      <x:c r="AC772" s="165" t="str">
        <x:v>WSET公式Specificationの範囲＋ユーザー作成コーパスの論点を参考に独自作成</x:v>
      </x:c>
      <x:c r="AD772" s="171" t="str">
        <x:v>改稿済み・専門家未承認</x:v>
      </x:c>
      <x:c r="AE772" s="171" t="str">
        <x:v>AI誤答レビュー</x:v>
      </x:c>
      <x:c r="AF772" s="171" t="str">
        <x:v>2026-07-12</x:v>
      </x:c>
      <x:c r="AG772" s="369" t="str">
        <x:v>第5バッチ：使用可能な誤答を維持し、弱い誤答を因果逆転・隣接概念へ置換。正答位置は維持。</x:v>
      </x:c>
    </x:row>
    <x:row r="773" ht="84" customHeight="1">
      <x:c r="A773" s="368" t="str">
        <x:v>LO3-172</x:v>
      </x:c>
      <x:c r="B773" s="171" t="str">
        <x:v>LO3</x:v>
      </x:c>
      <x:c r="C773" s="165" t="str">
        <x:v>世界の主要な発泡性ワイン</x:v>
      </x:c>
      <x:c r="D773" s="165" t="str">
        <x:v>温暖化とシャンパーニュ</x:v>
      </x:c>
      <x:c r="E773" s="165" t="str">
        <x:v>気候温暖化が、シャンパーニュのベースワインへ与え得る変化として最も適切なものはどれか。</x:v>
      </x:c>
      <x:c r="F773" s="165" t="str">
        <x:v>糖度と果実の成熟が下がり、酸が高くなり過ぎる</x:v>
      </x:c>
      <x:c r="G773" s="165" t="str">
        <x:v>収穫時期が遅くなり、霜害リスクだけが増える</x:v>
      </x:c>
      <x:c r="H773" s="165" t="str">
        <x:v>高い酸を保ちやすくなるため、より長く樹上で成熟させられる</x:v>
      </x:c>
      <x:c r="I773" s="165" t="str">
        <x:v>糖度と果実の成熟は高まりやすいが、酸の保持と収穫時期の判断が難しくなる</x:v>
      </x:c>
      <x:c r="J773" s="171" t="str">
        <x:v>D</x:v>
      </x:c>
      <x:c r="K773" s="165" t="str">
        <x:v>糖度と果実の成熟は高まりやすいが、酸の保持と収穫時期の判断が難しくなる</x:v>
      </x:c>
      <x:c r="L773" s="165" t="str">
        <x:v>正しい。熟度向上の利点と、低酸・高アルコールリスクを同時にもたらす。</x:v>
      </x:c>
      <x:c r="M773" s="165" t="str">
        <x:v>誤り。温暖化は一般に糖度と成熟を高め、酸を低下させる方向に働く。</x:v>
      </x:c>
      <x:c r="N773" s="165" t="str">
        <x:v>誤り。収穫は早まる傾向があり、課題は霜だけではない。</x:v>
      </x:c>
      <x:c r="O773" s="165" t="str">
        <x:v>誤り。酸保持は難しくなり、長く樹上へ置けるとは限らない。</x:v>
      </x:c>
      <x:c r="P773" s="165" t="str">
        <x:v>正しい。熟度向上の利点と、低酸・高アルコールリスクを同時にもたらす。</x:v>
      </x:c>
      <x:c r="Q773" s="165" t="str">
        <x:v>自然要因</x:v>
      </x:c>
      <x:c r="R773" s="165" t="str">
        <x:v>気候変動</x:v>
      </x:c>
      <x:c r="S773" s="165" t="str">
        <x:v>発泡性ワイン</x:v>
      </x:c>
      <x:c r="T773" s="165" t="str">
        <x:v>フランス</x:v>
      </x:c>
      <x:c r="U773" s="165" t="str">
        <x:v>シャンパーニュ</x:v>
      </x:c>
      <x:c r="V773" s="165"/>
      <x:c r="W773" s="165" t="str">
        <x:v>統合判断</x:v>
      </x:c>
      <x:c r="X773" s="171" t="str">
        <x:v>D3</x:v>
      </x:c>
      <x:c r="Y773" s="165" t="str">
        <x:v>温暖化で成熟低下・酸過多; 温暖化で収穫遅延・霜だけが問題; 温暖化で酸保持が容易になる</x:v>
      </x:c>
      <x:c r="Z773" s="171" t="str">
        <x:v>N</x:v>
      </x:c>
      <x:c r="AA773" s="165"/>
      <x:c r="AB773" s="165" t="str">
        <x:v>オリジナル</x:v>
      </x:c>
      <x:c r="AC773" s="165" t="str">
        <x:v>WSET公式Specificationの範囲＋ユーザー作成コーパスの論点を参考に独自作成</x:v>
      </x:c>
      <x:c r="AD773" s="171" t="str">
        <x:v>改稿済み・専門家未承認</x:v>
      </x:c>
      <x:c r="AE773" s="171" t="str">
        <x:v>AI誤答レビュー</x:v>
      </x:c>
      <x:c r="AF773" s="171" t="str">
        <x:v>2026-07-12</x:v>
      </x:c>
      <x:c r="AG773" s="369" t="str">
        <x:v>第3バッチ：同一論点内の典型的誤概念へ置換。正答位置は維持。</x:v>
      </x:c>
    </x:row>
    <x:row r="774" ht="84" customHeight="1">
      <x:c r="A774" s="368" t="str">
        <x:v>LO3-173</x:v>
      </x:c>
      <x:c r="B774" s="171" t="str">
        <x:v>LO3</x:v>
      </x:c>
      <x:c r="C774" s="165" t="str">
        <x:v>世界の主要な発泡性ワイン</x:v>
      </x:c>
      <x:c r="D774" s="165" t="str">
        <x:v>キャップ・クラシックのシュナン</x:v>
      </x:c>
      <x:c r="E774" s="165" t="str">
        <x:v>キャップ・クラシックにシュナン・ブランを用いる場合の主な利点はどれか。</x:v>
      </x:c>
      <x:c r="F774" s="165" t="str">
        <x:v>高い酸とリンゴ・カリンの果実味を与え、温暖な地域でも鮮度を保てる</x:v>
      </x:c>
      <x:c r="G774" s="165" t="str">
        <x:v>高いタンニンと深い色を与え、ピノ・ノワールの役割を置き換える</x:v>
      </x:c>
      <x:c r="H774" s="165" t="str">
        <x:v>残糖が高くなりやすいため、ドザージュを使わず甘口にできる</x:v>
      </x:c>
      <x:c r="I774" s="165" t="str">
        <x:v>品種香が非常に弱いため、澱熟成香だけを表現できる</x:v>
      </x:c>
      <x:c r="J774" s="171" t="str">
        <x:v>A</x:v>
      </x:c>
      <x:c r="K774" s="165" t="str">
        <x:v>高い酸とリンゴ・カリンの果実味を与え、温暖な地域でも鮮度を保てる</x:v>
      </x:c>
      <x:c r="L774" s="165" t="str">
        <x:v>正しい。シュナンの自然な酸と果実味が、温暖地域のベースワインを支える。</x:v>
      </x:c>
      <x:c r="M774" s="165" t="str">
        <x:v>正しい。シュナンの自然な酸と果実味が、温暖地域のベースワインを支える。</x:v>
      </x:c>
      <x:c r="N774" s="165" t="str">
        <x:v>誤り。白品種であり、色と高タンニンの供給源ではない。</x:v>
      </x:c>
      <x:c r="O774" s="165" t="str">
        <x:v>誤り。辛口のキャップ・クラシックにも用いられ、残糖が必然的に高いわけではない。</x:v>
      </x:c>
      <x:c r="P774" s="165" t="str">
        <x:v>誤り。リンゴ、カリン、蜂蜜など品種由来の特徴を持ち、中立一辺倒ではない。</x:v>
      </x:c>
      <x:c r="Q774" s="165" t="str">
        <x:v>品種</x:v>
      </x:c>
      <x:c r="R774" s="165" t="str">
        <x:v>キャップ・クラシック</x:v>
      </x:c>
      <x:c r="S774" s="165" t="str">
        <x:v>発泡性ワイン</x:v>
      </x:c>
      <x:c r="T774" s="165" t="str">
        <x:v>南アフリカ</x:v>
      </x:c>
      <x:c r="U774" s="165" t="str">
        <x:v>西ケープ</x:v>
      </x:c>
      <x:c r="V774" s="165" t="str">
        <x:v>シュナン・ブラン</x:v>
      </x:c>
      <x:c r="W774" s="165" t="str">
        <x:v>因果説明</x:v>
      </x:c>
      <x:c r="X774" s="171" t="str">
        <x:v>D2</x:v>
      </x:c>
      <x:c r="Y774" s="165" t="str">
        <x:v>シュナンは高タンニン・深色; シュナンならドザージュ不要の甘口になる; シュナンは無香で澱香だけを表現</x:v>
      </x:c>
      <x:c r="Z774" s="171" t="str">
        <x:v>N</x:v>
      </x:c>
      <x:c r="AA774" s="165"/>
      <x:c r="AB774" s="165" t="str">
        <x:v>オリジナル</x:v>
      </x:c>
      <x:c r="AC774" s="165" t="str">
        <x:v>WSET公式Specificationの範囲＋ユーザー作成コーパスの論点を参考に独自作成</x:v>
      </x:c>
      <x:c r="AD774" s="171" t="str">
        <x:v>改稿済み・専門家未承認</x:v>
      </x:c>
      <x:c r="AE774" s="171" t="str">
        <x:v>AI誤答レビュー</x:v>
      </x:c>
      <x:c r="AF774" s="171" t="str">
        <x:v>2026-07-12</x:v>
      </x:c>
      <x:c r="AG774" s="369" t="str">
        <x:v>第3バッチ：同一論点内の典型的誤概念へ置換。正答位置は維持。</x:v>
      </x:c>
    </x:row>
    <x:row r="775" ht="84" customHeight="1">
      <x:c r="A775" s="368" t="str">
        <x:v>LO3-174</x:v>
      </x:c>
      <x:c r="B775" s="171" t="str">
        <x:v>LO3</x:v>
      </x:c>
      <x:c r="C775" s="165" t="str">
        <x:v>世界の主要な発泡性ワイン</x:v>
      </x:c>
      <x:c r="D775" s="165" t="str">
        <x:v>アデレード・ヒルズ</x:v>
      </x:c>
      <x:c r="E775" s="165" t="str">
        <x:v>アデレード・ヒルズが南オーストラリアの発泡性ワイン用ブドウに適する主な理由はどれか。</x:v>
      </x:c>
      <x:c r="F775" s="165" t="str">
        <x:v>低標高と海洋の冷却で、シャルドネとピノ・ノワールの酸を保持できる</x:v>
      </x:c>
      <x:c r="G775" s="165" t="str">
        <x:v>高標高と海洋の冷却で、シャルドネとピノ・ノワールの酸を保持できる</x:v>
      </x:c>
      <x:c r="H775" s="165" t="str">
        <x:v>南オーストラリアで最も低い標高と高温を持ち、糖度を早く上げられる</x:v>
      </x:c>
      <x:c r="I775" s="165" t="str">
        <x:v>貴腐が発生しやすく、甘口発泡性用の濃縮果実を得られる</x:v>
      </x:c>
      <x:c r="J775" s="171" t="str">
        <x:v>B</x:v>
      </x:c>
      <x:c r="K775" s="165" t="str">
        <x:v>高標高と海洋の冷却で、シャルドネとピノ・ノワールの酸を保持できる</x:v>
      </x:c>
      <x:c r="L775" s="165" t="str">
        <x:v>正しい。周辺の温暖な低地より成熟が遅く、繊細なベースワインを得る。</x:v>
      </x:c>
      <x:c r="M775" s="165" t="str">
        <x:v>誤り。正答では「高標高」ことが重要であり、この選択肢は「低標高」へ置き換えて関係を逆にしている。</x:v>
      </x:c>
      <x:c r="N775" s="165" t="str">
        <x:v>正しい。周辺の温暖な低地より成熟が遅く、繊細なベースワインを得る。</x:v>
      </x:c>
      <x:c r="O775" s="165" t="str">
        <x:v>誤り。アデレード・ヒルズは高標高で冷涼。</x:v>
      </x:c>
      <x:c r="P775" s="165" t="str">
        <x:v>誤り。健全な高酸果実が重要。</x:v>
      </x:c>
      <x:c r="Q775" s="165" t="str">
        <x:v>自然要因</x:v>
      </x:c>
      <x:c r="R775" s="165" t="str">
        <x:v>オーストラリア</x:v>
      </x:c>
      <x:c r="S775" s="165" t="str">
        <x:v>発泡性ワイン</x:v>
      </x:c>
      <x:c r="T775" s="165" t="str">
        <x:v>オーストラリア</x:v>
      </x:c>
      <x:c r="U775" s="165" t="str">
        <x:v>アデレード・ヒルズ</x:v>
      </x:c>
      <x:c r="V775" s="165" t="str">
        <x:v>シャルドネ、ピノ・ノワール</x:v>
      </x:c>
      <x:c r="W775" s="165" t="str">
        <x:v>因果説明</x:v>
      </x:c>
      <x:c r="X775" s="171" t="str">
        <x:v>D2</x:v>
      </x:c>
      <x:c r="Y775" s="165" t="str">
        <x:v>「高標高」と「低標高」の関係を逆転; アデレードヒルズを低標高高温とみなす; アデレードヒルズ発泡性を貴腐型と混同</x:v>
      </x:c>
      <x:c r="Z775" s="171" t="str">
        <x:v>N</x:v>
      </x:c>
      <x:c r="AA775" s="165"/>
      <x:c r="AB775" s="165" t="str">
        <x:v>オリジナル</x:v>
      </x:c>
      <x:c r="AC775" s="165" t="str">
        <x:v>WSET公式Specificationの範囲＋ユーザー作成コーパスの論点を参考に独自作成</x:v>
      </x:c>
      <x:c r="AD775" s="171" t="str">
        <x:v>改稿済み・専門家未承認</x:v>
      </x:c>
      <x:c r="AE775" s="171" t="str">
        <x:v>AI誤答レビュー</x:v>
      </x:c>
      <x:c r="AF775" s="171" t="str">
        <x:v>2026-07-12</x:v>
      </x:c>
      <x:c r="AG775" s="369" t="str">
        <x:v>第4バッチ：同一論点内の典型的誤概念へ置換。正答位置は維持。</x:v>
      </x:c>
    </x:row>
    <x:row r="776" ht="84" customHeight="1">
      <x:c r="A776" s="368" t="str">
        <x:v>LO3-175</x:v>
      </x:c>
      <x:c r="B776" s="171" t="str">
        <x:v>LO3</x:v>
      </x:c>
      <x:c r="C776" s="165" t="str">
        <x:v>世界の主要な発泡性ワイン</x:v>
      </x:c>
      <x:c r="D776" s="165" t="str">
        <x:v>タスマニアの地域差</x:v>
      </x:c>
      <x:c r="E776" s="165" t="str">
        <x:v>タスマニア北部と南部の発泡性ワイン用畑で、スタイル差が生じる主な理由はどれか。</x:v>
      </x:c>
      <x:c r="F776" s="165" t="str">
        <x:v>北部と南部で主要品種が法律上異なるため</x:v>
      </x:c>
      <x:c r="G776" s="165" t="str">
        <x:v>南部だけが海洋性で、北部は完全な大陸性気候だから</x:v>
      </x:c>
      <x:c r="H776" s="165" t="str">
        <x:v>緯度、標高、海洋風、日照量が異なり、成熟度と酸の水準が変わる</x:v>
      </x:c>
      <x:c r="I776" s="165" t="str">
        <x:v>北部は甘口用、南部は辛口用として使い分けられるため</x:v>
      </x:c>
      <x:c r="J776" s="171" t="str">
        <x:v>C</x:v>
      </x:c>
      <x:c r="K776" s="165" t="str">
        <x:v>緯度、標高、海洋風、日照量が異なり、成熟度と酸の水準が変わる</x:v>
      </x:c>
      <x:c r="L776" s="165" t="str">
        <x:v>正しい。緯度・地形・風・日照が成熟度と酸の違いを生む。</x:v>
      </x:c>
      <x:c r="M776" s="165" t="str">
        <x:v>誤り。同じ品種を用いても、自然条件の差でスタイルが変わる。</x:v>
      </x:c>
      <x:c r="N776" s="165" t="str">
        <x:v>誤り。島全体が海洋の影響を受け、完全な大陸性という説明は不適切である。</x:v>
      </x:c>
      <x:c r="O776" s="165" t="str">
        <x:v>正しい。緯度・地形・風・日照が成熟度と酸の違いを生む。</x:v>
      </x:c>
      <x:c r="P776" s="165" t="str">
        <x:v>誤り。甘味スタイルが地域で固定されるわけではない。</x:v>
      </x:c>
      <x:c r="Q776" s="165" t="str">
        <x:v>自然要因</x:v>
      </x:c>
      <x:c r="R776" s="165" t="str">
        <x:v>オーストラリア</x:v>
      </x:c>
      <x:c r="S776" s="165" t="str">
        <x:v>発泡性ワイン</x:v>
      </x:c>
      <x:c r="T776" s="165" t="str">
        <x:v>オーストラリア</x:v>
      </x:c>
      <x:c r="U776" s="165" t="str">
        <x:v>タスマニア</x:v>
      </x:c>
      <x:c r="V776" s="165" t="str">
        <x:v>シャルドネ、ピノ・ノワール</x:v>
      </x:c>
      <x:c r="W776" s="165" t="str">
        <x:v>統合判断</x:v>
      </x:c>
      <x:c r="X776" s="171" t="str">
        <x:v>D3</x:v>
      </x:c>
      <x:c r="Y776" s="165" t="str">
        <x:v>地域ごとに主要品種が法的に異なる; 北部は完全大陸性・南部だけ海洋性; タスマニア北部と南部で甘味用途が固定される</x:v>
      </x:c>
      <x:c r="Z776" s="171" t="str">
        <x:v>N</x:v>
      </x:c>
      <x:c r="AA776" s="165"/>
      <x:c r="AB776" s="165" t="str">
        <x:v>オリジナル</x:v>
      </x:c>
      <x:c r="AC776" s="165" t="str">
        <x:v>WSET公式Specificationの範囲＋ユーザー作成コーパスの論点を参考に独自作成</x:v>
      </x:c>
      <x:c r="AD776" s="171" t="str">
        <x:v>改稿済み・専門家未承認</x:v>
      </x:c>
      <x:c r="AE776" s="171" t="str">
        <x:v>AI誤答レビュー</x:v>
      </x:c>
      <x:c r="AF776" s="171" t="str">
        <x:v>2026-07-12</x:v>
      </x:c>
      <x:c r="AG776" s="369" t="str">
        <x:v>第3バッチ：同一論点内の典型的誤概念へ置換。正答位置は維持。</x:v>
      </x:c>
    </x:row>
    <x:row r="777" ht="84" customHeight="1">
      <x:c r="A777" s="368" t="str">
        <x:v>LO3-176</x:v>
      </x:c>
      <x:c r="B777" s="171" t="str">
        <x:v>LO3</x:v>
      </x:c>
      <x:c r="C777" s="165" t="str">
        <x:v>世界の主要な発泡性ワイン</x:v>
      </x:c>
      <x:c r="D777" s="165" t="str">
        <x:v>マールボロ発泡性のスタイル</x:v>
      </x:c>
      <x:c r="E777" s="165" t="str">
        <x:v>マールボロの伝統的方式発泡性ワインがシャンパーニュより果実味を前面に出しやすい主な理由はどれか。</x:v>
      </x:c>
      <x:c r="F777" s="165" t="str">
        <x:v>グレーラだけを用いるから</x:v>
      </x:c>
      <x:c r="G777" s="165" t="str">
        <x:v>タンク方式で造るから</x:v>
      </x:c>
      <x:c r="H777" s="165" t="str">
        <x:v>温暖で酸が全くないから</x:v>
      </x:c>
      <x:c r="I777" s="165" t="str">
        <x:v>日照が多く、ブドウが熟した柑橘や核果の香りを発達させやすい</x:v>
      </x:c>
      <x:c r="J777" s="171" t="str">
        <x:v>D</x:v>
      </x:c>
      <x:c r="K777" s="165" t="str">
        <x:v>日照が多く、ブドウが熟した柑橘や核果の香りを発達させやすい</x:v>
      </x:c>
      <x:c r="L777" s="165" t="str">
        <x:v>正しい。冷涼な夜で酸を保ちながら、比較的明瞭な一次果実香を持つベースワインを得る。</x:v>
      </x:c>
      <x:c r="M777" s="165" t="str">
        <x:v>誤り。シャルドネとピノ・ノワールが中心である。</x:v>
      </x:c>
      <x:c r="N777" s="165" t="str">
        <x:v>誤り。高品質品は伝統的方式を用いる。</x:v>
      </x:c>
      <x:c r="O777" s="165" t="str">
        <x:v>誤り。高い酸を持つ。</x:v>
      </x:c>
      <x:c r="P777" s="165" t="str">
        <x:v>正しい。冷涼な夜で酸を保ちながら、比較的明瞭な一次果実香を持つベースワインを得る。</x:v>
      </x:c>
      <x:c r="Q777" s="165" t="str">
        <x:v>比較</x:v>
      </x:c>
      <x:c r="R777" s="165" t="str">
        <x:v>ニュージーランド</x:v>
      </x:c>
      <x:c r="S777" s="165" t="str">
        <x:v>発泡性ワイン</x:v>
      </x:c>
      <x:c r="T777" s="165" t="str">
        <x:v>ニュージーランド</x:v>
      </x:c>
      <x:c r="U777" s="165" t="str">
        <x:v>マールボロ</x:v>
      </x:c>
      <x:c r="V777" s="165" t="str">
        <x:v>シャルドネ、ピノ・ノワール</x:v>
      </x:c>
      <x:c r="W777" s="165" t="str">
        <x:v>比較</x:v>
      </x:c>
      <x:c r="X777" s="171" t="str">
        <x:v>D3</x:v>
      </x:c>
      <x:c r="Y777" s="165" t="str">
        <x:v>マールボロ発泡性のスタイルについて関連要因を主因とみなす; マールボロ発泡性のスタイルについて関連要因を主因とみなす; マールボロ発泡性のスタイルについて関連要因を主因とみなす</x:v>
      </x:c>
      <x:c r="Z777" s="171" t="str">
        <x:v>N</x:v>
      </x:c>
      <x:c r="AA777" s="165"/>
      <x:c r="AB777" s="165" t="str">
        <x:v>オリジナル</x:v>
      </x:c>
      <x:c r="AC777" s="165" t="str">
        <x:v>WSET公式Specificationの範囲＋ユーザー作成コーパスの論点を参考に独自作成</x:v>
      </x:c>
      <x:c r="AD777" s="171" t="str">
        <x:v>改稿済み・専門家未承認</x:v>
      </x:c>
      <x:c r="AE777" s="171" t="str">
        <x:v>AI誤答レビュー</x:v>
      </x:c>
      <x:c r="AF777" s="171" t="str">
        <x:v>2026-07-12</x:v>
      </x:c>
      <x:c r="AG777" s="369" t="str">
        <x:v>第5バッチ：使用可能な誤答を維持し、弱い誤答を因果逆転・隣接概念へ置換。正答位置は維持。</x:v>
      </x:c>
    </x:row>
    <x:row r="778" ht="84" customHeight="1">
      <x:c r="A778" s="368" t="str">
        <x:v>LO3-177</x:v>
      </x:c>
      <x:c r="B778" s="171" t="str">
        <x:v>LO3</x:v>
      </x:c>
      <x:c r="C778" s="165" t="str">
        <x:v>世界の主要な発泡性ワイン</x:v>
      </x:c>
      <x:c r="D778" s="165" t="str">
        <x:v>アンダーソン・ヴァレー</x:v>
      </x:c>
      <x:c r="E778" s="165" t="str">
        <x:v>アンダーソン・ヴァレーが高品質発泡性ワインに適する主な理由はどれか。</x:v>
      </x:c>
      <x:c r="F778" s="165" t="str">
        <x:v>太平洋の霧と冷たい風が谷へ入り、成熟を遅らせる</x:v>
      </x:c>
      <x:c r="G778" s="165" t="str">
        <x:v>モスカートだけを栽培するから</x:v>
      </x:c>
      <x:c r="H778" s="165" t="str">
        <x:v>ブドウを酒精強化するから</x:v>
      </x:c>
      <x:c r="I778" s="165" t="str">
        <x:v>カリフォルニアで最も暑い内陸だから</x:v>
      </x:c>
      <x:c r="J778" s="171" t="str">
        <x:v>A</x:v>
      </x:c>
      <x:c r="K778" s="165" t="str">
        <x:v>太平洋の霧と冷たい風が谷へ入り、成熟を遅らせる</x:v>
      </x:c>
      <x:c r="L778" s="165" t="str">
        <x:v>正しい。ピノ・ノワールとシャルドネが高い酸を保ち、繊細な果実香を発達させる。</x:v>
      </x:c>
      <x:c r="M778" s="165" t="str">
        <x:v>正しい。ピノ・ノワールとシャルドネが高い酸を保ち、繊細な果実香を発達させる。</x:v>
      </x:c>
      <x:c r="N778" s="165" t="str">
        <x:v>誤り。主要品種はピノ・ノワールとシャルドネである。</x:v>
      </x:c>
      <x:c r="O778" s="165" t="str">
        <x:v>誤り。発泡性は二次発酵で得る。</x:v>
      </x:c>
      <x:c r="P778" s="165" t="str">
        <x:v>誤り。沿岸冷却を強く受ける。</x:v>
      </x:c>
      <x:c r="Q778" s="165" t="str">
        <x:v>自然要因</x:v>
      </x:c>
      <x:c r="R778" s="165" t="str">
        <x:v>カリフォルニア</x:v>
      </x:c>
      <x:c r="S778" s="165" t="str">
        <x:v>発泡性ワイン</x:v>
      </x:c>
      <x:c r="T778" s="165" t="str">
        <x:v>米国</x:v>
      </x:c>
      <x:c r="U778" s="165" t="str">
        <x:v>アンダーソン・ヴァレー</x:v>
      </x:c>
      <x:c r="V778" s="165" t="str">
        <x:v>ピノ・ノワール、シャルドネ</x:v>
      </x:c>
      <x:c r="W778" s="165" t="str">
        <x:v>因果説明</x:v>
      </x:c>
      <x:c r="X778" s="171" t="str">
        <x:v>D2</x:v>
      </x:c>
      <x:c r="Y778" s="165" t="str">
        <x:v>アンダーソン・ヴァレーについて関連要因を主因とみなす; アンダーソン・ヴァレーについて関連要因を主因とみなす; アンダーソン・ヴァレーについて関連要因を主因とみなす</x:v>
      </x:c>
      <x:c r="Z778" s="171" t="str">
        <x:v>N</x:v>
      </x:c>
      <x:c r="AA778" s="165"/>
      <x:c r="AB778" s="165" t="str">
        <x:v>オリジナル</x:v>
      </x:c>
      <x:c r="AC778" s="165" t="str">
        <x:v>WSET公式Specificationの範囲＋ユーザー作成コーパスの論点を参考に独自作成</x:v>
      </x:c>
      <x:c r="AD778" s="171" t="str">
        <x:v>改稿済み・専門家未承認</x:v>
      </x:c>
      <x:c r="AE778" s="171" t="str">
        <x:v>AI誤答レビュー</x:v>
      </x:c>
      <x:c r="AF778" s="171" t="str">
        <x:v>2026-07-12</x:v>
      </x:c>
      <x:c r="AG778" s="369" t="str">
        <x:v>第5バッチ：使用可能な誤答を維持し、弱い誤答を因果逆転・隣接概念へ置換。正答位置は維持。</x:v>
      </x:c>
    </x:row>
    <x:row r="779" ht="84" customHeight="1">
      <x:c r="A779" s="368" t="str">
        <x:v>LO3-178</x:v>
      </x:c>
      <x:c r="B779" s="171" t="str">
        <x:v>LO3</x:v>
      </x:c>
      <x:c r="C779" s="165" t="str">
        <x:v>世界の主要な発泡性ワイン</x:v>
      </x:c>
      <x:c r="D779" s="165" t="str">
        <x:v>ロス・カーネロスの霧</x:v>
      </x:c>
      <x:c r="E779" s="165" t="str">
        <x:v>ロス・カーネロスの朝霧が発泡性ワイン用ブドウへ有利な主な理由はどれか。</x:v>
      </x:c>
      <x:c r="F779" s="165" t="str">
        <x:v>霧が果実を貴腐化する</x:v>
      </x:c>
      <x:c r="G779" s="165" t="str">
        <x:v>午前の気温と日射を抑え、酸の低下と糖の急上昇を遅らせる</x:v>
      </x:c>
      <x:c r="H779" s="165" t="str">
        <x:v>霧が二次発酵を起こす</x:v>
      </x:c>
      <x:c r="I779" s="165" t="str">
        <x:v>霧が糖を果実へ直接付着させる</x:v>
      </x:c>
      <x:c r="J779" s="171" t="str">
        <x:v>B</x:v>
      </x:c>
      <x:c r="K779" s="165" t="str">
        <x:v>午前の気温と日射を抑え、酸の低下と糖の急上昇を遅らせる</x:v>
      </x:c>
      <x:c r="L779" s="165" t="str">
        <x:v>正しい。午後には霧が晴れて光合成と成熟が進むため、長い生育期間と十分な果実味を両立する。</x:v>
      </x:c>
      <x:c r="M779" s="165" t="str">
        <x:v>誤り。冷却が主な効果で、貴腐が目的ではない。</x:v>
      </x:c>
      <x:c r="N779" s="165" t="str">
        <x:v>正しい。午後には霧が晴れて光合成と成熟が進むため、長い生育期間と十分な果実味を両立する。</x:v>
      </x:c>
      <x:c r="O779" s="165" t="str">
        <x:v>誤り。二次発酵はワイナリーで行う。</x:v>
      </x:c>
      <x:c r="P779" s="165" t="str">
        <x:v>誤り。糖は葉の光合成で生産される。</x:v>
      </x:c>
      <x:c r="Q779" s="165" t="str">
        <x:v>自然要因</x:v>
      </x:c>
      <x:c r="R779" s="165" t="str">
        <x:v>カリフォルニア</x:v>
      </x:c>
      <x:c r="S779" s="165" t="str">
        <x:v>発泡性ワイン</x:v>
      </x:c>
      <x:c r="T779" s="165" t="str">
        <x:v>米国</x:v>
      </x:c>
      <x:c r="U779" s="165" t="str">
        <x:v>ロス・カーネロス</x:v>
      </x:c>
      <x:c r="V779" s="165" t="str">
        <x:v>シャルドネ、ピノ・ノワール</x:v>
      </x:c>
      <x:c r="W779" s="165" t="str">
        <x:v>因果説明</x:v>
      </x:c>
      <x:c r="X779" s="171" t="str">
        <x:v>D2</x:v>
      </x:c>
      <x:c r="Y779" s="165" t="str">
        <x:v>ロス・カーネロスの霧について関連要因を主因とみなす; ロス・カーネロスの霧について関連要因を主因とみなす; ロス・カーネロスの霧について関連要因を主因とみなす</x:v>
      </x:c>
      <x:c r="Z779" s="171" t="str">
        <x:v>N</x:v>
      </x:c>
      <x:c r="AA779" s="165"/>
      <x:c r="AB779" s="165" t="str">
        <x:v>オリジナル</x:v>
      </x:c>
      <x:c r="AC779" s="165" t="str">
        <x:v>WSET公式Specificationの範囲＋ユーザー作成コーパスの論点を参考に独自作成</x:v>
      </x:c>
      <x:c r="AD779" s="171" t="str">
        <x:v>改稿済み・専門家未承認</x:v>
      </x:c>
      <x:c r="AE779" s="171" t="str">
        <x:v>AI誤答レビュー</x:v>
      </x:c>
      <x:c r="AF779" s="171" t="str">
        <x:v>2026-07-12</x:v>
      </x:c>
      <x:c r="AG779" s="369" t="str">
        <x:v>第5バッチ：使用可能な誤答を維持し、弱い誤答を因果逆転・隣接概念へ置換。正答位置は維持。</x:v>
      </x:c>
    </x:row>
    <x:row r="780" ht="84" customHeight="1">
      <x:c r="A780" s="368" t="str">
        <x:v>LO3-179</x:v>
      </x:c>
      <x:c r="B780" s="171" t="str">
        <x:v>LO3</x:v>
      </x:c>
      <x:c r="C780" s="165" t="str">
        <x:v>世界の主要な発泡性ワイン</x:v>
      </x:c>
      <x:c r="D780" s="165" t="str">
        <x:v>長期在庫コスト</x:v>
      </x:c>
      <x:c r="E780" s="165" t="str">
        <x:v>伝統的方式で長期澱熟成するワインが高価格になりやすい主な財務上の理由はどれか。</x:v>
      </x:c>
      <x:c r="F780" s="165" t="str">
        <x:v>澱がワインを無償で増量するため</x:v>
      </x:c>
      <x:c r="G780" s="165" t="str">
        <x:v>長期熟成ではブドウ代が不要になるため</x:v>
      </x:c>
      <x:c r="H780" s="165" t="str">
        <x:v>販売まで数年間資金・瓶・セラー空間が拘束されるため</x:v>
      </x:c>
      <x:c r="I780" s="165" t="str">
        <x:v>熟成中に生産量が増えるため</x:v>
      </x:c>
      <x:c r="J780" s="171" t="str">
        <x:v>C</x:v>
      </x:c>
      <x:c r="K780" s="165" t="str">
        <x:v>販売まで数年間資金・瓶・セラー空間が拘束されるため</x:v>
      </x:c>
      <x:c r="L780" s="165" t="str">
        <x:v>正しい。熟成中は収益を得られず、保管、保険、温度管理、作業の費用が積み上がる。</x:v>
      </x:c>
      <x:c r="M780" s="165" t="str">
        <x:v>誤り。澱は販売可能なワイン量を増やさない。</x:v>
      </x:c>
      <x:c r="N780" s="165" t="str">
        <x:v>誤り。原料費はすでに発生している。</x:v>
      </x:c>
      <x:c r="O780" s="165" t="str">
        <x:v>正しい。熟成中は収益を得られず、保管、保険、温度管理、作業の費用が積み上がる。</x:v>
      </x:c>
      <x:c r="P780" s="165" t="str">
        <x:v>誤り。蒸発や破損で販売量は増えない。</x:v>
      </x:c>
      <x:c r="Q780" s="165" t="str">
        <x:v>商業・価格</x:v>
      </x:c>
      <x:c r="R780" s="165" t="str">
        <x:v>在庫コスト</x:v>
      </x:c>
      <x:c r="S780" s="165" t="str">
        <x:v>発泡性ワイン</x:v>
      </x:c>
      <x:c r="T780" s="165"/>
      <x:c r="U780" s="165"/>
      <x:c r="V780" s="165"/>
      <x:c r="W780" s="165" t="str">
        <x:v>統合判断</x:v>
      </x:c>
      <x:c r="X780" s="171" t="str">
        <x:v>D3</x:v>
      </x:c>
      <x:c r="Y780" s="165" t="str">
        <x:v>長期在庫コストについて関連要因を主因とみなす; 長期在庫コストについて関連要因を主因とみなす; 長期在庫コストについて関連要因を主因とみなす</x:v>
      </x:c>
      <x:c r="Z780" s="171" t="str">
        <x:v>N</x:v>
      </x:c>
      <x:c r="AA780" s="165"/>
      <x:c r="AB780" s="165" t="str">
        <x:v>オリジナル</x:v>
      </x:c>
      <x:c r="AC780" s="165" t="str">
        <x:v>WSET公式Specificationの範囲＋ユーザー作成コーパスの論点を参考に独自作成</x:v>
      </x:c>
      <x:c r="AD780" s="171" t="str">
        <x:v>改稿済み・専門家未承認</x:v>
      </x:c>
      <x:c r="AE780" s="171" t="str">
        <x:v>AI誤答レビュー</x:v>
      </x:c>
      <x:c r="AF780" s="171" t="str">
        <x:v>2026-07-12</x:v>
      </x:c>
      <x:c r="AG780" s="369" t="str">
        <x:v>第5バッチ：使用可能な誤答を維持し、弱い誤答を因果逆転・隣接概念へ置換。正答位置は維持。</x:v>
      </x:c>
    </x:row>
    <x:row r="781" ht="84" customHeight="1">
      <x:c r="A781" s="368" t="str">
        <x:v>LO3-180</x:v>
      </x:c>
      <x:c r="B781" s="171" t="str">
        <x:v>LO3</x:v>
      </x:c>
      <x:c r="C781" s="165" t="str">
        <x:v>世界の主要な発泡性ワイン</x:v>
      </x:c>
      <x:c r="D781" s="165" t="str">
        <x:v>発泡性ワインの瓶重量</x:v>
      </x:c>
      <x:c r="E781" s="165" t="str">
        <x:v>発泡性ワインの瓶が非発泡性ワインの瓶より重くなりやすい主な理由はどれか。</x:v>
      </x:c>
      <x:c r="F781" s="165" t="str">
        <x:v>非発泡性ワインにはガラスを使えないから</x:v>
      </x:c>
      <x:c r="G781" s="165" t="str">
        <x:v>重い瓶が二次発酵用酵母を生成するから</x:v>
      </x:c>
      <x:c r="H781" s="165" t="str">
        <x:v>重い瓶ほど残糖が高くなるから</x:v>
      </x:c>
      <x:c r="I781" s="165" t="str">
        <x:v>高い内部圧力に耐える厚いガラスと強い底部が必要だから</x:v>
      </x:c>
      <x:c r="J781" s="171" t="str">
        <x:v>D</x:v>
      </x:c>
      <x:c r="K781" s="165" t="str">
        <x:v>高い内部圧力に耐える厚いガラスと強い底部が必要だから</x:v>
      </x:c>
      <x:c r="L781" s="165" t="str">
        <x:v>正しい。安全性を確保する一方、ガラス使用量と輸送重量が増え、コストと環境負荷が高まる。</x:v>
      </x:c>
      <x:c r="M781" s="165" t="str">
        <x:v>誤り。非発泡性ワインもガラス瓶を広く用いる。</x:v>
      </x:c>
      <x:c r="N781" s="165" t="str">
        <x:v>誤り。酵母はティラージュで加える。</x:v>
      </x:c>
      <x:c r="O781" s="165" t="str">
        <x:v>誤り。瓶重量と甘味は無関係である。</x:v>
      </x:c>
      <x:c r="P781" s="165" t="str">
        <x:v>正しい。安全性を確保する一方、ガラス使用量と輸送重量が増え、コストと環境負荷が高まる。</x:v>
      </x:c>
      <x:c r="Q781" s="165" t="str">
        <x:v>包装・価格</x:v>
      </x:c>
      <x:c r="R781" s="165" t="str">
        <x:v>瓶</x:v>
      </x:c>
      <x:c r="S781" s="165" t="str">
        <x:v>発泡性ワイン</x:v>
      </x:c>
      <x:c r="T781" s="165"/>
      <x:c r="U781" s="165"/>
      <x:c r="V781" s="165"/>
      <x:c r="W781" s="165" t="str">
        <x:v>統合判断</x:v>
      </x:c>
      <x:c r="X781" s="171" t="str">
        <x:v>D2</x:v>
      </x:c>
      <x:c r="Y781" s="165" t="str">
        <x:v>発泡性ワインの瓶重量について関連要因を主因とみなす; 発泡性ワインの瓶重量について関連要因を主因とみなす; 発泡性ワインの瓶重量について関連要因を主因とみなす</x:v>
      </x:c>
      <x:c r="Z781" s="171" t="str">
        <x:v>N</x:v>
      </x:c>
      <x:c r="AA781" s="165"/>
      <x:c r="AB781" s="165" t="str">
        <x:v>オリジナル</x:v>
      </x:c>
      <x:c r="AC781" s="165" t="str">
        <x:v>WSET公式Specificationの範囲＋ユーザー作成コーパスの論点を参考に独自作成</x:v>
      </x:c>
      <x:c r="AD781" s="171" t="str">
        <x:v>改稿済み・専門家未承認</x:v>
      </x:c>
      <x:c r="AE781" s="171" t="str">
        <x:v>AI誤答レビュー</x:v>
      </x:c>
      <x:c r="AF781" s="171" t="str">
        <x:v>2026-07-12</x:v>
      </x:c>
      <x:c r="AG781" s="369" t="str">
        <x:v>第5バッチ：使用可能な誤答を維持し、弱い誤答を因果逆転・隣接概念へ置換。正答位置は維持。</x:v>
      </x:c>
    </x:row>
    <x:row r="782" ht="84" customHeight="1">
      <x:c r="A782" s="368" t="str">
        <x:v>LO4-121</x:v>
      </x:c>
      <x:c r="B782" s="171" t="str">
        <x:v>LO4</x:v>
      </x:c>
      <x:c r="C782" s="165" t="str">
        <x:v>世界の主要な酒精強化ワイン</x:v>
      </x:c>
      <x:c r="D782" s="165" t="str">
        <x:v>トウリガ・ナシオナルの役割</x:v>
      </x:c>
      <x:c r="E782" s="165" t="str">
        <x:v>ポートのブレンドでトウリガ・ナシオナルが高く評価される主な理由はどれか。</x:v>
      </x:c>
      <x:c r="F782" s="165" t="str">
        <x:v>深い色、高いタンニン、黒系果実と花の香り、長期熟成力を与える</x:v>
      </x:c>
      <x:c r="G782" s="165" t="str">
        <x:v>低酸で無色の白ワインを造るため</x:v>
      </x:c>
      <x:c r="H782" s="165" t="str">
        <x:v>フロール形成に最適だから</x:v>
      </x:c>
      <x:c r="I782" s="165" t="str">
        <x:v>発泡性を与えるため</x:v>
      </x:c>
      <x:c r="J782" s="171" t="str">
        <x:v>A</x:v>
      </x:c>
      <x:c r="K782" s="165" t="str">
        <x:v>深い色、高いタンニン、黒系果実と花の香り、長期熟成力を与える</x:v>
      </x:c>
      <x:c r="L782" s="165" t="str">
        <x:v>正しい。低収量で栽培が難しい一方、凝縮した構造と芳香を持ち、高級ルビー系ポートの骨格となる。</x:v>
      </x:c>
      <x:c r="M782" s="165" t="str">
        <x:v>正しい。低収量で栽培が難しい一方、凝縮した構造と芳香を持ち、高級ルビー系ポートの骨格となる。</x:v>
      </x:c>
      <x:c r="N782" s="165" t="str">
        <x:v>誤り。黒品種で色と構造が強い。</x:v>
      </x:c>
      <x:c r="O782" s="165" t="str">
        <x:v>誤り。フロール熟成はシェリーに関係する。</x:v>
      </x:c>
      <x:c r="P782" s="165" t="str">
        <x:v>誤り。ポートは非発泡性である。</x:v>
      </x:c>
      <x:c r="Q782" s="165" t="str">
        <x:v>品種</x:v>
      </x:c>
      <x:c r="R782" s="165" t="str">
        <x:v>ポート</x:v>
      </x:c>
      <x:c r="S782" s="165" t="str">
        <x:v>酒精強化ワイン</x:v>
      </x:c>
      <x:c r="T782" s="165" t="str">
        <x:v>ポルトガル</x:v>
      </x:c>
      <x:c r="U782" s="165" t="str">
        <x:v>ドウロ</x:v>
      </x:c>
      <x:c r="V782" s="165" t="str">
        <x:v>トウリガ・ナシオナル</x:v>
      </x:c>
      <x:c r="W782" s="165" t="str">
        <x:v>知識確認</x:v>
      </x:c>
      <x:c r="X782" s="171" t="str">
        <x:v>D2</x:v>
      </x:c>
      <x:c r="Y782" s="165" t="str">
        <x:v>トウリガ・ナシオナルの役割に関する別の特徴・要因と混同; トウリガ・ナシオナルの役割に関する別の特徴・要因と混同; トウリガ・ナシオナルの役割に関する別の特徴・要因と混同</x:v>
      </x:c>
      <x:c r="Z782" s="171" t="str">
        <x:v>N</x:v>
      </x:c>
      <x:c r="AA782" s="165"/>
      <x:c r="AB782" s="165" t="str">
        <x:v>オリジナル</x:v>
      </x:c>
      <x:c r="AC782" s="165" t="str">
        <x:v>WSET公式Specificationの範囲＋ユーザー作成コーパスの論点を参考に独自作成</x:v>
      </x:c>
      <x:c r="AD782" s="171" t="str">
        <x:v>改稿済み・専門家未承認</x:v>
      </x:c>
      <x:c r="AE782" s="171" t="str">
        <x:v>AI誤答レビュー</x:v>
      </x:c>
      <x:c r="AF782" s="171" t="str">
        <x:v>2026-07-12</x:v>
      </x:c>
      <x:c r="AG782" s="369" t="str">
        <x:v>最終バッチ：有効な誤答を維持し、絶対語・物理的不可能な誤答のみ置換。正答位置は維持。</x:v>
      </x:c>
    </x:row>
    <x:row r="783" ht="84" customHeight="1">
      <x:c r="A783" s="368" t="str">
        <x:v>LO4-122</x:v>
      </x:c>
      <x:c r="B783" s="171" t="str">
        <x:v>LO4</x:v>
      </x:c>
      <x:c r="C783" s="165" t="str">
        <x:v>世界の主要な酒精強化ワイン</x:v>
      </x:c>
      <x:c r="D783" s="165" t="str">
        <x:v>トウリガ・フランカの役割</x:v>
      </x:c>
      <x:c r="E783" s="165" t="str">
        <x:v>ポートのブレンドでトウリガ・フランカが重視される主な理由はどれか。</x:v>
      </x:c>
      <x:c r="F783" s="165" t="str">
        <x:v>高い残糖を発酵なしで生成する</x:v>
      </x:c>
      <x:c r="G783" s="165" t="str">
        <x:v>香り高い赤・黒系果実、花、色、比較的安定した収量を与える</x:v>
      </x:c>
      <x:c r="H783" s="165" t="str">
        <x:v>白品種として酸だけを与える</x:v>
      </x:c>
      <x:c r="I783" s="165" t="str">
        <x:v>酸化熟成でのみ使用できる</x:v>
      </x:c>
      <x:c r="J783" s="171" t="str">
        <x:v>B</x:v>
      </x:c>
      <x:c r="K783" s="165" t="str">
        <x:v>香り高い赤・黒系果実、花、色、比較的安定した収量を与える</x:v>
      </x:c>
      <x:c r="L783" s="165" t="str">
        <x:v>正しい。トウリガ・ナシオナルより栽培しやすく、香りと構造を補う重要品種である。</x:v>
      </x:c>
      <x:c r="M783" s="165" t="str">
        <x:v>誤り。甘味は酒精強化による発酵停止で残す。</x:v>
      </x:c>
      <x:c r="N783" s="165" t="str">
        <x:v>正しい。トウリガ・ナシオナルより栽培しやすく、香りと構造を補う重要品種である。</x:v>
      </x:c>
      <x:c r="O783" s="165" t="str">
        <x:v>誤り。黒品種で色と香りを与える。</x:v>
      </x:c>
      <x:c r="P783" s="165" t="str">
        <x:v>誤り。ルビー系を含む幅広いポートに用いられる。</x:v>
      </x:c>
      <x:c r="Q783" s="165" t="str">
        <x:v>品種</x:v>
      </x:c>
      <x:c r="R783" s="165" t="str">
        <x:v>ポート</x:v>
      </x:c>
      <x:c r="S783" s="165" t="str">
        <x:v>酒精強化ワイン</x:v>
      </x:c>
      <x:c r="T783" s="165" t="str">
        <x:v>ポルトガル</x:v>
      </x:c>
      <x:c r="U783" s="165" t="str">
        <x:v>ドウロ</x:v>
      </x:c>
      <x:c r="V783" s="165" t="str">
        <x:v>トウリガ・フランカ</x:v>
      </x:c>
      <x:c r="W783" s="165" t="str">
        <x:v>知識確認</x:v>
      </x:c>
      <x:c r="X783" s="171" t="str">
        <x:v>D2</x:v>
      </x:c>
      <x:c r="Y783" s="165" t="str">
        <x:v>トウリガ・フランカの役割に関する別の特徴・要因と混同; トウリガ・フランカの役割に関する別の特徴・要因と混同; トウリガ・フランカの役割に関する別の特徴・要因と混同</x:v>
      </x:c>
      <x:c r="Z783" s="171" t="str">
        <x:v>N</x:v>
      </x:c>
      <x:c r="AA783" s="165"/>
      <x:c r="AB783" s="165" t="str">
        <x:v>オリジナル</x:v>
      </x:c>
      <x:c r="AC783" s="165" t="str">
        <x:v>WSET公式Specificationの範囲＋ユーザー作成コーパスの論点を参考に独自作成</x:v>
      </x:c>
      <x:c r="AD783" s="171" t="str">
        <x:v>改稿済み・専門家未承認</x:v>
      </x:c>
      <x:c r="AE783" s="171" t="str">
        <x:v>AI誤答レビュー</x:v>
      </x:c>
      <x:c r="AF783" s="171" t="str">
        <x:v>2026-07-12</x:v>
      </x:c>
      <x:c r="AG783" s="369" t="str">
        <x:v>最終バッチ：有効な誤答を維持し、絶対語・物理的不可能な誤答のみ置換。正答位置は維持。</x:v>
      </x:c>
    </x:row>
    <x:row r="784" ht="84" customHeight="1">
      <x:c r="A784" s="368" t="str">
        <x:v>LO4-123</x:v>
      </x:c>
      <x:c r="B784" s="171" t="str">
        <x:v>LO4</x:v>
      </x:c>
      <x:c r="C784" s="165" t="str">
        <x:v>世界の主要な酒精強化ワイン</x:v>
      </x:c>
      <x:c r="D784" s="165" t="str">
        <x:v>ティンタ・ロリスの役割</x:v>
      </x:c>
      <x:c r="E784" s="165" t="str">
        <x:v>ポートのブレンドでティンタ・ロリスが主に与えるものはどれか。</x:v>
      </x:c>
      <x:c r="F784" s="165" t="str">
        <x:v>強いマスカット香</x:v>
      </x:c>
      <x:c r="G784" s="165" t="str">
        <x:v>フロール由来のアセトアルデヒド香</x:v>
      </x:c>
      <x:c r="H784" s="165" t="str">
        <x:v>赤系果実、ボディ、タンニン、比較的早い成熟</x:v>
      </x:c>
      <x:c r="I784" s="165" t="str">
        <x:v>無色の果汁だけ</x:v>
      </x:c>
      <x:c r="J784" s="171" t="str">
        <x:v>C</x:v>
      </x:c>
      <x:c r="K784" s="165" t="str">
        <x:v>赤系果実、ボディ、タンニン、比較的早い成熟</x:v>
      </x:c>
      <x:c r="L784" s="165" t="str">
        <x:v>正しい。テンプラニーリョと同一品種で、ブレンドへ果実味と構造を加える。</x:v>
      </x:c>
      <x:c r="M784" s="165" t="str">
        <x:v>誤り。芳香性のマスカット品種ではない。</x:v>
      </x:c>
      <x:c r="N784" s="165" t="str">
        <x:v>誤り。シェリーの熟成香である。</x:v>
      </x:c>
      <x:c r="O784" s="165" t="str">
        <x:v>正しい。テンプラニーリョと同一品種で、ブレンドへ果実味と構造を加える。</x:v>
      </x:c>
      <x:c r="P784" s="165" t="str">
        <x:v>誤り。黒品種である。</x:v>
      </x:c>
      <x:c r="Q784" s="165" t="str">
        <x:v>品種</x:v>
      </x:c>
      <x:c r="R784" s="165" t="str">
        <x:v>ポート</x:v>
      </x:c>
      <x:c r="S784" s="165" t="str">
        <x:v>酒精強化ワイン</x:v>
      </x:c>
      <x:c r="T784" s="165" t="str">
        <x:v>ポルトガル</x:v>
      </x:c>
      <x:c r="U784" s="165" t="str">
        <x:v>ドウロ</x:v>
      </x:c>
      <x:c r="V784" s="165" t="str">
        <x:v>ティンタ・ロリス</x:v>
      </x:c>
      <x:c r="W784" s="165" t="str">
        <x:v>知識確認</x:v>
      </x:c>
      <x:c r="X784" s="171" t="str">
        <x:v>D1</x:v>
      </x:c>
      <x:c r="Y784" s="165" t="str">
        <x:v>ティンタ・ロリスの役割に関する別の特徴・要因と混同; ティンタ・ロリスの役割に関する別の特徴・要因と混同; ティンタ・ロリスの役割に関する別の特徴・要因と混同</x:v>
      </x:c>
      <x:c r="Z784" s="171" t="str">
        <x:v>N</x:v>
      </x:c>
      <x:c r="AA784" s="165"/>
      <x:c r="AB784" s="165" t="str">
        <x:v>オリジナル</x:v>
      </x:c>
      <x:c r="AC784" s="165" t="str">
        <x:v>WSET公式Specificationの範囲＋ユーザー作成コーパスの論点を参考に独自作成</x:v>
      </x:c>
      <x:c r="AD784" s="171" t="str">
        <x:v>改稿済み・専門家未承認</x:v>
      </x:c>
      <x:c r="AE784" s="171" t="str">
        <x:v>AI誤答レビュー</x:v>
      </x:c>
      <x:c r="AF784" s="171" t="str">
        <x:v>2026-07-12</x:v>
      </x:c>
      <x:c r="AG784" s="369" t="str">
        <x:v>最終バッチ：有効な誤答を維持し、絶対語・物理的不可能な誤答のみ置換。正答位置は維持。</x:v>
      </x:c>
    </x:row>
    <x:row r="785" ht="84" customHeight="1">
      <x:c r="A785" s="368" t="str">
        <x:v>LO4-124</x:v>
      </x:c>
      <x:c r="B785" s="171" t="str">
        <x:v>LO4</x:v>
      </x:c>
      <x:c r="C785" s="165" t="str">
        <x:v>世界の主要な酒精強化ワイン</x:v>
      </x:c>
      <x:c r="D785" s="165" t="str">
        <x:v>ティンタ・バロッカ</x:v>
      </x:c>
      <x:c r="E785" s="165" t="str">
        <x:v>ティンタ・バロッカがドウロの涼しい畑で利用されやすい主な理由はどれか。</x:v>
      </x:c>
      <x:c r="F785" s="165" t="str">
        <x:v>タンニンをほとんど持たないため</x:v>
      </x:c>
      <x:c r="G785" s="165" t="str">
        <x:v>白品種としてフィノを造る</x:v>
      </x:c>
      <x:c r="H785" s="165" t="str">
        <x:v>最も晩熟で酸だけを与える</x:v>
      </x:c>
      <x:c r="I785" s="165" t="str">
        <x:v>早く成熟し、高い糖度と豊かな果実味を得やすい</x:v>
      </x:c>
      <x:c r="J785" s="171" t="str">
        <x:v>D</x:v>
      </x:c>
      <x:c r="K785" s="165" t="str">
        <x:v>早く成熟し、高い糖度と豊かな果実味を得やすい</x:v>
      </x:c>
      <x:c r="L785" s="165" t="str">
        <x:v>正しい。暑い場所では過熟しやすいが、冷涼な区画ではポートのアルコールとボディを補う。</x:v>
      </x:c>
      <x:c r="M785" s="165" t="str">
        <x:v>誤り。構造は穏やかでも、全くないわけではない。</x:v>
      </x:c>
      <x:c r="N785" s="165" t="str">
        <x:v>誤り。黒品種でポートに用いる。</x:v>
      </x:c>
      <x:c r="O785" s="165" t="str">
        <x:v>誤り。比較的早熟で糖度が上がりやすい。</x:v>
      </x:c>
      <x:c r="P785" s="165" t="str">
        <x:v>正しい。暑い場所では過熟しやすいが、冷涼な区画ではポートのアルコールとボディを補う。</x:v>
      </x:c>
      <x:c r="Q785" s="165" t="str">
        <x:v>品種</x:v>
      </x:c>
      <x:c r="R785" s="165" t="str">
        <x:v>ポート</x:v>
      </x:c>
      <x:c r="S785" s="165" t="str">
        <x:v>酒精強化ワイン</x:v>
      </x:c>
      <x:c r="T785" s="165" t="str">
        <x:v>ポルトガル</x:v>
      </x:c>
      <x:c r="U785" s="165" t="str">
        <x:v>ドウロ</x:v>
      </x:c>
      <x:c r="V785" s="165" t="str">
        <x:v>ティンタ・バロッカ</x:v>
      </x:c>
      <x:c r="W785" s="165" t="str">
        <x:v>因果説明</x:v>
      </x:c>
      <x:c r="X785" s="171" t="str">
        <x:v>D2</x:v>
      </x:c>
      <x:c r="Y785" s="165" t="str">
        <x:v>ティンタ・バロッカについて関連要因を主因とみなす; ティンタ・バロッカについて関連要因を主因とみなす; ティンタ・バロッカについて関連要因を主因とみなす</x:v>
      </x:c>
      <x:c r="Z785" s="171" t="str">
        <x:v>N</x:v>
      </x:c>
      <x:c r="AA785" s="165"/>
      <x:c r="AB785" s="165" t="str">
        <x:v>オリジナル</x:v>
      </x:c>
      <x:c r="AC785" s="165" t="str">
        <x:v>WSET公式Specificationの範囲＋ユーザー作成コーパスの論点を参考に独自作成</x:v>
      </x:c>
      <x:c r="AD785" s="171" t="str">
        <x:v>改稿済み・専門家未承認</x:v>
      </x:c>
      <x:c r="AE785" s="171" t="str">
        <x:v>AI誤答レビュー</x:v>
      </x:c>
      <x:c r="AF785" s="171" t="str">
        <x:v>2026-07-12</x:v>
      </x:c>
      <x:c r="AG785" s="369" t="str">
        <x:v>第5バッチ：使用可能な誤答を維持し、弱い誤答を因果逆転・隣接概念へ置換。正答位置は維持。</x:v>
      </x:c>
    </x:row>
    <x:row r="786" ht="84" customHeight="1">
      <x:c r="A786" s="368" t="str">
        <x:v>LO4-125</x:v>
      </x:c>
      <x:c r="B786" s="171" t="str">
        <x:v>LO4</x:v>
      </x:c>
      <x:c r="C786" s="165" t="str">
        <x:v>世界の主要な酒精強化ワイン</x:v>
      </x:c>
      <x:c r="D786" s="165" t="str">
        <x:v>ティンタ・カン</x:v>
      </x:c>
      <x:c r="E786" s="165" t="str">
        <x:v>ティンタ・カンがポートのブレンドで少量でも価値を持つ主な理由はどれか。</x:v>
      </x:c>
      <x:c r="F786" s="165" t="str">
        <x:v>高い酸、タンニン、スパイスを与え、熟成能力を高める</x:v>
      </x:c>
      <x:c r="G786" s="165" t="str">
        <x:v>低酸で糖だけを与える</x:v>
      </x:c>
      <x:c r="H786" s="165" t="str">
        <x:v>白品種である</x:v>
      </x:c>
      <x:c r="I786" s="165" t="str">
        <x:v>発泡性を高める</x:v>
      </x:c>
      <x:c r="J786" s="171" t="str">
        <x:v>A</x:v>
      </x:c>
      <x:c r="K786" s="165" t="str">
        <x:v>高い酸、タンニン、スパイスを与え、熟成能力を高める</x:v>
      </x:c>
      <x:c r="L786" s="165" t="str">
        <x:v>正しい。収量は低いが、暑い地域でも酸を保ち、甘味とアルコールの重さを引き締める。</x:v>
      </x:c>
      <x:c r="M786" s="165" t="str">
        <x:v>正しい。収量は低いが、暑い地域でも酸を保ち、甘味とアルコールの重さを引き締める。</x:v>
      </x:c>
      <x:c r="N786" s="165" t="str">
        <x:v>誤り。高い酸と構造が特徴である。</x:v>
      </x:c>
      <x:c r="O786" s="165" t="str">
        <x:v>誤り。黒品種である。</x:v>
      </x:c>
      <x:c r="P786" s="165" t="str">
        <x:v>誤り。ポートは非発泡性である。</x:v>
      </x:c>
      <x:c r="Q786" s="165" t="str">
        <x:v>品種</x:v>
      </x:c>
      <x:c r="R786" s="165" t="str">
        <x:v>ポート</x:v>
      </x:c>
      <x:c r="S786" s="165" t="str">
        <x:v>酒精強化ワイン</x:v>
      </x:c>
      <x:c r="T786" s="165" t="str">
        <x:v>ポルトガル</x:v>
      </x:c>
      <x:c r="U786" s="165" t="str">
        <x:v>ドウロ</x:v>
      </x:c>
      <x:c r="V786" s="165" t="str">
        <x:v>ティンタ・カン</x:v>
      </x:c>
      <x:c r="W786" s="165" t="str">
        <x:v>因果説明</x:v>
      </x:c>
      <x:c r="X786" s="171" t="str">
        <x:v>D2</x:v>
      </x:c>
      <x:c r="Y786" s="165" t="str">
        <x:v>ティンタ・カンに関する別の特徴・要因と混同; ティンタ・カンに関する別の特徴・要因と混同; ティンタ・カンに関する別の特徴・要因と混同</x:v>
      </x:c>
      <x:c r="Z786" s="171" t="str">
        <x:v>N</x:v>
      </x:c>
      <x:c r="AA786" s="165"/>
      <x:c r="AB786" s="165" t="str">
        <x:v>オリジナル</x:v>
      </x:c>
      <x:c r="AC786" s="165" t="str">
        <x:v>WSET公式Specificationの範囲＋ユーザー作成コーパスの論点を参考に独自作成</x:v>
      </x:c>
      <x:c r="AD786" s="171" t="str">
        <x:v>改稿済み・専門家未承認</x:v>
      </x:c>
      <x:c r="AE786" s="171" t="str">
        <x:v>AI誤答レビュー</x:v>
      </x:c>
      <x:c r="AF786" s="171" t="str">
        <x:v>2026-07-12</x:v>
      </x:c>
      <x:c r="AG786" s="369" t="str">
        <x:v>最終バッチ：有効な誤答を維持し、絶対語・物理的不可能な誤答のみ置換。正答位置は維持。</x:v>
      </x:c>
    </x:row>
    <x:row r="787" ht="84" customHeight="1">
      <x:c r="A787" s="368" t="str">
        <x:v>LO4-126</x:v>
      </x:c>
      <x:c r="B787" s="171" t="str">
        <x:v>LO4</x:v>
      </x:c>
      <x:c r="C787" s="165" t="str">
        <x:v>世界の主要な酒精強化ワイン</x:v>
      </x:c>
      <x:c r="D787" s="165" t="str">
        <x:v>ソカロス</x:v>
      </x:c>
      <x:c r="E787" s="165" t="str">
        <x:v>伝統的な石壁段々畑であるソカロスの主な利点はどれか。</x:v>
      </x:c>
      <x:c r="F787" s="165" t="str">
        <x:v>高い植栽密度と機械作業の直線的なアクセスを確保できる</x:v>
      </x:c>
      <x:c r="G787" s="165" t="str">
        <x:v>急斜面の土壌流出を抑え、狭い平坦面でブドウを栽培できる</x:v>
      </x:c>
      <x:c r="H787" s="165" t="str">
        <x:v>石壁が畑を機械化し、収穫費を下げる</x:v>
      </x:c>
      <x:c r="I787" s="165" t="str">
        <x:v>石壁が水の移動を遮り、根を表土に集中させる</x:v>
      </x:c>
      <x:c r="J787" s="171" t="str">
        <x:v>B</x:v>
      </x:c>
      <x:c r="K787" s="165" t="str">
        <x:v>急斜面の土壌流出を抑え、狭い平坦面でブドウを栽培できる</x:v>
      </x:c>
      <x:c r="L787" s="165" t="str">
        <x:v>正しい。石壁が斜面を支え、日照の良い急斜面を利用可能にする。</x:v>
      </x:c>
      <x:c r="M787" s="165" t="str">
        <x:v>誤り。これは同じ知識領域の「ヴィーニャ・アオ・アルト」に当てはまる説明で、設問の「ソカロス」を最も適切に説明しない。</x:v>
      </x:c>
      <x:c r="N787" s="165" t="str">
        <x:v>正しい。石壁が斜面を支え、日照の良い急斜面を利用可能にする。</x:v>
      </x:c>
      <x:c r="O787" s="165" t="str">
        <x:v>誤り。狭い段々畑は手作業が多い。</x:v>
      </x:c>
      <x:c r="P787" s="165" t="str">
        <x:v>誤り。排水を管理し、根は片岩の亀裂へ伸びる。</x:v>
      </x:c>
      <x:c r="Q787" s="165" t="str">
        <x:v>栽培</x:v>
      </x:c>
      <x:c r="R787" s="165" t="str">
        <x:v>ドウロの斜面</x:v>
      </x:c>
      <x:c r="S787" s="165" t="str">
        <x:v>酒精強化ワイン</x:v>
      </x:c>
      <x:c r="T787" s="165" t="str">
        <x:v>ポルトガル</x:v>
      </x:c>
      <x:c r="U787" s="165" t="str">
        <x:v>ドウロ</x:v>
      </x:c>
      <x:c r="V787" s="165"/>
      <x:c r="W787" s="165" t="str">
        <x:v>統合判断</x:v>
      </x:c>
      <x:c r="X787" s="171" t="str">
        <x:v>D3</x:v>
      </x:c>
      <x:c r="Y787" s="165" t="str">
        <x:v>ソカロスをヴィーニャ・アオ・アルトの特徴と混同; ソカロスは機械化・低コスト; ソカロスは水を完全遮断</x:v>
      </x:c>
      <x:c r="Z787" s="171" t="str">
        <x:v>N</x:v>
      </x:c>
      <x:c r="AA787" s="165"/>
      <x:c r="AB787" s="165" t="str">
        <x:v>オリジナル</x:v>
      </x:c>
      <x:c r="AC787" s="165" t="str">
        <x:v>WSET公式Specificationの範囲＋ユーザー作成コーパスの論点を参考に独自作成</x:v>
      </x:c>
      <x:c r="AD787" s="171" t="str">
        <x:v>改稿済み・専門家未承認</x:v>
      </x:c>
      <x:c r="AE787" s="171" t="str">
        <x:v>AI誤答レビュー</x:v>
      </x:c>
      <x:c r="AF787" s="171" t="str">
        <x:v>2026-07-12</x:v>
      </x:c>
      <x:c r="AG787" s="369" t="str">
        <x:v>第4バッチ：同一論点内の典型的誤概念へ置換。正答位置は維持。</x:v>
      </x:c>
    </x:row>
    <x:row r="788" ht="84" customHeight="1">
      <x:c r="A788" s="368" t="str">
        <x:v>LO4-127</x:v>
      </x:c>
      <x:c r="B788" s="171" t="str">
        <x:v>LO4</x:v>
      </x:c>
      <x:c r="C788" s="165" t="str">
        <x:v>世界の主要な酒精強化ワイン</x:v>
      </x:c>
      <x:c r="D788" s="165" t="str">
        <x:v>パタマレス</x:v>
      </x:c>
      <x:c r="E788" s="165" t="str">
        <x:v>パタマレスが伝統的ソカロスより機械化しやすい主な理由はどれか。</x:v>
      </x:c>
      <x:c r="F788" s="165" t="str">
        <x:v>段が存在せず、斜面を直線で下るだけだから</x:v>
      </x:c>
      <x:c r="G788" s="165" t="str">
        <x:v>果実を乾燥する倉庫だから</x:v>
      </x:c>
      <x:c r="H788" s="165" t="str">
        <x:v>石壁を持たない幅広い土の段に、機械が通れる空間を確保できる</x:v>
      </x:c>
      <x:c r="I788" s="165" t="str">
        <x:v>フロール熟成用の樽だから</x:v>
      </x:c>
      <x:c r="J788" s="171" t="str">
        <x:v>C</x:v>
      </x:c>
      <x:c r="K788" s="165" t="str">
        <x:v>石壁を持たない幅広い土の段に、機械が通れる空間を確保できる</x:v>
      </x:c>
      <x:c r="L788" s="165" t="str">
        <x:v>正しい。建設と作業の費用を下げられるが、排水と斜面安定の管理が必要である。</x:v>
      </x:c>
      <x:c r="M788" s="165" t="str">
        <x:v>誤り。幅広い土の段を造成する。</x:v>
      </x:c>
      <x:c r="N788" s="165" t="str">
        <x:v>誤り。畑の仕立て方法である。</x:v>
      </x:c>
      <x:c r="O788" s="165" t="str">
        <x:v>正しい。建設と作業の費用を下げられるが、排水と斜面安定の管理が必要である。</x:v>
      </x:c>
      <x:c r="P788" s="165" t="str">
        <x:v>誤り。シェリーの設備ではない。</x:v>
      </x:c>
      <x:c r="Q788" s="165" t="str">
        <x:v>栽培</x:v>
      </x:c>
      <x:c r="R788" s="165" t="str">
        <x:v>ドウロの斜面</x:v>
      </x:c>
      <x:c r="S788" s="165" t="str">
        <x:v>酒精強化ワイン</x:v>
      </x:c>
      <x:c r="T788" s="165" t="str">
        <x:v>ポルトガル</x:v>
      </x:c>
      <x:c r="U788" s="165" t="str">
        <x:v>ドウロ</x:v>
      </x:c>
      <x:c r="V788" s="165"/>
      <x:c r="W788" s="165" t="str">
        <x:v>比較</x:v>
      </x:c>
      <x:c r="X788" s="171" t="str">
        <x:v>D2</x:v>
      </x:c>
      <x:c r="Y788" s="165" t="str">
        <x:v>パタマレスに関する別の特徴・要因と混同; パタマレスに関する別の特徴・要因と混同; パタマレスに関する別の特徴・要因と混同</x:v>
      </x:c>
      <x:c r="Z788" s="171" t="str">
        <x:v>N</x:v>
      </x:c>
      <x:c r="AA788" s="165"/>
      <x:c r="AB788" s="165" t="str">
        <x:v>オリジナル</x:v>
      </x:c>
      <x:c r="AC788" s="165" t="str">
        <x:v>WSET公式Specificationの範囲＋ユーザー作成コーパスの論点を参考に独自作成</x:v>
      </x:c>
      <x:c r="AD788" s="171" t="str">
        <x:v>改稿済み・専門家未承認</x:v>
      </x:c>
      <x:c r="AE788" s="171" t="str">
        <x:v>AI誤答レビュー</x:v>
      </x:c>
      <x:c r="AF788" s="171" t="str">
        <x:v>2026-07-12</x:v>
      </x:c>
      <x:c r="AG788" s="369" t="str">
        <x:v>最終バッチ：有効な誤答を維持し、絶対語・物理的不可能な誤答のみ置換。正答位置は維持。</x:v>
      </x:c>
    </x:row>
    <x:row r="789" ht="84" customHeight="1">
      <x:c r="A789" s="368" t="str">
        <x:v>LO4-128</x:v>
      </x:c>
      <x:c r="B789" s="171" t="str">
        <x:v>LO4</x:v>
      </x:c>
      <x:c r="C789" s="165" t="str">
        <x:v>世界の主要な酒精強化ワイン</x:v>
      </x:c>
      <x:c r="D789" s="165" t="str">
        <x:v>ヴィーニャ・アオ・アルト</x:v>
      </x:c>
      <x:c r="E789" s="165" t="str">
        <x:v>ヴィーニャ・アオ・アルトで畝を斜面の上下方向へ設ける主な利点はどれか。</x:v>
      </x:c>
      <x:c r="F789" s="165" t="str">
        <x:v>瓶内熟成の方法である</x:v>
      </x:c>
      <x:c r="G789" s="165" t="str">
        <x:v>ブドウを水中栽培する</x:v>
      </x:c>
      <x:c r="H789" s="165" t="str">
        <x:v>等高線に沿うため水の流れを大きく止める</x:v>
      </x:c>
      <x:c r="I789" s="165" t="str">
        <x:v>高い植栽密度と機械作業の直線的なアクセスを確保できる</x:v>
      </x:c>
      <x:c r="J789" s="171" t="str">
        <x:v>D</x:v>
      </x:c>
      <x:c r="K789" s="165" t="str">
        <x:v>高い植栽密度と機械作業の直線的なアクセスを確保できる</x:v>
      </x:c>
      <x:c r="L789" s="165" t="str">
        <x:v>正しい。段々畑を造らずに斜面を利用できるが、急斜面では浸食リスクが高まる。</x:v>
      </x:c>
      <x:c r="M789" s="165" t="str">
        <x:v>誤り。畑の畝方向である。</x:v>
      </x:c>
      <x:c r="N789" s="165" t="str">
        <x:v>誤り。乾燥した斜面の栽培方法である。</x:v>
      </x:c>
      <x:c r="O789" s="165" t="str">
        <x:v>誤り。斜面上下方向のため流出リスクがある。</x:v>
      </x:c>
      <x:c r="P789" s="165" t="str">
        <x:v>正しい。段々畑を造らずに斜面を利用できるが、急斜面では浸食リスクが高まる。</x:v>
      </x:c>
      <x:c r="Q789" s="165" t="str">
        <x:v>栽培</x:v>
      </x:c>
      <x:c r="R789" s="165" t="str">
        <x:v>ドウロの斜面</x:v>
      </x:c>
      <x:c r="S789" s="165" t="str">
        <x:v>酒精強化ワイン</x:v>
      </x:c>
      <x:c r="T789" s="165" t="str">
        <x:v>ポルトガル</x:v>
      </x:c>
      <x:c r="U789" s="165" t="str">
        <x:v>ドウロ</x:v>
      </x:c>
      <x:c r="V789" s="165"/>
      <x:c r="W789" s="165" t="str">
        <x:v>比較</x:v>
      </x:c>
      <x:c r="X789" s="171" t="str">
        <x:v>D3</x:v>
      </x:c>
      <x:c r="Y789" s="165" t="str">
        <x:v>ヴィーニャ・アオ・アルトについて関連要因を主因とみなす; ヴィーニャ・アオ・アルトについて関連要因を主因とみなす; ヴィーニャ・アオ・アルトについて関連要因を主因とみなす</x:v>
      </x:c>
      <x:c r="Z789" s="171" t="str">
        <x:v>N</x:v>
      </x:c>
      <x:c r="AA789" s="165"/>
      <x:c r="AB789" s="165" t="str">
        <x:v>オリジナル</x:v>
      </x:c>
      <x:c r="AC789" s="165" t="str">
        <x:v>WSET公式Specificationの範囲＋ユーザー作成コーパスの論点を参考に独自作成</x:v>
      </x:c>
      <x:c r="AD789" s="171" t="str">
        <x:v>改稿済み・専門家未承認</x:v>
      </x:c>
      <x:c r="AE789" s="171" t="str">
        <x:v>AI誤答レビュー</x:v>
      </x:c>
      <x:c r="AF789" s="171" t="str">
        <x:v>2026-07-12</x:v>
      </x:c>
      <x:c r="AG789" s="369" t="str">
        <x:v>第5バッチ：使用可能な誤答を維持し、弱い誤答を因果逆転・隣接概念へ置換。正答位置は維持。</x:v>
      </x:c>
    </x:row>
    <x:row r="790" ht="84" customHeight="1">
      <x:c r="A790" s="368" t="str">
        <x:v>LO4-129</x:v>
      </x:c>
      <x:c r="B790" s="171" t="str">
        <x:v>LO4</x:v>
      </x:c>
      <x:c r="C790" s="165" t="str">
        <x:v>世界の主要な酒精強化ワイン</x:v>
      </x:c>
      <x:c r="D790" s="165" t="str">
        <x:v>ドウロの浸食</x:v>
      </x:c>
      <x:c r="E790" s="165" t="str">
        <x:v>ドウロの急斜面で豪雨による土壌浸食を抑えるため重要な対策はどれか。</x:v>
      </x:c>
      <x:c r="F790" s="165" t="str">
        <x:v>排水路、段々畑の保守、被覆植物、畝方向の適切な設計</x:v>
      </x:c>
      <x:c r="G790" s="165" t="str">
        <x:v>発酵槽の温度を下げる</x:v>
      </x:c>
      <x:c r="H790" s="165" t="str">
        <x:v>石壁を多く除去する</x:v>
      </x:c>
      <x:c r="I790" s="165" t="str">
        <x:v>斜面を裸地にして流速を上げる</x:v>
      </x:c>
      <x:c r="J790" s="171" t="str">
        <x:v>A</x:v>
      </x:c>
      <x:c r="K790" s="165" t="str">
        <x:v>排水路、段々畑の保守、被覆植物、畝方向の適切な設計</x:v>
      </x:c>
      <x:c r="L790" s="165" t="str">
        <x:v>正しい。短時間の強い雨が表土を流すため、水の速度を下げて安全に排出する必要がある。</x:v>
      </x:c>
      <x:c r="M790" s="165" t="str">
        <x:v>正しい。短時間の強い雨が表土を流すため、水の速度を下げて安全に排出する必要がある。</x:v>
      </x:c>
      <x:c r="N790" s="165" t="str">
        <x:v>誤り。畑の浸食とは無関係である。</x:v>
      </x:c>
      <x:c r="O790" s="165" t="str">
        <x:v>誤り。斜面安定性を失う。</x:v>
      </x:c>
      <x:c r="P790" s="165" t="str">
        <x:v>誤り。浸食を悪化させる。</x:v>
      </x:c>
      <x:c r="Q790" s="165" t="str">
        <x:v>栽培</x:v>
      </x:c>
      <x:c r="R790" s="165" t="str">
        <x:v>土壌保全</x:v>
      </x:c>
      <x:c r="S790" s="165" t="str">
        <x:v>酒精強化ワイン</x:v>
      </x:c>
      <x:c r="T790" s="165" t="str">
        <x:v>ポルトガル</x:v>
      </x:c>
      <x:c r="U790" s="165" t="str">
        <x:v>ドウロ</x:v>
      </x:c>
      <x:c r="V790" s="165"/>
      <x:c r="W790" s="165" t="str">
        <x:v>適用</x:v>
      </x:c>
      <x:c r="X790" s="171" t="str">
        <x:v>D3</x:v>
      </x:c>
      <x:c r="Y790" s="165" t="str">
        <x:v>ドウロの浸食について関連要因を主因とみなす; ドウロの浸食について関連要因を主因とみなす; ドウロの浸食について関連要因を主因とみなす</x:v>
      </x:c>
      <x:c r="Z790" s="171" t="str">
        <x:v>N</x:v>
      </x:c>
      <x:c r="AA790" s="165"/>
      <x:c r="AB790" s="165" t="str">
        <x:v>オリジナル</x:v>
      </x:c>
      <x:c r="AC790" s="165" t="str">
        <x:v>WSET公式Specificationの範囲＋ユーザー作成コーパスの論点を参考に独自作成</x:v>
      </x:c>
      <x:c r="AD790" s="171" t="str">
        <x:v>改稿済み・専門家未承認</x:v>
      </x:c>
      <x:c r="AE790" s="171" t="str">
        <x:v>AI誤答レビュー</x:v>
      </x:c>
      <x:c r="AF790" s="171" t="str">
        <x:v>2026-07-12</x:v>
      </x:c>
      <x:c r="AG790" s="369" t="str">
        <x:v>第5バッチ：使用可能な誤答を維持し、弱い誤答を因果逆転・隣接概念へ置換。正答位置は維持。</x:v>
      </x:c>
    </x:row>
    <x:row r="791" ht="84" customHeight="1">
      <x:c r="A791" s="368" t="str">
        <x:v>LO4-130</x:v>
      </x:c>
      <x:c r="B791" s="171" t="str">
        <x:v>LO4</x:v>
      </x:c>
      <x:c r="C791" s="165" t="str">
        <x:v>世界の主要な酒精強化ワイン</x:v>
      </x:c>
      <x:c r="D791" s="165" t="str">
        <x:v>バイショ・コルゴの気候</x:v>
      </x:c>
      <x:c r="E791" s="165" t="str">
        <x:v>バイショ・コルゴがドウロ・スペリオールより一般に収量が高く、果実濃度が低くなりやすい主な理由はどれか。</x:v>
      </x:c>
      <x:c r="F791" s="165" t="str">
        <x:v>白ブドウしか育たないから</x:v>
      </x:c>
      <x:c r="G791" s="165" t="str">
        <x:v>西側で降水量が多く、土壌と樹勢が比較的豊かだから</x:v>
      </x:c>
      <x:c r="H791" s="165" t="str">
        <x:v>標高が最も高いから</x:v>
      </x:c>
      <x:c r="I791" s="165" t="str">
        <x:v>最も乾燥し暑い地域だから</x:v>
      </x:c>
      <x:c r="J791" s="171" t="str">
        <x:v>B</x:v>
      </x:c>
      <x:c r="K791" s="165" t="str">
        <x:v>西側で降水量が多く、土壌と樹勢が比較的豊かだから</x:v>
      </x:c>
      <x:c r="L791" s="165" t="str">
        <x:v>正しい。水分供給が多く樹が成長しやすい一方、腐敗や希釈のリスクも高い。</x:v>
      </x:c>
      <x:c r="M791" s="165" t="str">
        <x:v>誤り。黒ブドウも広く栽培される。</x:v>
      </x:c>
      <x:c r="N791" s="165" t="str">
        <x:v>正しい。水分供給が多く樹が成長しやすい一方、腐敗や希釈のリスクも高い。</x:v>
      </x:c>
      <x:c r="O791" s="165" t="str">
        <x:v>誤り。地域内に幅があり、主因は西側の湿潤さである。</x:v>
      </x:c>
      <x:c r="P791" s="165" t="str">
        <x:v>誤り。それはドウロ・スペリオールに近い。</x:v>
      </x:c>
      <x:c r="Q791" s="165" t="str">
        <x:v>自然要因</x:v>
      </x:c>
      <x:c r="R791" s="165" t="str">
        <x:v>ポート</x:v>
      </x:c>
      <x:c r="S791" s="165" t="str">
        <x:v>酒精強化ワイン</x:v>
      </x:c>
      <x:c r="T791" s="165" t="str">
        <x:v>ポルトガル</x:v>
      </x:c>
      <x:c r="U791" s="165" t="str">
        <x:v>バイショ・コルゴ</x:v>
      </x:c>
      <x:c r="V791" s="165"/>
      <x:c r="W791" s="165" t="str">
        <x:v>比較</x:v>
      </x:c>
      <x:c r="X791" s="171" t="str">
        <x:v>D3</x:v>
      </x:c>
      <x:c r="Y791" s="165" t="str">
        <x:v>バイショ・コルゴの気候について関連要因を主因とみなす; バイショ・コルゴの気候について関連要因を主因とみなす; バイショ・コルゴの気候について関連要因を主因とみなす</x:v>
      </x:c>
      <x:c r="Z791" s="171" t="str">
        <x:v>N</x:v>
      </x:c>
      <x:c r="AA791" s="165"/>
      <x:c r="AB791" s="165" t="str">
        <x:v>オリジナル</x:v>
      </x:c>
      <x:c r="AC791" s="165" t="str">
        <x:v>WSET公式Specificationの範囲＋ユーザー作成コーパスの論点を参考に独自作成</x:v>
      </x:c>
      <x:c r="AD791" s="171" t="str">
        <x:v>改稿済み・専門家未承認</x:v>
      </x:c>
      <x:c r="AE791" s="171" t="str">
        <x:v>AI誤答レビュー</x:v>
      </x:c>
      <x:c r="AF791" s="171" t="str">
        <x:v>2026-07-12</x:v>
      </x:c>
      <x:c r="AG791" s="369" t="str">
        <x:v>第5バッチ：使用可能な誤答を維持し、弱い誤答を因果逆転・隣接概念へ置換。正答位置は維持。</x:v>
      </x:c>
    </x:row>
    <x:row r="792" ht="84" customHeight="1">
      <x:c r="A792" s="368" t="str">
        <x:v>LO4-131</x:v>
      </x:c>
      <x:c r="B792" s="171" t="str">
        <x:v>LO4</x:v>
      </x:c>
      <x:c r="C792" s="165" t="str">
        <x:v>世界の主要な酒精強化ワイン</x:v>
      </x:c>
      <x:c r="D792" s="165" t="str">
        <x:v>シマ・コルゴの品質</x:v>
      </x:c>
      <x:c r="E792" s="165" t="str">
        <x:v>シマ・コルゴが高品質ヴィンテージ・ポートの中心地となる主な理由はどれか。</x:v>
      </x:c>
      <x:c r="F792" s="165" t="str">
        <x:v>酒精強化を行わないから</x:v>
      </x:c>
      <x:c r="G792" s="165" t="str">
        <x:v>平坦な肥沃地で高収量だから</x:v>
      </x:c>
      <x:c r="H792" s="165" t="str">
        <x:v>暑く乾燥しながら極端すぎず、優良な急斜面で低収量の成熟果を得られる</x:v>
      </x:c>
      <x:c r="I792" s="165" t="str">
        <x:v>一年中冷涼で成熟しないから</x:v>
      </x:c>
      <x:c r="J792" s="171" t="str">
        <x:v>C</x:v>
      </x:c>
      <x:c r="K792" s="165" t="str">
        <x:v>暑く乾燥しながら極端すぎず、優良な急斜面で低収量の成熟果を得られる</x:v>
      </x:c>
      <x:c r="L792" s="165" t="str">
        <x:v>正しい。バイショ・コルゴより凝縮し、ドウロ・スペリオールより多様な方角と標高を持つ。</x:v>
      </x:c>
      <x:c r="M792" s="165" t="str">
        <x:v>誤り。ポート製造では酒精強化する。</x:v>
      </x:c>
      <x:c r="N792" s="165" t="str">
        <x:v>誤り。痩せた急斜面が多い。</x:v>
      </x:c>
      <x:c r="O792" s="165" t="str">
        <x:v>正しい。バイショ・コルゴより凝縮し、ドウロ・スペリオールより多様な方角と標高を持つ。</x:v>
      </x:c>
      <x:c r="P792" s="165" t="str">
        <x:v>誤り。十分な暖かさがある。</x:v>
      </x:c>
      <x:c r="Q792" s="165" t="str">
        <x:v>自然要因</x:v>
      </x:c>
      <x:c r="R792" s="165" t="str">
        <x:v>ポート</x:v>
      </x:c>
      <x:c r="S792" s="165" t="str">
        <x:v>酒精強化ワイン</x:v>
      </x:c>
      <x:c r="T792" s="165" t="str">
        <x:v>ポルトガル</x:v>
      </x:c>
      <x:c r="U792" s="165" t="str">
        <x:v>シマ・コルゴ</x:v>
      </x:c>
      <x:c r="V792" s="165"/>
      <x:c r="W792" s="165" t="str">
        <x:v>統合判断</x:v>
      </x:c>
      <x:c r="X792" s="171" t="str">
        <x:v>D3</x:v>
      </x:c>
      <x:c r="Y792" s="165" t="str">
        <x:v>シマ・コルゴの品質について関連要因を主因とみなす; シマ・コルゴの品質について関連要因を主因とみなす; シマ・コルゴの品質について関連要因を主因とみなす</x:v>
      </x:c>
      <x:c r="Z792" s="171" t="str">
        <x:v>N</x:v>
      </x:c>
      <x:c r="AA792" s="165"/>
      <x:c r="AB792" s="165" t="str">
        <x:v>オリジナル</x:v>
      </x:c>
      <x:c r="AC792" s="165" t="str">
        <x:v>WSET公式Specificationの範囲＋ユーザー作成コーパスの論点を参考に独自作成</x:v>
      </x:c>
      <x:c r="AD792" s="171" t="str">
        <x:v>改稿済み・専門家未承認</x:v>
      </x:c>
      <x:c r="AE792" s="171" t="str">
        <x:v>AI誤答レビュー</x:v>
      </x:c>
      <x:c r="AF792" s="171" t="str">
        <x:v>2026-07-12</x:v>
      </x:c>
      <x:c r="AG792" s="369" t="str">
        <x:v>第5バッチ：使用可能な誤答を維持し、弱い誤答を因果逆転・隣接概念へ置換。正答位置は維持。</x:v>
      </x:c>
    </x:row>
    <x:row r="793" ht="84" customHeight="1">
      <x:c r="A793" s="368" t="str">
        <x:v>LO4-132</x:v>
      </x:c>
      <x:c r="B793" s="171" t="str">
        <x:v>LO4</x:v>
      </x:c>
      <x:c r="C793" s="165" t="str">
        <x:v>世界の主要な酒精強化ワイン</x:v>
      </x:c>
      <x:c r="D793" s="165" t="str">
        <x:v>ドウロ・スペリオールの課題</x:v>
      </x:c>
      <x:c r="E793" s="165" t="str">
        <x:v>ドウロ・スペリオールで高品質果実を得られる一方、栽培上の大きな課題はどれか。</x:v>
      </x:c>
      <x:c r="F793" s="165" t="str">
        <x:v>海洋霧が日照を大きく遮る</x:v>
      </x:c>
      <x:c r="G793" s="165" t="str">
        <x:v>成熟不足が常に最大の問題</x:v>
      </x:c>
      <x:c r="H793" s="165" t="str">
        <x:v>年間を通じた多雨と灰色かび病だけ</x:v>
      </x:c>
      <x:c r="I793" s="165" t="str">
        <x:v>極端な暑さと乾燥、水不足、遠隔地による労働・輸送コスト</x:v>
      </x:c>
      <x:c r="J793" s="171" t="str">
        <x:v>D</x:v>
      </x:c>
      <x:c r="K793" s="165" t="str">
        <x:v>極端な暑さと乾燥、水不足、遠隔地による労働・輸送コスト</x:v>
      </x:c>
      <x:c r="L793" s="165" t="str">
        <x:v>正しい。病害は少ないが、灌漑や日焼け対策が必要で、広大な畑の管理費も高くなる。</x:v>
      </x:c>
      <x:c r="M793" s="165" t="str">
        <x:v>誤り。内陸で海洋影響は弱い。</x:v>
      </x:c>
      <x:c r="N793" s="165" t="str">
        <x:v>誤り。むしろ過熟と水不足が問題になりやすい。</x:v>
      </x:c>
      <x:c r="O793" s="165" t="str">
        <x:v>誤り。東部は非常に乾燥している。</x:v>
      </x:c>
      <x:c r="P793" s="165" t="str">
        <x:v>正しい。病害は少ないが、灌漑や日焼け対策が必要で、広大な畑の管理費も高くなる。</x:v>
      </x:c>
      <x:c r="Q793" s="165" t="str">
        <x:v>自然要因</x:v>
      </x:c>
      <x:c r="R793" s="165" t="str">
        <x:v>ポート</x:v>
      </x:c>
      <x:c r="S793" s="165" t="str">
        <x:v>酒精強化ワイン</x:v>
      </x:c>
      <x:c r="T793" s="165" t="str">
        <x:v>ポルトガル</x:v>
      </x:c>
      <x:c r="U793" s="165" t="str">
        <x:v>ドウロ・スペリオール</x:v>
      </x:c>
      <x:c r="V793" s="165"/>
      <x:c r="W793" s="165" t="str">
        <x:v>統合判断</x:v>
      </x:c>
      <x:c r="X793" s="171" t="str">
        <x:v>D3</x:v>
      </x:c>
      <x:c r="Y793" s="165" t="str">
        <x:v>ドウロ・スペリオールの課題について関連要因を主因とみなす; ドウロ・スペリオールの課題について関連要因を主因とみなす; ドウロ・スペリオールの課題について関連要因を主因とみなす</x:v>
      </x:c>
      <x:c r="Z793" s="171" t="str">
        <x:v>N</x:v>
      </x:c>
      <x:c r="AA793" s="165"/>
      <x:c r="AB793" s="165" t="str">
        <x:v>オリジナル</x:v>
      </x:c>
      <x:c r="AC793" s="165" t="str">
        <x:v>WSET公式Specificationの範囲＋ユーザー作成コーパスの論点を参考に独自作成</x:v>
      </x:c>
      <x:c r="AD793" s="171" t="str">
        <x:v>改稿済み・専門家未承認</x:v>
      </x:c>
      <x:c r="AE793" s="171" t="str">
        <x:v>AI誤答レビュー</x:v>
      </x:c>
      <x:c r="AF793" s="171" t="str">
        <x:v>2026-07-12</x:v>
      </x:c>
      <x:c r="AG793" s="369" t="str">
        <x:v>第5バッチ：使用可能な誤答を維持し、弱い誤答を因果逆転・隣接概念へ置換。正答位置は維持。</x:v>
      </x:c>
    </x:row>
    <x:row r="794" ht="84" customHeight="1">
      <x:c r="A794" s="368" t="str">
        <x:v>LO4-133</x:v>
      </x:c>
      <x:c r="B794" s="171" t="str">
        <x:v>LO4</x:v>
      </x:c>
      <x:c r="C794" s="165" t="str">
        <x:v>世界の主要な酒精強化ワイン</x:v>
      </x:c>
      <x:c r="D794" s="165" t="str">
        <x:v>ヴィンテージ宣言</x:v>
      </x:c>
      <x:c r="E794" s="165" t="str">
        <x:v>生産者がヴィンテージ・ポートを宣言する際に最も重視する要素はどれか。</x:v>
      </x:c>
      <x:c r="F794" s="165" t="str">
        <x:v>収穫年の果実濃度、タンニン、酸、長期瓶熟成能力</x:v>
      </x:c>
      <x:c r="G794" s="165" t="str">
        <x:v>標高、方角、傾斜、土壌、品種、樹齢などの組み合わせ</x:v>
      </x:c>
      <x:c r="H794" s="165" t="str">
        <x:v>その年のブドウ収量が高く、すぐ飲める柔らかなスタイル</x:v>
      </x:c>
      <x:c r="I794" s="165" t="str">
        <x:v>年数表記トーニーに適した酸化香と淡い色</x:v>
      </x:c>
      <x:c r="J794" s="171" t="str">
        <x:v>A</x:v>
      </x:c>
      <x:c r="K794" s="165" t="str">
        <x:v>収穫年の果実濃度、タンニン、酸、長期瓶熟成能力</x:v>
      </x:c>
      <x:c r="L794" s="165" t="str">
        <x:v>正しい。最高品質ロットが若いうちから強い構造を持つ年に宣言される。</x:v>
      </x:c>
      <x:c r="M794" s="165" t="str">
        <x:v>正しい。最高品質ロットが若いうちから強い構造を持つ年に宣言される。</x:v>
      </x:c>
      <x:c r="N794" s="165" t="str">
        <x:v>誤り。これは同じ知識領域の「ドウロ畑の格付け要因」に当てはまる説明で、設問の「ヴィンテージ宣言」を最も適切に説明しない。</x:v>
      </x:c>
      <x:c r="O794" s="165" t="str">
        <x:v>誤り。ヴィンテージ宣言は低収量・強い構造の年を重視する。</x:v>
      </x:c>
      <x:c r="P794" s="165" t="str">
        <x:v>誤り。ヴィンテージは濃色・瓶熟成型。</x:v>
      </x:c>
      <x:c r="Q794" s="165" t="str">
        <x:v>品質・法律</x:v>
      </x:c>
      <x:c r="R794" s="165" t="str">
        <x:v>ポート</x:v>
      </x:c>
      <x:c r="S794" s="165" t="str">
        <x:v>酒精強化ワイン</x:v>
      </x:c>
      <x:c r="T794" s="165" t="str">
        <x:v>ポルトガル</x:v>
      </x:c>
      <x:c r="U794" s="165" t="str">
        <x:v>ドウロ</x:v>
      </x:c>
      <x:c r="V794" s="165"/>
      <x:c r="W794" s="165" t="str">
        <x:v>統合判断</x:v>
      </x:c>
      <x:c r="X794" s="171" t="str">
        <x:v>D3</x:v>
      </x:c>
      <x:c r="Y794" s="165" t="str">
        <x:v>ヴィンテージ宣言をドウロ畑の格付け要因の特徴と混同; 高収量・早飲み年を宣言; ヴィンテージ宣言をトーニー適性で判断</x:v>
      </x:c>
      <x:c r="Z794" s="171" t="str">
        <x:v>Y</x:v>
      </x:c>
      <x:c r="AA794" s="165" t="str">
        <x:v>ヴィンテージ宣言の承認・表示手続を最新教材と照合推奨</x:v>
      </x:c>
      <x:c r="AB794" s="165" t="str">
        <x:v>オリジナル</x:v>
      </x:c>
      <x:c r="AC794" s="165" t="str">
        <x:v>WSET公式Specificationの範囲＋ユーザー作成コーパスの論点を参考に独自作成</x:v>
      </x:c>
      <x:c r="AD794" s="171" t="str">
        <x:v>改稿済み・専門家未承認</x:v>
      </x:c>
      <x:c r="AE794" s="171" t="str">
        <x:v>AI誤答レビュー</x:v>
      </x:c>
      <x:c r="AF794" s="171" t="str">
        <x:v>2026-07-12</x:v>
      </x:c>
      <x:c r="AG794" s="369" t="str">
        <x:v>第4バッチ：同一論点内の典型的誤概念へ置換。正答位置は維持。</x:v>
      </x:c>
    </x:row>
    <x:row r="795" ht="84" customHeight="1">
      <x:c r="A795" s="368" t="str">
        <x:v>LO4-134</x:v>
      </x:c>
      <x:c r="B795" s="171" t="str">
        <x:v>LO4</x:v>
      </x:c>
      <x:c r="C795" s="165" t="str">
        <x:v>世界の主要な酒精強化ワイン</x:v>
      </x:c>
      <x:c r="D795" s="165" t="str">
        <x:v>分割宣言</x:v>
      </x:c>
      <x:c r="E795" s="165" t="str">
        <x:v>大手ポート生産者が一般宣言を行わない年にシングル・キンタ・ヴィンテージを出すことがある理由はどれか。</x:v>
      </x:c>
      <x:c r="F795" s="165" t="str">
        <x:v>複数農園のワインを複数年ブレンドし、安定したルビー・スタイルを造るため</x:v>
      </x:c>
      <x:c r="G795" s="165" t="str">
        <x:v>特定農園では優れた果実を得られても、地域全体の品質が一様でない場合がある</x:v>
      </x:c>
      <x:c r="H795" s="165" t="str">
        <x:v>小樽で長く酸化熟成し、トーニー型として販売するため</x:v>
      </x:c>
      <x:c r="I795" s="165" t="str">
        <x:v>白ブドウを用いて単一農園の辛口ホワイト・ポートを造るため</x:v>
      </x:c>
      <x:c r="J795" s="171" t="str">
        <x:v>B</x:v>
      </x:c>
      <x:c r="K795" s="165" t="str">
        <x:v>特定農園では優れた果実を得られても、地域全体の品質が一様でない場合がある</x:v>
      </x:c>
      <x:c r="L795" s="165" t="str">
        <x:v>正しい。キンタの個性と良好な区画を表現しつつ、ハウス全体のヴィンテージ宣言基準を維持できる。</x:v>
      </x:c>
      <x:c r="M795" s="165" t="str">
        <x:v>誤り。シングル・キンタ・ヴィンテージは単一農園・単一年のワインである。</x:v>
      </x:c>
      <x:c r="N795" s="165" t="str">
        <x:v>正しい。キンタの個性と良好な区画を表現しつつ、ハウス全体のヴィンテージ宣言基準を維持できる。</x:v>
      </x:c>
      <x:c r="O795" s="165" t="str">
        <x:v>誤り。シングル・キンタ・ヴィンテージは瓶熟成型のルビー系ポートである。</x:v>
      </x:c>
      <x:c r="P795" s="165" t="str">
        <x:v>誤り。通常は黒品種から造る単一農園・単一年の瓶熟成型である。</x:v>
      </x:c>
      <x:c r="Q795" s="165" t="str">
        <x:v>商業・法律</x:v>
      </x:c>
      <x:c r="R795" s="165" t="str">
        <x:v>ポート</x:v>
      </x:c>
      <x:c r="S795" s="165" t="str">
        <x:v>酒精強化ワイン</x:v>
      </x:c>
      <x:c r="T795" s="165" t="str">
        <x:v>ポルトガル</x:v>
      </x:c>
      <x:c r="U795" s="165" t="str">
        <x:v>ドウロ</x:v>
      </x:c>
      <x:c r="V795" s="165"/>
      <x:c r="W795" s="165" t="str">
        <x:v>統合判断</x:v>
      </x:c>
      <x:c r="X795" s="171" t="str">
        <x:v>D3</x:v>
      </x:c>
      <x:c r="Y795" s="165" t="str">
        <x:v>シングル・キンタを複数農園・複数年ブレンドと混同; シングル・キンタを長期樽酸化型と混同; シングル・キンタを白ポートと混同</x:v>
      </x:c>
      <x:c r="Z795" s="171" t="str">
        <x:v>N</x:v>
      </x:c>
      <x:c r="AA795" s="165"/>
      <x:c r="AB795" s="165" t="str">
        <x:v>オリジナル</x:v>
      </x:c>
      <x:c r="AC795" s="165" t="str">
        <x:v>WSET公式Specificationの範囲＋ユーザー作成コーパスの論点を参考に独自作成</x:v>
      </x:c>
      <x:c r="AD795" s="171" t="str">
        <x:v>改稿済み・専門家未承認</x:v>
      </x:c>
      <x:c r="AE795" s="171" t="str">
        <x:v>AI誤答レビュー</x:v>
      </x:c>
      <x:c r="AF795" s="171" t="str">
        <x:v>2026-07-12</x:v>
      </x:c>
      <x:c r="AG795" s="369" t="str">
        <x:v>第5バッチ：使用可能な誤答を維持し、弱い誤答を因果逆転・隣接概念へ置換。正答位置は維持。</x:v>
      </x:c>
    </x:row>
    <x:row r="796" ht="84" customHeight="1">
      <x:c r="A796" s="368" t="str">
        <x:v>LO4-135</x:v>
      </x:c>
      <x:c r="B796" s="171" t="str">
        <x:v>LO4</x:v>
      </x:c>
      <x:c r="C796" s="165" t="str">
        <x:v>世界の主要な酒精強化ワイン</x:v>
      </x:c>
      <x:c r="D796" s="165" t="str">
        <x:v>ベネフィシオ</x:v>
      </x:c>
      <x:c r="E796" s="165" t="str">
        <x:v>ドウロでポート用に酒精強化できるブドウ量を管理する制度の主な目的はどれか。</x:v>
      </x:c>
      <x:c r="F796" s="165" t="str">
        <x:v>残糖を一律にする</x:v>
      </x:c>
      <x:c r="G796" s="165" t="str">
        <x:v>瓶内圧力を規定する</x:v>
      </x:c>
      <x:c r="H796" s="165" t="str">
        <x:v>需給と品質を管理し、ポート市場の過剰生産を抑える</x:v>
      </x:c>
      <x:c r="I796" s="165" t="str">
        <x:v>多くのブドウをポートへする</x:v>
      </x:c>
      <x:c r="J796" s="171" t="str">
        <x:v>C</x:v>
      </x:c>
      <x:c r="K796" s="165" t="str">
        <x:v>需給と品質を管理し、ポート市場の過剰生産を抑える</x:v>
      </x:c>
      <x:c r="L796" s="165" t="str">
        <x:v>正しい。畑の評価と市場状況に基づいて生産枠を配分し、残りのブドウは辛口ワインなどへ用いられる。</x:v>
      </x:c>
      <x:c r="M796" s="165" t="str">
        <x:v>誤り。甘味は酒精強化時期で調整する。</x:v>
      </x:c>
      <x:c r="N796" s="165" t="str">
        <x:v>誤り。非発泡性ワインである。</x:v>
      </x:c>
      <x:c r="O796" s="165" t="str">
        <x:v>正しい。畑の評価と市場状況に基づいて生産枠を配分し、残りのブドウは辛口ワインなどへ用いられる。</x:v>
      </x:c>
      <x:c r="P796" s="165" t="str">
        <x:v>誤り。生産可能量を制限する制度である。</x:v>
      </x:c>
      <x:c r="Q796" s="165" t="str">
        <x:v>法律・商業</x:v>
      </x:c>
      <x:c r="R796" s="165" t="str">
        <x:v>ポート</x:v>
      </x:c>
      <x:c r="S796" s="165" t="str">
        <x:v>酒精強化ワイン</x:v>
      </x:c>
      <x:c r="T796" s="165" t="str">
        <x:v>ポルトガル</x:v>
      </x:c>
      <x:c r="U796" s="165" t="str">
        <x:v>ドウロ</x:v>
      </x:c>
      <x:c r="V796" s="165"/>
      <x:c r="W796" s="165" t="str">
        <x:v>統合判断</x:v>
      </x:c>
      <x:c r="X796" s="171" t="str">
        <x:v>D3</x:v>
      </x:c>
      <x:c r="Y796" s="165" t="str">
        <x:v>ベネフィシオについて関連要因を主因とみなす; ベネフィシオについて関連要因を主因とみなす; ベネフィシオについて関連要因を主因とみなす</x:v>
      </x:c>
      <x:c r="Z796" s="171" t="str">
        <x:v>Y</x:v>
      </x:c>
      <x:c r="AA796" s="165" t="str">
        <x:v>Benefício制度の現行運用・日本語表記を最新資料と照合推奨</x:v>
      </x:c>
      <x:c r="AB796" s="165" t="str">
        <x:v>オリジナル</x:v>
      </x:c>
      <x:c r="AC796" s="165" t="str">
        <x:v>WSET公式Specificationの範囲＋ユーザー作成コーパスの論点を参考に独自作成</x:v>
      </x:c>
      <x:c r="AD796" s="171" t="str">
        <x:v>改稿済み・専門家未承認</x:v>
      </x:c>
      <x:c r="AE796" s="171" t="str">
        <x:v>AI誤答レビュー</x:v>
      </x:c>
      <x:c r="AF796" s="171" t="str">
        <x:v>2026-07-12</x:v>
      </x:c>
      <x:c r="AG796" s="369" t="str">
        <x:v>第5バッチ：使用可能な誤答を維持し、弱い誤答を因果逆転・隣接概念へ置換。正答位置は維持。</x:v>
      </x:c>
    </x:row>
    <x:row r="797" ht="84" customHeight="1">
      <x:c r="A797" s="368" t="str">
        <x:v>LO4-136</x:v>
      </x:c>
      <x:c r="B797" s="171" t="str">
        <x:v>LO4</x:v>
      </x:c>
      <x:c r="C797" s="165" t="str">
        <x:v>世界の主要な酒精強化ワイン</x:v>
      </x:c>
      <x:c r="D797" s="165" t="str">
        <x:v>酒精強化の混合</x:v>
      </x:c>
      <x:c r="E797" s="165" t="str">
        <x:v>ポートの発酵を均一に止めるため、酒精強化用スピリッツを加える際に重要なことはどれか。</x:v>
      </x:c>
      <x:c r="F797" s="165" t="str">
        <x:v>瓶内で自然に混ざるまで数年待つ</x:v>
      </x:c>
      <x:c r="G797" s="165" t="str">
        <x:v>発酵完了後に水だけを加える</x:v>
      </x:c>
      <x:c r="H797" s="165" t="str">
        <x:v>スピリッツを果皮上へ静かに置き混ぜない</x:v>
      </x:c>
      <x:c r="I797" s="165" t="str">
        <x:v>発酵中のマストと迅速かつ十分に混合する</x:v>
      </x:c>
      <x:c r="J797" s="171" t="str">
        <x:v>D</x:v>
      </x:c>
      <x:c r="K797" s="165" t="str">
        <x:v>発酵中のマストと迅速かつ十分に混合する</x:v>
      </x:c>
      <x:c r="L797" s="165" t="str">
        <x:v>正しい。局所的なアルコール濃度差を避け、すべての酵母を同時に停止して残糖を均一にする。</x:v>
      </x:c>
      <x:c r="M797" s="165" t="str">
        <x:v>誤り。迅速な発酵停止が必要である。</x:v>
      </x:c>
      <x:c r="N797" s="165" t="str">
        <x:v>誤り。甘味を残すには発酵途中でスピリッツを加える。</x:v>
      </x:c>
      <x:c r="O797" s="165" t="str">
        <x:v>誤り。不均一な発酵停止になる。</x:v>
      </x:c>
      <x:c r="P797" s="165" t="str">
        <x:v>正しい。局所的なアルコール濃度差を避け、すべての酵母を同時に停止して残糖を均一にする。</x:v>
      </x:c>
      <x:c r="Q797" s="165" t="str">
        <x:v>酒精強化ワイン製法</x:v>
      </x:c>
      <x:c r="R797" s="165" t="str">
        <x:v>ポート</x:v>
      </x:c>
      <x:c r="S797" s="165" t="str">
        <x:v>酒精強化ワイン</x:v>
      </x:c>
      <x:c r="T797" s="165" t="str">
        <x:v>ポルトガル</x:v>
      </x:c>
      <x:c r="U797" s="165" t="str">
        <x:v>ドウロ</x:v>
      </x:c>
      <x:c r="V797" s="165"/>
      <x:c r="W797" s="165" t="str">
        <x:v>適用</x:v>
      </x:c>
      <x:c r="X797" s="171" t="str">
        <x:v>D2</x:v>
      </x:c>
      <x:c r="Y797" s="165" t="str">
        <x:v>酒精強化の混合について関連要因を主因とみなす; 酒精強化の混合について関連要因を主因とみなす; 酒精強化の混合について関連要因を主因とみなす</x:v>
      </x:c>
      <x:c r="Z797" s="171" t="str">
        <x:v>N</x:v>
      </x:c>
      <x:c r="AA797" s="165"/>
      <x:c r="AB797" s="165" t="str">
        <x:v>オリジナル</x:v>
      </x:c>
      <x:c r="AC797" s="165" t="str">
        <x:v>WSET公式Specificationの範囲＋ユーザー作成コーパスの論点を参考に独自作成</x:v>
      </x:c>
      <x:c r="AD797" s="171" t="str">
        <x:v>改稿済み・専門家未承認</x:v>
      </x:c>
      <x:c r="AE797" s="171" t="str">
        <x:v>AI誤答レビュー</x:v>
      </x:c>
      <x:c r="AF797" s="171" t="str">
        <x:v>2026-07-12</x:v>
      </x:c>
      <x:c r="AG797" s="369" t="str">
        <x:v>第5バッチ：使用可能な誤答を維持し、弱い誤答を因果逆転・隣接概念へ置換。正答位置は維持。</x:v>
      </x:c>
    </x:row>
    <x:row r="798" ht="84" customHeight="1">
      <x:c r="A798" s="368" t="str">
        <x:v>LO4-137</x:v>
      </x:c>
      <x:c r="B798" s="171" t="str">
        <x:v>LO4</x:v>
      </x:c>
      <x:c r="C798" s="165" t="str">
        <x:v>世界の主要な酒精強化ワイン</x:v>
      </x:c>
      <x:c r="D798" s="165" t="str">
        <x:v>酒精強化と温度</x:v>
      </x:c>
      <x:c r="E798" s="165" t="str">
        <x:v>ポートの酒精強化直後に温度管理が重要な主な理由はどれか。</x:v>
      </x:c>
      <x:c r="F798" s="165" t="str">
        <x:v>発酵停止を確実にし、揮発性香気の損失と微生物活動を抑える</x:v>
      </x:c>
      <x:c r="G798" s="165" t="str">
        <x:v>二酸化炭素を高圧で保持する</x:v>
      </x:c>
      <x:c r="H798" s="165" t="str">
        <x:v>ワインを凍結して糖を除く</x:v>
      </x:c>
      <x:c r="I798" s="165" t="str">
        <x:v>温度を上げて酵母を再活性化する</x:v>
      </x:c>
      <x:c r="J798" s="171" t="str">
        <x:v>A</x:v>
      </x:c>
      <x:c r="K798" s="165" t="str">
        <x:v>発酵停止を確実にし、揮発性香気の損失と微生物活動を抑える</x:v>
      </x:c>
      <x:c r="L798" s="165" t="str">
        <x:v>正しい。短く激しい発酵とスピリッツ添加で温度が上がりやすく、冷却により果実香を保つ。</x:v>
      </x:c>
      <x:c r="M798" s="165" t="str">
        <x:v>正しい。短く激しい発酵とスピリッツ添加で温度が上がりやすく、冷却により果実香を保つ。</x:v>
      </x:c>
      <x:c r="N798" s="165" t="str">
        <x:v>誤り。非発泡性である。</x:v>
      </x:c>
      <x:c r="O798" s="165" t="str">
        <x:v>誤り。ポートの製法ではない。</x:v>
      </x:c>
      <x:c r="P798" s="165" t="str">
        <x:v>誤り。発酵を停止する工程である。</x:v>
      </x:c>
      <x:c r="Q798" s="165" t="str">
        <x:v>酒精強化ワイン製法</x:v>
      </x:c>
      <x:c r="R798" s="165" t="str">
        <x:v>ポート</x:v>
      </x:c>
      <x:c r="S798" s="165" t="str">
        <x:v>酒精強化ワイン</x:v>
      </x:c>
      <x:c r="T798" s="165" t="str">
        <x:v>ポルトガル</x:v>
      </x:c>
      <x:c r="U798" s="165" t="str">
        <x:v>ドウロ</x:v>
      </x:c>
      <x:c r="V798" s="165"/>
      <x:c r="W798" s="165" t="str">
        <x:v>因果説明</x:v>
      </x:c>
      <x:c r="X798" s="171" t="str">
        <x:v>D3</x:v>
      </x:c>
      <x:c r="Y798" s="165" t="str">
        <x:v>酒精強化と温度について関連要因を主因とみなす; 酒精強化と温度について関連要因を主因とみなす; 酒精強化と温度について関連要因を主因とみなす</x:v>
      </x:c>
      <x:c r="Z798" s="171" t="str">
        <x:v>N</x:v>
      </x:c>
      <x:c r="AA798" s="165"/>
      <x:c r="AB798" s="165" t="str">
        <x:v>オリジナル</x:v>
      </x:c>
      <x:c r="AC798" s="165" t="str">
        <x:v>WSET公式Specificationの範囲＋ユーザー作成コーパスの論点を参考に独自作成</x:v>
      </x:c>
      <x:c r="AD798" s="171" t="str">
        <x:v>改稿済み・専門家未承認</x:v>
      </x:c>
      <x:c r="AE798" s="171" t="str">
        <x:v>AI誤答レビュー</x:v>
      </x:c>
      <x:c r="AF798" s="171" t="str">
        <x:v>2026-07-12</x:v>
      </x:c>
      <x:c r="AG798" s="369" t="str">
        <x:v>第5バッチ：使用可能な誤答を維持し、弱い誤答を因果逆転・隣接概念へ置換。正答位置は維持。</x:v>
      </x:c>
    </x:row>
    <x:row r="799" ht="84" customHeight="1">
      <x:c r="A799" s="368" t="str">
        <x:v>LO4-138</x:v>
      </x:c>
      <x:c r="B799" s="171" t="str">
        <x:v>LO4</x:v>
      </x:c>
      <x:c r="C799" s="165" t="str">
        <x:v>世界の主要な酒精強化ワイン</x:v>
      </x:c>
      <x:c r="D799" s="165" t="str">
        <x:v>オートヴィニファイアー</x:v>
      </x:c>
      <x:c r="E799" s="165" t="str">
        <x:v>オートヴィニファイアーが、短いポート発酵で抽出を高める仕組みはどれか。</x:v>
      </x:c>
      <x:c r="F799" s="165" t="str">
        <x:v>外部ポンプで発酵液を取り出し、キャップ上へ連続的に散布する</x:v>
      </x:c>
      <x:c r="G799" s="165" t="str">
        <x:v>発酵で生じる二酸化炭素の圧力を利用し、果汁をキャップ上へ自動循環させる</x:v>
      </x:c>
      <x:c r="H799" s="165" t="str">
        <x:v>機械式の足踏み装置で果皮を周期的に押し下げる</x:v>
      </x:c>
      <x:c r="I799" s="165" t="str">
        <x:v>外部から加圧した二酸化炭素を注入し、発酵前から果汁を循環させる</x:v>
      </x:c>
      <x:c r="J799" s="171" t="str">
        <x:v>B</x:v>
      </x:c>
      <x:c r="K799" s="165" t="str">
        <x:v>発酵で生じる二酸化炭素の圧力を利用し、果汁をキャップ上へ自動循環させる</x:v>
      </x:c>
      <x:c r="L799" s="165" t="str">
        <x:v>正しい。発酵ガスを利用した内部循環により、短時間でも果皮を繰り返し湿らせる。</x:v>
      </x:c>
      <x:c r="M799" s="165" t="str">
        <x:v>誤り。これはポンピング・オーバーの説明である。</x:v>
      </x:c>
      <x:c r="N799" s="165" t="str">
        <x:v>正しい。発酵ガスを利用した内部循環により、短時間でも果皮を繰り返し湿らせる。</x:v>
      </x:c>
      <x:c r="O799" s="165" t="str">
        <x:v>誤り。これはロボット式ラガール等の機械的抽出に近い。</x:v>
      </x:c>
      <x:c r="P799" s="165" t="str">
        <x:v>誤り。主に発酵で自然に生じるガス圧を利用し、外部CO2注入を前提としない。</x:v>
      </x:c>
      <x:c r="Q799" s="165" t="str">
        <x:v>酒精強化ワイン製法</x:v>
      </x:c>
      <x:c r="R799" s="165" t="str">
        <x:v>ポート</x:v>
      </x:c>
      <x:c r="S799" s="165" t="str">
        <x:v>酒精強化ワイン</x:v>
      </x:c>
      <x:c r="T799" s="165" t="str">
        <x:v>ポルトガル</x:v>
      </x:c>
      <x:c r="U799" s="165" t="str">
        <x:v>ドウロ</x:v>
      </x:c>
      <x:c r="V799" s="165"/>
      <x:c r="W799" s="165" t="str">
        <x:v>因果説明</x:v>
      </x:c>
      <x:c r="X799" s="171" t="str">
        <x:v>D3</x:v>
      </x:c>
      <x:c r="Y799" s="165" t="str">
        <x:v>オートヴィニファイアーとポンプオーバーの混同; オートヴィニファイアーと機械式ラガールの混同; 外部CO2注入で循環する</x:v>
      </x:c>
      <x:c r="Z799" s="171" t="str">
        <x:v>N</x:v>
      </x:c>
      <x:c r="AA799" s="165"/>
      <x:c r="AB799" s="165" t="str">
        <x:v>オリジナル</x:v>
      </x:c>
      <x:c r="AC799" s="165" t="str">
        <x:v>WSET公式Specificationの範囲＋ユーザー作成コーパスの論点を参考に独自作成</x:v>
      </x:c>
      <x:c r="AD799" s="171" t="str">
        <x:v>改稿済み・専門家未承認</x:v>
      </x:c>
      <x:c r="AE799" s="171" t="str">
        <x:v>AI誤答レビュー</x:v>
      </x:c>
      <x:c r="AF799" s="171" t="str">
        <x:v>2026-07-12</x:v>
      </x:c>
      <x:c r="AG799" s="369" t="str">
        <x:v>第2バッチ：誤答を同一論点内の典型的誤概念へ置換。正答位置は維持。</x:v>
      </x:c>
    </x:row>
    <x:row r="800" ht="84" customHeight="1">
      <x:c r="A800" s="368" t="str">
        <x:v>LO4-139</x:v>
      </x:c>
      <x:c r="B800" s="171" t="str">
        <x:v>LO4</x:v>
      </x:c>
      <x:c r="C800" s="165" t="str">
        <x:v>世界の主要な酒精強化ワイン</x:v>
      </x:c>
      <x:c r="D800" s="165" t="str">
        <x:v>ルビーとトーニーの選択</x:v>
      </x:c>
      <x:c r="E800" s="165" t="str">
        <x:v>若々しい黒系果実を重視する消費者へ適するポートはどれか。</x:v>
      </x:c>
      <x:c r="F800" s="165" t="str">
        <x:v>ドライ・ホワイト・ポート</x:v>
      </x:c>
      <x:c r="G800" s="165" t="str">
        <x:v>年数表記トーニー</x:v>
      </x:c>
      <x:c r="H800" s="165" t="str">
        <x:v>ルビーまたはルビー・リザーヴ</x:v>
      </x:c>
      <x:c r="I800" s="165" t="str">
        <x:v>年数表記トーニーのナッツとドライフルーツ香を持つ淡色スタイル</x:v>
      </x:c>
      <x:c r="J800" s="171" t="str">
        <x:v>C</x:v>
      </x:c>
      <x:c r="K800" s="165" t="str">
        <x:v>ルビーまたはルビー・リザーヴ</x:v>
      </x:c>
      <x:c r="L800" s="165" t="str">
        <x:v>正しい。酸素接触の少ない大容器で短く熟成し、濃い色と一次果実香を保つ。</x:v>
      </x:c>
      <x:c r="M800" s="165" t="str">
        <x:v>誤り。白品種の異なるスタイルである。</x:v>
      </x:c>
      <x:c r="N800" s="165" t="str">
        <x:v>誤り。ナッツと酸化熟成香が中心である。</x:v>
      </x:c>
      <x:c r="O800" s="165" t="str">
        <x:v>正しい。酸素接触の少ない大容器で短く熟成し、濃い色と一次果実香を保つ。</x:v>
      </x:c>
      <x:c r="P800" s="165" t="str">
        <x:v>誤り。若々しい黒系果実を求める消費者には、酸化熟成したトーニーよりルビー型が適する。</x:v>
      </x:c>
      <x:c r="Q800" s="165" t="str">
        <x:v>スタイル</x:v>
      </x:c>
      <x:c r="R800" s="165" t="str">
        <x:v>ポート</x:v>
      </x:c>
      <x:c r="S800" s="165" t="str">
        <x:v>酒精強化ワイン</x:v>
      </x:c>
      <x:c r="T800" s="165" t="str">
        <x:v>ポルトガル</x:v>
      </x:c>
      <x:c r="U800" s="165" t="str">
        <x:v>ドウロ</x:v>
      </x:c>
      <x:c r="V800" s="165"/>
      <x:c r="W800" s="165" t="str">
        <x:v>適用</x:v>
      </x:c>
      <x:c r="X800" s="171" t="str">
        <x:v>D1</x:v>
      </x:c>
      <x:c r="Y800" s="165" t="str">
        <x:v>ルビーとトーニーの選択について関連要因を主因とみなす; ルビーとトーニーの選択について関連要因を主因とみなす; 若い黒果実志向へトーニーを提案</x:v>
      </x:c>
      <x:c r="Z800" s="171" t="str">
        <x:v>N</x:v>
      </x:c>
      <x:c r="AA800" s="165"/>
      <x:c r="AB800" s="165" t="str">
        <x:v>オリジナル</x:v>
      </x:c>
      <x:c r="AC800" s="165" t="str">
        <x:v>WSET公式Specificationの範囲＋ユーザー作成コーパスの論点を参考に独自作成</x:v>
      </x:c>
      <x:c r="AD800" s="171" t="str">
        <x:v>改稿済み・専門家未承認</x:v>
      </x:c>
      <x:c r="AE800" s="171" t="str">
        <x:v>AI誤答レビュー</x:v>
      </x:c>
      <x:c r="AF800" s="171" t="str">
        <x:v>2026-07-12</x:v>
      </x:c>
      <x:c r="AG800" s="369" t="str">
        <x:v>第5バッチ：使用可能な誤答を維持し、弱い誤答を因果逆転・隣接概念へ置換。正答位置は維持。</x:v>
      </x:c>
    </x:row>
    <x:row r="801" ht="84" customHeight="1">
      <x:c r="A801" s="368" t="str">
        <x:v>LO4-140</x:v>
      </x:c>
      <x:c r="B801" s="171" t="str">
        <x:v>LO4</x:v>
      </x:c>
      <x:c r="C801" s="165" t="str">
        <x:v>世界の主要な酒精強化ワイン</x:v>
      </x:c>
      <x:c r="D801" s="165" t="str">
        <x:v>酸化熟成ポートの瓶</x:v>
      </x:c>
      <x:c r="E801" s="165" t="str">
        <x:v>年数表記トーニーを瓶詰め後に長期熟成させる必要が小さい主な理由はどれか。</x:v>
      </x:c>
      <x:c r="F801" s="165" t="str">
        <x:v>タンニンが非常に高く未熟だから</x:v>
      </x:c>
      <x:c r="G801" s="165" t="str">
        <x:v>残糖がゼロだから</x:v>
      </x:c>
      <x:c r="H801" s="165" t="str">
        <x:v>瓶内二次発酵が完了しているから</x:v>
      </x:c>
      <x:c r="I801" s="165" t="str">
        <x:v>長期樽熟成で酸化と複雑性が完成し、瓶詰め時に飲み頃だから</x:v>
      </x:c>
      <x:c r="J801" s="171" t="str">
        <x:v>D</x:v>
      </x:c>
      <x:c r="K801" s="165" t="str">
        <x:v>長期樽熟成で酸化と複雑性が完成し、瓶詰め時に飲み頃だから</x:v>
      </x:c>
      <x:c r="L801" s="165" t="str">
        <x:v>正しい。瓶内では大きな改善が期待しにくく、開栓後もルビー系より比較的安定している。</x:v>
      </x:c>
      <x:c r="M801" s="165" t="str">
        <x:v>誤り。樽熟成で構造は穏やかになっている。</x:v>
      </x:c>
      <x:c r="N801" s="165" t="str">
        <x:v>誤り。甘味を持つ。</x:v>
      </x:c>
      <x:c r="O801" s="165" t="str">
        <x:v>誤り。発泡性ワインではない。</x:v>
      </x:c>
      <x:c r="P801" s="165" t="str">
        <x:v>正しい。瓶内では大きな改善が期待しにくく、開栓後もルビー系より比較的安定している。</x:v>
      </x:c>
      <x:c r="Q801" s="165" t="str">
        <x:v>熟成</x:v>
      </x:c>
      <x:c r="R801" s="165" t="str">
        <x:v>ポート</x:v>
      </x:c>
      <x:c r="S801" s="165" t="str">
        <x:v>酒精強化ワイン</x:v>
      </x:c>
      <x:c r="T801" s="165" t="str">
        <x:v>ポルトガル</x:v>
      </x:c>
      <x:c r="U801" s="165" t="str">
        <x:v>ドウロ</x:v>
      </x:c>
      <x:c r="V801" s="165"/>
      <x:c r="W801" s="165" t="str">
        <x:v>因果説明</x:v>
      </x:c>
      <x:c r="X801" s="171" t="str">
        <x:v>D2</x:v>
      </x:c>
      <x:c r="Y801" s="165" t="str">
        <x:v>酸化熟成ポートの瓶について関連要因を主因とみなす; 酸化熟成ポートの瓶について関連要因を主因とみなす; 酸化熟成ポートの瓶について関連要因を主因とみなす</x:v>
      </x:c>
      <x:c r="Z801" s="171" t="str">
        <x:v>N</x:v>
      </x:c>
      <x:c r="AA801" s="165"/>
      <x:c r="AB801" s="165" t="str">
        <x:v>オリジナル</x:v>
      </x:c>
      <x:c r="AC801" s="165" t="str">
        <x:v>WSET公式Specificationの範囲＋ユーザー作成コーパスの論点を参考に独自作成</x:v>
      </x:c>
      <x:c r="AD801" s="171" t="str">
        <x:v>改稿済み・専門家未承認</x:v>
      </x:c>
      <x:c r="AE801" s="171" t="str">
        <x:v>AI誤答レビュー</x:v>
      </x:c>
      <x:c r="AF801" s="171" t="str">
        <x:v>2026-07-12</x:v>
      </x:c>
      <x:c r="AG801" s="369" t="str">
        <x:v>第5バッチ：使用可能な誤答を維持し、弱い誤答を因果逆転・隣接概念へ置換。正答位置は維持。</x:v>
      </x:c>
    </x:row>
    <x:row r="802" ht="84" customHeight="1">
      <x:c r="A802" s="368" t="str">
        <x:v>LO4-141</x:v>
      </x:c>
      <x:c r="B802" s="171" t="str">
        <x:v>LO4</x:v>
      </x:c>
      <x:c r="C802" s="165" t="str">
        <x:v>世界の主要な酒精強化ワイン</x:v>
      </x:c>
      <x:c r="D802" s="165" t="str">
        <x:v>コルヘイタの瓶詰め年</x:v>
      </x:c>
      <x:c r="E802" s="165" t="str">
        <x:v>コルヘイタ・ポートで瓶詰め年の情報が重要な主な理由はどれか。</x:v>
      </x:c>
      <x:c r="F802" s="165" t="str">
        <x:v>同じ収穫年でも樽で熟成した期間が瓶詰め時期によって異なるため</x:v>
      </x:c>
      <x:c r="G802" s="165" t="str">
        <x:v>瓶詰め年が収穫年を変更するため</x:v>
      </x:c>
      <x:c r="H802" s="165" t="str">
        <x:v>瓶詰め年が発泡圧力を示すため</x:v>
      </x:c>
      <x:c r="I802" s="165" t="str">
        <x:v>瓶詰め年で残糖が法的にゼロになるため</x:v>
      </x:c>
      <x:c r="J802" s="171" t="str">
        <x:v>A</x:v>
      </x:c>
      <x:c r="K802" s="165" t="str">
        <x:v>同じ収穫年でも樽で熟成した期間が瓶詰め時期によって異なるため</x:v>
      </x:c>
      <x:c r="L802" s="165" t="str">
        <x:v>正しい。より遅く瓶詰めされたものは一般に酸化熟成と濃縮が長く、スタイルが異なる。</x:v>
      </x:c>
      <x:c r="M802" s="165" t="str">
        <x:v>正しい。より遅く瓶詰めされたものは一般に酸化熟成と濃縮が長く、スタイルが異なる。</x:v>
      </x:c>
      <x:c r="N802" s="165" t="str">
        <x:v>誤り。収穫年は変わらない。</x:v>
      </x:c>
      <x:c r="O802" s="165" t="str">
        <x:v>誤り。非発泡性である。</x:v>
      </x:c>
      <x:c r="P802" s="165" t="str">
        <x:v>誤り。甘味は残る。</x:v>
      </x:c>
      <x:c r="Q802" s="165" t="str">
        <x:v>法律・表示</x:v>
      </x:c>
      <x:c r="R802" s="165" t="str">
        <x:v>ポート</x:v>
      </x:c>
      <x:c r="S802" s="165" t="str">
        <x:v>酒精強化ワイン</x:v>
      </x:c>
      <x:c r="T802" s="165" t="str">
        <x:v>ポルトガル</x:v>
      </x:c>
      <x:c r="U802" s="165" t="str">
        <x:v>ドウロ</x:v>
      </x:c>
      <x:c r="V802" s="165"/>
      <x:c r="W802" s="165" t="str">
        <x:v>因果説明</x:v>
      </x:c>
      <x:c r="X802" s="171" t="str">
        <x:v>D3</x:v>
      </x:c>
      <x:c r="Y802" s="165" t="str">
        <x:v>コルヘイタの瓶詰め年について関連要因を主因とみなす; コルヘイタの瓶詰め年について関連要因を主因とみなす; コルヘイタの瓶詰め年について関連要因を主因とみなす</x:v>
      </x:c>
      <x:c r="Z802" s="171" t="str">
        <x:v>Y</x:v>
      </x:c>
      <x:c r="AA802" s="165" t="str">
        <x:v>コルヘイタの瓶詰め年表示要件を最新教材と規定で最終確認推奨</x:v>
      </x:c>
      <x:c r="AB802" s="165" t="str">
        <x:v>オリジナル</x:v>
      </x:c>
      <x:c r="AC802" s="165" t="str">
        <x:v>WSET公式Specificationの範囲＋ユーザー作成コーパスの論点を参考に独自作成</x:v>
      </x:c>
      <x:c r="AD802" s="171" t="str">
        <x:v>改稿済み・専門家未承認</x:v>
      </x:c>
      <x:c r="AE802" s="171" t="str">
        <x:v>AI誤答レビュー</x:v>
      </x:c>
      <x:c r="AF802" s="171" t="str">
        <x:v>2026-07-12</x:v>
      </x:c>
      <x:c r="AG802" s="369" t="str">
        <x:v>第5バッチ：使用可能な誤答を維持し、弱い誤答を因果逆転・隣接概念へ置換。正答位置は維持。</x:v>
      </x:c>
    </x:row>
    <x:row r="803" ht="84" customHeight="1">
      <x:c r="A803" s="368" t="str">
        <x:v>LO4-142</x:v>
      </x:c>
      <x:c r="B803" s="171" t="str">
        <x:v>LO4</x:v>
      </x:c>
      <x:c r="C803" s="165" t="str">
        <x:v>世界の主要な酒精強化ワイン</x:v>
      </x:c>
      <x:c r="D803" s="165" t="str">
        <x:v>濾過済みLBV</x:v>
      </x:c>
      <x:c r="E803" s="165" t="str">
        <x:v>濾過済みLBVが無濾過LBVより開栓後すぐ扱いやすい主な理由はどれか。</x:v>
      </x:c>
      <x:c r="F803" s="165" t="str">
        <x:v>濾過で発泡性を与える</x:v>
      </x:c>
      <x:c r="G803" s="165" t="str">
        <x:v>瓶詰め前に沈殿成分を除き、澱が少なくデカンティング不要になりやすい</x:v>
      </x:c>
      <x:c r="H803" s="165" t="str">
        <x:v>濾過でアルコールを低下させる</x:v>
      </x:c>
      <x:c r="I803" s="165" t="str">
        <x:v>濾過で残糖を多く除く</x:v>
      </x:c>
      <x:c r="J803" s="171" t="str">
        <x:v>B</x:v>
      </x:c>
      <x:c r="K803" s="165" t="str">
        <x:v>瓶詰め前に沈殿成分を除き、澱が少なくデカンティング不要になりやすい</x:v>
      </x:c>
      <x:c r="L803" s="165" t="str">
        <x:v>正しい。大容器熟成と濾過でスタイルが整い、瓶内での発展より即飲性を重視する。</x:v>
      </x:c>
      <x:c r="M803" s="165" t="str">
        <x:v>誤り。非発泡性である。</x:v>
      </x:c>
      <x:c r="N803" s="165" t="str">
        <x:v>正しい。大容器熟成と濾過でスタイルが整い、瓶内での発展より即飲性を重視する。</x:v>
      </x:c>
      <x:c r="O803" s="165" t="str">
        <x:v>誤り。通常の濾過でアルコールは除去しない。</x:v>
      </x:c>
      <x:c r="P803" s="165" t="str">
        <x:v>誤り。糖は溶解したまま残る。</x:v>
      </x:c>
      <x:c r="Q803" s="165" t="str">
        <x:v>スタイル</x:v>
      </x:c>
      <x:c r="R803" s="165" t="str">
        <x:v>ポート</x:v>
      </x:c>
      <x:c r="S803" s="165" t="str">
        <x:v>酒精強化ワイン</x:v>
      </x:c>
      <x:c r="T803" s="165" t="str">
        <x:v>ポルトガル</x:v>
      </x:c>
      <x:c r="U803" s="165" t="str">
        <x:v>ドウロ</x:v>
      </x:c>
      <x:c r="V803" s="165"/>
      <x:c r="W803" s="165" t="str">
        <x:v>比較</x:v>
      </x:c>
      <x:c r="X803" s="171" t="str">
        <x:v>D2</x:v>
      </x:c>
      <x:c r="Y803" s="165" t="str">
        <x:v>濾過済みLBVについて関連要因を主因とみなす; 濾過済みLBVについて関連要因を主因とみなす; 濾過済みLBVについて関連要因を主因とみなす</x:v>
      </x:c>
      <x:c r="Z803" s="171" t="str">
        <x:v>N</x:v>
      </x:c>
      <x:c r="AA803" s="165"/>
      <x:c r="AB803" s="165" t="str">
        <x:v>オリジナル</x:v>
      </x:c>
      <x:c r="AC803" s="165" t="str">
        <x:v>WSET公式Specificationの範囲＋ユーザー作成コーパスの論点を参考に独自作成</x:v>
      </x:c>
      <x:c r="AD803" s="171" t="str">
        <x:v>改稿済み・専門家未承認</x:v>
      </x:c>
      <x:c r="AE803" s="171" t="str">
        <x:v>AI誤答レビュー</x:v>
      </x:c>
      <x:c r="AF803" s="171" t="str">
        <x:v>2026-07-12</x:v>
      </x:c>
      <x:c r="AG803" s="369" t="str">
        <x:v>第5バッチ：使用可能な誤答を維持し、弱い誤答を因果逆転・隣接概念へ置換。正答位置は維持。</x:v>
      </x:c>
    </x:row>
    <x:row r="804" ht="84" customHeight="1">
      <x:c r="A804" s="368" t="str">
        <x:v>LO4-143</x:v>
      </x:c>
      <x:c r="B804" s="171" t="str">
        <x:v>LO4</x:v>
      </x:c>
      <x:c r="C804" s="165" t="str">
        <x:v>世界の主要な酒精強化ワイン</x:v>
      </x:c>
      <x:c r="D804" s="165" t="str">
        <x:v>無濾過LBVの瓶熟成</x:v>
      </x:c>
      <x:c r="E804" s="165" t="str">
        <x:v>無濾過LBVが濾過済みLBVより瓶熟成で発展しやすい主な理由はどれか。</x:v>
      </x:c>
      <x:c r="F804" s="165" t="str">
        <x:v>白品種を用いるため</x:v>
      </x:c>
      <x:c r="G804" s="165" t="str">
        <x:v>二酸化炭素を注入するため</x:v>
      </x:c>
      <x:c r="H804" s="165" t="str">
        <x:v>色素、タンニン、微細な成分を多く残して瓶詰めするため</x:v>
      </x:c>
      <x:c r="I804" s="165" t="str">
        <x:v>発酵可能な糖と酵母を残し再発酵するため</x:v>
      </x:c>
      <x:c r="J804" s="171" t="str">
        <x:v>C</x:v>
      </x:c>
      <x:c r="K804" s="165" t="str">
        <x:v>色素、タンニン、微細な成分を多く残して瓶詰めするため</x:v>
      </x:c>
      <x:c r="L804" s="165" t="str">
        <x:v>正しい。瓶内で沈殿を形成しながら、果実味がドライフルーツや革の熟成香へ変化する。</x:v>
      </x:c>
      <x:c r="M804" s="165" t="str">
        <x:v>誤り。黒品種の濃色ポートである。</x:v>
      </x:c>
      <x:c r="N804" s="165" t="str">
        <x:v>誤り。非発泡性である。</x:v>
      </x:c>
      <x:c r="O804" s="165" t="str">
        <x:v>正しい。瓶内で沈殿を形成しながら、果実味がドライフルーツや革の熟成香へ変化する。</x:v>
      </x:c>
      <x:c r="P804" s="165" t="str">
        <x:v>誤り。微生物安定性を確保して瓶詰めする。</x:v>
      </x:c>
      <x:c r="Q804" s="165" t="str">
        <x:v>熟成</x:v>
      </x:c>
      <x:c r="R804" s="165" t="str">
        <x:v>ポート</x:v>
      </x:c>
      <x:c r="S804" s="165" t="str">
        <x:v>酒精強化ワイン</x:v>
      </x:c>
      <x:c r="T804" s="165" t="str">
        <x:v>ポルトガル</x:v>
      </x:c>
      <x:c r="U804" s="165" t="str">
        <x:v>ドウロ</x:v>
      </x:c>
      <x:c r="V804" s="165"/>
      <x:c r="W804" s="165" t="str">
        <x:v>因果説明</x:v>
      </x:c>
      <x:c r="X804" s="171" t="str">
        <x:v>D2</x:v>
      </x:c>
      <x:c r="Y804" s="165" t="str">
        <x:v>無濾過LBVの瓶熟成について関連要因を主因とみなす; 無濾過LBVの瓶熟成について関連要因を主因とみなす; 無濾過LBVの瓶熟成について関連要因を主因とみなす</x:v>
      </x:c>
      <x:c r="Z804" s="171" t="str">
        <x:v>N</x:v>
      </x:c>
      <x:c r="AA804" s="165"/>
      <x:c r="AB804" s="165" t="str">
        <x:v>オリジナル</x:v>
      </x:c>
      <x:c r="AC804" s="165" t="str">
        <x:v>WSET公式Specificationの範囲＋ユーザー作成コーパスの論点を参考に独自作成</x:v>
      </x:c>
      <x:c r="AD804" s="171" t="str">
        <x:v>改稿済み・専門家未承認</x:v>
      </x:c>
      <x:c r="AE804" s="171" t="str">
        <x:v>AI誤答レビュー</x:v>
      </x:c>
      <x:c r="AF804" s="171" t="str">
        <x:v>2026-07-12</x:v>
      </x:c>
      <x:c r="AG804" s="369" t="str">
        <x:v>第5バッチ：使用可能な誤答を維持し、弱い誤答を因果逆転・隣接概念へ置換。正答位置は維持。</x:v>
      </x:c>
    </x:row>
    <x:row r="805" ht="84" customHeight="1">
      <x:c r="A805" s="368" t="str">
        <x:v>LO4-144</x:v>
      </x:c>
      <x:c r="B805" s="171" t="str">
        <x:v>LO4</x:v>
      </x:c>
      <x:c r="C805" s="165" t="str">
        <x:v>世界の主要な酒精強化ワイン</x:v>
      </x:c>
      <x:c r="D805" s="165" t="str">
        <x:v>クラステッドのブレンド</x:v>
      </x:c>
      <x:c r="E805" s="165" t="str">
        <x:v>クラステッド・ポートがヴィンテージ・ポートより価格を抑えながら瓶熟成型の特徴を持てる主な理由はどれか。</x:v>
      </x:c>
      <x:c r="F805" s="165" t="str">
        <x:v>炭酸ガス注入で造るため</x:v>
      </x:c>
      <x:c r="G805" s="165" t="str">
        <x:v>白ブドウだけを使用するため</x:v>
      </x:c>
      <x:c r="H805" s="165" t="str">
        <x:v>長期小樽熟成で酸化させるため</x:v>
      </x:c>
      <x:c r="I805" s="165" t="str">
        <x:v>複数年の高品質ルビー系ワインをブレンドし、単一年の宣言に依存しないため</x:v>
      </x:c>
      <x:c r="J805" s="171" t="str">
        <x:v>D</x:v>
      </x:c>
      <x:c r="K805" s="165" t="str">
        <x:v>複数年の高品質ルビー系ワインをブレンドし、単一年の宣言に依存しないため</x:v>
      </x:c>
      <x:c r="L805" s="165" t="str">
        <x:v>正しい。無濾過で瓶詰めし、澱と熟成力を持たせながら、原料選択の柔軟性を確保する。</x:v>
      </x:c>
      <x:c r="M805" s="165" t="str">
        <x:v>誤り。非発泡性である。</x:v>
      </x:c>
      <x:c r="N805" s="165" t="str">
        <x:v>誤り。黒品種を用いる。</x:v>
      </x:c>
      <x:c r="O805" s="165" t="str">
        <x:v>誤り。瓶熟成型で果実味を保つ。</x:v>
      </x:c>
      <x:c r="P805" s="165" t="str">
        <x:v>正しい。無濾過で瓶詰めし、澱と熟成力を持たせながら、原料選択の柔軟性を確保する。</x:v>
      </x:c>
      <x:c r="Q805" s="165" t="str">
        <x:v>商業・スタイル</x:v>
      </x:c>
      <x:c r="R805" s="165" t="str">
        <x:v>ポート</x:v>
      </x:c>
      <x:c r="S805" s="165" t="str">
        <x:v>酒精強化ワイン</x:v>
      </x:c>
      <x:c r="T805" s="165" t="str">
        <x:v>ポルトガル</x:v>
      </x:c>
      <x:c r="U805" s="165" t="str">
        <x:v>ドウロ</x:v>
      </x:c>
      <x:c r="V805" s="165"/>
      <x:c r="W805" s="165" t="str">
        <x:v>統合判断</x:v>
      </x:c>
      <x:c r="X805" s="171" t="str">
        <x:v>D3</x:v>
      </x:c>
      <x:c r="Y805" s="165" t="str">
        <x:v>クラステッドのブレンドについて関連要因を主因とみなす; クラステッドのブレンドについて関連要因を主因とみなす; クラステッドのブレンドについて関連要因を主因とみなす</x:v>
      </x:c>
      <x:c r="Z805" s="171" t="str">
        <x:v>N</x:v>
      </x:c>
      <x:c r="AA805" s="165"/>
      <x:c r="AB805" s="165" t="str">
        <x:v>オリジナル</x:v>
      </x:c>
      <x:c r="AC805" s="165" t="str">
        <x:v>WSET公式Specificationの範囲＋ユーザー作成コーパスの論点を参考に独自作成</x:v>
      </x:c>
      <x:c r="AD805" s="171" t="str">
        <x:v>改稿済み・専門家未承認</x:v>
      </x:c>
      <x:c r="AE805" s="171" t="str">
        <x:v>AI誤答レビュー</x:v>
      </x:c>
      <x:c r="AF805" s="171" t="str">
        <x:v>2026-07-12</x:v>
      </x:c>
      <x:c r="AG805" s="369" t="str">
        <x:v>第5バッチ：使用可能な誤答を維持し、弱い誤答を因果逆転・隣接概念へ置換。正答位置は維持。</x:v>
      </x:c>
    </x:row>
    <x:row r="806" ht="84" customHeight="1">
      <x:c r="A806" s="368" t="str">
        <x:v>LO4-145</x:v>
      </x:c>
      <x:c r="B806" s="171" t="str">
        <x:v>LO4</x:v>
      </x:c>
      <x:c r="C806" s="165" t="str">
        <x:v>世界の主要な酒精強化ワイン</x:v>
      </x:c>
      <x:c r="D806" s="165" t="str">
        <x:v>熟成ホワイト・ポート</x:v>
      </x:c>
      <x:c r="E806" s="165" t="str">
        <x:v>長期樽熟成したホワイト・ポートに期待される風味はどれか。</x:v>
      </x:c>
      <x:c r="F806" s="165" t="str">
        <x:v>ドライフルーツ、蜂蜜、ナッツ、キャラメル</x:v>
      </x:c>
      <x:c r="G806" s="165" t="str">
        <x:v>強い炭酸ガスの泡</x:v>
      </x:c>
      <x:c r="H806" s="165" t="str">
        <x:v>深い黒色と高タンニン</x:v>
      </x:c>
      <x:c r="I806" s="165" t="str">
        <x:v>新鮮な花と柑橘だけを保ち、酸化熟成香をほとんど持たない</x:v>
      </x:c>
      <x:c r="J806" s="171" t="str">
        <x:v>A</x:v>
      </x:c>
      <x:c r="K806" s="165" t="str">
        <x:v>ドライフルーツ、蜂蜜、ナッツ、キャラメル</x:v>
      </x:c>
      <x:c r="L806" s="165" t="str">
        <x:v>正しい。白品種でも酸化熟成と蒸発により色が黄金から琥珀へ進み、複雑な熟成香を持つ。</x:v>
      </x:c>
      <x:c r="M806" s="165" t="str">
        <x:v>正しい。白品種でも酸化熟成と蒸発により色が黄金から琥珀へ進み、複雑な熟成香を持つ。</x:v>
      </x:c>
      <x:c r="N806" s="165" t="str">
        <x:v>誤り。非発泡性である。</x:v>
      </x:c>
      <x:c r="O806" s="165" t="str">
        <x:v>誤り。白ブドウで果皮タンニンは低い。</x:v>
      </x:c>
      <x:c r="P806" s="165" t="str">
        <x:v>誤り。長期樽熟成したホワイト・ポートではナッツ、蜂蜜、ドライフルーツの香りが発達する。</x:v>
      </x:c>
      <x:c r="Q806" s="165" t="str">
        <x:v>熟成</x:v>
      </x:c>
      <x:c r="R806" s="165" t="str">
        <x:v>ポート</x:v>
      </x:c>
      <x:c r="S806" s="165" t="str">
        <x:v>酒精強化ワイン</x:v>
      </x:c>
      <x:c r="T806" s="165" t="str">
        <x:v>ポルトガル</x:v>
      </x:c>
      <x:c r="U806" s="165" t="str">
        <x:v>ドウロ</x:v>
      </x:c>
      <x:c r="V806" s="165"/>
      <x:c r="W806" s="165" t="str">
        <x:v>知識確認</x:v>
      </x:c>
      <x:c r="X806" s="171" t="str">
        <x:v>D2</x:v>
      </x:c>
      <x:c r="Y806" s="165" t="str">
        <x:v>熟成ホワイト・ポートについて関連要因を主因とみなす; 熟成ホワイト・ポートについて関連要因を主因とみなす; 熟成ホワイト・ポートを若い芳香型と混同</x:v>
      </x:c>
      <x:c r="Z806" s="171" t="str">
        <x:v>N</x:v>
      </x:c>
      <x:c r="AA806" s="165"/>
      <x:c r="AB806" s="165" t="str">
        <x:v>オリジナル</x:v>
      </x:c>
      <x:c r="AC806" s="165" t="str">
        <x:v>WSET公式Specificationの範囲＋ユーザー作成コーパスの論点を参考に独自作成</x:v>
      </x:c>
      <x:c r="AD806" s="171" t="str">
        <x:v>改稿済み・専門家未承認</x:v>
      </x:c>
      <x:c r="AE806" s="171" t="str">
        <x:v>AI誤答レビュー</x:v>
      </x:c>
      <x:c r="AF806" s="171" t="str">
        <x:v>2026-07-12</x:v>
      </x:c>
      <x:c r="AG806" s="369" t="str">
        <x:v>第5バッチ：使用可能な誤答を維持し、弱い誤答を因果逆転・隣接概念へ置換。正答位置は維持。</x:v>
      </x:c>
    </x:row>
    <x:row r="807" ht="84" customHeight="1">
      <x:c r="A807" s="368" t="str">
        <x:v>LO4-146</x:v>
      </x:c>
      <x:c r="B807" s="171" t="str">
        <x:v>LO4</x:v>
      </x:c>
      <x:c r="C807" s="165" t="str">
        <x:v>世界の主要な酒精強化ワイン</x:v>
      </x:c>
      <x:c r="D807" s="165" t="str">
        <x:v>ドライ・ホワイト・ポート</x:v>
      </x:c>
      <x:c r="E807" s="165" t="str">
        <x:v>ドライ・ホワイト・ポートを比較的辛口に仕上げる最も直接的な方法はどれか。</x:v>
      </x:c>
      <x:c r="F807" s="165" t="str">
        <x:v>発酵開始直後に酒精強化して、糖を多く残す</x:v>
      </x:c>
      <x:c r="G807" s="165" t="str">
        <x:v>発酵を長く進め、糖の多くをアルコールへ変えてから酒精強化する</x:v>
      </x:c>
      <x:c r="H807" s="165" t="str">
        <x:v>長期の小樽酸化熟成で甘味を失い、辛口へ変化させる</x:v>
      </x:c>
      <x:c r="I807" s="165" t="str">
        <x:v>天日乾燥で糖度を上げ、酸との対比で辛く感じさせる</x:v>
      </x:c>
      <x:c r="J807" s="171" t="str">
        <x:v>B</x:v>
      </x:c>
      <x:c r="K807" s="165" t="str">
        <x:v>発酵を長く進め、糖の多くをアルコールへ変えてから酒精強化する</x:v>
      </x:c>
      <x:c r="L807" s="165" t="str">
        <x:v>正しい。甘口スタイルより遅い時点で酵母を止め、残糖を低くする。</x:v>
      </x:c>
      <x:c r="M807" s="165" t="str">
        <x:v>誤り。ドライ・ホワイト・ポートでは発酵を長く進めて残糖を低くする。</x:v>
      </x:c>
      <x:c r="N807" s="165" t="str">
        <x:v>正しい。甘口スタイルより遅い時点で酵母を止め、残糖を低くする。</x:v>
      </x:c>
      <x:c r="O807" s="165" t="str">
        <x:v>誤り。酸化熟成で残糖が消費されるわけではなく、辛口度は主に酒精強化前の発酵時間で決まる。</x:v>
      </x:c>
      <x:c r="P807" s="165" t="str">
        <x:v>誤り。実際の残糖が高まり、辛口化しない。</x:v>
      </x:c>
      <x:c r="Q807" s="165" t="str">
        <x:v>酒精強化ワイン製法</x:v>
      </x:c>
      <x:c r="R807" s="165" t="str">
        <x:v>ポート</x:v>
      </x:c>
      <x:c r="S807" s="165" t="str">
        <x:v>酒精強化ワイン</x:v>
      </x:c>
      <x:c r="T807" s="165" t="str">
        <x:v>ポルトガル</x:v>
      </x:c>
      <x:c r="U807" s="165" t="str">
        <x:v>ドウロ</x:v>
      </x:c>
      <x:c r="V807" s="165"/>
      <x:c r="W807" s="165" t="str">
        <x:v>因果説明</x:v>
      </x:c>
      <x:c r="X807" s="171" t="str">
        <x:v>D2</x:v>
      </x:c>
      <x:c r="Y807" s="165" t="str">
        <x:v>ドライ白ポートを早期強化する; 小樽酸化熟成で甘口ポートが辛口になる; 乾燥濃縮で辛口化</x:v>
      </x:c>
      <x:c r="Z807" s="171" t="str">
        <x:v>N</x:v>
      </x:c>
      <x:c r="AA807" s="165"/>
      <x:c r="AB807" s="165" t="str">
        <x:v>オリジナル</x:v>
      </x:c>
      <x:c r="AC807" s="165" t="str">
        <x:v>WSET公式Specificationの範囲＋ユーザー作成コーパスの論点を参考に独自作成</x:v>
      </x:c>
      <x:c r="AD807" s="171" t="str">
        <x:v>改稿済み・専門家未承認</x:v>
      </x:c>
      <x:c r="AE807" s="171" t="str">
        <x:v>AI誤答レビュー</x:v>
      </x:c>
      <x:c r="AF807" s="171" t="str">
        <x:v>2026-07-12</x:v>
      </x:c>
      <x:c r="AG807" s="369" t="str">
        <x:v>第4バッチ：同一論点内の典型的誤概念へ置換。正答位置は維持。</x:v>
      </x:c>
    </x:row>
    <x:row r="808" ht="84" customHeight="1">
      <x:c r="A808" s="368" t="str">
        <x:v>LO4-147</x:v>
      </x:c>
      <x:c r="B808" s="171" t="str">
        <x:v>LO4</x:v>
      </x:c>
      <x:c r="C808" s="165" t="str">
        <x:v>世界の主要な酒精強化ワイン</x:v>
      </x:c>
      <x:c r="D808" s="165" t="str">
        <x:v>ロゼ・ポートの保存</x:v>
      </x:c>
      <x:c r="E808" s="165" t="str">
        <x:v>ロゼ・ポートを開栓後に冷蔵し、早めに飲む方がよい主な理由はどれか。</x:v>
      </x:c>
      <x:c r="F808" s="165" t="str">
        <x:v>炭酸ガスを保持するため</x:v>
      </x:c>
      <x:c r="G808" s="165" t="str">
        <x:v>フロールを育てるため</x:v>
      </x:c>
      <x:c r="H808" s="165" t="str">
        <x:v>新鮮な赤系果実香を重視し、酸化熟成を意図していないため</x:v>
      </x:c>
      <x:c r="I808" s="165" t="str">
        <x:v>瓶内で長期熟成してのみ品質が上がるため</x:v>
      </x:c>
      <x:c r="J808" s="171" t="str">
        <x:v>C</x:v>
      </x:c>
      <x:c r="K808" s="165" t="str">
        <x:v>新鮮な赤系果実香を重視し、酸化熟成を意図していないため</x:v>
      </x:c>
      <x:c r="L808" s="165" t="str">
        <x:v>正しい。保護的に造られた若いスタイルは、空気と高温で香りと色が失われやすい。</x:v>
      </x:c>
      <x:c r="M808" s="165" t="str">
        <x:v>誤り。非発泡性である。</x:v>
      </x:c>
      <x:c r="N808" s="165" t="str">
        <x:v>誤り。フロール熟成しない。</x:v>
      </x:c>
      <x:c r="O808" s="165" t="str">
        <x:v>正しい。保護的に造られた若いスタイルは、空気と高温で香りと色が失われやすい。</x:v>
      </x:c>
      <x:c r="P808" s="165" t="str">
        <x:v>誤り。若飲みのスタイルである。</x:v>
      </x:c>
      <x:c r="Q808" s="165" t="str">
        <x:v>スタイル</x:v>
      </x:c>
      <x:c r="R808" s="165" t="str">
        <x:v>ポート</x:v>
      </x:c>
      <x:c r="S808" s="165" t="str">
        <x:v>ロゼ酒精強化ワイン</x:v>
      </x:c>
      <x:c r="T808" s="165" t="str">
        <x:v>ポルトガル</x:v>
      </x:c>
      <x:c r="U808" s="165" t="str">
        <x:v>ドウロ</x:v>
      </x:c>
      <x:c r="V808" s="165"/>
      <x:c r="W808" s="165" t="str">
        <x:v>因果説明</x:v>
      </x:c>
      <x:c r="X808" s="171" t="str">
        <x:v>D2</x:v>
      </x:c>
      <x:c r="Y808" s="165" t="str">
        <x:v>ロゼ・ポートの保存について関連要因を主因とみなす; ロゼ・ポートの保存について関連要因を主因とみなす; ロゼ・ポートの保存について関連要因を主因とみなす</x:v>
      </x:c>
      <x:c r="Z808" s="171" t="str">
        <x:v>N</x:v>
      </x:c>
      <x:c r="AA808" s="165"/>
      <x:c r="AB808" s="165" t="str">
        <x:v>オリジナル</x:v>
      </x:c>
      <x:c r="AC808" s="165" t="str">
        <x:v>WSET公式Specificationの範囲＋ユーザー作成コーパスの論点を参考に独自作成</x:v>
      </x:c>
      <x:c r="AD808" s="171" t="str">
        <x:v>改稿済み・専門家未承認</x:v>
      </x:c>
      <x:c r="AE808" s="171" t="str">
        <x:v>AI誤答レビュー</x:v>
      </x:c>
      <x:c r="AF808" s="171" t="str">
        <x:v>2026-07-12</x:v>
      </x:c>
      <x:c r="AG808" s="369" t="str">
        <x:v>第5バッチ：使用可能な誤答を維持し、弱い誤答を因果逆転・隣接概念へ置換。正答位置は維持。</x:v>
      </x:c>
    </x:row>
    <x:row r="809" ht="84" customHeight="1">
      <x:c r="A809" s="368" t="str">
        <x:v>LO4-148</x:v>
      </x:c>
      <x:c r="B809" s="171" t="str">
        <x:v>LO4</x:v>
      </x:c>
      <x:c r="C809" s="165" t="str">
        <x:v>世界の主要な酒精強化ワイン</x:v>
      </x:c>
      <x:c r="D809" s="165" t="str">
        <x:v>ヴィンテージ・ポートの閉じた時期</x:v>
      </x:c>
      <x:c r="E809" s="165" t="str">
        <x:v>ヴィンテージ・ポートが、若い果実味の時期と熟成した複雑性の間で一時的に閉じることがある主な理由はどれか。</x:v>
      </x:c>
      <x:c r="F809" s="165" t="str">
        <x:v>瓶内で残糖が一時的に結晶化し、香りを閉じるため</x:v>
      </x:c>
      <x:c r="G809" s="165" t="str">
        <x:v>アルコールがタンニンへ変化し、果実香を吸収するため</x:v>
      </x:c>
      <x:c r="H809" s="165" t="str">
        <x:v>コルクが酸素を通さない期間だけ、香りが瓶内へ封じ込められるため</x:v>
      </x:c>
      <x:c r="I809" s="165" t="str">
        <x:v>タンニンが強く、一次果実香が後退して第三アロマがまだ十分に発達していないため</x:v>
      </x:c>
      <x:c r="J809" s="171" t="str">
        <x:v>D</x:v>
      </x:c>
      <x:c r="K809" s="165" t="str">
        <x:v>タンニンが強く、一次果実香が後退して第三アロマがまだ十分に発達していないため</x:v>
      </x:c>
      <x:c r="L809" s="165" t="str">
        <x:v>正しい。若い果実香と熟成香の移行期に、構造が前面へ出ることがある。</x:v>
      </x:c>
      <x:c r="M809" s="165" t="str">
        <x:v>誤り。残糖の結晶化が閉じた時期の原因ではない。</x:v>
      </x:c>
      <x:c r="N809" s="165" t="str">
        <x:v>誤り。アルコールがタンニンへ変化することはない。</x:v>
      </x:c>
      <x:c r="O809" s="165" t="str">
        <x:v>誤り。コルク透過性だけで説明できず、香味の発達段階が重要である。</x:v>
      </x:c>
      <x:c r="P809" s="165" t="str">
        <x:v>正しい。若い果実香と熟成香の移行期に、構造が前面へ出ることがある。</x:v>
      </x:c>
      <x:c r="Q809" s="165" t="str">
        <x:v>熟成</x:v>
      </x:c>
      <x:c r="R809" s="165" t="str">
        <x:v>ポート</x:v>
      </x:c>
      <x:c r="S809" s="165" t="str">
        <x:v>酒精強化ワイン</x:v>
      </x:c>
      <x:c r="T809" s="165" t="str">
        <x:v>ポルトガル</x:v>
      </x:c>
      <x:c r="U809" s="165" t="str">
        <x:v>ドウロ</x:v>
      </x:c>
      <x:c r="V809" s="165"/>
      <x:c r="W809" s="165" t="str">
        <x:v>統合判断</x:v>
      </x:c>
      <x:c r="X809" s="171" t="str">
        <x:v>D3</x:v>
      </x:c>
      <x:c r="Y809" s="165" t="str">
        <x:v>残糖結晶化でワインが閉じる; アルコールがタンニンへ変化; コルクの完全密閉期間が閉じる原因</x:v>
      </x:c>
      <x:c r="Z809" s="171" t="str">
        <x:v>N</x:v>
      </x:c>
      <x:c r="AA809" s="165"/>
      <x:c r="AB809" s="165" t="str">
        <x:v>オリジナル</x:v>
      </x:c>
      <x:c r="AC809" s="165" t="str">
        <x:v>WSET公式Specificationの範囲＋ユーザー作成コーパスの論点を参考に独自作成</x:v>
      </x:c>
      <x:c r="AD809" s="171" t="str">
        <x:v>改稿済み・専門家未承認</x:v>
      </x:c>
      <x:c r="AE809" s="171" t="str">
        <x:v>AI誤答レビュー</x:v>
      </x:c>
      <x:c r="AF809" s="171" t="str">
        <x:v>2026-07-12</x:v>
      </x:c>
      <x:c r="AG809" s="369" t="str">
        <x:v>第3バッチ：同一論点内の典型的誤概念へ置換。正答位置は維持。</x:v>
      </x:c>
    </x:row>
    <x:row r="810" ht="84" customHeight="1">
      <x:c r="A810" s="368" t="str">
        <x:v>LO4-149</x:v>
      </x:c>
      <x:c r="B810" s="171" t="str">
        <x:v>LO4</x:v>
      </x:c>
      <x:c r="C810" s="165" t="str">
        <x:v>世界の主要な酒精強化ワイン</x:v>
      </x:c>
      <x:c r="D810" s="165" t="str">
        <x:v>ポートの輸送史</x:v>
      </x:c>
      <x:c r="E810" s="165" t="str">
        <x:v>歴史的にポートをドウロからヴィラ・ノヴァ・デ・ガイアへ運んで熟成した主な理由はどれか。</x:v>
      </x:c>
      <x:c r="F810" s="165" t="str">
        <x:v>沿岸の涼しく湿潤な気候が、内陸より穏やかな熟成に適したため</x:v>
      </x:c>
      <x:c r="G810" s="165" t="str">
        <x:v>ガイアでのみブドウを栽培できたため</x:v>
      </x:c>
      <x:c r="H810" s="165" t="str">
        <x:v>瓶内二次発酵を行うため</x:v>
      </x:c>
      <x:c r="I810" s="165" t="str">
        <x:v>海水をワインへ加えるため</x:v>
      </x:c>
      <x:c r="J810" s="171" t="str">
        <x:v>A</x:v>
      </x:c>
      <x:c r="K810" s="165" t="str">
        <x:v>沿岸の涼しく湿潤な気候が、内陸より穏やかな熟成に適したため</x:v>
      </x:c>
      <x:c r="L810" s="165" t="str">
        <x:v>正しい。河口近くは輸出港にも近く、温度変化の小さい倉庫でワインを保管できた。</x:v>
      </x:c>
      <x:c r="M810" s="165" t="str">
        <x:v>正しい。河口近くは輸出港にも近く、温度変化の小さい倉庫でワインを保管できた。</x:v>
      </x:c>
      <x:c r="N810" s="165" t="str">
        <x:v>誤り。ブドウはドウロで栽培された。</x:v>
      </x:c>
      <x:c r="O810" s="165" t="str">
        <x:v>誤り。非発泡性である。</x:v>
      </x:c>
      <x:c r="P810" s="165" t="str">
        <x:v>誤り。海水は添加しない。</x:v>
      </x:c>
      <x:c r="Q810" s="165" t="str">
        <x:v>商業・熟成</x:v>
      </x:c>
      <x:c r="R810" s="165" t="str">
        <x:v>ポート</x:v>
      </x:c>
      <x:c r="S810" s="165" t="str">
        <x:v>酒精強化ワイン</x:v>
      </x:c>
      <x:c r="T810" s="165" t="str">
        <x:v>ポルトガル</x:v>
      </x:c>
      <x:c r="U810" s="165" t="str">
        <x:v>ヴィラ・ノヴァ・デ・ガイア</x:v>
      </x:c>
      <x:c r="V810" s="165"/>
      <x:c r="W810" s="165" t="str">
        <x:v>因果説明</x:v>
      </x:c>
      <x:c r="X810" s="171" t="str">
        <x:v>D2</x:v>
      </x:c>
      <x:c r="Y810" s="165" t="str">
        <x:v>ポートの輸送史について関連要因を主因とみなす; ポートの輸送史について関連要因を主因とみなす; ポートの輸送史について関連要因を主因とみなす</x:v>
      </x:c>
      <x:c r="Z810" s="171" t="str">
        <x:v>N</x:v>
      </x:c>
      <x:c r="AA810" s="165"/>
      <x:c r="AB810" s="165" t="str">
        <x:v>オリジナル</x:v>
      </x:c>
      <x:c r="AC810" s="165" t="str">
        <x:v>WSET公式Specificationの範囲＋ユーザー作成コーパスの論点を参考に独自作成</x:v>
      </x:c>
      <x:c r="AD810" s="171" t="str">
        <x:v>改稿済み・専門家未承認</x:v>
      </x:c>
      <x:c r="AE810" s="171" t="str">
        <x:v>AI誤答レビュー</x:v>
      </x:c>
      <x:c r="AF810" s="171" t="str">
        <x:v>2026-07-12</x:v>
      </x:c>
      <x:c r="AG810" s="369" t="str">
        <x:v>第5バッチ：使用可能な誤答を維持し、弱い誤答を因果逆転・隣接概念へ置換。正答位置は維持。</x:v>
      </x:c>
    </x:row>
    <x:row r="811" ht="84" customHeight="1">
      <x:c r="A811" s="368" t="str">
        <x:v>LO4-150</x:v>
      </x:c>
      <x:c r="B811" s="171" t="str">
        <x:v>LO4</x:v>
      </x:c>
      <x:c r="C811" s="165" t="str">
        <x:v>世界の主要な酒精強化ワイン</x:v>
      </x:c>
      <x:c r="D811" s="165" t="str">
        <x:v>シェリーの圧搾区分</x:v>
      </x:c>
      <x:c r="E811" s="165" t="str">
        <x:v>パロミノの穏やかな最初の圧搾果汁がフィノ用に適しやすい主な理由はどれか。</x:v>
      </x:c>
      <x:c r="F811" s="165" t="str">
        <x:v>最初の果汁に二酸化炭素が多いから</x:v>
      </x:c>
      <x:c r="G811" s="165" t="str">
        <x:v>清澄で繊細、フェノールが低く、生物学的熟成の香りを表しやすい</x:v>
      </x:c>
      <x:c r="H811" s="165" t="str">
        <x:v>最初の果汁は発酵済みだから</x:v>
      </x:c>
      <x:c r="I811" s="165" t="str">
        <x:v>最初の果汁が主に黒色だから</x:v>
      </x:c>
      <x:c r="J811" s="171" t="str">
        <x:v>B</x:v>
      </x:c>
      <x:c r="K811" s="165" t="str">
        <x:v>清澄で繊細、フェノールが低く、生物学的熟成の香りを表しやすい</x:v>
      </x:c>
      <x:c r="L811" s="165" t="str">
        <x:v>正しい。強く圧搾した果汁より軽く上質なベースワインとなり、フロール下での熟成に向く。</x:v>
      </x:c>
      <x:c r="M811" s="165" t="str">
        <x:v>誤り。発泡性は目的ではない。</x:v>
      </x:c>
      <x:c r="N811" s="165" t="str">
        <x:v>正しい。強く圧搾した果汁より軽く上質なベースワインとなり、フロール下での熟成に向く。</x:v>
      </x:c>
      <x:c r="O811" s="165" t="str">
        <x:v>誤り。圧搾後にアルコール発酵する。</x:v>
      </x:c>
      <x:c r="P811" s="165" t="str">
        <x:v>誤り。パロミノは白品種である。</x:v>
      </x:c>
      <x:c r="Q811" s="165" t="str">
        <x:v>酒精強化ワイン製法</x:v>
      </x:c>
      <x:c r="R811" s="165" t="str">
        <x:v>シェリー</x:v>
      </x:c>
      <x:c r="S811" s="165" t="str">
        <x:v>酒精強化ワイン</x:v>
      </x:c>
      <x:c r="T811" s="165" t="str">
        <x:v>スペイン</x:v>
      </x:c>
      <x:c r="U811" s="165" t="str">
        <x:v>ヘレス</x:v>
      </x:c>
      <x:c r="V811" s="165" t="str">
        <x:v>パロミノ</x:v>
      </x:c>
      <x:c r="W811" s="165" t="str">
        <x:v>因果説明</x:v>
      </x:c>
      <x:c r="X811" s="171" t="str">
        <x:v>D3</x:v>
      </x:c>
      <x:c r="Y811" s="165" t="str">
        <x:v>シェリーの圧搾区分について関連要因を主因とみなす; シェリーの圧搾区分について関連要因を主因とみなす; シェリーの圧搾区分について関連要因を主因とみなす</x:v>
      </x:c>
      <x:c r="Z811" s="171" t="str">
        <x:v>Y</x:v>
      </x:c>
      <x:c r="AA811" s="165" t="str">
        <x:v>シェリーの圧搾区分と用途の表現を最新教材・規定で最終照合推奨</x:v>
      </x:c>
      <x:c r="AB811" s="165" t="str">
        <x:v>オリジナル</x:v>
      </x:c>
      <x:c r="AC811" s="165" t="str">
        <x:v>WSET公式Specificationの範囲＋ユーザー作成コーパスの論点を参考に独自作成</x:v>
      </x:c>
      <x:c r="AD811" s="171" t="str">
        <x:v>改稿済み・専門家未承認</x:v>
      </x:c>
      <x:c r="AE811" s="171" t="str">
        <x:v>AI誤答レビュー</x:v>
      </x:c>
      <x:c r="AF811" s="171" t="str">
        <x:v>2026-07-12</x:v>
      </x:c>
      <x:c r="AG811" s="369" t="str">
        <x:v>第5バッチ：使用可能な誤答を維持し、弱い誤答を因果逆転・隣接概念へ置換。正答位置は維持。</x:v>
      </x:c>
    </x:row>
    <x:row r="812" ht="84" customHeight="1">
      <x:c r="A812" s="368" t="str">
        <x:v>LO4-151</x:v>
      </x:c>
      <x:c r="B812" s="171" t="str">
        <x:v>LO4</x:v>
      </x:c>
      <x:c r="C812" s="165" t="str">
        <x:v>世界の主要な酒精強化ワイン</x:v>
      </x:c>
      <x:c r="D812" s="165" t="str">
        <x:v>シェリーの酸調整</x:v>
      </x:c>
      <x:c r="E812" s="165" t="str">
        <x:v>温暖なヘレスで、パロミノのベースワインへ酸を調整することがある主な理由はどれか。</x:v>
      </x:c>
      <x:c r="F812" s="165" t="str">
        <x:v>酸を高めることでフロールの活動を止め、酸化熟成へ移すため</x:v>
      </x:c>
      <x:c r="G812" s="165" t="str">
        <x:v>酸を加えると残糖が増え、甘口シェリーを造りやすくなるため</x:v>
      </x:c>
      <x:c r="H812" s="165" t="str">
        <x:v>低い自然酸を補い、発酵と熟成中のバランスと微生物安定性を高める</x:v>
      </x:c>
      <x:c r="I812" s="165" t="str">
        <x:v>酸を加えることで酒精強化用スピリッツの量を減らせるため</x:v>
      </x:c>
      <x:c r="J812" s="171" t="str">
        <x:v>C</x:v>
      </x:c>
      <x:c r="K812" s="165" t="str">
        <x:v>低い自然酸を補い、発酵と熟成中のバランスと微生物安定性を高める</x:v>
      </x:c>
      <x:c r="L812" s="165" t="str">
        <x:v>正しい。パロミノの穏やかな酸を補い、pHとバランスを整える。</x:v>
      </x:c>
      <x:c r="M812" s="165" t="str">
        <x:v>誤り。フロール停止は主にアルコール度等で管理し、酸添加だけの目的ではない。</x:v>
      </x:c>
      <x:c r="N812" s="165" t="str">
        <x:v>誤り。酸添加で糖は増えない。</x:v>
      </x:c>
      <x:c r="O812" s="165" t="str">
        <x:v>正しい。パロミノの穏やかな酸を補い、pHとバランスを整える。</x:v>
      </x:c>
      <x:c r="P812" s="165" t="str">
        <x:v>誤り。酸添加は酒精強化量を直接置き換えない。</x:v>
      </x:c>
      <x:c r="Q812" s="165" t="str">
        <x:v>酒精強化ワイン製法</x:v>
      </x:c>
      <x:c r="R812" s="165" t="str">
        <x:v>シェリー</x:v>
      </x:c>
      <x:c r="S812" s="165" t="str">
        <x:v>酒精強化ワイン</x:v>
      </x:c>
      <x:c r="T812" s="165" t="str">
        <x:v>スペイン</x:v>
      </x:c>
      <x:c r="U812" s="165" t="str">
        <x:v>ヘレス</x:v>
      </x:c>
      <x:c r="V812" s="165" t="str">
        <x:v>パロミノ</x:v>
      </x:c>
      <x:c r="W812" s="165" t="str">
        <x:v>因果説明</x:v>
      </x:c>
      <x:c r="X812" s="171" t="str">
        <x:v>D3</x:v>
      </x:c>
      <x:c r="Y812" s="165" t="str">
        <x:v>酸添加はフロール停止のため; 酸添加で残糖が増える; 酸添加でスピリッツ量を減らす</x:v>
      </x:c>
      <x:c r="Z812" s="171" t="str">
        <x:v>Y</x:v>
      </x:c>
      <x:c r="AA812" s="165" t="str">
        <x:v>シェリーの酸調整慣行と法的範囲を最新教材で最終確認推奨</x:v>
      </x:c>
      <x:c r="AB812" s="165" t="str">
        <x:v>オリジナル</x:v>
      </x:c>
      <x:c r="AC812" s="165" t="str">
        <x:v>WSET公式Specificationの範囲＋ユーザー作成コーパスの論点を参考に独自作成</x:v>
      </x:c>
      <x:c r="AD812" s="171" t="str">
        <x:v>改稿済み・専門家未承認</x:v>
      </x:c>
      <x:c r="AE812" s="171" t="str">
        <x:v>AI誤答レビュー</x:v>
      </x:c>
      <x:c r="AF812" s="171" t="str">
        <x:v>2026-07-12</x:v>
      </x:c>
      <x:c r="AG812" s="369" t="str">
        <x:v>第3バッチ：同一論点内の典型的誤概念へ置換。正答位置は維持。</x:v>
      </x:c>
    </x:row>
    <x:row r="813" ht="84" customHeight="1">
      <x:c r="A813" s="368" t="str">
        <x:v>LO4-152</x:v>
      </x:c>
      <x:c r="B813" s="171" t="str">
        <x:v>LO4</x:v>
      </x:c>
      <x:c r="C813" s="165" t="str">
        <x:v>世界の主要な酒精強化ワイン</x:v>
      </x:c>
      <x:c r="D813" s="165" t="str">
        <x:v>ベースワインの辛口発酵</x:v>
      </x:c>
      <x:c r="E813" s="165" t="str">
        <x:v>フィノやオロロソのベースワインを酒精強化前に辛口まで発酵する主な理由はどれか。</x:v>
      </x:c>
      <x:c r="F813" s="165" t="str">
        <x:v>黒ブドウの色を抽出するため</x:v>
      </x:c>
      <x:c r="G813" s="165" t="str">
        <x:v>瓶内圧力を高めるため</x:v>
      </x:c>
      <x:c r="H813" s="165" t="str">
        <x:v>甘口にするため早期に酵母を止める</x:v>
      </x:c>
      <x:c r="I813" s="165" t="str">
        <x:v>残糖を除き、後の熟成経路で香味を形成するため</x:v>
      </x:c>
      <x:c r="J813" s="171" t="str">
        <x:v>D</x:v>
      </x:c>
      <x:c r="K813" s="165" t="str">
        <x:v>残糖を除き、後の熟成経路で香味を形成するため</x:v>
      </x:c>
      <x:c r="L813" s="165" t="str">
        <x:v>正しい。ポートとは異なり、甘味保持のために発酵を止めず、必要なアルコールは発酵後に加える。</x:v>
      </x:c>
      <x:c r="M813" s="165" t="str">
        <x:v>誤り。パロミノの白ワインである。</x:v>
      </x:c>
      <x:c r="N813" s="165" t="str">
        <x:v>誤り。非発泡性である。</x:v>
      </x:c>
      <x:c r="O813" s="165" t="str">
        <x:v>誤り。それはポートや酒精強化マスカットに近い。</x:v>
      </x:c>
      <x:c r="P813" s="165" t="str">
        <x:v>正しい。ポートとは異なり、甘味保持のために発酵を止めず、必要なアルコールは発酵後に加える。</x:v>
      </x:c>
      <x:c r="Q813" s="165" t="str">
        <x:v>酒精強化ワイン製法</x:v>
      </x:c>
      <x:c r="R813" s="165" t="str">
        <x:v>シェリー</x:v>
      </x:c>
      <x:c r="S813" s="165" t="str">
        <x:v>酒精強化ワイン</x:v>
      </x:c>
      <x:c r="T813" s="165" t="str">
        <x:v>スペイン</x:v>
      </x:c>
      <x:c r="U813" s="165" t="str">
        <x:v>ヘレス</x:v>
      </x:c>
      <x:c r="V813" s="165" t="str">
        <x:v>パロミノ</x:v>
      </x:c>
      <x:c r="W813" s="165" t="str">
        <x:v>比較</x:v>
      </x:c>
      <x:c r="X813" s="171" t="str">
        <x:v>D2</x:v>
      </x:c>
      <x:c r="Y813" s="165" t="str">
        <x:v>ベースワインの辛口発酵について関連要因を主因とみなす; ベースワインの辛口発酵について関連要因を主因とみなす; ベースワインの辛口発酵について関連要因を主因とみなす</x:v>
      </x:c>
      <x:c r="Z813" s="171" t="str">
        <x:v>N</x:v>
      </x:c>
      <x:c r="AA813" s="165"/>
      <x:c r="AB813" s="165" t="str">
        <x:v>オリジナル</x:v>
      </x:c>
      <x:c r="AC813" s="165" t="str">
        <x:v>WSET公式Specificationの範囲＋ユーザー作成コーパスの論点を参考に独自作成</x:v>
      </x:c>
      <x:c r="AD813" s="171" t="str">
        <x:v>改稿済み・専門家未承認</x:v>
      </x:c>
      <x:c r="AE813" s="171" t="str">
        <x:v>AI誤答レビュー</x:v>
      </x:c>
      <x:c r="AF813" s="171" t="str">
        <x:v>2026-07-12</x:v>
      </x:c>
      <x:c r="AG813" s="369" t="str">
        <x:v>第5バッチ：使用可能な誤答を維持し、弱い誤答を因果逆転・隣接概念へ置換。正答位置は維持。</x:v>
      </x:c>
    </x:row>
    <x:row r="814" ht="84" customHeight="1">
      <x:c r="A814" s="368" t="str">
        <x:v>LO4-153</x:v>
      </x:c>
      <x:c r="B814" s="171" t="str">
        <x:v>LO4</x:v>
      </x:c>
      <x:c r="C814" s="165" t="str">
        <x:v>世界の主要な酒精強化ワイン</x:v>
      </x:c>
      <x:c r="D814" s="165" t="str">
        <x:v>ボデガの高い天井</x:v>
      </x:c>
      <x:c r="E814" s="165" t="str">
        <x:v>シェリーのボデガで高い天井が有利な主な理由はどれか。</x:v>
      </x:c>
      <x:c r="F814" s="165" t="str">
        <x:v>大きな空気量が温度変化を緩和し、湿度と換気を管理しやすい</x:v>
      </x:c>
      <x:c r="G814" s="165" t="str">
        <x:v>残糖を増やすため</x:v>
      </x:c>
      <x:c r="H814" s="165" t="str">
        <x:v>太陽光を樽へ集中させるため</x:v>
      </x:c>
      <x:c r="I814" s="165" t="str">
        <x:v>瓶内圧力を高めるため</x:v>
      </x:c>
      <x:c r="J814" s="171" t="str">
        <x:v>A</x:v>
      </x:c>
      <x:c r="K814" s="165" t="str">
        <x:v>大きな空気量が温度変化を緩和し、湿度と換気を管理しやすい</x:v>
      </x:c>
      <x:c r="L814" s="165" t="str">
        <x:v>正しい。フロールに適した温和な環境を保ち、夏の熱気を樽から遠ざける。</x:v>
      </x:c>
      <x:c r="M814" s="165" t="str">
        <x:v>正しい。フロールに適した温和な環境を保ち、夏の熱気を樽から遠ざける。</x:v>
      </x:c>
      <x:c r="N814" s="165" t="str">
        <x:v>誤り。建物の高さで糖は増えない。</x:v>
      </x:c>
      <x:c r="O814" s="165" t="str">
        <x:v>誤り。ボデガ内は直射光を避ける。</x:v>
      </x:c>
      <x:c r="P814" s="165" t="str">
        <x:v>誤り。樽熟成の非発泡性ワインである。</x:v>
      </x:c>
      <x:c r="Q814" s="165" t="str">
        <x:v>熟成環境</x:v>
      </x:c>
      <x:c r="R814" s="165" t="str">
        <x:v>シェリー</x:v>
      </x:c>
      <x:c r="S814" s="165" t="str">
        <x:v>酒精強化ワイン</x:v>
      </x:c>
      <x:c r="T814" s="165" t="str">
        <x:v>スペイン</x:v>
      </x:c>
      <x:c r="U814" s="165" t="str">
        <x:v>ヘレス</x:v>
      </x:c>
      <x:c r="V814" s="165"/>
      <x:c r="W814" s="165" t="str">
        <x:v>因果説明</x:v>
      </x:c>
      <x:c r="X814" s="171" t="str">
        <x:v>D2</x:v>
      </x:c>
      <x:c r="Y814" s="165" t="str">
        <x:v>ボデガの高い天井について関連要因を主因とみなす; ボデガの高い天井について関連要因を主因とみなす; ボデガの高い天井について関連要因を主因とみなす</x:v>
      </x:c>
      <x:c r="Z814" s="171" t="str">
        <x:v>N</x:v>
      </x:c>
      <x:c r="AA814" s="165"/>
      <x:c r="AB814" s="165" t="str">
        <x:v>オリジナル</x:v>
      </x:c>
      <x:c r="AC814" s="165" t="str">
        <x:v>WSET公式Specificationの範囲＋ユーザー作成コーパスの論点を参考に独自作成</x:v>
      </x:c>
      <x:c r="AD814" s="171" t="str">
        <x:v>改稿済み・専門家未承認</x:v>
      </x:c>
      <x:c r="AE814" s="171" t="str">
        <x:v>AI誤答レビュー</x:v>
      </x:c>
      <x:c r="AF814" s="171" t="str">
        <x:v>2026-07-12</x:v>
      </x:c>
      <x:c r="AG814" s="369" t="str">
        <x:v>第5バッチ：使用可能な誤答を維持し、弱い誤答を因果逆転・隣接概念へ置換。正答位置は維持。</x:v>
      </x:c>
    </x:row>
    <x:row r="815" ht="84" customHeight="1">
      <x:c r="A815" s="368" t="str">
        <x:v>LO4-154</x:v>
      </x:c>
      <x:c r="B815" s="171" t="str">
        <x:v>LO4</x:v>
      </x:c>
      <x:c r="C815" s="165" t="str">
        <x:v>世界の主要な酒精強化ワイン</x:v>
      </x:c>
      <x:c r="D815" s="165" t="str">
        <x:v>ボデガの窓</x:v>
      </x:c>
      <x:c r="E815" s="165" t="str">
        <x:v>シェリーのボデガで高い位置に窓を設け、湿った風を取り入れる主な目的はどれか。</x:v>
      </x:c>
      <x:c r="F815" s="165" t="str">
        <x:v>果汁を発酵前に凍結する</x:v>
      </x:c>
      <x:c r="G815" s="165" t="str">
        <x:v>温度と湿度を調整し、フロールの活動を支える</x:v>
      </x:c>
      <x:c r="H815" s="165" t="str">
        <x:v>二酸化炭素を高圧で閉じ込める</x:v>
      </x:c>
      <x:c r="I815" s="165" t="str">
        <x:v>樽へ直射日光を当てる</x:v>
      </x:c>
      <x:c r="J815" s="171" t="str">
        <x:v>B</x:v>
      </x:c>
      <x:c r="K815" s="165" t="str">
        <x:v>温度と湿度を調整し、フロールの活動を支える</x:v>
      </x:c>
      <x:c r="L815" s="165" t="str">
        <x:v>正しい。ポニエンテの涼しい空気を取り込み、熱い乾燥風の影響を抑える。</x:v>
      </x:c>
      <x:c r="M815" s="165" t="str">
        <x:v>誤り。熟成施設である。</x:v>
      </x:c>
      <x:c r="N815" s="165" t="str">
        <x:v>正しい。ポニエンテの涼しい空気を取り込み、熱い乾燥風の影響を抑える。</x:v>
      </x:c>
      <x:c r="O815" s="165" t="str">
        <x:v>誤り。ボデガは耐圧容器ではない。</x:v>
      </x:c>
      <x:c r="P815" s="165" t="str">
        <x:v>誤り。光と熱を避ける設計である。</x:v>
      </x:c>
      <x:c r="Q815" s="165" t="str">
        <x:v>熟成環境</x:v>
      </x:c>
      <x:c r="R815" s="165" t="str">
        <x:v>シェリー</x:v>
      </x:c>
      <x:c r="S815" s="165" t="str">
        <x:v>酒精強化ワイン</x:v>
      </x:c>
      <x:c r="T815" s="165" t="str">
        <x:v>スペイン</x:v>
      </x:c>
      <x:c r="U815" s="165" t="str">
        <x:v>ヘレス</x:v>
      </x:c>
      <x:c r="V815" s="165"/>
      <x:c r="W815" s="165" t="str">
        <x:v>因果説明</x:v>
      </x:c>
      <x:c r="X815" s="171" t="str">
        <x:v>D2</x:v>
      </x:c>
      <x:c r="Y815" s="165" t="str">
        <x:v>ボデガの窓について関連要因を主因とみなす; ボデガの窓について関連要因を主因とみなす; ボデガの窓について関連要因を主因とみなす</x:v>
      </x:c>
      <x:c r="Z815" s="171" t="str">
        <x:v>N</x:v>
      </x:c>
      <x:c r="AA815" s="165"/>
      <x:c r="AB815" s="165" t="str">
        <x:v>オリジナル</x:v>
      </x:c>
      <x:c r="AC815" s="165" t="str">
        <x:v>WSET公式Specificationの範囲＋ユーザー作成コーパスの論点を参考に独自作成</x:v>
      </x:c>
      <x:c r="AD815" s="171" t="str">
        <x:v>改稿済み・専門家未承認</x:v>
      </x:c>
      <x:c r="AE815" s="171" t="str">
        <x:v>AI誤答レビュー</x:v>
      </x:c>
      <x:c r="AF815" s="171" t="str">
        <x:v>2026-07-12</x:v>
      </x:c>
      <x:c r="AG815" s="369" t="str">
        <x:v>第5バッチ：使用可能な誤答を維持し、弱い誤答を因果逆転・隣接概念へ置換。正答位置は維持。</x:v>
      </x:c>
    </x:row>
    <x:row r="816" ht="84" customHeight="1">
      <x:c r="A816" s="368" t="str">
        <x:v>LO4-155</x:v>
      </x:c>
      <x:c r="B816" s="171" t="str">
        <x:v>LO4</x:v>
      </x:c>
      <x:c r="C816" s="165" t="str">
        <x:v>世界の主要な酒精強化ワイン</x:v>
      </x:c>
      <x:c r="D816" s="165" t="str">
        <x:v>ボデガの床</x:v>
      </x:c>
      <x:c r="E816" s="165" t="str">
        <x:v>伝統的なシェリーのボデガで土や砂の床へ散水する主な理由はどれか。</x:v>
      </x:c>
      <x:c r="F816" s="165" t="str">
        <x:v>瓶内二次発酵を始める</x:v>
      </x:c>
      <x:c r="G816" s="165" t="str">
        <x:v>ワインを水で希釈する</x:v>
      </x:c>
      <x:c r="H816" s="165" t="str">
        <x:v>蒸発冷却と湿度上昇により、フロールに適した環境を保つ</x:v>
      </x:c>
      <x:c r="I816" s="165" t="str">
        <x:v>床から糖を樽へ供給する</x:v>
      </x:c>
      <x:c r="J816" s="171" t="str">
        <x:v>C</x:v>
      </x:c>
      <x:c r="K816" s="165" t="str">
        <x:v>蒸発冷却と湿度上昇により、フロールに適した環境を保つ</x:v>
      </x:c>
      <x:c r="L816" s="165" t="str">
        <x:v>正しい。乾燥した暑い時期にボデガ内の温度を下げ、樽からの過度な蒸発を抑える。</x:v>
      </x:c>
      <x:c r="M816" s="165" t="str">
        <x:v>誤り。非発泡性の樽熟成である。</x:v>
      </x:c>
      <x:c r="N816" s="165" t="str">
        <x:v>誤り。散水は床に行い、ワインへ加えない。</x:v>
      </x:c>
      <x:c r="O816" s="165" t="str">
        <x:v>正しい。乾燥した暑い時期にボデガ内の温度を下げ、樽からの過度な蒸発を抑える。</x:v>
      </x:c>
      <x:c r="P816" s="165" t="str">
        <x:v>誤り。糖は床から移らない。</x:v>
      </x:c>
      <x:c r="Q816" s="165" t="str">
        <x:v>熟成環境</x:v>
      </x:c>
      <x:c r="R816" s="165" t="str">
        <x:v>シェリー</x:v>
      </x:c>
      <x:c r="S816" s="165" t="str">
        <x:v>酒精強化ワイン</x:v>
      </x:c>
      <x:c r="T816" s="165" t="str">
        <x:v>スペイン</x:v>
      </x:c>
      <x:c r="U816" s="165" t="str">
        <x:v>ヘレス</x:v>
      </x:c>
      <x:c r="V816" s="165"/>
      <x:c r="W816" s="165" t="str">
        <x:v>因果説明</x:v>
      </x:c>
      <x:c r="X816" s="171" t="str">
        <x:v>D2</x:v>
      </x:c>
      <x:c r="Y816" s="165" t="str">
        <x:v>ボデガの床について関連要因を主因とみなす; ボデガの床について関連要因を主因とみなす; ボデガの床について関連要因を主因とみなす</x:v>
      </x:c>
      <x:c r="Z816" s="171" t="str">
        <x:v>N</x:v>
      </x:c>
      <x:c r="AA816" s="165"/>
      <x:c r="AB816" s="165" t="str">
        <x:v>オリジナル</x:v>
      </x:c>
      <x:c r="AC816" s="165" t="str">
        <x:v>WSET公式Specificationの範囲＋ユーザー作成コーパスの論点を参考に独自作成</x:v>
      </x:c>
      <x:c r="AD816" s="171" t="str">
        <x:v>改稿済み・専門家未承認</x:v>
      </x:c>
      <x:c r="AE816" s="171" t="str">
        <x:v>AI誤答レビュー</x:v>
      </x:c>
      <x:c r="AF816" s="171" t="str">
        <x:v>2026-07-12</x:v>
      </x:c>
      <x:c r="AG816" s="369" t="str">
        <x:v>第5バッチ：使用可能な誤答を維持し、弱い誤答を因果逆転・隣接概念へ置換。正答位置は維持。</x:v>
      </x:c>
    </x:row>
    <x:row r="817" ht="84" customHeight="1">
      <x:c r="A817" s="368" t="str">
        <x:v>LO4-156</x:v>
      </x:c>
      <x:c r="B817" s="171" t="str">
        <x:v>LO4</x:v>
      </x:c>
      <x:c r="C817" s="165" t="str">
        <x:v>世界の主要な酒精強化ワイン</x:v>
      </x:c>
      <x:c r="D817" s="165" t="str">
        <x:v>フロールの栄養</x:v>
      </x:c>
      <x:c r="E817" s="165" t="str">
        <x:v>フィノのソレラへ若いワインを定期的に補充することが、フロールへ有利な主な理由はどれか。</x:v>
      </x:c>
      <x:c r="F817" s="165" t="str">
        <x:v>若いワインの糖が残っているため、フロールが甘味を増やせる</x:v>
      </x:c>
      <x:c r="G817" s="165" t="str">
        <x:v>若いワインの酸が高いため、フロールを沈殿させやすい</x:v>
      </x:c>
      <x:c r="H817" s="165" t="str">
        <x:v>補充で樽を満量にし、酸素を遮断してフロールを保護する</x:v>
      </x:c>
      <x:c r="I817" s="165" t="str">
        <x:v>新しいアルコール、グリセロール、微量栄養を供給し、酵母膜の活動を維持する</x:v>
      </x:c>
      <x:c r="J817" s="171" t="str">
        <x:v>D</x:v>
      </x:c>
      <x:c r="K817" s="165" t="str">
        <x:v>新しいアルコール、グリセロール、微量栄養を供給し、酵母膜の活動を維持する</x:v>
      </x:c>
      <x:c r="L817" s="165" t="str">
        <x:v>正しい。消費される成分を補い、フロールの代謝を支える。</x:v>
      </x:c>
      <x:c r="M817" s="165" t="str">
        <x:v>誤り。補充されるベースワインは通常辛口で、甘味を増やす目的ではない。</x:v>
      </x:c>
      <x:c r="N817" s="165" t="str">
        <x:v>誤り。フロールを沈殿させるのではなく、表面膜を維持する。</x:v>
      </x:c>
      <x:c r="O817" s="165" t="str">
        <x:v>誤り。樽には空隙を残し、酸素を利用できる状態を保つ。</x:v>
      </x:c>
      <x:c r="P817" s="165" t="str">
        <x:v>正しい。消費される成分を補い、フロールの代謝を支える。</x:v>
      </x:c>
      <x:c r="Q817" s="165" t="str">
        <x:v>熟成</x:v>
      </x:c>
      <x:c r="R817" s="165" t="str">
        <x:v>シェリー</x:v>
      </x:c>
      <x:c r="S817" s="165" t="str">
        <x:v>酒精強化ワイン</x:v>
      </x:c>
      <x:c r="T817" s="165" t="str">
        <x:v>スペイン</x:v>
      </x:c>
      <x:c r="U817" s="165" t="str">
        <x:v>ヘレス</x:v>
      </x:c>
      <x:c r="V817" s="165"/>
      <x:c r="W817" s="165" t="str">
        <x:v>因果説明</x:v>
      </x:c>
      <x:c r="X817" s="171" t="str">
        <x:v>D3</x:v>
      </x:c>
      <x:c r="Y817" s="165" t="str">
        <x:v>若いワインの残糖でフロールが甘味を増やす; 補充でフロールを沈殿させる; 樽を満量にして酸素遮断する</x:v>
      </x:c>
      <x:c r="Z817" s="171" t="str">
        <x:v>N</x:v>
      </x:c>
      <x:c r="AA817" s="165"/>
      <x:c r="AB817" s="165" t="str">
        <x:v>オリジナル</x:v>
      </x:c>
      <x:c r="AC817" s="165" t="str">
        <x:v>WSET公式Specificationの範囲＋ユーザー作成コーパスの論点を参考に独自作成</x:v>
      </x:c>
      <x:c r="AD817" s="171" t="str">
        <x:v>改稿済み・専門家未承認</x:v>
      </x:c>
      <x:c r="AE817" s="171" t="str">
        <x:v>AI誤答レビュー</x:v>
      </x:c>
      <x:c r="AF817" s="171" t="str">
        <x:v>2026-07-12</x:v>
      </x:c>
      <x:c r="AG817" s="369" t="str">
        <x:v>第3バッチ：同一論点内の典型的誤概念へ置換。正答位置は維持。</x:v>
      </x:c>
    </x:row>
    <x:row r="818" ht="84" customHeight="1">
      <x:c r="A818" s="368" t="str">
        <x:v>LO4-157</x:v>
      </x:c>
      <x:c r="B818" s="171" t="str">
        <x:v>LO4</x:v>
      </x:c>
      <x:c r="C818" s="165" t="str">
        <x:v>世界の主要な酒精強化ワイン</x:v>
      </x:c>
      <x:c r="D818" s="165" t="str">
        <x:v>フロールと酸化防止</x:v>
      </x:c>
      <x:c r="E818" s="165" t="str">
        <x:v>フロールがフィノを酸化から守る仕組みとして最も適切なものはどれか。</x:v>
      </x:c>
      <x:c r="F818" s="165" t="str">
        <x:v>ワイン表面を覆い、酸素を消費して液体との接触を減らす</x:v>
      </x:c>
      <x:c r="G818" s="165" t="str">
        <x:v>酸素を大量に生成する</x:v>
      </x:c>
      <x:c r="H818" s="165" t="str">
        <x:v>ワインへタンニンを加える</x:v>
      </x:c>
      <x:c r="I818" s="165" t="str">
        <x:v>ワインを完全密閉した瓶へ移す</x:v>
      </x:c>
      <x:c r="J818" s="171" t="str">
        <x:v>A</x:v>
      </x:c>
      <x:c r="K818" s="165" t="str">
        <x:v>ワイン表面を覆い、酸素を消費して液体との接触を減らす</x:v>
      </x:c>
      <x:c r="L818" s="165" t="str">
        <x:v>正しい。酵母膜が物理的・生物学的な障壁となり、色を淡く新鮮に保つ。</x:v>
      </x:c>
      <x:c r="M818" s="165" t="str">
        <x:v>正しい。酵母膜が物理的・生物学的な障壁となり、色を淡く新鮮に保つ。</x:v>
      </x:c>
      <x:c r="N818" s="165" t="str">
        <x:v>誤り。酸素を消費する。</x:v>
      </x:c>
      <x:c r="O818" s="165" t="str">
        <x:v>誤り。主な作用は酸素保護と代謝である。</x:v>
      </x:c>
      <x:c r="P818" s="165" t="str">
        <x:v>誤り。樽内の表面で形成される。</x:v>
      </x:c>
      <x:c r="Q818" s="165" t="str">
        <x:v>熟成</x:v>
      </x:c>
      <x:c r="R818" s="165" t="str">
        <x:v>シェリー</x:v>
      </x:c>
      <x:c r="S818" s="165" t="str">
        <x:v>酒精強化ワイン</x:v>
      </x:c>
      <x:c r="T818" s="165" t="str">
        <x:v>スペイン</x:v>
      </x:c>
      <x:c r="U818" s="165" t="str">
        <x:v>ヘレス</x:v>
      </x:c>
      <x:c r="V818" s="165"/>
      <x:c r="W818" s="165" t="str">
        <x:v>因果説明</x:v>
      </x:c>
      <x:c r="X818" s="171" t="str">
        <x:v>D1</x:v>
      </x:c>
      <x:c r="Y818" s="165" t="str">
        <x:v>フロールと酸化防止について関連要因を主因とみなす; フロールと酸化防止について関連要因を主因とみなす; フロールと酸化防止について関連要因を主因とみなす</x:v>
      </x:c>
      <x:c r="Z818" s="171" t="str">
        <x:v>N</x:v>
      </x:c>
      <x:c r="AA818" s="165"/>
      <x:c r="AB818" s="165" t="str">
        <x:v>オリジナル</x:v>
      </x:c>
      <x:c r="AC818" s="165" t="str">
        <x:v>WSET公式Specificationの範囲＋ユーザー作成コーパスの論点を参考に独自作成</x:v>
      </x:c>
      <x:c r="AD818" s="171" t="str">
        <x:v>改稿済み・専門家未承認</x:v>
      </x:c>
      <x:c r="AE818" s="171" t="str">
        <x:v>AI誤答レビュー</x:v>
      </x:c>
      <x:c r="AF818" s="171" t="str">
        <x:v>2026-07-12</x:v>
      </x:c>
      <x:c r="AG818" s="369" t="str">
        <x:v>第5バッチ：使用可能な誤答を維持し、弱い誤答を因果逆転・隣接概念へ置換。正答位置は維持。</x:v>
      </x:c>
    </x:row>
    <x:row r="819" ht="84" customHeight="1">
      <x:c r="A819" s="368" t="str">
        <x:v>LO4-158</x:v>
      </x:c>
      <x:c r="B819" s="171" t="str">
        <x:v>LO4</x:v>
      </x:c>
      <x:c r="C819" s="165" t="str">
        <x:v>世界の主要な酒精強化ワイン</x:v>
      </x:c>
      <x:c r="D819" s="165" t="str">
        <x:v>フロールとアルコール</x:v>
      </x:c>
      <x:c r="E819" s="165" t="str">
        <x:v>生物学的熟成中にフロールがワインの風味へ影響する代謝として最も適切なものはどれか。</x:v>
      </x:c>
      <x:c r="F819" s="165" t="str">
        <x:v>糖を大量に生成して甘口にする</x:v>
      </x:c>
      <x:c r="G819" s="165" t="str">
        <x:v>アルコールとグリセロールを消費し、アセトアルデヒドを生成する</x:v>
      </x:c>
      <x:c r="H819" s="165" t="str">
        <x:v>二酸化炭素を高圧で保持する</x:v>
      </x:c>
      <x:c r="I819" s="165" t="str">
        <x:v>タンニンを果皮から抽出する</x:v>
      </x:c>
      <x:c r="J819" s="171" t="str">
        <x:v>B</x:v>
      </x:c>
      <x:c r="K819" s="165" t="str">
        <x:v>アルコールとグリセロールを消費し、アセトアルデヒドを生成する</x:v>
      </x:c>
      <x:c r="L819" s="165" t="str">
        <x:v>正しい。これにより口当たりが軽くなり、青リンゴ、アーモンド、パン生地を思わせる香りが生じる。</x:v>
      </x:c>
      <x:c r="M819" s="165" t="str">
        <x:v>誤り。フィノは辛口である。</x:v>
      </x:c>
      <x:c r="N819" s="165" t="str">
        <x:v>正しい。これにより口当たりが軽くなり、青リンゴ、アーモンド、パン生地を思わせる香りが生じる。</x:v>
      </x:c>
      <x:c r="O819" s="165" t="str">
        <x:v>誤り。非発泡性である。</x:v>
      </x:c>
      <x:c r="P819" s="165" t="str">
        <x:v>誤り。果皮接触を行う段階ではない。</x:v>
      </x:c>
      <x:c r="Q819" s="165" t="str">
        <x:v>熟成</x:v>
      </x:c>
      <x:c r="R819" s="165" t="str">
        <x:v>シェリー</x:v>
      </x:c>
      <x:c r="S819" s="165" t="str">
        <x:v>酒精強化ワイン</x:v>
      </x:c>
      <x:c r="T819" s="165" t="str">
        <x:v>スペイン</x:v>
      </x:c>
      <x:c r="U819" s="165" t="str">
        <x:v>ヘレス</x:v>
      </x:c>
      <x:c r="V819" s="165"/>
      <x:c r="W819" s="165" t="str">
        <x:v>因果説明</x:v>
      </x:c>
      <x:c r="X819" s="171" t="str">
        <x:v>D3</x:v>
      </x:c>
      <x:c r="Y819" s="165" t="str">
        <x:v>フロールとアルコールについて関連要因を主因とみなす; フロールとアルコールについて関連要因を主因とみなす; フロールとアルコールについて関連要因を主因とみなす</x:v>
      </x:c>
      <x:c r="Z819" s="171" t="str">
        <x:v>N</x:v>
      </x:c>
      <x:c r="AA819" s="165"/>
      <x:c r="AB819" s="165" t="str">
        <x:v>オリジナル</x:v>
      </x:c>
      <x:c r="AC819" s="165" t="str">
        <x:v>WSET公式Specificationの範囲＋ユーザー作成コーパスの論点を参考に独自作成</x:v>
      </x:c>
      <x:c r="AD819" s="171" t="str">
        <x:v>改稿済み・専門家未承認</x:v>
      </x:c>
      <x:c r="AE819" s="171" t="str">
        <x:v>AI誤答レビュー</x:v>
      </x:c>
      <x:c r="AF819" s="171" t="str">
        <x:v>2026-07-12</x:v>
      </x:c>
      <x:c r="AG819" s="369" t="str">
        <x:v>第5バッチ：使用可能な誤答を維持し、弱い誤答を因果逆転・隣接概念へ置換。正答位置は維持。</x:v>
      </x:c>
    </x:row>
    <x:row r="820" ht="84" customHeight="1">
      <x:c r="A820" s="368" t="str">
        <x:v>LO4-159</x:v>
      </x:c>
      <x:c r="B820" s="171" t="str">
        <x:v>LO4</x:v>
      </x:c>
      <x:c r="C820" s="165" t="str">
        <x:v>世界の主要な酒精強化ワイン</x:v>
      </x:c>
      <x:c r="D820" s="165" t="str">
        <x:v>フロールと揮発酸</x:v>
      </x:c>
      <x:c r="E820" s="165" t="str">
        <x:v>健全なフロールが、フィノの揮発性の酸を抑える方向に働く理由の一つはどれか。</x:v>
      </x:c>
      <x:c r="F820" s="165" t="str">
        <x:v>亜硫酸を大量に生成し、酢酸菌を化学的に除去する</x:v>
      </x:c>
      <x:c r="G820" s="165" t="str">
        <x:v>樽内をほぼ無酸素にし、微生物の活動を大幅に抑える</x:v>
      </x:c>
      <x:c r="H820" s="165" t="str">
        <x:v>ワイン表面を覆い、酸素を好む酢酸菌の増殖を抑える</x:v>
      </x:c>
      <x:c r="I820" s="165" t="str">
        <x:v>残糖を増やして酢酸菌より酵母の発酵を優先させる</x:v>
      </x:c>
      <x:c r="J820" s="171" t="str">
        <x:v>C</x:v>
      </x:c>
      <x:c r="K820" s="165" t="str">
        <x:v>ワイン表面を覆い、酸素を好む酢酸菌の増殖を抑える</x:v>
      </x:c>
      <x:c r="L820" s="165" t="str">
        <x:v>正しい。酸素を消費し物理的に表面を覆うため、好気性の酢酸菌が活動しにくくなる。</x:v>
      </x:c>
      <x:c r="M820" s="165" t="str">
        <x:v>誤り。フロールの主要な保護作用は酸素消費であり、大量の亜硫酸生成ではない。</x:v>
      </x:c>
      <x:c r="N820" s="165" t="str">
        <x:v>誤り。樽には空隙と酸素があるが、フロールが表面で酸素を利用する。完全無酸素・滅菌ではない。</x:v>
      </x:c>
      <x:c r="O820" s="165" t="str">
        <x:v>正しい。酸素を消費し物理的に表面を覆うため、好気性の酢酸菌が活動しにくくなる。</x:v>
      </x:c>
      <x:c r="P820" s="165" t="str">
        <x:v>誤り。フィノは辛口で、残糖増加による競合が保護機構ではない。</x:v>
      </x:c>
      <x:c r="Q820" s="165" t="str">
        <x:v>熟成</x:v>
      </x:c>
      <x:c r="R820" s="165" t="str">
        <x:v>シェリー</x:v>
      </x:c>
      <x:c r="S820" s="165" t="str">
        <x:v>酒精強化ワイン</x:v>
      </x:c>
      <x:c r="T820" s="165" t="str">
        <x:v>スペイン</x:v>
      </x:c>
      <x:c r="U820" s="165" t="str">
        <x:v>ヘレス</x:v>
      </x:c>
      <x:c r="V820" s="165"/>
      <x:c r="W820" s="165" t="str">
        <x:v>因果説明</x:v>
      </x:c>
      <x:c r="X820" s="171" t="str">
        <x:v>D3</x:v>
      </x:c>
      <x:c r="Y820" s="165" t="str">
        <x:v>フロールは大量SO2で酢酸菌を除去; フロールは樽を完全無酸素・無菌にする; フロールは残糖を増やして酢酸菌を抑える</x:v>
      </x:c>
      <x:c r="Z820" s="171" t="str">
        <x:v>N</x:v>
      </x:c>
      <x:c r="AA820" s="165"/>
      <x:c r="AB820" s="165" t="str">
        <x:v>オリジナル</x:v>
      </x:c>
      <x:c r="AC820" s="165" t="str">
        <x:v>WSET公式Specificationの範囲＋ユーザー作成コーパスの論点を参考に独自作成</x:v>
      </x:c>
      <x:c r="AD820" s="171" t="str">
        <x:v>改稿済み・専門家未承認</x:v>
      </x:c>
      <x:c r="AE820" s="171" t="str">
        <x:v>AI誤答レビュー</x:v>
      </x:c>
      <x:c r="AF820" s="171" t="str">
        <x:v>2026-07-12</x:v>
      </x:c>
      <x:c r="AG820" s="369" t="str">
        <x:v>第2バッチ：誤答を同一論点内の典型的誤概念へ置換。正答位置は維持。</x:v>
      </x:c>
    </x:row>
    <x:row r="821" ht="84" customHeight="1">
      <x:c r="A821" s="368" t="str">
        <x:v>LO4-160</x:v>
      </x:c>
      <x:c r="B821" s="171" t="str">
        <x:v>LO4</x:v>
      </x:c>
      <x:c r="C821" s="165" t="str">
        <x:v>世界の主要な酒精強化ワイン</x:v>
      </x:c>
      <x:c r="D821" s="165" t="str">
        <x:v>フロールの消失</x:v>
      </x:c>
      <x:c r="E821" s="165" t="str">
        <x:v>フィノの樽でフロールが弱まり、ワインを酸化熟成へ移したい場合に行う典型的な操作はどれか。</x:v>
      </x:c>
      <x:c r="F821" s="165" t="str">
        <x:v>より低いアルコール度へ再酒精強化してフロールの再生を防ぐ</x:v>
      </x:c>
      <x:c r="G821" s="165" t="str">
        <x:v>若いフィノを補充し、フロールへ栄養を与える</x:v>
      </x:c>
      <x:c r="H821" s="165" t="str">
        <x:v>樽を満量にして酸素を遮断し、酸化熟成へ移る</x:v>
      </x:c>
      <x:c r="I821" s="165" t="str">
        <x:v>より高いアルコール度へ再酒精強化してフロールの再生を防ぐ</x:v>
      </x:c>
      <x:c r="J821" s="171" t="str">
        <x:v>D</x:v>
      </x:c>
      <x:c r="K821" s="165" t="str">
        <x:v>より高いアルコール度へ再酒精強化してフロールの再生を防ぐ</x:v>
      </x:c>
      <x:c r="L821" s="165" t="str">
        <x:v>正しい。フロールを抑え、空気との接触でアモンティリャード型の酸化熟成へ進める。</x:v>
      </x:c>
      <x:c r="M821" s="165" t="str">
        <x:v>誤り。正答では「高いアルコール」ことが重要であり、この選択肢は「低いアルコール」へ置き換えて関係を逆にしている。</x:v>
      </x:c>
      <x:c r="N821" s="165" t="str">
        <x:v>誤り。これは生物学的熟成を維持する操作。</x:v>
      </x:c>
      <x:c r="O821" s="165" t="str">
        <x:v>誤り。酸化熟成には空隙と酸素接触が必要。</x:v>
      </x:c>
      <x:c r="P821" s="165" t="str">
        <x:v>正しい。フロールを抑え、空気との接触でアモンティリャード型の酸化熟成へ進める。</x:v>
      </x:c>
      <x:c r="Q821" s="165" t="str">
        <x:v>酒精強化ワイン製法</x:v>
      </x:c>
      <x:c r="R821" s="165" t="str">
        <x:v>シェリー</x:v>
      </x:c>
      <x:c r="S821" s="165" t="str">
        <x:v>酒精強化ワイン</x:v>
      </x:c>
      <x:c r="T821" s="165" t="str">
        <x:v>スペイン</x:v>
      </x:c>
      <x:c r="U821" s="165" t="str">
        <x:v>ヘレス</x:v>
      </x:c>
      <x:c r="V821" s="165"/>
      <x:c r="W821" s="165" t="str">
        <x:v>適用</x:v>
      </x:c>
      <x:c r="X821" s="171" t="str">
        <x:v>D2</x:v>
      </x:c>
      <x:c r="Y821" s="165" t="str">
        <x:v>「高いアルコール」と「低いアルコール」の関係を逆転; 酸化移行時に若いフィノでフロール強化; 樽満量で酸化熟成</x:v>
      </x:c>
      <x:c r="Z821" s="171" t="str">
        <x:v>N</x:v>
      </x:c>
      <x:c r="AA821" s="165"/>
      <x:c r="AB821" s="165" t="str">
        <x:v>オリジナル</x:v>
      </x:c>
      <x:c r="AC821" s="165" t="str">
        <x:v>WSET公式Specificationの範囲＋ユーザー作成コーパスの論点を参考に独自作成</x:v>
      </x:c>
      <x:c r="AD821" s="171" t="str">
        <x:v>改稿済み・専門家未承認</x:v>
      </x:c>
      <x:c r="AE821" s="171" t="str">
        <x:v>AI誤答レビュー</x:v>
      </x:c>
      <x:c r="AF821" s="171" t="str">
        <x:v>2026-07-12</x:v>
      </x:c>
      <x:c r="AG821" s="369" t="str">
        <x:v>第4バッチ：同一論点内の典型的誤概念へ置換。正答位置は維持。</x:v>
      </x:c>
    </x:row>
    <x:row r="822" ht="84" customHeight="1">
      <x:c r="A822" s="368" t="str">
        <x:v>LO4-161</x:v>
      </x:c>
      <x:c r="B822" s="171" t="str">
        <x:v>LO4</x:v>
      </x:c>
      <x:c r="C822" s="165" t="str">
        <x:v>世界の主要な酒精強化ワイン</x:v>
      </x:c>
      <x:c r="D822" s="165" t="str">
        <x:v>ソレラの平均年齢</x:v>
      </x:c>
      <x:c r="E822" s="165" t="str">
        <x:v>ソレラ・システムのワインに単一の正確な年齢を付けにくい主な理由はどれか。</x:v>
      </x:c>
      <x:c r="F822" s="165" t="str">
        <x:v>複数年のワインが継続的に混合され、各樽に幅広い年齢の成分が含まれるため</x:v>
      </x:c>
      <x:c r="G822" s="165" t="str">
        <x:v>瓶内圧力で年齢が変わるため</x:v>
      </x:c>
      <x:c r="H822" s="165" t="str">
        <x:v>ワインが毎年多く入れ替わるため</x:v>
      </x:c>
      <x:c r="I822" s="165" t="str">
        <x:v>収穫年を記録しないためだけ</x:v>
      </x:c>
      <x:c r="J822" s="171" t="str">
        <x:v>A</x:v>
      </x:c>
      <x:c r="K822" s="165" t="str">
        <x:v>複数年のワインが継続的に混合され、各樽に幅広い年齢の成分が含まれるため</x:v>
      </x:c>
      <x:c r="L822" s="165" t="str">
        <x:v>正しい。表示される熟成感は平均的なスタイルであり、最古または最若のワインの年齢ではない。</x:v>
      </x:c>
      <x:c r="M822" s="165" t="str">
        <x:v>正しい。表示される熟成感は平均的なスタイルであり、最古または最若のワインの年齢ではない。</x:v>
      </x:c>
      <x:c r="N822" s="165" t="str">
        <x:v>誤り。非発泡性である。</x:v>
      </x:c>
      <x:c r="O822" s="165" t="str">
        <x:v>誤り。一部の古いワインを残し続ける。</x:v>
      </x:c>
      <x:c r="P822" s="165" t="str">
        <x:v>誤り。動的ブレンドそのものが理由である。</x:v>
      </x:c>
      <x:c r="Q822" s="165" t="str">
        <x:v>熟成</x:v>
      </x:c>
      <x:c r="R822" s="165" t="str">
        <x:v>ソレラ</x:v>
      </x:c>
      <x:c r="S822" s="165" t="str">
        <x:v>酒精強化ワイン</x:v>
      </x:c>
      <x:c r="T822" s="165" t="str">
        <x:v>スペイン</x:v>
      </x:c>
      <x:c r="U822" s="165" t="str">
        <x:v>ヘレス</x:v>
      </x:c>
      <x:c r="V822" s="165"/>
      <x:c r="W822" s="165" t="str">
        <x:v>因果説明</x:v>
      </x:c>
      <x:c r="X822" s="171" t="str">
        <x:v>D2</x:v>
      </x:c>
      <x:c r="Y822" s="165" t="str">
        <x:v>ソレラの平均年齢について関連要因を主因とみなす; ソレラの平均年齢について関連要因を主因とみなす; ソレラの平均年齢について関連要因を主因とみなす</x:v>
      </x:c>
      <x:c r="Z822" s="171" t="str">
        <x:v>N</x:v>
      </x:c>
      <x:c r="AA822" s="165"/>
      <x:c r="AB822" s="165" t="str">
        <x:v>オリジナル</x:v>
      </x:c>
      <x:c r="AC822" s="165" t="str">
        <x:v>WSET公式Specificationの範囲＋ユーザー作成コーパスの論点を参考に独自作成</x:v>
      </x:c>
      <x:c r="AD822" s="171" t="str">
        <x:v>改稿済み・専門家未承認</x:v>
      </x:c>
      <x:c r="AE822" s="171" t="str">
        <x:v>AI誤答レビュー</x:v>
      </x:c>
      <x:c r="AF822" s="171" t="str">
        <x:v>2026-07-12</x:v>
      </x:c>
      <x:c r="AG822" s="369" t="str">
        <x:v>第5バッチ：使用可能な誤答を維持し、弱い誤答を因果逆転・隣接概念へ置換。正答位置は維持。</x:v>
      </x:c>
    </x:row>
    <x:row r="823" ht="84" customHeight="1">
      <x:c r="A823" s="368" t="str">
        <x:v>LO4-162</x:v>
      </x:c>
      <x:c r="B823" s="171" t="str">
        <x:v>LO4</x:v>
      </x:c>
      <x:c r="C823" s="165" t="str">
        <x:v>世界の主要な酒精強化ワイン</x:v>
      </x:c>
      <x:c r="D823" s="165" t="str">
        <x:v>ソレラの樽配置</x:v>
      </x:c>
      <x:c r="E823" s="165" t="str">
        <x:v>ソレラの段階を、物理的に上下へ積むことが必須ではない理由はどれか。</x:v>
      </x:c>
      <x:c r="F823" s="165" t="str">
        <x:v>上段から下段へワインが樽壁を通って自然に移動するため、配置を記録する必要がない</x:v>
      </x:c>
      <x:c r="G823" s="165" t="str">
        <x:v>クリアデラとソレラは熟成段階を示す概念で、移送順序を管理できれば配置は自由だから</x:v>
      </x:c>
      <x:c r="H823" s="165" t="str">
        <x:v>クリアデラとソレラはそれぞれ正確な樽齢を示し、同じ年齢の樽ならどこに置いても自動的に混ざるため</x:v>
      </x:c>
      <x:c r="I823" s="165" t="str">
        <x:v>現代のソレラでは全段階のワインを一つの大型タンクへまとめ、樽配置を使わないため</x:v>
      </x:c>
      <x:c r="J823" s="171" t="str">
        <x:v>B</x:v>
      </x:c>
      <x:c r="K823" s="165" t="str">
        <x:v>クリアデラとソレラは熟成段階を示す概念で、移送順序を管理できれば配置は自由だから</x:v>
      </x:c>
      <x:c r="L823" s="165" t="str">
        <x:v>正しい。名称は補充・移送の段階を示し、帳簿や配管で順序を守れば物理的な上下は必須でない。</x:v>
      </x:c>
      <x:c r="M823" s="165" t="str">
        <x:v>誤り。樽間の移動は人為的に行い、自然に樽壁を通過するわけではない。</x:v>
      </x:c>
      <x:c r="N823" s="165" t="str">
        <x:v>正しい。名称は補充・移送の段階を示し、帳簿や配管で順序を守れば物理的な上下は必須でない。</x:v>
      </x:c>
      <x:c r="O823" s="165" t="str">
        <x:v>誤り。段階は正確な単一樽齢ではなく、複数年が混ざる平均的な熟成段階である。</x:v>
      </x:c>
      <x:c r="P823" s="165" t="str">
        <x:v>誤り。現代でも段階を分けて管理し、すべてを一つへ無差別にまとめるわけではない。</x:v>
      </x:c>
      <x:c r="Q823" s="165" t="str">
        <x:v>熟成</x:v>
      </x:c>
      <x:c r="R823" s="165" t="str">
        <x:v>ソレラ</x:v>
      </x:c>
      <x:c r="S823" s="165" t="str">
        <x:v>酒精強化ワイン</x:v>
      </x:c>
      <x:c r="T823" s="165" t="str">
        <x:v>スペイン</x:v>
      </x:c>
      <x:c r="U823" s="165" t="str">
        <x:v>ヘレス</x:v>
      </x:c>
      <x:c r="V823" s="165"/>
      <x:c r="W823" s="165" t="str">
        <x:v>知識確認</x:v>
      </x:c>
      <x:c r="X823" s="171" t="str">
        <x:v>D3</x:v>
      </x:c>
      <x:c r="Y823" s="165" t="str">
        <x:v>ワインは樽壁を通って自然移動する; クリアデラは正確な樽齢区分; 現代ソレラは全段階を一タンクへ統合</x:v>
      </x:c>
      <x:c r="Z823" s="171" t="str">
        <x:v>N</x:v>
      </x:c>
      <x:c r="AA823" s="165"/>
      <x:c r="AB823" s="165" t="str">
        <x:v>オリジナル</x:v>
      </x:c>
      <x:c r="AC823" s="165" t="str">
        <x:v>WSET公式Specificationの範囲＋ユーザー作成コーパスの論点を参考に独自作成</x:v>
      </x:c>
      <x:c r="AD823" s="171" t="str">
        <x:v>改稿済み・専門家未承認</x:v>
      </x:c>
      <x:c r="AE823" s="171" t="str">
        <x:v>AI誤答レビュー</x:v>
      </x:c>
      <x:c r="AF823" s="171" t="str">
        <x:v>2026-07-12</x:v>
      </x:c>
      <x:c r="AG823" s="369" t="str">
        <x:v>第2バッチ：誤答を同一論点内の典型的誤概念へ置換。正答位置は維持。</x:v>
      </x:c>
    </x:row>
    <x:row r="824" ht="84" customHeight="1">
      <x:c r="A824" s="368" t="str">
        <x:v>LO4-163</x:v>
      </x:c>
      <x:c r="B824" s="171" t="str">
        <x:v>LO4</x:v>
      </x:c>
      <x:c r="C824" s="165" t="str">
        <x:v>世界の主要な酒精強化ワイン</x:v>
      </x:c>
      <x:c r="D824" s="165" t="str">
        <x:v>ソレラの一部取り出し</x:v>
      </x:c>
      <x:c r="E824" s="165" t="str">
        <x:v>ソレラから一度に少量だけ取り出すことが品質に有利な主な理由はどれか。</x:v>
      </x:c>
      <x:c r="F824" s="165" t="str">
        <x:v>各年の若いワインを複数年代の古いワインへ少量ずつ混ぜ続けるため</x:v>
      </x:c>
      <x:c r="G824" s="165" t="str">
        <x:v>少量ずつ抜くと残糖が下がり、辛口を維持できる</x:v>
      </x:c>
      <x:c r="H824" s="165" t="str">
        <x:v>古いワインの比率と熟成環境を大きく変えず、スタイルを安定させる</x:v>
      </x:c>
      <x:c r="I824" s="165" t="str">
        <x:v>少量なら最下段のワインが単一ヴィンテージとして残る</x:v>
      </x:c>
      <x:c r="J824" s="171" t="str">
        <x:v>C</x:v>
      </x:c>
      <x:c r="K824" s="165" t="str">
        <x:v>古いワインの比率と熟成環境を大きく変えず、スタイルを安定させる</x:v>
      </x:c>
      <x:c r="L824" s="165" t="str">
        <x:v>正しい。大量に抜くと平均年齢とフロール・酸化の均衡が急変する。</x:v>
      </x:c>
      <x:c r="M824" s="165" t="str">
        <x:v>誤り。これは同じ知識領域の「ソレラの一貫性」に当てはまる説明で、設問の「ソレラの一部取り出し」を最も適切に説明しない。</x:v>
      </x:c>
      <x:c r="N824" s="165" t="str">
        <x:v>誤り。取り出す量で甘味を調整しない。</x:v>
      </x:c>
      <x:c r="O824" s="165" t="str">
        <x:v>正しい。大量に抜くと平均年齢とフロール・酸化の均衡が急変する。</x:v>
      </x:c>
      <x:c r="P824" s="165" t="str">
        <x:v>誤り。複数年混合の状態は続く。</x:v>
      </x:c>
      <x:c r="Q824" s="165" t="str">
        <x:v>熟成</x:v>
      </x:c>
      <x:c r="R824" s="165" t="str">
        <x:v>ソレラ</x:v>
      </x:c>
      <x:c r="S824" s="165" t="str">
        <x:v>酒精強化ワイン</x:v>
      </x:c>
      <x:c r="T824" s="165" t="str">
        <x:v>スペイン</x:v>
      </x:c>
      <x:c r="U824" s="165" t="str">
        <x:v>ヘレス</x:v>
      </x:c>
      <x:c r="V824" s="165"/>
      <x:c r="W824" s="165" t="str">
        <x:v>因果説明</x:v>
      </x:c>
      <x:c r="X824" s="171" t="str">
        <x:v>D3</x:v>
      </x:c>
      <x:c r="Y824" s="165" t="str">
        <x:v>ソレラの一部取り出しをソレラの一貫性の特徴と混同; 少量サカで残糖低下; 少量サカで単一ヴィンテージ化</x:v>
      </x:c>
      <x:c r="Z824" s="171" t="str">
        <x:v>N</x:v>
      </x:c>
      <x:c r="AA824" s="165"/>
      <x:c r="AB824" s="165" t="str">
        <x:v>オリジナル</x:v>
      </x:c>
      <x:c r="AC824" s="165" t="str">
        <x:v>WSET公式Specificationの範囲＋ユーザー作成コーパスの論点を参考に独自作成</x:v>
      </x:c>
      <x:c r="AD824" s="171" t="str">
        <x:v>改稿済み・専門家未承認</x:v>
      </x:c>
      <x:c r="AE824" s="171" t="str">
        <x:v>AI誤答レビュー</x:v>
      </x:c>
      <x:c r="AF824" s="171" t="str">
        <x:v>2026-07-12</x:v>
      </x:c>
      <x:c r="AG824" s="369" t="str">
        <x:v>第4バッチ：同一論点内の典型的誤概念へ置換。正答位置は維持。</x:v>
      </x:c>
    </x:row>
    <x:row r="825" ht="84" customHeight="1">
      <x:c r="A825" s="368" t="str">
        <x:v>LO4-164</x:v>
      </x:c>
      <x:c r="B825" s="171" t="str">
        <x:v>LO4</x:v>
      </x:c>
      <x:c r="C825" s="165" t="str">
        <x:v>世界の主要な酒精強化ワイン</x:v>
      </x:c>
      <x:c r="D825" s="165" t="str">
        <x:v>熟成シェリーの濃縮</x:v>
      </x:c>
      <x:c r="E825" s="165" t="str">
        <x:v>非常に古い酸化熟成シェリーで酸、塩味、アルコールが強く感じられる主な理由はどれか。</x:v>
      </x:c>
      <x:c r="F825" s="165" t="str">
        <x:v>長期熟成で水分が増え、酸とアルコールが希釈される</x:v>
      </x:c>
      <x:c r="G825" s="165" t="str">
        <x:v>樽材から酸と塩分が抽出され、アルコールも生成される</x:v>
      </x:c>
      <x:c r="H825" s="165" t="str">
        <x:v>フロールが水分を消費し、酸化香を増やす</x:v>
      </x:c>
      <x:c r="I825" s="165" t="str">
        <x:v>長期蒸発により水分が失われ、非揮発性成分とアルコールが濃縮する</x:v>
      </x:c>
      <x:c r="J825" s="171" t="str">
        <x:v>D</x:v>
      </x:c>
      <x:c r="K825" s="165" t="str">
        <x:v>長期蒸発により水分が失われ、非揮発性成分とアルコールが濃縮する</x:v>
      </x:c>
      <x:c r="L825" s="165" t="str">
        <x:v>正しい。酸、塩味、アルコール感、粘性、熟成香が強くなる。</x:v>
      </x:c>
      <x:c r="M825" s="165" t="str">
        <x:v>誤り。蒸発で水分が失われ、酸、アルコール感、非揮発性成分が濃縮する。</x:v>
      </x:c>
      <x:c r="N825" s="165" t="str">
        <x:v>誤り。樽から塩分・アルコールが供給されるわけではない。</x:v>
      </x:c>
      <x:c r="O825" s="165" t="str">
        <x:v>誤り。古い酸化シェリーはフロールなしで熟成する。</x:v>
      </x:c>
      <x:c r="P825" s="165" t="str">
        <x:v>正しい。酸、塩味、アルコール感、粘性、熟成香が強くなる。</x:v>
      </x:c>
      <x:c r="Q825" s="165" t="str">
        <x:v>熟成</x:v>
      </x:c>
      <x:c r="R825" s="165" t="str">
        <x:v>シェリー</x:v>
      </x:c>
      <x:c r="S825" s="165" t="str">
        <x:v>酒精強化ワイン</x:v>
      </x:c>
      <x:c r="T825" s="165" t="str">
        <x:v>スペイン</x:v>
      </x:c>
      <x:c r="U825" s="165" t="str">
        <x:v>ヘレス</x:v>
      </x:c>
      <x:c r="V825" s="165"/>
      <x:c r="W825" s="165" t="str">
        <x:v>因果説明</x:v>
      </x:c>
      <x:c r="X825" s="171" t="str">
        <x:v>D3</x:v>
      </x:c>
      <x:c r="Y825" s="165" t="str">
        <x:v>長期樽熟成で水分が増え希釈する; 樽材が酸・塩・アルコールを供給; 酸化熟成シェリーをフロール濃縮と混同</x:v>
      </x:c>
      <x:c r="Z825" s="171" t="str">
        <x:v>N</x:v>
      </x:c>
      <x:c r="AA825" s="165"/>
      <x:c r="AB825" s="165" t="str">
        <x:v>オリジナル</x:v>
      </x:c>
      <x:c r="AC825" s="165" t="str">
        <x:v>WSET公式Specificationの範囲＋ユーザー作成コーパスの論点を参考に独自作成</x:v>
      </x:c>
      <x:c r="AD825" s="171" t="str">
        <x:v>改稿済み・専門家未承認</x:v>
      </x:c>
      <x:c r="AE825" s="171" t="str">
        <x:v>AI誤答レビュー</x:v>
      </x:c>
      <x:c r="AF825" s="171" t="str">
        <x:v>2026-07-12</x:v>
      </x:c>
      <x:c r="AG825" s="369" t="str">
        <x:v>第4バッチ：同一論点内の典型的誤概念へ置換。正答位置は維持。</x:v>
      </x:c>
    </x:row>
    <x:row r="826" ht="84" customHeight="1">
      <x:c r="A826" s="368" t="str">
        <x:v>LO4-165</x:v>
      </x:c>
      <x:c r="B826" s="171" t="str">
        <x:v>LO4</x:v>
      </x:c>
      <x:c r="C826" s="165" t="str">
        <x:v>世界の主要な酒精強化ワイン</x:v>
      </x:c>
      <x:c r="D826" s="165" t="str">
        <x:v>マンサニーリャ・パサダ</x:v>
      </x:c>
      <x:c r="E826" s="165" t="str">
        <x:v>マンサニーリャ・パサダが若いマンサニーリャより熟成感を持つ主な理由はどれか。</x:v>
      </x:c>
      <x:c r="F826" s="165" t="str">
        <x:v>長い生物学的熟成でフロールが薄くなり、軽い酸化的複雑性が加わる</x:v>
      </x:c>
      <x:c r="G826" s="165" t="str">
        <x:v>瓶内二次発酵を行うため</x:v>
      </x:c>
      <x:c r="H826" s="165" t="str">
        <x:v>甘味を大量に加えるため</x:v>
      </x:c>
      <x:c r="I826" s="165" t="str">
        <x:v>黒ブドウの果皮浸漬を行うため</x:v>
      </x:c>
      <x:c r="J826" s="171" t="str">
        <x:v>A</x:v>
      </x:c>
      <x:c r="K826" s="165" t="str">
        <x:v>長い生物学的熟成でフロールが薄くなり、軽い酸化的複雑性が加わる</x:v>
      </x:c>
      <x:c r="L826" s="165" t="str">
        <x:v>正しい。カモミールと塩味を思わせる風味に、ナッツや熟した香りが加わる。</x:v>
      </x:c>
      <x:c r="M826" s="165" t="str">
        <x:v>正しい。カモミールと塩味を思わせる風味に、ナッツや熟した香りが加わる。</x:v>
      </x:c>
      <x:c r="N826" s="165" t="str">
        <x:v>誤り。非発泡性である。</x:v>
      </x:c>
      <x:c r="O826" s="165" t="str">
        <x:v>誤り。通常は辛口である。</x:v>
      </x:c>
      <x:c r="P826" s="165" t="str">
        <x:v>誤り。パロミノの白ワインである。</x:v>
      </x:c>
      <x:c r="Q826" s="165" t="str">
        <x:v>スタイル</x:v>
      </x:c>
      <x:c r="R826" s="165" t="str">
        <x:v>シェリー</x:v>
      </x:c>
      <x:c r="S826" s="165" t="str">
        <x:v>酒精強化ワイン</x:v>
      </x:c>
      <x:c r="T826" s="165" t="str">
        <x:v>スペイン</x:v>
      </x:c>
      <x:c r="U826" s="165" t="str">
        <x:v>サンルーカル・デ・バラメダ</x:v>
      </x:c>
      <x:c r="V826" s="165" t="str">
        <x:v>パロミノ</x:v>
      </x:c>
      <x:c r="W826" s="165" t="str">
        <x:v>比較</x:v>
      </x:c>
      <x:c r="X826" s="171" t="str">
        <x:v>D3</x:v>
      </x:c>
      <x:c r="Y826" s="165" t="str">
        <x:v>マンサニーリャ・パサダについて関連要因を主因とみなす; マンサニーリャ・パサダについて関連要因を主因とみなす; マンサニーリャ・パサダについて関連要因を主因とみなす</x:v>
      </x:c>
      <x:c r="Z826" s="171" t="str">
        <x:v>Y</x:v>
      </x:c>
      <x:c r="AA826" s="165" t="str">
        <x:v>Manzanilla Pasadaの定義・表示を最新規定と教材で最終照合推奨</x:v>
      </x:c>
      <x:c r="AB826" s="165" t="str">
        <x:v>オリジナル</x:v>
      </x:c>
      <x:c r="AC826" s="165" t="str">
        <x:v>WSET公式Specificationの範囲＋ユーザー作成コーパスの論点を参考に独自作成</x:v>
      </x:c>
      <x:c r="AD826" s="171" t="str">
        <x:v>改稿済み・専門家未承認</x:v>
      </x:c>
      <x:c r="AE826" s="171" t="str">
        <x:v>AI誤答レビュー</x:v>
      </x:c>
      <x:c r="AF826" s="171" t="str">
        <x:v>2026-07-12</x:v>
      </x:c>
      <x:c r="AG826" s="369" t="str">
        <x:v>第5バッチ：使用可能な誤答を維持し、弱い誤答を因果逆転・隣接概念へ置換。正答位置は維持。</x:v>
      </x:c>
    </x:row>
    <x:row r="827" ht="84" customHeight="1">
      <x:c r="A827" s="368" t="str">
        <x:v>LO4-166</x:v>
      </x:c>
      <x:c r="B827" s="171" t="str">
        <x:v>LO4</x:v>
      </x:c>
      <x:c r="C827" s="165" t="str">
        <x:v>世界の主要な酒精強化ワイン</x:v>
      </x:c>
      <x:c r="D827" s="165" t="str">
        <x:v>フィノの瓶詰め後</x:v>
      </x:c>
      <x:c r="E827" s="165" t="str">
        <x:v>フィノを瓶詰め後に長期保存するより、新鮮なうちに飲む方がよい主な理由はどれか。</x:v>
      </x:c>
      <x:c r="F827" s="165" t="str">
        <x:v>瓶詰め後もフロールが成長し続け、香りが強くなり過ぎるため</x:v>
      </x:c>
      <x:c r="G827" s="165" t="str">
        <x:v>瓶詰めでフロールとの接触が終わり、繊細な香りが酸化で失われやすい</x:v>
      </x:c>
      <x:c r="H827" s="165" t="str">
        <x:v>瓶内で残糖が増え、辛口スタイルが崩れるため</x:v>
      </x:c>
      <x:c r="I827" s="165" t="str">
        <x:v>長期瓶熟成でアルコール度が上がり、口当たりが重くなるため</x:v>
      </x:c>
      <x:c r="J827" s="171" t="str">
        <x:v>B</x:v>
      </x:c>
      <x:c r="K827" s="165" t="str">
        <x:v>瓶詰めでフロールとの接触が終わり、繊細な香りが酸化で失われやすい</x:v>
      </x:c>
      <x:c r="L827" s="165" t="str">
        <x:v>正しい。生物学的熟成由来の繊細な香りは、瓶詰め後の酸化で弱まりやすい。</x:v>
      </x:c>
      <x:c r="M827" s="165" t="str">
        <x:v>誤り。瓶詰め後は通常フロール熟成が続かない。</x:v>
      </x:c>
      <x:c r="N827" s="165" t="str">
        <x:v>正しい。生物学的熟成由来の繊細な香りは、瓶詰め後の酸化で弱まりやすい。</x:v>
      </x:c>
      <x:c r="O827" s="165" t="str">
        <x:v>誤り。辛口ワインで、瓶内に糖が生成されるわけではない。</x:v>
      </x:c>
      <x:c r="P827" s="165" t="str">
        <x:v>誤り。瓶熟成でアルコール度が上昇するわけではない。</x:v>
      </x:c>
      <x:c r="Q827" s="165" t="str">
        <x:v>熟成</x:v>
      </x:c>
      <x:c r="R827" s="165" t="str">
        <x:v>シェリー</x:v>
      </x:c>
      <x:c r="S827" s="165" t="str">
        <x:v>酒精強化ワイン</x:v>
      </x:c>
      <x:c r="T827" s="165" t="str">
        <x:v>スペイン</x:v>
      </x:c>
      <x:c r="U827" s="165" t="str">
        <x:v>ヘレス</x:v>
      </x:c>
      <x:c r="V827" s="165"/>
      <x:c r="W827" s="165" t="str">
        <x:v>因果説明</x:v>
      </x:c>
      <x:c r="X827" s="171" t="str">
        <x:v>D2</x:v>
      </x:c>
      <x:c r="Y827" s="165" t="str">
        <x:v>瓶内でフロールが成長し続ける; 瓶熟成で残糖が増える; 瓶熟成でアルコール度が上がる</x:v>
      </x:c>
      <x:c r="Z827" s="171" t="str">
        <x:v>N</x:v>
      </x:c>
      <x:c r="AA827" s="165"/>
      <x:c r="AB827" s="165" t="str">
        <x:v>オリジナル</x:v>
      </x:c>
      <x:c r="AC827" s="165" t="str">
        <x:v>WSET公式Specificationの範囲＋ユーザー作成コーパスの論点を参考に独自作成</x:v>
      </x:c>
      <x:c r="AD827" s="171" t="str">
        <x:v>改稿済み・専門家未承認</x:v>
      </x:c>
      <x:c r="AE827" s="171" t="str">
        <x:v>AI誤答レビュー</x:v>
      </x:c>
      <x:c r="AF827" s="171" t="str">
        <x:v>2026-07-12</x:v>
      </x:c>
      <x:c r="AG827" s="369" t="str">
        <x:v>第3バッチ：同一論点内の典型的誤概念へ置換。正答位置は維持。</x:v>
      </x:c>
    </x:row>
    <x:row r="828" ht="84" customHeight="1">
      <x:c r="A828" s="368" t="str">
        <x:v>LO4-167</x:v>
      </x:c>
      <x:c r="B828" s="171" t="str">
        <x:v>LO4</x:v>
      </x:c>
      <x:c r="C828" s="165" t="str">
        <x:v>世界の主要な酒精強化ワイン</x:v>
      </x:c>
      <x:c r="D828" s="165" t="str">
        <x:v>アモンティリャードの二段階</x:v>
      </x:c>
      <x:c r="E828" s="165" t="str">
        <x:v>アモンティリャードがフィノとオロロソの両方の特徴を持つ主な理由はどれか。</x:v>
      </x:c>
      <x:c r="F828" s="165" t="str">
        <x:v>甘口ワインだけを加える</x:v>
      </x:c>
      <x:c r="G828" s="165" t="str">
        <x:v>発泡性と非発泡性を混ぜる</x:v>
      </x:c>
      <x:c r="H828" s="165" t="str">
        <x:v>初期にフロール下で熟成し、その後酸化熟成する</x:v>
      </x:c>
      <x:c r="I828" s="165" t="str">
        <x:v>白ワインと赤ワインをブレンドする</x:v>
      </x:c>
      <x:c r="J828" s="171" t="str">
        <x:v>C</x:v>
      </x:c>
      <x:c r="K828" s="165" t="str">
        <x:v>初期にフロール下で熟成し、その後酸化熟成する</x:v>
      </x:c>
      <x:c r="L828" s="165" t="str">
        <x:v>正しい。アセトアルデヒド由来の繊細な香りと、ナッツ・琥珀色・豊かな熟成香が組み合わさる。</x:v>
      </x:c>
      <x:c r="M828" s="165" t="str">
        <x:v>誤り。自然には辛口である。</x:v>
      </x:c>
      <x:c r="N828" s="165" t="str">
        <x:v>誤り。非発泡性である。</x:v>
      </x:c>
      <x:c r="O828" s="165" t="str">
        <x:v>正しい。アセトアルデヒド由来の繊細な香りと、ナッツ・琥珀色・豊かな熟成香が組み合わさる。</x:v>
      </x:c>
      <x:c r="P828" s="165" t="str">
        <x:v>誤り。同じパロミノの熟成経路による。</x:v>
      </x:c>
      <x:c r="Q828" s="165" t="str">
        <x:v>熟成</x:v>
      </x:c>
      <x:c r="R828" s="165" t="str">
        <x:v>シェリー</x:v>
      </x:c>
      <x:c r="S828" s="165" t="str">
        <x:v>酒精強化ワイン</x:v>
      </x:c>
      <x:c r="T828" s="165" t="str">
        <x:v>スペイン</x:v>
      </x:c>
      <x:c r="U828" s="165" t="str">
        <x:v>ヘレス</x:v>
      </x:c>
      <x:c r="V828" s="165"/>
      <x:c r="W828" s="165" t="str">
        <x:v>因果説明</x:v>
      </x:c>
      <x:c r="X828" s="171" t="str">
        <x:v>D2</x:v>
      </x:c>
      <x:c r="Y828" s="165" t="str">
        <x:v>アモンティリャードの二段階について関連要因を主因とみなす; アモンティリャードの二段階について関連要因を主因とみなす; アモンティリャードの二段階について関連要因を主因とみなす</x:v>
      </x:c>
      <x:c r="Z828" s="171" t="str">
        <x:v>N</x:v>
      </x:c>
      <x:c r="AA828" s="165"/>
      <x:c r="AB828" s="165" t="str">
        <x:v>オリジナル</x:v>
      </x:c>
      <x:c r="AC828" s="165" t="str">
        <x:v>WSET公式Specificationの範囲＋ユーザー作成コーパスの論点を参考に独自作成</x:v>
      </x:c>
      <x:c r="AD828" s="171" t="str">
        <x:v>改稿済み・専門家未承認</x:v>
      </x:c>
      <x:c r="AE828" s="171" t="str">
        <x:v>AI誤答レビュー</x:v>
      </x:c>
      <x:c r="AF828" s="171" t="str">
        <x:v>2026-07-12</x:v>
      </x:c>
      <x:c r="AG828" s="369" t="str">
        <x:v>第5バッチ：使用可能な誤答を維持し、弱い誤答を因果逆転・隣接概念へ置換。正答位置は維持。</x:v>
      </x:c>
    </x:row>
    <x:row r="829" ht="84" customHeight="1">
      <x:c r="A829" s="368" t="str">
        <x:v>LO4-168</x:v>
      </x:c>
      <x:c r="B829" s="171" t="str">
        <x:v>LO4</x:v>
      </x:c>
      <x:c r="C829" s="165" t="str">
        <x:v>世界の主要な酒精強化ワイン</x:v>
      </x:c>
      <x:c r="D829" s="165" t="str">
        <x:v>オロロソの自然な辛口</x:v>
      </x:c>
      <x:c r="E829" s="165" t="str">
        <x:v>オロロソが甘そうな香りを持ちながら、自然には辛口である理由はどれか。</x:v>
      </x:c>
      <x:c r="F829" s="165" t="str">
        <x:v>酸化熟成中に糖が生成されるが、樽材がその糖を吸収するため</x:v>
      </x:c>
      <x:c r="G829" s="165" t="str">
        <x:v>発酵途中で酒精強化して残糖を残すが、長期熟成で甘味だけが感じられなくなるため</x:v>
      </x:c>
      <x:c r="H829" s="165" t="str">
        <x:v>グリセロールが糖へ変化し、香りには甘さを与えるが味わいでは辛口に戻るため</x:v>
      </x:c>
      <x:c r="I829" s="165" t="str">
        <x:v>ベースワインを辛口まで発酵した後、酸化熟成でドライフルーツやキャラメルを思わせる香りが生じるから</x:v>
      </x:c>
      <x:c r="J829" s="171" t="str">
        <x:v>D</x:v>
      </x:c>
      <x:c r="K829" s="165" t="str">
        <x:v>ベースワインを辛口まで発酵した後、酸化熟成でドライフルーツやキャラメルを思わせる香りが生じるから</x:v>
      </x:c>
      <x:c r="L829" s="165" t="str">
        <x:v>正しい。甘さを連想する熟成香と、実際の残糖量は別である。</x:v>
      </x:c>
      <x:c r="M829" s="165" t="str">
        <x:v>誤り。酸化熟成で糖が新たに生成されるわけではない。</x:v>
      </x:c>
      <x:c r="N829" s="165" t="str">
        <x:v>誤り。オロロソのベースワインは通常、辛口まで発酵後に酒精強化する。</x:v>
      </x:c>
      <x:c r="O829" s="165" t="str">
        <x:v>誤り。グリセロールは口当たりへ寄与するが、糖へ変化して再び消えるわけではない。</x:v>
      </x:c>
      <x:c r="P829" s="165" t="str">
        <x:v>正しい。甘さを連想する熟成香と、実際の残糖量は別である。</x:v>
      </x:c>
      <x:c r="Q829" s="165" t="str">
        <x:v>スタイル</x:v>
      </x:c>
      <x:c r="R829" s="165" t="str">
        <x:v>シェリー</x:v>
      </x:c>
      <x:c r="S829" s="165" t="str">
        <x:v>酒精強化ワイン</x:v>
      </x:c>
      <x:c r="T829" s="165" t="str">
        <x:v>スペイン</x:v>
      </x:c>
      <x:c r="U829" s="165" t="str">
        <x:v>ヘレス</x:v>
      </x:c>
      <x:c r="V829" s="165"/>
      <x:c r="W829" s="165" t="str">
        <x:v>比較</x:v>
      </x:c>
      <x:c r="X829" s="171" t="str">
        <x:v>D2</x:v>
      </x:c>
      <x:c r="Y829" s="165" t="str">
        <x:v>酸化熟成で糖が生成され樽が吸収する; オロロソは発酵途中に強化する甘口; グリセロールが糖へ変化して辛口へ戻る</x:v>
      </x:c>
      <x:c r="Z829" s="171" t="str">
        <x:v>N</x:v>
      </x:c>
      <x:c r="AA829" s="165"/>
      <x:c r="AB829" s="165" t="str">
        <x:v>オリジナル</x:v>
      </x:c>
      <x:c r="AC829" s="165" t="str">
        <x:v>WSET公式Specificationの範囲＋ユーザー作成コーパスの論点を参考に独自作成</x:v>
      </x:c>
      <x:c r="AD829" s="171" t="str">
        <x:v>改稿済み・専門家未承認</x:v>
      </x:c>
      <x:c r="AE829" s="171" t="str">
        <x:v>AI誤答レビュー</x:v>
      </x:c>
      <x:c r="AF829" s="171" t="str">
        <x:v>2026-07-12</x:v>
      </x:c>
      <x:c r="AG829" s="369" t="str">
        <x:v>第2バッチ：誤答を同一論点内の典型的誤概念へ置換。正答位置は維持。</x:v>
      </x:c>
    </x:row>
    <x:row r="830" ht="84" customHeight="1">
      <x:c r="A830" s="368" t="str">
        <x:v>LO4-169</x:v>
      </x:c>
      <x:c r="B830" s="171" t="str">
        <x:v>LO4</x:v>
      </x:c>
      <x:c r="C830" s="165" t="str">
        <x:v>世界の主要な酒精強化ワイン</x:v>
      </x:c>
      <x:c r="D830" s="165" t="str">
        <x:v>パロ・コルタドの選別</x:v>
      </x:c>
      <x:c r="E830" s="165" t="str">
        <x:v>パロ・コルタドが希少で高価格になりやすい主な理由はどれか。</x:v>
      </x:c>
      <x:c r="F830" s="165" t="str">
        <x:v>期待した熟成経路と官能特性を満たす限られたロットを選別するため</x:v>
      </x:c>
      <x:c r="G830" s="165" t="str">
        <x:v>白ブドウを使わないから</x:v>
      </x:c>
      <x:c r="H830" s="165" t="str">
        <x:v>炭酸ガス注入が高価だから</x:v>
      </x:c>
      <x:c r="I830" s="165" t="str">
        <x:v>大量生産の最も若いワインだから</x:v>
      </x:c>
      <x:c r="J830" s="171" t="str">
        <x:v>A</x:v>
      </x:c>
      <x:c r="K830" s="165" t="str">
        <x:v>期待した熟成経路と官能特性を満たす限られたロットを選別するため</x:v>
      </x:c>
      <x:c r="L830" s="165" t="str">
        <x:v>正しい。繊細な香りと豊かな酸化的ボディを併せ持つワインは少なく、長期在庫も必要となる。</x:v>
      </x:c>
      <x:c r="M830" s="165" t="str">
        <x:v>正しい。繊細な香りと豊かな酸化的ボディを併せ持つワインは少なく、長期在庫も必要となる。</x:v>
      </x:c>
      <x:c r="N830" s="165" t="str">
        <x:v>誤り。パロミノの白ワインから造る。</x:v>
      </x:c>
      <x:c r="O830" s="165" t="str">
        <x:v>誤り。非発泡性である。</x:v>
      </x:c>
      <x:c r="P830" s="165" t="str">
        <x:v>誤り。希少な熟成スタイルである。</x:v>
      </x:c>
      <x:c r="Q830" s="165" t="str">
        <x:v>商業・価格</x:v>
      </x:c>
      <x:c r="R830" s="165" t="str">
        <x:v>シェリー</x:v>
      </x:c>
      <x:c r="S830" s="165" t="str">
        <x:v>酒精強化ワイン</x:v>
      </x:c>
      <x:c r="T830" s="165" t="str">
        <x:v>スペイン</x:v>
      </x:c>
      <x:c r="U830" s="165" t="str">
        <x:v>ヘレス</x:v>
      </x:c>
      <x:c r="V830" s="165"/>
      <x:c r="W830" s="165" t="str">
        <x:v>統合判断</x:v>
      </x:c>
      <x:c r="X830" s="171" t="str">
        <x:v>D3</x:v>
      </x:c>
      <x:c r="Y830" s="165" t="str">
        <x:v>パロ・コルタドの選別について関連要因を主因とみなす; パロ・コルタドの選別について関連要因を主因とみなす; パロ・コルタドの選別について関連要因を主因とみなす</x:v>
      </x:c>
      <x:c r="Z830" s="171" t="str">
        <x:v>Y</x:v>
      </x:c>
      <x:c r="AA830" s="165" t="str">
        <x:v>パロ・コルタドの選別・熟成経路は生産者差があるため、スタイル中心の表現を確認推奨</x:v>
      </x:c>
      <x:c r="AB830" s="165" t="str">
        <x:v>オリジナル</x:v>
      </x:c>
      <x:c r="AC830" s="165" t="str">
        <x:v>WSET公式Specificationの範囲＋ユーザー作成コーパスの論点を参考に独自作成</x:v>
      </x:c>
      <x:c r="AD830" s="171" t="str">
        <x:v>改稿済み・専門家未承認</x:v>
      </x:c>
      <x:c r="AE830" s="171" t="str">
        <x:v>AI誤答レビュー</x:v>
      </x:c>
      <x:c r="AF830" s="171" t="str">
        <x:v>2026-07-12</x:v>
      </x:c>
      <x:c r="AG830" s="369" t="str">
        <x:v>第5バッチ：使用可能な誤答を維持し、弱い誤答を因果逆転・隣接概念へ置換。正答位置は維持。</x:v>
      </x:c>
    </x:row>
    <x:row r="831" ht="84" customHeight="1">
      <x:c r="A831" s="368" t="str">
        <x:v>LO4-170</x:v>
      </x:c>
      <x:c r="B831" s="171" t="str">
        <x:v>LO4</x:v>
      </x:c>
      <x:c r="C831" s="165" t="str">
        <x:v>世界の主要な酒精強化ワイン</x:v>
      </x:c>
      <x:c r="D831" s="165" t="str">
        <x:v>甘味調整用濃縮果汁</x:v>
      </x:c>
      <x:c r="E831" s="165" t="str">
        <x:v>ペール・クリームなどで精製濃縮果汁を用いる利点はどれか。</x:v>
      </x:c>
      <x:c r="F831" s="165" t="str">
        <x:v>水分を蒸発させ、糖と風味を極度に濃縮する</x:v>
      </x:c>
      <x:c r="G831" s="165" t="str">
        <x:v>色や強い品種香を大きく加えずに甘味を調整できる</x:v>
      </x:c>
      <x:c r="H831" s="165" t="str">
        <x:v>フロールを再活性化し、生物学的熟成を再開できる</x:v>
      </x:c>
      <x:c r="I831" s="165" t="str">
        <x:v>酸化熟成した色を淡く戻し、フィノ型へ変えられる</x:v>
      </x:c>
      <x:c r="J831" s="171" t="str">
        <x:v>B</x:v>
      </x:c>
      <x:c r="K831" s="165" t="str">
        <x:v>色や強い品種香を大きく加えずに甘味を調整できる</x:v>
      </x:c>
      <x:c r="L831" s="165" t="str">
        <x:v>正しい。淡い基礎ワインの外観と香りを保ちながら残糖を調整する。</x:v>
      </x:c>
      <x:c r="M831" s="165" t="str">
        <x:v>誤り。これは同じ知識領域の「PXの天日乾燥」に当てはまる説明で、設問の「甘味調整用濃縮果汁」を最も適切に説明しない。</x:v>
      </x:c>
      <x:c r="N831" s="165" t="str">
        <x:v>正しい。淡い基礎ワインの外観と香りを保ちながら残糖を調整する。</x:v>
      </x:c>
      <x:c r="O831" s="165" t="str">
        <x:v>誤り。甘味調整用で、フロール維持が目的ではない。</x:v>
      </x:c>
      <x:c r="P831" s="165" t="str">
        <x:v>誤り。色を戻す工程ではない。</x:v>
      </x:c>
      <x:c r="Q831" s="165" t="str">
        <x:v>甘味調整</x:v>
      </x:c>
      <x:c r="R831" s="165" t="str">
        <x:v>シェリー</x:v>
      </x:c>
      <x:c r="S831" s="165" t="str">
        <x:v>甘口酒精強化ワイン</x:v>
      </x:c>
      <x:c r="T831" s="165" t="str">
        <x:v>スペイン</x:v>
      </x:c>
      <x:c r="U831" s="165" t="str">
        <x:v>ヘレス</x:v>
      </x:c>
      <x:c r="V831" s="165"/>
      <x:c r="W831" s="165" t="str">
        <x:v>因果説明</x:v>
      </x:c>
      <x:c r="X831" s="171" t="str">
        <x:v>D3</x:v>
      </x:c>
      <x:c r="Y831" s="165" t="str">
        <x:v>甘味調整用濃縮果汁をPXの天日乾燥の特徴と混同; 濃縮果汁でフロール再活性化; 濃縮果汁で酸化色を淡色化</x:v>
      </x:c>
      <x:c r="Z831" s="171" t="str">
        <x:v>Y</x:v>
      </x:c>
      <x:c r="AA831" s="165" t="str">
        <x:v>甘味調整成分の現行法規・用語を最新教材と照合推奨</x:v>
      </x:c>
      <x:c r="AB831" s="165" t="str">
        <x:v>オリジナル</x:v>
      </x:c>
      <x:c r="AC831" s="165" t="str">
        <x:v>WSET公式Specificationの範囲＋ユーザー作成コーパスの論点を参考に独自作成</x:v>
      </x:c>
      <x:c r="AD831" s="171" t="str">
        <x:v>改稿済み・専門家未承認</x:v>
      </x:c>
      <x:c r="AE831" s="171" t="str">
        <x:v>AI誤答レビュー</x:v>
      </x:c>
      <x:c r="AF831" s="171" t="str">
        <x:v>2026-07-12</x:v>
      </x:c>
      <x:c r="AG831" s="369" t="str">
        <x:v>第4バッチ：同一論点内の典型的誤概念へ置換。正答位置は維持。</x:v>
      </x:c>
    </x:row>
    <x:row r="832" ht="84" customHeight="1">
      <x:c r="A832" s="368" t="str">
        <x:v>LO4-171</x:v>
      </x:c>
      <x:c r="B832" s="171" t="str">
        <x:v>LO4</x:v>
      </x:c>
      <x:c r="C832" s="165" t="str">
        <x:v>世界の主要な酒精強化ワイン</x:v>
      </x:c>
      <x:c r="D832" s="165" t="str">
        <x:v>ミディアムの基礎ワイン</x:v>
      </x:c>
      <x:c r="E832" s="165" t="str">
        <x:v>ミディアム・シェリーが、クリーム・シェリーより軽いスタイルになりやすい主な理由はどれか。</x:v>
      </x:c>
      <x:c r="F832" s="165" t="str">
        <x:v>両者ともオロロソを基礎とするが、ミディアムは甘味を加えない</x:v>
      </x:c>
      <x:c r="G832" s="165" t="str">
        <x:v>ミディアムはフィノだけ、クリームはPXだけから造られ、辛口シェリーを用いない</x:v>
      </x:c>
      <x:c r="H832" s="165" t="str">
        <x:v>アモンティリャードなど比較的軽い辛口シェリーを基礎に甘味を加えることが多い</x:v>
      </x:c>
      <x:c r="I832" s="165" t="str">
        <x:v>基礎となる辛口シェリーは同じで、両者の違いは残糖量だけである</x:v>
      </x:c>
      <x:c r="J832" s="171" t="str">
        <x:v>C</x:v>
      </x:c>
      <x:c r="K832" s="165" t="str">
        <x:v>アモンティリャードなど比較的軽い辛口シェリーを基礎に甘味を加えることが多い</x:v>
      </x:c>
      <x:c r="L832" s="165" t="str">
        <x:v>正しい。アモンティリャード系の基礎は、オロロソ系のクリームより香りとボディが軽くなりやすい。</x:v>
      </x:c>
      <x:c r="M832" s="165" t="str">
        <x:v>誤り。ミディアムにも甘味を加えるため、甘味を加えないという説明は誤りである。</x:v>
      </x:c>
      <x:c r="N832" s="165" t="str">
        <x:v>誤り。いずれも辛口シェリーへ甘味成分をブレンドするスタイルで、単一の甘口原酒だけではない。</x:v>
      </x:c>
      <x:c r="O832" s="165" t="str">
        <x:v>正しい。アモンティリャード系の基礎は、オロロソ系のクリームより香りとボディが軽くなりやすい。</x:v>
      </x:c>
      <x:c r="P832" s="165" t="str">
        <x:v>誤り。甘味だけでなく、基礎となる辛口シェリーの熟成経路とボディも異なる。</x:v>
      </x:c>
      <x:c r="Q832" s="165" t="str">
        <x:v>スタイル</x:v>
      </x:c>
      <x:c r="R832" s="165" t="str">
        <x:v>シェリー</x:v>
      </x:c>
      <x:c r="S832" s="165" t="str">
        <x:v>甘口酒精強化ワイン</x:v>
      </x:c>
      <x:c r="T832" s="165" t="str">
        <x:v>スペイン</x:v>
      </x:c>
      <x:c r="U832" s="165" t="str">
        <x:v>ヘレス</x:v>
      </x:c>
      <x:c r="V832" s="165"/>
      <x:c r="W832" s="165" t="str">
        <x:v>比較</x:v>
      </x:c>
      <x:c r="X832" s="171" t="str">
        <x:v>D3</x:v>
      </x:c>
      <x:c r="Y832" s="165" t="str">
        <x:v>ミディアムはオロロソ基礎で甘味なし; ミディアムはフィノのみ、クリームはPXのみ; MediumとCreamの差は残糖だけ</x:v>
      </x:c>
      <x:c r="Z832" s="171" t="str">
        <x:v>Y</x:v>
      </x:c>
      <x:c r="AA832" s="165" t="str">
        <x:v>MediumとCreamの基礎ワイン・甘味区分を最新教材と照合推奨</x:v>
      </x:c>
      <x:c r="AB832" s="165" t="str">
        <x:v>オリジナル</x:v>
      </x:c>
      <x:c r="AC832" s="165" t="str">
        <x:v>WSET公式Specificationの範囲＋ユーザー作成コーパスの論点を参考に独自作成</x:v>
      </x:c>
      <x:c r="AD832" s="171" t="str">
        <x:v>改稿済み・専門家未承認</x:v>
      </x:c>
      <x:c r="AE832" s="171" t="str">
        <x:v>AI誤答レビュー</x:v>
      </x:c>
      <x:c r="AF832" s="171" t="str">
        <x:v>2026-07-12</x:v>
      </x:c>
      <x:c r="AG832" s="369" t="str">
        <x:v>第2バッチ：誤答を同一論点内の典型的誤概念へ置換。正答位置は維持。</x:v>
      </x:c>
    </x:row>
    <x:row r="833" ht="84" customHeight="1">
      <x:c r="A833" s="368" t="str">
        <x:v>LO4-172</x:v>
      </x:c>
      <x:c r="B833" s="171" t="str">
        <x:v>LO4</x:v>
      </x:c>
      <x:c r="C833" s="165" t="str">
        <x:v>世界の主要な酒精強化ワイン</x:v>
      </x:c>
      <x:c r="D833" s="165" t="str">
        <x:v>PXとモスカテル</x:v>
      </x:c>
      <x:c r="E833" s="165" t="str">
        <x:v>PXシェリーとモスカテル・シェリーの香りの違いとして、最も適切なものはどれか。</x:v>
      </x:c>
      <x:c r="F833" s="165" t="str">
        <x:v>PXは花と新鮮なブドウ香が中心で、モスカテルは糖蜜とコーヒー香が中心</x:v>
      </x:c>
      <x:c r="G833" s="165" t="str">
        <x:v>両者とも天日乾燥により品種香をほぼ失うため、香りの違いは小さい</x:v>
      </x:c>
      <x:c r="H833" s="165" t="str">
        <x:v>PXは主に貴腐由来のアプリコット香、モスカテルはフロール由来の青リンゴ香を持つ</x:v>
      </x:c>
      <x:c r="I833" s="165" t="str">
        <x:v>PXはレーズン、糖蜜、コーヒーが中心で、モスカテルは花、ブドウ、オレンジ皮の品種香が強い</x:v>
      </x:c>
      <x:c r="J833" s="171" t="str">
        <x:v>D</x:v>
      </x:c>
      <x:c r="K833" s="165" t="str">
        <x:v>PXはレーズン、糖蜜、コーヒーが中心で、モスカテルは花、ブドウ、オレンジ皮の品種香が強い</x:v>
      </x:c>
      <x:c r="L833" s="165" t="str">
        <x:v>正しい。PXの濃い乾燥果実香と、モスカテルの芳香性品種香を正しく区別している。</x:v>
      </x:c>
      <x:c r="M833" s="165" t="str">
        <x:v>誤り。芳香の対応が逆で、花とブドウ香はモスカテルにより典型的である。</x:v>
      </x:c>
      <x:c r="N833" s="165" t="str">
        <x:v>誤り。乾燥後もモスカテルのテルペン系品種香は明瞭に残り、PXとの差がある。</x:v>
      </x:c>
      <x:c r="O833" s="165" t="str">
        <x:v>誤り。PXの濃縮は主に天日乾燥で、モスカテルの香りをフロール熟成で説明しない。</x:v>
      </x:c>
      <x:c r="P833" s="165" t="str">
        <x:v>正しい。PXの濃い乾燥果実香と、モスカテルの芳香性品種香を正しく区別している。</x:v>
      </x:c>
      <x:c r="Q833" s="165" t="str">
        <x:v>比較</x:v>
      </x:c>
      <x:c r="R833" s="165" t="str">
        <x:v>シェリー</x:v>
      </x:c>
      <x:c r="S833" s="165" t="str">
        <x:v>甘口酒精強化ワイン</x:v>
      </x:c>
      <x:c r="T833" s="165" t="str">
        <x:v>スペイン</x:v>
      </x:c>
      <x:c r="U833" s="165" t="str">
        <x:v>ヘレス</x:v>
      </x:c>
      <x:c r="V833" s="165" t="str">
        <x:v>ペドロ・ヒメネス、モスカテル</x:v>
      </x:c>
      <x:c r="W833" s="165" t="str">
        <x:v>比較</x:v>
      </x:c>
      <x:c r="X833" s="171" t="str">
        <x:v>D2</x:v>
      </x:c>
      <x:c r="Y833" s="165" t="str">
        <x:v>PXとモスカテルの芳香を逆転; 天日乾燥で両品種の個性が消える; PXは貴腐、モスカテルはフロール由来</x:v>
      </x:c>
      <x:c r="Z833" s="171" t="str">
        <x:v>N</x:v>
      </x:c>
      <x:c r="AA833" s="165"/>
      <x:c r="AB833" s="165" t="str">
        <x:v>オリジナル</x:v>
      </x:c>
      <x:c r="AC833" s="165" t="str">
        <x:v>WSET公式Specificationの範囲＋ユーザー作成コーパスの論点を参考に独自作成</x:v>
      </x:c>
      <x:c r="AD833" s="171" t="str">
        <x:v>改稿済み・専門家未承認</x:v>
      </x:c>
      <x:c r="AE833" s="171" t="str">
        <x:v>AI誤答レビュー</x:v>
      </x:c>
      <x:c r="AF833" s="171" t="str">
        <x:v>2026-07-12</x:v>
      </x:c>
      <x:c r="AG833" s="369" t="str">
        <x:v>第2バッチ：誤答を同一論点内の典型的誤概念へ置換。正答位置は維持。</x:v>
      </x:c>
    </x:row>
    <x:row r="834" ht="84" customHeight="1">
      <x:c r="A834" s="368" t="str">
        <x:v>LO4-173</x:v>
      </x:c>
      <x:c r="B834" s="171" t="str">
        <x:v>LO4</x:v>
      </x:c>
      <x:c r="C834" s="165" t="str">
        <x:v>世界の主要な酒精強化ワイン</x:v>
      </x:c>
      <x:c r="D834" s="165" t="str">
        <x:v>PXの低酸</x:v>
      </x:c>
      <x:c r="E834" s="165" t="str">
        <x:v>ペドロ・ヒメネスの甘口ワインが非常に甘く粘性が高い一方、重く感じられることがある主な理由はどれか。</x:v>
      </x:c>
      <x:c r="F834" s="165" t="str">
        <x:v>天日乾燥で糖が極度に濃縮し、品種の自然酸が比較的低いため</x:v>
      </x:c>
      <x:c r="G834" s="165" t="str">
        <x:v>PXの重さは高いタンニンと低い残糖による</x:v>
      </x:c>
      <x:c r="H834" s="165" t="str">
        <x:v>高いタンニンと高アルコールが甘味を覆い、重く感じさせる</x:v>
      </x:c>
      <x:c r="I834" s="165" t="str">
        <x:v>フロールが酸を消費し、甘味を増やすため</x:v>
      </x:c>
      <x:c r="J834" s="171" t="str">
        <x:v>A</x:v>
      </x:c>
      <x:c r="K834" s="165" t="str">
        <x:v>天日乾燥で糖が極度に濃縮し、品種の自然酸が比較的低いため</x:v>
      </x:c>
      <x:c r="L834" s="165" t="str">
        <x:v>正しい。非常に高い残糖を十分な酸が支えきれないと重く感じられる。</x:v>
      </x:c>
      <x:c r="M834" s="165" t="str">
        <x:v>正しい。非常に高い残糖を十分な酸が支えきれないと重く感じられる。</x:v>
      </x:c>
      <x:c r="N834" s="165" t="str">
        <x:v>誤り。PXは白品種で低タンニン、非常に高い残糖と比較的低い酸を持つ。</x:v>
      </x:c>
      <x:c r="O834" s="165" t="str">
        <x:v>誤り。PXは白品種で低タンニン。</x:v>
      </x:c>
      <x:c r="P834" s="165" t="str">
        <x:v>誤り。PX甘口はフロール熟成が中心ではない。</x:v>
      </x:c>
      <x:c r="Q834" s="165" t="str">
        <x:v>スタイル</x:v>
      </x:c>
      <x:c r="R834" s="165" t="str">
        <x:v>シェリー</x:v>
      </x:c>
      <x:c r="S834" s="165" t="str">
        <x:v>甘口酒精強化ワイン</x:v>
      </x:c>
      <x:c r="T834" s="165" t="str">
        <x:v>スペイン</x:v>
      </x:c>
      <x:c r="U834" s="165" t="str">
        <x:v>ヘレス／モンティーリャ・モリレス</x:v>
      </x:c>
      <x:c r="V834" s="165" t="str">
        <x:v>ペドロ・ヒメネス</x:v>
      </x:c>
      <x:c r="W834" s="165" t="str">
        <x:v>因果説明</x:v>
      </x:c>
      <x:c r="X834" s="171" t="str">
        <x:v>D2</x:v>
      </x:c>
      <x:c r="Y834" s="165" t="str">
        <x:v>PXは高タンニン・低残糖; PXは高タンニン; PXの低酸はフロール消費</x:v>
      </x:c>
      <x:c r="Z834" s="171" t="str">
        <x:v>N</x:v>
      </x:c>
      <x:c r="AA834" s="165"/>
      <x:c r="AB834" s="165" t="str">
        <x:v>オリジナル</x:v>
      </x:c>
      <x:c r="AC834" s="165" t="str">
        <x:v>WSET公式Specificationの範囲＋ユーザー作成コーパスの論点を参考に独自作成</x:v>
      </x:c>
      <x:c r="AD834" s="171" t="str">
        <x:v>改稿済み・専門家未承認</x:v>
      </x:c>
      <x:c r="AE834" s="171" t="str">
        <x:v>AI誤答レビュー</x:v>
      </x:c>
      <x:c r="AF834" s="171" t="str">
        <x:v>2026-07-12</x:v>
      </x:c>
      <x:c r="AG834" s="369" t="str">
        <x:v>第4バッチ：同一論点内の典型的誤概念へ置換。正答位置は維持。</x:v>
      </x:c>
    </x:row>
    <x:row r="835" ht="84" customHeight="1">
      <x:c r="A835" s="368" t="str">
        <x:v>LO4-174</x:v>
      </x:c>
      <x:c r="B835" s="171" t="str">
        <x:v>LO4</x:v>
      </x:c>
      <x:c r="C835" s="165" t="str">
        <x:v>世界の主要な酒精強化ワイン</x:v>
      </x:c>
      <x:c r="D835" s="165" t="str">
        <x:v>若い酒精強化マスカット</x:v>
      </x:c>
      <x:c r="E835" s="165" t="str">
        <x:v>若く不活性容器で熟成する酒精強化マスカットの主なスタイルはどれか。</x:v>
      </x:c>
      <x:c r="F835" s="165" t="str">
        <x:v>強い炭酸ガスの泡</x:v>
      </x:c>
      <x:c r="G835" s="165" t="str">
        <x:v>新鮮なブドウ、桃、バラ、オレンジの花と高い甘味</x:v>
      </x:c>
      <x:c r="H835" s="165" t="str">
        <x:v>高タンニンの黒系果実赤</x:v>
      </x:c>
      <x:c r="I835" s="165" t="str">
        <x:v>ナッツとコーヒーだけの強い酸化香</x:v>
      </x:c>
      <x:c r="J835" s="171" t="str">
        <x:v>B</x:v>
      </x:c>
      <x:c r="K835" s="165" t="str">
        <x:v>新鮮なブドウ、桃、バラ、オレンジの花と高い甘味</x:v>
      </x:c>
      <x:c r="L835" s="165" t="str">
        <x:v>正しい。酸素を避けて早期瓶詰めすることで、テルペン由来の品種香を保つ。</x:v>
      </x:c>
      <x:c r="M835" s="165" t="str">
        <x:v>誤り。非発泡性である。</x:v>
      </x:c>
      <x:c r="N835" s="165" t="str">
        <x:v>正しい。酸素を避けて早期瓶詰めすることで、テルペン由来の品種香を保つ。</x:v>
      </x:c>
      <x:c r="O835" s="165" t="str">
        <x:v>誤り。マスカットは芳香性白品種が中心である。</x:v>
      </x:c>
      <x:c r="P835" s="165" t="str">
        <x:v>誤り。長期酸化熟成型の特徴である。</x:v>
      </x:c>
      <x:c r="Q835" s="165" t="str">
        <x:v>スタイル</x:v>
      </x:c>
      <x:c r="R835" s="165" t="str">
        <x:v>酒精強化マスカット</x:v>
      </x:c>
      <x:c r="S835" s="165" t="str">
        <x:v>甘口酒精強化ワイン</x:v>
      </x:c>
      <x:c r="T835" s="165"/>
      <x:c r="U835" s="165"/>
      <x:c r="V835" s="165"/>
      <x:c r="W835" s="165" t="str">
        <x:v>知識確認</x:v>
      </x:c>
      <x:c r="X835" s="171" t="str">
        <x:v>D1</x:v>
      </x:c>
      <x:c r="Y835" s="165" t="str">
        <x:v>若い酒精強化マスカットについて関連要因を主因とみなす; 若い酒精強化マスカットについて関連要因を主因とみなす; 若い酒精強化マスカットについて関連要因を主因とみなす</x:v>
      </x:c>
      <x:c r="Z835" s="171" t="str">
        <x:v>N</x:v>
      </x:c>
      <x:c r="AA835" s="165"/>
      <x:c r="AB835" s="165" t="str">
        <x:v>オリジナル</x:v>
      </x:c>
      <x:c r="AC835" s="165" t="str">
        <x:v>WSET公式Specificationの範囲＋ユーザー作成コーパスの論点を参考に独自作成</x:v>
      </x:c>
      <x:c r="AD835" s="171" t="str">
        <x:v>改稿済み・専門家未承認</x:v>
      </x:c>
      <x:c r="AE835" s="171" t="str">
        <x:v>AI誤答レビュー</x:v>
      </x:c>
      <x:c r="AF835" s="171" t="str">
        <x:v>2026-07-12</x:v>
      </x:c>
      <x:c r="AG835" s="369" t="str">
        <x:v>第5バッチ：使用可能な誤答を維持し、弱い誤答を因果逆転・隣接概念へ置換。正答位置は維持。</x:v>
      </x:c>
    </x:row>
    <x:row r="836" ht="84" customHeight="1">
      <x:c r="A836" s="368" t="str">
        <x:v>LO4-175</x:v>
      </x:c>
      <x:c r="B836" s="171" t="str">
        <x:v>LO4</x:v>
      </x:c>
      <x:c r="C836" s="165" t="str">
        <x:v>世界の主要な酒精強化ワイン</x:v>
      </x:c>
      <x:c r="D836" s="165" t="str">
        <x:v>酸化型マスカット</x:v>
      </x:c>
      <x:c r="E836" s="165" t="str">
        <x:v>長期酸化熟成する酒精強化マスカットで品種香が変化する方向として最も適切なものはどれか。</x:v>
      </x:c>
      <x:c r="F836" s="165" t="str">
        <x:v>フィノではフロールに酸素を与え、オロロソでは酸化熟成を可能にする</x:v>
      </x:c>
      <x:c r="G836" s="165" t="str">
        <x:v>熟成するほど花とブドウの一次香だけが強まり、酸化香は減る</x:v>
      </x:c>
      <x:c r="H836" s="165" t="str">
        <x:v>新鮮な花とブドウから、レーズン、キャラメル、ナッツ、コーヒーへ進む</x:v>
      </x:c>
      <x:c r="I836" s="165" t="str">
        <x:v>酸化により残糖が減り、辛口のハーブ香へ変わる</x:v>
      </x:c>
      <x:c r="J836" s="171" t="str">
        <x:v>C</x:v>
      </x:c>
      <x:c r="K836" s="165" t="str">
        <x:v>新鮮な花とブドウから、レーズン、キャラメル、ナッツ、コーヒーへ進む</x:v>
      </x:c>
      <x:c r="L836" s="165" t="str">
        <x:v>正しい。酸素、熱、蒸発が色・粘性・熟成香を高める。</x:v>
      </x:c>
      <x:c r="M836" s="165" t="str">
        <x:v>誤り。これは同じ知識領域の「シェリー樽の充填量」に当てはまる説明で、設問の「酸化型マスカット」を最も適切に説明しない。</x:v>
      </x:c>
      <x:c r="N836" s="165" t="str">
        <x:v>誤り。長期酸化で一次香は変化し熟成香が増える。</x:v>
      </x:c>
      <x:c r="O836" s="165" t="str">
        <x:v>正しい。酸素、熱、蒸発が色・粘性・熟成香を高める。</x:v>
      </x:c>
      <x:c r="P836" s="165" t="str">
        <x:v>誤り。残糖は高く残り、熟成香が増える。</x:v>
      </x:c>
      <x:c r="Q836" s="165" t="str">
        <x:v>熟成</x:v>
      </x:c>
      <x:c r="R836" s="165" t="str">
        <x:v>酒精強化マスカット</x:v>
      </x:c>
      <x:c r="S836" s="165" t="str">
        <x:v>甘口酒精強化ワイン</x:v>
      </x:c>
      <x:c r="T836" s="165"/>
      <x:c r="U836" s="165"/>
      <x:c r="V836" s="165"/>
      <x:c r="W836" s="165" t="str">
        <x:v>因果説明</x:v>
      </x:c>
      <x:c r="X836" s="171" t="str">
        <x:v>D2</x:v>
      </x:c>
      <x:c r="Y836" s="165" t="str">
        <x:v>酸化型マスカットをシェリー樽の充填量の特徴と混同; 酸化熟成で一次香だけ強まる; 酸化熟成で辛口化</x:v>
      </x:c>
      <x:c r="Z836" s="171" t="str">
        <x:v>N</x:v>
      </x:c>
      <x:c r="AA836" s="165"/>
      <x:c r="AB836" s="165" t="str">
        <x:v>オリジナル</x:v>
      </x:c>
      <x:c r="AC836" s="165" t="str">
        <x:v>WSET公式Specificationの範囲＋ユーザー作成コーパスの論点を参考に独自作成</x:v>
      </x:c>
      <x:c r="AD836" s="171" t="str">
        <x:v>改稿済み・専門家未承認</x:v>
      </x:c>
      <x:c r="AE836" s="171" t="str">
        <x:v>AI誤答レビュー</x:v>
      </x:c>
      <x:c r="AF836" s="171" t="str">
        <x:v>2026-07-12</x:v>
      </x:c>
      <x:c r="AG836" s="369" t="str">
        <x:v>第4バッチ：同一論点内の典型的誤概念へ置換。正答位置は維持。</x:v>
      </x:c>
    </x:row>
    <x:row r="837" ht="84" customHeight="1">
      <x:c r="A837" s="368" t="str">
        <x:v>LO4-176</x:v>
      </x:c>
      <x:c r="B837" s="171" t="str">
        <x:v>LO4</x:v>
      </x:c>
      <x:c r="C837" s="165" t="str">
        <x:v>世界の主要な酒精強化ワイン</x:v>
      </x:c>
      <x:c r="D837" s="165" t="str">
        <x:v>ボーム・ド・ヴニーズの収穫</x:v>
      </x:c>
      <x:c r="E837" s="165" t="str">
        <x:v>ミュスカ・ド・ボーム・ド・ヴニーズ用ブドウを十分に成熟させる主な理由はどれか。</x:v>
      </x:c>
      <x:c r="F837" s="165" t="str">
        <x:v>フロールを育てるため</x:v>
      </x:c>
      <x:c r="G837" s="165" t="str">
        <x:v>発泡性を高めるため</x:v>
      </x:c>
      <x:c r="H837" s="165" t="str">
        <x:v>未熟な青い香りと高いタンニンを得るため</x:v>
      </x:c>
      <x:c r="I837" s="165" t="str">
        <x:v>強い品種香と高い糖度を得て、酒精強化後も豊かな甘味を残すため</x:v>
      </x:c>
      <x:c r="J837" s="171" t="str">
        <x:v>D</x:v>
      </x:c>
      <x:c r="K837" s="165" t="str">
        <x:v>強い品種香と高い糖度を得て、酒精強化後も豊かな甘味を残すため</x:v>
      </x:c>
      <x:c r="L837" s="165" t="str">
        <x:v>正しい。地中海性の日照でマスカットのテルペンと糖を発達させ、発酵途中で止める。</x:v>
      </x:c>
      <x:c r="M837" s="165" t="str">
        <x:v>誤り。フロール熟成しない。</x:v>
      </x:c>
      <x:c r="N837" s="165" t="str">
        <x:v>誤り。非発泡性である。</x:v>
      </x:c>
      <x:c r="O837" s="165" t="str">
        <x:v>誤り。芳香と甘味を重視する。</x:v>
      </x:c>
      <x:c r="P837" s="165" t="str">
        <x:v>正しい。地中海性の日照でマスカットのテルペンと糖を発達させ、発酵途中で止める。</x:v>
      </x:c>
      <x:c r="Q837" s="165" t="str">
        <x:v>栽培</x:v>
      </x:c>
      <x:c r="R837" s="165" t="str">
        <x:v>酒精強化マスカット</x:v>
      </x:c>
      <x:c r="S837" s="165" t="str">
        <x:v>甘口酒精強化ワイン</x:v>
      </x:c>
      <x:c r="T837" s="165" t="str">
        <x:v>フランス</x:v>
      </x:c>
      <x:c r="U837" s="165" t="str">
        <x:v>ボーム・ド・ヴニーズ</x:v>
      </x:c>
      <x:c r="V837" s="165" t="str">
        <x:v>マスカット・ブラン・ア・プティ・グラン</x:v>
      </x:c>
      <x:c r="W837" s="165" t="str">
        <x:v>因果説明</x:v>
      </x:c>
      <x:c r="X837" s="171" t="str">
        <x:v>D2</x:v>
      </x:c>
      <x:c r="Y837" s="165" t="str">
        <x:v>ボーム・ド・ヴニーズの収穫について関連要因を主因とみなす; ボーム・ド・ヴニーズの収穫について関連要因を主因とみなす; ボーム・ド・ヴニーズの収穫について関連要因を主因とみなす</x:v>
      </x:c>
      <x:c r="Z837" s="171" t="str">
        <x:v>N</x:v>
      </x:c>
      <x:c r="AA837" s="165"/>
      <x:c r="AB837" s="165" t="str">
        <x:v>オリジナル</x:v>
      </x:c>
      <x:c r="AC837" s="165" t="str">
        <x:v>WSET公式Specificationの範囲＋ユーザー作成コーパスの論点を参考に独自作成</x:v>
      </x:c>
      <x:c r="AD837" s="171" t="str">
        <x:v>改稿済み・専門家未承認</x:v>
      </x:c>
      <x:c r="AE837" s="171" t="str">
        <x:v>AI誤答レビュー</x:v>
      </x:c>
      <x:c r="AF837" s="171" t="str">
        <x:v>2026-07-12</x:v>
      </x:c>
      <x:c r="AG837" s="369" t="str">
        <x:v>第5バッチ：使用可能な誤答を維持し、弱い誤答を因果逆転・隣接概念へ置換。正答位置は維持。</x:v>
      </x:c>
    </x:row>
    <x:row r="838" ht="84" customHeight="1">
      <x:c r="A838" s="368" t="str">
        <x:v>LO4-177</x:v>
      </x:c>
      <x:c r="B838" s="171" t="str">
        <x:v>LO4</x:v>
      </x:c>
      <x:c r="C838" s="165" t="str">
        <x:v>世界の主要な酒精強化ワイン</x:v>
      </x:c>
      <x:c r="D838" s="165" t="str">
        <x:v>マスカットの発酵温度</x:v>
      </x:c>
      <x:c r="E838" s="165" t="str">
        <x:v>酒精強化マスカットを低温で発酵する主な理由はどれか。</x:v>
      </x:c>
      <x:c r="F838" s="165" t="str">
        <x:v>揮発性の花とブドウの品種香を保持する</x:v>
      </x:c>
      <x:c r="G838" s="165" t="str">
        <x:v>残糖を発酵前に除去する</x:v>
      </x:c>
      <x:c r="H838" s="165" t="str">
        <x:v>酸化を最大化する</x:v>
      </x:c>
      <x:c r="I838" s="165" t="str">
        <x:v>種子タンニンを最大限抽出する</x:v>
      </x:c>
      <x:c r="J838" s="171" t="str">
        <x:v>A</x:v>
      </x:c>
      <x:c r="K838" s="165" t="str">
        <x:v>揮発性の花とブドウの品種香を保持する</x:v>
      </x:c>
      <x:c r="L838" s="165" t="str">
        <x:v>正しい。発酵を穏やかに進め、早期酒精強化まで新鮮なテルペン香の損失を抑える。</x:v>
      </x:c>
      <x:c r="M838" s="165" t="str">
        <x:v>正しい。発酵を穏やかに進め、早期酒精強化まで新鮮なテルペン香の損失を抑える。</x:v>
      </x:c>
      <x:c r="N838" s="165" t="str">
        <x:v>誤り。残糖を残すワインである。</x:v>
      </x:c>
      <x:c r="O838" s="165" t="str">
        <x:v>誤り。若いスタイルでは酸素を抑える。</x:v>
      </x:c>
      <x:c r="P838" s="165" t="str">
        <x:v>誤り。白品種の香りを重視し、強い抽出は行わない。</x:v>
      </x:c>
      <x:c r="Q838" s="165" t="str">
        <x:v>酒精強化ワイン製法</x:v>
      </x:c>
      <x:c r="R838" s="165" t="str">
        <x:v>酒精強化マスカット</x:v>
      </x:c>
      <x:c r="S838" s="165" t="str">
        <x:v>甘口酒精強化ワイン</x:v>
      </x:c>
      <x:c r="T838" s="165"/>
      <x:c r="U838" s="165"/>
      <x:c r="V838" s="165"/>
      <x:c r="W838" s="165" t="str">
        <x:v>因果説明</x:v>
      </x:c>
      <x:c r="X838" s="171" t="str">
        <x:v>D2</x:v>
      </x:c>
      <x:c r="Y838" s="165" t="str">
        <x:v>マスカットの発酵温度について関連要因を主因とみなす; マスカットの発酵温度について関連要因を主因とみなす; マスカットの発酵温度について関連要因を主因とみなす</x:v>
      </x:c>
      <x:c r="Z838" s="171" t="str">
        <x:v>N</x:v>
      </x:c>
      <x:c r="AA838" s="165"/>
      <x:c r="AB838" s="165" t="str">
        <x:v>オリジナル</x:v>
      </x:c>
      <x:c r="AC838" s="165" t="str">
        <x:v>WSET公式Specificationの範囲＋ユーザー作成コーパスの論点を参考に独自作成</x:v>
      </x:c>
      <x:c r="AD838" s="171" t="str">
        <x:v>改稿済み・専門家未承認</x:v>
      </x:c>
      <x:c r="AE838" s="171" t="str">
        <x:v>AI誤答レビュー</x:v>
      </x:c>
      <x:c r="AF838" s="171" t="str">
        <x:v>2026-07-12</x:v>
      </x:c>
      <x:c r="AG838" s="369" t="str">
        <x:v>第5バッチ：使用可能な誤答を維持し、弱い誤答を因果逆転・隣接概念へ置換。正答位置は維持。</x:v>
      </x:c>
    </x:row>
    <x:row r="839" ht="84" customHeight="1">
      <x:c r="A839" s="368" t="str">
        <x:v>LO4-178</x:v>
      </x:c>
      <x:c r="B839" s="171" t="str">
        <x:v>LO4</x:v>
      </x:c>
      <x:c r="C839" s="165" t="str">
        <x:v>世界の主要な酒精強化ワイン</x:v>
      </x:c>
      <x:c r="D839" s="165" t="str">
        <x:v>ラザグレンの樽位置</x:v>
      </x:c>
      <x:c r="E839" s="165" t="str">
        <x:v>ラザグレンで樽を暖かい熟成庫に置くことが、酸化熟成を促す主な理由はどれか。</x:v>
      </x:c>
      <x:c r="F839" s="165" t="str">
        <x:v>高温が化学反応と蒸発を速め、濃縮と熟成香の発達を進める</x:v>
      </x:c>
      <x:c r="G839" s="165" t="str">
        <x:v>高温でフロールが厚くなり、酸化を防ぎながら甘味を増やす</x:v>
      </x:c>
      <x:c r="H839" s="165" t="str">
        <x:v>高温で残糖が再発酵し、アルコールと二酸化炭素を増やす</x:v>
      </x:c>
      <x:c r="I839" s="165" t="str">
        <x:v>暖かさが樽材から糖を抽出し、甘味と粘性を高める</x:v>
      </x:c>
      <x:c r="J839" s="171" t="str">
        <x:v>B</x:v>
      </x:c>
      <x:c r="K839" s="165" t="str">
        <x:v>高温でフロールが厚くなり、酸化を防ぎながら甘味を増やす</x:v>
      </x:c>
      <x:c r="L839" s="165" t="str">
        <x:v>正しい。ラザグレン型ではフロール保護より酸化熟成を意図する。</x:v>
      </x:c>
      <x:c r="M839" s="165" t="str">
        <x:v>誤り。熱が酸化反応と蒸発を加速し、色・濃度・熟成香を高める。</x:v>
      </x:c>
      <x:c r="N839" s="165" t="str">
        <x:v>正しい。ラザグレン型ではフロール保護より酸化熟成を意図する。</x:v>
      </x:c>
      <x:c r="O839" s="165" t="str">
        <x:v>誤り。酒精強化後の高アルコール環境で再発酵が主因ではない。</x:v>
      </x:c>
      <x:c r="P839" s="165" t="str">
        <x:v>誤り。樽材から糖を抽出して甘味を作るわけではない。</x:v>
      </x:c>
      <x:c r="Q839" s="165" t="str">
        <x:v>熟成</x:v>
      </x:c>
      <x:c r="R839" s="165" t="str">
        <x:v>ラザグレン</x:v>
      </x:c>
      <x:c r="S839" s="165" t="str">
        <x:v>甘口酒精強化ワイン</x:v>
      </x:c>
      <x:c r="T839" s="165" t="str">
        <x:v>オーストラリア</x:v>
      </x:c>
      <x:c r="U839" s="165" t="str">
        <x:v>ラザグレン</x:v>
      </x:c>
      <x:c r="V839" s="165" t="str">
        <x:v>マスカット</x:v>
      </x:c>
      <x:c r="W839" s="165" t="str">
        <x:v>因果説明</x:v>
      </x:c>
      <x:c r="X839" s="171" t="str">
        <x:v>D3</x:v>
      </x:c>
      <x:c r="Y839" s="165" t="str">
        <x:v>高温で残糖が再発酵する; 樽材から糖を抽出する</x:v>
      </x:c>
      <x:c r="Z839" s="171" t="str">
        <x:v>N</x:v>
      </x:c>
      <x:c r="AA839" s="165"/>
      <x:c r="AB839" s="165" t="str">
        <x:v>オリジナル</x:v>
      </x:c>
      <x:c r="AC839" s="165" t="str">
        <x:v>WSET公式Specificationの範囲＋ユーザー作成コーパスの論点を参考に独自作成</x:v>
      </x:c>
      <x:c r="AD839" s="171" t="str">
        <x:v>改稿済み・専門家未承認</x:v>
      </x:c>
      <x:c r="AE839" s="171" t="str">
        <x:v>AI誤答レビュー</x:v>
      </x:c>
      <x:c r="AF839" s="171" t="str">
        <x:v>2026-07-12</x:v>
      </x:c>
      <x:c r="AG839" s="369" t="str">
        <x:v>第3バッチ：同一論点内の典型的誤概念へ置換。正答位置は維持。</x:v>
      </x:c>
    </x:row>
    <x:row r="840" ht="84" customHeight="1">
      <x:c r="A840" s="368" t="str">
        <x:v>LO4-179</x:v>
      </x:c>
      <x:c r="B840" s="171" t="str">
        <x:v>LO4</x:v>
      </x:c>
      <x:c r="C840" s="165" t="str">
        <x:v>世界の主要な酒精強化ワイン</x:v>
      </x:c>
      <x:c r="D840" s="165" t="str">
        <x:v>ラザグレンのトップアップ</x:v>
      </x:c>
      <x:c r="E840" s="165" t="str">
        <x:v>ラザグレンの酸化熟成樽を満量にせず空隙を残す主な目的はどれか。</x:v>
      </x:c>
      <x:c r="F840" s="165" t="str">
        <x:v>酸化を大きく防ぐ</x:v>
      </x:c>
      <x:c r="G840" s="165" t="str">
        <x:v>二酸化炭素を高圧で閉じ込める</x:v>
      </x:c>
      <x:c r="H840" s="165" t="str">
        <x:v>空気との接触を確保し、酸化と蒸発濃縮を進める</x:v>
      </x:c>
      <x:c r="I840" s="165" t="str">
        <x:v>樽の空隙を不活性ガスで満たし、酸化を止めながら蒸発だけを進める</x:v>
      </x:c>
      <x:c r="J840" s="171" t="str">
        <x:v>C</x:v>
      </x:c>
      <x:c r="K840" s="165" t="str">
        <x:v>空気との接触を確保し、酸化と蒸発濃縮を進める</x:v>
      </x:c>
      <x:c r="L840" s="165" t="str">
        <x:v>正しい。フィノとは逆にフロールで保護せず、意図的な酸化熟成を促す。</x:v>
      </x:c>
      <x:c r="M840" s="165" t="str">
        <x:v>誤り。酸化を意図する。</x:v>
      </x:c>
      <x:c r="N840" s="165" t="str">
        <x:v>誤り。樽は耐圧発泡容器ではない。</x:v>
      </x:c>
      <x:c r="O840" s="165" t="str">
        <x:v>正しい。フィノとは逆にフロールで保護せず、意図的な酸化熟成を促す。</x:v>
      </x:c>
      <x:c r="P840" s="165" t="str">
        <x:v>誤り。ラザグレンでは空気との接触を確保して酸化熟成を進める。</x:v>
      </x:c>
      <x:c r="Q840" s="165" t="str">
        <x:v>熟成</x:v>
      </x:c>
      <x:c r="R840" s="165" t="str">
        <x:v>ラザグレン</x:v>
      </x:c>
      <x:c r="S840" s="165" t="str">
        <x:v>甘口酒精強化ワイン</x:v>
      </x:c>
      <x:c r="T840" s="165" t="str">
        <x:v>オーストラリア</x:v>
      </x:c>
      <x:c r="U840" s="165" t="str">
        <x:v>ラザグレン</x:v>
      </x:c>
      <x:c r="V840" s="165"/>
      <x:c r="W840" s="165" t="str">
        <x:v>比較</x:v>
      </x:c>
      <x:c r="X840" s="171" t="str">
        <x:v>D2</x:v>
      </x:c>
      <x:c r="Y840" s="165" t="str">
        <x:v>ラザグレンのトップアップについて関連要因を主因とみなす; ラザグレンのトップアップについて関連要因を主因とみなす; ラザグレンの空隙を不活性ガスで保護する</x:v>
      </x:c>
      <x:c r="Z840" s="171" t="str">
        <x:v>N</x:v>
      </x:c>
      <x:c r="AA840" s="165"/>
      <x:c r="AB840" s="165" t="str">
        <x:v>オリジナル</x:v>
      </x:c>
      <x:c r="AC840" s="165" t="str">
        <x:v>WSET公式Specificationの範囲＋ユーザー作成コーパスの論点を参考に独自作成</x:v>
      </x:c>
      <x:c r="AD840" s="171" t="str">
        <x:v>改稿済み・専門家未承認</x:v>
      </x:c>
      <x:c r="AE840" s="171" t="str">
        <x:v>AI誤答レビュー</x:v>
      </x:c>
      <x:c r="AF840" s="171" t="str">
        <x:v>2026-07-12</x:v>
      </x:c>
      <x:c r="AG840" s="369" t="str">
        <x:v>第5バッチ：使用可能な誤答を維持し、弱い誤答を因果逆転・隣接概念へ置換。正答位置は維持。</x:v>
      </x:c>
    </x:row>
    <x:row r="841" ht="84" customHeight="1">
      <x:c r="A841" s="368" t="str">
        <x:v>LO4-180</x:v>
      </x:c>
      <x:c r="B841" s="171" t="str">
        <x:v>LO4</x:v>
      </x:c>
      <x:c r="C841" s="165" t="str">
        <x:v>世界の主要な酒精強化ワイン</x:v>
      </x:c>
      <x:c r="D841" s="165" t="str">
        <x:v>古い酒精強化ワインの価格</x:v>
      </x:c>
      <x:c r="E841" s="165" t="str">
        <x:v>非常に古いポート、シェリー、ラザグレン・マスカットが高価になる共通の理由はどれか。</x:v>
      </x:c>
      <x:c r="F841" s="165" t="str">
        <x:v>瓶内圧力が高くなるため</x:v>
      </x:c>
      <x:c r="G841" s="165" t="str">
        <x:v>古いほど高収量のブドウを使うため</x:v>
      </x:c>
      <x:c r="H841" s="165" t="str">
        <x:v>熟成中にワイン量が増えるため</x:v>
      </x:c>
      <x:c r="I841" s="165" t="str">
        <x:v>長期在庫、蒸発損失、少量生産、熟成庫とブレンダーの技能が必要だから</x:v>
      </x:c>
      <x:c r="J841" s="171" t="str">
        <x:v>D</x:v>
      </x:c>
      <x:c r="K841" s="165" t="str">
        <x:v>長期在庫、蒸発損失、少量生産、熟成庫とブレンダーの技能が必要だから</x:v>
      </x:c>
      <x:c r="L841" s="165" t="str">
        <x:v>正しい。時間とともに販売可能量が減り、資金が拘束され、古い原酒の希少性が高まる。</x:v>
      </x:c>
      <x:c r="M841" s="165" t="str">
        <x:v>誤り。多くは非発泡性である。</x:v>
      </x:c>
      <x:c r="N841" s="165" t="str">
        <x:v>誤り。価格は熟成と希少性による。</x:v>
      </x:c>
      <x:c r="O841" s="165" t="str">
        <x:v>誤り。蒸発で量は減る。</x:v>
      </x:c>
      <x:c r="P841" s="165" t="str">
        <x:v>正しい。時間とともに販売可能量が減り、資金が拘束され、古い原酒の希少性が高まる。</x:v>
      </x:c>
      <x:c r="Q841" s="165" t="str">
        <x:v>商業・価格</x:v>
      </x:c>
      <x:c r="R841" s="165" t="str">
        <x:v>酒精強化ワイン</x:v>
      </x:c>
      <x:c r="S841" s="165" t="str">
        <x:v>酒精強化ワイン</x:v>
      </x:c>
      <x:c r="T841" s="165"/>
      <x:c r="U841" s="165"/>
      <x:c r="V841" s="165"/>
      <x:c r="W841" s="165" t="str">
        <x:v>統合判断</x:v>
      </x:c>
      <x:c r="X841" s="171" t="str">
        <x:v>D3</x:v>
      </x:c>
      <x:c r="Y841" s="165" t="str">
        <x:v>古い酒精強化ワインの価格について関連要因を主因とみなす; 古い酒精強化ワインの価格について関連要因を主因とみなす; 古い酒精強化ワインの価格について関連要因を主因とみなす</x:v>
      </x:c>
      <x:c r="Z841" s="171" t="str">
        <x:v>N</x:v>
      </x:c>
      <x:c r="AA841" s="165"/>
      <x:c r="AB841" s="165" t="str">
        <x:v>オリジナル</x:v>
      </x:c>
      <x:c r="AC841" s="165" t="str">
        <x:v>WSET公式Specificationの範囲＋ユーザー作成コーパスの論点を参考に独自作成</x:v>
      </x:c>
      <x:c r="AD841" s="171" t="str">
        <x:v>改稿済み・専門家未承認</x:v>
      </x:c>
      <x:c r="AE841" s="171" t="str">
        <x:v>AI誤答レビュー</x:v>
      </x:c>
      <x:c r="AF841" s="171" t="str">
        <x:v>2026-07-12</x:v>
      </x:c>
      <x:c r="AG841" s="369" t="str">
        <x:v>第5バッチ：使用可能な誤答を維持し、弱い誤答を因果逆転・隣接概念へ置換。正答位置は維持。</x:v>
      </x:c>
    </x:row>
    <x:row r="842" ht="84" customHeight="1">
      <x:c r="A842" s="368" t="str">
        <x:v>LO5-121</x:v>
      </x:c>
      <x:c r="B842" s="171" t="str">
        <x:v>LO5</x:v>
      </x:c>
      <x:c r="C842" s="165" t="str">
        <x:v>情報提供・推奨・保管・サービス</x:v>
      </x:c>
      <x:c r="D842" s="165" t="str">
        <x:v>在庫回転</x:v>
      </x:c>
      <x:c r="E842" s="165" t="str">
        <x:v>ワインセラーで先に入荷した日常消費用ワインから先に販売する主な理由はどれか。</x:v>
      </x:c>
      <x:c r="F842" s="165" t="str">
        <x:v>不必要な長期保管による劣化と在庫滞留を防ぐため</x:v>
      </x:c>
      <x:c r="G842" s="165" t="str">
        <x:v>先に販売すると残糖が増えるため</x:v>
      </x:c>
      <x:c r="H842" s="165" t="str">
        <x:v>入荷順でアルコール度が変わるため</x:v>
      </x:c>
      <x:c r="I842" s="165" t="str">
        <x:v>古い在庫ほど価値が上がるため</x:v>
      </x:c>
      <x:c r="J842" s="171" t="str">
        <x:v>A</x:v>
      </x:c>
      <x:c r="K842" s="165" t="str">
        <x:v>不必要な長期保管による劣化と在庫滞留を防ぐため</x:v>
      </x:c>
      <x:c r="L842" s="165" t="str">
        <x:v>正しい。早飲みワインは熟成で改善しないことが多く、先入れ先出しで鮮度と資金効率を保てる。</x:v>
      </x:c>
      <x:c r="M842" s="165" t="str">
        <x:v>正しい。早飲みワインは熟成で改善しないことが多く、先入れ先出しで鮮度と資金効率を保てる。</x:v>
      </x:c>
      <x:c r="N842" s="165" t="str">
        <x:v>誤り。残糖は変化しない。</x:v>
      </x:c>
      <x:c r="O842" s="165" t="str">
        <x:v>誤り。保管順序で成分は変わらない。</x:v>
      </x:c>
      <x:c r="P842" s="165" t="str">
        <x:v>誤り。早飲みワインは果実味を失う場合がある。</x:v>
      </x:c>
      <x:c r="Q842" s="165" t="str">
        <x:v>保管</x:v>
      </x:c>
      <x:c r="R842" s="165" t="str">
        <x:v>在庫管理</x:v>
      </x:c>
      <x:c r="S842" s="165" t="str">
        <x:v>全般</x:v>
      </x:c>
      <x:c r="T842" s="165"/>
      <x:c r="U842" s="165"/>
      <x:c r="V842" s="165"/>
      <x:c r="W842" s="165" t="str">
        <x:v>因果説明</x:v>
      </x:c>
      <x:c r="X842" s="171" t="str">
        <x:v>D2</x:v>
      </x:c>
      <x:c r="Y842" s="165" t="str">
        <x:v>在庫回転について関連要因を主因とみなす; 在庫回転について関連要因を主因とみなす; 在庫回転について関連要因を主因とみなす</x:v>
      </x:c>
      <x:c r="Z842" s="171" t="str">
        <x:v>N</x:v>
      </x:c>
      <x:c r="AA842" s="165"/>
      <x:c r="AB842" s="165" t="str">
        <x:v>オリジナル</x:v>
      </x:c>
      <x:c r="AC842" s="165" t="str">
        <x:v>WSET公式Specificationの範囲＋ユーザー作成コーパスの論点を参考に独自作成</x:v>
      </x:c>
      <x:c r="AD842" s="171" t="str">
        <x:v>改稿済み・専門家未承認</x:v>
      </x:c>
      <x:c r="AE842" s="171" t="str">
        <x:v>AI誤答レビュー</x:v>
      </x:c>
      <x:c r="AF842" s="171" t="str">
        <x:v>2026-07-12</x:v>
      </x:c>
      <x:c r="AG842" s="369" t="str">
        <x:v>第5バッチ：使用可能な誤答を維持し、弱い誤答を因果逆転・隣接概念へ置換。正答位置は維持。</x:v>
      </x:c>
    </x:row>
    <x:row r="843" ht="84" customHeight="1">
      <x:c r="A843" s="368" t="str">
        <x:v>LO5-122</x:v>
      </x:c>
      <x:c r="B843" s="171" t="str">
        <x:v>LO5</x:v>
      </x:c>
      <x:c r="C843" s="165" t="str">
        <x:v>情報提供・推奨・保管・サービス</x:v>
      </x:c>
      <x:c r="D843" s="165" t="str">
        <x:v>来歴</x:v>
      </x:c>
      <x:c r="E843" s="165" t="str">
        <x:v>高価な熟成ワインを購入・提供する際、保管来歴を確認する主な理由はどれか。</x:v>
      </x:c>
      <x:c r="F843" s="165" t="str">
        <x:v>来歴で残糖が法的に決まるため</x:v>
      </x:c>
      <x:c r="G843" s="165" t="str">
        <x:v>温度、光、振動、栓の状態が熟成速度と品質へ大きく影響するため</x:v>
      </x:c>
      <x:c r="H843" s="165" t="str">
        <x:v>良い来歴ならコルク汚染がないため</x:v>
      </x:c>
      <x:c r="I843" s="165" t="str">
        <x:v>良好な来歴なら、同じ銘柄とヴィンテージのボトルは同じ熟成状態になる</x:v>
      </x:c>
      <x:c r="J843" s="171" t="str">
        <x:v>B</x:v>
      </x:c>
      <x:c r="K843" s="165" t="str">
        <x:v>温度、光、振動、栓の状態が熟成速度と品質へ大きく影響するため</x:v>
      </x:c>
      <x:c r="L843" s="165" t="str">
        <x:v>正しい。同じ銘柄とヴィンテージでも、輸送・保管履歴が悪ければ酸化や熱損傷が生じる。</x:v>
      </x:c>
      <x:c r="M843" s="165" t="str">
        <x:v>誤り。残糖は醸造による。</x:v>
      </x:c>
      <x:c r="N843" s="165" t="str">
        <x:v>正しい。同じ銘柄とヴィンテージでも、輸送・保管履歴が悪ければ酸化や熱損傷が生じる。</x:v>
      </x:c>
      <x:c r="O843" s="165" t="str">
        <x:v>誤り。TCAは適切な保管でも起こり得る。</x:v>
      </x:c>
      <x:c r="P843" s="165" t="str">
        <x:v>誤り。栓の個体差やボトル差は残るため、良い来歴でも状態が完全に同一とは限らない。</x:v>
      </x:c>
      <x:c r="Q843" s="165" t="str">
        <x:v>保管</x:v>
      </x:c>
      <x:c r="R843" s="165" t="str">
        <x:v>熟成ワイン</x:v>
      </x:c>
      <x:c r="S843" s="165" t="str">
        <x:v>全般</x:v>
      </x:c>
      <x:c r="T843" s="165"/>
      <x:c r="U843" s="165"/>
      <x:c r="V843" s="165"/>
      <x:c r="W843" s="165" t="str">
        <x:v>統合判断</x:v>
      </x:c>
      <x:c r="X843" s="171" t="str">
        <x:v>D3</x:v>
      </x:c>
      <x:c r="Y843" s="165" t="str">
        <x:v>来歴について関連要因を主因とみなす; 来歴について関連要因を主因とみなす; 良好な来歴でボトル差がなくなる</x:v>
      </x:c>
      <x:c r="Z843" s="171" t="str">
        <x:v>N</x:v>
      </x:c>
      <x:c r="AA843" s="165"/>
      <x:c r="AB843" s="165" t="str">
        <x:v>オリジナル</x:v>
      </x:c>
      <x:c r="AC843" s="165" t="str">
        <x:v>WSET公式Specificationの範囲＋ユーザー作成コーパスの論点を参考に独自作成</x:v>
      </x:c>
      <x:c r="AD843" s="171" t="str">
        <x:v>改稿済み・専門家未承認</x:v>
      </x:c>
      <x:c r="AE843" s="171" t="str">
        <x:v>AI誤答レビュー</x:v>
      </x:c>
      <x:c r="AF843" s="171" t="str">
        <x:v>2026-07-12</x:v>
      </x:c>
      <x:c r="AG843" s="369" t="str">
        <x:v>第5バッチ：使用可能な誤答を維持し、弱い誤答を因果逆転・隣接概念へ置換。正答位置は維持。</x:v>
      </x:c>
    </x:row>
    <x:row r="844" ht="84" customHeight="1">
      <x:c r="A844" s="368" t="str">
        <x:v>LO5-123</x:v>
      </x:c>
      <x:c r="B844" s="171" t="str">
        <x:v>LO5</x:v>
      </x:c>
      <x:c r="C844" s="165" t="str">
        <x:v>情報提供・推奨・保管・サービス</x:v>
      </x:c>
      <x:c r="D844" s="165" t="str">
        <x:v>液面</x:v>
      </x:c>
      <x:c r="E844" s="165" t="str">
        <x:v>熟成ワインのボトルで液面が同年代の通常品より著しく低い場合に考えられることはどれか。</x:v>
      </x:c>
      <x:c r="F844" s="165" t="str">
        <x:v>高品質の確実な証拠</x:v>
      </x:c>
      <x:c r="G844" s="165" t="str">
        <x:v>瓶内二次発酵が成功した証拠</x:v>
      </x:c>
      <x:c r="H844" s="165" t="str">
        <x:v>栓からの蒸発や漏れが進み、酸化リスクが高い可能性がある</x:v>
      </x:c>
      <x:c r="I844" s="165" t="str">
        <x:v>残糖が増えて液体が縮んだ</x:v>
      </x:c>
      <x:c r="J844" s="171" t="str">
        <x:v>C</x:v>
      </x:c>
      <x:c r="K844" s="165" t="str">
        <x:v>栓からの蒸発や漏れが進み、酸化リスクが高い可能性がある</x:v>
      </x:c>
      <x:c r="L844" s="165" t="str">
        <x:v>正しい。液面低下はヘッドスペースと酸素影響の増加を示す場合があり、状態確認が必要である。</x:v>
      </x:c>
      <x:c r="M844" s="165" t="str">
        <x:v>誤り。状態不良の可能性もある。</x:v>
      </x:c>
      <x:c r="N844" s="165" t="str">
        <x:v>誤り。非発泡性ワインでは品質証拠にならない。</x:v>
      </x:c>
      <x:c r="O844" s="165" t="str">
        <x:v>正しい。液面低下はヘッドスペースと酸素影響の増加を示す場合があり、状態確認が必要である。</x:v>
      </x:c>
      <x:c r="P844" s="165" t="str">
        <x:v>誤り。糖が増えて液面が低下するわけではない。</x:v>
      </x:c>
      <x:c r="Q844" s="165" t="str">
        <x:v>品質判断</x:v>
      </x:c>
      <x:c r="R844" s="165" t="str">
        <x:v>熟成ワイン</x:v>
      </x:c>
      <x:c r="S844" s="165" t="str">
        <x:v>全般</x:v>
      </x:c>
      <x:c r="T844" s="165"/>
      <x:c r="U844" s="165"/>
      <x:c r="V844" s="165"/>
      <x:c r="W844" s="165" t="str">
        <x:v>判断</x:v>
      </x:c>
      <x:c r="X844" s="171" t="str">
        <x:v>D2</x:v>
      </x:c>
      <x:c r="Y844" s="165" t="str">
        <x:v>液面について関連要因を主因とみなす; 液面について関連要因を主因とみなす; 液面について関連要因を主因とみなす</x:v>
      </x:c>
      <x:c r="Z844" s="171" t="str">
        <x:v>N</x:v>
      </x:c>
      <x:c r="AA844" s="165"/>
      <x:c r="AB844" s="165" t="str">
        <x:v>オリジナル</x:v>
      </x:c>
      <x:c r="AC844" s="165" t="str">
        <x:v>WSET公式Specificationの範囲＋ユーザー作成コーパスの論点を参考に独自作成</x:v>
      </x:c>
      <x:c r="AD844" s="171" t="str">
        <x:v>改稿済み・専門家未承認</x:v>
      </x:c>
      <x:c r="AE844" s="171" t="str">
        <x:v>AI誤答レビュー</x:v>
      </x:c>
      <x:c r="AF844" s="171" t="str">
        <x:v>2026-07-12</x:v>
      </x:c>
      <x:c r="AG844" s="369" t="str">
        <x:v>第5バッチ：使用可能な誤答を維持し、弱い誤答を因果逆転・隣接概念へ置換。正答位置は維持。</x:v>
      </x:c>
    </x:row>
    <x:row r="845" ht="84" customHeight="1">
      <x:c r="A845" s="368" t="str">
        <x:v>LO5-124</x:v>
      </x:c>
      <x:c r="B845" s="171" t="str">
        <x:v>LO5</x:v>
      </x:c>
      <x:c r="C845" s="165" t="str">
        <x:v>情報提供・推奨・保管・サービス</x:v>
      </x:c>
      <x:c r="D845" s="165" t="str">
        <x:v>漏れたボトル</x:v>
      </x:c>
      <x:c r="E845" s="165" t="str">
        <x:v>カプセル周辺に乾いたワイン跡があるボトルを提供前に確認すべき主な理由はどれか。</x:v>
      </x:c>
      <x:c r="F845" s="165" t="str">
        <x:v>漏れた瓶ほど発泡性が高い</x:v>
      </x:c>
      <x:c r="G845" s="165" t="str">
        <x:v>漏れでアルコール度が上がるため</x:v>
      </x:c>
      <x:c r="H845" s="165" t="str">
        <x:v>乾いた跡が熟成香を保証するため</x:v>
      </x:c>
      <x:c r="I845" s="165" t="str">
        <x:v>熱や栓不良で液漏れし、酸化や微生物汚染が進んでいる可能性がある</x:v>
      </x:c>
      <x:c r="J845" s="171" t="str">
        <x:v>D</x:v>
      </x:c>
      <x:c r="K845" s="165" t="str">
        <x:v>熱や栓不良で液漏れし、酸化や微生物汚染が進んでいる可能性がある</x:v>
      </x:c>
      <x:c r="L845" s="165" t="str">
        <x:v>正しい。液面、栓の突出、香りと味を確認し、状態不良なら交換する。</x:v>
      </x:c>
      <x:c r="M845" s="165" t="str">
        <x:v>誤り。圧力や熱による問題の可能性がある。</x:v>
      </x:c>
      <x:c r="N845" s="165" t="str">
        <x:v>誤り。成分変化は一定でなく、酸化が問題である。</x:v>
      </x:c>
      <x:c r="O845" s="165" t="str">
        <x:v>誤り。漏れは品質保証ではない。</x:v>
      </x:c>
      <x:c r="P845" s="165" t="str">
        <x:v>正しい。液面、栓の突出、香りと味を確認し、状態不良なら交換する。</x:v>
      </x:c>
      <x:c r="Q845" s="165" t="str">
        <x:v>品質判断</x:v>
      </x:c>
      <x:c r="R845" s="165" t="str">
        <x:v>ボトル状態</x:v>
      </x:c>
      <x:c r="S845" s="165" t="str">
        <x:v>全般</x:v>
      </x:c>
      <x:c r="T845" s="165"/>
      <x:c r="U845" s="165"/>
      <x:c r="V845" s="165"/>
      <x:c r="W845" s="165" t="str">
        <x:v>統合判断</x:v>
      </x:c>
      <x:c r="X845" s="171" t="str">
        <x:v>D2</x:v>
      </x:c>
      <x:c r="Y845" s="165" t="str">
        <x:v>漏れたボトルについて関連要因を主因とみなす; 漏れたボトルについて関連要因を主因とみなす; 漏れたボトルについて関連要因を主因とみなす</x:v>
      </x:c>
      <x:c r="Z845" s="171" t="str">
        <x:v>N</x:v>
      </x:c>
      <x:c r="AA845" s="165"/>
      <x:c r="AB845" s="165" t="str">
        <x:v>オリジナル</x:v>
      </x:c>
      <x:c r="AC845" s="165" t="str">
        <x:v>WSET公式Specificationの範囲＋ユーザー作成コーパスの論点を参考に独自作成</x:v>
      </x:c>
      <x:c r="AD845" s="171" t="str">
        <x:v>改稿済み・専門家未承認</x:v>
      </x:c>
      <x:c r="AE845" s="171" t="str">
        <x:v>AI誤答レビュー</x:v>
      </x:c>
      <x:c r="AF845" s="171" t="str">
        <x:v>2026-07-12</x:v>
      </x:c>
      <x:c r="AG845" s="369" t="str">
        <x:v>第5バッチ：使用可能な誤答を維持し、弱い誤答を因果逆転・隣接概念へ置換。正答位置は維持。</x:v>
      </x:c>
    </x:row>
    <x:row r="846" ht="84" customHeight="1">
      <x:c r="A846" s="368" t="str">
        <x:v>LO5-125</x:v>
      </x:c>
      <x:c r="B846" s="171" t="str">
        <x:v>LO5</x:v>
      </x:c>
      <x:c r="C846" s="165" t="str">
        <x:v>情報提供・推奨・保管・サービス</x:v>
      </x:c>
      <x:c r="D846" s="165" t="str">
        <x:v>栓と保管方向</x:v>
      </x:c>
      <x:c r="E846" s="165" t="str">
        <x:v>天然コルク栓の非発泡性ワインを長期保管する際、横置きが一般的な主な理由はどれか。</x:v>
      </x:c>
      <x:c r="F846" s="165" t="str">
        <x:v>ワインがコルク内側へ接触し、乾燥による密閉性低下を防ぎやすい</x:v>
      </x:c>
      <x:c r="G846" s="165" t="str">
        <x:v>温度、光、振動、栓の状態が熟成速度と品質へ大きく影響するため</x:v>
      </x:c>
      <x:c r="H846" s="165" t="str">
        <x:v>横置きで瓶内の酸素が上部へ移動し、ワインへ触れなくなる</x:v>
      </x:c>
      <x:c r="I846" s="165" t="str">
        <x:v>横置きすると澱が瓶口へ集まり、開栓時に除去しやすい</x:v>
      </x:c>
      <x:c r="J846" s="171" t="str">
        <x:v>A</x:v>
      </x:c>
      <x:c r="K846" s="165" t="str">
        <x:v>ワインがコルク内側へ接触し、乾燥による密閉性低下を防ぎやすい</x:v>
      </x:c>
      <x:c r="L846" s="165" t="str">
        <x:v>正しい。コルクの弾力を保ち、漏れや酸素侵入のリスクを下げる。</x:v>
      </x:c>
      <x:c r="M846" s="165" t="str">
        <x:v>正しい。コルクの弾力を保ち、漏れや酸素侵入のリスクを下げる。</x:v>
      </x:c>
      <x:c r="N846" s="165" t="str">
        <x:v>誤り。これは同じ知識領域の「来歴」に当てはまる説明で、設問の「栓と保管方向」を最も適切に説明しない。</x:v>
      </x:c>
      <x:c r="O846" s="165" t="str">
        <x:v>誤り。酸素はヘッドスペースに残り、方向だけで接触がなくならない。</x:v>
      </x:c>
      <x:c r="P846" s="165" t="str">
        <x:v>誤り。長期保管では澱は側面へ広がり、サービス前に立てる。</x:v>
      </x:c>
      <x:c r="Q846" s="165" t="str">
        <x:v>保管</x:v>
      </x:c>
      <x:c r="R846" s="165" t="str">
        <x:v>栓</x:v>
      </x:c>
      <x:c r="S846" s="165" t="str">
        <x:v>非発泡性ワイン</x:v>
      </x:c>
      <x:c r="T846" s="165"/>
      <x:c r="U846" s="165"/>
      <x:c r="V846" s="165"/>
      <x:c r="W846" s="165" t="str">
        <x:v>因果説明</x:v>
      </x:c>
      <x:c r="X846" s="171" t="str">
        <x:v>D1</x:v>
      </x:c>
      <x:c r="Y846" s="165" t="str">
        <x:v>栓と保管方向を来歴の特徴と混同; 横置きで酸素がワインに触れなくなる; 横置きで澱が瓶口へ集まる</x:v>
      </x:c>
      <x:c r="Z846" s="171" t="str">
        <x:v>N</x:v>
      </x:c>
      <x:c r="AA846" s="165"/>
      <x:c r="AB846" s="165" t="str">
        <x:v>オリジナル</x:v>
      </x:c>
      <x:c r="AC846" s="165" t="str">
        <x:v>WSET公式Specificationの範囲＋ユーザー作成コーパスの論点を参考に独自作成</x:v>
      </x:c>
      <x:c r="AD846" s="171" t="str">
        <x:v>改稿済み・専門家未承認</x:v>
      </x:c>
      <x:c r="AE846" s="171" t="str">
        <x:v>AI誤答レビュー</x:v>
      </x:c>
      <x:c r="AF846" s="171" t="str">
        <x:v>2026-07-12</x:v>
      </x:c>
      <x:c r="AG846" s="369" t="str">
        <x:v>第4バッチ：同一論点内の典型的誤概念へ置換。正答位置は維持。</x:v>
      </x:c>
    </x:row>
    <x:row r="847" ht="84" customHeight="1">
      <x:c r="A847" s="368" t="str">
        <x:v>LO5-126</x:v>
      </x:c>
      <x:c r="B847" s="171" t="str">
        <x:v>LO5</x:v>
      </x:c>
      <x:c r="C847" s="165" t="str">
        <x:v>情報提供・推奨・保管・サービス</x:v>
      </x:c>
      <x:c r="D847" s="165" t="str">
        <x:v>スクリューキャップの保管方向</x:v>
      </x:c>
      <x:c r="E847" s="165" t="str">
        <x:v>スクリューキャップのワインを横置きする必要性が天然コルクより低い主な理由はどれか。</x:v>
      </x:c>
      <x:c r="F847" s="165" t="str">
        <x:v>スクリューキャップは乾燥しやすいため、横置きで常に湿らせる必要がある</x:v>
      </x:c>
      <x:c r="G847" s="165" t="str">
        <x:v>金属栓とライナーの密閉性を保つために、ワインで湿らせる必要がない</x:v>
      </x:c>
      <x:c r="H847" s="165" t="str">
        <x:v>スクリューキャップは酸素を多く通すため、縦置きで酸素を上へ逃がす</x:v>
      </x:c>
      <x:c r="I847" s="165" t="str">
        <x:v>横置きすると金属がワインへ溶け、還元臭を生む</x:v>
      </x:c>
      <x:c r="J847" s="171" t="str">
        <x:v>B</x:v>
      </x:c>
      <x:c r="K847" s="165" t="str">
        <x:v>金属栓とライナーの密閉性を保つために、ワインで湿らせる必要がない</x:v>
      </x:c>
      <x:c r="L847" s="165" t="str">
        <x:v>正しい。天然コルクのような乾燥対策が不要で、温度・光の安定が重要。</x:v>
      </x:c>
      <x:c r="M847" s="165" t="str">
        <x:v>誤り。金属栓とライナーは天然コルクのように湿潤維持を必要としない。</x:v>
      </x:c>
      <x:c r="N847" s="165" t="str">
        <x:v>正しい。天然コルクのような乾燥対策が不要で、温度・光の安定が重要。</x:v>
      </x:c>
      <x:c r="O847" s="165" t="str">
        <x:v>誤り。酸素透過は低く管理され、向きで逃がすわけではない。</x:v>
      </x:c>
      <x:c r="P847" s="165" t="str">
        <x:v>誤り。適切なライナーでワインと金属は直接接触しない。</x:v>
      </x:c>
      <x:c r="Q847" s="165" t="str">
        <x:v>保管</x:v>
      </x:c>
      <x:c r="R847" s="165" t="str">
        <x:v>栓</x:v>
      </x:c>
      <x:c r="S847" s="165" t="str">
        <x:v>全般</x:v>
      </x:c>
      <x:c r="T847" s="165"/>
      <x:c r="U847" s="165"/>
      <x:c r="V847" s="165"/>
      <x:c r="W847" s="165" t="str">
        <x:v>比較</x:v>
      </x:c>
      <x:c r="X847" s="171" t="str">
        <x:v>D2</x:v>
      </x:c>
      <x:c r="Y847" s="165" t="str">
        <x:v>スクリューキャップも横置きで湿らせる必要がある; スクリューは高酸素透過・縦置きで排出; 横置きで金属が溶ける</x:v>
      </x:c>
      <x:c r="Z847" s="171" t="str">
        <x:v>N</x:v>
      </x:c>
      <x:c r="AA847" s="165"/>
      <x:c r="AB847" s="165" t="str">
        <x:v>オリジナル</x:v>
      </x:c>
      <x:c r="AC847" s="165" t="str">
        <x:v>WSET公式Specificationの範囲＋ユーザー作成コーパスの論点を参考に独自作成</x:v>
      </x:c>
      <x:c r="AD847" s="171" t="str">
        <x:v>改稿済み・専門家未承認</x:v>
      </x:c>
      <x:c r="AE847" s="171" t="str">
        <x:v>AI誤答レビュー</x:v>
      </x:c>
      <x:c r="AF847" s="171" t="str">
        <x:v>2026-07-12</x:v>
      </x:c>
      <x:c r="AG847" s="369" t="str">
        <x:v>第4バッチ：同一論点内の典型的誤概念へ置換。正答位置は維持。</x:v>
      </x:c>
    </x:row>
    <x:row r="848" ht="84" customHeight="1">
      <x:c r="A848" s="368" t="str">
        <x:v>LO5-127</x:v>
      </x:c>
      <x:c r="B848" s="171" t="str">
        <x:v>LO5</x:v>
      </x:c>
      <x:c r="C848" s="165" t="str">
        <x:v>情報提供・推奨・保管・サービス</x:v>
      </x:c>
      <x:c r="D848" s="165" t="str">
        <x:v>輸送後の静置</x:v>
      </x:c>
      <x:c r="E848" s="165" t="str">
        <x:v>熟成した赤ワインを輸送後すぐ開けず、立てて静置する主な理由はどれか。</x:v>
      </x:c>
      <x:c r="F848" s="165" t="str">
        <x:v>輸送で増えた残糖を減らすため</x:v>
      </x:c>
      <x:c r="G848" s="165" t="str">
        <x:v>瓶内圧力を上げるため</x:v>
      </x:c>
      <x:c r="H848" s="165" t="str">
        <x:v>移動で舞った澱を瓶底へ沈めるため</x:v>
      </x:c>
      <x:c r="I848" s="165" t="str">
        <x:v>コルク汚染を空気へ逃がすため</x:v>
      </x:c>
      <x:c r="J848" s="171" t="str">
        <x:v>C</x:v>
      </x:c>
      <x:c r="K848" s="165" t="str">
        <x:v>移動で舞った澱を瓶底へ沈めるため</x:v>
      </x:c>
      <x:c r="L848" s="165" t="str">
        <x:v>正しい。静置後に慎重に開栓・デカンティングすると、濁りや苦い沈殿をグラスへ入れにくい。</x:v>
      </x:c>
      <x:c r="M848" s="165" t="str">
        <x:v>誤り。残糖は変わらない。</x:v>
      </x:c>
      <x:c r="N848" s="165" t="str">
        <x:v>誤り。非発泡性ワインである。</x:v>
      </x:c>
      <x:c r="O848" s="165" t="str">
        <x:v>正しい。静置後に慎重に開栓・デカンティングすると、濁りや苦い沈殿をグラスへ入れにくい。</x:v>
      </x:c>
      <x:c r="P848" s="165" t="str">
        <x:v>誤り。未開栓の静置でTCAは治らない。</x:v>
      </x:c>
      <x:c r="Q848" s="165" t="str">
        <x:v>サービス</x:v>
      </x:c>
      <x:c r="R848" s="165" t="str">
        <x:v>熟成ワイン</x:v>
      </x:c>
      <x:c r="S848" s="165" t="str">
        <x:v>赤ワイン</x:v>
      </x:c>
      <x:c r="T848" s="165"/>
      <x:c r="U848" s="165"/>
      <x:c r="V848" s="165"/>
      <x:c r="W848" s="165" t="str">
        <x:v>因果説明</x:v>
      </x:c>
      <x:c r="X848" s="171" t="str">
        <x:v>D1</x:v>
      </x:c>
      <x:c r="Y848" s="165" t="str">
        <x:v>輸送後の静置に関する別の特徴・要因と混同; 輸送後の静置に関する別の特徴・要因と混同; 輸送後の静置に関する別の特徴・要因と混同</x:v>
      </x:c>
      <x:c r="Z848" s="171" t="str">
        <x:v>N</x:v>
      </x:c>
      <x:c r="AA848" s="165"/>
      <x:c r="AB848" s="165" t="str">
        <x:v>オリジナル</x:v>
      </x:c>
      <x:c r="AC848" s="165" t="str">
        <x:v>WSET公式Specificationの範囲＋ユーザー作成コーパスの論点を参考に独自作成</x:v>
      </x:c>
      <x:c r="AD848" s="171" t="str">
        <x:v>改稿済み・専門家未承認</x:v>
      </x:c>
      <x:c r="AE848" s="171" t="str">
        <x:v>AI誤答レビュー</x:v>
      </x:c>
      <x:c r="AF848" s="171" t="str">
        <x:v>2026-07-12</x:v>
      </x:c>
      <x:c r="AG848" s="369" t="str">
        <x:v>最終バッチ：有効な誤答を維持し、絶対語・物理的不可能な誤答のみ置換。正答位置は維持。</x:v>
      </x:c>
    </x:row>
    <x:row r="849" ht="84" customHeight="1">
      <x:c r="A849" s="368" t="str">
        <x:v>LO5-128</x:v>
      </x:c>
      <x:c r="B849" s="171" t="str">
        <x:v>LO5</x:v>
      </x:c>
      <x:c r="C849" s="165" t="str">
        <x:v>情報提供・推奨・保管・サービス</x:v>
      </x:c>
      <x:c r="D849" s="165" t="str">
        <x:v>ワインセラーの温度帯</x:v>
      </x:c>
      <x:c r="E849" s="165" t="str">
        <x:v>一台のワインセラーで保管と提供準備を両立する際、二温度帯が有利な主な理由はどれか。</x:v>
      </x:c>
      <x:c r="F849" s="165" t="str">
        <x:v>温度帯で残糖を変更できる</x:v>
      </x:c>
      <x:c r="G849" s="165" t="str">
        <x:v>高温帯で熟成を急速に完了させる</x:v>
      </x:c>
      <x:c r="H849" s="165" t="str">
        <x:v>上段と下段でアルコール度を変え、ワインの甘味を調整できるため</x:v>
      </x:c>
      <x:c r="I849" s="165" t="str">
        <x:v>赤と白・発泡性ワインを異なる提供温度へ近づけながら安定保管できる</x:v>
      </x:c>
      <x:c r="J849" s="171" t="str">
        <x:v>D</x:v>
      </x:c>
      <x:c r="K849" s="165" t="str">
        <x:v>赤と白・発泡性ワインを異なる提供温度へ近づけながら安定保管できる</x:v>
      </x:c>
      <x:c r="L849" s="165" t="str">
        <x:v>正しい。長期保管は安定温度が基本だが、サービス直前の冷却負担を減らせる。</x:v>
      </x:c>
      <x:c r="M849" s="165" t="str">
        <x:v>誤り。実際の糖量は変わらない。</x:v>
      </x:c>
      <x:c r="N849" s="165" t="str">
        <x:v>誤り。高温は劣化を促す。</x:v>
      </x:c>
      <x:c r="O849" s="165" t="str">
        <x:v>誤り。温度帯は保管温度と提供準備を分けるためで、アルコール度や残糖を変化させない。</x:v>
      </x:c>
      <x:c r="P849" s="165" t="str">
        <x:v>正しい。長期保管は安定温度が基本だが、サービス直前の冷却負担を減らせる。</x:v>
      </x:c>
      <x:c r="Q849" s="165" t="str">
        <x:v>保管</x:v>
      </x:c>
      <x:c r="R849" s="165" t="str">
        <x:v>温度管理</x:v>
      </x:c>
      <x:c r="S849" s="165" t="str">
        <x:v>全般</x:v>
      </x:c>
      <x:c r="T849" s="165"/>
      <x:c r="U849" s="165"/>
      <x:c r="V849" s="165"/>
      <x:c r="W849" s="165" t="str">
        <x:v>適用</x:v>
      </x:c>
      <x:c r="X849" s="171" t="str">
        <x:v>D2</x:v>
      </x:c>
      <x:c r="Y849" s="165" t="str">
        <x:v>ワインセラーの温度帯に関する別の特徴・要因と混同; ワインセラーの温度帯に関する別の特徴・要因と混同; 二温度帯でアルコール度・甘味を調整できる</x:v>
      </x:c>
      <x:c r="Z849" s="171" t="str">
        <x:v>N</x:v>
      </x:c>
      <x:c r="AA849" s="165"/>
      <x:c r="AB849" s="165" t="str">
        <x:v>オリジナル</x:v>
      </x:c>
      <x:c r="AC849" s="165" t="str">
        <x:v>WSET公式Specificationの範囲＋ユーザー作成コーパスの論点を参考に独自作成</x:v>
      </x:c>
      <x:c r="AD849" s="171" t="str">
        <x:v>改稿済み・専門家未承認</x:v>
      </x:c>
      <x:c r="AE849" s="171" t="str">
        <x:v>AI誤答レビュー</x:v>
      </x:c>
      <x:c r="AF849" s="171" t="str">
        <x:v>2026-07-12</x:v>
      </x:c>
      <x:c r="AG849" s="369" t="str">
        <x:v>最終バッチ：有効な誤答を維持し、絶対語・物理的不可能な誤答のみ置換。正答位置は維持。</x:v>
      </x:c>
    </x:row>
    <x:row r="850" ht="84" customHeight="1">
      <x:c r="A850" s="368" t="str">
        <x:v>LO5-129</x:v>
      </x:c>
      <x:c r="B850" s="171" t="str">
        <x:v>LO5</x:v>
      </x:c>
      <x:c r="C850" s="165" t="str">
        <x:v>情報提供・推奨・保管・サービス</x:v>
      </x:c>
      <x:c r="D850" s="165" t="str">
        <x:v>サービス準備</x:v>
      </x:c>
      <x:c r="E850" s="165" t="str">
        <x:v>ボトルサービス前のミザン・プラスとして最も適切なものはどれか。</x:v>
      </x:c>
      <x:c r="F850" s="165" t="str">
        <x:v>正しいワイン、ヴィンテージ、温度、グラス、開栓器具、必要なデキャンタを確認する</x:v>
      </x:c>
      <x:c r="G850" s="165" t="str">
        <x:v>ボトルを提示し、栓を静かに開け、瓶口を確認して少量を試飲用に注ぐ</x:v>
      </x:c>
      <x:c r="H850" s="165" t="str">
        <x:v>各ワインを同じ温度へそろえ、器具の種類を減らす</x:v>
      </x:c>
      <x:c r="I850" s="165" t="str">
        <x:v>開栓後に銘柄とヴィンテージを確認し、違っていれば別瓶へ移す</x:v>
      </x:c>
      <x:c r="J850" s="171" t="str">
        <x:v>A</x:v>
      </x:c>
      <x:c r="K850" s="165" t="str">
        <x:v>正しいワイン、ヴィンテージ、温度、グラス、開栓器具、必要なデキャンタを確認する</x:v>
      </x:c>
      <x:c r="L850" s="165" t="str">
        <x:v>正しい。事前準備で誤提供、温度不良、開栓トラブルを防ぐ。</x:v>
      </x:c>
      <x:c r="M850" s="165" t="str">
        <x:v>正しい。事前準備で誤提供、温度不良、開栓トラブルを防ぐ。</x:v>
      </x:c>
      <x:c r="N850" s="165" t="str">
        <x:v>誤り。これは同じ知識領域の「スクリューキャップのサービス」に当てはまる説明で、設問の「サービス準備」を最も適切に説明しない。</x:v>
      </x:c>
      <x:c r="O850" s="165" t="str">
        <x:v>誤り。スタイルに応じた温度・器具が必要。</x:v>
      </x:c>
      <x:c r="P850" s="165" t="str">
        <x:v>誤り。開栓前に確認すべきである。</x:v>
      </x:c>
      <x:c r="Q850" s="165" t="str">
        <x:v>サービス</x:v>
      </x:c>
      <x:c r="R850" s="165" t="str">
        <x:v>準備</x:v>
      </x:c>
      <x:c r="S850" s="165" t="str">
        <x:v>全般</x:v>
      </x:c>
      <x:c r="T850" s="165"/>
      <x:c r="U850" s="165"/>
      <x:c r="V850" s="165"/>
      <x:c r="W850" s="165" t="str">
        <x:v>統合判断</x:v>
      </x:c>
      <x:c r="X850" s="171" t="str">
        <x:v>D2</x:v>
      </x:c>
      <x:c r="Y850" s="165" t="str">
        <x:v>サービス準備をスクリューキャップのサービスの特徴と混同; 全ワイン同温度・同器具; 銘柄確認は開栓後</x:v>
      </x:c>
      <x:c r="Z850" s="171" t="str">
        <x:v>N</x:v>
      </x:c>
      <x:c r="AA850" s="165"/>
      <x:c r="AB850" s="165" t="str">
        <x:v>オリジナル</x:v>
      </x:c>
      <x:c r="AC850" s="165" t="str">
        <x:v>WSET公式Specificationの範囲＋ユーザー作成コーパスの論点を参考に独自作成</x:v>
      </x:c>
      <x:c r="AD850" s="171" t="str">
        <x:v>改稿済み・専門家未承認</x:v>
      </x:c>
      <x:c r="AE850" s="171" t="str">
        <x:v>AI誤答レビュー</x:v>
      </x:c>
      <x:c r="AF850" s="171" t="str">
        <x:v>2026-07-12</x:v>
      </x:c>
      <x:c r="AG850" s="369" t="str">
        <x:v>第4バッチ：同一論点内の典型的誤概念へ置換。正答位置は維持。</x:v>
      </x:c>
    </x:row>
    <x:row r="851" ht="84" customHeight="1">
      <x:c r="A851" s="368" t="str">
        <x:v>LO5-130</x:v>
      </x:c>
      <x:c r="B851" s="171" t="str">
        <x:v>LO5</x:v>
      </x:c>
      <x:c r="C851" s="165" t="str">
        <x:v>情報提供・推奨・保管・サービス</x:v>
      </x:c>
      <x:c r="D851" s="165" t="str">
        <x:v>カプセルの切り方</x:v>
      </x:c>
      <x:c r="E851" s="165" t="str">
        <x:v>非発泡性ワインのカプセルを瓶口のリップより下で切る主な理由はどれか。</x:v>
      </x:c>
      <x:c r="F851" s="165" t="str">
        <x:v>カプセルが瓶内圧力を作るため</x:v>
      </x:c>
      <x:c r="G851" s="165" t="str">
        <x:v>注ぐワインがカプセルの切断面へ触れるのを防ぐ</x:v>
      </x:c>
      <x:c r="H851" s="165" t="str">
        <x:v>コルク汚染を治すため</x:v>
      </x:c>
      <x:c r="I851" s="165" t="str">
        <x:v>リップ下で切ると残糖が減る</x:v>
      </x:c>
      <x:c r="J851" s="171" t="str">
        <x:v>B</x:v>
      </x:c>
      <x:c r="K851" s="165" t="str">
        <x:v>注ぐワインがカプセルの切断面へ触れるのを防ぐ</x:v>
      </x:c>
      <x:c r="L851" s="165" t="str">
        <x:v>正しい。清潔で見栄えのよいサービスとなり、金属や汚れとの接触を避けられる。</x:v>
      </x:c>
      <x:c r="M851" s="165" t="str">
        <x:v>誤り。カプセルは圧力を生まない。</x:v>
      </x:c>
      <x:c r="N851" s="165" t="str">
        <x:v>正しい。清潔で見栄えのよいサービスとなり、金属や汚れとの接触を避けられる。</x:v>
      </x:c>
      <x:c r="O851" s="165" t="str">
        <x:v>誤り。TCAは除去できない。</x:v>
      </x:c>
      <x:c r="P851" s="165" t="str">
        <x:v>誤り。成分は変わらない。</x:v>
      </x:c>
      <x:c r="Q851" s="165" t="str">
        <x:v>サービス</x:v>
      </x:c>
      <x:c r="R851" s="165" t="str">
        <x:v>開栓手順</x:v>
      </x:c>
      <x:c r="S851" s="165" t="str">
        <x:v>非発泡性ワイン</x:v>
      </x:c>
      <x:c r="T851" s="165"/>
      <x:c r="U851" s="165"/>
      <x:c r="V851" s="165"/>
      <x:c r="W851" s="165" t="str">
        <x:v>因果説明</x:v>
      </x:c>
      <x:c r="X851" s="171" t="str">
        <x:v>D1</x:v>
      </x:c>
      <x:c r="Y851" s="165" t="str">
        <x:v>カプセルの切り方について関連要因を主因とみなす; カプセルの切り方について関連要因を主因とみなす; カプセルの切り方について関連要因を主因とみなす</x:v>
      </x:c>
      <x:c r="Z851" s="171" t="str">
        <x:v>N</x:v>
      </x:c>
      <x:c r="AA851" s="165"/>
      <x:c r="AB851" s="165" t="str">
        <x:v>オリジナル</x:v>
      </x:c>
      <x:c r="AC851" s="165" t="str">
        <x:v>WSET公式Specificationの範囲＋ユーザー作成コーパスの論点を参考に独自作成</x:v>
      </x:c>
      <x:c r="AD851" s="171" t="str">
        <x:v>改稿済み・専門家未承認</x:v>
      </x:c>
      <x:c r="AE851" s="171" t="str">
        <x:v>AI誤答レビュー</x:v>
      </x:c>
      <x:c r="AF851" s="171" t="str">
        <x:v>2026-07-12</x:v>
      </x:c>
      <x:c r="AG851" s="369" t="str">
        <x:v>第5バッチ：使用可能な誤答を維持し、弱い誤答を因果逆転・隣接概念へ置換。正答位置は維持。</x:v>
      </x:c>
    </x:row>
    <x:row r="852" ht="84" customHeight="1">
      <x:c r="A852" s="368" t="str">
        <x:v>LO5-131</x:v>
      </x:c>
      <x:c r="B852" s="171" t="str">
        <x:v>LO5</x:v>
      </x:c>
      <x:c r="C852" s="165" t="str">
        <x:v>情報提供・推奨・保管・サービス</x:v>
      </x:c>
      <x:c r="D852" s="165" t="str">
        <x:v>コルクの確認</x:v>
      </x:c>
      <x:c r="E852" s="165" t="str">
        <x:v>抜いたコルクを確認する際、最も有用な情報はどれか。</x:v>
      </x:c>
      <x:c r="F852" s="165" t="str">
        <x:v>コルクを見れば残糖が正確に分かる</x:v>
      </x:c>
      <x:c r="G852" s="165" t="str">
        <x:v>濡れたコルクならコルク汚染</x:v>
      </x:c>
      <x:c r="H852" s="165" t="str">
        <x:v>漏れ、崩れ、乾燥、異常なカビ臭など、栓と保管状態の手掛かり</x:v>
      </x:c>
      <x:c r="I852" s="165" t="str">
        <x:v>コルクの長さだけでワイン品質を完全判定する</x:v>
      </x:c>
      <x:c r="J852" s="171" t="str">
        <x:v>C</x:v>
      </x:c>
      <x:c r="K852" s="165" t="str">
        <x:v>漏れ、崩れ、乾燥、異常なカビ臭など、栓と保管状態の手掛かり</x:v>
      </x:c>
      <x:c r="L852" s="165" t="str">
        <x:v>正しい。コルクの香りだけでワインの品質を断定せず、必ずグラスのワインを試飲して判断する。</x:v>
      </x:c>
      <x:c r="M852" s="165" t="str">
        <x:v>誤り。糖量は分析・味わいで判断する。</x:v>
      </x:c>
      <x:c r="N852" s="165" t="str">
        <x:v>誤り。ワイン接触は通常であり、TCAとは別である。</x:v>
      </x:c>
      <x:c r="O852" s="165" t="str">
        <x:v>正しい。コルクの香りだけでワインの品質を断定せず、必ずグラスのワインを試飲して判断する。</x:v>
      </x:c>
      <x:c r="P852" s="165" t="str">
        <x:v>誤り。品質はワイン自体で確認する。</x:v>
      </x:c>
      <x:c r="Q852" s="165" t="str">
        <x:v>サービス</x:v>
      </x:c>
      <x:c r="R852" s="165" t="str">
        <x:v>開栓手順</x:v>
      </x:c>
      <x:c r="S852" s="165" t="str">
        <x:v>全般</x:v>
      </x:c>
      <x:c r="T852" s="165"/>
      <x:c r="U852" s="165"/>
      <x:c r="V852" s="165"/>
      <x:c r="W852" s="165" t="str">
        <x:v>判断</x:v>
      </x:c>
      <x:c r="X852" s="171" t="str">
        <x:v>D2</x:v>
      </x:c>
      <x:c r="Y852" s="165" t="str">
        <x:v>コルクの確認について関連要因を主因とみなす; コルクの確認について関連要因を主因とみなす; コルクの確認について関連要因を主因とみなす</x:v>
      </x:c>
      <x:c r="Z852" s="171" t="str">
        <x:v>N</x:v>
      </x:c>
      <x:c r="AA852" s="165"/>
      <x:c r="AB852" s="165" t="str">
        <x:v>オリジナル</x:v>
      </x:c>
      <x:c r="AC852" s="165" t="str">
        <x:v>WSET公式Specificationの範囲＋ユーザー作成コーパスの論点を参考に独自作成</x:v>
      </x:c>
      <x:c r="AD852" s="171" t="str">
        <x:v>改稿済み・専門家未承認</x:v>
      </x:c>
      <x:c r="AE852" s="171" t="str">
        <x:v>AI誤答レビュー</x:v>
      </x:c>
      <x:c r="AF852" s="171" t="str">
        <x:v>2026-07-12</x:v>
      </x:c>
      <x:c r="AG852" s="369" t="str">
        <x:v>第5バッチ：使用可能な誤答を維持し、弱い誤答を因果逆転・隣接概念へ置換。正答位置は維持。</x:v>
      </x:c>
    </x:row>
    <x:row r="853" ht="84" customHeight="1">
      <x:c r="A853" s="368" t="str">
        <x:v>LO5-132</x:v>
      </x:c>
      <x:c r="B853" s="171" t="str">
        <x:v>LO5</x:v>
      </x:c>
      <x:c r="C853" s="165" t="str">
        <x:v>情報提供・推奨・保管・サービス</x:v>
      </x:c>
      <x:c r="D853" s="165" t="str">
        <x:v>スクリューキャップのサービス</x:v>
      </x:c>
      <x:c r="E853" s="165" t="str">
        <x:v>スクリューキャップのワインをレストランで適切に提供する手順はどれか。</x:v>
      </x:c>
      <x:c r="F853" s="165" t="str">
        <x:v>提示せず厨房で別容器へ移す</x:v>
      </x:c>
      <x:c r="G853" s="165" t="str">
        <x:v>スクリューキャップなら試飲確認は不要</x:v>
      </x:c>
      <x:c r="H853" s="165" t="str">
        <x:v>開栓前に瓶を強く振る</x:v>
      </x:c>
      <x:c r="I853" s="165" t="str">
        <x:v>ボトルを提示し、栓を静かに開け、瓶口を確認して少量を試飲用に注ぐ</x:v>
      </x:c>
      <x:c r="J853" s="171" t="str">
        <x:v>D</x:v>
      </x:c>
      <x:c r="K853" s="165" t="str">
        <x:v>ボトルを提示し、栓を静かに開け、瓶口を確認して少量を試飲用に注ぐ</x:v>
      </x:c>
      <x:c r="L853" s="165" t="str">
        <x:v>正しい。コルクがなくても銘柄と状態の確認は同様に行い、栓を乱暴に扱わない。</x:v>
      </x:c>
      <x:c r="M853" s="165" t="str">
        <x:v>誤り。注文内容を顧客へ確認する必要がある。</x:v>
      </x:c>
      <x:c r="N853" s="165" t="str">
        <x:v>誤り。状態不良や誤提供はあり得る。</x:v>
      </x:c>
      <x:c r="O853" s="165" t="str">
        <x:v>誤り。ワインを濁らせ、発泡性なら危険である。</x:v>
      </x:c>
      <x:c r="P853" s="165" t="str">
        <x:v>正しい。コルクがなくても銘柄と状態の確認は同様に行い、栓を乱暴に扱わない。</x:v>
      </x:c>
      <x:c r="Q853" s="165" t="str">
        <x:v>サービス</x:v>
      </x:c>
      <x:c r="R853" s="165" t="str">
        <x:v>開栓手順</x:v>
      </x:c>
      <x:c r="S853" s="165" t="str">
        <x:v>全般</x:v>
      </x:c>
      <x:c r="T853" s="165"/>
      <x:c r="U853" s="165"/>
      <x:c r="V853" s="165"/>
      <x:c r="W853" s="165" t="str">
        <x:v>適用</x:v>
      </x:c>
      <x:c r="X853" s="171" t="str">
        <x:v>D1</x:v>
      </x:c>
      <x:c r="Y853" s="165" t="str">
        <x:v>スクリューキャップのサービスに関する別の特徴・要因と混同; スクリューキャップのサービスに関する別の特徴・要因と混同; スクリューキャップのサービスに関する別の特徴・要因と混同</x:v>
      </x:c>
      <x:c r="Z853" s="171" t="str">
        <x:v>N</x:v>
      </x:c>
      <x:c r="AA853" s="165"/>
      <x:c r="AB853" s="165" t="str">
        <x:v>オリジナル</x:v>
      </x:c>
      <x:c r="AC853" s="165" t="str">
        <x:v>WSET公式Specificationの範囲＋ユーザー作成コーパスの論点を参考に独自作成</x:v>
      </x:c>
      <x:c r="AD853" s="171" t="str">
        <x:v>改稿済み・専門家未承認</x:v>
      </x:c>
      <x:c r="AE853" s="171" t="str">
        <x:v>AI誤答レビュー</x:v>
      </x:c>
      <x:c r="AF853" s="171" t="str">
        <x:v>2026-07-12</x:v>
      </x:c>
      <x:c r="AG853" s="369" t="str">
        <x:v>最終バッチ：有効な誤答を維持し、絶対語・物理的不可能な誤答のみ置換。正答位置は維持。</x:v>
      </x:c>
    </x:row>
    <x:row r="854" ht="84" customHeight="1">
      <x:c r="A854" s="368" t="str">
        <x:v>LO5-133</x:v>
      </x:c>
      <x:c r="B854" s="171" t="str">
        <x:v>LO5</x:v>
      </x:c>
      <x:c r="C854" s="165" t="str">
        <x:v>情報提供・推奨・保管・サービス</x:v>
      </x:c>
      <x:c r="D854" s="165" t="str">
        <x:v>グラスの温度</x:v>
      </x:c>
      <x:c r="E854" s="165" t="str">
        <x:v>非常に冷えたグラスへ赤ワインを注ぐことを避ける主な理由はどれか。</x:v>
      </x:c>
      <x:c r="F854" s="165" t="str">
        <x:v>ワインが急に冷え、香りが閉じ、タンニンが硬く感じられるため</x:v>
      </x:c>
      <x:c r="G854" s="165" t="str">
        <x:v>冷たいグラスで残糖が増える</x:v>
      </x:c>
      <x:c r="H854" s="165" t="str">
        <x:v>冷たいグラスは赤ワインの酸を弱く感じさせ、果実味を強調する</x:v>
      </x:c>
      <x:c r="I854" s="165" t="str">
        <x:v>グラスを冷やすとタンニンが沈殿し、口当たりが柔らかくなる</x:v>
      </x:c>
      <x:c r="J854" s="171" t="str">
        <x:v>A</x:v>
      </x:c>
      <x:c r="K854" s="165" t="str">
        <x:v>ワインが急に冷え、香りが閉じ、タンニンが硬く感じられるため</x:v>
      </x:c>
      <x:c r="L854" s="165" t="str">
        <x:v>正しい。グラスは清潔で無臭かつ、ワインの提供温度を大きく変えない状態が望ましい。</x:v>
      </x:c>
      <x:c r="M854" s="165" t="str">
        <x:v>正しい。グラスは清潔で無臭かつ、ワインの提供温度を大きく変えない状態が望ましい。</x:v>
      </x:c>
      <x:c r="N854" s="165" t="str">
        <x:v>誤り。糖量は変わらない。</x:v>
      </x:c>
      <x:c r="O854" s="165" t="str">
        <x:v>誤り。低温では酸とタンニンがより硬く感じられ、香りは閉じやすい。</x:v>
      </x:c>
      <x:c r="P854" s="165" t="str">
        <x:v>誤り。サービス温度を下げても、短時間でタンニンが沈殿するわけではない。</x:v>
      </x:c>
      <x:c r="Q854" s="165" t="str">
        <x:v>サービス</x:v>
      </x:c>
      <x:c r="R854" s="165" t="str">
        <x:v>グラス管理</x:v>
      </x:c>
      <x:c r="S854" s="165" t="str">
        <x:v>赤ワイン</x:v>
      </x:c>
      <x:c r="T854" s="165"/>
      <x:c r="U854" s="165"/>
      <x:c r="V854" s="165"/>
      <x:c r="W854" s="165" t="str">
        <x:v>因果説明</x:v>
      </x:c>
      <x:c r="X854" s="171" t="str">
        <x:v>D2</x:v>
      </x:c>
      <x:c r="Y854" s="165" t="str">
        <x:v>グラスの温度について関連要因を主因とみなす; 冷却で酸が弱く感じる; 冷却でタンニンが沈殿する</x:v>
      </x:c>
      <x:c r="Z854" s="171" t="str">
        <x:v>N</x:v>
      </x:c>
      <x:c r="AA854" s="165"/>
      <x:c r="AB854" s="165" t="str">
        <x:v>オリジナル</x:v>
      </x:c>
      <x:c r="AC854" s="165" t="str">
        <x:v>WSET公式Specificationの範囲＋ユーザー作成コーパスの論点を参考に独自作成</x:v>
      </x:c>
      <x:c r="AD854" s="171" t="str">
        <x:v>改稿済み・専門家未承認</x:v>
      </x:c>
      <x:c r="AE854" s="171" t="str">
        <x:v>AI誤答レビュー</x:v>
      </x:c>
      <x:c r="AF854" s="171" t="str">
        <x:v>2026-07-12</x:v>
      </x:c>
      <x:c r="AG854" s="369" t="str">
        <x:v>第5バッチ：使用可能な誤答を維持し、弱い誤答を因果逆転・隣接概念へ置換。正答位置は維持。</x:v>
      </x:c>
    </x:row>
    <x:row r="855" ht="84" customHeight="1">
      <x:c r="A855" s="368" t="str">
        <x:v>LO5-134</x:v>
      </x:c>
      <x:c r="B855" s="171" t="str">
        <x:v>LO5</x:v>
      </x:c>
      <x:c r="C855" s="165" t="str">
        <x:v>情報提供・推奨・保管・サービス</x:v>
      </x:c>
      <x:c r="D855" s="165" t="str">
        <x:v>グラスの水滴</x:v>
      </x:c>
      <x:c r="E855" s="165" t="str">
        <x:v>洗浄後のグラスに水滴を残さない方がよい主な理由はどれか。</x:v>
      </x:c>
      <x:c r="F855" s="165" t="str">
        <x:v>水滴がTCAを除去する</x:v>
      </x:c>
      <x:c r="G855" s="165" t="str">
        <x:v>ワインをわずかに希釈し、外観や泡、香りの評価を妨げる可能性がある</x:v>
      </x:c>
      <x:c r="H855" s="165" t="str">
        <x:v>水滴がアルコール度を高める</x:v>
      </x:c>
      <x:c r="I855" s="165" t="str">
        <x:v>水滴がグラスを冷却し、ワインの香りをより開きやすくする</x:v>
      </x:c>
      <x:c r="J855" s="171" t="str">
        <x:v>B</x:v>
      </x:c>
      <x:c r="K855" s="165" t="str">
        <x:v>ワインをわずかに希釈し、外観や泡、香りの評価を妨げる可能性がある</x:v>
      </x:c>
      <x:c r="L855" s="165" t="str">
        <x:v>正しい。無臭の布で磨き、洗剤と水の残留を避ける。</x:v>
      </x:c>
      <x:c r="M855" s="165" t="str">
        <x:v>誤り。コルク汚染は治らない。</x:v>
      </x:c>
      <x:c r="N855" s="165" t="str">
        <x:v>正しい。無臭の布で磨き、洗剤と水の残留を避ける。</x:v>
      </x:c>
      <x:c r="O855" s="165" t="str">
        <x:v>誤り。水は希釈方向に働く。</x:v>
      </x:c>
      <x:c r="P855" s="165" t="str">
        <x:v>誤り。水滴は希釈と温度低下を招き、香りや泡の評価を妨げる。</x:v>
      </x:c>
      <x:c r="Q855" s="165" t="str">
        <x:v>サービス</x:v>
      </x:c>
      <x:c r="R855" s="165" t="str">
        <x:v>グラス管理</x:v>
      </x:c>
      <x:c r="S855" s="165" t="str">
        <x:v>全般</x:v>
      </x:c>
      <x:c r="T855" s="165"/>
      <x:c r="U855" s="165"/>
      <x:c r="V855" s="165"/>
      <x:c r="W855" s="165" t="str">
        <x:v>因果説明</x:v>
      </x:c>
      <x:c r="X855" s="171" t="str">
        <x:v>D1</x:v>
      </x:c>
      <x:c r="Y855" s="165" t="str">
        <x:v>グラスの水滴について関連要因を主因とみなす; グラスの水滴について関連要因を主因とみなす; 水滴で香りが開く</x:v>
      </x:c>
      <x:c r="Z855" s="171" t="str">
        <x:v>N</x:v>
      </x:c>
      <x:c r="AA855" s="165"/>
      <x:c r="AB855" s="165" t="str">
        <x:v>オリジナル</x:v>
      </x:c>
      <x:c r="AC855" s="165" t="str">
        <x:v>WSET公式Specificationの範囲＋ユーザー作成コーパスの論点を参考に独自作成</x:v>
      </x:c>
      <x:c r="AD855" s="171" t="str">
        <x:v>改稿済み・専門家未承認</x:v>
      </x:c>
      <x:c r="AE855" s="171" t="str">
        <x:v>AI誤答レビュー</x:v>
      </x:c>
      <x:c r="AF855" s="171" t="str">
        <x:v>2026-07-12</x:v>
      </x:c>
      <x:c r="AG855" s="369" t="str">
        <x:v>第5バッチ：使用可能な誤答を維持し、弱い誤答を因果逆転・隣接概念へ置換。正答位置は維持。</x:v>
      </x:c>
    </x:row>
    <x:row r="856" ht="84" customHeight="1">
      <x:c r="A856" s="368" t="str">
        <x:v>LO5-135</x:v>
      </x:c>
      <x:c r="B856" s="171" t="str">
        <x:v>LO5</x:v>
      </x:c>
      <x:c r="C856" s="165" t="str">
        <x:v>情報提供・推奨・保管・サービス</x:v>
      </x:c>
      <x:c r="D856" s="165" t="str">
        <x:v>大型瓶のサービス</x:v>
      </x:c>
      <x:c r="E856" s="165" t="str">
        <x:v>マグナム以上の大型瓶を安全に注ぐため最も適切な方法はどれか。</x:v>
      </x:c>
      <x:c r="F856" s="165" t="str">
        <x:v>開栓前に温めて圧力を上げる</x:v>
      </x:c>
      <x:c r="G856" s="165" t="str">
        <x:v>瓶を逆さにしてテーブルへ置く</x:v>
      </x:c>
      <x:c r="H856" s="165" t="str">
        <x:v>底部と首を両手で支え、必要に応じてクレードルや注ぎ器具を使う</x:v>
      </x:c>
      <x:c r="I856" s="165" t="str">
        <x:v>片手で瓶首だけを持ち高速で振る</x:v>
      </x:c>
      <x:c r="J856" s="171" t="str">
        <x:v>C</x:v>
      </x:c>
      <x:c r="K856" s="165" t="str">
        <x:v>底部と首を両手で支え、必要に応じてクレードルや注ぎ器具を使う</x:v>
      </x:c>
      <x:c r="L856" s="165" t="str">
        <x:v>正しい。重量と慣性が大きいため、ラベルを見せながら安定して少量ずつ注ぐ。</x:v>
      </x:c>
      <x:c r="M856" s="165" t="str">
        <x:v>誤り。特に発泡性では危険である。</x:v>
      </x:c>
      <x:c r="N856" s="165" t="str">
        <x:v>誤り。危険で不適切である。</x:v>
      </x:c>
      <x:c r="O856" s="165" t="str">
        <x:v>正しい。重量と慣性が大きいため、ラベルを見せながら安定して少量ずつ注ぐ。</x:v>
      </x:c>
      <x:c r="P856" s="165" t="str">
        <x:v>誤り。落下と澱の攪拌の危険がある。</x:v>
      </x:c>
      <x:c r="Q856" s="165" t="str">
        <x:v>サービス</x:v>
      </x:c>
      <x:c r="R856" s="165" t="str">
        <x:v>大型瓶</x:v>
      </x:c>
      <x:c r="S856" s="165" t="str">
        <x:v>全般</x:v>
      </x:c>
      <x:c r="T856" s="165"/>
      <x:c r="U856" s="165"/>
      <x:c r="V856" s="165"/>
      <x:c r="W856" s="165" t="str">
        <x:v>適用</x:v>
      </x:c>
      <x:c r="X856" s="171" t="str">
        <x:v>D2</x:v>
      </x:c>
      <x:c r="Y856" s="165" t="str">
        <x:v>大型瓶のサービスについて関連要因を主因とみなす; 大型瓶のサービスについて関連要因を主因とみなす; 大型瓶のサービスについて関連要因を主因とみなす</x:v>
      </x:c>
      <x:c r="Z856" s="171" t="str">
        <x:v>N</x:v>
      </x:c>
      <x:c r="AA856" s="165"/>
      <x:c r="AB856" s="165" t="str">
        <x:v>オリジナル</x:v>
      </x:c>
      <x:c r="AC856" s="165" t="str">
        <x:v>WSET公式Specificationの範囲＋ユーザー作成コーパスの論点を参考に独自作成</x:v>
      </x:c>
      <x:c r="AD856" s="171" t="str">
        <x:v>改稿済み・専門家未承認</x:v>
      </x:c>
      <x:c r="AE856" s="171" t="str">
        <x:v>AI誤答レビュー</x:v>
      </x:c>
      <x:c r="AF856" s="171" t="str">
        <x:v>2026-07-12</x:v>
      </x:c>
      <x:c r="AG856" s="369" t="str">
        <x:v>第5バッチ：使用可能な誤答を維持し、弱い誤答を因果逆転・隣接概念へ置換。正答位置は維持。</x:v>
      </x:c>
    </x:row>
    <x:row r="857" ht="84" customHeight="1">
      <x:c r="A857" s="368" t="str">
        <x:v>LO5-136</x:v>
      </x:c>
      <x:c r="B857" s="171" t="str">
        <x:v>LO5</x:v>
      </x:c>
      <x:c r="C857" s="165" t="str">
        <x:v>情報提供・推奨・保管・サービス</x:v>
      </x:c>
      <x:c r="D857" s="165" t="str">
        <x:v>発泡性ワインの開栓</x:v>
      </x:c>
      <x:c r="E857" s="165" t="str">
        <x:v>発泡性ワインを安全に開ける際の正しい操作はどれか。</x:v>
      </x:c>
      <x:c r="F857" s="165" t="str">
        <x:v>コルクを自由に飛ばす</x:v>
      </x:c>
      <x:c r="G857" s="165" t="str">
        <x:v>瓶を直立させて温める</x:v>
      </x:c>
      <x:c r="H857" s="165" t="str">
        <x:v>瓶を強く振ってから開ける</x:v>
      </x:c>
      <x:c r="I857" s="165" t="str">
        <x:v>コルクを押さえたまま瓶を約45度に傾け、瓶の方をゆっくり回す</x:v>
      </x:c>
      <x:c r="J857" s="171" t="str">
        <x:v>D</x:v>
      </x:c>
      <x:c r="K857" s="165" t="str">
        <x:v>コルクを押さえたまま瓶を約45度に傾け、瓶の方をゆっくり回す</x:v>
      </x:c>
      <x:c r="L857" s="165" t="str">
        <x:v>正しい。人や壊れ物へ向けず、圧力を少しずつ逃がして小さな音で開栓する。</x:v>
      </x:c>
      <x:c r="M857" s="165" t="str">
        <x:v>誤り。高速度で飛び危険である。</x:v>
      </x:c>
      <x:c r="N857" s="165" t="str">
        <x:v>誤り。圧力が高まりやすい。</x:v>
      </x:c>
      <x:c r="O857" s="165" t="str">
        <x:v>誤り。泡の噴出とけがの危険が増す。</x:v>
      </x:c>
      <x:c r="P857" s="165" t="str">
        <x:v>正しい。人や壊れ物へ向けず、圧力を少しずつ逃がして小さな音で開栓する。</x:v>
      </x:c>
      <x:c r="Q857" s="165" t="str">
        <x:v>サービス</x:v>
      </x:c>
      <x:c r="R857" s="165" t="str">
        <x:v>発泡性ワイン</x:v>
      </x:c>
      <x:c r="S857" s="165" t="str">
        <x:v>発泡性ワイン</x:v>
      </x:c>
      <x:c r="T857" s="165"/>
      <x:c r="U857" s="165"/>
      <x:c r="V857" s="165"/>
      <x:c r="W857" s="165" t="str">
        <x:v>適用</x:v>
      </x:c>
      <x:c r="X857" s="171" t="str">
        <x:v>D1</x:v>
      </x:c>
      <x:c r="Y857" s="165" t="str">
        <x:v>発泡性ワインの開栓について関連要因を主因とみなす; 発泡性ワインの開栓について関連要因を主因とみなす; 発泡性ワインの開栓について関連要因を主因とみなす</x:v>
      </x:c>
      <x:c r="Z857" s="171" t="str">
        <x:v>N</x:v>
      </x:c>
      <x:c r="AA857" s="165"/>
      <x:c r="AB857" s="165" t="str">
        <x:v>オリジナル</x:v>
      </x:c>
      <x:c r="AC857" s="165" t="str">
        <x:v>WSET公式Specificationの範囲＋ユーザー作成コーパスの論点を参考に独自作成</x:v>
      </x:c>
      <x:c r="AD857" s="171" t="str">
        <x:v>改稿済み・専門家未承認</x:v>
      </x:c>
      <x:c r="AE857" s="171" t="str">
        <x:v>AI誤答レビュー</x:v>
      </x:c>
      <x:c r="AF857" s="171" t="str">
        <x:v>2026-07-12</x:v>
      </x:c>
      <x:c r="AG857" s="369" t="str">
        <x:v>第5バッチ：使用可能な誤答を維持し、弱い誤答を因果逆転・隣接概念へ置換。正答位置は維持。</x:v>
      </x:c>
    </x:row>
    <x:row r="858" ht="84" customHeight="1">
      <x:c r="A858" s="368" t="str">
        <x:v>LO5-137</x:v>
      </x:c>
      <x:c r="B858" s="171" t="str">
        <x:v>LO5</x:v>
      </x:c>
      <x:c r="C858" s="165" t="str">
        <x:v>情報提供・推奨・保管・サービス</x:v>
      </x:c>
      <x:c r="D858" s="165" t="str">
        <x:v>発泡性ワインの安全</x:v>
      </x:c>
      <x:c r="E858" s="165" t="str">
        <x:v>発泡性ワインのコルクを人へ向けてはいけない主な理由はどれか。</x:v>
      </x:c>
      <x:c r="F858" s="165" t="str">
        <x:v>瓶内圧力により高速で飛び、重大なけがを起こす可能性がある</x:v>
      </x:c>
      <x:c r="G858" s="165" t="str">
        <x:v>コルクが粉々になるため</x:v>
      </x:c>
      <x:c r="H858" s="165" t="str">
        <x:v>コルクが酸を増やすため</x:v>
      </x:c>
      <x:c r="I858" s="165" t="str">
        <x:v>コルクがワインの残糖を吸収するため</x:v>
      </x:c>
      <x:c r="J858" s="171" t="str">
        <x:v>A</x:v>
      </x:c>
      <x:c r="K858" s="165" t="str">
        <x:v>瓶内圧力により高速で飛び、重大なけがを起こす可能性がある</x:v>
      </x:c>
      <x:c r="L858" s="165" t="str">
        <x:v>正しい。ミュズレを外した後は常にコルクを手で押さえ、方向を管理する。</x:v>
      </x:c>
      <x:c r="M858" s="165" t="str">
        <x:v>正しい。ミュズレを外した後は常にコルクを手で押さえ、方向を管理する。</x:v>
      </x:c>
      <x:c r="N858" s="165" t="str">
        <x:v>誤り。飛翔速度が主な危険である。</x:v>
      </x:c>
      <x:c r="O858" s="165" t="str">
        <x:v>誤り。成分を変えない。</x:v>
      </x:c>
      <x:c r="P858" s="165" t="str">
        <x:v>誤り。安全上の理由とは無関係である。</x:v>
      </x:c>
      <x:c r="Q858" s="165" t="str">
        <x:v>サービス</x:v>
      </x:c>
      <x:c r="R858" s="165" t="str">
        <x:v>安全</x:v>
      </x:c>
      <x:c r="S858" s="165" t="str">
        <x:v>発泡性ワイン</x:v>
      </x:c>
      <x:c r="T858" s="165"/>
      <x:c r="U858" s="165"/>
      <x:c r="V858" s="165"/>
      <x:c r="W858" s="165" t="str">
        <x:v>知識確認</x:v>
      </x:c>
      <x:c r="X858" s="171" t="str">
        <x:v>D1</x:v>
      </x:c>
      <x:c r="Y858" s="165" t="str">
        <x:v>発泡性ワインの安全について関連要因を主因とみなす; 発泡性ワインの安全について関連要因を主因とみなす; 発泡性ワインの安全について関連要因を主因とみなす</x:v>
      </x:c>
      <x:c r="Z858" s="171" t="str">
        <x:v>N</x:v>
      </x:c>
      <x:c r="AA858" s="165"/>
      <x:c r="AB858" s="165" t="str">
        <x:v>オリジナル</x:v>
      </x:c>
      <x:c r="AC858" s="165" t="str">
        <x:v>WSET公式Specificationの範囲＋ユーザー作成コーパスの論点を参考に独自作成</x:v>
      </x:c>
      <x:c r="AD858" s="171" t="str">
        <x:v>改稿済み・専門家未承認</x:v>
      </x:c>
      <x:c r="AE858" s="171" t="str">
        <x:v>AI誤答レビュー</x:v>
      </x:c>
      <x:c r="AF858" s="171" t="str">
        <x:v>2026-07-12</x:v>
      </x:c>
      <x:c r="AG858" s="369" t="str">
        <x:v>第5バッチ：使用可能な誤答を維持し、弱い誤答を因果逆転・隣接概念へ置換。正答位置は維持。</x:v>
      </x:c>
    </x:row>
    <x:row r="859" ht="84" customHeight="1">
      <x:c r="A859" s="368" t="str">
        <x:v>LO5-138</x:v>
      </x:c>
      <x:c r="B859" s="171" t="str">
        <x:v>LO5</x:v>
      </x:c>
      <x:c r="C859" s="165" t="str">
        <x:v>情報提供・推奨・保管・サービス</x:v>
      </x:c>
      <x:c r="D859" s="165" t="str">
        <x:v>発泡性ワイン用ストッパー</x:v>
      </x:c>
      <x:c r="E859" s="165" t="str">
        <x:v>開栓した発泡性ワインに専用ストッパーを用いる主な目的はどれか。</x:v>
      </x:c>
      <x:c r="F859" s="165" t="str">
        <x:v>コルク汚染を除去する</x:v>
      </x:c>
      <x:c r="G859" s="165" t="str">
        <x:v>瓶口を密閉し、二酸化炭素の放出を遅らせる</x:v>
      </x:c>
      <x:c r="H859" s="165" t="str">
        <x:v>新しい二次発酵を開始する</x:v>
      </x:c>
      <x:c r="I859" s="165" t="str">
        <x:v>瓶内へ空気を送り込み、失われた泡を再び発生させる</x:v>
      </x:c>
      <x:c r="J859" s="171" t="str">
        <x:v>B</x:v>
      </x:c>
      <x:c r="K859" s="165" t="str">
        <x:v>瓶口を密閉し、二酸化炭素の放出を遅らせる</x:v>
      </x:c>
      <x:c r="L859" s="165" t="str">
        <x:v>正しい。冷蔵と組み合わせることで泡と果実香を短期間保ちやすい。</x:v>
      </x:c>
      <x:c r="M859" s="165" t="str">
        <x:v>誤り。TCAを治療しない。</x:v>
      </x:c>
      <x:c r="N859" s="165" t="str">
        <x:v>正しい。冷蔵と組み合わせることで泡と果実香を短期間保ちやすい。</x:v>
      </x:c>
      <x:c r="O859" s="165" t="str">
        <x:v>誤り。ストッパーは酵母や糖を加えない。</x:v>
      </x:c>
      <x:c r="P859" s="165" t="str">
        <x:v>誤り。専用ストッパーはCO2の放出を遅らせるもので、空気を入れて泡を作らない。</x:v>
      </x:c>
      <x:c r="Q859" s="165" t="str">
        <x:v>保管</x:v>
      </x:c>
      <x:c r="R859" s="165" t="str">
        <x:v>開栓後保存</x:v>
      </x:c>
      <x:c r="S859" s="165" t="str">
        <x:v>発泡性ワイン</x:v>
      </x:c>
      <x:c r="T859" s="165"/>
      <x:c r="U859" s="165"/>
      <x:c r="V859" s="165"/>
      <x:c r="W859" s="165" t="str">
        <x:v>因果説明</x:v>
      </x:c>
      <x:c r="X859" s="171" t="str">
        <x:v>D1</x:v>
      </x:c>
      <x:c r="Y859" s="165" t="str">
        <x:v>発泡性ワイン用ストッパーについて関連要因を主因とみなす; 発泡性ワイン用ストッパーについて関連要因を主因とみなす; 発泡性ストッパーは空気を入れて泡を再生する</x:v>
      </x:c>
      <x:c r="Z859" s="171" t="str">
        <x:v>N</x:v>
      </x:c>
      <x:c r="AA859" s="165"/>
      <x:c r="AB859" s="165" t="str">
        <x:v>オリジナル</x:v>
      </x:c>
      <x:c r="AC859" s="165" t="str">
        <x:v>WSET公式Specificationの範囲＋ユーザー作成コーパスの論点を参考に独自作成</x:v>
      </x:c>
      <x:c r="AD859" s="171" t="str">
        <x:v>改稿済み・専門家未承認</x:v>
      </x:c>
      <x:c r="AE859" s="171" t="str">
        <x:v>AI誤答レビュー</x:v>
      </x:c>
      <x:c r="AF859" s="171" t="str">
        <x:v>2026-07-12</x:v>
      </x:c>
      <x:c r="AG859" s="369" t="str">
        <x:v>第5バッチ：使用可能な誤答を維持し、弱い誤答を因果逆転・隣接概念へ置換。正答位置は維持。</x:v>
      </x:c>
    </x:row>
    <x:row r="860" ht="84" customHeight="1">
      <x:c r="A860" s="368" t="str">
        <x:v>LO5-139</x:v>
      </x:c>
      <x:c r="B860" s="171" t="str">
        <x:v>LO5</x:v>
      </x:c>
      <x:c r="C860" s="165" t="str">
        <x:v>情報提供・推奨・保管・サービス</x:v>
      </x:c>
      <x:c r="D860" s="165" t="str">
        <x:v>グラスワインの管理</x:v>
      </x:c>
      <x:c r="E860" s="165" t="str">
        <x:v>グラスワインを営業中に定期的に試飲する主な理由はどれか。</x:v>
      </x:c>
      <x:c r="F860" s="165" t="str">
        <x:v>開栓後は品質が改善し続ける</x:v>
      </x:c>
      <x:c r="G860" s="165" t="str">
        <x:v>試飲するとボトルの残量が増える</x:v>
      </x:c>
      <x:c r="H860" s="165" t="str">
        <x:v>開栓後の酸化、温度、香り、発泡性の低下を早期に発見する</x:v>
      </x:c>
      <x:c r="I860" s="165" t="str">
        <x:v>高価なワインなら確認不要</x:v>
      </x:c>
      <x:c r="J860" s="171" t="str">
        <x:v>C</x:v>
      </x:c>
      <x:c r="K860" s="165" t="str">
        <x:v>開栓後の酸化、温度、香り、発泡性の低下を早期に発見する</x:v>
      </x:c>
      <x:c r="L860" s="165" t="str">
        <x:v>正しい。保存器具を使っていても時間とともに変化するため、販売可能な状態か確認する必要がある。</x:v>
      </x:c>
      <x:c r="M860" s="165" t="str">
        <x:v>誤り。酸化で劣化する場合がある。</x:v>
      </x:c>
      <x:c r="N860" s="165" t="str">
        <x:v>誤り。ワイン量は減る。</x:v>
      </x:c>
      <x:c r="O860" s="165" t="str">
        <x:v>正しい。保存器具を使っていても時間とともに変化するため、販売可能な状態か確認する必要がある。</x:v>
      </x:c>
      <x:c r="P860" s="165" t="str">
        <x:v>誤り。価格にかかわらず状態は変化する。</x:v>
      </x:c>
      <x:c r="Q860" s="165" t="str">
        <x:v>サービス</x:v>
      </x:c>
      <x:c r="R860" s="165" t="str">
        <x:v>グラスワイン</x:v>
      </x:c>
      <x:c r="S860" s="165" t="str">
        <x:v>全般</x:v>
      </x:c>
      <x:c r="T860" s="165"/>
      <x:c r="U860" s="165"/>
      <x:c r="V860" s="165"/>
      <x:c r="W860" s="165" t="str">
        <x:v>判断</x:v>
      </x:c>
      <x:c r="X860" s="171" t="str">
        <x:v>D2</x:v>
      </x:c>
      <x:c r="Y860" s="165" t="str">
        <x:v>グラスワインの管理について関連要因を主因とみなす; グラスワインの管理について関連要因を主因とみなす; グラスワインの管理について関連要因を主因とみなす</x:v>
      </x:c>
      <x:c r="Z860" s="171" t="str">
        <x:v>N</x:v>
      </x:c>
      <x:c r="AA860" s="165"/>
      <x:c r="AB860" s="165" t="str">
        <x:v>オリジナル</x:v>
      </x:c>
      <x:c r="AC860" s="165" t="str">
        <x:v>WSET公式Specificationの範囲＋ユーザー作成コーパスの論点を参考に独自作成</x:v>
      </x:c>
      <x:c r="AD860" s="171" t="str">
        <x:v>改稿済み・専門家未承認</x:v>
      </x:c>
      <x:c r="AE860" s="171" t="str">
        <x:v>AI誤答レビュー</x:v>
      </x:c>
      <x:c r="AF860" s="171" t="str">
        <x:v>2026-07-12</x:v>
      </x:c>
      <x:c r="AG860" s="369" t="str">
        <x:v>第5バッチ：使用可能な誤答を維持し、弱い誤答を因果逆転・隣接概念へ置換。正答位置は維持。</x:v>
      </x:c>
    </x:row>
    <x:row r="861" ht="84" customHeight="1">
      <x:c r="A861" s="368" t="str">
        <x:v>LO5-140</x:v>
      </x:c>
      <x:c r="B861" s="171" t="str">
        <x:v>LO5</x:v>
      </x:c>
      <x:c r="C861" s="165" t="str">
        <x:v>情報提供・推奨・保管・サービス</x:v>
      </x:c>
      <x:c r="D861" s="165" t="str">
        <x:v>テイスティング量</x:v>
      </x:c>
      <x:c r="E861" s="165" t="str">
        <x:v>教育用テイスティングで少量ずつ注ぐ主な利点はどれか。</x:v>
      </x:c>
      <x:c r="F861" s="165" t="str">
        <x:v>少量でワインの残糖が低下する</x:v>
      </x:c>
      <x:c r="G861" s="165" t="str">
        <x:v>少量なら欠陥が存在しなくなる</x:v>
      </x:c>
      <x:c r="H861" s="165" t="str">
        <x:v>少量ならアルコールをほとんど含まない</x:v>
      </x:c>
      <x:c r="I861" s="165" t="str">
        <x:v>多数のワインを比較しながら、過剰摂取と廃棄を抑えられる</x:v>
      </x:c>
      <x:c r="J861" s="171" t="str">
        <x:v>D</x:v>
      </x:c>
      <x:c r="K861" s="165" t="str">
        <x:v>多数のワインを比較しながら、過剰摂取と廃棄を抑えられる</x:v>
      </x:c>
      <x:c r="L861" s="165" t="str">
        <x:v>正しい。外観・香り・味わいを評価できる十分な量を保ちつつ、責任ある運営ができる。</x:v>
      </x:c>
      <x:c r="M861" s="165" t="str">
        <x:v>誤り。濃度は変わらない。</x:v>
      </x:c>
      <x:c r="N861" s="165" t="str">
        <x:v>誤り。欠陥は試料量で消えない。</x:v>
      </x:c>
      <x:c r="O861" s="165" t="str">
        <x:v>誤り。量は少なくてもアルコールを含む。</x:v>
      </x:c>
      <x:c r="P861" s="165" t="str">
        <x:v>正しい。外観・香り・味わいを評価できる十分な量を保ちつつ、責任ある運営ができる。</x:v>
      </x:c>
      <x:c r="Q861" s="165" t="str">
        <x:v>サービス</x:v>
      </x:c>
      <x:c r="R861" s="165" t="str">
        <x:v>テイスティング</x:v>
      </x:c>
      <x:c r="S861" s="165" t="str">
        <x:v>全般</x:v>
      </x:c>
      <x:c r="T861" s="165"/>
      <x:c r="U861" s="165"/>
      <x:c r="V861" s="165"/>
      <x:c r="W861" s="165" t="str">
        <x:v>統合判断</x:v>
      </x:c>
      <x:c r="X861" s="171" t="str">
        <x:v>D2</x:v>
      </x:c>
      <x:c r="Y861" s="165" t="str">
        <x:v>テイスティング量について関連要因を主因とみなす; テイスティング量について関連要因を主因とみなす; テイスティング量について関連要因を主因とみなす</x:v>
      </x:c>
      <x:c r="Z861" s="171" t="str">
        <x:v>N</x:v>
      </x:c>
      <x:c r="AA861" s="165"/>
      <x:c r="AB861" s="165" t="str">
        <x:v>オリジナル</x:v>
      </x:c>
      <x:c r="AC861" s="165" t="str">
        <x:v>WSET公式Specificationの範囲＋ユーザー作成コーパスの論点を参考に独自作成</x:v>
      </x:c>
      <x:c r="AD861" s="171" t="str">
        <x:v>改稿済み・専門家未承認</x:v>
      </x:c>
      <x:c r="AE861" s="171" t="str">
        <x:v>AI誤答レビュー</x:v>
      </x:c>
      <x:c r="AF861" s="171" t="str">
        <x:v>2026-07-12</x:v>
      </x:c>
      <x:c r="AG861" s="369" t="str">
        <x:v>第5バッチ：使用可能な誤答を維持し、弱い誤答を因果逆転・隣接概念へ置換。正答位置は維持。</x:v>
      </x:c>
    </x:row>
    <x:row r="862" ht="84" customHeight="1">
      <x:c r="A862" s="368" t="str">
        <x:v>LO5-141</x:v>
      </x:c>
      <x:c r="B862" s="171" t="str">
        <x:v>LO5</x:v>
      </x:c>
      <x:c r="C862" s="165" t="str">
        <x:v>情報提供・推奨・保管・サービス</x:v>
      </x:c>
      <x:c r="D862" s="165" t="str">
        <x:v>スタッフ向け説明</x:v>
      </x:c>
      <x:c r="E862" s="165" t="str">
        <x:v>スタッフへワインを説明する際、長い詩的表現より役立つ情報はどれか。</x:v>
      </x:c>
      <x:c r="F862" s="165" t="str">
        <x:v>主要品種、産地、甘味、酸、タンニン、ボディ、代表香、料理との相性</x:v>
      </x:c>
      <x:c r="G862" s="165" t="str">
        <x:v>多くのワインを同じ表現で説明する</x:v>
      </x:c>
      <x:c r="H862" s="165" t="str">
        <x:v>欠陥の確認方法を教えない</x:v>
      </x:c>
      <x:c r="I862" s="165" t="str">
        <x:v>生産者名を伏せ、価格だけ教える</x:v>
      </x:c>
      <x:c r="J862" s="171" t="str">
        <x:v>A</x:v>
      </x:c>
      <x:c r="K862" s="165" t="str">
        <x:v>主要品種、産地、甘味、酸、タンニン、ボディ、代表香、料理との相性</x:v>
      </x:c>
      <x:c r="L862" s="165" t="str">
        <x:v>正しい。顧客の質問へ一貫して答えられる、具体的で検証可能な特徴を共有する。</x:v>
      </x:c>
      <x:c r="M862" s="165" t="str">
        <x:v>正しい。顧客の質問へ一貫して答えられる、具体的で検証可能な特徴を共有する。</x:v>
      </x:c>
      <x:c r="N862" s="165" t="str">
        <x:v>誤り。スタイル差を伝えられない。</x:v>
      </x:c>
      <x:c r="O862" s="165" t="str">
        <x:v>誤り。品質管理上重要である。</x:v>
      </x:c>
      <x:c r="P862" s="165" t="str">
        <x:v>誤り。推奨に必要なスタイル情報が不足する。</x:v>
      </x:c>
      <x:c r="Q862" s="165" t="str">
        <x:v>情報提供</x:v>
      </x:c>
      <x:c r="R862" s="165" t="str">
        <x:v>スタッフ教育</x:v>
      </x:c>
      <x:c r="S862" s="165" t="str">
        <x:v>全般</x:v>
      </x:c>
      <x:c r="T862" s="165"/>
      <x:c r="U862" s="165"/>
      <x:c r="V862" s="165"/>
      <x:c r="W862" s="165" t="str">
        <x:v>適用</x:v>
      </x:c>
      <x:c r="X862" s="171" t="str">
        <x:v>D2</x:v>
      </x:c>
      <x:c r="Y862" s="165" t="str">
        <x:v>スタッフ向け説明について関連要因を主因とみなす; スタッフ向け説明について関連要因を主因とみなす; スタッフ向け説明について関連要因を主因とみなす</x:v>
      </x:c>
      <x:c r="Z862" s="171" t="str">
        <x:v>N</x:v>
      </x:c>
      <x:c r="AA862" s="165"/>
      <x:c r="AB862" s="165" t="str">
        <x:v>オリジナル</x:v>
      </x:c>
      <x:c r="AC862" s="165" t="str">
        <x:v>WSET公式Specificationの範囲＋ユーザー作成コーパスの論点を参考に独自作成</x:v>
      </x:c>
      <x:c r="AD862" s="171" t="str">
        <x:v>改稿済み・専門家未承認</x:v>
      </x:c>
      <x:c r="AE862" s="171" t="str">
        <x:v>AI誤答レビュー</x:v>
      </x:c>
      <x:c r="AF862" s="171" t="str">
        <x:v>2026-07-12</x:v>
      </x:c>
      <x:c r="AG862" s="369" t="str">
        <x:v>第5バッチ：使用可能な誤答を維持し、弱い誤答を因果逆転・隣接概念へ置換。正答位置は維持。</x:v>
      </x:c>
    </x:row>
    <x:row r="863" ht="84" customHeight="1">
      <x:c r="A863" s="368" t="str">
        <x:v>LO5-142</x:v>
      </x:c>
      <x:c r="B863" s="171" t="str">
        <x:v>LO5</x:v>
      </x:c>
      <x:c r="C863" s="165" t="str">
        <x:v>情報提供・推奨・保管・サービス</x:v>
      </x:c>
      <x:c r="D863" s="165" t="str">
        <x:v>発音への対応</x:v>
      </x:c>
      <x:c r="E863" s="165" t="str">
        <x:v>顧客がワイン名の発音に自信がない場合の適切な対応はどれか。</x:v>
      </x:c>
      <x:c r="F863" s="165" t="str">
        <x:v>発音だけで別のワインを出す</x:v>
      </x:c>
      <x:c r="G863" s="165" t="str">
        <x:v>訂正を強調せず、注文内容を丁寧に確認して自然に正しい名称を用いる</x:v>
      </x:c>
      <x:c r="H863" s="165" t="str">
        <x:v>大声で誤りを指摘する</x:v>
      </x:c>
      <x:c r="I863" s="165" t="str">
        <x:v>発音の誤りを先に詳しく訂正し、その後で注文内容を確認する</x:v>
      </x:c>
      <x:c r="J863" s="171" t="str">
        <x:v>B</x:v>
      </x:c>
      <x:c r="K863" s="165" t="str">
        <x:v>訂正を強調せず、注文内容を丁寧に確認して自然に正しい名称を用いる</x:v>
      </x:c>
      <x:c r="L863" s="165" t="str">
        <x:v>正しい。顧客を恥ずかしがらせず、産地や品種を補足して安心して選べるようにする。</x:v>
      </x:c>
      <x:c r="M863" s="165" t="str">
        <x:v>誤り。誤提供につながる。</x:v>
      </x:c>
      <x:c r="N863" s="165" t="str">
        <x:v>正しい。顧客を恥ずかしがらせず、産地や品種を補足して安心して選べるようにする。</x:v>
      </x:c>
      <x:c r="O863" s="165" t="str">
        <x:v>誤り。顧客体験を損なう。</x:v>
      </x:c>
      <x:c r="P863" s="165" t="str">
        <x:v>誤り。顧客を恥ずかしがらせず、注文を丁寧に確認することが優先される。</x:v>
      </x:c>
      <x:c r="Q863" s="165" t="str">
        <x:v>情報提供</x:v>
      </x:c>
      <x:c r="R863" s="165" t="str">
        <x:v>顧客対応</x:v>
      </x:c>
      <x:c r="S863" s="165" t="str">
        <x:v>全般</x:v>
      </x:c>
      <x:c r="T863" s="165"/>
      <x:c r="U863" s="165"/>
      <x:c r="V863" s="165"/>
      <x:c r="W863" s="165" t="str">
        <x:v>判断</x:v>
      </x:c>
      <x:c r="X863" s="171" t="str">
        <x:v>D1</x:v>
      </x:c>
      <x:c r="Y863" s="165" t="str">
        <x:v>発音への対応について関連要因を主因とみなす; 発音への対応について関連要因を主因とみなす; 発音訂正を注文確認より優先する</x:v>
      </x:c>
      <x:c r="Z863" s="171" t="str">
        <x:v>N</x:v>
      </x:c>
      <x:c r="AA863" s="165"/>
      <x:c r="AB863" s="165" t="str">
        <x:v>オリジナル</x:v>
      </x:c>
      <x:c r="AC863" s="165" t="str">
        <x:v>WSET公式Specificationの範囲＋ユーザー作成コーパスの論点を参考に独自作成</x:v>
      </x:c>
      <x:c r="AD863" s="171" t="str">
        <x:v>改稿済み・専門家未承認</x:v>
      </x:c>
      <x:c r="AE863" s="171" t="str">
        <x:v>AI誤答レビュー</x:v>
      </x:c>
      <x:c r="AF863" s="171" t="str">
        <x:v>2026-07-12</x:v>
      </x:c>
      <x:c r="AG863" s="369" t="str">
        <x:v>第5バッチ：使用可能な誤答を維持し、弱い誤答を因果逆転・隣接概念へ置換。正答位置は維持。</x:v>
      </x:c>
    </x:row>
    <x:row r="864" ht="84" customHeight="1">
      <x:c r="A864" s="368" t="str">
        <x:v>LO5-143</x:v>
      </x:c>
      <x:c r="B864" s="171" t="str">
        <x:v>LO5</x:v>
      </x:c>
      <x:c r="C864" s="165" t="str">
        <x:v>情報提供・推奨・保管・サービス</x:v>
      </x:c>
      <x:c r="D864" s="165" t="str">
        <x:v>ヴィンテージ変更</x:v>
      </x:c>
      <x:c r="E864" s="165" t="str">
        <x:v>ワインリスト記載のヴィンテージと在庫のヴィンテージが異なる場合、最も適切な対応はどれか。</x:v>
      </x:c>
      <x:c r="F864" s="165" t="str">
        <x:v>価格を同じにするだけでよい</x:v>
      </x:c>
      <x:c r="G864" s="165" t="str">
        <x:v>説明せず同じ銘柄なら開ける</x:v>
      </x:c>
      <x:c r="H864" s="165" t="str">
        <x:v>開栓前に違いを説明し、スタイルと価格を伝えて顧客の同意を得る</x:v>
      </x:c>
      <x:c r="I864" s="165" t="str">
        <x:v>ラベルを隠して提供する</x:v>
      </x:c>
      <x:c r="J864" s="171" t="str">
        <x:v>C</x:v>
      </x:c>
      <x:c r="K864" s="165" t="str">
        <x:v>開栓前に違いを説明し、スタイルと価格を伝えて顧客の同意を得る</x:v>
      </x:c>
      <x:c r="L864" s="165" t="str">
        <x:v>正しい。ヴィンテージ差は成熟度と価値へ影響するため、無断で代替してはいけない。</x:v>
      </x:c>
      <x:c r="M864" s="165" t="str">
        <x:v>誤り。スタイル差の説明も必要である。</x:v>
      </x:c>
      <x:c r="N864" s="165" t="str">
        <x:v>誤り。誤表示と期待違いにつながる。</x:v>
      </x:c>
      <x:c r="O864" s="165" t="str">
        <x:v>正しい。ヴィンテージ差は成熟度と価値へ影響するため、無断で代替してはいけない。</x:v>
      </x:c>
      <x:c r="P864" s="165" t="str">
        <x:v>誤り。透明性を欠く。</x:v>
      </x:c>
      <x:c r="Q864" s="165" t="str">
        <x:v>サービス</x:v>
      </x:c>
      <x:c r="R864" s="165" t="str">
        <x:v>在庫・表示</x:v>
      </x:c>
      <x:c r="S864" s="165" t="str">
        <x:v>全般</x:v>
      </x:c>
      <x:c r="T864" s="165"/>
      <x:c r="U864" s="165"/>
      <x:c r="V864" s="165"/>
      <x:c r="W864" s="165" t="str">
        <x:v>判断</x:v>
      </x:c>
      <x:c r="X864" s="171" t="str">
        <x:v>D2</x:v>
      </x:c>
      <x:c r="Y864" s="165" t="str">
        <x:v>ヴィンテージ変更について関連要因を主因とみなす; ヴィンテージ変更について関連要因を主因とみなす; ヴィンテージ変更について関連要因を主因とみなす</x:v>
      </x:c>
      <x:c r="Z864" s="171" t="str">
        <x:v>N</x:v>
      </x:c>
      <x:c r="AA864" s="165"/>
      <x:c r="AB864" s="165" t="str">
        <x:v>オリジナル</x:v>
      </x:c>
      <x:c r="AC864" s="165" t="str">
        <x:v>WSET公式Specificationの範囲＋ユーザー作成コーパスの論点を参考に独自作成</x:v>
      </x:c>
      <x:c r="AD864" s="171" t="str">
        <x:v>改稿済み・専門家未承認</x:v>
      </x:c>
      <x:c r="AE864" s="171" t="str">
        <x:v>AI誤答レビュー</x:v>
      </x:c>
      <x:c r="AF864" s="171" t="str">
        <x:v>2026-07-12</x:v>
      </x:c>
      <x:c r="AG864" s="369" t="str">
        <x:v>第5バッチ：使用可能な誤答を維持し、弱い誤答を因果逆転・隣接概念へ置換。正答位置は維持。</x:v>
      </x:c>
    </x:row>
    <x:row r="865" ht="84" customHeight="1">
      <x:c r="A865" s="368" t="str">
        <x:v>LO5-144</x:v>
      </x:c>
      <x:c r="B865" s="171" t="str">
        <x:v>LO5</x:v>
      </x:c>
      <x:c r="C865" s="165" t="str">
        <x:v>情報提供・推奨・保管・サービス</x:v>
      </x:c>
      <x:c r="D865" s="165" t="str">
        <x:v>欠品時の代替</x:v>
      </x:c>
      <x:c r="E865" s="165" t="str">
        <x:v>希望ワインが欠品している場合、良い代替提案の第一歩はどれか。</x:v>
      </x:c>
      <x:c r="F865" s="165" t="str">
        <x:v>欠品を説明せず別銘柄を開ける</x:v>
      </x:c>
      <x:c r="G865" s="165" t="str">
        <x:v>色が同じなら何でも出す</x:v>
      </x:c>
      <x:c r="H865" s="165" t="str">
        <x:v>最も高価なワインを無条件に勧める</x:v>
      </x:c>
      <x:c r="I865" s="165" t="str">
        <x:v>顧客が重視した品種、香り、ボディ、価格、料理を確認する</x:v>
      </x:c>
      <x:c r="J865" s="171" t="str">
        <x:v>D</x:v>
      </x:c>
      <x:c r="K865" s="165" t="str">
        <x:v>顧客が重視した品種、香り、ボディ、価格、料理を確認する</x:v>
      </x:c>
      <x:c r="L865" s="165" t="str">
        <x:v>正しい。選択理由を理解すれば、別地域や別生産者から近いスタイルを提案できる。</x:v>
      </x:c>
      <x:c r="M865" s="165" t="str">
        <x:v>誤り。顧客の同意が必要である。</x:v>
      </x:c>
      <x:c r="N865" s="165" t="str">
        <x:v>誤り。構造と香味が大きく異なる。</x:v>
      </x:c>
      <x:c r="O865" s="165" t="str">
        <x:v>誤り。予算と好みを無視する。</x:v>
      </x:c>
      <x:c r="P865" s="165" t="str">
        <x:v>正しい。選択理由を理解すれば、別地域や別生産者から近いスタイルを提案できる。</x:v>
      </x:c>
      <x:c r="Q865" s="165" t="str">
        <x:v>推奨</x:v>
      </x:c>
      <x:c r="R865" s="165" t="str">
        <x:v>代替提案</x:v>
      </x:c>
      <x:c r="S865" s="165" t="str">
        <x:v>全般</x:v>
      </x:c>
      <x:c r="T865" s="165"/>
      <x:c r="U865" s="165"/>
      <x:c r="V865" s="165"/>
      <x:c r="W865" s="165" t="str">
        <x:v>適用</x:v>
      </x:c>
      <x:c r="X865" s="171" t="str">
        <x:v>D2</x:v>
      </x:c>
      <x:c r="Y865" s="165" t="str">
        <x:v>欠品時の代替について関連要因を主因とみなす; 欠品時の代替について関連要因を主因とみなす; 欠品時の代替について関連要因を主因とみなす</x:v>
      </x:c>
      <x:c r="Z865" s="171" t="str">
        <x:v>N</x:v>
      </x:c>
      <x:c r="AA865" s="165"/>
      <x:c r="AB865" s="165" t="str">
        <x:v>オリジナル</x:v>
      </x:c>
      <x:c r="AC865" s="165" t="str">
        <x:v>WSET公式Specificationの範囲＋ユーザー作成コーパスの論点を参考に独自作成</x:v>
      </x:c>
      <x:c r="AD865" s="171" t="str">
        <x:v>改稿済み・専門家未承認</x:v>
      </x:c>
      <x:c r="AE865" s="171" t="str">
        <x:v>AI誤答レビュー</x:v>
      </x:c>
      <x:c r="AF865" s="171" t="str">
        <x:v>2026-07-12</x:v>
      </x:c>
      <x:c r="AG865" s="369" t="str">
        <x:v>第5バッチ：使用可能な誤答を維持し、弱い誤答を因果逆転・隣接概念へ置換。正答位置は維持。</x:v>
      </x:c>
    </x:row>
    <x:row r="866" ht="84" customHeight="1">
      <x:c r="A866" s="368" t="str">
        <x:v>LO5-145</x:v>
      </x:c>
      <x:c r="B866" s="171" t="str">
        <x:v>LO5</x:v>
      </x:c>
      <x:c r="C866" s="165" t="str">
        <x:v>情報提供・推奨・保管・サービス</x:v>
      </x:c>
      <x:c r="D866" s="165" t="str">
        <x:v>ソースを重視する原則</x:v>
      </x:c>
      <x:c r="E866" s="165" t="str">
        <x:v>料理との組み合わせで、主材料よりソースを重視すべきことがある主な理由はどれか。</x:v>
      </x:c>
      <x:c r="F866" s="165" t="str">
        <x:v>ソースの甘味、酸、辛味、脂肪、風味強度が口中の印象を支配することがある</x:v>
      </x:c>
      <x:c r="G866" s="165" t="str">
        <x:v>料理の酸に負けず、ワインが平坦でぼやけて感じられるのを防ぎやすいため</x:v>
      </x:c>
      <x:c r="H866" s="165" t="str">
        <x:v>主材料はワインとの相性へ影響しないため</x:v>
      </x:c>
      <x:c r="I866" s="165" t="str">
        <x:v>ソースの色がワインの色を決めるため</x:v>
      </x:c>
      <x:c r="J866" s="171" t="str">
        <x:v>A</x:v>
      </x:c>
      <x:c r="K866" s="165" t="str">
        <x:v>ソースの甘味、酸、辛味、脂肪、風味強度が口中の印象を支配することがある</x:v>
      </x:c>
      <x:c r="L866" s="165" t="str">
        <x:v>正しい。同じ主材料でもソースにより適するワインの構造が変わる。</x:v>
      </x:c>
      <x:c r="M866" s="165" t="str">
        <x:v>正しい。同じ主材料でもソースにより適するワインの構造が変わる。</x:v>
      </x:c>
      <x:c r="N866" s="165" t="str">
        <x:v>誤り。これは同じ知識領域の「酸味のある料理」に当てはまる説明で、設問の「ソースを重視する原則」を最も適切に説明しない。</x:v>
      </x:c>
      <x:c r="O866" s="165" t="str">
        <x:v>誤り。主材料も重要だが、ソースが強い場合に優先する。</x:v>
      </x:c>
      <x:c r="P866" s="165" t="str">
        <x:v>誤り。味と構造が重要で、色合わせではない。</x:v>
      </x:c>
      <x:c r="Q866" s="165" t="str">
        <x:v>料理との組み合わせ</x:v>
      </x:c>
      <x:c r="R866" s="165" t="str">
        <x:v>基本原則</x:v>
      </x:c>
      <x:c r="S866" s="165" t="str">
        <x:v>全般</x:v>
      </x:c>
      <x:c r="T866" s="165"/>
      <x:c r="U866" s="165"/>
      <x:c r="V866" s="165"/>
      <x:c r="W866" s="165" t="str">
        <x:v>統合判断</x:v>
      </x:c>
      <x:c r="X866" s="171" t="str">
        <x:v>D3</x:v>
      </x:c>
      <x:c r="Y866" s="165" t="str">
        <x:v>ソースを重視する原則を酸味のある料理の特徴と混同; 主材料は相性に無関係; ソースとワインは色を合わせる</x:v>
      </x:c>
      <x:c r="Z866" s="171" t="str">
        <x:v>N</x:v>
      </x:c>
      <x:c r="AA866" s="165"/>
      <x:c r="AB866" s="165" t="str">
        <x:v>オリジナル</x:v>
      </x:c>
      <x:c r="AC866" s="165" t="str">
        <x:v>WSET公式Specificationの範囲＋ユーザー作成コーパスの論点を参考に独自作成</x:v>
      </x:c>
      <x:c r="AD866" s="171" t="str">
        <x:v>改稿済み・専門家未承認</x:v>
      </x:c>
      <x:c r="AE866" s="171" t="str">
        <x:v>AI誤答レビュー</x:v>
      </x:c>
      <x:c r="AF866" s="171" t="str">
        <x:v>2026-07-12</x:v>
      </x:c>
      <x:c r="AG866" s="369" t="str">
        <x:v>第4バッチ：同一論点内の典型的誤概念へ置換。正答位置は維持。</x:v>
      </x:c>
    </x:row>
    <x:row r="867" ht="84" customHeight="1">
      <x:c r="A867" s="368" t="str">
        <x:v>LO5-146</x:v>
      </x:c>
      <x:c r="B867" s="171" t="str">
        <x:v>LO5</x:v>
      </x:c>
      <x:c r="C867" s="165" t="str">
        <x:v>情報提供・推奨・保管・サービス</x:v>
      </x:c>
      <x:c r="D867" s="165" t="str">
        <x:v>ローストチキン</x:v>
      </x:c>
      <x:c r="E867" s="165" t="str">
        <x:v>ハーブを使ったローストチキンに合わせやすいワインの特徴はどれか。</x:v>
      </x:c>
      <x:c r="F867" s="165" t="str">
        <x:v>酸のない低アルコールワイン</x:v>
      </x:c>
      <x:c r="G867" s="165" t="str">
        <x:v>中程度のボディ、十分な酸、穏やかなオークまたはハーブ香</x:v>
      </x:c>
      <x:c r="H867" s="165" t="str">
        <x:v>非常に甘い酒精強化ワインだけ</x:v>
      </x:c>
      <x:c r="I867" s="165" t="str">
        <x:v>極端に高タンニンで果実味のない赤だけ</x:v>
      </x:c>
      <x:c r="J867" s="171" t="str">
        <x:v>B</x:v>
      </x:c>
      <x:c r="K867" s="165" t="str">
        <x:v>中程度のボディ、十分な酸、穏やかなオークまたはハーブ香</x:v>
      </x:c>
      <x:c r="L867" s="165" t="str">
        <x:v>正しい。樽熟成シャルドネ、軽めのピノ・ノワールなどが、肉の繊細さと焼き香に釣り合う。</x:v>
      </x:c>
      <x:c r="M867" s="165" t="str">
        <x:v>誤り。脂肪と焼き香に負けやすい。</x:v>
      </x:c>
      <x:c r="N867" s="165" t="str">
        <x:v>正しい。樽熟成シャルドネ、軽めのピノ・ノワールなどが、肉の繊細さと焼き香に釣り合う。</x:v>
      </x:c>
      <x:c r="O867" s="165" t="str">
        <x:v>誤り。甘味が必須ではない。</x:v>
      </x:c>
      <x:c r="P867" s="165" t="str">
        <x:v>誤り。料理を圧倒しやすい。</x:v>
      </x:c>
      <x:c r="Q867" s="165" t="str">
        <x:v>料理との組み合わせ</x:v>
      </x:c>
      <x:c r="R867" s="165" t="str">
        <x:v>鶏料理</x:v>
      </x:c>
      <x:c r="S867" s="165" t="str">
        <x:v>全般</x:v>
      </x:c>
      <x:c r="T867" s="165"/>
      <x:c r="U867" s="165"/>
      <x:c r="V867" s="165"/>
      <x:c r="W867" s="165" t="str">
        <x:v>判断</x:v>
      </x:c>
      <x:c r="X867" s="171" t="str">
        <x:v>D2</x:v>
      </x:c>
      <x:c r="Y867" s="165" t="str">
        <x:v>ローストチキンについて関連要因を主因とみなす; ローストチキンについて関連要因を主因とみなす; ローストチキンについて関連要因を主因とみなす</x:v>
      </x:c>
      <x:c r="Z867" s="171" t="str">
        <x:v>N</x:v>
      </x:c>
      <x:c r="AA867" s="165"/>
      <x:c r="AB867" s="165" t="str">
        <x:v>オリジナル</x:v>
      </x:c>
      <x:c r="AC867" s="165" t="str">
        <x:v>WSET公式Specificationの範囲＋ユーザー作成コーパスの論点を参考に独自作成</x:v>
      </x:c>
      <x:c r="AD867" s="171" t="str">
        <x:v>改稿済み・専門家未承認</x:v>
      </x:c>
      <x:c r="AE867" s="171" t="str">
        <x:v>AI誤答レビュー</x:v>
      </x:c>
      <x:c r="AF867" s="171" t="str">
        <x:v>2026-07-12</x:v>
      </x:c>
      <x:c r="AG867" s="369" t="str">
        <x:v>第5バッチ：使用可能な誤答を維持し、弱い誤答を因果逆転・隣接概念へ置換。正答位置は維持。</x:v>
      </x:c>
    </x:row>
    <x:row r="868" ht="84" customHeight="1">
      <x:c r="A868" s="368" t="str">
        <x:v>LO5-147</x:v>
      </x:c>
      <x:c r="B868" s="171" t="str">
        <x:v>LO5</x:v>
      </x:c>
      <x:c r="C868" s="165" t="str">
        <x:v>情報提供・推奨・保管・サービス</x:v>
      </x:c>
      <x:c r="D868" s="165" t="str">
        <x:v>鴨料理</x:v>
      </x:c>
      <x:c r="E868" s="165" t="str">
        <x:v>果実ソースを添えた鴨料理にピノ・ノワールが合いやすい主な理由はどれか。</x:v>
      </x:c>
      <x:c r="F868" s="165" t="str">
        <x:v>低い酸が脂を切り、赤系果実香がソースと調和し、タンニンが過度でない</x:v>
      </x:c>
      <x:c r="G868" s="165" t="str">
        <x:v>高いタンニンが鴨の脂肪を化学的に分解する</x:v>
      </x:c>
      <x:c r="H868" s="165" t="str">
        <x:v>高い酸が脂を切り、赤系果実香がソースと調和し、タンニンが過度でない</x:v>
      </x:c>
      <x:c r="I868" s="165" t="str">
        <x:v>ピノ・ノワールの残糖が果実ソースの甘味を上回る</x:v>
      </x:c>
      <x:c r="J868" s="171" t="str">
        <x:v>C</x:v>
      </x:c>
      <x:c r="K868" s="165" t="str">
        <x:v>高い酸が脂を切り、赤系果実香がソースと調和し、タンニンが過度でない</x:v>
      </x:c>
      <x:c r="L868" s="165" t="str">
        <x:v>正しい。料理の豊かさへ対応しつつ、繊細な肉を圧倒しにくい。</x:v>
      </x:c>
      <x:c r="M868" s="165" t="str">
        <x:v>誤り。正答では「高い酸」ことが重要であり、この選択肢は「低い酸」へ置き換えて関係を逆にしている。</x:v>
      </x:c>
      <x:c r="N868" s="165" t="str">
        <x:v>誤り。知覚を整えるが脂肪を分解しない。</x:v>
      </x:c>
      <x:c r="O868" s="165" t="str">
        <x:v>正しい。料理の豊かさへ対応しつつ、繊細な肉を圧倒しにくい。</x:v>
      </x:c>
      <x:c r="P868" s="165" t="str">
        <x:v>誤り。通常は辛口で、相性は果実香と酸が中心。</x:v>
      </x:c>
      <x:c r="Q868" s="165" t="str">
        <x:v>料理との組み合わせ</x:v>
      </x:c>
      <x:c r="R868" s="165" t="str">
        <x:v>鴨料理</x:v>
      </x:c>
      <x:c r="S868" s="165" t="str">
        <x:v>赤ワイン</x:v>
      </x:c>
      <x:c r="T868" s="165"/>
      <x:c r="U868" s="165"/>
      <x:c r="V868" s="165"/>
      <x:c r="W868" s="165" t="str">
        <x:v>因果説明</x:v>
      </x:c>
      <x:c r="X868" s="171" t="str">
        <x:v>D2</x:v>
      </x:c>
      <x:c r="Y868" s="165" t="str">
        <x:v>「高い酸」と「低い酸」の関係を逆転; タンニンが鴨脂を化学分解; ピノは残糖で果実ソースに合わせる</x:v>
      </x:c>
      <x:c r="Z868" s="171" t="str">
        <x:v>N</x:v>
      </x:c>
      <x:c r="AA868" s="165"/>
      <x:c r="AB868" s="165" t="str">
        <x:v>オリジナル</x:v>
      </x:c>
      <x:c r="AC868" s="165" t="str">
        <x:v>WSET公式Specificationの範囲＋ユーザー作成コーパスの論点を参考に独自作成</x:v>
      </x:c>
      <x:c r="AD868" s="171" t="str">
        <x:v>改稿済み・専門家未承認</x:v>
      </x:c>
      <x:c r="AE868" s="171" t="str">
        <x:v>AI誤答レビュー</x:v>
      </x:c>
      <x:c r="AF868" s="171" t="str">
        <x:v>2026-07-12</x:v>
      </x:c>
      <x:c r="AG868" s="369" t="str">
        <x:v>第4バッチ：同一論点内の典型的誤概念へ置換。正答位置は維持。</x:v>
      </x:c>
    </x:row>
    <x:row r="869" ht="84" customHeight="1">
      <x:c r="A869" s="368" t="str">
        <x:v>LO5-148</x:v>
      </x:c>
      <x:c r="B869" s="171" t="str">
        <x:v>LO5</x:v>
      </x:c>
      <x:c r="C869" s="165" t="str">
        <x:v>情報提供・推奨・保管・サービス</x:v>
      </x:c>
      <x:c r="D869" s="165" t="str">
        <x:v>ラム料理</x:v>
      </x:c>
      <x:c r="E869" s="165" t="str">
        <x:v>ローズマリーを使ったラムのローストにシラーやカベルネが合いやすい主な理由はどれか。</x:v>
      </x:c>
      <x:c r="F869" s="165" t="str">
        <x:v>白ワインは法律上合わせられない</x:v>
      </x:c>
      <x:c r="G869" s="165" t="str">
        <x:v>ラム料理には酸が不要</x:v>
      </x:c>
      <x:c r="H869" s="165" t="str">
        <x:v>高タンニンが脂肪を化学的に消滅させる</x:v>
      </x:c>
      <x:c r="I869" s="165" t="str">
        <x:v>十分なタンニンと果実濃度が肉と脂に釣り合い、ハーブ香が料理と共鳴する</x:v>
      </x:c>
      <x:c r="J869" s="171" t="str">
        <x:v>D</x:v>
      </x:c>
      <x:c r="K869" s="165" t="str">
        <x:v>十分なタンニンと果実濃度が肉と脂に釣り合い、ハーブ香が料理と共鳴する</x:v>
      </x:c>
      <x:c r="L869" s="165" t="str">
        <x:v>正しい。肉のタンパク質が収れん性を和らげ、ワインの酸が脂の重さを整える。</x:v>
      </x:c>
      <x:c r="M869" s="165" t="str">
        <x:v>誤り。相性は好みと調理法による。</x:v>
      </x:c>
      <x:c r="N869" s="165" t="str">
        <x:v>誤り。酸は脂肪とのバランスに役立つ。</x:v>
      </x:c>
      <x:c r="O869" s="165" t="str">
        <x:v>誤り。知覚を整えるが除去しない。</x:v>
      </x:c>
      <x:c r="P869" s="165" t="str">
        <x:v>正しい。肉のタンパク質が収れん性を和らげ、ワインの酸が脂の重さを整える。</x:v>
      </x:c>
      <x:c r="Q869" s="165" t="str">
        <x:v>料理との組み合わせ</x:v>
      </x:c>
      <x:c r="R869" s="165" t="str">
        <x:v>肉料理</x:v>
      </x:c>
      <x:c r="S869" s="165" t="str">
        <x:v>赤ワイン</x:v>
      </x:c>
      <x:c r="T869" s="165"/>
      <x:c r="U869" s="165"/>
      <x:c r="V869" s="165"/>
      <x:c r="W869" s="165" t="str">
        <x:v>因果説明</x:v>
      </x:c>
      <x:c r="X869" s="171" t="str">
        <x:v>D2</x:v>
      </x:c>
      <x:c r="Y869" s="165" t="str">
        <x:v>ラム料理について関連要因を主因とみなす; ラム料理について関連要因を主因とみなす; ラム料理について関連要因を主因とみなす</x:v>
      </x:c>
      <x:c r="Z869" s="171" t="str">
        <x:v>N</x:v>
      </x:c>
      <x:c r="AA869" s="165"/>
      <x:c r="AB869" s="165" t="str">
        <x:v>オリジナル</x:v>
      </x:c>
      <x:c r="AC869" s="165" t="str">
        <x:v>WSET公式Specificationの範囲＋ユーザー作成コーパスの論点を参考に独自作成</x:v>
      </x:c>
      <x:c r="AD869" s="171" t="str">
        <x:v>改稿済み・専門家未承認</x:v>
      </x:c>
      <x:c r="AE869" s="171" t="str">
        <x:v>AI誤答レビュー</x:v>
      </x:c>
      <x:c r="AF869" s="171" t="str">
        <x:v>2026-07-12</x:v>
      </x:c>
      <x:c r="AG869" s="369" t="str">
        <x:v>第5バッチ：使用可能な誤答を維持し、弱い誤答を因果逆転・隣接概念へ置換。正答位置は維持。</x:v>
      </x:c>
    </x:row>
    <x:row r="870" ht="84" customHeight="1">
      <x:c r="A870" s="368" t="str">
        <x:v>LO5-149</x:v>
      </x:c>
      <x:c r="B870" s="171" t="str">
        <x:v>LO5</x:v>
      </x:c>
      <x:c r="C870" s="165" t="str">
        <x:v>情報提供・推奨・保管・サービス</x:v>
      </x:c>
      <x:c r="D870" s="165" t="str">
        <x:v>豚肉料理</x:v>
      </x:c>
      <x:c r="E870" s="165" t="str">
        <x:v>豚肉のローストに合わせるワイン選びで重要な点はどれか。</x:v>
      </x:c>
      <x:c r="F870" s="165" t="str">
        <x:v>肉の穏やかな風味に加え、甘いソース、酸味、香辛料など調理法を考慮する</x:v>
      </x:c>
      <x:c r="G870" s="165" t="str">
        <x:v>甘いソースでもワインの甘味は無関係</x:v>
      </x:c>
      <x:c r="H870" s="165" t="str">
        <x:v>豚肉には常に最も重い赤だけ</x:v>
      </x:c>
      <x:c r="I870" s="165" t="str">
        <x:v>肉の色だけで白か赤を決める</x:v>
      </x:c>
      <x:c r="J870" s="171" t="str">
        <x:v>A</x:v>
      </x:c>
      <x:c r="K870" s="165" t="str">
        <x:v>肉の穏やかな風味に加え、甘いソース、酸味、香辛料など調理法を考慮する</x:v>
      </x:c>
      <x:c r="L870" s="165" t="str">
        <x:v>正しい。辛口リースリング、シャルドネ、軽い赤など、ソースに応じて幅広い選択が可能である。</x:v>
      </x:c>
      <x:c r="M870" s="165" t="str">
        <x:v>正しい。辛口リースリング、シャルドネ、軽い赤など、ソースに応じて幅広い選択が可能である。</x:v>
      </x:c>
      <x:c r="N870" s="165" t="str">
        <x:v>誤り。料理が甘いと辛口ワインが厳しく感じられる。</x:v>
      </x:c>
      <x:c r="O870" s="165" t="str">
        <x:v>誤り。料理を圧倒することがある。</x:v>
      </x:c>
      <x:c r="P870" s="165" t="str">
        <x:v>誤り。ソースと構造が重要である。</x:v>
      </x:c>
      <x:c r="Q870" s="165" t="str">
        <x:v>料理との組み合わせ</x:v>
      </x:c>
      <x:c r="R870" s="165" t="str">
        <x:v>豚料理</x:v>
      </x:c>
      <x:c r="S870" s="165" t="str">
        <x:v>全般</x:v>
      </x:c>
      <x:c r="T870" s="165"/>
      <x:c r="U870" s="165"/>
      <x:c r="V870" s="165"/>
      <x:c r="W870" s="165" t="str">
        <x:v>統合判断</x:v>
      </x:c>
      <x:c r="X870" s="171" t="str">
        <x:v>D3</x:v>
      </x:c>
      <x:c r="Y870" s="165" t="str">
        <x:v>豚肉料理について関連要因を主因とみなす; 豚肉料理について関連要因を主因とみなす; 豚肉料理について関連要因を主因とみなす</x:v>
      </x:c>
      <x:c r="Z870" s="171" t="str">
        <x:v>N</x:v>
      </x:c>
      <x:c r="AA870" s="165"/>
      <x:c r="AB870" s="165" t="str">
        <x:v>オリジナル</x:v>
      </x:c>
      <x:c r="AC870" s="165" t="str">
        <x:v>WSET公式Specificationの範囲＋ユーザー作成コーパスの論点を参考に独自作成</x:v>
      </x:c>
      <x:c r="AD870" s="171" t="str">
        <x:v>改稿済み・専門家未承認</x:v>
      </x:c>
      <x:c r="AE870" s="171" t="str">
        <x:v>AI誤答レビュー</x:v>
      </x:c>
      <x:c r="AF870" s="171" t="str">
        <x:v>2026-07-12</x:v>
      </x:c>
      <x:c r="AG870" s="369" t="str">
        <x:v>第5バッチ：使用可能な誤答を維持し、弱い誤答を因果逆転・隣接概念へ置換。正答位置は維持。</x:v>
      </x:c>
    </x:row>
    <x:row r="871" ht="84" customHeight="1">
      <x:c r="A871" s="368" t="str">
        <x:v>LO5-150</x:v>
      </x:c>
      <x:c r="B871" s="171" t="str">
        <x:v>LO5</x:v>
      </x:c>
      <x:c r="C871" s="165" t="str">
        <x:v>情報提供・推奨・保管・サービス</x:v>
      </x:c>
      <x:c r="D871" s="165" t="str">
        <x:v>寿司</x:v>
      </x:c>
      <x:c r="E871" s="165" t="str">
        <x:v>繊細な寿司に合わせやすいワインの特徴はどれか。</x:v>
      </x:c>
      <x:c r="F871" s="165" t="str">
        <x:v>酸のない甘いワインだけ</x:v>
      </x:c>
      <x:c r="G871" s="165" t="str">
        <x:v>高い酸、低いタンニン、控えめなアルコールとオーク、清潔な果実味</x:v>
      </x:c>
      <x:c r="H871" s="165" t="str">
        <x:v>新樽香の極めて強い高アルコール赤</x:v>
      </x:c>
      <x:c r="I871" s="165" t="str">
        <x:v>非常に高タンニンの若い赤</x:v>
      </x:c>
      <x:c r="J871" s="171" t="str">
        <x:v>B</x:v>
      </x:c>
      <x:c r="K871" s="165" t="str">
        <x:v>高い酸、低いタンニン、控えめなアルコールとオーク、清潔な果実味</x:v>
      </x:c>
      <x:c r="L871" s="165" t="str">
        <x:v>正しい。酢飯の酸と魚の繊細さに釣り合い、醤油やわさびを過度に強調しないスタイルが適する。</x:v>
      </x:c>
      <x:c r="M871" s="165" t="str">
        <x:v>誤り。酢飯に対して平坦になりやすい。</x:v>
      </x:c>
      <x:c r="N871" s="165" t="str">
        <x:v>正しい。酢飯の酸と魚の繊細さに釣り合い、醤油やわさびを過度に強調しないスタイルが適する。</x:v>
      </x:c>
      <x:c r="O871" s="165" t="str">
        <x:v>誤り。料理を圧倒しやすい。</x:v>
      </x:c>
      <x:c r="P871" s="165" t="str">
        <x:v>誤り。魚とうま味で渋味が強調されやすい。</x:v>
      </x:c>
      <x:c r="Q871" s="165" t="str">
        <x:v>料理との組み合わせ</x:v>
      </x:c>
      <x:c r="R871" s="165" t="str">
        <x:v>魚料理</x:v>
      </x:c>
      <x:c r="S871" s="165" t="str">
        <x:v>全般</x:v>
      </x:c>
      <x:c r="T871" s="165"/>
      <x:c r="U871" s="165"/>
      <x:c r="V871" s="165"/>
      <x:c r="W871" s="165" t="str">
        <x:v>判断</x:v>
      </x:c>
      <x:c r="X871" s="171" t="str">
        <x:v>D2</x:v>
      </x:c>
      <x:c r="Y871" s="165" t="str">
        <x:v>寿司について関連要因を主因とみなす; 寿司について関連要因を主因とみなす; 寿司について関連要因を主因とみなす</x:v>
      </x:c>
      <x:c r="Z871" s="171" t="str">
        <x:v>N</x:v>
      </x:c>
      <x:c r="AA871" s="165"/>
      <x:c r="AB871" s="165" t="str">
        <x:v>オリジナル</x:v>
      </x:c>
      <x:c r="AC871" s="165" t="str">
        <x:v>WSET公式Specificationの範囲＋ユーザー作成コーパスの論点を参考に独自作成</x:v>
      </x:c>
      <x:c r="AD871" s="171" t="str">
        <x:v>改稿済み・専門家未承認</x:v>
      </x:c>
      <x:c r="AE871" s="171" t="str">
        <x:v>AI誤答レビュー</x:v>
      </x:c>
      <x:c r="AF871" s="171" t="str">
        <x:v>2026-07-12</x:v>
      </x:c>
      <x:c r="AG871" s="369" t="str">
        <x:v>第5バッチ：使用可能な誤答を維持し、弱い誤答を因果逆転・隣接概念へ置換。正答位置は維持。</x:v>
      </x:c>
    </x:row>
    <x:row r="872" ht="84" customHeight="1">
      <x:c r="A872" s="368" t="str">
        <x:v>LO5-151</x:v>
      </x:c>
      <x:c r="B872" s="171" t="str">
        <x:v>LO5</x:v>
      </x:c>
      <x:c r="C872" s="165" t="str">
        <x:v>情報提供・推奨・保管・サービス</x:v>
      </x:c>
      <x:c r="D872" s="165" t="str">
        <x:v>揚げ物</x:v>
      </x:c>
      <x:c r="E872" s="165" t="str">
        <x:v>揚げ物に高い酸または発泡性を持つワインが合いやすい主な理由はどれか。</x:v>
      </x:c>
      <x:c r="F872" s="165" t="str">
        <x:v>揚げ物にはワインの構造が影響しない</x:v>
      </x:c>
      <x:c r="G872" s="165" t="str">
        <x:v>低酸で高アルコールほど爽やかになる</x:v>
      </x:c>
      <x:c r="H872" s="165" t="str">
        <x:v>酸と泡の刺激が油脂による重さを軽く感じさせ、口中を爽やかにする</x:v>
      </x:c>
      <x:c r="I872" s="165" t="str">
        <x:v>泡が油を化学的に分解する</x:v>
      </x:c>
      <x:c r="J872" s="171" t="str">
        <x:v>C</x:v>
      </x:c>
      <x:c r="K872" s="165" t="str">
        <x:v>酸と泡の刺激が油脂による重さを軽く感じさせ、口中を爽やかにする</x:v>
      </x:c>
      <x:c r="L872" s="165" t="str">
        <x:v>正しい。塩味との相性もよく、次の一口で果実味を明瞭に感じられる。</x:v>
      </x:c>
      <x:c r="M872" s="165" t="str">
        <x:v>誤り。脂肪、塩、ソースが相性へ影響する。</x:v>
      </x:c>
      <x:c r="N872" s="165" t="str">
        <x:v>誤り。重さと熱感が増す。</x:v>
      </x:c>
      <x:c r="O872" s="165" t="str">
        <x:v>正しい。塩味との相性もよく、次の一口で果実味を明瞭に感じられる。</x:v>
      </x:c>
      <x:c r="P872" s="165" t="str">
        <x:v>誤り。知覚を整えるが油脂量は変わらない。</x:v>
      </x:c>
      <x:c r="Q872" s="165" t="str">
        <x:v>料理との組み合わせ</x:v>
      </x:c>
      <x:c r="R872" s="165" t="str">
        <x:v>脂肪</x:v>
      </x:c>
      <x:c r="S872" s="165" t="str">
        <x:v>全般</x:v>
      </x:c>
      <x:c r="T872" s="165"/>
      <x:c r="U872" s="165"/>
      <x:c r="V872" s="165"/>
      <x:c r="W872" s="165" t="str">
        <x:v>因果説明</x:v>
      </x:c>
      <x:c r="X872" s="171" t="str">
        <x:v>D2</x:v>
      </x:c>
      <x:c r="Y872" s="165" t="str">
        <x:v>揚げ物について関連要因を主因とみなす; 揚げ物について関連要因を主因とみなす; 揚げ物について関連要因を主因とみなす</x:v>
      </x:c>
      <x:c r="Z872" s="171" t="str">
        <x:v>N</x:v>
      </x:c>
      <x:c r="AA872" s="165"/>
      <x:c r="AB872" s="165" t="str">
        <x:v>オリジナル</x:v>
      </x:c>
      <x:c r="AC872" s="165" t="str">
        <x:v>WSET公式Specificationの範囲＋ユーザー作成コーパスの論点を参考に独自作成</x:v>
      </x:c>
      <x:c r="AD872" s="171" t="str">
        <x:v>改稿済み・専門家未承認</x:v>
      </x:c>
      <x:c r="AE872" s="171" t="str">
        <x:v>AI誤答レビュー</x:v>
      </x:c>
      <x:c r="AF872" s="171" t="str">
        <x:v>2026-07-12</x:v>
      </x:c>
      <x:c r="AG872" s="369" t="str">
        <x:v>第5バッチ：使用可能な誤答を維持し、弱い誤答を因果逆転・隣接概念へ置換。正答位置は維持。</x:v>
      </x:c>
    </x:row>
    <x:row r="873" ht="84" customHeight="1">
      <x:c r="A873" s="368" t="str">
        <x:v>LO5-152</x:v>
      </x:c>
      <x:c r="B873" s="171" t="str">
        <x:v>LO5</x:v>
      </x:c>
      <x:c r="C873" s="165" t="str">
        <x:v>情報提供・推奨・保管・サービス</x:v>
      </x:c>
      <x:c r="D873" s="165" t="str">
        <x:v>クリーミーなチーズ</x:v>
      </x:c>
      <x:c r="E873" s="165" t="str">
        <x:v>ブリーのようなクリーミーなチーズに高い酸の白ワインが合いやすい主な理由はどれか。</x:v>
      </x:c>
      <x:c r="F873" s="165" t="str">
        <x:v>酸がチーズの脂肪を消失させる</x:v>
      </x:c>
      <x:c r="G873" s="165" t="str">
        <x:v>甘味がなければ合わせられない</x:v>
      </x:c>
      <x:c r="H873" s="165" t="str">
        <x:v>高タンニンが最適だから</x:v>
      </x:c>
      <x:c r="I873" s="165" t="str">
        <x:v>酸が脂肪の豊かさを切り、穏やかな風味を覆いにくい</x:v>
      </x:c>
      <x:c r="J873" s="171" t="str">
        <x:v>D</x:v>
      </x:c>
      <x:c r="K873" s="165" t="str">
        <x:v>酸が脂肪の豊かさを切り、穏やかな風味を覆いにくい</x:v>
      </x:c>
      <x:c r="L873" s="165" t="str">
        <x:v>正しい。中程度のボディと果実味を持つ白なら、塩味とクリーム感を爽やかに整える。</x:v>
      </x:c>
      <x:c r="M873" s="165" t="str">
        <x:v>誤り。知覚を軽くするが脂肪量は変わらない。</x:v>
      </x:c>
      <x:c r="N873" s="165" t="str">
        <x:v>誤り。辛口白でもよく合う。</x:v>
      </x:c>
      <x:c r="O873" s="165" t="str">
        <x:v>誤り。チーズのうま味で苦渋味が強調されることがある。</x:v>
      </x:c>
      <x:c r="P873" s="165" t="str">
        <x:v>正しい。中程度のボディと果実味を持つ白なら、塩味とクリーム感を爽やかに整える。</x:v>
      </x:c>
      <x:c r="Q873" s="165" t="str">
        <x:v>料理との組み合わせ</x:v>
      </x:c>
      <x:c r="R873" s="165" t="str">
        <x:v>チーズ</x:v>
      </x:c>
      <x:c r="S873" s="165" t="str">
        <x:v>白ワイン</x:v>
      </x:c>
      <x:c r="T873" s="165"/>
      <x:c r="U873" s="165"/>
      <x:c r="V873" s="165"/>
      <x:c r="W873" s="165" t="str">
        <x:v>因果説明</x:v>
      </x:c>
      <x:c r="X873" s="171" t="str">
        <x:v>D2</x:v>
      </x:c>
      <x:c r="Y873" s="165" t="str">
        <x:v>クリーミーなチーズについて関連要因を主因とみなす; クリーミーなチーズについて関連要因を主因とみなす; クリーミーなチーズについて関連要因を主因とみなす</x:v>
      </x:c>
      <x:c r="Z873" s="171" t="str">
        <x:v>N</x:v>
      </x:c>
      <x:c r="AA873" s="165"/>
      <x:c r="AB873" s="165" t="str">
        <x:v>オリジナル</x:v>
      </x:c>
      <x:c r="AC873" s="165" t="str">
        <x:v>WSET公式Specificationの範囲＋ユーザー作成コーパスの論点を参考に独自作成</x:v>
      </x:c>
      <x:c r="AD873" s="171" t="str">
        <x:v>改稿済み・専門家未承認</x:v>
      </x:c>
      <x:c r="AE873" s="171" t="str">
        <x:v>AI誤答レビュー</x:v>
      </x:c>
      <x:c r="AF873" s="171" t="str">
        <x:v>2026-07-12</x:v>
      </x:c>
      <x:c r="AG873" s="369" t="str">
        <x:v>第5バッチ：使用可能な誤答を維持し、弱い誤答を因果逆転・隣接概念へ置換。正答位置は維持。</x:v>
      </x:c>
    </x:row>
    <x:row r="874" ht="84" customHeight="1">
      <x:c r="A874" s="368" t="str">
        <x:v>LO5-153</x:v>
      </x:c>
      <x:c r="B874" s="171" t="str">
        <x:v>LO5</x:v>
      </x:c>
      <x:c r="C874" s="165" t="str">
        <x:v>情報提供・推奨・保管・サービス</x:v>
      </x:c>
      <x:c r="D874" s="165" t="str">
        <x:v>山羊乳チーズ</x:v>
      </x:c>
      <x:c r="E874" s="165" t="str">
        <x:v>フレッシュな山羊乳チーズにソーヴィニヨン・ブランが合いやすい主な理由はどれか。</x:v>
      </x:c>
      <x:c r="F874" s="165" t="str">
        <x:v>高い酸と青草・ハーブ香が、チーズの酸味と青い風味に調和する</x:v>
      </x:c>
      <x:c r="G874" s="165" t="str">
        <x:v>酸がチーズを発泡させる</x:v>
      </x:c>
      <x:c r="H874" s="165" t="str">
        <x:v>高タンニンがチーズを甘くする</x:v>
      </x:c>
      <x:c r="I874" s="165" t="str">
        <x:v>ソーヴィニヨンは甘口だから</x:v>
      </x:c>
      <x:c r="J874" s="171" t="str">
        <x:v>A</x:v>
      </x:c>
      <x:c r="K874" s="165" t="str">
        <x:v>高い酸と青草・ハーブ香が、チーズの酸味と青い風味に調和する</x:v>
      </x:c>
      <x:c r="L874" s="165" t="str">
        <x:v>正しい。同程度の風味強度と爽やかな構造が、クリーミーさを重く感じさせない。</x:v>
      </x:c>
      <x:c r="M874" s="165" t="str">
        <x:v>正しい。同程度の風味強度と爽やかな構造が、クリーミーさを重く感じさせない。</x:v>
      </x:c>
      <x:c r="N874" s="165" t="str">
        <x:v>誤り。発泡性は生じない。</x:v>
      </x:c>
      <x:c r="O874" s="165" t="str">
        <x:v>誤り。ソーヴィニヨン・ブランは低タンニンである。</x:v>
      </x:c>
      <x:c r="P874" s="165" t="str">
        <x:v>誤り。通常は辛口である。</x:v>
      </x:c>
      <x:c r="Q874" s="165" t="str">
        <x:v>料理との組み合わせ</x:v>
      </x:c>
      <x:c r="R874" s="165" t="str">
        <x:v>チーズ</x:v>
      </x:c>
      <x:c r="S874" s="165" t="str">
        <x:v>白ワイン</x:v>
      </x:c>
      <x:c r="T874" s="165"/>
      <x:c r="U874" s="165"/>
      <x:c r="V874" s="165"/>
      <x:c r="W874" s="165" t="str">
        <x:v>因果説明</x:v>
      </x:c>
      <x:c r="X874" s="171" t="str">
        <x:v>D1</x:v>
      </x:c>
      <x:c r="Y874" s="165" t="str">
        <x:v>山羊乳チーズについて関連要因を主因とみなす; 山羊乳チーズについて関連要因を主因とみなす; 山羊乳チーズについて関連要因を主因とみなす</x:v>
      </x:c>
      <x:c r="Z874" s="171" t="str">
        <x:v>N</x:v>
      </x:c>
      <x:c r="AA874" s="165"/>
      <x:c r="AB874" s="165" t="str">
        <x:v>オリジナル</x:v>
      </x:c>
      <x:c r="AC874" s="165" t="str">
        <x:v>WSET公式Specificationの範囲＋ユーザー作成コーパスの論点を参考に独自作成</x:v>
      </x:c>
      <x:c r="AD874" s="171" t="str">
        <x:v>改稿済み・専門家未承認</x:v>
      </x:c>
      <x:c r="AE874" s="171" t="str">
        <x:v>AI誤答レビュー</x:v>
      </x:c>
      <x:c r="AF874" s="171" t="str">
        <x:v>2026-07-12</x:v>
      </x:c>
      <x:c r="AG874" s="369" t="str">
        <x:v>第5バッチ：使用可能な誤答を維持し、弱い誤答を因果逆転・隣接概念へ置換。正答位置は維持。</x:v>
      </x:c>
    </x:row>
    <x:row r="875" ht="84" customHeight="1">
      <x:c r="A875" s="368" t="str">
        <x:v>LO5-154</x:v>
      </x:c>
      <x:c r="B875" s="171" t="str">
        <x:v>LO5</x:v>
      </x:c>
      <x:c r="C875" s="165" t="str">
        <x:v>情報提供・推奨・保管・サービス</x:v>
      </x:c>
      <x:c r="D875" s="165" t="str">
        <x:v>ウォッシュチーズ</x:v>
      </x:c>
      <x:c r="E875" s="165" t="str">
        <x:v>香りの強いウォッシュタイプのチーズに合わせる際、ワインにも十分な風味強度が必要な主な理由はどれか。</x:v>
      </x:c>
      <x:c r="F875" s="165" t="str">
        <x:v>強いチーズには酸が不要だから</x:v>
      </x:c>
      <x:c r="G875" s="165" t="str">
        <x:v>繊細なワインはチーズの香りと塩味に覆われてしまうため</x:v>
      </x:c>
      <x:c r="H875" s="165" t="str">
        <x:v>高価格なら強度を考えなくてよい</x:v>
      </x:c>
      <x:c r="I875" s="165" t="str">
        <x:v>最も軽い無香ワインが主によい</x:v>
      </x:c>
      <x:c r="J875" s="171" t="str">
        <x:v>B</x:v>
      </x:c>
      <x:c r="K875" s="165" t="str">
        <x:v>繊細なワインはチーズの香りと塩味に覆われてしまうため</x:v>
      </x:c>
      <x:c r="L875" s="165" t="str">
        <x:v>正しい。芳香性白、熟成白、果実味のある赤、甘口など、酸と強度を持つスタイルが候補となる。</x:v>
      </x:c>
      <x:c r="M875" s="165" t="str">
        <x:v>誤り。酸は脂肪と塩味を整える。</x:v>
      </x:c>
      <x:c r="N875" s="165" t="str">
        <x:v>正しい。芳香性白、熟成白、果実味のある赤、甘口など、酸と強度を持つスタイルが候補となる。</x:v>
      </x:c>
      <x:c r="O875" s="165" t="str">
        <x:v>誤り。価格と相性は別である。</x:v>
      </x:c>
      <x:c r="P875" s="165" t="str">
        <x:v>誤り。風味が負けやすい。</x:v>
      </x:c>
      <x:c r="Q875" s="165" t="str">
        <x:v>料理との組み合わせ</x:v>
      </x:c>
      <x:c r="R875" s="165" t="str">
        <x:v>チーズ</x:v>
      </x:c>
      <x:c r="S875" s="165" t="str">
        <x:v>全般</x:v>
      </x:c>
      <x:c r="T875" s="165"/>
      <x:c r="U875" s="165"/>
      <x:c r="V875" s="165"/>
      <x:c r="W875" s="165" t="str">
        <x:v>統合判断</x:v>
      </x:c>
      <x:c r="X875" s="171" t="str">
        <x:v>D2</x:v>
      </x:c>
      <x:c r="Y875" s="165" t="str">
        <x:v>ウォッシュチーズについて関連要因を主因とみなす; ウォッシュチーズについて関連要因を主因とみなす; ウォッシュチーズについて関連要因を主因とみなす</x:v>
      </x:c>
      <x:c r="Z875" s="171" t="str">
        <x:v>N</x:v>
      </x:c>
      <x:c r="AA875" s="165"/>
      <x:c r="AB875" s="165" t="str">
        <x:v>オリジナル</x:v>
      </x:c>
      <x:c r="AC875" s="165" t="str">
        <x:v>WSET公式Specificationの範囲＋ユーザー作成コーパスの論点を参考に独自作成</x:v>
      </x:c>
      <x:c r="AD875" s="171" t="str">
        <x:v>改稿済み・専門家未承認</x:v>
      </x:c>
      <x:c r="AE875" s="171" t="str">
        <x:v>AI誤答レビュー</x:v>
      </x:c>
      <x:c r="AF875" s="171" t="str">
        <x:v>2026-07-12</x:v>
      </x:c>
      <x:c r="AG875" s="369" t="str">
        <x:v>第5バッチ：使用可能な誤答を維持し、弱い誤答を因果逆転・隣接概念へ置換。正答位置は維持。</x:v>
      </x:c>
    </x:row>
    <x:row r="876" ht="84" customHeight="1">
      <x:c r="A876" s="368" t="str">
        <x:v>LO5-155</x:v>
      </x:c>
      <x:c r="B876" s="171" t="str">
        <x:v>LO5</x:v>
      </x:c>
      <x:c r="C876" s="165" t="str">
        <x:v>情報提供・推奨・保管・サービス</x:v>
      </x:c>
      <x:c r="D876" s="165" t="str">
        <x:v>果物デザート</x:v>
      </x:c>
      <x:c r="E876" s="165" t="str">
        <x:v>新鮮な果物を使った軽いデザートに合わせやすいワインの特徴はどれか。</x:v>
      </x:c>
      <x:c r="F876" s="165" t="str">
        <x:v>デザートより甘味が低い辛口白</x:v>
      </x:c>
      <x:c r="G876" s="165" t="str">
        <x:v>酸のない濃厚なワインだけ</x:v>
      </x:c>
      <x:c r="H876" s="165" t="str">
        <x:v>デザート以上の甘味、高い酸、果実と花の香り、軽いボディ</x:v>
      </x:c>
      <x:c r="I876" s="165" t="str">
        <x:v>高タンニンの辛口赤</x:v>
      </x:c>
      <x:c r="J876" s="171" t="str">
        <x:v>C</x:v>
      </x:c>
      <x:c r="K876" s="165" t="str">
        <x:v>デザート以上の甘味、高い酸、果実と花の香り、軽いボディ</x:v>
      </x:c>
      <x:c r="L876" s="165" t="str">
        <x:v>正しい。モスカートや甘口リースリングなどが、果物の香りを補いながら爽やかさを保つ。</x:v>
      </x:c>
      <x:c r="M876" s="165" t="str">
        <x:v>誤り。ワインが薄く酸っぱく感じられやすい。</x:v>
      </x:c>
      <x:c r="N876" s="165" t="str">
        <x:v>誤り。重く感じやすい。</x:v>
      </x:c>
      <x:c r="O876" s="165" t="str">
        <x:v>正しい。モスカートや甘口リースリングなどが、果物の香りを補いながら爽やかさを保つ。</x:v>
      </x:c>
      <x:c r="P876" s="165" t="str">
        <x:v>誤り。甘味で苦味と酸が強調されやすい。</x:v>
      </x:c>
      <x:c r="Q876" s="165" t="str">
        <x:v>料理との組み合わせ</x:v>
      </x:c>
      <x:c r="R876" s="165" t="str">
        <x:v>デザート</x:v>
      </x:c>
      <x:c r="S876" s="165" t="str">
        <x:v>甘口ワイン</x:v>
      </x:c>
      <x:c r="T876" s="165"/>
      <x:c r="U876" s="165"/>
      <x:c r="V876" s="165"/>
      <x:c r="W876" s="165" t="str">
        <x:v>判断</x:v>
      </x:c>
      <x:c r="X876" s="171" t="str">
        <x:v>D2</x:v>
      </x:c>
      <x:c r="Y876" s="165" t="str">
        <x:v>果物デザートについて関連要因を主因とみなす; 果物デザートについて関連要因を主因とみなす; 果物デザートについて関連要因を主因とみなす</x:v>
      </x:c>
      <x:c r="Z876" s="171" t="str">
        <x:v>N</x:v>
      </x:c>
      <x:c r="AA876" s="165"/>
      <x:c r="AB876" s="165" t="str">
        <x:v>オリジナル</x:v>
      </x:c>
      <x:c r="AC876" s="165" t="str">
        <x:v>WSET公式Specificationの範囲＋ユーザー作成コーパスの論点を参考に独自作成</x:v>
      </x:c>
      <x:c r="AD876" s="171" t="str">
        <x:v>改稿済み・専門家未承認</x:v>
      </x:c>
      <x:c r="AE876" s="171" t="str">
        <x:v>AI誤答レビュー</x:v>
      </x:c>
      <x:c r="AF876" s="171" t="str">
        <x:v>2026-07-12</x:v>
      </x:c>
      <x:c r="AG876" s="369" t="str">
        <x:v>第5バッチ：使用可能な誤答を維持し、弱い誤答を因果逆転・隣接概念へ置換。正答位置は維持。</x:v>
      </x:c>
    </x:row>
    <x:row r="877" ht="84" customHeight="1">
      <x:c r="A877" s="368" t="str">
        <x:v>LO5-156</x:v>
      </x:c>
      <x:c r="B877" s="171" t="str">
        <x:v>LO5</x:v>
      </x:c>
      <x:c r="C877" s="165" t="str">
        <x:v>情報提供・推奨・保管・サービス</x:v>
      </x:c>
      <x:c r="D877" s="165" t="str">
        <x:v>ナッツとキャラメルのデザート</x:v>
      </x:c>
      <x:c r="E877" s="165" t="str">
        <x:v>ナッツやキャラメルを使ったデザートに酸化熟成した甘口ワインが合いやすい主な理由はどれか。</x:v>
      </x:c>
      <x:c r="F877" s="165" t="str">
        <x:v>デザートより辛口のワインを選ぶと、ナッツ香が強く感じられる</x:v>
      </x:c>
      <x:c r="G877" s="165" t="str">
        <x:v>酸化熟成でワインの甘味が減り、デザートより辛口になるため</x:v>
      </x:c>
      <x:c r="H877" s="165" t="str">
        <x:v>高いタンニンがキャラメルの甘味を抑えるため</x:v>
      </x:c>
      <x:c r="I877" s="165" t="str">
        <x:v>ワインのナッツ、トフィー、ドライフルーツ香が料理と共通し、甘味強度も釣り合う</x:v>
      </x:c>
      <x:c r="J877" s="171" t="str">
        <x:v>D</x:v>
      </x:c>
      <x:c r="K877" s="165" t="str">
        <x:v>ワインのナッツ、トフィー、ドライフルーツ香が料理と共通し、甘味強度も釣り合う</x:v>
      </x:c>
      <x:c r="L877" s="165" t="str">
        <x:v>正しい。年数表記トーニー等の熟成香がデザートと橋渡しする。</x:v>
      </x:c>
      <x:c r="M877" s="165" t="str">
        <x:v>誤り。ワインはデザートと同程度以上の甘味を持ち、香りの強度も合わせる必要がある。</x:v>
      </x:c>
      <x:c r="N877" s="165" t="str">
        <x:v>誤り。甘味を保つ酸化型甘口を選び、料理以上の甘味が必要。</x:v>
      </x:c>
      <x:c r="O877" s="165" t="str">
        <x:v>誤り。タンニンが主要な相性要因ではなく、苦味が増す場合もある。</x:v>
      </x:c>
      <x:c r="P877" s="165" t="str">
        <x:v>正しい。年数表記トーニー等の熟成香がデザートと橋渡しする。</x:v>
      </x:c>
      <x:c r="Q877" s="165" t="str">
        <x:v>料理との組み合わせ</x:v>
      </x:c>
      <x:c r="R877" s="165" t="str">
        <x:v>デザート</x:v>
      </x:c>
      <x:c r="S877" s="165" t="str">
        <x:v>甘口酒精強化ワイン</x:v>
      </x:c>
      <x:c r="T877" s="165"/>
      <x:c r="U877" s="165"/>
      <x:c r="V877" s="165"/>
      <x:c r="W877" s="165" t="str">
        <x:v>因果説明</x:v>
      </x:c>
      <x:c r="X877" s="171" t="str">
        <x:v>D2</x:v>
      </x:c>
      <x:c r="Y877" s="165" t="str">
        <x:v>ナッツデザートには辛口ワインが適する; 酸化熟成で辛口化; 高タンニンでキャラメル甘味を抑える</x:v>
      </x:c>
      <x:c r="Z877" s="171" t="str">
        <x:v>N</x:v>
      </x:c>
      <x:c r="AA877" s="165"/>
      <x:c r="AB877" s="165" t="str">
        <x:v>オリジナル</x:v>
      </x:c>
      <x:c r="AC877" s="165" t="str">
        <x:v>WSET公式Specificationの範囲＋ユーザー作成コーパスの論点を参考に独自作成</x:v>
      </x:c>
      <x:c r="AD877" s="171" t="str">
        <x:v>改稿済み・専門家未承認</x:v>
      </x:c>
      <x:c r="AE877" s="171" t="str">
        <x:v>AI誤答レビュー</x:v>
      </x:c>
      <x:c r="AF877" s="171" t="str">
        <x:v>2026-07-12</x:v>
      </x:c>
      <x:c r="AG877" s="369" t="str">
        <x:v>第4バッチ：同一論点内の典型的誤概念へ置換。正答位置は維持。</x:v>
      </x:c>
    </x:row>
    <x:row r="878" ht="84" customHeight="1">
      <x:c r="A878" s="368" t="str">
        <x:v>LO5-157</x:v>
      </x:c>
      <x:c r="B878" s="171" t="str">
        <x:v>LO5</x:v>
      </x:c>
      <x:c r="C878" s="165" t="str">
        <x:v>情報提供・推奨・保管・サービス</x:v>
      </x:c>
      <x:c r="D878" s="165" t="str">
        <x:v>ハーブ料理</x:v>
      </x:c>
      <x:c r="E878" s="165" t="str">
        <x:v>バジル、ディル、コリアンダーなど生のハーブを多く使う料理に合わせるワインの選び方はどれか。</x:v>
      </x:c>
      <x:c r="F878" s="165" t="str">
        <x:v>同系統のハーブ香や柑橘香を持ち、高い酸と控えめなオークのワインを選ぶ</x:v>
      </x:c>
      <x:c r="G878" s="165" t="str">
        <x:v>ハーブ香は相性に影響しない</x:v>
      </x:c>
      <x:c r="H878" s="165" t="str">
        <x:v>酸のない高アルコールワインを選ぶ</x:v>
      </x:c>
      <x:c r="I878" s="165" t="str">
        <x:v>強く焦がした新樽香だけを重視する</x:v>
      </x:c>
      <x:c r="J878" s="171" t="str">
        <x:v>A</x:v>
      </x:c>
      <x:c r="K878" s="165" t="str">
        <x:v>同系統のハーブ香や柑橘香を持ち、高い酸と控えめなオークのワインを選ぶ</x:v>
      </x:c>
      <x:c r="L878" s="165" t="str">
        <x:v>正しい。ソーヴィニヨン・ブランなどが料理の青い香りを補完し、鮮度を保つ。</x:v>
      </x:c>
      <x:c r="M878" s="165" t="str">
        <x:v>正しい。ソーヴィニヨン・ブランなどが料理の青い香りを補完し、鮮度を保つ。</x:v>
      </x:c>
      <x:c r="N878" s="165" t="str">
        <x:v>誤り。香りの共通性は重要である。</x:v>
      </x:c>
      <x:c r="O878" s="165" t="str">
        <x:v>誤り。料理が重く感じられやすい。</x:v>
      </x:c>
      <x:c r="P878" s="165" t="str">
        <x:v>誤り。生のハーブを覆う可能性がある。</x:v>
      </x:c>
      <x:c r="Q878" s="165" t="str">
        <x:v>料理との組み合わせ</x:v>
      </x:c>
      <x:c r="R878" s="165" t="str">
        <x:v>ハーブ</x:v>
      </x:c>
      <x:c r="S878" s="165" t="str">
        <x:v>白ワイン</x:v>
      </x:c>
      <x:c r="T878" s="165"/>
      <x:c r="U878" s="165"/>
      <x:c r="V878" s="165"/>
      <x:c r="W878" s="165" t="str">
        <x:v>判断</x:v>
      </x:c>
      <x:c r="X878" s="171" t="str">
        <x:v>D2</x:v>
      </x:c>
      <x:c r="Y878" s="165" t="str">
        <x:v>ハーブ料理について関連要因を主因とみなす; ハーブ料理について関連要因を主因とみなす; ハーブ料理について関連要因を主因とみなす</x:v>
      </x:c>
      <x:c r="Z878" s="171" t="str">
        <x:v>N</x:v>
      </x:c>
      <x:c r="AA878" s="165"/>
      <x:c r="AB878" s="165" t="str">
        <x:v>オリジナル</x:v>
      </x:c>
      <x:c r="AC878" s="165" t="str">
        <x:v>WSET公式Specificationの範囲＋ユーザー作成コーパスの論点を参考に独自作成</x:v>
      </x:c>
      <x:c r="AD878" s="171" t="str">
        <x:v>改稿済み・専門家未承認</x:v>
      </x:c>
      <x:c r="AE878" s="171" t="str">
        <x:v>AI誤答レビュー</x:v>
      </x:c>
      <x:c r="AF878" s="171" t="str">
        <x:v>2026-07-12</x:v>
      </x:c>
      <x:c r="AG878" s="369" t="str">
        <x:v>第5バッチ：使用可能な誤答を維持し、弱い誤答を因果逆転・隣接概念へ置換。正答位置は維持。</x:v>
      </x:c>
    </x:row>
    <x:row r="879" ht="84" customHeight="1">
      <x:c r="A879" s="368" t="str">
        <x:v>LO5-158</x:v>
      </x:c>
      <x:c r="B879" s="171" t="str">
        <x:v>LO5</x:v>
      </x:c>
      <x:c r="C879" s="165" t="str">
        <x:v>情報提供・推奨・保管・サービス</x:v>
      </x:c>
      <x:c r="D879" s="165" t="str">
        <x:v>醤油</x:v>
      </x:c>
      <x:c r="E879" s="165" t="str">
        <x:v>醤油を多く使う料理に高タンニン赤が難しくなることがある主な理由はどれか。</x:v>
      </x:c>
      <x:c r="F879" s="165" t="str">
        <x:v>醤油がタンニンを大きく除去する</x:v>
      </x:c>
      <x:c r="G879" s="165" t="str">
        <x:v>塩味とうま味がタンニンの苦渋味を強調し、果実味を弱く感じさせるため</x:v>
      </x:c>
      <x:c r="H879" s="165" t="str">
        <x:v>醤油がワインのアルコール度を上げる</x:v>
      </x:c>
      <x:c r="I879" s="165" t="str">
        <x:v>赤ワインは法律上使用できない</x:v>
      </x:c>
      <x:c r="J879" s="171" t="str">
        <x:v>B</x:v>
      </x:c>
      <x:c r="K879" s="165" t="str">
        <x:v>塩味とうま味がタンニンの苦渋味を強調し、果実味を弱く感じさせるため</x:v>
      </x:c>
      <x:c r="L879" s="165" t="str">
        <x:v>正しい。低タンニンで果実味があり、十分な酸を持つワインの方が合わせやすい場合がある。</x:v>
      </x:c>
      <x:c r="M879" s="165" t="str">
        <x:v>誤り。知覚では強くなることがある。</x:v>
      </x:c>
      <x:c r="N879" s="165" t="str">
        <x:v>正しい。低タンニンで果実味があり、十分な酸を持つワインの方が合わせやすい場合がある。</x:v>
      </x:c>
      <x:c r="O879" s="165" t="str">
        <x:v>誤り。成分は変わらない。</x:v>
      </x:c>
      <x:c r="P879" s="165" t="str">
        <x:v>誤り。低タンニンの赤など選択肢はある。</x:v>
      </x:c>
      <x:c r="Q879" s="165" t="str">
        <x:v>料理との組み合わせ</x:v>
      </x:c>
      <x:c r="R879" s="165" t="str">
        <x:v>うま味・塩味</x:v>
      </x:c>
      <x:c r="S879" s="165" t="str">
        <x:v>全般</x:v>
      </x:c>
      <x:c r="T879" s="165"/>
      <x:c r="U879" s="165"/>
      <x:c r="V879" s="165"/>
      <x:c r="W879" s="165" t="str">
        <x:v>因果説明</x:v>
      </x:c>
      <x:c r="X879" s="171" t="str">
        <x:v>D3</x:v>
      </x:c>
      <x:c r="Y879" s="165" t="str">
        <x:v>醤油について関連要因を主因とみなす; 醤油について関連要因を主因とみなす; 醤油について関連要因を主因とみなす</x:v>
      </x:c>
      <x:c r="Z879" s="171" t="str">
        <x:v>N</x:v>
      </x:c>
      <x:c r="AA879" s="165"/>
      <x:c r="AB879" s="165" t="str">
        <x:v>オリジナル</x:v>
      </x:c>
      <x:c r="AC879" s="165" t="str">
        <x:v>WSET公式Specificationの範囲＋ユーザー作成コーパスの論点を参考に独自作成</x:v>
      </x:c>
      <x:c r="AD879" s="171" t="str">
        <x:v>改稿済み・専門家未承認</x:v>
      </x:c>
      <x:c r="AE879" s="171" t="str">
        <x:v>AI誤答レビュー</x:v>
      </x:c>
      <x:c r="AF879" s="171" t="str">
        <x:v>2026-07-12</x:v>
      </x:c>
      <x:c r="AG879" s="369" t="str">
        <x:v>第5バッチ：使用可能な誤答を維持し、弱い誤答を因果逆転・隣接概念へ置換。正答位置は維持。</x:v>
      </x:c>
    </x:row>
    <x:row r="880" ht="84" customHeight="1">
      <x:c r="A880" s="368" t="str">
        <x:v>LO5-159</x:v>
      </x:c>
      <x:c r="B880" s="171" t="str">
        <x:v>LO5</x:v>
      </x:c>
      <x:c r="C880" s="165" t="str">
        <x:v>情報提供・推奨・保管・サービス</x:v>
      </x:c>
      <x:c r="D880" s="165" t="str">
        <x:v>甘辛い料理</x:v>
      </x:c>
      <x:c r="E880" s="165" t="str">
        <x:v>甘味とトウガラシの辛味を持つ料理に合わせるワインの特徴として最も適切なものはどれか。</x:v>
      </x:c>
      <x:c r="F880" s="165" t="str">
        <x:v>残糖のない低酸ワイン</x:v>
      </x:c>
      <x:c r="G880" s="165" t="str">
        <x:v>酸化した欠陥ワイン</x:v>
      </x:c>
      <x:c r="H880" s="165" t="str">
        <x:v>料理に負けない少量の残糖、低めのアルコール、高い酸、芳香性</x:v>
      </x:c>
      <x:c r="I880" s="165" t="str">
        <x:v>高アルコールで高タンニンの完全辛口赤</x:v>
      </x:c>
      <x:c r="J880" s="171" t="str">
        <x:v>C</x:v>
      </x:c>
      <x:c r="K880" s="165" t="str">
        <x:v>料理に負けない少量の残糖、低めのアルコール、高い酸、芳香性</x:v>
      </x:c>
      <x:c r="L880" s="165" t="str">
        <x:v>正しい。甘味が料理の糖に釣り合い、低アルコールが辛味の増幅を抑える。</x:v>
      </x:c>
      <x:c r="M880" s="165" t="str">
        <x:v>誤り。料理の甘味で薄く感じられやすい。</x:v>
      </x:c>
      <x:c r="N880" s="165" t="str">
        <x:v>誤り。料理で欠陥は治らない。</x:v>
      </x:c>
      <x:c r="O880" s="165" t="str">
        <x:v>正しい。甘味が料理の糖に釣り合い、低アルコールが辛味の増幅を抑える。</x:v>
      </x:c>
      <x:c r="P880" s="165" t="str">
        <x:v>誤り。辛味と苦渋味が強調されやすい。</x:v>
      </x:c>
      <x:c r="Q880" s="165" t="str">
        <x:v>料理との組み合わせ</x:v>
      </x:c>
      <x:c r="R880" s="165" t="str">
        <x:v>甘味・辛味</x:v>
      </x:c>
      <x:c r="S880" s="165" t="str">
        <x:v>全般</x:v>
      </x:c>
      <x:c r="T880" s="165"/>
      <x:c r="U880" s="165"/>
      <x:c r="V880" s="165"/>
      <x:c r="W880" s="165" t="str">
        <x:v>統合判断</x:v>
      </x:c>
      <x:c r="X880" s="171" t="str">
        <x:v>D3</x:v>
      </x:c>
      <x:c r="Y880" s="165" t="str">
        <x:v>甘辛い料理について関連要因を主因とみなす; 甘辛い料理について関連要因を主因とみなす; 甘辛い料理について関連要因を主因とみなす</x:v>
      </x:c>
      <x:c r="Z880" s="171" t="str">
        <x:v>N</x:v>
      </x:c>
      <x:c r="AA880" s="165"/>
      <x:c r="AB880" s="165" t="str">
        <x:v>オリジナル</x:v>
      </x:c>
      <x:c r="AC880" s="165" t="str">
        <x:v>WSET公式Specificationの範囲＋ユーザー作成コーパスの論点を参考に独自作成</x:v>
      </x:c>
      <x:c r="AD880" s="171" t="str">
        <x:v>改稿済み・専門家未承認</x:v>
      </x:c>
      <x:c r="AE880" s="171" t="str">
        <x:v>AI誤答レビュー</x:v>
      </x:c>
      <x:c r="AF880" s="171" t="str">
        <x:v>2026-07-12</x:v>
      </x:c>
      <x:c r="AG880" s="369" t="str">
        <x:v>第5バッチ：使用可能な誤答を維持し、弱い誤答を因果逆転・隣接概念へ置換。正答位置は維持。</x:v>
      </x:c>
    </x:row>
    <x:row r="881" ht="84" customHeight="1">
      <x:c r="A881" s="368" t="str">
        <x:v>LO5-160</x:v>
      </x:c>
      <x:c r="B881" s="171" t="str">
        <x:v>LO5</x:v>
      </x:c>
      <x:c r="C881" s="165" t="str">
        <x:v>情報提供・推奨・保管・サービス</x:v>
      </x:c>
      <x:c r="D881" s="165" t="str">
        <x:v>塩味と酸</x:v>
      </x:c>
      <x:c r="E881" s="165" t="str">
        <x:v>塩味のある料理が高酸ワインをより果実味豊かで柔らかく感じさせることがある理由はどれか。</x:v>
      </x:c>
      <x:c r="F881" s="165" t="str">
        <x:v>塩味には酸の低いワインしか合わない</x:v>
      </x:c>
      <x:c r="G881" s="165" t="str">
        <x:v>塩が残糖を増やす</x:v>
      </x:c>
      <x:c r="H881" s="165" t="str">
        <x:v>塩がワインの酸を化学的に多く除去する</x:v>
      </x:c>
      <x:c r="I881" s="165" t="str">
        <x:v>塩味が酸と苦味の知覚を弱め、果実味とボディを相対的に強めるため</x:v>
      </x:c>
      <x:c r="J881" s="171" t="str">
        <x:v>D</x:v>
      </x:c>
      <x:c r="K881" s="165" t="str">
        <x:v>塩味が酸と苦味の知覚を弱め、果実味とボディを相対的に強めるため</x:v>
      </x:c>
      <x:c r="L881" s="165" t="str">
        <x:v>正しい。適度な塩味はワインの厳しさを和らげる方向に働く。</x:v>
      </x:c>
      <x:c r="M881" s="165" t="str">
        <x:v>誤り。高酸ワインも有利である。</x:v>
      </x:c>
      <x:c r="N881" s="165" t="str">
        <x:v>誤り。糖量は変わらない。</x:v>
      </x:c>
      <x:c r="O881" s="165" t="str">
        <x:v>誤り。知覚変化であり、成分は残る。</x:v>
      </x:c>
      <x:c r="P881" s="165" t="str">
        <x:v>正しい。適度な塩味はワインの厳しさを和らげる方向に働く。</x:v>
      </x:c>
      <x:c r="Q881" s="165" t="str">
        <x:v>料理との組み合わせ</x:v>
      </x:c>
      <x:c r="R881" s="165" t="str">
        <x:v>塩味</x:v>
      </x:c>
      <x:c r="S881" s="165" t="str">
        <x:v>全般</x:v>
      </x:c>
      <x:c r="T881" s="165"/>
      <x:c r="U881" s="165"/>
      <x:c r="V881" s="165"/>
      <x:c r="W881" s="165" t="str">
        <x:v>因果説明</x:v>
      </x:c>
      <x:c r="X881" s="171" t="str">
        <x:v>D2</x:v>
      </x:c>
      <x:c r="Y881" s="165" t="str">
        <x:v>塩味と酸について関連要因を主因とみなす; 塩味と酸について関連要因を主因とみなす; 塩味と酸について関連要因を主因とみなす</x:v>
      </x:c>
      <x:c r="Z881" s="171" t="str">
        <x:v>N</x:v>
      </x:c>
      <x:c r="AA881" s="165"/>
      <x:c r="AB881" s="165" t="str">
        <x:v>オリジナル</x:v>
      </x:c>
      <x:c r="AC881" s="165" t="str">
        <x:v>WSET公式Specificationの範囲＋ユーザー作成コーパスの論点を参考に独自作成</x:v>
      </x:c>
      <x:c r="AD881" s="171" t="str">
        <x:v>改稿済み・専門家未承認</x:v>
      </x:c>
      <x:c r="AE881" s="171" t="str">
        <x:v>AI誤答レビュー</x:v>
      </x:c>
      <x:c r="AF881" s="171" t="str">
        <x:v>2026-07-12</x:v>
      </x:c>
      <x:c r="AG881" s="369" t="str">
        <x:v>第5バッチ：使用可能な誤答を維持し、弱い誤答を因果逆転・隣接概念へ置換。正答位置は維持。</x:v>
      </x:c>
    </x:row>
    <x:row r="882" ht="84" customHeight="1">
      <x:c r="A882" s="368" t="str">
        <x:v>LO5-161</x:v>
      </x:c>
      <x:c r="B882" s="171" t="str">
        <x:v>LO5</x:v>
      </x:c>
      <x:c r="C882" s="165" t="str">
        <x:v>情報提供・推奨・保管・サービス</x:v>
      </x:c>
      <x:c r="D882" s="165" t="str">
        <x:v>天然コルクの欠陥対応</x:v>
      </x:c>
      <x:c r="E882" s="165" t="str">
        <x:v>天然コルクの破片がグラスへ入ったが、ワイン自体に欠陥臭がない場合の適切な対応はどれか。</x:v>
      </x:c>
      <x:c r="F882" s="165" t="str">
        <x:v>清潔な器具で破片を除くか別容器へ濾し、必要なら新しいグラスで提供する</x:v>
      </x:c>
      <x:c r="G882" s="165" t="str">
        <x:v>砂糖を加えて破片を溶かす</x:v>
      </x:c>
      <x:c r="H882" s="165" t="str">
        <x:v>そのまま顧客へ説明せず注ぐ</x:v>
      </x:c>
      <x:c r="I882" s="165" t="str">
        <x:v>TCA確定として廃棄する</x:v>
      </x:c>
      <x:c r="J882" s="171" t="str">
        <x:v>A</x:v>
      </x:c>
      <x:c r="K882" s="165" t="str">
        <x:v>清潔な器具で破片を除くか別容器へ濾し、必要なら新しいグラスで提供する</x:v>
      </x:c>
      <x:c r="L882" s="165" t="str">
        <x:v>正しい。コルク片は不快だが、破片の存在だけでTCA汚染とは断定できない。</x:v>
      </x:c>
      <x:c r="M882" s="165" t="str">
        <x:v>正しい。コルク片は不快だが、破片の存在だけでTCA汚染とは断定できない。</x:v>
      </x:c>
      <x:c r="N882" s="165" t="str">
        <x:v>誤り。糖でコルクは適切に除去できない。</x:v>
      </x:c>
      <x:c r="O882" s="165" t="str">
        <x:v>誤り。見た目と口当たりを損なう。</x:v>
      </x:c>
      <x:c r="P882" s="165" t="str">
        <x:v>誤り。ワインの香りと味を確認する必要がある。</x:v>
      </x:c>
      <x:c r="Q882" s="165" t="str">
        <x:v>サービス</x:v>
      </x:c>
      <x:c r="R882" s="165" t="str">
        <x:v>開栓トラブル</x:v>
      </x:c>
      <x:c r="S882" s="165" t="str">
        <x:v>全般</x:v>
      </x:c>
      <x:c r="T882" s="165"/>
      <x:c r="U882" s="165"/>
      <x:c r="V882" s="165"/>
      <x:c r="W882" s="165" t="str">
        <x:v>判断</x:v>
      </x:c>
      <x:c r="X882" s="171" t="str">
        <x:v>D2</x:v>
      </x:c>
      <x:c r="Y882" s="165" t="str">
        <x:v>天然コルクの欠陥対応について関連要因を主因とみなす; 天然コルクの欠陥対応について関連要因を主因とみなす; 天然コルクの欠陥対応について関連要因を主因とみなす</x:v>
      </x:c>
      <x:c r="Z882" s="171" t="str">
        <x:v>N</x:v>
      </x:c>
      <x:c r="AA882" s="165"/>
      <x:c r="AB882" s="165" t="str">
        <x:v>オリジナル</x:v>
      </x:c>
      <x:c r="AC882" s="165" t="str">
        <x:v>WSET公式Specificationの範囲＋ユーザー作成コーパスの論点を参考に独自作成</x:v>
      </x:c>
      <x:c r="AD882" s="171" t="str">
        <x:v>改稿済み・専門家未承認</x:v>
      </x:c>
      <x:c r="AE882" s="171" t="str">
        <x:v>AI誤答レビュー</x:v>
      </x:c>
      <x:c r="AF882" s="171" t="str">
        <x:v>2026-07-12</x:v>
      </x:c>
      <x:c r="AG882" s="369" t="str">
        <x:v>第5バッチ：使用可能な誤答を維持し、弱い誤答を因果逆転・隣接概念へ置換。正答位置は維持。</x:v>
      </x:c>
    </x:row>
    <x:row r="883" ht="84" customHeight="1">
      <x:c r="A883" s="368" t="str">
        <x:v>LO5-162</x:v>
      </x:c>
      <x:c r="B883" s="171" t="str">
        <x:v>LO5</x:v>
      </x:c>
      <x:c r="C883" s="165" t="str">
        <x:v>情報提供・推奨・保管・サービス</x:v>
      </x:c>
      <x:c r="D883" s="165" t="str">
        <x:v>スクリューキャップの品質</x:v>
      </x:c>
      <x:c r="E883" s="165" t="str">
        <x:v>スクリューキャップを使用したワインについて最も適切な説明はどれか。</x:v>
      </x:c>
      <x:c r="F883" s="165" t="str">
        <x:v>スクリューキャップは主に早飲み用で、長期熟成型には適さない</x:v>
      </x:c>
      <x:c r="G883" s="165" t="str">
        <x:v>栓の選択だけで品質水準は決まらず、高品質・長期熟成型にも使用される</x:v>
      </x:c>
      <x:c r="H883" s="165" t="str">
        <x:v>スクリューキャップは早飲みの低価格ワインにだけ適する</x:v>
      </x:c>
      <x:c r="I883" s="165" t="str">
        <x:v>スクリューキャップなら酸化・還元・微生物欠陥は起こらない</x:v>
      </x:c>
      <x:c r="J883" s="171" t="str">
        <x:v>B</x:v>
      </x:c>
      <x:c r="K883" s="165" t="str">
        <x:v>栓の選択だけで品質水準は決まらず、高品質・長期熟成型にも使用される</x:v>
      </x:c>
      <x:c r="L883" s="165" t="str">
        <x:v>正しい。TCAとボトル差を減らし、酸素透過仕様を選べる。</x:v>
      </x:c>
      <x:c r="M883" s="165" t="str">
        <x:v>誤り。酸素透過仕様を管理でき、高品質・長期熟成型にも使用される。</x:v>
      </x:c>
      <x:c r="N883" s="165" t="str">
        <x:v>正しい。TCAとボトル差を減らし、酸素透過仕様を選べる。</x:v>
      </x:c>
      <x:c r="O883" s="165" t="str">
        <x:v>誤り。高級・熟成型にも広く採用される。</x:v>
      </x:c>
      <x:c r="P883" s="165" t="str">
        <x:v>誤り。TCAリスクは低いが、他の欠陥は起こり得る。</x:v>
      </x:c>
      <x:c r="Q883" s="165" t="str">
        <x:v>情報提供</x:v>
      </x:c>
      <x:c r="R883" s="165" t="str">
        <x:v>栓</x:v>
      </x:c>
      <x:c r="S883" s="165" t="str">
        <x:v>全般</x:v>
      </x:c>
      <x:c r="T883" s="165"/>
      <x:c r="U883" s="165"/>
      <x:c r="V883" s="165"/>
      <x:c r="W883" s="165" t="str">
        <x:v>知識確認</x:v>
      </x:c>
      <x:c r="X883" s="171" t="str">
        <x:v>D2</x:v>
      </x:c>
      <x:c r="Y883" s="165" t="str">
        <x:v>スクリューキャップは早飲み専用; スクリューは低価格早飲み専用; スクリューなら欠陥ゼロ</x:v>
      </x:c>
      <x:c r="Z883" s="171" t="str">
        <x:v>N</x:v>
      </x:c>
      <x:c r="AA883" s="165"/>
      <x:c r="AB883" s="165" t="str">
        <x:v>オリジナル</x:v>
      </x:c>
      <x:c r="AC883" s="165" t="str">
        <x:v>WSET公式Specificationの範囲＋ユーザー作成コーパスの論点を参考に独自作成</x:v>
      </x:c>
      <x:c r="AD883" s="171" t="str">
        <x:v>改稿済み・専門家未承認</x:v>
      </x:c>
      <x:c r="AE883" s="171" t="str">
        <x:v>AI誤答レビュー</x:v>
      </x:c>
      <x:c r="AF883" s="171" t="str">
        <x:v>2026-07-12</x:v>
      </x:c>
      <x:c r="AG883" s="369" t="str">
        <x:v>第4バッチ：同一論点内の典型的誤概念へ置換。正答位置は維持。</x:v>
      </x:c>
    </x:row>
    <x:row r="884" ht="84" customHeight="1">
      <x:c r="A884" s="368" t="str">
        <x:v>LO5-163</x:v>
      </x:c>
      <x:c r="B884" s="171" t="str">
        <x:v>LO5</x:v>
      </x:c>
      <x:c r="C884" s="165" t="str">
        <x:v>情報提供・推奨・保管・サービス</x:v>
      </x:c>
      <x:c r="D884" s="165" t="str">
        <x:v>澱の説明</x:v>
      </x:c>
      <x:c r="E884" s="165" t="str">
        <x:v>熟成赤ワインの澱について、顧客へ説明する最も適切な内容はどれか。</x:v>
      </x:c>
      <x:c r="F884" s="165" t="str">
        <x:v>自然な熟成で色素とタンニンが沈殿したもので、デカンティングして提供できる</x:v>
      </x:c>
      <x:c r="G884" s="165" t="str">
        <x:v>瓶内再発酵で生じた酵母で、泡がなくても欠陥である</x:v>
      </x:c>
      <x:c r="H884" s="165" t="str">
        <x:v>コルク汚染物質が固体化したもので、飲用できない</x:v>
      </x:c>
      <x:c r="I884" s="165" t="str">
        <x:v>残糖が結晶化したもので、甘口ワインほど多く生じる</x:v>
      </x:c>
      <x:c r="J884" s="171" t="str">
        <x:v>C</x:v>
      </x:c>
      <x:c r="K884" s="165" t="str">
        <x:v>コルク汚染物質が固体化したもので、飲用できない</x:v>
      </x:c>
      <x:c r="L884" s="165" t="str">
        <x:v>正しい。TCAが固体沈殿となるわけではない。</x:v>
      </x:c>
      <x:c r="M884" s="165" t="str">
        <x:v>誤り。熟成赤では色素・タンニンの重合沈殿が自然に起こる。</x:v>
      </x:c>
      <x:c r="N884" s="165" t="str">
        <x:v>誤り。再発酵酵母とは外観・原因が異なり、熟成赤の澱は必ず欠陥ではない。</x:v>
      </x:c>
      <x:c r="O884" s="165" t="str">
        <x:v>正しい。TCAが固体沈殿となるわけではない。</x:v>
      </x:c>
      <x:c r="P884" s="165" t="str">
        <x:v>誤り。糖結晶ではなく、主に色素とタンニンである。</x:v>
      </x:c>
      <x:c r="Q884" s="165" t="str">
        <x:v>情報提供</x:v>
      </x:c>
      <x:c r="R884" s="165" t="str">
        <x:v>沈殿</x:v>
      </x:c>
      <x:c r="S884" s="165" t="str">
        <x:v>赤ワイン</x:v>
      </x:c>
      <x:c r="T884" s="165"/>
      <x:c r="U884" s="165"/>
      <x:c r="V884" s="165"/>
      <x:c r="W884" s="165" t="str">
        <x:v>知識確認</x:v>
      </x:c>
      <x:c r="X884" s="171" t="str">
        <x:v>D1</x:v>
      </x:c>
      <x:c r="Y884" s="165" t="str">
        <x:v>熟成赤の澱は再発酵酵母; 澱は残糖結晶</x:v>
      </x:c>
      <x:c r="Z884" s="171" t="str">
        <x:v>N</x:v>
      </x:c>
      <x:c r="AA884" s="165"/>
      <x:c r="AB884" s="165" t="str">
        <x:v>オリジナル</x:v>
      </x:c>
      <x:c r="AC884" s="165" t="str">
        <x:v>WSET公式Specificationの範囲＋ユーザー作成コーパスの論点を参考に独自作成</x:v>
      </x:c>
      <x:c r="AD884" s="171" t="str">
        <x:v>改稿済み・専門家未承認</x:v>
      </x:c>
      <x:c r="AE884" s="171" t="str">
        <x:v>AI誤答レビュー</x:v>
      </x:c>
      <x:c r="AF884" s="171" t="str">
        <x:v>2026-07-12</x:v>
      </x:c>
      <x:c r="AG884" s="369" t="str">
        <x:v>第3バッチ：同一論点内の典型的誤概念へ置換。正答位置は維持。</x:v>
      </x:c>
    </x:row>
    <x:row r="885" ht="84" customHeight="1">
      <x:c r="A885" s="368" t="str">
        <x:v>LO5-164</x:v>
      </x:c>
      <x:c r="B885" s="171" t="str">
        <x:v>LO5</x:v>
      </x:c>
      <x:c r="C885" s="165" t="str">
        <x:v>情報提供・推奨・保管・サービス</x:v>
      </x:c>
      <x:c r="D885" s="165" t="str">
        <x:v>酒石の説明</x:v>
      </x:c>
      <x:c r="E885" s="165" t="str">
        <x:v>瓶底の酒石酸塩について顧客へ最も適切に説明する内容はどれか。</x:v>
      </x:c>
      <x:c r="F885" s="165" t="str">
        <x:v>ワインが再発酵した証拠</x:v>
      </x:c>
      <x:c r="G885" s="165" t="str">
        <x:v>コルク汚染の物質である</x:v>
      </x:c>
      <x:c r="H885" s="165" t="str">
        <x:v>ガラス片が瓶内で生成された</x:v>
      </x:c>
      <x:c r="I885" s="165" t="str">
        <x:v>ブドウ由来の酸が低温で結晶化した無害な沈殿で、味の欠陥ではない</x:v>
      </x:c>
      <x:c r="J885" s="171" t="str">
        <x:v>D</x:v>
      </x:c>
      <x:c r="K885" s="165" t="str">
        <x:v>ブドウ由来の酸が低温で結晶化した無害な沈殿で、味の欠陥ではない</x:v>
      </x:c>
      <x:c r="L885" s="165" t="str">
        <x:v>正しい。冷却安定化を最小限にしたワインで見られることがあり、必要なら静かに注ぐ。</x:v>
      </x:c>
      <x:c r="M885" s="165" t="str">
        <x:v>誤り。泡や酵母澱とは異なる。</x:v>
      </x:c>
      <x:c r="N885" s="165" t="str">
        <x:v>誤り。TCAとは無関係である。</x:v>
      </x:c>
      <x:c r="O885" s="165" t="str">
        <x:v>誤り。通常は酒石酸塩結晶である。</x:v>
      </x:c>
      <x:c r="P885" s="165" t="str">
        <x:v>正しい。冷却安定化を最小限にしたワインで見られることがあり、必要なら静かに注ぐ。</x:v>
      </x:c>
      <x:c r="Q885" s="165" t="str">
        <x:v>情報提供</x:v>
      </x:c>
      <x:c r="R885" s="165" t="str">
        <x:v>沈殿</x:v>
      </x:c>
      <x:c r="S885" s="165" t="str">
        <x:v>全般</x:v>
      </x:c>
      <x:c r="T885" s="165"/>
      <x:c r="U885" s="165"/>
      <x:c r="V885" s="165"/>
      <x:c r="W885" s="165" t="str">
        <x:v>知識確認</x:v>
      </x:c>
      <x:c r="X885" s="171" t="str">
        <x:v>D1</x:v>
      </x:c>
      <x:c r="Y885" s="165" t="str">
        <x:v>酒石の説明について関連要因を主因とみなす; 酒石の説明について関連要因を主因とみなす; 酒石の説明について関連要因を主因とみなす</x:v>
      </x:c>
      <x:c r="Z885" s="171" t="str">
        <x:v>N</x:v>
      </x:c>
      <x:c r="AA885" s="165"/>
      <x:c r="AB885" s="165" t="str">
        <x:v>オリジナル</x:v>
      </x:c>
      <x:c r="AC885" s="165" t="str">
        <x:v>WSET公式Specificationの範囲＋ユーザー作成コーパスの論点を参考に独自作成</x:v>
      </x:c>
      <x:c r="AD885" s="171" t="str">
        <x:v>改稿済み・専門家未承認</x:v>
      </x:c>
      <x:c r="AE885" s="171" t="str">
        <x:v>AI誤答レビュー</x:v>
      </x:c>
      <x:c r="AF885" s="171" t="str">
        <x:v>2026-07-12</x:v>
      </x:c>
      <x:c r="AG885" s="369" t="str">
        <x:v>第5バッチ：使用可能な誤答を維持し、弱い誤答を因果逆転・隣接概念へ置換。正答位置は維持。</x:v>
      </x:c>
    </x:row>
    <x:row r="886" ht="84" customHeight="1">
      <x:c r="A886" s="368" t="str">
        <x:v>LO5-165</x:v>
      </x:c>
      <x:c r="B886" s="171" t="str">
        <x:v>LO5</x:v>
      </x:c>
      <x:c r="C886" s="165" t="str">
        <x:v>情報提供・推奨・保管・サービス</x:v>
      </x:c>
      <x:c r="D886" s="165" t="str">
        <x:v>無濾過ワインの濁り</x:v>
      </x:c>
      <x:c r="E886" s="165" t="str">
        <x:v>無濾過ワインにわずかな濁りがある場合、最も適切な判断はどれか。</x:v>
      </x:c>
      <x:c r="F886" s="165" t="str">
        <x:v>意図的な最小処理の結果か欠陥かを、香り、味、泡、沈殿の状態と合わせて判断する</x:v>
      </x:c>
      <x:c r="G886" s="165" t="str">
        <x:v>無濾過と表示されていれば、濁りは常に意図的であり、香りや味を確認する必要はない</x:v>
      </x:c>
      <x:c r="H886" s="165" t="str">
        <x:v>わずかな濁りでもタンパク質不安定または微生物汚染を示すため、直ちに欠陥と判断する</x:v>
      </x:c>
      <x:c r="I886" s="165" t="str">
        <x:v>予期しない泡がなければ、酵母や細菌による問題の可能性はない</x:v>
      </x:c>
      <x:c r="J886" s="171" t="str">
        <x:v>A</x:v>
      </x:c>
      <x:c r="K886" s="165" t="str">
        <x:v>意図的な最小処理の結果か欠陥かを、香り、味、泡、沈殿の状態と合わせて判断する</x:v>
      </x:c>
      <x:c r="L886" s="165" t="str">
        <x:v>正しい。無濾過由来の澱か、再発酵や不安定性かを複数の徴候から判断する必要がある。</x:v>
      </x:c>
      <x:c r="M886" s="165" t="str">
        <x:v>正しい。無濾過由来の澱か、再発酵や不安定性かを複数の徴候から判断する必要がある。</x:v>
      </x:c>
      <x:c r="N886" s="165" t="str">
        <x:v>誤り。無濾過でも酸化、再発酵、微生物汚染は起こり得るため、表示だけでは判断できない。</x:v>
      </x:c>
      <x:c r="O886" s="165" t="str">
        <x:v>誤り。自然な微細澱の場合もあり、濁りだけで欠陥とは断定できない。</x:v>
      </x:c>
      <x:c r="P886" s="165" t="str">
        <x:v>誤り。微生物問題は必ず強い泡を伴うとは限らず、香り、味、濁りの変化も確認する。</x:v>
      </x:c>
      <x:c r="Q886" s="165" t="str">
        <x:v>品質判断</x:v>
      </x:c>
      <x:c r="R886" s="165" t="str">
        <x:v>清澄度</x:v>
      </x:c>
      <x:c r="S886" s="165" t="str">
        <x:v>全般</x:v>
      </x:c>
      <x:c r="T886" s="165"/>
      <x:c r="U886" s="165"/>
      <x:c r="V886" s="165"/>
      <x:c r="W886" s="165" t="str">
        <x:v>統合判断</x:v>
      </x:c>
      <x:c r="X886" s="171" t="str">
        <x:v>D3</x:v>
      </x:c>
      <x:c r="Y886" s="165" t="str">
        <x:v>無濾過表示なら濁りは常に正常; わずかな濁りは必ず欠陥; 泡がなければ微生物問題はない</x:v>
      </x:c>
      <x:c r="Z886" s="171" t="str">
        <x:v>N</x:v>
      </x:c>
      <x:c r="AA886" s="165"/>
      <x:c r="AB886" s="165" t="str">
        <x:v>オリジナル</x:v>
      </x:c>
      <x:c r="AC886" s="165" t="str">
        <x:v>WSET公式Specificationの範囲＋ユーザー作成コーパスの論点を参考に独自作成</x:v>
      </x:c>
      <x:c r="AD886" s="171" t="str">
        <x:v>改稿済み・専門家未承認</x:v>
      </x:c>
      <x:c r="AE886" s="171" t="str">
        <x:v>AI誤答レビュー</x:v>
      </x:c>
      <x:c r="AF886" s="171" t="str">
        <x:v>2026-07-12</x:v>
      </x:c>
      <x:c r="AG886" s="369" t="str">
        <x:v>第2バッチ：誤答を同一論点内の典型的誤概念へ置換。正答位置は維持。</x:v>
      </x:c>
    </x:row>
    <x:row r="887" ht="84" customHeight="1">
      <x:c r="A887" s="368" t="str">
        <x:v>LO5-166</x:v>
      </x:c>
      <x:c r="B887" s="171" t="str">
        <x:v>LO5</x:v>
      </x:c>
      <x:c r="C887" s="165" t="str">
        <x:v>情報提供・推奨・保管・サービス</x:v>
      </x:c>
      <x:c r="D887" s="165" t="str">
        <x:v>オレンジワインの推奨</x:v>
      </x:c>
      <x:c r="E887" s="165" t="str">
        <x:v>オレンジワインを初めて試す顧客へ説明すべき主要な特徴はどれか。</x:v>
      </x:c>
      <x:c r="F887" s="165" t="str">
        <x:v>白ブドウを果皮と接触して醸造するが、白ブドウの果皮にはフェノールがないためタンニンは増えない</x:v>
      </x:c>
      <x:c r="G887" s="165" t="str">
        <x:v>白ブドウを果皮と接触して醸造し、色、タンニン、乾燥果実や茶の風味を持つことがある</x:v>
      </x:c>
      <x:c r="H887" s="165" t="str">
        <x:v>白ワインを酸化させて色を濃くするスタイルで、果皮接触は行わない</x:v>
      </x:c>
      <x:c r="I887" s="165" t="str">
        <x:v>果皮接触によって発酵が途中で止まるため、一般に甘口になる</x:v>
      </x:c>
      <x:c r="J887" s="171" t="str">
        <x:v>B</x:v>
      </x:c>
      <x:c r="K887" s="165" t="str">
        <x:v>白ブドウを果皮と接触して醸造し、色、タンニン、乾燥果実や茶の風味を持つことがある</x:v>
      </x:c>
      <x:c r="L887" s="165" t="str">
        <x:v>正しい。白ブドウを赤ワインに近い方法で醸すため、一般的な白より構造と果皮由来風味を持つ。</x:v>
      </x:c>
      <x:c r="M887" s="165" t="str">
        <x:v>誤り。白ブドウの果皮にもフェノールがあり、接触でタンニンと色が増える。</x:v>
      </x:c>
      <x:c r="N887" s="165" t="str">
        <x:v>正しい。白ブドウを赤ワインに近い方法で醸すため、一般的な白より構造と果皮由来風味を持つ。</x:v>
      </x:c>
      <x:c r="O887" s="165" t="str">
        <x:v>誤り。酸化的な造りもあり得るが、オレンジ色と構造の基本は果皮接触である。</x:v>
      </x:c>
      <x:c r="P887" s="165" t="str">
        <x:v>誤り。果皮接触自体が発酵を止めるわけではなく、辛口の例が多い。</x:v>
      </x:c>
      <x:c r="Q887" s="165" t="str">
        <x:v>情報提供</x:v>
      </x:c>
      <x:c r="R887" s="165" t="str">
        <x:v>ワインスタイル</x:v>
      </x:c>
      <x:c r="S887" s="165" t="str">
        <x:v>オレンジワイン</x:v>
      </x:c>
      <x:c r="T887" s="165"/>
      <x:c r="U887" s="165"/>
      <x:c r="V887" s="165"/>
      <x:c r="W887" s="165" t="str">
        <x:v>知識確認</x:v>
      </x:c>
      <x:c r="X887" s="171" t="str">
        <x:v>D2</x:v>
      </x:c>
      <x:c r="Y887" s="165" t="str">
        <x:v>白ブドウ果皮にはフェノールがない; オレンジワインは酸化だけで造り果皮接触しない; 果皮接触で発酵が止まり甘口になる</x:v>
      </x:c>
      <x:c r="Z887" s="171" t="str">
        <x:v>N</x:v>
      </x:c>
      <x:c r="AA887" s="165"/>
      <x:c r="AB887" s="165" t="str">
        <x:v>オリジナル</x:v>
      </x:c>
      <x:c r="AC887" s="165" t="str">
        <x:v>WSET公式Specificationの範囲＋ユーザー作成コーパスの論点を参考に独自作成</x:v>
      </x:c>
      <x:c r="AD887" s="171" t="str">
        <x:v>改稿済み・専門家未承認</x:v>
      </x:c>
      <x:c r="AE887" s="171" t="str">
        <x:v>AI誤答レビュー</x:v>
      </x:c>
      <x:c r="AF887" s="171" t="str">
        <x:v>2026-07-12</x:v>
      </x:c>
      <x:c r="AG887" s="369" t="str">
        <x:v>第2バッチ：誤答を同一論点内の典型的誤概念へ置換。正答位置は維持。</x:v>
      </x:c>
    </x:row>
    <x:row r="888" ht="84" customHeight="1">
      <x:c r="A888" s="368" t="str">
        <x:v>LO5-167</x:v>
      </x:c>
      <x:c r="B888" s="171" t="str">
        <x:v>LO5</x:v>
      </x:c>
      <x:c r="C888" s="165" t="str">
        <x:v>情報提供・推奨・保管・サービス</x:v>
      </x:c>
      <x:c r="D888" s="165" t="str">
        <x:v>ヴィーガン表示</x:v>
      </x:c>
      <x:c r="E888" s="165" t="str">
        <x:v>ワインがヴィーガン向けか尋ねられた際、確認すべき主な点はどれか。</x:v>
      </x:c>
      <x:c r="F888" s="165" t="str">
        <x:v>ブドウが有機栽培かどうか</x:v>
      </x:c>
      <x:c r="G888" s="165" t="str">
        <x:v>天然コルクかスクリューキャップか</x:v>
      </x:c>
      <x:c r="H888" s="165" t="str">
        <x:v>卵白、ゼラチン、乳由来製品など動物性清澄剤を使用したか</x:v>
      </x:c>
      <x:c r="I888" s="165" t="str">
        <x:v>赤ワインか白ワインか</x:v>
      </x:c>
      <x:c r="J888" s="171" t="str">
        <x:v>C</x:v>
      </x:c>
      <x:c r="K888" s="165" t="str">
        <x:v>卵白、ゼラチン、乳由来製品など動物性清澄剤を使用したか</x:v>
      </x:c>
      <x:c r="L888" s="165" t="str">
        <x:v>正しい。動物性清澄剤の使用有無が重要である。</x:v>
      </x:c>
      <x:c r="M888" s="165" t="str">
        <x:v>誤り。有機認証とヴィーガン適合は別の問題である。</x:v>
      </x:c>
      <x:c r="N888" s="165" t="str">
        <x:v>誤り。栓の種類だけでは、醸造補助剤を判断できない。</x:v>
      </x:c>
      <x:c r="O888" s="165" t="str">
        <x:v>正しい。動物性清澄剤の使用有無が重要である。</x:v>
      </x:c>
      <x:c r="P888" s="165" t="str">
        <x:v>誤り。色にかかわらず動物性清澄剤を使う場合がある。</x:v>
      </x:c>
      <x:c r="Q888" s="165" t="str">
        <x:v>情報提供</x:v>
      </x:c>
      <x:c r="R888" s="165" t="str">
        <x:v>醸造・食事要件</x:v>
      </x:c>
      <x:c r="S888" s="165" t="str">
        <x:v>全般</x:v>
      </x:c>
      <x:c r="T888" s="165"/>
      <x:c r="U888" s="165"/>
      <x:c r="V888" s="165"/>
      <x:c r="W888" s="165" t="str">
        <x:v>判断</x:v>
      </x:c>
      <x:c r="X888" s="171" t="str">
        <x:v>D2</x:v>
      </x:c>
      <x:c r="Y888" s="165" t="str">
        <x:v>有機栽培ならヴィーガン; 栓の種類でヴィーガン判定; 赤白の色でヴィーガン判定</x:v>
      </x:c>
      <x:c r="Z888" s="171" t="str">
        <x:v>Y</x:v>
      </x:c>
      <x:c r="AA888" s="165" t="str">
        <x:v>ヴィーガン表示・清澄剤の扱いは生産者情報と地域表示規則を確認推奨</x:v>
      </x:c>
      <x:c r="AB888" s="165" t="str">
        <x:v>オリジナル</x:v>
      </x:c>
      <x:c r="AC888" s="165" t="str">
        <x:v>WSET公式Specificationの範囲＋ユーザー作成コーパスの論点を参考に独自作成</x:v>
      </x:c>
      <x:c r="AD888" s="171" t="str">
        <x:v>改稿済み・専門家未承認</x:v>
      </x:c>
      <x:c r="AE888" s="171" t="str">
        <x:v>AI誤答レビュー</x:v>
      </x:c>
      <x:c r="AF888" s="171" t="str">
        <x:v>2026-07-12</x:v>
      </x:c>
      <x:c r="AG888" s="369" t="str">
        <x:v>第3バッチ：同一論点内の典型的誤概念へ置換。正答位置は維持。</x:v>
      </x:c>
    </x:row>
    <x:row r="889" ht="84" customHeight="1">
      <x:c r="A889" s="368" t="str">
        <x:v>LO5-168</x:v>
      </x:c>
      <x:c r="B889" s="171" t="str">
        <x:v>LO5</x:v>
      </x:c>
      <x:c r="C889" s="165" t="str">
        <x:v>情報提供・推奨・保管・サービス</x:v>
      </x:c>
      <x:c r="D889" s="165" t="str">
        <x:v>有機・ビオディナミ表示</x:v>
      </x:c>
      <x:c r="E889" s="165" t="str">
        <x:v>有機またはビオディナミ表示のワインを顧客へ説明する際、最も適切な姿勢はどれか。</x:v>
      </x:c>
      <x:c r="F889" s="165" t="str">
        <x:v>有機・ビオディナミ認証があれば、味と品質も一定水準以上である</x:v>
      </x:c>
      <x:c r="G889" s="165" t="str">
        <x:v>有機認証があれば、亜硫酸を使用せず欠陥も生じないと説明する</x:v>
      </x:c>
      <x:c r="H889" s="165" t="str">
        <x:v>ビオディナミ認証は味のスタイルを保証し、同じ認証なら同じ味になる</x:v>
      </x:c>
      <x:c r="I889" s="165" t="str">
        <x:v>認証の有無と対象範囲を確認し、味や品質が自動的に優れるとは断定しない</x:v>
      </x:c>
      <x:c r="J889" s="171" t="str">
        <x:v>D</x:v>
      </x:c>
      <x:c r="K889" s="165" t="str">
        <x:v>認証の有無と対象範囲を確認し、味や品質が自動的に優れるとは断定しない</x:v>
      </x:c>
      <x:c r="L889" s="165" t="str">
        <x:v>正しい。認証は生産方法を示し、品質とスタイルは他の多数の要因にも依存する。</x:v>
      </x:c>
      <x:c r="M889" s="165" t="str">
        <x:v>誤り。認証は生産方法を示し、味や品質を自動的に保証しない。</x:v>
      </x:c>
      <x:c r="N889" s="165" t="str">
        <x:v>誤り。有機でも亜硫酸使用や欠陥の可能性はある。</x:v>
      </x:c>
      <x:c r="O889" s="165" t="str">
        <x:v>誤り。認証は栽培・醸造規則で、味を一律にしない。</x:v>
      </x:c>
      <x:c r="P889" s="165" t="str">
        <x:v>正しい。認証は生産方法を示し、品質とスタイルは他の多数の要因にも依存する。</x:v>
      </x:c>
      <x:c r="Q889" s="165" t="str">
        <x:v>情報提供</x:v>
      </x:c>
      <x:c r="R889" s="165" t="str">
        <x:v>認証</x:v>
      </x:c>
      <x:c r="S889" s="165" t="str">
        <x:v>全般</x:v>
      </x:c>
      <x:c r="T889" s="165"/>
      <x:c r="U889" s="165"/>
      <x:c r="V889" s="165"/>
      <x:c r="W889" s="165" t="str">
        <x:v>判断</x:v>
      </x:c>
      <x:c r="X889" s="171" t="str">
        <x:v>D3</x:v>
      </x:c>
      <x:c r="Y889" s="165" t="str">
        <x:v>認証が味・品質を保証する; 有機は無亜硫酸・欠陥なし; ビオディナミ認証で味が同一</x:v>
      </x:c>
      <x:c r="Z889" s="171" t="str">
        <x:v>Y</x:v>
      </x:c>
      <x:c r="AA889" s="165" t="str">
        <x:v>認証制度と表示範囲は地域差があるため、個別商品情報との照合を推奨</x:v>
      </x:c>
      <x:c r="AB889" s="165" t="str">
        <x:v>オリジナル</x:v>
      </x:c>
      <x:c r="AC889" s="165" t="str">
        <x:v>WSET公式Specificationの範囲＋ユーザー作成コーパスの論点を参考に独自作成</x:v>
      </x:c>
      <x:c r="AD889" s="171" t="str">
        <x:v>改稿済み・専門家未承認</x:v>
      </x:c>
      <x:c r="AE889" s="171" t="str">
        <x:v>AI誤答レビュー</x:v>
      </x:c>
      <x:c r="AF889" s="171" t="str">
        <x:v>2026-07-12</x:v>
      </x:c>
      <x:c r="AG889" s="369" t="str">
        <x:v>第4バッチ：同一論点内の典型的誤概念へ置換。正答位置は維持。</x:v>
      </x:c>
    </x:row>
    <x:row r="890" ht="84" customHeight="1">
      <x:c r="A890" s="368" t="str">
        <x:v>LO5-169</x:v>
      </x:c>
      <x:c r="B890" s="171" t="str">
        <x:v>LO5</x:v>
      </x:c>
      <x:c r="C890" s="165" t="str">
        <x:v>情報提供・推奨・保管・サービス</x:v>
      </x:c>
      <x:c r="D890" s="165" t="str">
        <x:v>低亜硫酸表示</x:v>
      </x:c>
      <x:c r="E890" s="165" t="str">
        <x:v>「亜硫酸無添加」または低亜硫酸をうたうワインについて、最も適切な説明はどれか。</x:v>
      </x:c>
      <x:c r="F890" s="165" t="str">
        <x:v>発酵中に自然生成する亜硫酸塩があり得るため、表示と分析値を確認し、完全なゼロと断定しない</x:v>
      </x:c>
      <x:c r="G890" s="165" t="str">
        <x:v>醸造中に亜硫酸を添加していなければ、自然生成分を含め総亜硫酸量もゼロである</x:v>
      </x:c>
      <x:c r="H890" s="165" t="str">
        <x:v>亜硫酸が少ないほど酸化と微生物汚染に強く、開栓後の保存性も高くなる</x:v>
      </x:c>
      <x:c r="I890" s="165" t="str">
        <x:v>低亜硫酸表示があれば、亜硫酸塩に感受性のある人にも安全と断定できる</x:v>
      </x:c>
      <x:c r="J890" s="171" t="str">
        <x:v>A</x:v>
      </x:c>
      <x:c r="K890" s="165" t="str">
        <x:v>発酵中に自然生成する亜硫酸塩があり得るため、表示と分析値を確認し、完全なゼロと断定しない</x:v>
      </x:c>
      <x:c r="L890" s="165" t="str">
        <x:v>正しい。酵母発酵でも少量の亜硫酸塩が生じ得るため、『無添加』と総亜硫酸ゼロは同義ではない。商品表示と分析情報を確認する。</x:v>
      </x:c>
      <x:c r="M890" s="165" t="str">
        <x:v>正しい。酵母発酵でも少量の亜硫酸塩が生じ得るため、『無添加』と総亜硫酸ゼロは同義ではない。商品表示と分析情報を確認する。</x:v>
      </x:c>
      <x:c r="N890" s="165" t="str">
        <x:v>誤り。添加していなくても発酵由来の亜硫酸塩が存在し得る。</x:v>
      </x:c>
      <x:c r="O890" s="165" t="str">
        <x:v>誤り。亜硫酸が少ないと酸化や微生物変敗への保護が弱くなる場合があり、保存性が自動的に高まるわけではない。</x:v>
      </x:c>
      <x:c r="P890" s="165" t="str">
        <x:v>誤り。感受性には個人差があり、低亜硫酸表示だけで安全を保証できない。</x:v>
      </x:c>
      <x:c r="Q890" s="165" t="str">
        <x:v>情報提供</x:v>
      </x:c>
      <x:c r="R890" s="165" t="str">
        <x:v>表示・健康</x:v>
      </x:c>
      <x:c r="S890" s="165" t="str">
        <x:v>全般</x:v>
      </x:c>
      <x:c r="T890" s="165"/>
      <x:c r="U890" s="165"/>
      <x:c r="V890" s="165"/>
      <x:c r="W890" s="165" t="str">
        <x:v>判断</x:v>
      </x:c>
      <x:c r="X890" s="171" t="str">
        <x:v>D3</x:v>
      </x:c>
      <x:c r="Y890" s="165" t="str">
        <x:v>無添加=総量ゼロ; 低亜硫酸ほど保存性が高い; 低亜硫酸なら感受性者にも安全</x:v>
      </x:c>
      <x:c r="Z890" s="171" t="str">
        <x:v>Y</x:v>
      </x:c>
      <x:c r="AA890" s="165" t="str">
        <x:v>亜硫酸塩表示・アレルゲン情報は地域法規と商品ラベルを確認推奨</x:v>
      </x:c>
      <x:c r="AB890" s="165" t="str">
        <x:v>オリジナル</x:v>
      </x:c>
      <x:c r="AC890" s="165" t="str">
        <x:v>WSET公式Specificationの範囲＋ユーザー作成コーパスの論点を参考に独自作成</x:v>
      </x:c>
      <x:c r="AD890" s="171" t="str">
        <x:v>改稿済み・専門家未承認</x:v>
      </x:c>
      <x:c r="AE890" s="171" t="str">
        <x:v>AI誤答レビュー</x:v>
      </x:c>
      <x:c r="AF890" s="171" t="str">
        <x:v>2026-07-12</x:v>
      </x:c>
      <x:c r="AG890" s="369" t="str">
        <x:v>誤答を同一論点内の典型的誤概念へ置換。900問本体への反映前に専門家確認推奨。</x:v>
      </x:c>
    </x:row>
    <x:row r="891" ht="84" customHeight="1">
      <x:c r="A891" s="368" t="str">
        <x:v>LO5-170</x:v>
      </x:c>
      <x:c r="B891" s="171" t="str">
        <x:v>LO5</x:v>
      </x:c>
      <x:c r="C891" s="165" t="str">
        <x:v>情報提供・推奨・保管・サービス</x:v>
      </x:c>
      <x:c r="D891" s="165" t="str">
        <x:v>責任ある注量</x:v>
      </x:c>
      <x:c r="E891" s="165" t="str">
        <x:v>責任あるサービスで一杯の注量を一定に管理する主な理由はどれか。</x:v>
      </x:c>
      <x:c r="F891" s="165" t="str">
        <x:v>注量でワインのアルコール濃度を変える</x:v>
      </x:c>
      <x:c r="G891" s="165" t="str">
        <x:v>顧客とスタッフが摂取量を把握し、過剰提供と在庫差異を防ぐため</x:v>
      </x:c>
      <x:c r="H891" s="165" t="str">
        <x:v>高品質ワインは量を管理しなくてよい</x:v>
      </x:c>
      <x:c r="I891" s="165" t="str">
        <x:v>一定量ならアルコールの影響がなくなる</x:v>
      </x:c>
      <x:c r="J891" s="171" t="str">
        <x:v>B</x:v>
      </x:c>
      <x:c r="K891" s="165" t="str">
        <x:v>顧客とスタッフが摂取量を把握し、過剰提供と在庫差異を防ぐため</x:v>
      </x:c>
      <x:c r="L891" s="165" t="str">
        <x:v>正しい。計量器や基準線を用いると、公平な価格設定と安全な提供を両立できる。</x:v>
      </x:c>
      <x:c r="M891" s="165" t="str">
        <x:v>誤り。濃度は変わらない。</x:v>
      </x:c>
      <x:c r="N891" s="165" t="str">
        <x:v>正しい。計量器や基準線を用いると、公平な価格設定と安全な提供を両立できる。</x:v>
      </x:c>
      <x:c r="O891" s="165" t="str">
        <x:v>誤り。品質にかかわらずアルコールを含む。</x:v>
      </x:c>
      <x:c r="P891" s="165" t="str">
        <x:v>誤り。摂取すれば影響はある。</x:v>
      </x:c>
      <x:c r="Q891" s="165" t="str">
        <x:v>責任ある飲酒</x:v>
      </x:c>
      <x:c r="R891" s="165" t="str">
        <x:v>サービス</x:v>
      </x:c>
      <x:c r="S891" s="165" t="str">
        <x:v>全般</x:v>
      </x:c>
      <x:c r="T891" s="165"/>
      <x:c r="U891" s="165"/>
      <x:c r="V891" s="165"/>
      <x:c r="W891" s="165" t="str">
        <x:v>統合判断</x:v>
      </x:c>
      <x:c r="X891" s="171" t="str">
        <x:v>D2</x:v>
      </x:c>
      <x:c r="Y891" s="165" t="str">
        <x:v>責任ある注量について関連要因を主因とみなす; 責任ある注量について関連要因を主因とみなす; 責任ある注量について関連要因を主因とみなす</x:v>
      </x:c>
      <x:c r="Z891" s="171" t="str">
        <x:v>Y</x:v>
      </x:c>
      <x:c r="AA891" s="165" t="str">
        <x:v>提供量や標準単位は地域法規・店舗方針によるため具体値を示さず運用確認推奨</x:v>
      </x:c>
      <x:c r="AB891" s="165" t="str">
        <x:v>オリジナル</x:v>
      </x:c>
      <x:c r="AC891" s="165" t="str">
        <x:v>WSET公式Specificationの範囲＋ユーザー作成コーパスの論点を参考に独自作成</x:v>
      </x:c>
      <x:c r="AD891" s="171" t="str">
        <x:v>改稿済み・専門家未承認</x:v>
      </x:c>
      <x:c r="AE891" s="171" t="str">
        <x:v>AI誤答レビュー</x:v>
      </x:c>
      <x:c r="AF891" s="171" t="str">
        <x:v>2026-07-12</x:v>
      </x:c>
      <x:c r="AG891" s="369" t="str">
        <x:v>第5バッチ：使用可能な誤答を維持し、弱い誤答を因果逆転・隣接概念へ置換。正答位置は維持。</x:v>
      </x:c>
    </x:row>
    <x:row r="892" ht="84" customHeight="1">
      <x:c r="A892" s="368" t="str">
        <x:v>LO5-171</x:v>
      </x:c>
      <x:c r="B892" s="171" t="str">
        <x:v>LO5</x:v>
      </x:c>
      <x:c r="C892" s="165" t="str">
        <x:v>情報提供・推奨・保管・サービス</x:v>
      </x:c>
      <x:c r="D892" s="165" t="str">
        <x:v>提供拒否</x:v>
      </x:c>
      <x:c r="E892" s="165" t="str">
        <x:v>明らかに酩酊している顧客へ追加のアルコール提供を求められた場合、最も適切な対応はどれか。</x:v>
      </x:c>
      <x:c r="F892" s="165" t="str">
        <x:v>高価なワインなら追加提供する</x:v>
      </x:c>
      <x:c r="G892" s="165" t="str">
        <x:v>本人が強く希望すれば、追加提供を続ける</x:v>
      </x:c>
      <x:c r="H892" s="165" t="str">
        <x:v>追加提供を断り、水やノンアルコール飲料、安全な帰宅手段を案内する</x:v>
      </x:c>
      <x:c r="I892" s="165" t="str">
        <x:v>コーヒーを出せば追加飲酒してよい</x:v>
      </x:c>
      <x:c r="J892" s="171" t="str">
        <x:v>C</x:v>
      </x:c>
      <x:c r="K892" s="165" t="str">
        <x:v>追加提供を断り、水やノンアルコール飲料、安全な帰宅手段を案内する</x:v>
      </x:c>
      <x:c r="L892" s="165" t="str">
        <x:v>正しい。顧客と周囲の安全を優先し、店舗方針と地域法に従って落ち着いて対応する。</x:v>
      </x:c>
      <x:c r="M892" s="165" t="str">
        <x:v>誤り。価格は安全判断を変えない。</x:v>
      </x:c>
      <x:c r="N892" s="165" t="str">
        <x:v>誤り。責任ある提供に反する。</x:v>
      </x:c>
      <x:c r="O892" s="165" t="str">
        <x:v>正しい。顧客と周囲の安全を優先し、店舗方針と地域法に従って落ち着いて対応する。</x:v>
      </x:c>
      <x:c r="P892" s="165" t="str">
        <x:v>誤り。覚醒感が変わってもアルコールは残る。</x:v>
      </x:c>
      <x:c r="Q892" s="165" t="str">
        <x:v>責任ある飲酒</x:v>
      </x:c>
      <x:c r="R892" s="165" t="str">
        <x:v>顧客対応</x:v>
      </x:c>
      <x:c r="S892" s="165" t="str">
        <x:v>全般</x:v>
      </x:c>
      <x:c r="T892" s="165"/>
      <x:c r="U892" s="165"/>
      <x:c r="V892" s="165"/>
      <x:c r="W892" s="165" t="str">
        <x:v>判断</x:v>
      </x:c>
      <x:c r="X892" s="171" t="str">
        <x:v>D2</x:v>
      </x:c>
      <x:c r="Y892" s="165" t="str">
        <x:v>提供拒否について関連要因を主因とみなす; 提供拒否について関連要因を主因とみなす; 提供拒否について関連要因を主因とみなす</x:v>
      </x:c>
      <x:c r="Z892" s="171" t="str">
        <x:v>Y</x:v>
      </x:c>
      <x:c r="AA892" s="165" t="str">
        <x:v>提供拒否の具体的手順は地域法規・店舗方針に従う必要がある</x:v>
      </x:c>
      <x:c r="AB892" s="165" t="str">
        <x:v>オリジナル</x:v>
      </x:c>
      <x:c r="AC892" s="165" t="str">
        <x:v>WSET公式Specificationの範囲＋ユーザー作成コーパスの論点を参考に独自作成</x:v>
      </x:c>
      <x:c r="AD892" s="171" t="str">
        <x:v>改稿済み・専門家未承認</x:v>
      </x:c>
      <x:c r="AE892" s="171" t="str">
        <x:v>AI誤答レビュー</x:v>
      </x:c>
      <x:c r="AF892" s="171" t="str">
        <x:v>2026-07-12</x:v>
      </x:c>
      <x:c r="AG892" s="369" t="str">
        <x:v>第5バッチ：使用可能な誤答を維持し、弱い誤答を因果逆転・隣接概念へ置換。正答位置は維持。</x:v>
      </x:c>
    </x:row>
    <x:row r="893" ht="84" customHeight="1">
      <x:c r="A893" s="368" t="str">
        <x:v>LO5-172</x:v>
      </x:c>
      <x:c r="B893" s="171" t="str">
        <x:v>LO5</x:v>
      </x:c>
      <x:c r="C893" s="165" t="str">
        <x:v>情報提供・推奨・保管・サービス</x:v>
      </x:c>
      <x:c r="D893" s="165" t="str">
        <x:v>薬との相互作用</x:v>
      </x:c>
      <x:c r="E893" s="165" t="str">
        <x:v>薬を服用している顧客から飲酒可否を尋ねられた際、最も適切な対応はどれか。</x:v>
      </x:c>
      <x:c r="F893" s="165" t="str">
        <x:v>個別の安全量を提示せず、医療専門家と公的な健康指針を確認し、ノンアルコール選択肢を案内する</x:v>
      </x:c>
      <x:c r="G893" s="165" t="str">
        <x:v>ワイン一杯程度なら薬の種類にかかわらず安全と説明する</x:v>
      </x:c>
      <x:c r="H893" s="165" t="str">
        <x:v>赤ワインは白ワインより薬との相互作用が少ないと説明する</x:v>
      </x:c>
      <x:c r="I893" s="165" t="str">
        <x:v>個別の医療判断をせず、医師・薬剤師や医薬品の注意事項を確認するよう案内する</x:v>
      </x:c>
      <x:c r="J893" s="171" t="str">
        <x:v>D</x:v>
      </x:c>
      <x:c r="K893" s="165" t="str">
        <x:v>個別の医療判断をせず、医師・薬剤師や医薬品の注意事項を確認するよう案内する</x:v>
      </x:c>
      <x:c r="L893" s="165" t="str">
        <x:v>正しい。ワインスタッフは薬との安全性を保証せず、適切な専門情報源へ案内する。</x:v>
      </x:c>
      <x:c r="M893" s="165" t="str">
        <x:v>誤り。これは同じ知識領域の「妊娠中の飲酒相談」に当てはまる説明で、設問の「薬との相互作用」を最も適切に説明しない。</x:v>
      </x:c>
      <x:c r="N893" s="165" t="str">
        <x:v>誤り。薬とアルコールの相互作用は種類・個人で異なる。</x:v>
      </x:c>
      <x:c r="O893" s="165" t="str">
        <x:v>誤り。色で安全性は決まらない。</x:v>
      </x:c>
      <x:c r="P893" s="165" t="str">
        <x:v>正しい。ワインスタッフは薬との安全性を保証せず、適切な専門情報源へ案内する。</x:v>
      </x:c>
      <x:c r="Q893" s="165" t="str">
        <x:v>責任ある飲酒</x:v>
      </x:c>
      <x:c r="R893" s="165" t="str">
        <x:v>健康情報</x:v>
      </x:c>
      <x:c r="S893" s="165" t="str">
        <x:v>全般</x:v>
      </x:c>
      <x:c r="T893" s="165"/>
      <x:c r="U893" s="165"/>
      <x:c r="V893" s="165"/>
      <x:c r="W893" s="165" t="str">
        <x:v>判断</x:v>
      </x:c>
      <x:c r="X893" s="171" t="str">
        <x:v>D3</x:v>
      </x:c>
      <x:c r="Y893" s="165" t="str">
        <x:v>薬との相互作用を妊娠中の飲酒相談の特徴と混同; 少量なら全薬と安全; 赤ワインは薬と安全</x:v>
      </x:c>
      <x:c r="Z893" s="171" t="str">
        <x:v>Y</x:v>
      </x:c>
      <x:c r="AA893" s="165" t="str">
        <x:v>医療助言に該当しない一般的な安全案内として専門家確認推奨</x:v>
      </x:c>
      <x:c r="AB893" s="165" t="str">
        <x:v>オリジナル</x:v>
      </x:c>
      <x:c r="AC893" s="165" t="str">
        <x:v>WSET公式Specificationの範囲＋ユーザー作成コーパスの論点を参考に独自作成</x:v>
      </x:c>
      <x:c r="AD893" s="171" t="str">
        <x:v>改稿済み・専門家未承認</x:v>
      </x:c>
      <x:c r="AE893" s="171" t="str">
        <x:v>AI誤答レビュー</x:v>
      </x:c>
      <x:c r="AF893" s="171" t="str">
        <x:v>2026-07-12</x:v>
      </x:c>
      <x:c r="AG893" s="369" t="str">
        <x:v>第4バッチ：同一論点内の典型的誤概念へ置換。正答位置は維持。</x:v>
      </x:c>
    </x:row>
    <x:row r="894" ht="84" customHeight="1">
      <x:c r="A894" s="368" t="str">
        <x:v>LO5-173</x:v>
      </x:c>
      <x:c r="B894" s="171" t="str">
        <x:v>LO5</x:v>
      </x:c>
      <x:c r="C894" s="165" t="str">
        <x:v>情報提供・推奨・保管・サービス</x:v>
      </x:c>
      <x:c r="D894" s="165" t="str">
        <x:v>妊娠中の飲酒相談</x:v>
      </x:c>
      <x:c r="E894" s="165" t="str">
        <x:v>妊娠中の飲酒について質問された際、ワインスタッフとして最も適切な対応はどれか。</x:v>
      </x:c>
      <x:c r="F894" s="165" t="str">
        <x:v>個別の安全量を提示せず、医療専門家と公的な健康指針を確認し、ノンアルコール選択肢を案内する</x:v>
      </x:c>
      <x:c r="G894" s="165" t="str">
        <x:v>一般的な一杯の量を示し、その範囲なら多くの人に安全と説明する</x:v>
      </x:c>
      <x:c r="H894" s="165" t="str">
        <x:v>赤ワインはポリフェノールを含むため、白ワインより安全と説明する</x:v>
      </x:c>
      <x:c r="I894" s="165" t="str">
        <x:v>料理に使ったワインなら加熱時間にかかわらずアルコールが残らないと説明する</x:v>
      </x:c>
      <x:c r="J894" s="171" t="str">
        <x:v>A</x:v>
      </x:c>
      <x:c r="K894" s="165" t="str">
        <x:v>個別の安全量を提示せず、医療専門家と公的な健康指針を確認し、ノンアルコール選択肢を案内する</x:v>
      </x:c>
      <x:c r="L894" s="165" t="str">
        <x:v>正しい。個人差のある医療判断を行わず、安全を優先した情報源と代替飲料を案内する。</x:v>
      </x:c>
      <x:c r="M894" s="165" t="str">
        <x:v>正しい。個人差のある医療判断を行わず、安全を優先した情報源と代替飲料を案内する。</x:v>
      </x:c>
      <x:c r="N894" s="165" t="str">
        <x:v>誤り。普遍的な安全量をスタッフが保証することはできない。</x:v>
      </x:c>
      <x:c r="O894" s="165" t="str">
        <x:v>誤り。ワインの色やポリフェノールで妊娠中の安全性を判断できない。</x:v>
      </x:c>
      <x:c r="P894" s="165" t="str">
        <x:v>誤り。調理後のアルコール残存量は時間と方法で異なり、常にゼロとは限らない。</x:v>
      </x:c>
      <x:c r="Q894" s="165" t="str">
        <x:v>責任ある飲酒</x:v>
      </x:c>
      <x:c r="R894" s="165" t="str">
        <x:v>健康情報</x:v>
      </x:c>
      <x:c r="S894" s="165" t="str">
        <x:v>全般</x:v>
      </x:c>
      <x:c r="T894" s="165"/>
      <x:c r="U894" s="165"/>
      <x:c r="V894" s="165"/>
      <x:c r="W894" s="165" t="str">
        <x:v>判断</x:v>
      </x:c>
      <x:c r="X894" s="171" t="str">
        <x:v>D3</x:v>
      </x:c>
      <x:c r="Y894" s="165" t="str">
        <x:v>妊娠中の普遍的な安全量を提示できる; 赤ワインは白より妊娠中に安全; 料理用ワインのアルコールは必ず完全蒸発</x:v>
      </x:c>
      <x:c r="Z894" s="171" t="str">
        <x:v>Y</x:v>
      </x:c>
      <x:c r="AA894" s="165" t="str">
        <x:v>健康・医療関連の高リスク表現のため、公的指針と専門家による最終確認必須</x:v>
      </x:c>
      <x:c r="AB894" s="165" t="str">
        <x:v>オリジナル</x:v>
      </x:c>
      <x:c r="AC894" s="165" t="str">
        <x:v>WSET公式Specificationの範囲＋ユーザー作成コーパスの論点を参考に独自作成</x:v>
      </x:c>
      <x:c r="AD894" s="171" t="str">
        <x:v>改稿済み・専門家未承認</x:v>
      </x:c>
      <x:c r="AE894" s="171" t="str">
        <x:v>AI誤答レビュー</x:v>
      </x:c>
      <x:c r="AF894" s="171" t="str">
        <x:v>2026-07-12</x:v>
      </x:c>
      <x:c r="AG894" s="369" t="str">
        <x:v>第2バッチ：誤答を同一論点内の典型的誤概念へ置換。正答位置は維持。</x:v>
      </x:c>
    </x:row>
    <x:row r="895" ht="84" customHeight="1">
      <x:c r="A895" s="368" t="str">
        <x:v>LO5-174</x:v>
      </x:c>
      <x:c r="B895" s="171" t="str">
        <x:v>LO5</x:v>
      </x:c>
      <x:c r="C895" s="165" t="str">
        <x:v>情報提供・推奨・保管・サービス</x:v>
      </x:c>
      <x:c r="D895" s="165" t="str">
        <x:v>料理中のアルコール</x:v>
      </x:c>
      <x:c r="E895" s="165" t="str">
        <x:v>ワインを料理に使えばアルコールが直ちにすべて消えるという説明が不正確な理由はどれか。</x:v>
      </x:c>
      <x:c r="F895" s="165" t="str">
        <x:v>ワインの色だけで残量が決まる</x:v>
      </x:c>
      <x:c r="G895" s="165" t="str">
        <x:v>残る量は加熱時間、温度、調理方法、鍋の形などに左右される</x:v>
      </x:c>
      <x:c r="H895" s="165" t="str">
        <x:v>アルコールは水より蒸発しない</x:v>
      </x:c>
      <x:c r="I895" s="165" t="str">
        <x:v>加熱するとアルコールが増える</x:v>
      </x:c>
      <x:c r="J895" s="171" t="str">
        <x:v>B</x:v>
      </x:c>
      <x:c r="K895" s="165" t="str">
        <x:v>残る量は加熱時間、温度、調理方法、鍋の形などに左右される</x:v>
      </x:c>
      <x:c r="L895" s="165" t="str">
        <x:v>正しい。短時間の加熱では一部が残り得るため、健康上の相談には断定せず適切な情報源を案内する。</x:v>
      </x:c>
      <x:c r="M895" s="165" t="str">
        <x:v>誤り。調理条件が重要である。</x:v>
      </x:c>
      <x:c r="N895" s="165" t="str">
        <x:v>正しい。短時間の加熱では一部が残り得るため、健康上の相談には断定せず適切な情報源を案内する。</x:v>
      </x:c>
      <x:c r="O895" s="165" t="str">
        <x:v>誤り。揮発するが、瞬時にゼロにはならない。</x:v>
      </x:c>
      <x:c r="P895" s="165" t="str">
        <x:v>誤り。一般に一部は蒸発する。</x:v>
      </x:c>
      <x:c r="Q895" s="165" t="str">
        <x:v>情報提供</x:v>
      </x:c>
      <x:c r="R895" s="165" t="str">
        <x:v>料理と健康</x:v>
      </x:c>
      <x:c r="S895" s="165" t="str">
        <x:v>全般</x:v>
      </x:c>
      <x:c r="T895" s="165"/>
      <x:c r="U895" s="165"/>
      <x:c r="V895" s="165"/>
      <x:c r="W895" s="165" t="str">
        <x:v>因果説明</x:v>
      </x:c>
      <x:c r="X895" s="171" t="str">
        <x:v>D3</x:v>
      </x:c>
      <x:c r="Y895" s="165" t="str">
        <x:v>料理中のアルコールについて関連要因を主因とみなす; 料理中のアルコールについて関連要因を主因とみなす; 料理中のアルコールについて関連要因を主因とみなす</x:v>
      </x:c>
      <x:c r="Z895" s="171" t="str">
        <x:v>Y</x:v>
      </x:c>
      <x:c r="AA895" s="165" t="str">
        <x:v>健康関連情報のため、具体的残存率を示さず一般原則として専門家確認推奨</x:v>
      </x:c>
      <x:c r="AB895" s="165" t="str">
        <x:v>オリジナル</x:v>
      </x:c>
      <x:c r="AC895" s="165" t="str">
        <x:v>WSET公式Specificationの範囲＋ユーザー作成コーパスの論点を参考に独自作成</x:v>
      </x:c>
      <x:c r="AD895" s="171" t="str">
        <x:v>改稿済み・専門家未承認</x:v>
      </x:c>
      <x:c r="AE895" s="171" t="str">
        <x:v>AI誤答レビュー</x:v>
      </x:c>
      <x:c r="AF895" s="171" t="str">
        <x:v>2026-07-12</x:v>
      </x:c>
      <x:c r="AG895" s="369" t="str">
        <x:v>第5バッチ：使用可能な誤答を維持し、弱い誤答を因果逆転・隣接概念へ置換。正答位置は維持。</x:v>
      </x:c>
    </x:row>
    <x:row r="896" ht="84" customHeight="1">
      <x:c r="A896" s="368" t="str">
        <x:v>LO5-175</x:v>
      </x:c>
      <x:c r="B896" s="171" t="str">
        <x:v>LO5</x:v>
      </x:c>
      <x:c r="C896" s="165" t="str">
        <x:v>情報提供・推奨・保管・サービス</x:v>
      </x:c>
      <x:c r="D896" s="165" t="str">
        <x:v>スピットーン</x:v>
      </x:c>
      <x:c r="E896" s="165" t="str">
        <x:v>多数のワインを評価するテイスティングでスピットーンを用いる主な理由はどれか。</x:v>
      </x:c>
      <x:c r="F896" s="165" t="str">
        <x:v>スピットーンが香りを改善する</x:v>
      </x:c>
      <x:c r="G896" s="165" t="str">
        <x:v>吐き出すとワインの品質が上がる</x:v>
      </x:c>
      <x:c r="H896" s="165" t="str">
        <x:v>感覚評価を続けながらアルコール摂取量を大幅に減らす</x:v>
      </x:c>
      <x:c r="I896" s="165" t="str">
        <x:v>吐き出せば口に入れたアルコールがほとんど吸収されない</x:v>
      </x:c>
      <x:c r="J896" s="171" t="str">
        <x:v>C</x:v>
      </x:c>
      <x:c r="K896" s="165" t="str">
        <x:v>感覚評価を続けながらアルコール摂取量を大幅に減らす</x:v>
      </x:c>
      <x:c r="L896" s="165" t="str">
        <x:v>正しい。安全と集中力を保ち、後半のワインも比較的正確に評価できる。</x:v>
      </x:c>
      <x:c r="M896" s="165" t="str">
        <x:v>誤り。廃液容器である。</x:v>
      </x:c>
      <x:c r="N896" s="165" t="str">
        <x:v>誤り。試料の品質は変わらない。</x:v>
      </x:c>
      <x:c r="O896" s="165" t="str">
        <x:v>正しい。安全と集中力を保ち、後半のワインも比較的正確に評価できる。</x:v>
      </x:c>
      <x:c r="P896" s="165" t="str">
        <x:v>誤り。少量は口腔から吸収され得る。</x:v>
      </x:c>
      <x:c r="Q896" s="165" t="str">
        <x:v>責任ある飲酒</x:v>
      </x:c>
      <x:c r="R896" s="165" t="str">
        <x:v>テイスティング</x:v>
      </x:c>
      <x:c r="S896" s="165" t="str">
        <x:v>全般</x:v>
      </x:c>
      <x:c r="T896" s="165"/>
      <x:c r="U896" s="165"/>
      <x:c r="V896" s="165"/>
      <x:c r="W896" s="165" t="str">
        <x:v>因果説明</x:v>
      </x:c>
      <x:c r="X896" s="171" t="str">
        <x:v>D1</x:v>
      </x:c>
      <x:c r="Y896" s="165" t="str">
        <x:v>スピットーンについて関連要因を主因とみなす; スピットーンについて関連要因を主因とみなす; スピットーンについて関連要因を主因とみなす</x:v>
      </x:c>
      <x:c r="Z896" s="171" t="str">
        <x:v>N</x:v>
      </x:c>
      <x:c r="AA896" s="165"/>
      <x:c r="AB896" s="165" t="str">
        <x:v>オリジナル</x:v>
      </x:c>
      <x:c r="AC896" s="165" t="str">
        <x:v>WSET公式Specificationの範囲＋ユーザー作成コーパスの論点を参考に独自作成</x:v>
      </x:c>
      <x:c r="AD896" s="171" t="str">
        <x:v>改稿済み・専門家未承認</x:v>
      </x:c>
      <x:c r="AE896" s="171" t="str">
        <x:v>AI誤答レビュー</x:v>
      </x:c>
      <x:c r="AF896" s="171" t="str">
        <x:v>2026-07-12</x:v>
      </x:c>
      <x:c r="AG896" s="369" t="str">
        <x:v>第5バッチ：使用可能な誤答を維持し、弱い誤答を因果逆転・隣接概念へ置換。正答位置は維持。</x:v>
      </x:c>
    </x:row>
    <x:row r="897" ht="84" customHeight="1">
      <x:c r="A897" s="368" t="str">
        <x:v>LO5-176</x:v>
      </x:c>
      <x:c r="B897" s="171" t="str">
        <x:v>LO5</x:v>
      </x:c>
      <x:c r="C897" s="165" t="str">
        <x:v>情報提供・推奨・保管・サービス</x:v>
      </x:c>
      <x:c r="D897" s="165" t="str">
        <x:v>味覚疲労</x:v>
      </x:c>
      <x:c r="E897" s="165" t="str">
        <x:v>長いテイスティングで味覚疲労を抑える方法として最も適切なものはどれか。</x:v>
      </x:c>
      <x:c r="F897" s="165" t="str">
        <x:v>多くのワインを一気に飲む</x:v>
      </x:c>
      <x:c r="G897" s="165" t="str">
        <x:v>辛い料理を頻繁に食べる</x:v>
      </x:c>
      <x:c r="H897" s="165" t="str">
        <x:v>香りの強いコーヒーを飲みながら、休憩せず試飲を続ける</x:v>
      </x:c>
      <x:c r="I897" s="165" t="str">
        <x:v>休憩、水、少量の無味なクラッカー、適切な順序、ワインを吐き出す</x:v>
      </x:c>
      <x:c r="J897" s="171" t="str">
        <x:v>D</x:v>
      </x:c>
      <x:c r="K897" s="165" t="str">
        <x:v>休憩、水、少量の無味なクラッカー、適切な順序、ワインを吐き出す</x:v>
      </x:c>
      <x:c r="L897" s="165" t="str">
        <x:v>正しい。強い甘味、タンニン、アルコールの蓄積を抑え、嗅覚と味覚を回復させる。</x:v>
      </x:c>
      <x:c r="M897" s="165" t="str">
        <x:v>誤り。酩酊と感覚疲労を増す。</x:v>
      </x:c>
      <x:c r="N897" s="165" t="str">
        <x:v>誤り。口中の刺激が評価を妨げる。</x:v>
      </x:c>
      <x:c r="O897" s="165" t="str">
        <x:v>誤り。強い香りと連続試飲は嗅覚・味覚疲労を増やす。</x:v>
      </x:c>
      <x:c r="P897" s="165" t="str">
        <x:v>正しい。強い甘味、タンニン、アルコールの蓄積を抑え、嗅覚と味覚を回復させる。</x:v>
      </x:c>
      <x:c r="Q897" s="165" t="str">
        <x:v>テイスティング</x:v>
      </x:c>
      <x:c r="R897" s="165" t="str">
        <x:v>感覚管理</x:v>
      </x:c>
      <x:c r="S897" s="165" t="str">
        <x:v>全般</x:v>
      </x:c>
      <x:c r="T897" s="165"/>
      <x:c r="U897" s="165"/>
      <x:c r="V897" s="165"/>
      <x:c r="W897" s="165" t="str">
        <x:v>適用</x:v>
      </x:c>
      <x:c r="X897" s="171" t="str">
        <x:v>D2</x:v>
      </x:c>
      <x:c r="Y897" s="165" t="str">
        <x:v>味覚疲労について関連要因を主因とみなす; 味覚疲労について関連要因を主因とみなす; 強いコーヒーで感覚疲労を防げる</x:v>
      </x:c>
      <x:c r="Z897" s="171" t="str">
        <x:v>N</x:v>
      </x:c>
      <x:c r="AA897" s="165"/>
      <x:c r="AB897" s="165" t="str">
        <x:v>オリジナル</x:v>
      </x:c>
      <x:c r="AC897" s="165" t="str">
        <x:v>WSET公式Specificationの範囲＋ユーザー作成コーパスの論点を参考に独自作成</x:v>
      </x:c>
      <x:c r="AD897" s="171" t="str">
        <x:v>改稿済み・専門家未承認</x:v>
      </x:c>
      <x:c r="AE897" s="171" t="str">
        <x:v>AI誤答レビュー</x:v>
      </x:c>
      <x:c r="AF897" s="171" t="str">
        <x:v>2026-07-12</x:v>
      </x:c>
      <x:c r="AG897" s="369" t="str">
        <x:v>第5バッチ：使用可能な誤答を維持し、弱い誤答を因果逆転・隣接概念へ置換。正答位置は維持。</x:v>
      </x:c>
    </x:row>
    <x:row r="898" ht="84" customHeight="1">
      <x:c r="A898" s="368" t="str">
        <x:v>LO5-177</x:v>
      </x:c>
      <x:c r="B898" s="171" t="str">
        <x:v>LO5</x:v>
      </x:c>
      <x:c r="C898" s="165" t="str">
        <x:v>情報提供・推奨・保管・サービス</x:v>
      </x:c>
      <x:c r="D898" s="165" t="str">
        <x:v>口直し</x:v>
      </x:c>
      <x:c r="E898" s="165" t="str">
        <x:v>テイスティング中の口直しに無塩のクラッカーやパンが用いられる主な理由はどれか。</x:v>
      </x:c>
      <x:c r="F898" s="165" t="str">
        <x:v>香りと味が弱く、口中のワインを除きながら次の試料へ影響しにくい</x:v>
      </x:c>
      <x:c r="G898" s="165" t="str">
        <x:v>パンが残糖を測定する</x:v>
      </x:c>
      <x:c r="H898" s="165" t="str">
        <x:v>クラッカーがアルコールを化学的に分解する</x:v>
      </x:c>
      <x:c r="I898" s="165" t="str">
        <x:v>塩味が強いほど中立的になる</x:v>
      </x:c>
      <x:c r="J898" s="171" t="str">
        <x:v>A</x:v>
      </x:c>
      <x:c r="K898" s="165" t="str">
        <x:v>香りと味が弱く、口中のワインを除きながら次の試料へ影響しにくい</x:v>
      </x:c>
      <x:c r="L898" s="165" t="str">
        <x:v>正しい。強い塩味、甘味、脂肪、香辛料はワインの知覚を変えるため避ける。</x:v>
      </x:c>
      <x:c r="M898" s="165" t="str">
        <x:v>正しい。強い塩味、甘味、脂肪、香辛料はワインの知覚を変えるため避ける。</x:v>
      </x:c>
      <x:c r="N898" s="165" t="str">
        <x:v>誤り。分析機器ではない。</x:v>
      </x:c>
      <x:c r="O898" s="165" t="str">
        <x:v>誤り。摂取したアルコールを消さない。</x:v>
      </x:c>
      <x:c r="P898" s="165" t="str">
        <x:v>誤り。塩味はワインの酸や果実味の知覚を変える。</x:v>
      </x:c>
      <x:c r="Q898" s="165" t="str">
        <x:v>テイスティング</x:v>
      </x:c>
      <x:c r="R898" s="165" t="str">
        <x:v>感覚管理</x:v>
      </x:c>
      <x:c r="S898" s="165" t="str">
        <x:v>全般</x:v>
      </x:c>
      <x:c r="T898" s="165"/>
      <x:c r="U898" s="165"/>
      <x:c r="V898" s="165"/>
      <x:c r="W898" s="165" t="str">
        <x:v>因果説明</x:v>
      </x:c>
      <x:c r="X898" s="171" t="str">
        <x:v>D1</x:v>
      </x:c>
      <x:c r="Y898" s="165" t="str">
        <x:v>口直しについて関連要因を主因とみなす; 口直しについて関連要因を主因とみなす; 口直しについて関連要因を主因とみなす</x:v>
      </x:c>
      <x:c r="Z898" s="171" t="str">
        <x:v>N</x:v>
      </x:c>
      <x:c r="AA898" s="165"/>
      <x:c r="AB898" s="165" t="str">
        <x:v>オリジナル</x:v>
      </x:c>
      <x:c r="AC898" s="165" t="str">
        <x:v>WSET公式Specificationの範囲＋ユーザー作成コーパスの論点を参考に独自作成</x:v>
      </x:c>
      <x:c r="AD898" s="171" t="str">
        <x:v>改稿済み・専門家未承認</x:v>
      </x:c>
      <x:c r="AE898" s="171" t="str">
        <x:v>AI誤答レビュー</x:v>
      </x:c>
      <x:c r="AF898" s="171" t="str">
        <x:v>2026-07-12</x:v>
      </x:c>
      <x:c r="AG898" s="369" t="str">
        <x:v>第5バッチ：使用可能な誤答を維持し、弱い誤答を因果逆転・隣接概念へ置換。正答位置は維持。</x:v>
      </x:c>
    </x:row>
    <x:row r="899" ht="84" customHeight="1">
      <x:c r="A899" s="368" t="str">
        <x:v>LO5-178</x:v>
      </x:c>
      <x:c r="B899" s="171" t="str">
        <x:v>LO5</x:v>
      </x:c>
      <x:c r="C899" s="165" t="str">
        <x:v>情報提供・推奨・保管・サービス</x:v>
      </x:c>
      <x:c r="D899" s="165" t="str">
        <x:v>ワインリストの価格構成</x:v>
      </x:c>
      <x:c r="E899" s="165" t="str">
        <x:v>同じ仕入原価率でも高価なワインの販売価格を柔軟に設定することがある主な理由はどれか。</x:v>
      </x:c>
      <x:c r="F899" s="165" t="str">
        <x:v>高価なワインは保管費がかからないため</x:v>
      </x:c>
      <x:c r="G899" s="165" t="str">
        <x:v>一律の倍率ではなく、上乗せ額、在庫回転、保管費、破損リスク、需要を考慮する</x:v>
      </x:c>
      <x:c r="H899" s="165" t="str">
        <x:v>販売価格でワインのアルコール度が変わる</x:v>
      </x:c>
      <x:c r="I899" s="165" t="str">
        <x:v>価格は品質と無関係なので任意に決める</x:v>
      </x:c>
      <x:c r="J899" s="171" t="str">
        <x:v>B</x:v>
      </x:c>
      <x:c r="K899" s="165" t="str">
        <x:v>一律の倍率ではなく、上乗せ額、在庫回転、保管費、破損リスク、需要を考慮する</x:v>
      </x:c>
      <x:c r="L899" s="165" t="str">
        <x:v>正しい。一律の倍率だけでは高級ワインが極端に高くなり、販売と在庫効率を損なう場合がある。</x:v>
      </x:c>
      <x:c r="M899" s="165" t="str">
        <x:v>誤り。資金と保管空間を長く拘束することがある。</x:v>
      </x:c>
      <x:c r="N899" s="165" t="str">
        <x:v>正しい。一律の倍率だけでは高級ワインが極端に高くなり、販売と在庫効率を損なう場合がある。</x:v>
      </x:c>
      <x:c r="O899" s="165" t="str">
        <x:v>誤り。成分は変わらない。</x:v>
      </x:c>
      <x:c r="P899" s="165" t="str">
        <x:v>誤り。コストと市場を考慮する。</x:v>
      </x:c>
      <x:c r="Q899" s="165" t="str">
        <x:v>商業・推奨</x:v>
      </x:c>
      <x:c r="R899" s="165" t="str">
        <x:v>ワインリスト</x:v>
      </x:c>
      <x:c r="S899" s="165" t="str">
        <x:v>全般</x:v>
      </x:c>
      <x:c r="T899" s="165"/>
      <x:c r="U899" s="165"/>
      <x:c r="V899" s="165"/>
      <x:c r="W899" s="165" t="str">
        <x:v>統合判断</x:v>
      </x:c>
      <x:c r="X899" s="171" t="str">
        <x:v>D3</x:v>
      </x:c>
      <x:c r="Y899" s="165" t="str">
        <x:v>ワインリストの価格構成について関連要因を主因とみなす; ワインリストの価格構成について関連要因を主因とみなす; ワインリストの価格構成について関連要因を主因とみなす</x:v>
      </x:c>
      <x:c r="Z899" s="171" t="str">
        <x:v>N</x:v>
      </x:c>
      <x:c r="AA899" s="165"/>
      <x:c r="AB899" s="165" t="str">
        <x:v>オリジナル</x:v>
      </x:c>
      <x:c r="AC899" s="165" t="str">
        <x:v>WSET公式Specificationの範囲＋ユーザー作成コーパスの論点を参考に独自作成</x:v>
      </x:c>
      <x:c r="AD899" s="171" t="str">
        <x:v>改稿済み・専門家未承認</x:v>
      </x:c>
      <x:c r="AE899" s="171" t="str">
        <x:v>AI誤答レビュー</x:v>
      </x:c>
      <x:c r="AF899" s="171" t="str">
        <x:v>2026-07-12</x:v>
      </x:c>
      <x:c r="AG899" s="369" t="str">
        <x:v>第5バッチ：使用可能な誤答を維持し、弱い誤答を因果逆転・隣接概念へ置換。正答位置は維持。</x:v>
      </x:c>
    </x:row>
    <x:row r="900" ht="84" customHeight="1">
      <x:c r="A900" s="368" t="str">
        <x:v>LO5-179</x:v>
      </x:c>
      <x:c r="B900" s="171" t="str">
        <x:v>LO5</x:v>
      </x:c>
      <x:c r="C900" s="165" t="str">
        <x:v>情報提供・推奨・保管・サービス</x:v>
      </x:c>
      <x:c r="D900" s="165" t="str">
        <x:v>季節に応じた推奨</x:v>
      </x:c>
      <x:c r="E900" s="165" t="str">
        <x:v>暑い季節に軽快なワインを提案する際、適切な特徴はどれか。</x:v>
      </x:c>
      <x:c r="F900" s="165" t="str">
        <x:v>低い酸、控えめなアルコール、フレッシュな果実味、適切に冷やせるスタイル</x:v>
      </x:c>
      <x:c r="G900" s="165" t="str">
        <x:v>高いアルコール、強いタンニン、長期酸化熟成香を持つスタイル</x:v>
      </x:c>
      <x:c r="H900" s="165" t="str">
        <x:v>高い酸、控えめなアルコール、フレッシュな果実味、適切に冷やせるスタイル</x:v>
      </x:c>
      <x:c r="I900" s="165" t="str">
        <x:v>酸が低く残糖が高いほど、爽やかに感じるスタイル</x:v>
      </x:c>
      <x:c r="J900" s="171" t="str">
        <x:v>C</x:v>
      </x:c>
      <x:c r="K900" s="165" t="str">
        <x:v>高い酸、控えめなアルコール、フレッシュな果実味、適切に冷やせるスタイル</x:v>
      </x:c>
      <x:c r="L900" s="165" t="str">
        <x:v>正しい。季節、料理、好みに合わせて白、ロゼ、発泡性、軽い赤を提案できる。</x:v>
      </x:c>
      <x:c r="M900" s="165" t="str">
        <x:v>誤り。正答では「高い酸」ことが重要であり、この選択肢は「低い酸」へ置き換えて関係を逆にしている。</x:v>
      </x:c>
      <x:c r="N900" s="165" t="str">
        <x:v>誤り。暑い季節には熱感と重さが強くなりやすい。</x:v>
      </x:c>
      <x:c r="O900" s="165" t="str">
        <x:v>正しい。季節、料理、好みに合わせて白、ロゼ、発泡性、軽い赤を提案できる。</x:v>
      </x:c>
      <x:c r="P900" s="165" t="str">
        <x:v>誤り。低酸・高甘味は重く感じやすい。</x:v>
      </x:c>
      <x:c r="Q900" s="165" t="str">
        <x:v>推奨</x:v>
      </x:c>
      <x:c r="R900" s="165" t="str">
        <x:v>季節</x:v>
      </x:c>
      <x:c r="S900" s="165" t="str">
        <x:v>全般</x:v>
      </x:c>
      <x:c r="T900" s="165"/>
      <x:c r="U900" s="165"/>
      <x:c r="V900" s="165"/>
      <x:c r="W900" s="165" t="str">
        <x:v>適用</x:v>
      </x:c>
      <x:c r="X900" s="171" t="str">
        <x:v>D2</x:v>
      </x:c>
      <x:c r="Y900" s="165" t="str">
        <x:v>「高い酸」と「低い酸」の関係を逆転; 夏は高アルコール高タンニン; 夏は低酸高残糖</x:v>
      </x:c>
      <x:c r="Z900" s="171" t="str">
        <x:v>N</x:v>
      </x:c>
      <x:c r="AA900" s="165"/>
      <x:c r="AB900" s="165" t="str">
        <x:v>オリジナル</x:v>
      </x:c>
      <x:c r="AC900" s="165" t="str">
        <x:v>WSET公式Specificationの範囲＋ユーザー作成コーパスの論点を参考に独自作成</x:v>
      </x:c>
      <x:c r="AD900" s="171" t="str">
        <x:v>改稿済み・専門家未承認</x:v>
      </x:c>
      <x:c r="AE900" s="171" t="str">
        <x:v>AI誤答レビュー</x:v>
      </x:c>
      <x:c r="AF900" s="171" t="str">
        <x:v>2026-07-12</x:v>
      </x:c>
      <x:c r="AG900" s="369" t="str">
        <x:v>第4バッチ：同一論点内の典型的誤概念へ置換。正答位置は維持。</x:v>
      </x:c>
    </x:row>
    <x:row r="901" ht="84" customHeight="1">
      <x:c r="A901" s="370" t="str">
        <x:v>LO5-180</x:v>
      </x:c>
      <x:c r="B901" s="374" t="str">
        <x:v>LO5</x:v>
      </x:c>
      <x:c r="C901" s="371" t="str">
        <x:v>情報提供・推奨・保管・サービス</x:v>
      </x:c>
      <x:c r="D901" s="371" t="str">
        <x:v>イベントの飲料計画</x:v>
      </x:c>
      <x:c r="E901" s="371" t="str">
        <x:v>イベント用のワインを計画する際、単純に参加人数だけで本数を決めない方がよい理由はどれか。</x:v>
      </x:c>
      <x:c r="F901" s="371" t="str">
        <x:v>参加者一人当たりの標準本数を使えば、時間や料理にかかわらず必要量を正確に決められる</x:v>
      </x:c>
      <x:c r="G901" s="371" t="str">
        <x:v>飲酒予定者の人数だけを数えればよく、水やノンアルコール飲料はワイン量の計算へ影響しない</x:v>
      </x:c>
      <x:c r="H901" s="371" t="str">
        <x:v>不足を避けるため最大量を用意すればよく、提供ペースや帰宅手段は別の問題である</x:v>
      </x:c>
      <x:c r="I901" s="371" t="str">
        <x:v>時間、料理、提供量、飲酒者の割合、ノンアルコール選択肢、帰宅手段を考慮する必要がある</x:v>
      </x:c>
      <x:c r="J901" s="374" t="str">
        <x:v>D</x:v>
      </x:c>
      <x:c r="K901" s="371" t="str">
        <x:v>時間、料理、提供量、飲酒者の割合、ノンアルコール選択肢、帰宅手段を考慮する必要がある</x:v>
      </x:c>
      <x:c r="L901" s="371" t="str">
        <x:v>正しい。需要予測と責任あるサービスの双方を考慮した計画が必要である。</x:v>
      </x:c>
      <x:c r="M901" s="371" t="str">
        <x:v>誤り。イベント時間、グラス量、飲酒習慣で必要量は変わり、固定本数だけでは正確でない。</x:v>
      </x:c>
      <x:c r="N901" s="371" t="str">
        <x:v>誤り。水や代替飲料の充実はワイン消費量と責任ある提供へ影響する。</x:v>
      </x:c>
      <x:c r="O901" s="371" t="str">
        <x:v>誤り。過剰在庫だけでなく過剰提供のリスクがあり、安全計画と一体で考える必要がある。</x:v>
      </x:c>
      <x:c r="P901" s="371" t="str">
        <x:v>正しい。需要予測と責任あるサービスの双方を考慮した計画が必要である。</x:v>
      </x:c>
      <x:c r="Q901" s="371" t="str">
        <x:v>責任ある飲酒</x:v>
      </x:c>
      <x:c r="R901" s="371" t="str">
        <x:v>イベント計画</x:v>
      </x:c>
      <x:c r="S901" s="371" t="str">
        <x:v>全般</x:v>
      </x:c>
      <x:c r="T901" s="371"/>
      <x:c r="U901" s="371"/>
      <x:c r="V901" s="371"/>
      <x:c r="W901" s="371" t="str">
        <x:v>統合判断</x:v>
      </x:c>
      <x:c r="X901" s="374" t="str">
        <x:v>D3</x:v>
      </x:c>
      <x:c r="Y901" s="371" t="str">
        <x:v>人数当たり固定本数で正確に計画できる; 水・ノンアル飲料はワイン需要に影響しない; 最大量確保を優先し提供ペース・帰宅手段は無関係</x:v>
      </x:c>
      <x:c r="Z901" s="374" t="str">
        <x:v>Y</x:v>
      </x:c>
      <x:c r="AA901" s="371" t="str">
        <x:v>イベント提供量・責任ある提供は地域法規と主催者方針に従う必要がある</x:v>
      </x:c>
      <x:c r="AB901" s="371" t="str">
        <x:v>オリジナル</x:v>
      </x:c>
      <x:c r="AC901" s="371" t="str">
        <x:v>WSET公式Specificationの範囲＋ユーザー作成コーパスの論点を参考に独自作成</x:v>
      </x:c>
      <x:c r="AD901" s="374" t="str">
        <x:v>改稿済み・専門家未承認</x:v>
      </x:c>
      <x:c r="AE901" s="374" t="str">
        <x:v>AI誤答レビュー</x:v>
      </x:c>
      <x:c r="AF901" s="374" t="str">
        <x:v>2026-07-12</x:v>
      </x:c>
      <x:c r="AG901" s="372" t="str">
        <x:v>第2バッチ：誤答を同一論点内の典型的誤概念へ置換。正答位置は維持。</x:v>
      </x:c>
    </x:row>
  </x:sheetData>
  <x:conditionalFormatting sqref="A2:AG101">
    <x:cfRule type="expression" dxfId="0" priority="1">
      <x:formula>$B2="LO1"</x:formula>
    </x:cfRule>
    <x:cfRule type="expression" dxfId="1" priority="2">
      <x:formula>$B2="LO2"</x:formula>
    </x:cfRule>
    <x:cfRule type="expression" dxfId="2" priority="3">
      <x:formula>$B2="LO3"</x:formula>
    </x:cfRule>
    <x:cfRule type="expression" dxfId="3" priority="4">
      <x:formula>$B2="LO4"</x:formula>
    </x:cfRule>
    <x:cfRule type="expression" dxfId="4" priority="5">
      <x:formula>$B2="LO5"</x:formula>
    </x:cfRule>
  </x:conditionalFormatting>
  <x:conditionalFormatting sqref="Z2:Z101">
    <x:cfRule type="expression" dxfId="5" priority="6">
      <x:formula>$Z2="Y"</x:formula>
    </x:cfRule>
  </x:conditionalFormatting>
  <x:conditionalFormatting sqref="AD2:AD101">
    <x:cfRule type="expression" dxfId="6" priority="7">
      <x:formula>$AD2="承認"</x:formula>
    </x:cfRule>
    <x:cfRule type="expression" dxfId="7" priority="8">
      <x:formula>$AD2="修正要"</x:formula>
    </x:cfRule>
  </x:conditionalFormatting>
  <x:conditionalFormatting sqref="A102:AG301">
    <x:cfRule type="expression" dxfId="8" priority="9">
      <x:formula>$B102="LO1"</x:formula>
    </x:cfRule>
    <x:cfRule type="expression" dxfId="9" priority="10">
      <x:formula>$B102="LO2"</x:formula>
    </x:cfRule>
    <x:cfRule type="expression" dxfId="10" priority="11">
      <x:formula>$B102="LO3"</x:formula>
    </x:cfRule>
    <x:cfRule type="expression" dxfId="11" priority="12">
      <x:formula>$B102="LO4"</x:formula>
    </x:cfRule>
    <x:cfRule type="expression" dxfId="12" priority="13">
      <x:formula>$B102="LO5"</x:formula>
    </x:cfRule>
  </x:conditionalFormatting>
  <x:conditionalFormatting sqref="Z102:Z301">
    <x:cfRule type="expression" dxfId="13" priority="14">
      <x:formula>$Z102="Y"</x:formula>
    </x:cfRule>
  </x:conditionalFormatting>
  <x:conditionalFormatting sqref="AD102:AD301">
    <x:cfRule type="expression" dxfId="14" priority="15">
      <x:formula>$AD102="承認"</x:formula>
    </x:cfRule>
    <x:cfRule type="expression" dxfId="15" priority="16">
      <x:formula>$AD102="修正要"</x:formula>
    </x:cfRule>
  </x:conditionalFormatting>
  <x:conditionalFormatting sqref="A302:AG601">
    <x:cfRule type="expression" dxfId="16" priority="17">
      <x:formula>$B302="LO1"</x:formula>
    </x:cfRule>
    <x:cfRule type="expression" dxfId="17" priority="18">
      <x:formula>$B302="LO2"</x:formula>
    </x:cfRule>
    <x:cfRule type="expression" dxfId="18" priority="19">
      <x:formula>$B302="LO3"</x:formula>
    </x:cfRule>
    <x:cfRule type="expression" dxfId="19" priority="20">
      <x:formula>$B302="LO4"</x:formula>
    </x:cfRule>
    <x:cfRule type="expression" dxfId="20" priority="21">
      <x:formula>$B302="LO5"</x:formula>
    </x:cfRule>
  </x:conditionalFormatting>
  <x:conditionalFormatting sqref="Z302:Z601">
    <x:cfRule type="expression" dxfId="21" priority="22">
      <x:formula>$Z302="Y"</x:formula>
    </x:cfRule>
  </x:conditionalFormatting>
  <x:conditionalFormatting sqref="AD302:AD601">
    <x:cfRule type="expression" dxfId="22" priority="23">
      <x:formula>$AD302="承認"</x:formula>
    </x:cfRule>
    <x:cfRule type="expression" dxfId="23" priority="24">
      <x:formula>$AD302="修正要"</x:formula>
    </x:cfRule>
  </x:conditionalFormatting>
  <x:conditionalFormatting sqref="A602:AG901">
    <x:cfRule type="expression" dxfId="24" priority="25">
      <x:formula>$B602="LO1"</x:formula>
    </x:cfRule>
    <x:cfRule type="expression" dxfId="25" priority="26">
      <x:formula>$B602="LO2"</x:formula>
    </x:cfRule>
    <x:cfRule type="expression" dxfId="26" priority="27">
      <x:formula>$B602="LO3"</x:formula>
    </x:cfRule>
    <x:cfRule type="expression" dxfId="27" priority="28">
      <x:formula>$B602="LO4"</x:formula>
    </x:cfRule>
    <x:cfRule type="expression" dxfId="28" priority="29">
      <x:formula>$B602="LO5"</x:formula>
    </x:cfRule>
  </x:conditionalFormatting>
  <x:conditionalFormatting sqref="Z602:Z901">
    <x:cfRule type="expression" dxfId="29" priority="30">
      <x:formula>$Z602="Y"</x:formula>
    </x:cfRule>
  </x:conditionalFormatting>
  <x:conditionalFormatting sqref="AD602:AD901">
    <x:cfRule type="expression" dxfId="30" priority="31">
      <x:formula>$AD602="承認"</x:formula>
    </x:cfRule>
    <x:cfRule type="expression" dxfId="31" priority="32">
      <x:formula>$AD602="修正要"</x:formula>
    </x:cfRule>
  </x:conditionalFormatting>
  <x:dataValidations count="4">
    <x:dataValidation type="list" sqref="AD2:AD101">
      <x:formula1>"未レビュー,確認中,修正要,承認,却下"</x:formula1>
    </x:dataValidation>
    <x:dataValidation type="list" sqref="AD2:AD301">
      <x:formula1>"未レビュー,確認中,修正要,承認,却下"</x:formula1>
    </x:dataValidation>
    <x:dataValidation type="list" sqref="AD2:AD601">
      <x:formula1>"未レビュー,確認中,修正要,承認,却下"</x:formula1>
    </x:dataValidation>
    <x:dataValidation type="list" sqref="AD2:AD901">
      <x:formula1>"未レビュー,確認中,修正要,承認,却下"</x:formula1>
    </x:dataValidation>
  </x:dataValidations>
  <x:pageMargins left="0.7" right="0.7" top="0.75" bottom="0.75" header="0.3" footer="0.3"/>
  <x:tableParts count="1">
    <x:tablePart xmlns:r="http://schemas.openxmlformats.org/officeDocument/2006/relationships" r:id="Rb435e78a9c2948b3"/>
  </x:tableParts>
</x:worksheet>
</file>

<file path=xl/worksheets/sheet2.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24" hidden="0" customWidth="1"/>
    <x:col min="5" max="5" width="1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s>
  <x:sheetData>
    <x:row r="1" ht="32" customHeight="1">
      <x:c r="A1" s="59" t="str">
        <x:v>WSET Level 3 オリジナルMCQ 900問 — 誤答レビュー完了</x:v>
      </x:c>
      <x:c r="B1" s="59"/>
      <x:c r="C1" s="59"/>
      <x:c r="D1" s="59"/>
      <x:c r="E1" s="59"/>
      <x:c r="F1" s="59"/>
      <x:c r="G1" s="59"/>
      <x:c r="H1" s="59"/>
      <x:c r="I1" s="59"/>
      <x:c r="J1" s="59"/>
      <x:c r="K1" s="59"/>
    </x:row>
    <x:row r="3" ht="34" customHeight="1">
      <x:c r="A3" s="67" t="str">
        <x:v>総問題数</x:v>
      </x:c>
      <x:c r="B3" s="67" t="str">
        <x:v>要レビュー</x:v>
      </x:c>
      <x:c r="C3" s="67" t="str">
        <x:v>承認済み</x:v>
      </x:c>
      <x:c r="D3" s="67" t="str">
        <x:v>正答A</x:v>
      </x:c>
      <x:c r="E3" s="67" t="str">
        <x:v>正答B</x:v>
      </x:c>
      <x:c r="F3" s="67" t="str">
        <x:v>正答C</x:v>
      </x:c>
      <x:c r="G3" s="67" t="str">
        <x:v>正答D</x:v>
      </x:c>
    </x:row>
    <x:row r="4" ht="28" customHeight="1">
      <x:c r="A4" s="81" t="n">
        <x:f>COUNTA('問題集'!A2:A901)</x:f>
        <x:v>900</x:v>
      </x:c>
      <x:c r="B4" s="82" t="n">
        <x:f>COUNTIF('問題集'!Z2:Z901,"Y")</x:f>
        <x:v>80</x:v>
      </x:c>
      <x:c r="C4" s="82" t="n">
        <x:f>COUNTIF('問題集'!AD2:AD901,"承認")</x:f>
        <x:v>0</x:v>
      </x:c>
      <x:c r="D4" s="82" t="n">
        <x:f>COUNTIF('問題集'!J2:J901,"A")</x:f>
        <x:v>225</x:v>
      </x:c>
      <x:c r="E4" s="82" t="n">
        <x:f>COUNTIF('問題集'!J2:J901,"B")</x:f>
        <x:v>225</x:v>
      </x:c>
      <x:c r="F4" s="82" t="n">
        <x:f>COUNTIF('問題集'!J2:J901,"C")</x:f>
        <x:v>225</x:v>
      </x:c>
      <x:c r="G4" s="83" t="n">
        <x:f>COUNTIF('問題集'!J2:J901,"D")</x:f>
        <x:v>225</x:v>
      </x:c>
    </x:row>
    <x:row r="7">
      <x:c r="A7" s="6" t="str">
        <x:v>LO</x:v>
      </x:c>
      <x:c r="B7" s="6" t="str">
        <x:v>問題数</x:v>
      </x:c>
      <x:c r="D7" s="375" t="str">
        <x:v>国・地域</x:v>
      </x:c>
      <x:c r="E7" s="375" t="str">
        <x:v>問題数</x:v>
      </x:c>
      <x:c r="F7" s="279"/>
    </x:row>
    <x:row r="8">
      <x:c r="A8" s="95" t="str">
        <x:v>LO1</x:v>
      </x:c>
      <x:c r="B8" s="96" t="n">
        <x:f>COUNTIF('問題集'!B2:B901,A8)</x:f>
        <x:v>180</x:v>
      </x:c>
      <x:c r="D8" s="376" t="str">
        <x:v>アルゼンチン</x:v>
      </x:c>
      <x:c r="E8" s="377" t="n">
        <x:f>COUNTIF('問題集'!T2:T901,D8)</x:f>
        <x:v>5</x:v>
      </x:c>
      <x:c r="F8" s="279"/>
    </x:row>
    <x:row r="9">
      <x:c r="A9" s="15" t="str">
        <x:v>LO2</x:v>
      </x:c>
      <x:c r="B9" s="17" t="n">
        <x:f>COUNTIF('問題集'!B2:B901,A9)</x:f>
        <x:v>180</x:v>
      </x:c>
      <x:c r="D9" s="378" t="str">
        <x:v>イタリア</x:v>
      </x:c>
      <x:c r="E9" s="379" t="n">
        <x:f>COUNTIF('問題集'!T2:T901,D9)</x:f>
        <x:v>40</x:v>
      </x:c>
      <x:c r="F9" s="279"/>
    </x:row>
    <x:row r="10">
      <x:c r="A10" s="15" t="str">
        <x:v>LO3</x:v>
      </x:c>
      <x:c r="B10" s="17" t="n">
        <x:f>COUNTIF('問題集'!B2:B901,A10)</x:f>
        <x:v>180</x:v>
      </x:c>
      <x:c r="D10" s="378" t="str">
        <x:v>オーストラリア</x:v>
      </x:c>
      <x:c r="E10" s="379" t="n">
        <x:f>COUNTIF('問題集'!T2:T901,D10)</x:f>
        <x:v>31</x:v>
      </x:c>
      <x:c r="F10" s="279"/>
    </x:row>
    <x:row r="11">
      <x:c r="A11" s="15" t="str">
        <x:v>LO4</x:v>
      </x:c>
      <x:c r="B11" s="17" t="n">
        <x:f>COUNTIF('問題集'!B2:B901,A11)</x:f>
        <x:v>180</x:v>
      </x:c>
      <x:c r="D11" s="378" t="str">
        <x:v>オーストラリア／ニュージーランド</x:v>
      </x:c>
      <x:c r="E11" s="379" t="n">
        <x:f>COUNTIF('問題集'!T2:T901,D11)</x:f>
        <x:v>1</x:v>
      </x:c>
      <x:c r="F11" s="279"/>
    </x:row>
    <x:row r="12">
      <x:c r="A12" s="18" t="str">
        <x:v>LO5</x:v>
      </x:c>
      <x:c r="B12" s="20" t="n">
        <x:f>COUNTIF('問題集'!B2:B901,A12)</x:f>
        <x:v>180</x:v>
      </x:c>
      <x:c r="D12" s="378" t="str">
        <x:v>オーストリア</x:v>
      </x:c>
      <x:c r="E12" s="379" t="n">
        <x:f>COUNTIF('問題集'!T2:T901,D12)</x:f>
        <x:v>7</x:v>
      </x:c>
      <x:c r="F12" s="279"/>
    </x:row>
    <x:row r="13">
      <x:c r="D13" s="378" t="str">
        <x:v>カナダ</x:v>
      </x:c>
      <x:c r="E13" s="379" t="n">
        <x:f>COUNTIF('問題集'!T2:T901,D13)</x:f>
        <x:v>4</x:v>
      </x:c>
      <x:c r="F13" s="279"/>
    </x:row>
    <x:row r="14">
      <x:c r="D14" s="378" t="str">
        <x:v>ギリシャ</x:v>
      </x:c>
      <x:c r="E14" s="379" t="n">
        <x:f>COUNTIF('問題集'!T2:T901,D14)</x:f>
        <x:v>4</x:v>
      </x:c>
      <x:c r="F14" s="279"/>
    </x:row>
    <x:row r="15">
      <x:c r="D15" s="378" t="str">
        <x:v>スペイン</x:v>
      </x:c>
      <x:c r="E15" s="379" t="n">
        <x:f>COUNTIF('問題集'!T2:T901,D15)</x:f>
        <x:v>100</x:v>
      </x:c>
      <x:c r="F15" s="279"/>
    </x:row>
    <x:row r="16">
      <x:c r="A16" s="6" t="str">
        <x:v>難易度</x:v>
      </x:c>
      <x:c r="B16" s="6" t="str">
        <x:v>問題数</x:v>
      </x:c>
      <x:c r="D16" s="378" t="str">
        <x:v>チリ</x:v>
      </x:c>
      <x:c r="E16" s="379" t="n">
        <x:f>COUNTIF('問題集'!T2:T901,D16)</x:f>
        <x:v>7</x:v>
      </x:c>
      <x:c r="F16" s="279"/>
    </x:row>
    <x:row r="17">
      <x:c r="A17" s="95" t="str">
        <x:v>D1</x:v>
      </x:c>
      <x:c r="B17" s="96" t="n">
        <x:f>COUNTIF('問題集'!X2:X901,A17)</x:f>
        <x:v>182</x:v>
      </x:c>
      <x:c r="D17" s="378" t="str">
        <x:v>ドイツ</x:v>
      </x:c>
      <x:c r="E17" s="379" t="n">
        <x:f>COUNTIF('問題集'!T2:T901,D17)</x:f>
        <x:v>19</x:v>
      </x:c>
      <x:c r="F17" s="279"/>
    </x:row>
    <x:row r="18">
      <x:c r="A18" s="15" t="str">
        <x:v>D2</x:v>
      </x:c>
      <x:c r="B18" s="17" t="n">
        <x:f>COUNTIF('問題集'!X2:X901,A18)</x:f>
        <x:v>499</x:v>
      </x:c>
      <x:c r="D18" s="378" t="str">
        <x:v>ニュージーランド</x:v>
      </x:c>
      <x:c r="E18" s="379" t="n">
        <x:f>COUNTIF('問題集'!T2:T901,D18)</x:f>
        <x:v>8</x:v>
      </x:c>
      <x:c r="F18" s="279"/>
    </x:row>
    <x:row r="19">
      <x:c r="A19" s="18" t="str">
        <x:v>D3</x:v>
      </x:c>
      <x:c r="B19" s="20" t="n">
        <x:f>COUNTIF('問題集'!X2:X901,A19)</x:f>
        <x:v>219</x:v>
      </x:c>
      <x:c r="D19" s="378" t="str">
        <x:v>ハンガリー</x:v>
      </x:c>
      <x:c r="E19" s="379" t="n">
        <x:f>COUNTIF('問題集'!T2:T901,D19)</x:f>
        <x:v>1</x:v>
      </x:c>
      <x:c r="F19" s="279"/>
    </x:row>
    <x:row r="20">
      <x:c r="D20" s="378" t="str">
        <x:v>フランス</x:v>
      </x:c>
      <x:c r="E20" s="379" t="n">
        <x:f>COUNTIF('問題集'!T2:T901,D20)</x:f>
        <x:v>103</x:v>
      </x:c>
      <x:c r="F20" s="279"/>
    </x:row>
    <x:row r="21">
      <x:c r="D21" s="378" t="str">
        <x:v>ポルトガル</x:v>
      </x:c>
      <x:c r="E21" s="379" t="n">
        <x:f>COUNTIF('問題集'!T2:T901,D21)</x:f>
        <x:v>79</x:v>
      </x:c>
      <x:c r="F21" s="279"/>
    </x:row>
    <x:row r="22">
      <x:c r="D22" s="378" t="str">
        <x:v>ポルトガル／スペイン</x:v>
      </x:c>
      <x:c r="E22" s="379" t="n">
        <x:f>COUNTIF('問題集'!T2:T901,D22)</x:f>
        <x:v>1</x:v>
      </x:c>
      <x:c r="F22" s="279"/>
    </x:row>
    <x:row r="23">
      <x:c r="A23" s="6" t="str">
        <x:v>思考スキル</x:v>
      </x:c>
      <x:c r="B23" s="6" t="str">
        <x:v>問題数</x:v>
      </x:c>
      <x:c r="D23" s="380" t="str">
        <x:v>南アフリカ</x:v>
      </x:c>
      <x:c r="E23" s="381" t="n">
        <x:f>COUNTIF('問題集'!T2:T901,D23)</x:f>
        <x:v>10</x:v>
      </x:c>
      <x:c r="F23" s="280"/>
    </x:row>
    <x:row r="24">
      <x:c r="A24" s="95" t="str">
        <x:v>知識確認</x:v>
      </x:c>
      <x:c r="B24" s="96" t="n">
        <x:f>COUNTIF('問題集'!W2:W901,A24)</x:f>
        <x:v>168</x:v>
      </x:c>
      <x:c r="D24" s="378" t="str">
        <x:v>米国</x:v>
      </x:c>
      <x:c r="E24" s="379" t="n">
        <x:f>COUNTIF('問題集'!T2:T901,D24)</x:f>
        <x:v>26</x:v>
      </x:c>
      <x:c r="F24" s="281"/>
    </x:row>
    <x:row r="25">
      <x:c r="A25" s="15" t="str">
        <x:v>因果説明</x:v>
      </x:c>
      <x:c r="B25" s="17" t="n">
        <x:f>COUNTIF('問題集'!W2:W901,A25)</x:f>
        <x:v>420</x:v>
      </x:c>
      <x:c r="D25" s="382" t="str">
        <x:v>英国</x:v>
      </x:c>
      <x:c r="E25" s="383" t="n">
        <x:f>COUNTIF('問題集'!T2:T901,D25)</x:f>
        <x:v>1</x:v>
      </x:c>
      <x:c r="F25" s="282"/>
    </x:row>
    <x:row r="26">
      <x:c r="A26" s="15" t="str">
        <x:v>適用</x:v>
      </x:c>
      <x:c r="B26" s="17" t="n">
        <x:f>COUNTIF('問題集'!W2:W901,A26)</x:f>
        <x:v>77</x:v>
      </x:c>
      <x:c r="D26" s="15"/>
      <x:c r="E26" s="16"/>
      <x:c r="F26" s="282"/>
    </x:row>
    <x:row r="27">
      <x:c r="A27" s="15" t="str">
        <x:v>比較</x:v>
      </x:c>
      <x:c r="B27" s="17" t="n">
        <x:f>COUNTIF('問題集'!W2:W901,A27)</x:f>
        <x:v>82</x:v>
      </x:c>
      <x:c r="D27" s="15"/>
      <x:c r="E27" s="16"/>
      <x:c r="F27" s="282"/>
    </x:row>
    <x:row r="28">
      <x:c r="A28" s="15" t="str">
        <x:v>判断</x:v>
      </x:c>
      <x:c r="B28" s="17" t="n">
        <x:f>COUNTIF('問題集'!W2:W901,A28)</x:f>
        <x:v>35</x:v>
      </x:c>
      <x:c r="D28" s="18"/>
      <x:c r="E28" s="19"/>
      <x:c r="F28" s="283"/>
    </x:row>
    <x:row r="29">
      <x:c r="A29" s="18" t="str">
        <x:v>統合判断</x:v>
      </x:c>
      <x:c r="B29" s="20" t="n">
        <x:f>COUNTIF('問題集'!W2:W901,A29)</x:f>
        <x:v>118</x:v>
      </x:c>
      <x:c r="D29" s="375" t="str">
        <x:v>LO</x:v>
      </x:c>
      <x:c r="E29" s="375" t="str">
        <x:v>要レビュー</x:v>
      </x:c>
      <x:c r="F29" s="375" t="str">
        <x:v>未レビュー</x:v>
      </x:c>
    </x:row>
    <x:row r="30">
      <x:c r="D30" s="376" t="str">
        <x:v>LO1</x:v>
      </x:c>
      <x:c r="E30" s="384" t="n">
        <x:f>COUNTIFS('問題集'!B2:B901,D30,'問題集'!Z2:Z901,"Y")</x:f>
        <x:v>6</x:v>
      </x:c>
      <x:c r="F30" s="377" t="n">
        <x:f>COUNTIFS('問題集'!B2:B901,D30,'問題集'!AD2:AD901,"未レビュー")</x:f>
        <x:v>0</x:v>
      </x:c>
    </x:row>
    <x:row r="31">
      <x:c r="D31" s="378" t="str">
        <x:v>LO2</x:v>
      </x:c>
      <x:c r="E31" s="270" t="n">
        <x:f>COUNTIFS('問題集'!B2:B901,D31,'問題集'!Z2:Z901,"Y")</x:f>
        <x:v>3</x:v>
      </x:c>
      <x:c r="F31" s="379" t="n">
        <x:f>COUNTIFS('問題集'!B2:B901,D31,'問題集'!AD2:AD901,"未レビュー")</x:f>
        <x:v>0</x:v>
      </x:c>
    </x:row>
    <x:row r="32" ht="32" customHeight="1">
      <x:c r="A32" s="252"/>
      <x:c r="B32" s="252"/>
      <x:c r="C32" s="252"/>
      <x:c r="D32" s="385" t="str">
        <x:v>LO3</x:v>
      </x:c>
      <x:c r="E32" s="271" t="n">
        <x:f>COUNTIFS('問題集'!B2:B901,D32,'問題集'!Z2:Z901,"Y")</x:f>
        <x:v>20</x:v>
      </x:c>
      <x:c r="F32" s="386" t="n">
        <x:f>COUNTIFS('問題集'!B2:B901,D32,'問題集'!AD2:AD901,"未レビュー")</x:f>
        <x:v>0</x:v>
      </x:c>
      <x:c r="G32" s="252"/>
      <x:c r="H32" s="252"/>
      <x:c r="I32" s="252"/>
      <x:c r="J32" s="252"/>
      <x:c r="K32" s="252"/>
    </x:row>
    <x:row r="33">
      <x:c r="A33"/>
      <x:c r="B33"/>
      <x:c r="C33"/>
      <x:c r="D33" s="378" t="str">
        <x:v>LO4</x:v>
      </x:c>
      <x:c r="E33" s="270" t="n">
        <x:f>COUNTIFS('問題集'!B2:B901,D33,'問題集'!Z2:Z901,"Y")</x:f>
        <x:v>33</x:v>
      </x:c>
      <x:c r="F33" s="379" t="n">
        <x:f>COUNTIFS('問題集'!B2:B901,D33,'問題集'!AD2:AD901,"未レビュー")</x:f>
        <x:v>0</x:v>
      </x:c>
      <x:c r="G33"/>
      <x:c r="H33"/>
      <x:c r="I33"/>
      <x:c r="J33"/>
      <x:c r="K33"/>
    </x:row>
    <x:row r="34">
      <x:c r="A34"/>
      <x:c r="B34"/>
      <x:c r="C34"/>
      <x:c r="D34" s="387" t="str">
        <x:v>LO5</x:v>
      </x:c>
      <x:c r="E34" s="388" t="n">
        <x:f>COUNTIFS('問題集'!B2:B901,D34,'問題集'!Z2:Z901,"Y")</x:f>
        <x:v>18</x:v>
      </x:c>
      <x:c r="F34" s="389" t="n">
        <x:f>COUNTIFS('問題集'!B2:B901,D34,'問題集'!AD2:AD901,"未レビュー")</x:f>
        <x:v>0</x:v>
      </x:c>
      <x:c r="G34"/>
      <x:c r="H34"/>
      <x:c r="I34"/>
      <x:c r="J34"/>
      <x:c r="K34"/>
    </x:row>
    <x:row r="35">
      <x:c r="A35"/>
      <x:c r="B35"/>
      <x:c r="C35"/>
      <x:c r="D35"/>
      <x:c r="E35"/>
      <x:c r="F35"/>
      <x:c r="G35"/>
      <x:c r="H35"/>
      <x:c r="I35"/>
      <x:c r="J35"/>
      <x:c r="K35"/>
    </x:row>
    <x:row r="36">
      <x:c r="A36"/>
      <x:c r="B36"/>
      <x:c r="C36"/>
      <x:c r="D36"/>
      <x:c r="E36"/>
      <x:c r="F36"/>
      <x:c r="G36"/>
      <x:c r="H36"/>
      <x:c r="I36"/>
      <x:c r="J36"/>
      <x:c r="K36"/>
    </x:row>
    <x:row r="37">
      <x:c r="A37"/>
      <x:c r="B37"/>
      <x:c r="C37"/>
      <x:c r="D37"/>
      <x:c r="E37"/>
      <x:c r="F37"/>
      <x:c r="G37"/>
      <x:c r="H37"/>
      <x:c r="I37"/>
      <x:c r="J37"/>
      <x:c r="K37"/>
    </x:row>
    <x:row r="38" ht="28" customHeight="1">
      <x:c r="A38" s="390" t="str">
        <x:v>設計上の固定条件：LO1〜LO5を各180問、正答位置A〜Dを各225問。その他のタグは問題の性質とカバレッジを可視化するために付与。</x:v>
      </x:c>
      <x:c r="B38" s="390"/>
      <x:c r="C38" s="390"/>
      <x:c r="D38" s="390"/>
      <x:c r="E38" s="390"/>
      <x:c r="F38" s="390"/>
      <x:c r="G38" s="390"/>
      <x:c r="H38" s="390"/>
      <x:c r="I38" s="390"/>
      <x:c r="J38" s="390"/>
      <x:c r="K38" s="390"/>
    </x:row>
    <x:row r="39" ht="28" customHeight="1">
      <x:c r="A39" s="390"/>
      <x:c r="B39" s="390"/>
      <x:c r="C39" s="390"/>
      <x:c r="D39" s="390"/>
      <x:c r="E39" s="390"/>
      <x:c r="F39" s="390"/>
      <x:c r="G39" s="390"/>
      <x:c r="H39" s="390"/>
      <x:c r="I39" s="390"/>
      <x:c r="J39" s="390"/>
      <x:c r="K39" s="390"/>
    </x:row>
    <x:row r="40">
      <x:c r="A40"/>
      <x:c r="B40"/>
      <x:c r="C40"/>
      <x:c r="D40"/>
      <x:c r="E40"/>
      <x:c r="F40"/>
      <x:c r="G40"/>
      <x:c r="H40"/>
      <x:c r="I40"/>
      <x:c r="J40"/>
      <x:c r="K40"/>
    </x:row>
  </x:sheetData>
  <x:mergeCells>
    <x:mergeCell ref="A1:K1"/>
    <x:mergeCell ref="A38:K39"/>
  </x:mergeCells>
  <x:pageMargins left="0.7" right="0.7" top="0.75" bottom="0.75" header="0.3" footer="0.3"/>
  <x:drawing xmlns:r="http://schemas.openxmlformats.org/officeDocument/2006/relationships" r:id="R7058ef03d1f04c94"/>
</x:worksheet>
</file>

<file path=xl/worksheets/sheet3.xml><?xml version="1.0" encoding="utf-8"?>
<x:worksheet xmlns:x="http://schemas.openxmlformats.org/spreadsheetml/2006/main">
  <x:sheetFormatPr defaultRowHeight="15"/>
  <x:cols>
    <x:col min="1" max="1" width="13" hidden="0" customWidth="1"/>
    <x:col min="2" max="2" width="7" hidden="0" customWidth="1"/>
    <x:col min="3" max="3" width="24" hidden="0" customWidth="1"/>
    <x:col min="4" max="4" width="48" hidden="0" customWidth="1"/>
    <x:col min="5" max="5" width="36" hidden="0" customWidth="1"/>
    <x:col min="6" max="6" width="36" hidden="0" customWidth="1"/>
    <x:col min="7" max="7" width="36" hidden="0" customWidth="1"/>
    <x:col min="8" max="8" width="36" hidden="0" customWidth="1"/>
    <x:col min="9" max="9" width="7" hidden="0" customWidth="1"/>
    <x:col min="10" max="10" width="44" hidden="0" customWidth="1"/>
    <x:col min="11" max="11" width="24" hidden="0" customWidth="1"/>
    <x:col min="12" max="12" width="18" hidden="0" customWidth="1"/>
    <x:col min="13" max="13" width="13" hidden="0" customWidth="1"/>
    <x:col min="14" max="14" width="45" hidden="0" customWidth="1"/>
  </x:cols>
  <x:sheetData>
    <x:row r="1">
      <x:c r="A1" s="410" t="str">
        <x:v>問題ID</x:v>
      </x:c>
      <x:c r="B1" s="411" t="str">
        <x:v>LO</x:v>
      </x:c>
      <x:c r="C1" s="411" t="str">
        <x:v>トピック</x:v>
      </x:c>
      <x:c r="D1" s="411" t="str">
        <x:v>問題文</x:v>
      </x:c>
      <x:c r="E1" s="411" t="str">
        <x:v>選択肢A</x:v>
      </x:c>
      <x:c r="F1" s="411" t="str">
        <x:v>選択肢B</x:v>
      </x:c>
      <x:c r="G1" s="411" t="str">
        <x:v>選択肢C</x:v>
      </x:c>
      <x:c r="H1" s="411" t="str">
        <x:v>選択肢D</x:v>
      </x:c>
      <x:c r="I1" s="411" t="str">
        <x:v>正答</x:v>
      </x:c>
      <x:c r="J1" s="411" t="str">
        <x:v>レビュー理由</x:v>
      </x:c>
      <x:c r="K1" s="411" t="str">
        <x:v>レビュー状態</x:v>
      </x:c>
      <x:c r="L1" s="411" t="str">
        <x:v>レビュアー</x:v>
      </x:c>
      <x:c r="M1" s="412" t="str">
        <x:v>レビュー日</x:v>
      </x:c>
      <x:c r="N1" s="413" t="str">
        <x:v>レビューコメント</x:v>
      </x:c>
    </x:row>
    <x:row r="2" ht="92" customHeight="1">
      <x:c r="A2" s="414" t="str">
        <x:v>LO4-008</x:v>
      </x:c>
      <x:c r="B2" s="165" t="str">
        <x:v>LO4</x:v>
      </x:c>
      <x:c r="C2" s="165" t="str">
        <x:v>年数表記トーニー</x:v>
      </x:c>
      <x:c r="D2" s="165" t="str">
        <x:v>年数表記トーニー・ポートの表示年数が示すものとして最も適切なものはどれか。</x:v>
      </x:c>
      <x:c r="E2" s="165" t="str">
        <x:v>ブレンド中の最も若いワインの正確な年齢</x:v>
      </x:c>
      <x:c r="F2" s="165" t="str">
        <x:v>単一ヴィンテージのワインを、その年数だけ樽熟成したこと</x:v>
      </x:c>
      <x:c r="G2" s="165" t="str">
        <x:v>ボトルに詰めてから熟成させた年数</x:v>
      </x:c>
      <x:c r="H2" s="165" t="str">
        <x:v>ブレンド全体が示す平均的な熟成特性のスタイル</x:v>
      </x:c>
      <x:c r="I2" s="165" t="str">
        <x:v>D</x:v>
      </x:c>
      <x:c r="J2" s="165" t="str">
        <x:v>年数表示の説明表現を日本語教材と照合推奨</x:v>
      </x:c>
      <x:c r="K2" s="165" t="str">
        <x:v>改稿済み・専門家未承認</x:v>
      </x:c>
      <x:c r="L2" s="165" t="str">
        <x:v>AI誤答レビュー</x:v>
      </x:c>
      <x:c r="M2" s="369" t="str">
        <x:v>2026-07-12</x:v>
      </x:c>
      <x:c r="N2" s="415" t="str">
        <x:v>最終バッチ：有効な誤答を維持し、絶対語・物理的不可能な誤答のみ置換。正答位置は維持。</x:v>
      </x:c>
    </x:row>
    <x:row r="3" ht="92" customHeight="1">
      <x:c r="A3" s="414" t="str">
        <x:v>LO4-013</x:v>
      </x:c>
      <x:c r="B3" s="165" t="str">
        <x:v>LO4</x:v>
      </x:c>
      <x:c r="C3" s="165" t="str">
        <x:v>マンサニーリャ</x:v>
      </x:c>
      <x:c r="D3" s="165" t="str">
        <x:v>マンサニーリャがフィノと似た生物学的熟成の特徴を持ちながら、しばしば特に繊細で塩味を思わせると表現される理由はどれか。</x:v>
      </x:c>
      <x:c r="E3" s="165" t="str">
        <x:v>サンルーカルの湿潤で温和な海洋性環境が、厚いフロールを維持しやすいため</x:v>
      </x:c>
      <x:c r="F3" s="165" t="str">
        <x:v>冬の雨を多孔質の白亜質土壌に蓄え、表面を固めて蒸発を抑えられる</x:v>
      </x:c>
      <x:c r="G3" s="165" t="str">
        <x:v>マンサニーリャはフィノより高い残糖を持ち、塩味と甘味が対照になるため</x:v>
      </x:c>
      <x:c r="H3" s="165" t="str">
        <x:v>熟成樽へ海水を少量加え、塩味を調整するため</x:v>
      </x:c>
      <x:c r="I3" s="165" t="str">
        <x:v>A</x:v>
      </x:c>
      <x:c r="J3" s="165" t="str">
        <x:v>塩味表現は官能表現として扱い、直接的な塩分説明を避けているか確認推奨</x:v>
      </x:c>
      <x:c r="K3" s="165" t="str">
        <x:v>改稿済み・専門家未承認</x:v>
      </x:c>
      <x:c r="L3" s="165" t="str">
        <x:v>AI誤答レビュー</x:v>
      </x:c>
      <x:c r="M3" s="369" t="str">
        <x:v>2026-07-12</x:v>
      </x:c>
      <x:c r="N3" s="415" t="str">
        <x:v>第4バッチ：同一論点内の典型的誤概念へ置換。正答位置は維持。</x:v>
      </x:c>
    </x:row>
    <x:row r="4" ht="92" customHeight="1">
      <x:c r="A4" s="414" t="str">
        <x:v>LO1-042</x:v>
      </x:c>
      <x:c r="B4" s="165" t="str">
        <x:v>LO1</x:v>
      </x:c>
      <x:c r="C4" s="165" t="str">
        <x:v>有機栽培とビオディナミ</x:v>
      </x:c>
      <x:c r="D4" s="165" t="str">
        <x:v>ビオディナミ農法を有機栽培と比較した説明として最も適切なものはどれか。</x:v>
      </x:c>
      <x:c r="E4" s="165" t="str">
        <x:v>ワイナリーでの発酵方法だけを定め、畑の管理には関係しない</x:v>
      </x:c>
      <x:c r="F4" s="165" t="str">
        <x:v>有機栽培の考え方に加え、農場を一つの生態系として扱い、調合剤や暦を用いることがある</x:v>
      </x:c>
      <x:c r="G4" s="165" t="str">
        <x:v>畑での作業をやめ、自然任せにする方式である</x:v>
      </x:c>
      <x:c r="H4" s="165" t="str">
        <x:v>合成除草剤と殺虫剤を多量に使用する方式である</x:v>
      </x:c>
      <x:c r="I4" s="165" t="str">
        <x:v>B</x:v>
      </x:c>
      <x:c r="J4" s="165" t="str">
        <x:v>有機・ビオディナミの認証制度や用語表現は地域差があるため、教材表現との最終照合を推奨</x:v>
      </x:c>
      <x:c r="K4" s="165" t="str">
        <x:v>改稿済み・専門家未承認</x:v>
      </x:c>
      <x:c r="L4" s="165" t="str">
        <x:v>AI誤答レビュー</x:v>
      </x:c>
      <x:c r="M4" s="369" t="str">
        <x:v>2026-07-12</x:v>
      </x:c>
      <x:c r="N4" s="415" t="str">
        <x:v>第5バッチ：使用可能な誤答を維持し、弱い誤答を因果逆転・隣接概念へ置換。正答位置は維持。</x:v>
      </x:c>
    </x:row>
    <x:row r="5" ht="92" customHeight="1">
      <x:c r="A5" s="414" t="str">
        <x:v>LO2-035</x:v>
      </x:c>
      <x:c r="B5" s="165" t="str">
        <x:v>LO2</x:v>
      </x:c>
      <x:c r="C5" s="165" t="str">
        <x:v>ソアーヴェ・クラッシコ</x:v>
      </x:c>
      <x:c r="D5" s="165" t="str">
        <x:v>ソアーヴェ・クラッシコが一般的な平地産ソアーヴェより高い品質を持ちやすい理由はどれか。</x:v>
      </x:c>
      <x:c r="E5" s="165" t="str">
        <x:v>平地の肥沃な畑で最大収量を得ることが、クラッシコ表示の条件である</x:v>
      </x:c>
      <x:c r="F5" s="165" t="str">
        <x:v>多くのブドウを凍結し、甘口にする</x:v>
      </x:c>
      <x:c r="G5" s="165" t="str">
        <x:v>歴史的な丘陵地帯で、排水と日照に恵まれ、収量を抑えたガルガーネガを得やすい</x:v>
      </x:c>
      <x:c r="H5" s="165" t="str">
        <x:v>黒ブドウだけを使い、長期果皮浸漬で高タンニン赤を造る</x:v>
      </x:c>
      <x:c r="I5" s="165" t="str">
        <x:v>C</x:v>
      </x:c>
      <x:c r="J5" s="165" t="str">
        <x:v>Classico表示の説明は現行の産地規定と日本語教材表現の最終照合を推奨</x:v>
      </x:c>
      <x:c r="K5" s="165" t="str">
        <x:v>改稿済み・専門家未承認</x:v>
      </x:c>
      <x:c r="L5" s="165" t="str">
        <x:v>AI誤答レビュー</x:v>
      </x:c>
      <x:c r="M5" s="369" t="str">
        <x:v>2026-07-12</x:v>
      </x:c>
      <x:c r="N5" s="415" t="str">
        <x:v>第5バッチ：使用可能な誤答を維持し、弱い誤答を因果逆転・隣接概念へ置換。正答位置は維持。</x:v>
      </x:c>
    </x:row>
    <x:row r="6" ht="92" customHeight="1">
      <x:c r="A6" s="414" t="str">
        <x:v>LO3-031</x:v>
      </x:c>
      <x:c r="B6" s="165" t="str">
        <x:v>LO3</x:v>
      </x:c>
      <x:c r="C6" s="165" t="str">
        <x:v>甘味表示</x:v>
      </x:c>
      <x:c r="D6" s="165" t="str">
        <x:v>EUの発泡性ワインの甘味表示で、一般に最も辛口の区分はどれか。</x:v>
      </x:c>
      <x:c r="E6" s="165" t="str">
        <x:v>デミ・セック</x:v>
      </x:c>
      <x:c r="F6" s="165" t="str">
        <x:v>ドゥー</x:v>
      </x:c>
      <x:c r="G6" s="165" t="str">
        <x:v>ブリュット・ナチュール</x:v>
      </x:c>
      <x:c r="H6" s="165" t="str">
        <x:v>クリーム</x:v>
      </x:c>
      <x:c r="I6" s="165" t="str">
        <x:v>C</x:v>
      </x:c>
      <x:c r="J6" s="165" t="str">
        <x:v>甘味区分の残糖範囲は最新EU規定および日本語教材との最終照合を推奨</x:v>
      </x:c>
      <x:c r="K6" s="165" t="str">
        <x:v>改稿済み・専門家未承認</x:v>
      </x:c>
      <x:c r="L6" s="165" t="str">
        <x:v>AI誤答レビュー</x:v>
      </x:c>
      <x:c r="M6" s="369" t="str">
        <x:v>2026-07-12</x:v>
      </x:c>
      <x:c r="N6" s="415" t="str">
        <x:v>最終バッチ：有効な誤答を維持し、絶対語・物理的不可能な誤答のみ置換。正答位置は維持。</x:v>
      </x:c>
    </x:row>
    <x:row r="7" ht="92" customHeight="1">
      <x:c r="A7" s="414" t="str">
        <x:v>LO3-037</x:v>
      </x:c>
      <x:c r="B7" s="165" t="str">
        <x:v>LO3</x:v>
      </x:c>
      <x:c r="C7" s="165" t="str">
        <x:v>ロゼ・シャンパーニュ</x:v>
      </x:c>
      <x:c r="D7" s="165" t="str">
        <x:v>ロゼ・シャンパーニュの色を得る方法として、認められる代表的なものはどれか。</x:v>
      </x:c>
      <x:c r="E7" s="165" t="str">
        <x:v>白ワインに少量の赤ワインをブレンドする、または黒ブドウを短時間醸す</x:v>
      </x:c>
      <x:c r="F7" s="165" t="str">
        <x:v>完成した白シャンパーニュへ果汁濃縮物を加えて着色する</x:v>
      </x:c>
      <x:c r="G7" s="165" t="str">
        <x:v>長期澱熟成でピノ・ノワールの色素を酵母から抽出する</x:v>
      </x:c>
      <x:c r="H7" s="165" t="str">
        <x:v>デゴルジュマン後に黒ブドウの果皮を瓶へ加える</x:v>
      </x:c>
      <x:c r="I7" s="165" t="str">
        <x:v>A</x:v>
      </x:c>
      <x:c r="J7" s="165" t="str">
        <x:v>ロゼ・シャンパーニュの許容製法に関する表現を最新規定と教材で最終照合推奨</x:v>
      </x:c>
      <x:c r="K7" s="165" t="str">
        <x:v>改稿済み・専門家未承認</x:v>
      </x:c>
      <x:c r="L7" s="165" t="str">
        <x:v>AI誤答レビュー</x:v>
      </x:c>
      <x:c r="M7" s="369" t="str">
        <x:v>2026-07-12</x:v>
      </x:c>
      <x:c r="N7" s="415" t="str">
        <x:v>第3バッチ：同一論点内の典型的誤概念へ置換。正答位置は維持。</x:v>
      </x:c>
    </x:row>
    <x:row r="8" ht="92" customHeight="1">
      <x:c r="A8" s="414" t="str">
        <x:v>LO3-049</x:v>
      </x:c>
      <x:c r="B8" s="165" t="str">
        <x:v>LO3</x:v>
      </x:c>
      <x:c r="C8" s="165" t="str">
        <x:v>ドイチャー・ゼクト</x:v>
      </x:c>
      <x:c r="D8" s="165" t="str">
        <x:v>ドイチャー・ゼクト（Deutscher Sekt）の表示が示すものとして、最も適切なものはどれか。</x:v>
      </x:c>
      <x:c r="E8" s="165" t="str">
        <x:v>ベースとなるブドウがドイツ産である発泡性ワイン</x:v>
      </x:c>
      <x:c r="F8" s="165" t="str">
        <x:v>ドイツで瓶詰めされたが、原料ワインはどの国でもよい発泡性ワイン</x:v>
      </x:c>
      <x:c r="G8" s="165" t="str">
        <x:v>ドイツ産リースリングを伝統的方式で造った発泡性ワインだけ</x:v>
      </x:c>
      <x:c r="H8" s="165" t="str">
        <x:v>生産者自身の畑のブドウだけを使用したゼクト</x:v>
      </x:c>
      <x:c r="I8" s="165" t="str">
        <x:v>A</x:v>
      </x:c>
      <x:c r="J8" s="165" t="str">
        <x:v>SektおよびDeutscher Sektの現行表示規定を最新教材と照合推奨</x:v>
      </x:c>
      <x:c r="K8" s="165" t="str">
        <x:v>改稿済み・専門家未承認</x:v>
      </x:c>
      <x:c r="L8" s="165" t="str">
        <x:v>AI誤答レビュー</x:v>
      </x:c>
      <x:c r="M8" s="369" t="str">
        <x:v>2026-07-12</x:v>
      </x:c>
      <x:c r="N8" s="415" t="str">
        <x:v>第3バッチ：同一論点内の典型的誤概念へ置換。正答位置は維持。</x:v>
      </x:c>
    </x:row>
    <x:row r="9" ht="92" customHeight="1">
      <x:c r="A9" s="414" t="str">
        <x:v>LO4-033</x:v>
      </x:c>
      <x:c r="B9" s="165" t="str">
        <x:v>LO4</x:v>
      </x:c>
      <x:c r="C9" s="165" t="str">
        <x:v>ルビー・リザーヴ</x:v>
      </x:c>
      <x:c r="D9" s="165" t="str">
        <x:v>ルビー・リザーヴが、基本的なルビー・ポートより豊かなスタイルになりやすい主な理由はどれか。</x:v>
      </x:c>
      <x:c r="E9" s="165" t="str">
        <x:v>より品質の高い、色と果実味の強い複数ロットを選んでブレンドする</x:v>
      </x:c>
      <x:c r="F9" s="165" t="str">
        <x:v>単一収穫年のワインだけを選び、長期瓶熟成してから販売する</x:v>
      </x:c>
      <x:c r="G9" s="165" t="str">
        <x:v>小樽で長期間酸化熟成し、色を淡くしてナッツ香を増やす</x:v>
      </x:c>
      <x:c r="H9" s="165" t="str">
        <x:v>残糖を基本的なルビーより高くすることだけでボディを増す</x:v>
      </x:c>
      <x:c r="I9" s="165" t="str">
        <x:v>A</x:v>
      </x:c>
      <x:c r="J9" s="165" t="str">
        <x:v>Reserve表示の現行要件と日本語教材での名称表記を最終照合推奨</x:v>
      </x:c>
      <x:c r="K9" s="165" t="str">
        <x:v>改稿済み・専門家未承認</x:v>
      </x:c>
      <x:c r="L9" s="165" t="str">
        <x:v>AI誤答レビュー</x:v>
      </x:c>
      <x:c r="M9" s="369" t="str">
        <x:v>2026-07-12</x:v>
      </x:c>
      <x:c r="N9" s="415" t="str">
        <x:v>第3バッチ：同一論点内の典型的誤概念へ置換。正答位置は維持。</x:v>
      </x:c>
    </x:row>
    <x:row r="10" ht="92" customHeight="1">
      <x:c r="A10" s="414" t="str">
        <x:v>LO4-035</x:v>
      </x:c>
      <x:c r="B10" s="165" t="str">
        <x:v>LO4</x:v>
      </x:c>
      <x:c r="C10" s="165" t="str">
        <x:v>無濾過LBV</x:v>
      </x:c>
      <x:c r="D10" s="165" t="str">
        <x:v>無濾過のLBVポートをサービスする際に、濾過済みLBVより注意が必要な点はどれか。</x:v>
      </x:c>
      <x:c r="E10" s="165" t="str">
        <x:v>瓶内で生じた澱を分離するため、デカンティングが必要になることがある</x:v>
      </x:c>
      <x:c r="F10" s="165" t="str">
        <x:v>濾過済みLBVより残糖が高いため、甘味を確認する必要がある</x:v>
      </x:c>
      <x:c r="G10" s="165" t="str">
        <x:v>瓶内で沈殿が生じ得るため、必要に応じてデカンティングする</x:v>
      </x:c>
      <x:c r="H10" s="165" t="str">
        <x:v>開栓後に瓶内二次発酵が再開しやすいため、発泡用ストッパーが必要</x:v>
      </x:c>
      <x:c r="I10" s="165" t="str">
        <x:v>C</x:v>
      </x:c>
      <x:c r="J10" s="165" t="str">
        <x:v>濾過済み／無濾過LBVの表示とサービス説明を最新教材で最終照合推奨</x:v>
      </x:c>
      <x:c r="K10" s="165" t="str">
        <x:v>改稿済み・専門家未承認</x:v>
      </x:c>
      <x:c r="L10" s="165" t="str">
        <x:v>AI誤答レビュー</x:v>
      </x:c>
      <x:c r="M10" s="369" t="str">
        <x:v>2026-07-12</x:v>
      </x:c>
      <x:c r="N10" s="415" t="str">
        <x:v>第4バッチ：同一論点内の典型的誤概念へ置換。正答位置は維持。</x:v>
      </x:c>
    </x:row>
    <x:row r="11" ht="92" customHeight="1">
      <x:c r="A11" s="414" t="str">
        <x:v>LO4-047</x:v>
      </x:c>
      <x:c r="B11" s="165" t="str">
        <x:v>LO4</x:v>
      </x:c>
      <x:c r="C11" s="165" t="str">
        <x:v>パロ・コルタド</x:v>
      </x:c>
      <x:c r="D11" s="165" t="str">
        <x:v>パロ・コルタドの一般的なスタイルを最も適切に説明しているものはどれか。</x:v>
      </x:c>
      <x:c r="E11" s="165" t="str">
        <x:v>淡色で軽く、フロール下の生物学的熟成だけを行う若い辛口</x:v>
      </x:c>
      <x:c r="F11" s="165" t="str">
        <x:v>フィノより軽く淡色で、酸化熟成を行わない若い辛口</x:v>
      </x:c>
      <x:c r="G11" s="165" t="str">
        <x:v>アモンティリャードのような香りの繊細さと、オロロソのような豊かなボディを持つ辛口</x:v>
      </x:c>
      <x:c r="H11" s="165" t="str">
        <x:v>PXを多く加えた濃厚な甘口シェリー</x:v>
      </x:c>
      <x:c r="I11" s="165" t="str">
        <x:v>C</x:v>
      </x:c>
      <x:c r="J11" s="165" t="str">
        <x:v>パロ・コルタドの生産経路は生産者差が大きいため、スタイル中心の表現を教材と最終照合推奨</x:v>
      </x:c>
      <x:c r="K11" s="165" t="str">
        <x:v>改稿済み・専門家未承認</x:v>
      </x:c>
      <x:c r="L11" s="165" t="str">
        <x:v>AI誤答レビュー</x:v>
      </x:c>
      <x:c r="M11" s="369" t="str">
        <x:v>2026-07-12</x:v>
      </x:c>
      <x:c r="N11" s="415" t="str">
        <x:v>第4バッチ：同一論点内の典型的誤概念へ置換。正答位置は維持。</x:v>
      </x:c>
    </x:row>
    <x:row r="12" ht="92" customHeight="1">
      <x:c r="A12" s="414" t="str">
        <x:v>LO4-051</x:v>
      </x:c>
      <x:c r="B12" s="165" t="str">
        <x:v>LO4</x:v>
      </x:c>
      <x:c r="C12" s="165" t="str">
        <x:v>ミディアムとクリーム</x:v>
      </x:c>
      <x:c r="D12" s="165" t="str">
        <x:v>ミディアム・シェリーとクリーム・シェリーの一般的な違いとして最も適切なものはどれか。</x:v>
      </x:c>
      <x:c r="E12" s="165" t="str">
        <x:v>ミディアムとクリームは同じオロロソを基礎とし、違いは残糖量だけである</x:v>
      </x:c>
      <x:c r="F12" s="165" t="str">
        <x:v>ミディアムは辛口で、クリームだけが甘味を持つ</x:v>
      </x:c>
      <x:c r="G12" s="165" t="str">
        <x:v>ミディアムはアモンティリャード等を基礎に比較的軽く、クリームはオロロソを基礎により豊か</x:v>
      </x:c>
      <x:c r="H12" s="165" t="str">
        <x:v>ミディアムはPX単一、クリームはモスカテル単一で造る</x:v>
      </x:c>
      <x:c r="I12" s="165" t="str">
        <x:v>C</x:v>
      </x:c>
      <x:c r="J12" s="165" t="str">
        <x:v>Medium／Creamの甘味調整方法と表示区分を最新教材・規定と照合推奨</x:v>
      </x:c>
      <x:c r="K12" s="165" t="str">
        <x:v>改稿済み・専門家未承認</x:v>
      </x:c>
      <x:c r="L12" s="165" t="str">
        <x:v>AI誤答レビュー</x:v>
      </x:c>
      <x:c r="M12" s="369" t="str">
        <x:v>2026-07-12</x:v>
      </x:c>
      <x:c r="N12" s="415" t="str">
        <x:v>第4バッチ：同一論点内の典型的誤概念へ置換。正答位置は維持。</x:v>
      </x:c>
    </x:row>
    <x:row r="13" ht="92" customHeight="1">
      <x:c r="A13" s="414" t="str">
        <x:v>LO4-052</x:v>
      </x:c>
      <x:c r="B13" s="165" t="str">
        <x:v>LO4</x:v>
      </x:c>
      <x:c r="C13" s="165" t="str">
        <x:v>マンサニーリャの原産地</x:v>
      </x:c>
      <x:c r="D13" s="165" t="str">
        <x:v>マンサニーリャの名称を使用できる辛口シェリーが熟成される場所はどこか。</x:v>
      </x:c>
      <x:c r="E13" s="165" t="str">
        <x:v>ドウロ・スペリオール</x:v>
      </x:c>
      <x:c r="F13" s="165" t="str">
        <x:v>ラザグレン</x:v>
      </x:c>
      <x:c r="G13" s="165" t="str">
        <x:v>シャンパーニュ</x:v>
      </x:c>
      <x:c r="H13" s="165" t="str">
        <x:v>サンルーカル・デ・バラメダ</x:v>
      </x:c>
      <x:c r="I13" s="165" t="str">
        <x:v>D</x:v>
      </x:c>
      <x:c r="J13" s="165" t="str">
        <x:v>Manzanillaの原産地表示に関する現行規定を最終照合推奨</x:v>
      </x:c>
      <x:c r="K13" s="165" t="str">
        <x:v>改稿済み・専門家未承認</x:v>
      </x:c>
      <x:c r="L13" s="165" t="str">
        <x:v>AI誤答レビュー</x:v>
      </x:c>
      <x:c r="M13" s="369" t="str">
        <x:v>2026-07-12</x:v>
      </x:c>
      <x:c r="N13" s="415" t="str">
        <x:v>最終バッチ：有効な誤答を維持し、絶対語・物理的不可能な誤答のみ置換。正答位置は維持。</x:v>
      </x:c>
    </x:row>
    <x:row r="14" ht="92" customHeight="1">
      <x:c r="A14" s="414" t="str">
        <x:v>LO5-040</x:v>
      </x:c>
      <x:c r="B14" s="165" t="str">
        <x:v>LO5</x:v>
      </x:c>
      <x:c r="C14" s="165" t="str">
        <x:v>個人の好みと感受性</x:v>
      </x:c>
      <x:c r="D14" s="165" t="str">
        <x:v>ワインを推奨する前に、顧客の個人的な好みや感受性を確認する理由として、最も適切なものはどれか。</x:v>
      </x:c>
      <x:c r="E14" s="165" t="str">
        <x:v>同じ品質のワインでも、甘味、酸、タンニン、香りなどへの好みや反応が人によって異なるため</x:v>
      </x:c>
      <x:c r="F14" s="165" t="str">
        <x:v>品質評価が高ければ、個人の好みは満足度へ影響しないため</x:v>
      </x:c>
      <x:c r="G14" s="165" t="str">
        <x:v>高価格のワインほど、酸やタンニンへの感受性を考慮する必要がないため</x:v>
      </x:c>
      <x:c r="H14" s="165" t="str">
        <x:v>品種名が同じなら、産地や醸造にかかわらず同じ好みになるため</x:v>
      </x:c>
      <x:c r="I14" s="165" t="str">
        <x:v>D</x:v>
      </x:c>
      <x:c r="J14" s="165" t="str">
        <x:v>「感受性」の具体例をアプリ実装時に過度な医療助言へ広げないよう表現確認推奨</x:v>
      </x:c>
      <x:c r="K14" s="165" t="str">
        <x:v>改稿済み・専門家未承認</x:v>
      </x:c>
      <x:c r="L14" s="165" t="str">
        <x:v>AI誤答レビュー</x:v>
      </x:c>
      <x:c r="M14" s="369" t="str">
        <x:v>2026-07-12</x:v>
      </x:c>
      <x:c r="N14" s="415" t="str">
        <x:v>第3バッチ：同一論点内の典型的誤概念へ置換。正答位置は維持。</x:v>
      </x:c>
    </x:row>
    <x:row r="15" ht="92" customHeight="1">
      <x:c r="A15" s="414" t="str">
        <x:v>LO5-048</x:v>
      </x:c>
      <x:c r="B15" s="165" t="str">
        <x:v>LO5</x:v>
      </x:c>
      <x:c r="C15" s="165" t="str">
        <x:v>高濃度亜硫酸と空気</x:v>
      </x:c>
      <x:c r="D15" s="165" t="str">
        <x:v>開栓直後に過剰な亜硫酸を思わせる刺激臭があるワインについて、最も適切な判断はどれか。</x:v>
      </x:c>
      <x:c r="E15" s="165" t="str">
        <x:v>グラスへ注ぐ、またはデカンティングして少量の空気に触れさせ、臭いが弱まるか確認する</x:v>
      </x:c>
      <x:c r="F15" s="165" t="str">
        <x:v>デカンティングで亜硫酸を大幅に除去でき、通常どおり提供できる</x:v>
      </x:c>
      <x:c r="G15" s="165" t="str">
        <x:v>高濃度亜硫酸は熟成能力の証拠で、強いほど高品質</x:v>
      </x:c>
      <x:c r="H15" s="165" t="str">
        <x:v>空気に触れると刺激が弱まる場合があるが、強く残るなら状態不良として判断する</x:v>
      </x:c>
      <x:c r="I15" s="165" t="str">
        <x:v>D</x:v>
      </x:c>
      <x:c r="J15" s="165" t="str">
        <x:v>高濃度亜硫酸の官能表現とサービス対応を日本語教材の説明へ最終照合推奨</x:v>
      </x:c>
      <x:c r="K15" s="165" t="str">
        <x:v>改稿済み・専門家未承認</x:v>
      </x:c>
      <x:c r="L15" s="165" t="str">
        <x:v>AI誤答レビュー</x:v>
      </x:c>
      <x:c r="M15" s="369" t="str">
        <x:v>2026-07-12</x:v>
      </x:c>
      <x:c r="N15" s="415" t="str">
        <x:v>第4バッチ：同一論点内の典型的誤概念へ置換。正答位置は維持。</x:v>
      </x:c>
    </x:row>
    <x:row r="16" ht="92" customHeight="1">
      <x:c r="A16" s="414" t="str">
        <x:v>LO5-059</x:v>
      </x:c>
      <x:c r="B16" s="165" t="str">
        <x:v>LO5</x:v>
      </x:c>
      <x:c r="C16" s="165" t="str">
        <x:v>過剰摂取と短期的影響</x:v>
      </x:c>
      <x:c r="D16" s="165" t="str">
        <x:v>ワインの過剰摂取によって、短期的に生じ得る社会的・健康上の問題として最も適切なものはどれか。</x:v>
      </x:c>
      <x:c r="E16" s="165" t="str">
        <x:v>判断力は保たれるが、味覚だけが鈍くなる</x:v>
      </x:c>
      <x:c r="F16" s="165" t="str">
        <x:v>水を飲めば協調運動はすぐ回復し、事故リスクは低下する</x:v>
      </x:c>
      <x:c r="G16" s="165" t="str">
        <x:v>判断力や協調運動の低下により、事故や不適切な行動のリスクが高まる</x:v>
      </x:c>
      <x:c r="H16" s="165" t="str">
        <x:v>高品質ワインであれば、同じアルコール量でも短期的影響は小さい</x:v>
      </x:c>
      <x:c r="I16" s="165" t="str">
        <x:v>C</x:v>
      </x:c>
      <x:c r="J16" s="165" t="str">
        <x:v>健康関連表現は一般的説明に限定し、地域別の医療・法的助言として使用しないことを確認推奨</x:v>
      </x:c>
      <x:c r="K16" s="165" t="str">
        <x:v>改稿済み・専門家未承認</x:v>
      </x:c>
      <x:c r="L16" s="165" t="str">
        <x:v>AI誤答レビュー</x:v>
      </x:c>
      <x:c r="M16" s="369" t="str">
        <x:v>2026-07-12</x:v>
      </x:c>
      <x:c r="N16" s="415" t="str">
        <x:v>第3バッチ：同一論点内の典型的誤概念へ置換。正答位置は維持。</x:v>
      </x:c>
    </x:row>
    <x:row r="17" ht="92" customHeight="1">
      <x:c r="A17" s="414" t="str">
        <x:v>LO5-060</x:v>
      </x:c>
      <x:c r="B17" s="165" t="str">
        <x:v>LO5</x:v>
      </x:c>
      <x:c r="C17" s="165" t="str">
        <x:v>酔いを早く覚ますという誤解</x:v>
      </x:c>
      <x:c r="D17" s="165" t="str">
        <x:v>過剰に飲酒した人について、最も適切な助言はどれか。</x:v>
      </x:c>
      <x:c r="E17" s="165" t="str">
        <x:v>コーヒーを飲んで覚醒感が戻れば、運転できる程度まで血中アルコールも下がる</x:v>
      </x:c>
      <x:c r="F17" s="165" t="str">
        <x:v>コーヒーと冷水シャワーで覚醒すれば、血中アルコールも下がる</x:v>
      </x:c>
      <x:c r="G17" s="165" t="str">
        <x:v>運動して汗をかけば、肝臓の代謝より速くアルコールを排出できる</x:v>
      </x:c>
      <x:c r="H17" s="165" t="str">
        <x:v>安全な場所で休み、水分を取り、時間をかけて代謝を待ち、運転しない</x:v>
      </x:c>
      <x:c r="I17" s="165" t="str">
        <x:v>D</x:v>
      </x:c>
      <x:c r="J17" s="165" t="str">
        <x:v>健康・安全に関する一般論として扱い、医療判断や地域別法規の代替にしないことを確認推奨</x:v>
      </x:c>
      <x:c r="K17" s="165" t="str">
        <x:v>改稿済み・専門家未承認</x:v>
      </x:c>
      <x:c r="L17" s="165" t="str">
        <x:v>AI誤答レビュー</x:v>
      </x:c>
      <x:c r="M17" s="369" t="str">
        <x:v>2026-07-12</x:v>
      </x:c>
      <x:c r="N17" s="415" t="str">
        <x:v>第4バッチ：同一論点内の典型的誤概念へ置換。正答位置は維持。</x:v>
      </x:c>
    </x:row>
    <x:row r="18" ht="92" customHeight="1">
      <x:c r="A18" s="414" t="str">
        <x:v>LO1-120</x:v>
      </x:c>
      <x:c r="B18" s="165" t="str">
        <x:v>LO1</x:v>
      </x:c>
      <x:c r="C18" s="165" t="str">
        <x:v>合成コルク</x:v>
      </x:c>
      <x:c r="D18" s="165" t="str">
        <x:v>合成コルク栓の一般的な利点として、最も適切なものはどれか。</x:v>
      </x:c>
      <x:c r="E18" s="165" t="str">
        <x:v>天然コルクより酸素透過性が常に低く、長期熟成へ最も適する</x:v>
      </x:c>
      <x:c r="F18" s="165" t="str">
        <x:v>開栓後に元の形へ戻り、ワインを数週間完全密閉できる</x:v>
      </x:c>
      <x:c r="G18" s="165" t="str">
        <x:v>天然コルクと同じTCAリスクを持つが、外観が均一である</x:v>
      </x:c>
      <x:c r="H18" s="165" t="str">
        <x:v>天然コルク由来のTCAリスクを避け、比較的一貫した密閉性を得やすい</x:v>
      </x:c>
      <x:c r="I18" s="165" t="str">
        <x:v>D</x:v>
      </x:c>
      <x:c r="J18" s="165" t="str">
        <x:v>合成栓の長期熟成適性は製品差が大きいため、アプリ掲載時に表現確認推奨</x:v>
      </x:c>
      <x:c r="K18" s="165" t="str">
        <x:v>改稿済み・専門家未承認</x:v>
      </x:c>
      <x:c r="L18" s="165" t="str">
        <x:v>AI誤答レビュー</x:v>
      </x:c>
      <x:c r="M18" s="369" t="str">
        <x:v>2026-07-12</x:v>
      </x:c>
      <x:c r="N18" s="415" t="str">
        <x:v>第3バッチ：同一論点内の典型的誤概念へ置換。正答位置は維持。</x:v>
      </x:c>
    </x:row>
    <x:row r="19" ht="92" customHeight="1">
      <x:c r="A19" s="414" t="str">
        <x:v>LO3-083</x:v>
      </x:c>
      <x:c r="B19" s="165" t="str">
        <x:v>LO3</x:v>
      </x:c>
      <x:c r="C19" s="165" t="str">
        <x:v>カバ・レセルバ</x:v>
      </x:c>
      <x:c r="D19" s="165" t="str">
        <x:v>一般にカバ・レセルバが若いカバより複雑になりやすい主な理由はどれか。</x:v>
      </x:c>
      <x:c r="E19" s="165" t="str">
        <x:v>瓶内で長く澱熟成しても、自己分解由来の風味は減少する</x:v>
      </x:c>
      <x:c r="F19" s="165" t="str">
        <x:v>若いカバよりドザージュ量が多く、甘味が複雑性を作るため</x:v>
      </x:c>
      <x:c r="G19" s="165" t="str">
        <x:v>瓶内でより長く澱熟成し、自己分解由来の風味が増えるため</x:v>
      </x:c>
      <x:c r="H19" s="165" t="str">
        <x:v>後半の圧搾果汁を多く使い、フェノールを増やすため</x:v>
      </x:c>
      <x:c r="I19" s="165" t="str">
        <x:v>C</x:v>
      </x:c>
      <x:c r="J19" s="165" t="str">
        <x:v>カバの熟成区分・表示規定は改定され得るため、最新教材との最終照合を推奨</x:v>
      </x:c>
      <x:c r="K19" s="165" t="str">
        <x:v>改稿済み・専門家未承認</x:v>
      </x:c>
      <x:c r="L19" s="165" t="str">
        <x:v>AI誤答レビュー</x:v>
      </x:c>
      <x:c r="M19" s="369" t="str">
        <x:v>2026-07-12</x:v>
      </x:c>
      <x:c r="N19" s="415" t="str">
        <x:v>第4バッチ：同一論点内の典型的誤概念へ置換。正答位置は維持。</x:v>
      </x:c>
    </x:row>
    <x:row r="20" ht="92" customHeight="1">
      <x:c r="A20" s="414" t="str">
        <x:v>LO3-085</x:v>
      </x:c>
      <x:c r="B20" s="165" t="str">
        <x:v>LO3</x:v>
      </x:c>
      <x:c r="C20" s="165" t="str">
        <x:v>プロセッコDOCGの丘陵</x:v>
      </x:c>
      <x:c r="D20" s="165" t="str">
        <x:v>コネリアーノ・ヴァルドッビアーデネの丘陵産プロセッコが平地の大量生産品より高価格になりやすい主な理由はどれか。</x:v>
      </x:c>
      <x:c r="E20" s="165" t="str">
        <x:v>急斜面で手作業が必要になりやすく、収量を抑えた香りの濃いブドウを得るため</x:v>
      </x:c>
      <x:c r="F20" s="165" t="str">
        <x:v>DOCGでは瓶内二次発酵と長期澱熟成が求められ、在庫費が高い</x:v>
      </x:c>
      <x:c r="G20" s="165" t="str">
        <x:v>丘陵では機械化が容易で、平地より生産費を下げられるため</x:v>
      </x:c>
      <x:c r="H20" s="165" t="str">
        <x:v>DOCGでは伝統的方式と長期澱熟成が義務付けられるため</x:v>
      </x:c>
      <x:c r="I20" s="165" t="str">
        <x:v>A</x:v>
      </x:c>
      <x:c r="J20" s="165" t="str">
        <x:v>プロセッコの現行DOC/DOCG表記・収量規定は最新教材との最終照合を推奨</x:v>
      </x:c>
      <x:c r="K20" s="165" t="str">
        <x:v>改稿済み・専門家未承認</x:v>
      </x:c>
      <x:c r="L20" s="165" t="str">
        <x:v>AI誤答レビュー</x:v>
      </x:c>
      <x:c r="M20" s="369" t="str">
        <x:v>2026-07-12</x:v>
      </x:c>
      <x:c r="N20" s="415" t="str">
        <x:v>第4バッチ：同一論点内の典型的誤概念へ置換。正答位置は維持。</x:v>
      </x:c>
    </x:row>
    <x:row r="21" ht="92" customHeight="1">
      <x:c r="A21" s="414" t="str">
        <x:v>LO3-087</x:v>
      </x:c>
      <x:c r="B21" s="165" t="str">
        <x:v>LO3</x:v>
      </x:c>
      <x:c r="C21" s="165" t="str">
        <x:v>エクストラ・ドライ</x:v>
      </x:c>
      <x:c r="D21" s="165" t="str">
        <x:v>プロセッコの「エクストラ・ドライ」が「ブリュット」より一般に甘く感じられる理由はどれか。</x:v>
      </x:c>
      <x:c r="E21" s="165" t="str">
        <x:v>エクストラ・ドライはブリュットより瓶内圧力が低く、甘味が強く感じられる</x:v>
      </x:c>
      <x:c r="F21" s="165" t="str">
        <x:v>エクストラ・ドライはドザージュを行わず、果実由来の糖だけが残るから</x:v>
      </x:c>
      <x:c r="G21" s="165" t="str">
        <x:v>発泡性ワインの甘味表示では、エクストラ・ドライの許容残糖がブリュットより高いから</x:v>
      </x:c>
      <x:c r="H21" s="165" t="str">
        <x:v>ブリュットは二次発酵を辛口まで進めず、糖を多く残すから</x:v>
      </x:c>
      <x:c r="I21" s="165" t="str">
        <x:v>C</x:v>
      </x:c>
      <x:c r="J21" s="165" t="str">
        <x:v>発泡性ワインの残糖区分は最新EU規定・教材との最終照合を推奨</x:v>
      </x:c>
      <x:c r="K21" s="165" t="str">
        <x:v>改稿済み・専門家未承認</x:v>
      </x:c>
      <x:c r="L21" s="165" t="str">
        <x:v>AI誤答レビュー</x:v>
      </x:c>
      <x:c r="M21" s="369" t="str">
        <x:v>2026-07-12</x:v>
      </x:c>
      <x:c r="N21" s="415" t="str">
        <x:v>第4バッチ：同一論点内の典型的誤概念へ置換。正答位置は維持。</x:v>
      </x:c>
    </x:row>
    <x:row r="22" ht="92" customHeight="1">
      <x:c r="A22" s="414" t="str">
        <x:v>LO3-094</x:v>
      </x:c>
      <x:c r="B22" s="165" t="str">
        <x:v>LO3</x:v>
      </x:c>
      <x:c r="C22" s="165" t="str">
        <x:v>フランチャコルタ</x:v>
      </x:c>
      <x:c r="D22" s="165" t="str">
        <x:v>フランチャコルタの一般的な生産方法とスタイルはどれか。</x:v>
      </x:c>
      <x:c r="E22" s="165" t="str">
        <x:v>シャルドネやピノ・ネロを用いるタンク方式で、長い澱熟成を行う高品質発泡性ワイン</x:v>
      </x:c>
      <x:c r="F22" s="165" t="str">
        <x:v>シャルドネやピノ・ネロを用いる伝統的方式で、長い澱熟成を行う高品質発泡性ワイン</x:v>
      </x:c>
      <x:c r="G22" s="165" t="str">
        <x:v>グレーラ主体のタンク方式で、洋梨と花の一次香を重視する</x:v>
      </x:c>
      <x:c r="H22" s="165" t="str">
        <x:v>モスカート主体で発酵途中に止める低アルコール甘口</x:v>
      </x:c>
      <x:c r="I22" s="165" t="str">
        <x:v>B</x:v>
      </x:c>
      <x:c r="J22" s="165" t="str">
        <x:v>WSET Level 3現行Specificationでの扱いと最新産地規定を最終確認推奨</x:v>
      </x:c>
      <x:c r="K22" s="165" t="str">
        <x:v>改稿済み・専門家未承認</x:v>
      </x:c>
      <x:c r="L22" s="165" t="str">
        <x:v>AI誤答レビュー</x:v>
      </x:c>
      <x:c r="M22" s="369" t="str">
        <x:v>2026-07-12</x:v>
      </x:c>
      <x:c r="N22" s="415" t="str">
        <x:v>第4バッチ：同一論点内の典型的誤概念へ置換。正答位置は維持。</x:v>
      </x:c>
    </x:row>
    <x:row r="23" ht="92" customHeight="1">
      <x:c r="A23" s="414" t="str">
        <x:v>LO3-095</x:v>
      </x:c>
      <x:c r="B23" s="165" t="str">
        <x:v>LO3</x:v>
      </x:c>
      <x:c r="C23" s="165" t="str">
        <x:v>トレントDOC</x:v>
      </x:c>
      <x:c r="D23" s="165" t="str">
        <x:v>トレントDOCの発泡性ワインが、高い酸を持ちやすい主な理由はどれか。</x:v>
      </x:c>
      <x:c r="E23" s="165" t="str">
        <x:v>南向きの低地で糖度を上げ、発酵後に酸を添加するため</x:v>
      </x:c>
      <x:c r="F23" s="165" t="str">
        <x:v>アルプスの高標高畑で夜間が冷涼になり、シャルドネやピノ・ノワールの酸が保持される</x:v>
      </x:c>
      <x:c r="G23" s="165" t="str">
        <x:v>湖の湿度で貴腐を生じさせ、酸を濃縮するため</x:v>
      </x:c>
      <x:c r="H23" s="165" t="str">
        <x:v>早期酒精強化によって発酵を止め、酸を残すため</x:v>
      </x:c>
      <x:c r="I23" s="165" t="str">
        <x:v>C</x:v>
      </x:c>
      <x:c r="J23" s="165" t="str">
        <x:v>WSET Level 3現行Specificationでの扱いと最新産地規定を最終確認推奨</x:v>
      </x:c>
      <x:c r="K23" s="165" t="str">
        <x:v>改稿済み・専門家未承認</x:v>
      </x:c>
      <x:c r="L23" s="165" t="str">
        <x:v>AI誤答レビュー</x:v>
      </x:c>
      <x:c r="M23" s="369" t="str">
        <x:v>2026-07-12</x:v>
      </x:c>
      <x:c r="N23" s="415" t="str">
        <x:v>第3バッチ：同一論点内の典型的誤概念へ置換。正答位置は維持。</x:v>
      </x:c>
    </x:row>
    <x:row r="24" ht="92" customHeight="1">
      <x:c r="A24" s="414" t="str">
        <x:v>LO3-097</x:v>
      </x:c>
      <x:c r="B24" s="165" t="str">
        <x:v>LO3</x:v>
      </x:c>
      <x:c r="C24" s="165" t="str">
        <x:v>ヴィンツァーゼクト</x:v>
      </x:c>
      <x:c r="D24" s="165" t="str">
        <x:v>ヴィンツァーゼクトが、一般的な大量生産ゼクトより産地と品種の個性を表しやすい主な理由はどれか。</x:v>
      </x:c>
      <x:c r="E24" s="165" t="str">
        <x:v>生産者自身のブドウを用い、単一品種や産地を明示して伝統的方式で造ることが多い</x:v>
      </x:c>
      <x:c r="F24" s="165" t="str">
        <x:v>ドイツ産ブドウであれば、生産者が購入したベースワインをタンク方式で発泡化しても同じ表示となる</x:v>
      </x:c>
      <x:c r="G24" s="165" t="str">
        <x:v>伝統的方式で長く澱熟成すれば、ブドウの所有や原産地にかかわらず同じ表示となる</x:v>
      </x:c>
      <x:c r="H24" s="165" t="str">
        <x:v>単一品種を表示すれば、ブドウの生産者と発泡性ワインの生産者が異なっても同じ表示となる</x:v>
      </x:c>
      <x:c r="I24" s="165" t="str">
        <x:v>A</x:v>
      </x:c>
      <x:c r="J24" s="165" t="str">
        <x:v>Winzersektの現行表示要件と教材表現を最終照合推奨</x:v>
      </x:c>
      <x:c r="K24" s="165" t="str">
        <x:v>改稿済み・専門家未承認</x:v>
      </x:c>
      <x:c r="L24" s="165" t="str">
        <x:v>AI誤答レビュー</x:v>
      </x:c>
      <x:c r="M24" s="369" t="str">
        <x:v>2026-07-12</x:v>
      </x:c>
      <x:c r="N24" s="415" t="str">
        <x:v>第2バッチ：誤答を同一論点内の典型的誤概念へ置換。正答位置は維持。</x:v>
      </x:c>
    </x:row>
    <x:row r="25" ht="92" customHeight="1">
      <x:c r="A25" s="414" t="str">
        <x:v>LO3-118</x:v>
      </x:c>
      <x:c r="B25" s="165" t="str">
        <x:v>LO3</x:v>
      </x:c>
      <x:c r="C25" s="165" t="str">
        <x:v>ライトストライク</x:v>
      </x:c>
      <x:c r="D25" s="165" t="str">
        <x:v>透明または淡色瓶の発泡性ワインを強い光にさらした場合に生じ得る問題はどれか。</x:v>
      </x:c>
      <x:c r="E25" s="165" t="str">
        <x:v>ワインが自然に甘くなる</x:v>
      </x:c>
      <x:c r="F25" s="165" t="str">
        <x:v>光反応により、キャベツや濡れた羊毛を思わせる硫黄系の不快臭が生じる</x:v>
      </x:c>
      <x:c r="G25" s="165" t="str">
        <x:v>光で二酸化炭素が増え、泡が細かくなる</x:v>
      </x:c>
      <x:c r="H25" s="165" t="str">
        <x:v>光反応でワインの酸が増え、泡がより鋭く感じられる</x:v>
      </x:c>
      <x:c r="I25" s="165" t="str">
        <x:v>B</x:v>
      </x:c>
      <x:c r="J25" s="165" t="str">
        <x:v>ライトストライクの日本語官能表現を教材表現と最終照合推奨</x:v>
      </x:c>
      <x:c r="K25" s="165" t="str">
        <x:v>改稿済み・専門家未承認</x:v>
      </x:c>
      <x:c r="L25" s="165" t="str">
        <x:v>AI誤答レビュー</x:v>
      </x:c>
      <x:c r="M25" s="369" t="str">
        <x:v>2026-07-12</x:v>
      </x:c>
      <x:c r="N25" s="415" t="str">
        <x:v>第5バッチ：使用可能な誤答を維持し、弱い誤答を因果逆転・隣接概念へ置換。正答位置は維持。</x:v>
      </x:c>
    </x:row>
    <x:row r="26" ht="92" customHeight="1">
      <x:c r="A26" s="414" t="str">
        <x:v>LO4-064</x:v>
      </x:c>
      <x:c r="B26" s="165" t="str">
        <x:v>LO4</x:v>
      </x:c>
      <x:c r="C26" s="165" t="str">
        <x:v>クラステッド・ポート</x:v>
      </x:c>
      <x:c r="D26" s="165" t="str">
        <x:v>クラステッド・ポートの一般的な特徴はどれか。</x:v>
      </x:c>
      <x:c r="E26" s="165" t="str">
        <x:v>単一収穫年のトーニー・スタイルで、長期間木樽熟成する</x:v>
      </x:c>
      <x:c r="F26" s="165" t="str">
        <x:v>単一収穫年のワインを小樽で長期酸化熟成する</x:v>
      </x:c>
      <x:c r="G26" s="165" t="str">
        <x:v>濾過したLBVを複数年ブレンドし、開栓後すぐ飲む</x:v>
      </x:c>
      <x:c r="H26" s="165" t="str">
        <x:v>複数年の濃厚なルビー系ワインを無濾過で瓶詰めし、瓶熟成で澱を生じる</x:v>
      </x:c>
      <x:c r="I26" s="165" t="str">
        <x:v>D</x:v>
      </x:c>
      <x:c r="J26" s="165" t="str">
        <x:v>クラステッド・ポートの表示・熟成要件は最新教材との最終照合を推奨</x:v>
      </x:c>
      <x:c r="K26" s="165" t="str">
        <x:v>改稿済み・専門家未承認</x:v>
      </x:c>
      <x:c r="L26" s="165" t="str">
        <x:v>AI誤答レビュー</x:v>
      </x:c>
      <x:c r="M26" s="369" t="str">
        <x:v>2026-07-12</x:v>
      </x:c>
      <x:c r="N26" s="415" t="str">
        <x:v>第4バッチ：同一論点内の典型的誤概念へ置換。正答位置は維持。</x:v>
      </x:c>
    </x:row>
    <x:row r="27" ht="92" customHeight="1">
      <x:c r="A27" s="414" t="str">
        <x:v>LO4-065</x:v>
      </x:c>
      <x:c r="B27" s="165" t="str">
        <x:v>LO4</x:v>
      </x:c>
      <x:c r="C27" s="165" t="str">
        <x:v>シングル・キンタ・ヴィンテージ</x:v>
      </x:c>
      <x:c r="D27" s="165" t="str">
        <x:v>シングル・キンタ・ヴィンテージ・ポートが、一般的なヴィンテージ・ポートと異なる点はどれか。</x:v>
      </x:c>
      <x:c r="E27" s="165" t="str">
        <x:v>一つの農園のブドウから造り、主要な総合ヴィンテージ宣言年以外にも瓶詰めされることがある</x:v>
      </x:c>
      <x:c r="F27" s="165" t="str">
        <x:v>複数年のワインを一つの農園で長期樽熟成してから瓶詰めする</x:v>
      </x:c>
      <x:c r="G27" s="165" t="str">
        <x:v>一つの農園の白ブドウだけから造る辛口ポートである</x:v>
      </x:c>
      <x:c r="H27" s="165" t="str">
        <x:v>総合ヴィンテージ宣言年にだけ造られ、複数農園のブレンドを義務付けられる</x:v>
      </x:c>
      <x:c r="I27" s="165" t="str">
        <x:v>A</x:v>
      </x:c>
      <x:c r="J27" s="165" t="str">
        <x:v>Single Quinta Vintage Portの現行表示と宣言慣行を最新教材で確認推奨</x:v>
      </x:c>
      <x:c r="K27" s="165" t="str">
        <x:v>改稿済み・専門家未承認</x:v>
      </x:c>
      <x:c r="L27" s="165" t="str">
        <x:v>AI誤答レビュー</x:v>
      </x:c>
      <x:c r="M27" s="369" t="str">
        <x:v>2026-07-12</x:v>
      </x:c>
      <x:c r="N27" s="415" t="str">
        <x:v>第3バッチ：同一論点内の典型的誤概念へ置換。正答位置は維持。</x:v>
      </x:c>
    </x:row>
    <x:row r="28" ht="92" customHeight="1">
      <x:c r="A28" s="414" t="str">
        <x:v>LO4-066</x:v>
      </x:c>
      <x:c r="B28" s="165" t="str">
        <x:v>LO4</x:v>
      </x:c>
      <x:c r="C28" s="165" t="str">
        <x:v>コルヘイタ</x:v>
      </x:c>
      <x:c r="D28" s="165" t="str">
        <x:v>コルヘイタ・ポートの一般的な特徴はどれか。</x:v>
      </x:c>
      <x:c r="E28" s="165" t="str">
        <x:v>複数年の濃色ルビーを短期瓶熟成する</x:v>
      </x:c>
      <x:c r="F28" s="165" t="str">
        <x:v>単一収穫年のトーニー・スタイルで、長期間木樽熟成する</x:v>
      </x:c>
      <x:c r="G28" s="165" t="str">
        <x:v>瓶内のフロール下で熟成する</x:v>
      </x:c>
      <x:c r="H28" s="165" t="str">
        <x:v>ブドウを凍結収穫して造る</x:v>
      </x:c>
      <x:c r="I28" s="165" t="str">
        <x:v>B</x:v>
      </x:c>
      <x:c r="J28" s="165" t="str">
        <x:v>Colheita Portの最低樽熟成・表示要件を最新教材で最終確認推奨</x:v>
      </x:c>
      <x:c r="K28" s="165" t="str">
        <x:v>改稿済み・専門家未承認</x:v>
      </x:c>
      <x:c r="L28" s="165" t="str">
        <x:v>AI誤答レビュー</x:v>
      </x:c>
      <x:c r="M28" s="369" t="str">
        <x:v>2026-07-12</x:v>
      </x:c>
      <x:c r="N28" s="415" t="str">
        <x:v>最終バッチ：有効な誤答を維持し、絶対語・物理的不可能な誤答のみ置換。正答位置は維持。</x:v>
      </x:c>
    </x:row>
    <x:row r="29" ht="92" customHeight="1">
      <x:c r="A29" s="414" t="str">
        <x:v>LO4-074</x:v>
      </x:c>
      <x:c r="B29" s="165" t="str">
        <x:v>LO4</x:v>
      </x:c>
      <x:c r="C29" s="165" t="str">
        <x:v>ドウロ畑の格付け要因</x:v>
      </x:c>
      <x:c r="D29" s="165" t="str">
        <x:v>ドウロでポート用畑の品質評価に用いられる要因として最も適切なものはどれか。</x:v>
      </x:c>
      <x:c r="E29" s="165" t="str">
        <x:v>ボトルの色だけ</x:v>
      </x:c>
      <x:c r="F29" s="165" t="str">
        <x:v>標高、方角、傾斜、土壌、品種、樹齢などの組み合わせ</x:v>
      </x:c>
      <x:c r="G29" s="165" t="str">
        <x:v>ワイナリーの看板の大きさだけ</x:v>
      </x:c>
      <x:c r="H29" s="165" t="str">
        <x:v>瓶内圧力だけ</x:v>
      </x:c>
      <x:c r="I29" s="165" t="str">
        <x:v>B</x:v>
      </x:c>
      <x:c r="J29" s="165" t="str">
        <x:v>ドウロ畑の現行分類制度と評価項目を最新教材で最終照合推奨</x:v>
      </x:c>
      <x:c r="K29" s="165" t="str">
        <x:v>改稿済み・専門家未承認</x:v>
      </x:c>
      <x:c r="L29" s="165" t="str">
        <x:v>AI誤答レビュー</x:v>
      </x:c>
      <x:c r="M29" s="369" t="str">
        <x:v>2026-07-12</x:v>
      </x:c>
      <x:c r="N29" s="415" t="str">
        <x:v>最終バッチ：有効な誤答を維持し、絶対語・物理的不可能な誤答のみ置換。正答位置は維持。</x:v>
      </x:c>
    </x:row>
    <x:row r="30" ht="92" customHeight="1">
      <x:c r="A30" s="414" t="str">
        <x:v>LO4-082</x:v>
      </x:c>
      <x:c r="B30" s="165" t="str">
        <x:v>LO4</x:v>
      </x:c>
      <x:c r="C30" s="165" t="str">
        <x:v>フロール用の酒精強化</x:v>
      </x:c>
      <x:c r="D30" s="165" t="str">
        <x:v>フィノ用のベースワインを比較的低いアルコール度へ酒精強化する主な理由はどれか。</x:v>
      </x:c>
      <x:c r="E30" s="165" t="str">
        <x:v>酸化を最大限にするため</x:v>
      </x:c>
      <x:c r="F30" s="165" t="str">
        <x:v>フロール酵母が生存し、ワイン表面を覆える条件を保つため</x:v>
      </x:c>
      <x:c r="G30" s="165" t="str">
        <x:v>残糖を増やすため</x:v>
      </x:c>
      <x:c r="H30" s="165" t="str">
        <x:v>瓶内圧力を高めるため</x:v>
      </x:c>
      <x:c r="I30" s="165" t="str">
        <x:v>B</x:v>
      </x:c>
      <x:c r="J30" s="165" t="str">
        <x:v>フィノ用酒精強化度数の具体値を掲載する場合は最新教材と規定を照合推奨</x:v>
      </x:c>
      <x:c r="K30" s="165" t="str">
        <x:v>改稿済み・専門家未承認</x:v>
      </x:c>
      <x:c r="L30" s="165" t="str">
        <x:v>AI誤答レビュー</x:v>
      </x:c>
      <x:c r="M30" s="369" t="str">
        <x:v>2026-07-12</x:v>
      </x:c>
      <x:c r="N30" s="415" t="str">
        <x:v>最終バッチ：有効な誤答を維持し、絶対語・物理的不可能な誤答のみ置換。正答位置は維持。</x:v>
      </x:c>
    </x:row>
    <x:row r="31" ht="92" customHeight="1">
      <x:c r="A31" s="414" t="str">
        <x:v>LO4-083</x:v>
      </x:c>
      <x:c r="B31" s="165" t="str">
        <x:v>LO4</x:v>
      </x:c>
      <x:c r="C31" s="165" t="str">
        <x:v>酸化熟成用の酒精強化</x:v>
      </x:c>
      <x:c r="D31" s="165" t="str">
        <x:v>オロロソ用のベースワインをフィノより高いアルコール度へ酒精強化する主な理由はどれか。</x:v>
      </x:c>
      <x:c r="E31" s="165" t="str">
        <x:v>酵母を活発にして残糖を増やすため</x:v>
      </x:c>
      <x:c r="F31" s="165" t="str">
        <x:v>瓶内二次発酵を開始するため</x:v>
      </x:c>
      <x:c r="G31" s="165" t="str">
        <x:v>フロールの成長を防ぎ、ワインを直接酸化熟成させるため</x:v>
      </x:c>
      <x:c r="H31" s="165" t="str">
        <x:v>色を無色透明にするため</x:v>
      </x:c>
      <x:c r="I31" s="165" t="str">
        <x:v>C</x:v>
      </x:c>
      <x:c r="J31" s="165" t="str">
        <x:v>オロロソ用酒精強化度数の具体値を掲載する場合は最新教材と規定を照合推奨</x:v>
      </x:c>
      <x:c r="K31" s="165" t="str">
        <x:v>改稿済み・専門家未承認</x:v>
      </x:c>
      <x:c r="L31" s="165" t="str">
        <x:v>AI誤答レビュー</x:v>
      </x:c>
      <x:c r="M31" s="369" t="str">
        <x:v>2026-07-12</x:v>
      </x:c>
      <x:c r="N31" s="415" t="str">
        <x:v>最終バッチ：有効な誤答を維持し、絶対語・物理的不可能な誤答のみ置換。正答位置は維持。</x:v>
      </x:c>
    </x:row>
    <x:row r="32" ht="92" customHeight="1">
      <x:c r="A32" s="414" t="str">
        <x:v>LO4-087</x:v>
      </x:c>
      <x:c r="B32" s="165" t="str">
        <x:v>LO4</x:v>
      </x:c>
      <x:c r="C32" s="165" t="str">
        <x:v>エン・ラマ</x:v>
      </x:c>
      <x:c r="D32" s="165" t="str">
        <x:v>「エン・ラマ」と表示されるフィノやマンサニーリャに一般的に期待される特徴はどれか。</x:v>
      </x:c>
      <x:c r="E32" s="165" t="str">
        <x:v>炭酸ガス注入による発泡性</x:v>
      </x:c>
      <x:c r="F32" s="165" t="str">
        <x:v>長期の完全酸化熟成</x:v>
      </x:c>
      <x:c r="G32" s="165" t="str">
        <x:v>清澄・濾過を最小限にし、フロール由来の強い香りと質感を保つ</x:v>
      </x:c>
      <x:c r="H32" s="165" t="str">
        <x:v>大量の糖を加えた甘口スタイル</x:v>
      </x:c>
      <x:c r="I32" s="165" t="str">
        <x:v>C</x:v>
      </x:c>
      <x:c r="J32" s="165" t="str">
        <x:v>En Ramaの表示慣行と日本語表記を最新教材で最終照合推奨</x:v>
      </x:c>
      <x:c r="K32" s="165" t="str">
        <x:v>改稿済み・専門家未承認</x:v>
      </x:c>
      <x:c r="L32" s="165" t="str">
        <x:v>AI誤答レビュー</x:v>
      </x:c>
      <x:c r="M32" s="369" t="str">
        <x:v>2026-07-12</x:v>
      </x:c>
      <x:c r="N32" s="415" t="str">
        <x:v>第5バッチ：使用可能な誤答を維持し、弱い誤答を因果逆転・隣接概念へ置換。正答位置は維持。</x:v>
      </x:c>
    </x:row>
    <x:row r="33" ht="92" customHeight="1">
      <x:c r="A33" s="414" t="str">
        <x:v>LO4-088</x:v>
      </x:c>
      <x:c r="B33" s="165" t="str">
        <x:v>LO4</x:v>
      </x:c>
      <x:c r="C33" s="165" t="str">
        <x:v>フィノとマンサニーリャ</x:v>
      </x:c>
      <x:c r="D33" s="165" t="str">
        <x:v>マンサニーリャがフィノより特に繊細で塩味を思わせると表現されやすい主な理由はどれか。</x:v>
      </x:c>
      <x:c r="E33" s="165" t="str">
        <x:v>冬の雨水を多孔質の石灰質土壌に蓄え、乾燥した夏に根へ供給する</x:v>
      </x:c>
      <x:c r="F33" s="165" t="str">
        <x:v>マンサニーリャではPXを少量加え、塩味と甘味を調整する</x:v>
      </x:c>
      <x:c r="G33" s="165" t="str">
        <x:v>フィノより高いアルコールへ強化し、フロールを薄くする</x:v>
      </x:c>
      <x:c r="H33" s="165" t="str">
        <x:v>サンルーカルの湿潤で温和な海洋性環境が、年間を通じて厚いフロールを維持しやすい</x:v>
      </x:c>
      <x:c r="I33" s="165" t="str">
        <x:v>D</x:v>
      </x:c>
      <x:c r="J33" s="165" t="str">
        <x:v>塩味表現とフロール厚の説明を教材表現と最終照合推奨</x:v>
      </x:c>
      <x:c r="K33" s="165" t="str">
        <x:v>改稿済み・専門家未承認</x:v>
      </x:c>
      <x:c r="L33" s="165" t="str">
        <x:v>AI誤答レビュー</x:v>
      </x:c>
      <x:c r="M33" s="369" t="str">
        <x:v>2026-07-12</x:v>
      </x:c>
      <x:c r="N33" s="415" t="str">
        <x:v>第4バッチ：同一論点内の典型的誤概念へ置換。正答位置は維持。</x:v>
      </x:c>
    </x:row>
    <x:row r="34" ht="92" customHeight="1">
      <x:c r="A34" s="414" t="str">
        <x:v>LO4-091</x:v>
      </x:c>
      <x:c r="B34" s="165" t="str">
        <x:v>LO4</x:v>
      </x:c>
      <x:c r="C34" s="165" t="str">
        <x:v>パロ・コルタドのスタイル</x:v>
      </x:c>
      <x:c r="D34" s="165" t="str">
        <x:v>パロ・コルタドの特徴として、最も適切なものはどれか。</x:v>
      </x:c>
      <x:c r="E34" s="165" t="str">
        <x:v>フィノのように淡色で軽く、酸化熟成を行わない繊細な辛口</x:v>
      </x:c>
      <x:c r="F34" s="165" t="str">
        <x:v>オロロソのように豊かで、甘味はPXのブレンドによって得る</x:v>
      </x:c>
      <x:c r="G34" s="165" t="str">
        <x:v>繊細な香りと、オロロソのような豊かなボディを併せ持つ辛口</x:v>
      </x:c>
      <x:c r="H34" s="165" t="str">
        <x:v>発酵途中で酒精強化し、残糖と果実香を保った濃厚な甘口</x:v>
      </x:c>
      <x:c r="I34" s="165" t="str">
        <x:v>C</x:v>
      </x:c>
      <x:c r="J34" s="165" t="str">
        <x:v>パロ・コルタドの生産経路は多様なため、スタイル中心の表現を最終確認推奨</x:v>
      </x:c>
      <x:c r="K34" s="165" t="str">
        <x:v>改稿済み・専門家未承認</x:v>
      </x:c>
      <x:c r="L34" s="165" t="str">
        <x:v>AI誤答レビュー</x:v>
      </x:c>
      <x:c r="M34" s="369" t="str">
        <x:v>2026-07-12</x:v>
      </x:c>
      <x:c r="N34" s="415" t="str">
        <x:v>第3バッチ：同一論点内の典型的誤概念へ置換。正答位置は維持。</x:v>
      </x:c>
    </x:row>
    <x:row r="35" ht="92" customHeight="1">
      <x:c r="A35" s="414" t="str">
        <x:v>LO4-092</x:v>
      </x:c>
      <x:c r="B35" s="165" t="str">
        <x:v>LO4</x:v>
      </x:c>
      <x:c r="C35" s="165" t="str">
        <x:v>ペール・クリーム</x:v>
      </x:c>
      <x:c r="D35" s="165" t="str">
        <x:v>ペール・クリーム・シェリーの一般的なスタイルはどれか。</x:v>
      </x:c>
      <x:c r="E35" s="165" t="str">
        <x:v>タンク方式の発泡性ワイン</x:v>
      </x:c>
      <x:c r="F35" s="165" t="str">
        <x:v>黒ブドウの高タンニン赤</x:v>
      </x:c>
      <x:c r="G35" s="165" t="str">
        <x:v>オロロソを長期酸化熟成した完全辛口</x:v>
      </x:c>
      <x:c r="H35" s="165" t="str">
        <x:v>淡い色で、フィノ系の軽い香りを保ちながら甘味を付けたシェリー</x:v>
      </x:c>
      <x:c r="I35" s="165" t="str">
        <x:v>D</x:v>
      </x:c>
      <x:c r="J35" s="165" t="str">
        <x:v>Pale Creamの甘味調整方法と表示区分を最新教材で最終照合推奨</x:v>
      </x:c>
      <x:c r="K35" s="165" t="str">
        <x:v>改稿済み・専門家未承認</x:v>
      </x:c>
      <x:c r="L35" s="165" t="str">
        <x:v>AI誤答レビュー</x:v>
      </x:c>
      <x:c r="M35" s="369" t="str">
        <x:v>2026-07-12</x:v>
      </x:c>
      <x:c r="N35" s="415" t="str">
        <x:v>第5バッチ：使用可能な誤答を維持し、弱い誤答を因果逆転・隣接概念へ置換。正答位置は維持。</x:v>
      </x:c>
    </x:row>
    <x:row r="36" ht="92" customHeight="1">
      <x:c r="A36" s="414" t="str">
        <x:v>LO4-095</x:v>
      </x:c>
      <x:c r="B36" s="165" t="str">
        <x:v>LO4</x:v>
      </x:c>
      <x:c r="C36" s="165" t="str">
        <x:v>VOS</x:v>
      </x:c>
      <x:c r="D36" s="165" t="str">
        <x:v>VOS表示のシェリーが示すものとして最も適切なものはどれか。</x:v>
      </x:c>
      <x:c r="E36" s="165" t="str">
        <x:v>単一収穫年の若いフィノ</x:v>
      </x:c>
      <x:c r="F36" s="165" t="str">
        <x:v>炭酸ガス注入した発泡性シェリー</x:v>
      </x:c>
      <x:c r="G36" s="165" t="str">
        <x:v>非常に長い平均熟成年数を持つ、認証された熟成シェリー</x:v>
      </x:c>
      <x:c r="H36" s="165" t="str">
        <x:v>アルコールを含まないワイン</x:v>
      </x:c>
      <x:c r="I36" s="165" t="str">
        <x:v>C</x:v>
      </x:c>
      <x:c r="J36" s="165" t="str">
        <x:v>VOSの認証条件・平均熟成年数を最新規定と教材で最終照合推奨</x:v>
      </x:c>
      <x:c r="K36" s="165" t="str">
        <x:v>改稿済み・専門家未承認</x:v>
      </x:c>
      <x:c r="L36" s="165" t="str">
        <x:v>AI誤答レビュー</x:v>
      </x:c>
      <x:c r="M36" s="369" t="str">
        <x:v>2026-07-12</x:v>
      </x:c>
      <x:c r="N36" s="415" t="str">
        <x:v>最終バッチ：有効な誤答を維持し、絶対語・物理的不可能な誤答のみ置換。正答位置は維持。</x:v>
      </x:c>
    </x:row>
    <x:row r="37" ht="92" customHeight="1">
      <x:c r="A37" s="414" t="str">
        <x:v>LO4-096</x:v>
      </x:c>
      <x:c r="B37" s="165" t="str">
        <x:v>LO4</x:v>
      </x:c>
      <x:c r="C37" s="165" t="str">
        <x:v>VORS</x:v>
      </x:c>
      <x:c r="D37" s="165" t="str">
        <x:v>VORS表示がVOSより一般に高い価格となる主な理由はどれか。</x:v>
      </x:c>
      <x:c r="E37" s="165" t="str">
        <x:v>VORSは高収量の若いブドウから造るから</x:v>
      </x:c>
      <x:c r="F37" s="165" t="str">
        <x:v>VORSが主に無アルコールだから</x:v>
      </x:c>
      <x:c r="G37" s="165" t="str">
        <x:v>VORSが主に発泡性だから</x:v>
      </x:c>
      <x:c r="H37" s="165" t="str">
        <x:v>さらに長い平均熟成と大きな蒸発損失により、在庫費用と希少性が高い</x:v>
      </x:c>
      <x:c r="I37" s="165" t="str">
        <x:v>D</x:v>
      </x:c>
      <x:c r="J37" s="165" t="str">
        <x:v>VORSの認証条件・平均熟成年数を最新規定と教材で最終照合推奨</x:v>
      </x:c>
      <x:c r="K37" s="165" t="str">
        <x:v>改稿済み・専門家未承認</x:v>
      </x:c>
      <x:c r="L37" s="165" t="str">
        <x:v>AI誤答レビュー</x:v>
      </x:c>
      <x:c r="M37" s="369" t="str">
        <x:v>2026-07-12</x:v>
      </x:c>
      <x:c r="N37" s="415" t="str">
        <x:v>第5バッチ：使用可能な誤答を維持し、弱い誤答を因果逆転・隣接概念へ置換。正答位置は維持。</x:v>
      </x:c>
    </x:row>
    <x:row r="38" ht="92" customHeight="1">
      <x:c r="A38" s="414" t="str">
        <x:v>LO4-106</x:v>
      </x:c>
      <x:c r="B38" s="165" t="str">
        <x:v>LO4</x:v>
      </x:c>
      <x:c r="C38" s="165" t="str">
        <x:v>ポニエンテとレバンテ</x:v>
      </x:c>
      <x:c r="D38" s="165" t="str">
        <x:v>ヘレスで湿ったポニエンテ風がフロールの活動に有利となる主な理由はどれか。</x:v>
      </x:c>
      <x:c r="E38" s="165" t="str">
        <x:v>風が樽へ糖を運ぶため</x:v>
      </x:c>
      <x:c r="F38" s="165" t="str">
        <x:v>大西洋から涼しく湿った空気を運び、ボデガ内を温和に保つため</x:v>
      </x:c>
      <x:c r="G38" s="165" t="str">
        <x:v>風が瓶内圧力を高めるため</x:v>
      </x:c>
      <x:c r="H38" s="165" t="str">
        <x:v>風がブドウを黒品種へ変えるため</x:v>
      </x:c>
      <x:c r="I38" s="165" t="str">
        <x:v>B</x:v>
      </x:c>
      <x:c r="J38" s="165" t="str">
        <x:v>ポニエンテ／レバンテの日本語表記と効果を教材表現で最終確認推奨</x:v>
      </x:c>
      <x:c r="K38" s="165" t="str">
        <x:v>改稿済み・専門家未承認</x:v>
      </x:c>
      <x:c r="L38" s="165" t="str">
        <x:v>AI誤答レビュー</x:v>
      </x:c>
      <x:c r="M38" s="369" t="str">
        <x:v>2026-07-12</x:v>
      </x:c>
      <x:c r="N38" s="415" t="str">
        <x:v>最終バッチ：有効な誤答を維持し、絶対語・物理的不可能な誤答のみ置換。正答位置は維持。</x:v>
      </x:c>
    </x:row>
    <x:row r="39" ht="92" customHeight="1">
      <x:c r="A39" s="414" t="str">
        <x:v>LO4-111</x:v>
      </x:c>
      <x:c r="B39" s="165" t="str">
        <x:v>LO4</x:v>
      </x:c>
      <x:c r="C39" s="165" t="str">
        <x:v>ラザグレンの分類</x:v>
      </x:c>
      <x:c r="D39" s="165" t="str">
        <x:v>ラザグレン・マスカットの「Rutherglen」「Classic」「Grand」「Rare」という区分が主に表すものはどれか。</x:v>
      </x:c>
      <x:c r="E39" s="165" t="str">
        <x:v>発泡性の圧力区分</x:v>
      </x:c>
      <x:c r="F39" s="165" t="str">
        <x:v>ブドウ果皮の色だけ</x:v>
      </x:c>
      <x:c r="G39" s="165" t="str">
        <x:v>熟成度、濃縮度、複雑性の段階</x:v>
      </x:c>
      <x:c r="H39" s="165" t="str">
        <x:v>アルコールを含むかどうか</x:v>
      </x:c>
      <x:c r="I39" s="165" t="str">
        <x:v>C</x:v>
      </x:c>
      <x:c r="J39" s="165" t="str">
        <x:v>ラザグレンの分類名称・官能基準を最新教材と生産者団体基準で最終照合推奨</x:v>
      </x:c>
      <x:c r="K39" s="165" t="str">
        <x:v>改稿済み・専門家未承認</x:v>
      </x:c>
      <x:c r="L39" s="165" t="str">
        <x:v>AI誤答レビュー</x:v>
      </x:c>
      <x:c r="M39" s="369" t="str">
        <x:v>2026-07-12</x:v>
      </x:c>
      <x:c r="N39" s="415" t="str">
        <x:v>最終バッチ：有効な誤答を維持し、絶対語・物理的不可能な誤答のみ置換。正答位置は維持。</x:v>
      </x:c>
    </x:row>
    <x:row r="40" ht="92" customHeight="1">
      <x:c r="A40" s="414" t="str">
        <x:v>LO4-112</x:v>
      </x:c>
      <x:c r="B40" s="165" t="str">
        <x:v>LO4</x:v>
      </x:c>
      <x:c r="C40" s="165" t="str">
        <x:v>Rutherglen区分のスタイル</x:v>
      </x:c>
      <x:c r="D40" s="165" t="str">
        <x:v>最も若い「Rutherglen」区分のマスカットに期待される特徴はどれか。</x:v>
      </x:c>
      <x:c r="E40" s="165" t="str">
        <x:v>瓶内二次発酵の強い泡</x:v>
      </x:c>
      <x:c r="F40" s="165" t="str">
        <x:v>最も濃厚で黒く、数十年の熟成香だけ</x:v>
      </x:c>
      <x:c r="G40" s="165" t="str">
        <x:v>濃い褐色、糖蜜、コーヒー、ナッツが中心の非常に古いスタイル</x:v>
      </x:c>
      <x:c r="H40" s="165" t="str">
        <x:v>ブドウとレーズンの一次果実香が明瞭で、上位区分より軽快</x:v>
      </x:c>
      <x:c r="I40" s="165" t="str">
        <x:v>D</x:v>
      </x:c>
      <x:c r="J40" s="165" t="str">
        <x:v>区分ごとの官能表現は最新分類基準と最終照合推奨</x:v>
      </x:c>
      <x:c r="K40" s="165" t="str">
        <x:v>改稿済み・専門家未承認</x:v>
      </x:c>
      <x:c r="L40" s="165" t="str">
        <x:v>AI誤答レビュー</x:v>
      </x:c>
      <x:c r="M40" s="369" t="str">
        <x:v>2026-07-12</x:v>
      </x:c>
      <x:c r="N40" s="415" t="str">
        <x:v>第5バッチ：使用可能な誤答を維持し、弱い誤答を因果逆転・隣接概念へ置換。正答位置は維持。</x:v>
      </x:c>
    </x:row>
    <x:row r="41" ht="92" customHeight="1">
      <x:c r="A41" s="414" t="str">
        <x:v>LO4-113</x:v>
      </x:c>
      <x:c r="B41" s="165" t="str">
        <x:v>LO4</x:v>
      </x:c>
      <x:c r="C41" s="165" t="str">
        <x:v>Classic区分</x:v>
      </x:c>
      <x:c r="D41" s="165" t="str">
        <x:v>「Classic Rutherglen Muscat」が基本のRutherglen区分より複雑になりやすい主な理由はどれか。</x:v>
      </x:c>
      <x:c r="E41" s="165" t="str">
        <x:v>より長く熟成した原酒を多く含み、果実香にキャラメルやナッツ香が加わる</x:v>
      </x:c>
      <x:c r="F41" s="165" t="str">
        <x:v>若い原酒を多くし、酸化香を減らして品種香だけを強める</x:v>
      </x:c>
      <x:c r="G41" s="165" t="str">
        <x:v>若い原酒だけを使い、品種香を純粋に保つため</x:v>
      </x:c>
      <x:c r="H41" s="165" t="str">
        <x:v>残糖を基本区分より低くし、辛口へ近づけるため</x:v>
      </x:c>
      <x:c r="I41" s="165" t="str">
        <x:v>A</x:v>
      </x:c>
      <x:c r="J41" s="165" t="str">
        <x:v>区分ごとの官能表現は最新分類基準と最終照合推奨</x:v>
      </x:c>
      <x:c r="K41" s="165" t="str">
        <x:v>改稿済み・専門家未承認</x:v>
      </x:c>
      <x:c r="L41" s="165" t="str">
        <x:v>AI誤答レビュー</x:v>
      </x:c>
      <x:c r="M41" s="369" t="str">
        <x:v>2026-07-12</x:v>
      </x:c>
      <x:c r="N41" s="415" t="str">
        <x:v>第4バッチ：同一論点内の典型的誤概念へ置換。正答位置は維持。</x:v>
      </x:c>
    </x:row>
    <x:row r="42" ht="92" customHeight="1">
      <x:c r="A42" s="414" t="str">
        <x:v>LO4-114</x:v>
      </x:c>
      <x:c r="B42" s="165" t="str">
        <x:v>LO4</x:v>
      </x:c>
      <x:c r="C42" s="165" t="str">
        <x:v>GrandとRare</x:v>
      </x:c>
      <x:c r="D42" s="165" t="str">
        <x:v>GrandまたはRare Rutherglen Muscatが非常に高価になりやすい主な理由はどれか。</x:v>
      </x:c>
      <x:c r="E42" s="165" t="str">
        <x:v>最も高収量の若い畑だけを使う</x:v>
      </x:c>
      <x:c r="F42" s="165" t="str">
        <x:v>非常に古く濃縮した原酒を少量用い、長期熟成中の蒸発損失が大きい</x:v>
      </x:c>
      <x:c r="G42" s="165" t="str">
        <x:v>炭酸ガス注入で大量生産する</x:v>
      </x:c>
      <x:c r="H42" s="165" t="str">
        <x:v>アルコールを除去して無酒精にする</x:v>
      </x:c>
      <x:c r="I42" s="165" t="str">
        <x:v>B</x:v>
      </x:c>
      <x:c r="J42" s="165" t="str">
        <x:v>Grand／Rareの分類基準・平均熟成イメージを最新基準と照合推奨</x:v>
      </x:c>
      <x:c r="K42" s="165" t="str">
        <x:v>改稿済み・専門家未承認</x:v>
      </x:c>
      <x:c r="L42" s="165" t="str">
        <x:v>AI誤答レビュー</x:v>
      </x:c>
      <x:c r="M42" s="369" t="str">
        <x:v>2026-07-12</x:v>
      </x:c>
      <x:c r="N42" s="415" t="str">
        <x:v>最終バッチ：有効な誤答を維持し、絶対語・物理的不可能な誤答のみ置換。正答位置は維持。</x:v>
      </x:c>
    </x:row>
    <x:row r="43" ht="92" customHeight="1">
      <x:c r="A43" s="414" t="str">
        <x:v>LO5-063</x:v>
      </x:c>
      <x:c r="B43" s="165" t="str">
        <x:v>LO5</x:v>
      </x:c>
      <x:c r="C43" s="165" t="str">
        <x:v>亜硫酸塩に関する案内</x:v>
      </x:c>
      <x:c r="D43" s="165" t="str">
        <x:v>亜硫酸塩への感受性を申し出た顧客への対応として、最も適切なものはどれか。</x:v>
      </x:c>
      <x:c r="E43" s="165" t="str">
        <x:v>白ワインより赤ワインの方が亜硫酸塩が少ないことが多いため、赤なら安全と案内する</x:v>
      </x:c>
      <x:c r="F43" s="165" t="str">
        <x:v>デカンティングで遊離亜硫酸が弱まる可能性があるため、安全を保証して提供する</x:v>
      </x:c>
      <x:c r="G43" s="165" t="str">
        <x:v>ラベルや商品情報を確認し、断定的な医療助言を避け、必要なら摂取しない選択肢を案内する</x:v>
      </x:c>
      <x:c r="H43" s="165" t="str">
        <x:v>ラベルに亜硫酸塩表示がなければ、亜硫酸塩は存在しないと案内する</x:v>
      </x:c>
      <x:c r="I43" s="165" t="str">
        <x:v>C</x:v>
      </x:c>
      <x:c r="J43" s="165" t="str">
        <x:v>アレルゲン・表示・健康関連のため、地域別法規と表現を法務・専門家確認推奨</x:v>
      </x:c>
      <x:c r="K43" s="165" t="str">
        <x:v>改稿済み・専門家未承認</x:v>
      </x:c>
      <x:c r="L43" s="165" t="str">
        <x:v>AI誤答レビュー</x:v>
      </x:c>
      <x:c r="M43" s="369" t="str">
        <x:v>2026-07-12</x:v>
      </x:c>
      <x:c r="N43" s="415" t="str">
        <x:v>誤答を同一論点内の典型的誤概念へ置換。900問本体への反映前に専門家確認推奨。</x:v>
      </x:c>
    </x:row>
    <x:row r="44" ht="92" customHeight="1">
      <x:c r="A44" s="414" t="str">
        <x:v>LO5-095</x:v>
      </x:c>
      <x:c r="B44" s="165" t="str">
        <x:v>LO5</x:v>
      </x:c>
      <x:c r="C44" s="165" t="str">
        <x:v>ブレタノマイセスの判断</x:v>
      </x:c>
      <x:c r="D44" s="165" t="str">
        <x:v>ブレタノマイセス由来の動物的・薬品的な香りについて、最も適切な判断はどれか。</x:v>
      </x:c>
      <x:c r="E44" s="165" t="str">
        <x:v>動物的な香りを感じた時点で、濃度やワインスタイルにかかわらず欠陥と判断する</x:v>
      </x:c>
      <x:c r="F44" s="165" t="str">
        <x:v>低濃度では複雑性となり、高濃度でも果実味や品質への影響は小さい</x:v>
      </x:c>
      <x:c r="G44" s="165" t="str">
        <x:v>低濃度を複雑性と捉える人もいるが、果実を覆う高濃度では一般に欠陥と判断される</x:v>
      </x:c>
      <x:c r="H44" s="165" t="str">
        <x:v>デカンティングで香りが弱まれば、ブレタノマイセス由来ではなかったと判断できる</x:v>
      </x:c>
      <x:c r="I44" s="165" t="str">
        <x:v>C</x:v>
      </x:c>
      <x:c r="J44" s="165" t="str">
        <x:v>ブレタノマイセスの許容度は官能評価上の議論があるため、断定表現を専門家確認推奨</x:v>
      </x:c>
      <x:c r="K44" s="165" t="str">
        <x:v>改稿済み・専門家未承認</x:v>
      </x:c>
      <x:c r="L44" s="165" t="str">
        <x:v>AI誤答レビュー</x:v>
      </x:c>
      <x:c r="M44" s="369" t="str">
        <x:v>2026-07-12</x:v>
      </x:c>
      <x:c r="N44" s="415" t="str">
        <x:v>誤答を同一論点内の典型的誤概念へ置換。900問本体への反映前に専門家確認推奨。</x:v>
      </x:c>
    </x:row>
    <x:row r="45" ht="92" customHeight="1">
      <x:c r="A45" s="414" t="str">
        <x:v>LO5-118</x:v>
      </x:c>
      <x:c r="B45" s="165" t="str">
        <x:v>LO5</x:v>
      </x:c>
      <x:c r="C45" s="165" t="str">
        <x:v>責任ある提供ペース</x:v>
      </x:c>
      <x:c r="D45" s="165" t="str">
        <x:v>責任あるワインサービスで、提供ペースを管理する主な目的はどれか。</x:v>
      </x:c>
      <x:c r="E45" s="165" t="str">
        <x:v>ゆっくり飲めばアルコールが存在しなくなる</x:v>
      </x:c>
      <x:c r="F45" s="165" t="str">
        <x:v>短時間の過剰摂取を避け、顧客の状態を確認しながら安全に楽しめるようにする</x:v>
      </x:c>
      <x:c r="G45" s="165" t="str">
        <x:v>高価なワインなら提供量を管理しなくてよい</x:v>
      </x:c>
      <x:c r="H45" s="165" t="str">
        <x:v>顧客の状態を確認する必要はない</x:v>
      </x:c>
      <x:c r="I45" s="165" t="str">
        <x:v>B</x:v>
      </x:c>
      <x:c r="J45" s="165" t="str">
        <x:v>責任ある提供と地域法規に関わるため、運用地域の法令・社内方針との照合を推奨</x:v>
      </x:c>
      <x:c r="K45" s="165" t="str">
        <x:v>改稿済み・専門家未承認</x:v>
      </x:c>
      <x:c r="L45" s="165" t="str">
        <x:v>AI誤答レビュー</x:v>
      </x:c>
      <x:c r="M45" s="369" t="str">
        <x:v>2026-07-12</x:v>
      </x:c>
      <x:c r="N45" s="415" t="str">
        <x:v>最終バッチ：有効な誤答を維持し、絶対語・物理的不可能な誤答のみ置換。正答位置は維持。</x:v>
      </x:c>
    </x:row>
    <x:row r="46" ht="92" customHeight="1">
      <x:c r="A46" s="414" t="str">
        <x:v>LO5-119</x:v>
      </x:c>
      <x:c r="B46" s="165" t="str">
        <x:v>LO5</x:v>
      </x:c>
      <x:c r="C46" s="165" t="str">
        <x:v>水と食事の役割</x:v>
      </x:c>
      <x:c r="D46" s="165" t="str">
        <x:v>飲酒中に水と食事を取ることについて最も適切な説明はどれか。</x:v>
      </x:c>
      <x:c r="E46" s="165" t="str">
        <x:v>水を多く飲めば肝臓の代謝速度が上がり、血中アルコール濃度が早く下がる</x:v>
      </x:c>
      <x:c r="F46" s="165" t="str">
        <x:v>食事を取ればアルコールの吸収が止まり、血中濃度は上がらない</x:v>
      </x:c>
      <x:c r="G46" s="165" t="str">
        <x:v>脱水や急速な吸収を緩和する助けにはなるが、摂取したアルコールを無効にはしない</x:v>
      </x:c>
      <x:c r="H46" s="165" t="str">
        <x:v>水を飲むと肝臓の代謝速度が上がり、短時間で酔いが消える</x:v>
      </x:c>
      <x:c r="I46" s="165" t="str">
        <x:v>C</x:v>
      </x:c>
      <x:c r="J46" s="165" t="str">
        <x:v>健康関連の一般情報として扱い、医療助言や地域別運転基準の代替にしないことを確認推奨</x:v>
      </x:c>
      <x:c r="K46" s="165" t="str">
        <x:v>改稿済み・専門家未承認</x:v>
      </x:c>
      <x:c r="L46" s="165" t="str">
        <x:v>AI誤答レビュー</x:v>
      </x:c>
      <x:c r="M46" s="369" t="str">
        <x:v>2026-07-12</x:v>
      </x:c>
      <x:c r="N46" s="415" t="str">
        <x:v>第4バッチ：同一論点内の典型的誤概念へ置換。正答位置は維持。</x:v>
      </x:c>
    </x:row>
    <x:row r="47" ht="92" customHeight="1">
      <x:c r="A47" s="414" t="str">
        <x:v>LO5-120</x:v>
      </x:c>
      <x:c r="B47" s="165" t="str">
        <x:v>LO5</x:v>
      </x:c>
      <x:c r="C47" s="165" t="str">
        <x:v>運転者への提案</x:v>
      </x:c>
      <x:c r="D47" s="165" t="str">
        <x:v>車を運転する予定の顧客への最も適切な提案はどれか。</x:v>
      </x:c>
      <x:c r="E47" s="165" t="str">
        <x:v>コーヒーを飲めばすぐ運転できると案内する</x:v>
      </x:c>
      <x:c r="F47" s="165" t="str">
        <x:v>高品質ワインなら運転へ影響しないと説明する</x:v>
      </x:c>
      <x:c r="G47" s="165" t="str">
        <x:v>少量なら法的にも安全と断言する</x:v>
      </x:c>
      <x:c r="H47" s="165" t="str">
        <x:v>アルコールを提供せず、ノンアルコール飲料や安全な帰宅手段を案内する</x:v>
      </x:c>
      <x:c r="I47" s="165" t="str">
        <x:v>D</x:v>
      </x:c>
      <x:c r="J47" s="165" t="str">
        <x:v>地域ごとの飲酒運転法規に関わるため、具体的な基準値を示さず安全優先の一般表現として確認推奨</x:v>
      </x:c>
      <x:c r="K47" s="165" t="str">
        <x:v>改稿済み・専門家未承認</x:v>
      </x:c>
      <x:c r="L47" s="165" t="str">
        <x:v>AI誤答レビュー</x:v>
      </x:c>
      <x:c r="M47" s="369" t="str">
        <x:v>2026-07-12</x:v>
      </x:c>
      <x:c r="N47" s="415" t="str">
        <x:v>第5バッチ：使用可能な誤答を維持し、弱い誤答を因果逆転・隣接概念へ置換。正答位置は維持。</x:v>
      </x:c>
    </x:row>
    <x:row r="48" ht="92" customHeight="1">
      <x:c r="A48" s="414" t="str">
        <x:v>LO1-137</x:v>
      </x:c>
      <x:c r="B48" s="165" t="str">
        <x:v>LO1</x:v>
      </x:c>
      <x:c r="C48" s="165" t="str">
        <x:v>除草剤</x:v>
      </x:c>
      <x:c r="D48" s="165" t="str">
        <x:v>除草剤を用いる利点と潜在的な問題の組み合わせとして、最も適切なものはどれか。</x:v>
      </x:c>
      <x:c r="E48" s="165" t="str">
        <x:v>雑草を低コストで抑えられる一方、土壌生物や耐性雑草、環境への影響が懸念される</x:v>
      </x:c>
      <x:c r="F48" s="165" t="str">
        <x:v>雑草管理費は高くなるが、土壌生物と水質への影響は生じにくい</x:v>
      </x:c>
      <x:c r="G48" s="165" t="str">
        <x:v>雑草を抑えると同時に土壌有機物を増やし、浸食を減らす</x:v>
      </x:c>
      <x:c r="H48" s="165" t="str">
        <x:v>同じ薬剤を繰り返すほど耐性雑草の発生リスクは低下する</x:v>
      </x:c>
      <x:c r="I48" s="165" t="str">
        <x:v>A</x:v>
      </x:c>
      <x:c r="J48" s="165" t="str">
        <x:v>除草剤の規制と持続可能性に関する表現は地域差があるため最終確認推奨</x:v>
      </x:c>
      <x:c r="K48" s="165" t="str">
        <x:v>改稿済み・専門家未承認</x:v>
      </x:c>
      <x:c r="L48" s="165" t="str">
        <x:v>AI誤答レビュー</x:v>
      </x:c>
      <x:c r="M48" s="369" t="str">
        <x:v>2026-07-12</x:v>
      </x:c>
      <x:c r="N48" s="415" t="str">
        <x:v>第3バッチ：同一論点内の典型的誤概念へ置換。正答位置は維持。</x:v>
      </x:c>
    </x:row>
    <x:row r="49" ht="92" customHeight="1">
      <x:c r="A49" s="414" t="str">
        <x:v>LO1-140</x:v>
      </x:c>
      <x:c r="B49" s="165" t="str">
        <x:v>LO1</x:v>
      </x:c>
      <x:c r="C49" s="165" t="str">
        <x:v>カリウム不足</x:v>
      </x:c>
      <x:c r="D49" s="165" t="str">
        <x:v>ブドウ樹のカリウム不足で起こり得る問題として、最も適切なものはどれか。</x:v>
      </x:c>
      <x:c r="E49" s="165" t="str">
        <x:v>果汁中のカリウムが増え、酒石酸塩の形成によってpHが上昇しやすくなる</x:v>
      </x:c>
      <x:c r="F49" s="165" t="str">
        <x:v>新梢と葉が過剰に成長し、果房の遮光が強くなる</x:v>
      </x:c>
      <x:c r="G49" s="165" t="str">
        <x:v>葉の水分調節が改善し、糖の転流が速くなって成熟が均一になる</x:v>
      </x:c>
      <x:c r="H49" s="165" t="str">
        <x:v>葉の機能と糖の移動が低下し、果実成熟が不均一になる</x:v>
      </x:c>
      <x:c r="I49" s="165" t="str">
        <x:v>D</x:v>
      </x:c>
      <x:c r="J49" s="165" t="str">
        <x:v>栄養欠乏症状の表現は教材レベルに合わせて最終確認推奨</x:v>
      </x:c>
      <x:c r="K49" s="165" t="str">
        <x:v>改稿済み・専門家未承認</x:v>
      </x:c>
      <x:c r="L49" s="165" t="str">
        <x:v>AI誤答レビュー</x:v>
      </x:c>
      <x:c r="M49" s="369" t="str">
        <x:v>2026-07-12</x:v>
      </x:c>
      <x:c r="N49" s="415" t="str">
        <x:v>第2バッチ：誤答を同一論点内の典型的誤概念へ置換。正答位置は維持。</x:v>
      </x:c>
    </x:row>
    <x:row r="50" ht="92" customHeight="1">
      <x:c r="A50" s="414" t="str">
        <x:v>LO1-153</x:v>
      </x:c>
      <x:c r="B50" s="165" t="str">
        <x:v>LO1</x:v>
      </x:c>
      <x:c r="C50" s="165" t="str">
        <x:v>幹病害</x:v>
      </x:c>
      <x:c r="D50" s="165" t="str">
        <x:v>幹病害の拡大を抑えるため、剪定時に行うべき対策として最も適切なものはどれか。</x:v>
      </x:c>
      <x:c r="E50" s="165" t="str">
        <x:v>感染した木部を除去し、剪定器具を衛生管理し、大きな傷を保護する</x:v>
      </x:c>
      <x:c r="F50" s="165" t="str">
        <x:v>感染した枝を畑全体へ散布する</x:v>
      </x:c>
      <x:c r="G50" s="165" t="str">
        <x:v>剪定傷へ糖液を塗る</x:v>
      </x:c>
      <x:c r="H50" s="165" t="str">
        <x:v>発酵後のワインを幹へ注ぐ</x:v>
      </x:c>
      <x:c r="I50" s="165" t="str">
        <x:v>A</x:v>
      </x:c>
      <x:c r="J50" s="165" t="str">
        <x:v>幹病害対策の具体的処置は地域・病害で異なるため一般表現として最終確認推奨</x:v>
      </x:c>
      <x:c r="K50" s="165" t="str">
        <x:v>改稿済み・専門家未承認</x:v>
      </x:c>
      <x:c r="L50" s="165" t="str">
        <x:v>AI誤答レビュー</x:v>
      </x:c>
      <x:c r="M50" s="369" t="str">
        <x:v>2026-07-12</x:v>
      </x:c>
      <x:c r="N50" s="415" t="str">
        <x:v>最終バッチ：有効な誤答を維持し、絶対語・物理的不可能な誤答のみ置換。正答位置は維持。</x:v>
      </x:c>
    </x:row>
    <x:row r="51" ht="92" customHeight="1">
      <x:c r="A51" s="414" t="str">
        <x:v>LO1-167</x:v>
      </x:c>
      <x:c r="B51" s="165" t="str">
        <x:v>LO1</x:v>
      </x:c>
      <x:c r="C51" s="165" t="str">
        <x:v>テクニカル・コルク</x:v>
      </x:c>
      <x:c r="D51" s="165" t="str">
        <x:v>テクニカル・コルクの一般的な利点として最も適切なものはどれか。</x:v>
      </x:c>
      <x:c r="E51" s="165" t="str">
        <x:v>天然コルク由来のTCAリスクを避け、比較的一貫した密閉性を得やすい</x:v>
      </x:c>
      <x:c r="F51" s="165" t="str">
        <x:v>一本のコルク樹皮から打ち抜くため、天然コルクより個体差が大きい</x:v>
      </x:c>
      <x:c r="G51" s="165" t="str">
        <x:v>天然コルク粒を処理・成型し、TCAリスクと酸素透過のばらつきを減らせる</x:v>
      </x:c>
      <x:c r="H51" s="165" t="str">
        <x:v>金属とプラスチックだけで作られ、コルク素材を含まない</x:v>
      </x:c>
      <x:c r="I51" s="165" t="str">
        <x:v>C</x:v>
      </x:c>
      <x:c r="J51" s="165" t="str">
        <x:v>テクニカル・コルクの性能は製品差があるため一般表現として最終確認推奨</x:v>
      </x:c>
      <x:c r="K51" s="165" t="str">
        <x:v>改稿済み・専門家未承認</x:v>
      </x:c>
      <x:c r="L51" s="165" t="str">
        <x:v>AI誤答レビュー</x:v>
      </x:c>
      <x:c r="M51" s="369" t="str">
        <x:v>2026-07-12</x:v>
      </x:c>
      <x:c r="N51" s="415" t="str">
        <x:v>第4バッチ：同一論点内の典型的誤概念へ置換。正答位置は維持。</x:v>
      </x:c>
    </x:row>
    <x:row r="52" ht="92" customHeight="1">
      <x:c r="A52" s="414" t="str">
        <x:v>LO2-124</x:v>
      </x:c>
      <x:c r="B52" s="165" t="str">
        <x:v>LO2</x:v>
      </x:c>
      <x:c r="C52" s="165" t="str">
        <x:v>ボルドー・シュペリュール</x:v>
      </x:c>
      <x:c r="D52" s="165" t="str">
        <x:v>赤のボルドー・シュペリュールが、基本的なボルドーAOCより一般に豊かなスタイルになりやすい主な理由はどれか。</x:v>
      </x:c>
      <x:c r="E52" s="165" t="str">
        <x:v>基本のボルドーAOCより高い収量が認められ、軽い果実味を樽熟成で補うため</x:v>
      </x:c>
      <x:c r="F52" s="165" t="str">
        <x:v>使用品種は同じだが、ワインに長期瓶熟成が広く義務付けられるため</x:v>
      </x:c>
      <x:c r="G52" s="165" t="str">
        <x:v>メルロの最低使用比率が高く定められ、カベルネ系品種を使用できないため</x:v>
      </x:c>
      <x:c r="H52" s="165" t="str">
        <x:v>より厳しい収量や成熟度の要件を満たすブドウを用いるため</x:v>
      </x:c>
      <x:c r="I52" s="165" t="str">
        <x:v>D</x:v>
      </x:c>
      <x:c r="J52" s="165" t="str">
        <x:v>ボルドー・シュペリュールの現行収量・成熟度規定を最新教材と照合推奨</x:v>
      </x:c>
      <x:c r="K52" s="165" t="str">
        <x:v>改稿済み・専門家未承認</x:v>
      </x:c>
      <x:c r="L52" s="165" t="str">
        <x:v>AI誤答レビュー</x:v>
      </x:c>
      <x:c r="M52" s="369" t="str">
        <x:v>2026-07-12</x:v>
      </x:c>
      <x:c r="N52" s="415" t="str">
        <x:v>第2バッチ：誤答を同一論点内の典型的誤概念へ置換。正答位置は維持。</x:v>
      </x:c>
    </x:row>
    <x:row r="53" ht="92" customHeight="1">
      <x:c r="A53" s="414" t="str">
        <x:v>LO2-137</x:v>
      </x:c>
      <x:c r="B53" s="165" t="str">
        <x:v>LO2</x:v>
      </x:c>
      <x:c r="C53" s="165" t="str">
        <x:v>コート・デュ・ローヌ・ヴィラージュ</x:v>
      </x:c>
      <x:c r="D53" s="165" t="str">
        <x:v>コート・デュ・ローヌ・ヴィラージュが、基本のコート・デュ・ローヌより高品質になりやすい主な理由はどれか。</x:v>
      </x:c>
      <x:c r="E53" s="165" t="str">
        <x:v>指定された優良村・区域で、より厳しい収量や成熟基準を満たすため</x:v>
      </x:c>
      <x:c r="F53" s="165" t="str">
        <x:v>基本AOCと同じ地理・収量基準だが、長期オーク熟成だけが追加で義務付けられるため</x:v>
      </x:c>
      <x:c r="G53" s="165" t="str">
        <x:v>より高い収量を認める代わりに、使用品種をグルナッシュ一種へ限定するため</x:v>
      </x:c>
      <x:c r="H53" s="165" t="str">
        <x:v>生産者の評価だけで表示でき、畑の所在地や成熟度は要件にならないため</x:v>
      </x:c>
      <x:c r="I53" s="165" t="str">
        <x:v>A</x:v>
      </x:c>
      <x:c r="J53" s="165" t="str">
        <x:v>コート・デュ・ローヌ・ヴィラージュの現行規定を最新教材と照合推奨</x:v>
      </x:c>
      <x:c r="K53" s="165" t="str">
        <x:v>改稿済み・専門家未承認</x:v>
      </x:c>
      <x:c r="L53" s="165" t="str">
        <x:v>AI誤答レビュー</x:v>
      </x:c>
      <x:c r="M53" s="369" t="str">
        <x:v>2026-07-12</x:v>
      </x:c>
      <x:c r="N53" s="415" t="str">
        <x:v>第2バッチ：誤答を同一論点内の典型的誤概念へ置換。正答位置は維持。</x:v>
      </x:c>
    </x:row>
    <x:row r="54" ht="92" customHeight="1">
      <x:c r="A54" s="414" t="str">
        <x:v>LO3-131</x:v>
      </x:c>
      <x:c r="B54" s="165" t="str">
        <x:v>LO3</x:v>
      </x:c>
      <x:c r="C54" s="165" t="str">
        <x:v>ベースワインの酸調整</x:v>
      </x:c>
      <x:c r="D54" s="165" t="str">
        <x:v>温暖な年の発泡性ベースワインで酸の調整を検討する主な理由はどれか。</x:v>
      </x:c>
      <x:c r="E54" s="165" t="str">
        <x:v>酸を加えると澱が生じなくなる</x:v>
      </x:c>
      <x:c r="F54" s="165" t="str">
        <x:v>酸調整でアルコールが消える</x:v>
      </x:c>
      <x:c r="G54" s="165" t="str">
        <x:v>完成品が平坦にならないよう、二次発酵・ドザージュ後の鮮度を確保するため</x:v>
      </x:c>
      <x:c r="H54" s="165" t="str">
        <x:v>酸を加えると瓶内圧力が倍になる</x:v>
      </x:c>
      <x:c r="I54" s="165" t="str">
        <x:v>C</x:v>
      </x:c>
      <x:c r="J54" s="165" t="str">
        <x:v>酸調整の可否・上限は産地法規で異なるため、一般原則として最終確認推奨</x:v>
      </x:c>
      <x:c r="K54" s="165" t="str">
        <x:v>改稿済み・専門家未承認</x:v>
      </x:c>
      <x:c r="L54" s="165" t="str">
        <x:v>AI誤答レビュー</x:v>
      </x:c>
      <x:c r="M54" s="369" t="str">
        <x:v>2026-07-12</x:v>
      </x:c>
      <x:c r="N54" s="415" t="str">
        <x:v>第5バッチ：使用可能な誤答を維持し、弱い誤答を因果逆転・隣接概念へ置換。正答位置は維持。</x:v>
      </x:c>
    </x:row>
    <x:row r="55" ht="92" customHeight="1">
      <x:c r="A55" s="414" t="str">
        <x:v>LO3-137</x:v>
      </x:c>
      <x:c r="B55" s="165" t="str">
        <x:v>LO3</x:v>
      </x:c>
      <x:c r="C55" s="165" t="str">
        <x:v>エクストラ・ブリュット</x:v>
      </x:c>
      <x:c r="D55" s="165" t="str">
        <x:v>エクストラ・ブリュットがブリュットより一般に辛口に感じられる主な理由はどれか。</x:v>
      </x:c>
      <x:c r="E55" s="165" t="str">
        <x:v>許容される残糖が低く、ドザージュ量が少ないため</x:v>
      </x:c>
      <x:c r="F55" s="165" t="str">
        <x:v>瓶内圧力が低く、溶けている二酸化炭素が少ないため</x:v>
      </x:c>
      <x:c r="G55" s="165" t="str">
        <x:v>瓶内圧力がブリュットより高く、酸が強く感じられるため</x:v>
      </x:c>
      <x:c r="H55" s="165" t="str">
        <x:v>二次発酵を途中で止めず、ブリュットよりアルコールが高いため</x:v>
      </x:c>
      <x:c r="I55" s="165" t="str">
        <x:v>A</x:v>
      </x:c>
      <x:c r="J55" s="165" t="str">
        <x:v>甘味区分の残糖範囲は最新規定・教材との最終照合を推奨</x:v>
      </x:c>
      <x:c r="K55" s="165" t="str">
        <x:v>改稿済み・専門家未承認</x:v>
      </x:c>
      <x:c r="L55" s="165" t="str">
        <x:v>AI誤答レビュー</x:v>
      </x:c>
      <x:c r="M55" s="369" t="str">
        <x:v>2026-07-12</x:v>
      </x:c>
      <x:c r="N55" s="415" t="str">
        <x:v>第4バッチ：同一論点内の典型的誤概念へ置換。正答位置は維持。</x:v>
      </x:c>
    </x:row>
    <x:row r="56" ht="92" customHeight="1">
      <x:c r="A56" s="414" t="str">
        <x:v>LO3-138</x:v>
      </x:c>
      <x:c r="B56" s="165" t="str">
        <x:v>LO3</x:v>
      </x:c>
      <x:c r="C56" s="165" t="str">
        <x:v>ドゥミ・セック</x:v>
      </x:c>
      <x:c r="D56" s="165" t="str">
        <x:v>ドゥミ・セックの発泡性ワインがデザートと合わせやすい主な理由はどれか。</x:v>
      </x:c>
      <x:c r="E56" s="165" t="str">
        <x:v>糖で酸や未熟な風味を補正できないため、ベースワイン自体のバランスが明確に表れる</x:v>
      </x:c>
      <x:c r="F56" s="165" t="str">
        <x:v>ブリュットより高い残糖を持ち、料理の甘味に負けにくい</x:v>
      </x:c>
      <x:c r="G56" s="165" t="str">
        <x:v>瓶内圧力が低く、甘味をより強く感じるため</x:v>
      </x:c>
      <x:c r="H56" s="165" t="str">
        <x:v>高いタンニンを持ち、デザートの甘味を和らげるため</x:v>
      </x:c>
      <x:c r="I56" s="165" t="str">
        <x:v>B</x:v>
      </x:c>
      <x:c r="J56" s="165" t="str">
        <x:v>甘味区分の残糖範囲は最新規定と照合推奨</x:v>
      </x:c>
      <x:c r="K56" s="165" t="str">
        <x:v>改稿済み・専門家未承認</x:v>
      </x:c>
      <x:c r="L56" s="165" t="str">
        <x:v>AI誤答レビュー</x:v>
      </x:c>
      <x:c r="M56" s="369" t="str">
        <x:v>2026-07-12</x:v>
      </x:c>
      <x:c r="N56" s="415" t="str">
        <x:v>第4バッチ：同一論点内の典型的誤概念へ置換。正答位置は維持。</x:v>
      </x:c>
    </x:row>
    <x:row r="57" ht="92" customHeight="1">
      <x:c r="A57" s="414" t="str">
        <x:v>LO3-144</x:v>
      </x:c>
      <x:c r="B57" s="165" t="str">
        <x:v>LO3</x:v>
      </x:c>
      <x:c r="C57" s="165" t="str">
        <x:v>フリッザンテとスプマンテ</x:v>
      </x:c>
      <x:c r="D57" s="165" t="str">
        <x:v>一般にフリッザンテが、スプマンテより軽い泡に感じられる主な理由はどれか。</x:v>
      </x:c>
      <x:c r="E57" s="165" t="str">
        <x:v>フリッザンテは残糖が低く、甘味が泡を弱く感じさせるため</x:v>
      </x:c>
      <x:c r="F57" s="165" t="str">
        <x:v>フリッザンテは主にタンク方式、スプマンテは主に瓶内二次発酵で造られるため</x:v>
      </x:c>
      <x:c r="G57" s="165" t="str">
        <x:v>フリッザンテは低アルコールなので、二酸化炭素を溶かせないため</x:v>
      </x:c>
      <x:c r="H57" s="165" t="str">
        <x:v>瓶内圧力が低く、溶けている二酸化炭素が少ないため</x:v>
      </x:c>
      <x:c r="I57" s="165" t="str">
        <x:v>D</x:v>
      </x:c>
      <x:c r="J57" s="165" t="str">
        <x:v>圧力区分の具体値と表示は最新EU規定・教材との最終照合を推奨</x:v>
      </x:c>
      <x:c r="K57" s="165" t="str">
        <x:v>改稿済み・専門家未承認</x:v>
      </x:c>
      <x:c r="L57" s="165" t="str">
        <x:v>AI誤答レビュー</x:v>
      </x:c>
      <x:c r="M57" s="369" t="str">
        <x:v>2026-07-12</x:v>
      </x:c>
      <x:c r="N57" s="415" t="str">
        <x:v>第3バッチ：同一論点内の典型的誤概念へ置換。正答位置は維持。</x:v>
      </x:c>
    </x:row>
    <x:row r="58" ht="92" customHeight="1">
      <x:c r="A58" s="414" t="str">
        <x:v>LO3-154</x:v>
      </x:c>
      <x:c r="B58" s="165" t="str">
        <x:v>LO3</x:v>
      </x:c>
      <x:c r="C58" s="165" t="str">
        <x:v>シャンパーニュの村格付け</x:v>
      </x:c>
      <x:c r="D58" s="165" t="str">
        <x:v>シャンパーニュで村の歴史的な格付けがブドウ価格へ影響してきた主な理由はどれか。</x:v>
      </x:c>
      <x:c r="E58" s="165" t="str">
        <x:v>格付けが品種を一つに限定する</x:v>
      </x:c>
      <x:c r="F58" s="165" t="str">
        <x:v>優良と評価された村のブドウは成熟度と品質への需要が高い</x:v>
      </x:c>
      <x:c r="G58" s="165" t="str">
        <x:v>格付け村では甘口しか造れない</x:v>
      </x:c>
      <x:c r="H58" s="165" t="str">
        <x:v>格付けが二次発酵の圧力を決める</x:v>
      </x:c>
      <x:c r="I58" s="165" t="str">
        <x:v>B</x:v>
      </x:c>
      <x:c r="J58" s="165" t="str">
        <x:v>シャンパーニュの村格付け制度の現行的な扱いと用語を最新教材で確認推奨</x:v>
      </x:c>
      <x:c r="K58" s="165" t="str">
        <x:v>改稿済み・専門家未承認</x:v>
      </x:c>
      <x:c r="L58" s="165" t="str">
        <x:v>AI誤答レビュー</x:v>
      </x:c>
      <x:c r="M58" s="369" t="str">
        <x:v>2026-07-12</x:v>
      </x:c>
      <x:c r="N58" s="415" t="str">
        <x:v>第5バッチ：使用可能な誤答を維持し、弱い誤答を因果逆転・隣接概念へ置換。正答位置は維持。</x:v>
      </x:c>
    </x:row>
    <x:row r="59" ht="92" customHeight="1">
      <x:c r="A59" s="414" t="str">
        <x:v>LO3-162</x:v>
      </x:c>
      <x:c r="B59" s="165" t="str">
        <x:v>LO3</x:v>
      </x:c>
      <x:c r="C59" s="165" t="str">
        <x:v>カバ・グラン・レセルバ</x:v>
      </x:c>
      <x:c r="D59" s="165" t="str">
        <x:v>カバ・グラン・レセルバが若いカバより高価格になりやすい主な理由はどれか。</x:v>
      </x:c>
      <x:c r="E59" s="165" t="str">
        <x:v>酒精強化するため</x:v>
      </x:c>
      <x:c r="F59" s="165" t="str">
        <x:v>長い瓶内澱熟成、在庫費用、厳しい選別により複雑性が高まるため</x:v>
      </x:c>
      <x:c r="G59" s="165" t="str">
        <x:v>高収量の未熟果だけを使うため</x:v>
      </x:c>
      <x:c r="H59" s="165" t="str">
        <x:v>炭酸ガス注入で大量生産するため</x:v>
      </x:c>
      <x:c r="I59" s="165" t="str">
        <x:v>B</x:v>
      </x:c>
      <x:c r="J59" s="165" t="str">
        <x:v>カバの熟成区分と表示要件は最新規定・教材との最終照合を推奨</x:v>
      </x:c>
      <x:c r="K59" s="165" t="str">
        <x:v>改稿済み・専門家未承認</x:v>
      </x:c>
      <x:c r="L59" s="165" t="str">
        <x:v>AI誤答レビュー</x:v>
      </x:c>
      <x:c r="M59" s="369" t="str">
        <x:v>2026-07-12</x:v>
      </x:c>
      <x:c r="N59" s="415" t="str">
        <x:v>第5バッチ：使用可能な誤答を維持し、弱い誤答を因果逆転・隣接概念へ置換。正答位置は維持。</x:v>
      </x:c>
    </x:row>
    <x:row r="60" ht="92" customHeight="1">
      <x:c r="A60" s="414" t="str">
        <x:v>LO3-165</x:v>
      </x:c>
      <x:c r="B60" s="165" t="str">
        <x:v>LO3</x:v>
      </x:c>
      <x:c r="C60" s="165" t="str">
        <x:v>カルティッツェ</x:v>
      </x:c>
      <x:c r="D60" s="165" t="str">
        <x:v>カルティッツェのプロセッコが一般的なDOCより高価になりやすい主な理由はどれか。</x:v>
      </x:c>
      <x:c r="E60" s="165" t="str">
        <x:v>限られた急斜面の優良区画で手作業が多く、ブドウの需要と希少性が高い</x:v>
      </x:c>
      <x:c r="F60" s="165" t="str">
        <x:v>平地で完全機械化されるため</x:v>
      </x:c>
      <x:c r="G60" s="165" t="str">
        <x:v>酒精強化されるため</x:v>
      </x:c>
      <x:c r="H60" s="165" t="str">
        <x:v>瓶内で数十年澱熟成するため</x:v>
      </x:c>
      <x:c r="I60" s="165" t="str">
        <x:v>A</x:v>
      </x:c>
      <x:c r="J60" s="165" t="str">
        <x:v>Cartizzeの現行表示・地理区分を最新規定と教材で最終照合推奨</x:v>
      </x:c>
      <x:c r="K60" s="165" t="str">
        <x:v>改稿済み・専門家未承認</x:v>
      </x:c>
      <x:c r="L60" s="165" t="str">
        <x:v>AI誤答レビュー</x:v>
      </x:c>
      <x:c r="M60" s="369" t="str">
        <x:v>2026-07-12</x:v>
      </x:c>
      <x:c r="N60" s="415" t="str">
        <x:v>第5バッチ：使用可能な誤答を維持し、弱い誤答を因果逆転・隣接概念へ置換。正答位置は維持。</x:v>
      </x:c>
    </x:row>
    <x:row r="61" ht="92" customHeight="1">
      <x:c r="A61" s="414" t="str">
        <x:v>LO3-166</x:v>
      </x:c>
      <x:c r="B61" s="165" t="str">
        <x:v>LO3</x:v>
      </x:c>
      <x:c r="C61" s="165" t="str">
        <x:v>リーヴェ</x:v>
      </x:c>
      <x:c r="D61" s="165" t="str">
        <x:v>プロセッコDOCGの「リーヴェ」表示が示すものとして最も適切なものはどれか。</x:v>
      </x:c>
      <x:c r="E61" s="165" t="str">
        <x:v>無アルコールの表示</x:v>
      </x:c>
      <x:c r="F61" s="165" t="str">
        <x:v>特定の村または斜面由来のブドウを用い、産地の個性を示すワイン</x:v>
      </x:c>
      <x:c r="G61" s="165" t="str">
        <x:v>炭酸ガス注入方式の名称</x:v>
      </x:c>
      <x:c r="H61" s="165" t="str">
        <x:v>残糖が最も高い甘味区分</x:v>
      </x:c>
      <x:c r="I61" s="165" t="str">
        <x:v>B</x:v>
      </x:c>
      <x:c r="J61" s="165" t="str">
        <x:v>Riveの現行表示条件を最新規定・教材と最終照合推奨</x:v>
      </x:c>
      <x:c r="K61" s="165" t="str">
        <x:v>改稿済み・専門家未承認</x:v>
      </x:c>
      <x:c r="L61" s="165" t="str">
        <x:v>AI誤答レビュー</x:v>
      </x:c>
      <x:c r="M61" s="369" t="str">
        <x:v>2026-07-12</x:v>
      </x:c>
      <x:c r="N61" s="415" t="str">
        <x:v>第5バッチ：使用可能な誤答を維持し、弱い誤答を因果逆転・隣接概念へ置換。正答位置は維持。</x:v>
      </x:c>
    </x:row>
    <x:row r="62" ht="92" customHeight="1">
      <x:c r="A62" s="414" t="str">
        <x:v>LO3-167</x:v>
      </x:c>
      <x:c r="B62" s="165" t="str">
        <x:v>LO3</x:v>
      </x:c>
      <x:c r="C62" s="165" t="str">
        <x:v>プロセッコ・ロゼ</x:v>
      </x:c>
      <x:c r="D62" s="165" t="str">
        <x:v>プロセッコ・ロゼで色と赤系果実の風味を与える品種はどれか。</x:v>
      </x:c>
      <x:c r="E62" s="165" t="str">
        <x:v>トウリガ・ナシオナル</x:v>
      </x:c>
      <x:c r="F62" s="165" t="str">
        <x:v>シャルドネを加え、柑橘と高い酸を補う</x:v>
      </x:c>
      <x:c r="G62" s="165" t="str">
        <x:v>ピノ・ノワール</x:v>
      </x:c>
      <x:c r="H62" s="165" t="str">
        <x:v>ランブルスコを加え、濃い色と高いタンニンを得る</x:v>
      </x:c>
      <x:c r="I62" s="165" t="str">
        <x:v>C</x:v>
      </x:c>
      <x:c r="J62" s="165" t="str">
        <x:v>Prosecco Roséの現行品種比率・表示条件を最新規定と照合推奨</x:v>
      </x:c>
      <x:c r="K62" s="165" t="str">
        <x:v>改稿済み・専門家未承認</x:v>
      </x:c>
      <x:c r="L62" s="165" t="str">
        <x:v>AI誤答レビュー</x:v>
      </x:c>
      <x:c r="M62" s="369" t="str">
        <x:v>2026-07-12</x:v>
      </x:c>
      <x:c r="N62" s="415" t="str">
        <x:v>第5バッチ：使用可能な誤答を維持し、弱い誤答を因果逆転・隣接概念へ置換。正答位置は維持。</x:v>
      </x:c>
    </x:row>
    <x:row r="63" ht="92" customHeight="1">
      <x:c r="A63" s="414" t="str">
        <x:v>LO3-171</x:v>
      </x:c>
      <x:c r="B63" s="165" t="str">
        <x:v>LO3</x:v>
      </x:c>
      <x:c r="C63" s="165" t="str">
        <x:v>ドイチャー・ゼクト</x:v>
      </x:c>
      <x:c r="D63" s="165" t="str">
        <x:v>ドイチャー・ゼクトが一般的なゼクトより産地情報を多く伝える理由はどれか。</x:v>
      </x:c>
      <x:c r="E63" s="165" t="str">
        <x:v>無アルコールを示すから</x:v>
      </x:c>
      <x:c r="F63" s="165" t="str">
        <x:v>最も甘い区分を示すから</x:v>
      </x:c>
      <x:c r="G63" s="165" t="str">
        <x:v>ベースとなるブドウがドイツ産であることを示すため</x:v>
      </x:c>
      <x:c r="H63" s="165" t="str">
        <x:v>単一畑の伝統的方式だから</x:v>
      </x:c>
      <x:c r="I63" s="165" t="str">
        <x:v>C</x:v>
      </x:c>
      <x:c r="J63" s="165" t="str">
        <x:v>Deutscher Sektの現行表示要件を最新教材と照合推奨</x:v>
      </x:c>
      <x:c r="K63" s="165" t="str">
        <x:v>改稿済み・専門家未承認</x:v>
      </x:c>
      <x:c r="L63" s="165" t="str">
        <x:v>AI誤答レビュー</x:v>
      </x:c>
      <x:c r="M63" s="369" t="str">
        <x:v>2026-07-12</x:v>
      </x:c>
      <x:c r="N63" s="415" t="str">
        <x:v>第5バッチ：使用可能な誤答を維持し、弱い誤答を因果逆転・隣接概念へ置換。正答位置は維持。</x:v>
      </x:c>
    </x:row>
    <x:row r="64" ht="92" customHeight="1">
      <x:c r="A64" s="414" t="str">
        <x:v>LO4-133</x:v>
      </x:c>
      <x:c r="B64" s="165" t="str">
        <x:v>LO4</x:v>
      </x:c>
      <x:c r="C64" s="165" t="str">
        <x:v>ヴィンテージ宣言</x:v>
      </x:c>
      <x:c r="D64" s="165" t="str">
        <x:v>生産者がヴィンテージ・ポートを宣言する際に最も重視する要素はどれか。</x:v>
      </x:c>
      <x:c r="E64" s="165" t="str">
        <x:v>収穫年の果実濃度、タンニン、酸、長期瓶熟成能力</x:v>
      </x:c>
      <x:c r="F64" s="165" t="str">
        <x:v>標高、方角、傾斜、土壌、品種、樹齢などの組み合わせ</x:v>
      </x:c>
      <x:c r="G64" s="165" t="str">
        <x:v>その年のブドウ収量が高く、すぐ飲める柔らかなスタイル</x:v>
      </x:c>
      <x:c r="H64" s="165" t="str">
        <x:v>年数表記トーニーに適した酸化香と淡い色</x:v>
      </x:c>
      <x:c r="I64" s="165" t="str">
        <x:v>A</x:v>
      </x:c>
      <x:c r="J64" s="165" t="str">
        <x:v>ヴィンテージ宣言の承認・表示手続を最新教材と照合推奨</x:v>
      </x:c>
      <x:c r="K64" s="165" t="str">
        <x:v>改稿済み・専門家未承認</x:v>
      </x:c>
      <x:c r="L64" s="165" t="str">
        <x:v>AI誤答レビュー</x:v>
      </x:c>
      <x:c r="M64" s="369" t="str">
        <x:v>2026-07-12</x:v>
      </x:c>
      <x:c r="N64" s="415" t="str">
        <x:v>第4バッチ：同一論点内の典型的誤概念へ置換。正答位置は維持。</x:v>
      </x:c>
    </x:row>
    <x:row r="65" ht="92" customHeight="1">
      <x:c r="A65" s="414" t="str">
        <x:v>LO4-135</x:v>
      </x:c>
      <x:c r="B65" s="165" t="str">
        <x:v>LO4</x:v>
      </x:c>
      <x:c r="C65" s="165" t="str">
        <x:v>ベネフィシオ</x:v>
      </x:c>
      <x:c r="D65" s="165" t="str">
        <x:v>ドウロでポート用に酒精強化できるブドウ量を管理する制度の主な目的はどれか。</x:v>
      </x:c>
      <x:c r="E65" s="165" t="str">
        <x:v>残糖を一律にする</x:v>
      </x:c>
      <x:c r="F65" s="165" t="str">
        <x:v>瓶内圧力を規定する</x:v>
      </x:c>
      <x:c r="G65" s="165" t="str">
        <x:v>需給と品質を管理し、ポート市場の過剰生産を抑える</x:v>
      </x:c>
      <x:c r="H65" s="165" t="str">
        <x:v>多くのブドウをポートへする</x:v>
      </x:c>
      <x:c r="I65" s="165" t="str">
        <x:v>C</x:v>
      </x:c>
      <x:c r="J65" s="165" t="str">
        <x:v>Benefício制度の現行運用・日本語表記を最新資料と照合推奨</x:v>
      </x:c>
      <x:c r="K65" s="165" t="str">
        <x:v>改稿済み・専門家未承認</x:v>
      </x:c>
      <x:c r="L65" s="165" t="str">
        <x:v>AI誤答レビュー</x:v>
      </x:c>
      <x:c r="M65" s="369" t="str">
        <x:v>2026-07-12</x:v>
      </x:c>
      <x:c r="N65" s="415" t="str">
        <x:v>第5バッチ：使用可能な誤答を維持し、弱い誤答を因果逆転・隣接概念へ置換。正答位置は維持。</x:v>
      </x:c>
    </x:row>
    <x:row r="66" ht="92" customHeight="1">
      <x:c r="A66" s="414" t="str">
        <x:v>LO4-141</x:v>
      </x:c>
      <x:c r="B66" s="165" t="str">
        <x:v>LO4</x:v>
      </x:c>
      <x:c r="C66" s="165" t="str">
        <x:v>コルヘイタの瓶詰め年</x:v>
      </x:c>
      <x:c r="D66" s="165" t="str">
        <x:v>コルヘイタ・ポートで瓶詰め年の情報が重要な主な理由はどれか。</x:v>
      </x:c>
      <x:c r="E66" s="165" t="str">
        <x:v>同じ収穫年でも樽で熟成した期間が瓶詰め時期によって異なるため</x:v>
      </x:c>
      <x:c r="F66" s="165" t="str">
        <x:v>瓶詰め年が収穫年を変更するため</x:v>
      </x:c>
      <x:c r="G66" s="165" t="str">
        <x:v>瓶詰め年が発泡圧力を示すため</x:v>
      </x:c>
      <x:c r="H66" s="165" t="str">
        <x:v>瓶詰め年で残糖が法的にゼロになるため</x:v>
      </x:c>
      <x:c r="I66" s="165" t="str">
        <x:v>A</x:v>
      </x:c>
      <x:c r="J66" s="165" t="str">
        <x:v>コルヘイタの瓶詰め年表示要件を最新教材と規定で最終確認推奨</x:v>
      </x:c>
      <x:c r="K66" s="165" t="str">
        <x:v>改稿済み・専門家未承認</x:v>
      </x:c>
      <x:c r="L66" s="165" t="str">
        <x:v>AI誤答レビュー</x:v>
      </x:c>
      <x:c r="M66" s="369" t="str">
        <x:v>2026-07-12</x:v>
      </x:c>
      <x:c r="N66" s="415" t="str">
        <x:v>第5バッチ：使用可能な誤答を維持し、弱い誤答を因果逆転・隣接概念へ置換。正答位置は維持。</x:v>
      </x:c>
    </x:row>
    <x:row r="67" ht="92" customHeight="1">
      <x:c r="A67" s="414" t="str">
        <x:v>LO4-150</x:v>
      </x:c>
      <x:c r="B67" s="165" t="str">
        <x:v>LO4</x:v>
      </x:c>
      <x:c r="C67" s="165" t="str">
        <x:v>シェリーの圧搾区分</x:v>
      </x:c>
      <x:c r="D67" s="165" t="str">
        <x:v>パロミノの穏やかな最初の圧搾果汁がフィノ用に適しやすい主な理由はどれか。</x:v>
      </x:c>
      <x:c r="E67" s="165" t="str">
        <x:v>最初の果汁に二酸化炭素が多いから</x:v>
      </x:c>
      <x:c r="F67" s="165" t="str">
        <x:v>清澄で繊細、フェノールが低く、生物学的熟成の香りを表しやすい</x:v>
      </x:c>
      <x:c r="G67" s="165" t="str">
        <x:v>最初の果汁は発酵済みだから</x:v>
      </x:c>
      <x:c r="H67" s="165" t="str">
        <x:v>最初の果汁が主に黒色だから</x:v>
      </x:c>
      <x:c r="I67" s="165" t="str">
        <x:v>B</x:v>
      </x:c>
      <x:c r="J67" s="165" t="str">
        <x:v>シェリーの圧搾区分と用途の表現を最新教材・規定で最終照合推奨</x:v>
      </x:c>
      <x:c r="K67" s="165" t="str">
        <x:v>改稿済み・専門家未承認</x:v>
      </x:c>
      <x:c r="L67" s="165" t="str">
        <x:v>AI誤答レビュー</x:v>
      </x:c>
      <x:c r="M67" s="369" t="str">
        <x:v>2026-07-12</x:v>
      </x:c>
      <x:c r="N67" s="415" t="str">
        <x:v>第5バッチ：使用可能な誤答を維持し、弱い誤答を因果逆転・隣接概念へ置換。正答位置は維持。</x:v>
      </x:c>
    </x:row>
    <x:row r="68" ht="92" customHeight="1">
      <x:c r="A68" s="414" t="str">
        <x:v>LO4-151</x:v>
      </x:c>
      <x:c r="B68" s="165" t="str">
        <x:v>LO4</x:v>
      </x:c>
      <x:c r="C68" s="165" t="str">
        <x:v>シェリーの酸調整</x:v>
      </x:c>
      <x:c r="D68" s="165" t="str">
        <x:v>温暖なヘレスで、パロミノのベースワインへ酸を調整することがある主な理由はどれか。</x:v>
      </x:c>
      <x:c r="E68" s="165" t="str">
        <x:v>酸を高めることでフロールの活動を止め、酸化熟成へ移すため</x:v>
      </x:c>
      <x:c r="F68" s="165" t="str">
        <x:v>酸を加えると残糖が増え、甘口シェリーを造りやすくなるため</x:v>
      </x:c>
      <x:c r="G68" s="165" t="str">
        <x:v>低い自然酸を補い、発酵と熟成中のバランスと微生物安定性を高める</x:v>
      </x:c>
      <x:c r="H68" s="165" t="str">
        <x:v>酸を加えることで酒精強化用スピリッツの量を減らせるため</x:v>
      </x:c>
      <x:c r="I68" s="165" t="str">
        <x:v>C</x:v>
      </x:c>
      <x:c r="J68" s="165" t="str">
        <x:v>シェリーの酸調整慣行と法的範囲を最新教材で最終確認推奨</x:v>
      </x:c>
      <x:c r="K68" s="165" t="str">
        <x:v>改稿済み・専門家未承認</x:v>
      </x:c>
      <x:c r="L68" s="165" t="str">
        <x:v>AI誤答レビュー</x:v>
      </x:c>
      <x:c r="M68" s="369" t="str">
        <x:v>2026-07-12</x:v>
      </x:c>
      <x:c r="N68" s="415" t="str">
        <x:v>第3バッチ：同一論点内の典型的誤概念へ置換。正答位置は維持。</x:v>
      </x:c>
    </x:row>
    <x:row r="69" ht="92" customHeight="1">
      <x:c r="A69" s="414" t="str">
        <x:v>LO4-165</x:v>
      </x:c>
      <x:c r="B69" s="165" t="str">
        <x:v>LO4</x:v>
      </x:c>
      <x:c r="C69" s="165" t="str">
        <x:v>マンサニーリャ・パサダ</x:v>
      </x:c>
      <x:c r="D69" s="165" t="str">
        <x:v>マンサニーリャ・パサダが若いマンサニーリャより熟成感を持つ主な理由はどれか。</x:v>
      </x:c>
      <x:c r="E69" s="165" t="str">
        <x:v>長い生物学的熟成でフロールが薄くなり、軽い酸化的複雑性が加わる</x:v>
      </x:c>
      <x:c r="F69" s="165" t="str">
        <x:v>瓶内二次発酵を行うため</x:v>
      </x:c>
      <x:c r="G69" s="165" t="str">
        <x:v>甘味を大量に加えるため</x:v>
      </x:c>
      <x:c r="H69" s="165" t="str">
        <x:v>黒ブドウの果皮浸漬を行うため</x:v>
      </x:c>
      <x:c r="I69" s="165" t="str">
        <x:v>A</x:v>
      </x:c>
      <x:c r="J69" s="165" t="str">
        <x:v>Manzanilla Pasadaの定義・表示を最新規定と教材で最終照合推奨</x:v>
      </x:c>
      <x:c r="K69" s="165" t="str">
        <x:v>改稿済み・専門家未承認</x:v>
      </x:c>
      <x:c r="L69" s="165" t="str">
        <x:v>AI誤答レビュー</x:v>
      </x:c>
      <x:c r="M69" s="369" t="str">
        <x:v>2026-07-12</x:v>
      </x:c>
      <x:c r="N69" s="415" t="str">
        <x:v>第5バッチ：使用可能な誤答を維持し、弱い誤答を因果逆転・隣接概念へ置換。正答位置は維持。</x:v>
      </x:c>
    </x:row>
    <x:row r="70" ht="92" customHeight="1">
      <x:c r="A70" s="414" t="str">
        <x:v>LO4-169</x:v>
      </x:c>
      <x:c r="B70" s="165" t="str">
        <x:v>LO4</x:v>
      </x:c>
      <x:c r="C70" s="165" t="str">
        <x:v>パロ・コルタドの選別</x:v>
      </x:c>
      <x:c r="D70" s="165" t="str">
        <x:v>パロ・コルタドが希少で高価格になりやすい主な理由はどれか。</x:v>
      </x:c>
      <x:c r="E70" s="165" t="str">
        <x:v>期待した熟成経路と官能特性を満たす限られたロットを選別するため</x:v>
      </x:c>
      <x:c r="F70" s="165" t="str">
        <x:v>白ブドウを使わないから</x:v>
      </x:c>
      <x:c r="G70" s="165" t="str">
        <x:v>炭酸ガス注入が高価だから</x:v>
      </x:c>
      <x:c r="H70" s="165" t="str">
        <x:v>大量生産の最も若いワインだから</x:v>
      </x:c>
      <x:c r="I70" s="165" t="str">
        <x:v>A</x:v>
      </x:c>
      <x:c r="J70" s="165" t="str">
        <x:v>パロ・コルタドの選別・熟成経路は生産者差があるため、スタイル中心の表現を確認推奨</x:v>
      </x:c>
      <x:c r="K70" s="165" t="str">
        <x:v>改稿済み・専門家未承認</x:v>
      </x:c>
      <x:c r="L70" s="165" t="str">
        <x:v>AI誤答レビュー</x:v>
      </x:c>
      <x:c r="M70" s="369" t="str">
        <x:v>2026-07-12</x:v>
      </x:c>
      <x:c r="N70" s="415" t="str">
        <x:v>第5バッチ：使用可能な誤答を維持し、弱い誤答を因果逆転・隣接概念へ置換。正答位置は維持。</x:v>
      </x:c>
    </x:row>
    <x:row r="71" ht="92" customHeight="1">
      <x:c r="A71" s="414" t="str">
        <x:v>LO4-170</x:v>
      </x:c>
      <x:c r="B71" s="165" t="str">
        <x:v>LO4</x:v>
      </x:c>
      <x:c r="C71" s="165" t="str">
        <x:v>甘味調整用濃縮果汁</x:v>
      </x:c>
      <x:c r="D71" s="165" t="str">
        <x:v>ペール・クリームなどで精製濃縮果汁を用いる利点はどれか。</x:v>
      </x:c>
      <x:c r="E71" s="165" t="str">
        <x:v>水分を蒸発させ、糖と風味を極度に濃縮する</x:v>
      </x:c>
      <x:c r="F71" s="165" t="str">
        <x:v>色や強い品種香を大きく加えずに甘味を調整できる</x:v>
      </x:c>
      <x:c r="G71" s="165" t="str">
        <x:v>フロールを再活性化し、生物学的熟成を再開できる</x:v>
      </x:c>
      <x:c r="H71" s="165" t="str">
        <x:v>酸化熟成した色を淡く戻し、フィノ型へ変えられる</x:v>
      </x:c>
      <x:c r="I71" s="165" t="str">
        <x:v>B</x:v>
      </x:c>
      <x:c r="J71" s="165" t="str">
        <x:v>甘味調整成分の現行法規・用語を最新教材と照合推奨</x:v>
      </x:c>
      <x:c r="K71" s="165" t="str">
        <x:v>改稿済み・専門家未承認</x:v>
      </x:c>
      <x:c r="L71" s="165" t="str">
        <x:v>AI誤答レビュー</x:v>
      </x:c>
      <x:c r="M71" s="369" t="str">
        <x:v>2026-07-12</x:v>
      </x:c>
      <x:c r="N71" s="415" t="str">
        <x:v>第4バッチ：同一論点内の典型的誤概念へ置換。正答位置は維持。</x:v>
      </x:c>
    </x:row>
    <x:row r="72" ht="92" customHeight="1">
      <x:c r="A72" s="414" t="str">
        <x:v>LO4-171</x:v>
      </x:c>
      <x:c r="B72" s="165" t="str">
        <x:v>LO4</x:v>
      </x:c>
      <x:c r="C72" s="165" t="str">
        <x:v>ミディアムの基礎ワイン</x:v>
      </x:c>
      <x:c r="D72" s="165" t="str">
        <x:v>ミディアム・シェリーが、クリーム・シェリーより軽いスタイルになりやすい主な理由はどれか。</x:v>
      </x:c>
      <x:c r="E72" s="165" t="str">
        <x:v>両者ともオロロソを基礎とするが、ミディアムは甘味を加えない</x:v>
      </x:c>
      <x:c r="F72" s="165" t="str">
        <x:v>ミディアムはフィノだけ、クリームはPXだけから造られ、辛口シェリーを用いない</x:v>
      </x:c>
      <x:c r="G72" s="165" t="str">
        <x:v>アモンティリャードなど比較的軽い辛口シェリーを基礎に甘味を加えることが多い</x:v>
      </x:c>
      <x:c r="H72" s="165" t="str">
        <x:v>基礎となる辛口シェリーは同じで、両者の違いは残糖量だけである</x:v>
      </x:c>
      <x:c r="I72" s="165" t="str">
        <x:v>C</x:v>
      </x:c>
      <x:c r="J72" s="165" t="str">
        <x:v>MediumとCreamの基礎ワイン・甘味区分を最新教材と照合推奨</x:v>
      </x:c>
      <x:c r="K72" s="165" t="str">
        <x:v>改稿済み・専門家未承認</x:v>
      </x:c>
      <x:c r="L72" s="165" t="str">
        <x:v>AI誤答レビュー</x:v>
      </x:c>
      <x:c r="M72" s="369" t="str">
        <x:v>2026-07-12</x:v>
      </x:c>
      <x:c r="N72" s="415" t="str">
        <x:v>第2バッチ：誤答を同一論点内の典型的誤概念へ置換。正答位置は維持。</x:v>
      </x:c>
    </x:row>
    <x:row r="73" ht="92" customHeight="1">
      <x:c r="A73" s="414" t="str">
        <x:v>LO5-167</x:v>
      </x:c>
      <x:c r="B73" s="165" t="str">
        <x:v>LO5</x:v>
      </x:c>
      <x:c r="C73" s="165" t="str">
        <x:v>ヴィーガン表示</x:v>
      </x:c>
      <x:c r="D73" s="165" t="str">
        <x:v>ワインがヴィーガン向けか尋ねられた際、確認すべき主な点はどれか。</x:v>
      </x:c>
      <x:c r="E73" s="165" t="str">
        <x:v>ブドウが有機栽培かどうか</x:v>
      </x:c>
      <x:c r="F73" s="165" t="str">
        <x:v>天然コルクかスクリューキャップか</x:v>
      </x:c>
      <x:c r="G73" s="165" t="str">
        <x:v>卵白、ゼラチン、乳由来製品など動物性清澄剤を使用したか</x:v>
      </x:c>
      <x:c r="H73" s="165" t="str">
        <x:v>赤ワインか白ワインか</x:v>
      </x:c>
      <x:c r="I73" s="165" t="str">
        <x:v>C</x:v>
      </x:c>
      <x:c r="J73" s="165" t="str">
        <x:v>ヴィーガン表示・清澄剤の扱いは生産者情報と地域表示規則を確認推奨</x:v>
      </x:c>
      <x:c r="K73" s="165" t="str">
        <x:v>改稿済み・専門家未承認</x:v>
      </x:c>
      <x:c r="L73" s="165" t="str">
        <x:v>AI誤答レビュー</x:v>
      </x:c>
      <x:c r="M73" s="369" t="str">
        <x:v>2026-07-12</x:v>
      </x:c>
      <x:c r="N73" s="415" t="str">
        <x:v>第3バッチ：同一論点内の典型的誤概念へ置換。正答位置は維持。</x:v>
      </x:c>
    </x:row>
    <x:row r="74" ht="92" customHeight="1">
      <x:c r="A74" s="414" t="str">
        <x:v>LO5-168</x:v>
      </x:c>
      <x:c r="B74" s="165" t="str">
        <x:v>LO5</x:v>
      </x:c>
      <x:c r="C74" s="165" t="str">
        <x:v>有機・ビオディナミ表示</x:v>
      </x:c>
      <x:c r="D74" s="165" t="str">
        <x:v>有機またはビオディナミ表示のワインを顧客へ説明する際、最も適切な姿勢はどれか。</x:v>
      </x:c>
      <x:c r="E74" s="165" t="str">
        <x:v>有機・ビオディナミ認証があれば、味と品質も一定水準以上である</x:v>
      </x:c>
      <x:c r="F74" s="165" t="str">
        <x:v>有機認証があれば、亜硫酸を使用せず欠陥も生じないと説明する</x:v>
      </x:c>
      <x:c r="G74" s="165" t="str">
        <x:v>ビオディナミ認証は味のスタイルを保証し、同じ認証なら同じ味になる</x:v>
      </x:c>
      <x:c r="H74" s="165" t="str">
        <x:v>認証の有無と対象範囲を確認し、味や品質が自動的に優れるとは断定しない</x:v>
      </x:c>
      <x:c r="I74" s="165" t="str">
        <x:v>D</x:v>
      </x:c>
      <x:c r="J74" s="165" t="str">
        <x:v>認証制度と表示範囲は地域差があるため、個別商品情報との照合を推奨</x:v>
      </x:c>
      <x:c r="K74" s="165" t="str">
        <x:v>改稿済み・専門家未承認</x:v>
      </x:c>
      <x:c r="L74" s="165" t="str">
        <x:v>AI誤答レビュー</x:v>
      </x:c>
      <x:c r="M74" s="369" t="str">
        <x:v>2026-07-12</x:v>
      </x:c>
      <x:c r="N74" s="415" t="str">
        <x:v>第4バッチ：同一論点内の典型的誤概念へ置換。正答位置は維持。</x:v>
      </x:c>
    </x:row>
    <x:row r="75" ht="92" customHeight="1">
      <x:c r="A75" s="414" t="str">
        <x:v>LO5-169</x:v>
      </x:c>
      <x:c r="B75" s="165" t="str">
        <x:v>LO5</x:v>
      </x:c>
      <x:c r="C75" s="165" t="str">
        <x:v>低亜硫酸表示</x:v>
      </x:c>
      <x:c r="D75" s="165" t="str">
        <x:v>「亜硫酸無添加」または低亜硫酸をうたうワインについて、最も適切な説明はどれか。</x:v>
      </x:c>
      <x:c r="E75" s="165" t="str">
        <x:v>発酵中に自然生成する亜硫酸塩があり得るため、表示と分析値を確認し、完全なゼロと断定しない</x:v>
      </x:c>
      <x:c r="F75" s="165" t="str">
        <x:v>醸造中に亜硫酸を添加していなければ、自然生成分を含め総亜硫酸量もゼロである</x:v>
      </x:c>
      <x:c r="G75" s="165" t="str">
        <x:v>亜硫酸が少ないほど酸化と微生物汚染に強く、開栓後の保存性も高くなる</x:v>
      </x:c>
      <x:c r="H75" s="165" t="str">
        <x:v>低亜硫酸表示があれば、亜硫酸塩に感受性のある人にも安全と断定できる</x:v>
      </x:c>
      <x:c r="I75" s="165" t="str">
        <x:v>A</x:v>
      </x:c>
      <x:c r="J75" s="165" t="str">
        <x:v>亜硫酸塩表示・アレルゲン情報は地域法規と商品ラベルを確認推奨</x:v>
      </x:c>
      <x:c r="K75" s="165" t="str">
        <x:v>改稿済み・専門家未承認</x:v>
      </x:c>
      <x:c r="L75" s="165" t="str">
        <x:v>AI誤答レビュー</x:v>
      </x:c>
      <x:c r="M75" s="369" t="str">
        <x:v>2026-07-12</x:v>
      </x:c>
      <x:c r="N75" s="415" t="str">
        <x:v>誤答を同一論点内の典型的誤概念へ置換。900問本体への反映前に専門家確認推奨。</x:v>
      </x:c>
    </x:row>
    <x:row r="76" ht="92" customHeight="1">
      <x:c r="A76" s="414" t="str">
        <x:v>LO5-170</x:v>
      </x:c>
      <x:c r="B76" s="165" t="str">
        <x:v>LO5</x:v>
      </x:c>
      <x:c r="C76" s="165" t="str">
        <x:v>責任ある注量</x:v>
      </x:c>
      <x:c r="D76" s="165" t="str">
        <x:v>責任あるサービスで一杯の注量を一定に管理する主な理由はどれか。</x:v>
      </x:c>
      <x:c r="E76" s="165" t="str">
        <x:v>注量でワインのアルコール濃度を変える</x:v>
      </x:c>
      <x:c r="F76" s="165" t="str">
        <x:v>顧客とスタッフが摂取量を把握し、過剰提供と在庫差異を防ぐため</x:v>
      </x:c>
      <x:c r="G76" s="165" t="str">
        <x:v>高品質ワインは量を管理しなくてよい</x:v>
      </x:c>
      <x:c r="H76" s="165" t="str">
        <x:v>一定量ならアルコールの影響がなくなる</x:v>
      </x:c>
      <x:c r="I76" s="165" t="str">
        <x:v>B</x:v>
      </x:c>
      <x:c r="J76" s="165" t="str">
        <x:v>提供量や標準単位は地域法規・店舗方針によるため具体値を示さず運用確認推奨</x:v>
      </x:c>
      <x:c r="K76" s="165" t="str">
        <x:v>改稿済み・専門家未承認</x:v>
      </x:c>
      <x:c r="L76" s="165" t="str">
        <x:v>AI誤答レビュー</x:v>
      </x:c>
      <x:c r="M76" s="369" t="str">
        <x:v>2026-07-12</x:v>
      </x:c>
      <x:c r="N76" s="415" t="str">
        <x:v>第5バッチ：使用可能な誤答を維持し、弱い誤答を因果逆転・隣接概念へ置換。正答位置は維持。</x:v>
      </x:c>
    </x:row>
    <x:row r="77" ht="92" customHeight="1">
      <x:c r="A77" s="414" t="str">
        <x:v>LO5-171</x:v>
      </x:c>
      <x:c r="B77" s="165" t="str">
        <x:v>LO5</x:v>
      </x:c>
      <x:c r="C77" s="165" t="str">
        <x:v>提供拒否</x:v>
      </x:c>
      <x:c r="D77" s="165" t="str">
        <x:v>明らかに酩酊している顧客へ追加のアルコール提供を求められた場合、最も適切な対応はどれか。</x:v>
      </x:c>
      <x:c r="E77" s="165" t="str">
        <x:v>高価なワインなら追加提供する</x:v>
      </x:c>
      <x:c r="F77" s="165" t="str">
        <x:v>本人が強く希望すれば、追加提供を続ける</x:v>
      </x:c>
      <x:c r="G77" s="165" t="str">
        <x:v>追加提供を断り、水やノンアルコール飲料、安全な帰宅手段を案内する</x:v>
      </x:c>
      <x:c r="H77" s="165" t="str">
        <x:v>コーヒーを出せば追加飲酒してよい</x:v>
      </x:c>
      <x:c r="I77" s="165" t="str">
        <x:v>C</x:v>
      </x:c>
      <x:c r="J77" s="165" t="str">
        <x:v>提供拒否の具体的手順は地域法規・店舗方針に従う必要がある</x:v>
      </x:c>
      <x:c r="K77" s="165" t="str">
        <x:v>改稿済み・専門家未承認</x:v>
      </x:c>
      <x:c r="L77" s="165" t="str">
        <x:v>AI誤答レビュー</x:v>
      </x:c>
      <x:c r="M77" s="369" t="str">
        <x:v>2026-07-12</x:v>
      </x:c>
      <x:c r="N77" s="415" t="str">
        <x:v>第5バッチ：使用可能な誤答を維持し、弱い誤答を因果逆転・隣接概念へ置換。正答位置は維持。</x:v>
      </x:c>
    </x:row>
    <x:row r="78" ht="92" customHeight="1">
      <x:c r="A78" s="414" t="str">
        <x:v>LO5-172</x:v>
      </x:c>
      <x:c r="B78" s="165" t="str">
        <x:v>LO5</x:v>
      </x:c>
      <x:c r="C78" s="165" t="str">
        <x:v>薬との相互作用</x:v>
      </x:c>
      <x:c r="D78" s="165" t="str">
        <x:v>薬を服用している顧客から飲酒可否を尋ねられた際、最も適切な対応はどれか。</x:v>
      </x:c>
      <x:c r="E78" s="165" t="str">
        <x:v>個別の安全量を提示せず、医療専門家と公的な健康指針を確認し、ノンアルコール選択肢を案内する</x:v>
      </x:c>
      <x:c r="F78" s="165" t="str">
        <x:v>ワイン一杯程度なら薬の種類にかかわらず安全と説明する</x:v>
      </x:c>
      <x:c r="G78" s="165" t="str">
        <x:v>赤ワインは白ワインより薬との相互作用が少ないと説明する</x:v>
      </x:c>
      <x:c r="H78" s="165" t="str">
        <x:v>個別の医療判断をせず、医師・薬剤師や医薬品の注意事項を確認するよう案内する</x:v>
      </x:c>
      <x:c r="I78" s="165" t="str">
        <x:v>D</x:v>
      </x:c>
      <x:c r="J78" s="165" t="str">
        <x:v>医療助言に該当しない一般的な安全案内として専門家確認推奨</x:v>
      </x:c>
      <x:c r="K78" s="165" t="str">
        <x:v>改稿済み・専門家未承認</x:v>
      </x:c>
      <x:c r="L78" s="165" t="str">
        <x:v>AI誤答レビュー</x:v>
      </x:c>
      <x:c r="M78" s="369" t="str">
        <x:v>2026-07-12</x:v>
      </x:c>
      <x:c r="N78" s="415" t="str">
        <x:v>第4バッチ：同一論点内の典型的誤概念へ置換。正答位置は維持。</x:v>
      </x:c>
    </x:row>
    <x:row r="79" ht="92" customHeight="1">
      <x:c r="A79" s="414" t="str">
        <x:v>LO5-173</x:v>
      </x:c>
      <x:c r="B79" s="165" t="str">
        <x:v>LO5</x:v>
      </x:c>
      <x:c r="C79" s="165" t="str">
        <x:v>妊娠中の飲酒相談</x:v>
      </x:c>
      <x:c r="D79" s="165" t="str">
        <x:v>妊娠中の飲酒について質問された際、ワインスタッフとして最も適切な対応はどれか。</x:v>
      </x:c>
      <x:c r="E79" s="165" t="str">
        <x:v>個別の安全量を提示せず、医療専門家と公的な健康指針を確認し、ノンアルコール選択肢を案内する</x:v>
      </x:c>
      <x:c r="F79" s="165" t="str">
        <x:v>一般的な一杯の量を示し、その範囲なら多くの人に安全と説明する</x:v>
      </x:c>
      <x:c r="G79" s="165" t="str">
        <x:v>赤ワインはポリフェノールを含むため、白ワインより安全と説明する</x:v>
      </x:c>
      <x:c r="H79" s="165" t="str">
        <x:v>料理に使ったワインなら加熱時間にかかわらずアルコールが残らないと説明する</x:v>
      </x:c>
      <x:c r="I79" s="165" t="str">
        <x:v>A</x:v>
      </x:c>
      <x:c r="J79" s="165" t="str">
        <x:v>健康・医療関連の高リスク表現のため、公的指針と専門家による最終確認必須</x:v>
      </x:c>
      <x:c r="K79" s="165" t="str">
        <x:v>改稿済み・専門家未承認</x:v>
      </x:c>
      <x:c r="L79" s="165" t="str">
        <x:v>AI誤答レビュー</x:v>
      </x:c>
      <x:c r="M79" s="369" t="str">
        <x:v>2026-07-12</x:v>
      </x:c>
      <x:c r="N79" s="415" t="str">
        <x:v>第2バッチ：誤答を同一論点内の典型的誤概念へ置換。正答位置は維持。</x:v>
      </x:c>
    </x:row>
    <x:row r="80" ht="92" customHeight="1">
      <x:c r="A80" s="414" t="str">
        <x:v>LO5-174</x:v>
      </x:c>
      <x:c r="B80" s="165" t="str">
        <x:v>LO5</x:v>
      </x:c>
      <x:c r="C80" s="165" t="str">
        <x:v>料理中のアルコール</x:v>
      </x:c>
      <x:c r="D80" s="165" t="str">
        <x:v>ワインを料理に使えばアルコールが直ちにすべて消えるという説明が不正確な理由はどれか。</x:v>
      </x:c>
      <x:c r="E80" s="165" t="str">
        <x:v>ワインの色だけで残量が決まる</x:v>
      </x:c>
      <x:c r="F80" s="165" t="str">
        <x:v>残る量は加熱時間、温度、調理方法、鍋の形などに左右される</x:v>
      </x:c>
      <x:c r="G80" s="165" t="str">
        <x:v>アルコールは水より蒸発しない</x:v>
      </x:c>
      <x:c r="H80" s="165" t="str">
        <x:v>加熱するとアルコールが増える</x:v>
      </x:c>
      <x:c r="I80" s="165" t="str">
        <x:v>B</x:v>
      </x:c>
      <x:c r="J80" s="165" t="str">
        <x:v>健康関連情報のため、具体的残存率を示さず一般原則として専門家確認推奨</x:v>
      </x:c>
      <x:c r="K80" s="165" t="str">
        <x:v>改稿済み・専門家未承認</x:v>
      </x:c>
      <x:c r="L80" s="165" t="str">
        <x:v>AI誤答レビュー</x:v>
      </x:c>
      <x:c r="M80" s="369" t="str">
        <x:v>2026-07-12</x:v>
      </x:c>
      <x:c r="N80" s="415" t="str">
        <x:v>第5バッチ：使用可能な誤答を維持し、弱い誤答を因果逆転・隣接概念へ置換。正答位置は維持。</x:v>
      </x:c>
    </x:row>
    <x:row r="81" ht="92" customHeight="1">
      <x:c r="A81" s="416" t="str">
        <x:v>LO5-180</x:v>
      </x:c>
      <x:c r="B81" s="417" t="str">
        <x:v>LO5</x:v>
      </x:c>
      <x:c r="C81" s="417" t="str">
        <x:v>イベントの飲料計画</x:v>
      </x:c>
      <x:c r="D81" s="417" t="str">
        <x:v>イベント用のワインを計画する際、単純に参加人数だけで本数を決めない方がよい理由はどれか。</x:v>
      </x:c>
      <x:c r="E81" s="417" t="str">
        <x:v>参加者一人当たりの標準本数を使えば、時間や料理にかかわらず必要量を正確に決められる</x:v>
      </x:c>
      <x:c r="F81" s="417" t="str">
        <x:v>飲酒予定者の人数だけを数えればよく、水やノンアルコール飲料はワイン量の計算へ影響しない</x:v>
      </x:c>
      <x:c r="G81" s="417" t="str">
        <x:v>不足を避けるため最大量を用意すればよく、提供ペースや帰宅手段は別の問題である</x:v>
      </x:c>
      <x:c r="H81" s="417" t="str">
        <x:v>時間、料理、提供量、飲酒者の割合、ノンアルコール選択肢、帰宅手段を考慮する必要がある</x:v>
      </x:c>
      <x:c r="I81" s="417" t="str">
        <x:v>D</x:v>
      </x:c>
      <x:c r="J81" s="417" t="str">
        <x:v>イベント提供量・責任ある提供は地域法規と主催者方針に従う必要がある</x:v>
      </x:c>
      <x:c r="K81" s="417" t="str">
        <x:v>改稿済み・専門家未承認</x:v>
      </x:c>
      <x:c r="L81" s="417" t="str">
        <x:v>AI誤答レビュー</x:v>
      </x:c>
      <x:c r="M81" s="418" t="str">
        <x:v>2026-07-12</x:v>
      </x:c>
      <x:c r="N81" s="419" t="str">
        <x:v>第2バッチ：誤答を同一論点内の典型的誤概念へ置換。正答位置は維持。</x:v>
      </x:c>
    </x:row>
    <x:row r="82">
      <x:c r="A82"/>
      <x:c r="B82"/>
      <x:c r="C82"/>
      <x:c r="D82"/>
      <x:c r="E82"/>
      <x:c r="F82"/>
      <x:c r="G82"/>
      <x:c r="H82"/>
      <x:c r="I82"/>
      <x:c r="J82"/>
      <x:c r="K82"/>
      <x:c r="L82"/>
      <x:c r="M82"/>
    </x:row>
    <x:row r="83">
      <x:c r="A83"/>
      <x:c r="B83"/>
      <x:c r="C83"/>
      <x:c r="D83"/>
      <x:c r="E83"/>
      <x:c r="F83"/>
      <x:c r="G83"/>
      <x:c r="H83"/>
      <x:c r="I83"/>
      <x:c r="J83"/>
      <x:c r="K83"/>
      <x:c r="L83"/>
      <x:c r="M83"/>
    </x:row>
    <x:row r="84">
      <x:c r="A84"/>
      <x:c r="B84"/>
      <x:c r="C84"/>
      <x:c r="D84"/>
      <x:c r="E84"/>
      <x:c r="F84"/>
      <x:c r="G84"/>
      <x:c r="H84"/>
      <x:c r="I84"/>
      <x:c r="J84"/>
      <x:c r="K84"/>
      <x:c r="L84"/>
      <x:c r="M84"/>
    </x:row>
    <x:row r="85">
      <x:c r="A85"/>
      <x:c r="B85"/>
      <x:c r="C85"/>
      <x:c r="D85"/>
      <x:c r="E85"/>
      <x:c r="F85"/>
      <x:c r="G85"/>
      <x:c r="H85"/>
      <x:c r="I85"/>
      <x:c r="J85"/>
      <x:c r="K85"/>
      <x:c r="L85"/>
      <x:c r="M85"/>
    </x:row>
    <x:row r="86">
      <x:c r="A86"/>
      <x:c r="B86"/>
      <x:c r="C86"/>
      <x:c r="D86"/>
      <x:c r="E86"/>
      <x:c r="F86"/>
      <x:c r="G86"/>
      <x:c r="H86"/>
      <x:c r="I86"/>
      <x:c r="J86"/>
      <x:c r="K86"/>
      <x:c r="L86"/>
      <x:c r="M86"/>
    </x:row>
    <x:row r="87">
      <x:c r="A87"/>
      <x:c r="B87"/>
      <x:c r="C87"/>
      <x:c r="D87"/>
      <x:c r="E87"/>
      <x:c r="F87"/>
      <x:c r="G87"/>
      <x:c r="H87"/>
      <x:c r="I87"/>
      <x:c r="J87"/>
      <x:c r="K87"/>
      <x:c r="L87"/>
      <x:c r="M87"/>
    </x:row>
    <x:row r="88">
      <x:c r="A88"/>
      <x:c r="B88"/>
      <x:c r="C88"/>
      <x:c r="D88"/>
      <x:c r="E88"/>
      <x:c r="F88"/>
      <x:c r="G88"/>
      <x:c r="H88"/>
      <x:c r="I88"/>
      <x:c r="J88"/>
      <x:c r="K88"/>
      <x:c r="L88"/>
      <x:c r="M88"/>
    </x:row>
    <x:row r="89">
      <x:c r="A89"/>
      <x:c r="B89"/>
      <x:c r="C89"/>
      <x:c r="D89"/>
      <x:c r="E89"/>
      <x:c r="F89"/>
      <x:c r="G89"/>
      <x:c r="H89"/>
      <x:c r="I89"/>
      <x:c r="J89"/>
      <x:c r="K89"/>
      <x:c r="L89"/>
      <x:c r="M89"/>
    </x:row>
    <x:row r="90">
      <x:c r="A90"/>
      <x:c r="B90"/>
      <x:c r="C90"/>
      <x:c r="D90"/>
      <x:c r="E90"/>
      <x:c r="F90"/>
      <x:c r="G90"/>
      <x:c r="H90"/>
      <x:c r="I90"/>
      <x:c r="J90"/>
      <x:c r="K90"/>
      <x:c r="L90"/>
      <x:c r="M90"/>
    </x:row>
    <x:row r="91">
      <x:c r="A91"/>
      <x:c r="B91"/>
      <x:c r="C91"/>
      <x:c r="D91"/>
      <x:c r="E91"/>
      <x:c r="F91"/>
      <x:c r="G91"/>
      <x:c r="H91"/>
      <x:c r="I91"/>
      <x:c r="J91"/>
      <x:c r="K91"/>
      <x:c r="L91"/>
      <x:c r="M91"/>
    </x:row>
    <x:row r="92">
      <x:c r="A92"/>
      <x:c r="B92"/>
      <x:c r="C92"/>
      <x:c r="D92"/>
      <x:c r="E92"/>
      <x:c r="F92"/>
      <x:c r="G92"/>
      <x:c r="H92"/>
      <x:c r="I92"/>
      <x:c r="J92"/>
      <x:c r="K92"/>
      <x:c r="L92"/>
      <x:c r="M92"/>
    </x:row>
    <x:row r="93">
      <x:c r="A93"/>
      <x:c r="B93"/>
      <x:c r="C93"/>
      <x:c r="D93"/>
      <x:c r="E93"/>
      <x:c r="F93"/>
      <x:c r="G93"/>
      <x:c r="H93"/>
      <x:c r="I93"/>
      <x:c r="J93"/>
      <x:c r="K93"/>
      <x:c r="L93"/>
      <x:c r="M93"/>
    </x:row>
    <x:row r="94">
      <x:c r="A94"/>
      <x:c r="B94"/>
      <x:c r="C94"/>
      <x:c r="D94"/>
      <x:c r="E94"/>
      <x:c r="F94"/>
      <x:c r="G94"/>
      <x:c r="H94"/>
      <x:c r="I94"/>
      <x:c r="J94"/>
      <x:c r="K94"/>
      <x:c r="L94"/>
      <x:c r="M94"/>
    </x:row>
    <x:row r="95">
      <x:c r="A95"/>
      <x:c r="B95"/>
      <x:c r="C95"/>
      <x:c r="D95"/>
      <x:c r="E95"/>
      <x:c r="F95"/>
      <x:c r="G95"/>
      <x:c r="H95"/>
      <x:c r="I95"/>
      <x:c r="J95"/>
      <x:c r="K95"/>
      <x:c r="L95"/>
      <x:c r="M95"/>
    </x:row>
    <x:row r="96">
      <x:c r="A96"/>
      <x:c r="B96"/>
      <x:c r="C96"/>
      <x:c r="D96"/>
      <x:c r="E96"/>
      <x:c r="F96"/>
      <x:c r="G96"/>
      <x:c r="H96"/>
      <x:c r="I96"/>
      <x:c r="J96"/>
      <x:c r="K96"/>
      <x:c r="L96"/>
      <x:c r="M96"/>
    </x:row>
    <x:row r="97">
      <x:c r="A97"/>
      <x:c r="B97"/>
      <x:c r="C97"/>
      <x:c r="D97"/>
      <x:c r="E97"/>
      <x:c r="F97"/>
      <x:c r="G97"/>
      <x:c r="H97"/>
      <x:c r="I97"/>
      <x:c r="J97"/>
      <x:c r="K97"/>
      <x:c r="L97"/>
      <x:c r="M97"/>
    </x:row>
    <x:row r="98">
      <x:c r="A98"/>
      <x:c r="B98"/>
      <x:c r="C98"/>
      <x:c r="D98"/>
      <x:c r="E98"/>
      <x:c r="F98"/>
      <x:c r="G98"/>
      <x:c r="H98"/>
      <x:c r="I98"/>
      <x:c r="J98"/>
      <x:c r="K98"/>
      <x:c r="L98"/>
      <x:c r="M98"/>
    </x:row>
    <x:row r="99">
      <x:c r="A99"/>
      <x:c r="B99"/>
      <x:c r="C99"/>
      <x:c r="D99"/>
      <x:c r="E99"/>
      <x:c r="F99"/>
      <x:c r="G99"/>
      <x:c r="H99"/>
      <x:c r="I99"/>
      <x:c r="J99"/>
      <x:c r="K99"/>
      <x:c r="L99"/>
      <x:c r="M99"/>
    </x:row>
    <x:row r="100">
      <x:c r="A100"/>
      <x:c r="B100"/>
      <x:c r="C100"/>
      <x:c r="D100"/>
      <x:c r="E100"/>
      <x:c r="F100"/>
      <x:c r="G100"/>
      <x:c r="H100"/>
      <x:c r="I100"/>
      <x:c r="J100"/>
      <x:c r="K100"/>
      <x:c r="L100"/>
      <x:c r="M100"/>
    </x:row>
    <x:row r="101">
      <x:c r="A101"/>
      <x:c r="B101"/>
      <x:c r="C101"/>
      <x:c r="D101"/>
      <x:c r="E101"/>
      <x:c r="F101"/>
      <x:c r="G101"/>
      <x:c r="H101"/>
      <x:c r="I101"/>
      <x:c r="J101"/>
      <x:c r="K101"/>
      <x:c r="L101"/>
      <x:c r="M101"/>
    </x:row>
    <x:row r="102">
      <x:c r="A102"/>
      <x:c r="B102"/>
      <x:c r="C102"/>
      <x:c r="D102"/>
      <x:c r="E102"/>
      <x:c r="F102"/>
      <x:c r="G102"/>
      <x:c r="H102"/>
      <x:c r="I102"/>
      <x:c r="J102"/>
      <x:c r="K102"/>
      <x:c r="L102"/>
      <x:c r="M102"/>
    </x:row>
    <x:row r="103">
      <x:c r="A103"/>
      <x:c r="B103"/>
      <x:c r="C103"/>
      <x:c r="D103"/>
      <x:c r="E103"/>
      <x:c r="F103"/>
      <x:c r="G103"/>
      <x:c r="H103"/>
      <x:c r="I103"/>
      <x:c r="J103"/>
      <x:c r="K103"/>
      <x:c r="L103"/>
      <x:c r="M103"/>
    </x:row>
    <x:row r="104">
      <x:c r="A104"/>
      <x:c r="B104"/>
      <x:c r="C104"/>
      <x:c r="D104"/>
      <x:c r="E104"/>
      <x:c r="F104"/>
      <x:c r="G104"/>
      <x:c r="H104"/>
      <x:c r="I104"/>
      <x:c r="J104"/>
      <x:c r="K104"/>
      <x:c r="L104"/>
      <x:c r="M104"/>
    </x:row>
    <x:row r="105">
      <x:c r="A105"/>
      <x:c r="B105"/>
      <x:c r="C105"/>
      <x:c r="D105"/>
      <x:c r="E105"/>
      <x:c r="F105"/>
      <x:c r="G105"/>
      <x:c r="H105"/>
      <x:c r="I105"/>
      <x:c r="J105"/>
      <x:c r="K105"/>
      <x:c r="L105"/>
      <x:c r="M105"/>
    </x:row>
    <x:row r="106">
      <x:c r="A106"/>
      <x:c r="B106"/>
      <x:c r="C106"/>
      <x:c r="D106"/>
      <x:c r="E106"/>
      <x:c r="F106"/>
      <x:c r="G106"/>
      <x:c r="H106"/>
      <x:c r="I106"/>
      <x:c r="J106"/>
      <x:c r="K106"/>
      <x:c r="L106"/>
      <x:c r="M106"/>
    </x:row>
    <x:row r="107">
      <x:c r="A107"/>
      <x:c r="B107"/>
      <x:c r="C107"/>
      <x:c r="D107"/>
      <x:c r="E107"/>
      <x:c r="F107"/>
      <x:c r="G107"/>
      <x:c r="H107"/>
      <x:c r="I107"/>
      <x:c r="J107"/>
      <x:c r="K107"/>
      <x:c r="L107"/>
      <x:c r="M107"/>
    </x:row>
    <x:row r="108">
      <x:c r="A108"/>
      <x:c r="B108"/>
      <x:c r="C108"/>
      <x:c r="D108"/>
      <x:c r="E108"/>
      <x:c r="F108"/>
      <x:c r="G108"/>
      <x:c r="H108"/>
      <x:c r="I108"/>
      <x:c r="J108"/>
      <x:c r="K108"/>
      <x:c r="L108"/>
      <x:c r="M108"/>
    </x:row>
    <x:row r="109">
      <x:c r="A109"/>
      <x:c r="B109"/>
      <x:c r="C109"/>
      <x:c r="D109"/>
      <x:c r="E109"/>
      <x:c r="F109"/>
      <x:c r="G109"/>
      <x:c r="H109"/>
      <x:c r="I109"/>
      <x:c r="J109"/>
      <x:c r="K109"/>
      <x:c r="L109"/>
      <x:c r="M109"/>
    </x:row>
    <x:row r="110">
      <x:c r="A110"/>
      <x:c r="B110"/>
      <x:c r="C110"/>
      <x:c r="D110"/>
      <x:c r="E110"/>
      <x:c r="F110"/>
      <x:c r="G110"/>
      <x:c r="H110"/>
      <x:c r="I110"/>
      <x:c r="J110"/>
      <x:c r="K110"/>
      <x:c r="L110"/>
      <x:c r="M110"/>
    </x:row>
    <x:row r="111">
      <x:c r="A111"/>
      <x:c r="B111"/>
      <x:c r="C111"/>
      <x:c r="D111"/>
      <x:c r="E111"/>
      <x:c r="F111"/>
      <x:c r="G111"/>
      <x:c r="H111"/>
      <x:c r="I111"/>
      <x:c r="J111"/>
      <x:c r="K111"/>
      <x:c r="L111"/>
      <x:c r="M111"/>
    </x:row>
    <x:row r="112">
      <x:c r="A112"/>
      <x:c r="B112"/>
      <x:c r="C112"/>
      <x:c r="D112"/>
      <x:c r="E112"/>
      <x:c r="F112"/>
      <x:c r="G112"/>
      <x:c r="H112"/>
      <x:c r="I112"/>
      <x:c r="J112"/>
      <x:c r="K112"/>
      <x:c r="L112"/>
      <x:c r="M112"/>
    </x:row>
    <x:row r="113">
      <x:c r="A113"/>
      <x:c r="B113"/>
      <x:c r="C113"/>
      <x:c r="D113"/>
      <x:c r="E113"/>
      <x:c r="F113"/>
      <x:c r="G113"/>
      <x:c r="H113"/>
      <x:c r="I113"/>
      <x:c r="J113"/>
      <x:c r="K113"/>
      <x:c r="L113"/>
      <x:c r="M113"/>
    </x:row>
    <x:row r="114">
      <x:c r="A114"/>
      <x:c r="B114"/>
      <x:c r="C114"/>
      <x:c r="D114"/>
      <x:c r="E114"/>
      <x:c r="F114"/>
      <x:c r="G114"/>
      <x:c r="H114"/>
      <x:c r="I114"/>
      <x:c r="J114"/>
      <x:c r="K114"/>
      <x:c r="L114"/>
      <x:c r="M114"/>
    </x:row>
    <x:row r="115">
      <x:c r="A115"/>
      <x:c r="B115"/>
      <x:c r="C115"/>
      <x:c r="D115"/>
      <x:c r="E115"/>
      <x:c r="F115"/>
      <x:c r="G115"/>
      <x:c r="H115"/>
      <x:c r="I115"/>
      <x:c r="J115"/>
      <x:c r="K115"/>
      <x:c r="L115"/>
      <x:c r="M115"/>
    </x:row>
    <x:row r="116">
      <x:c r="A116"/>
      <x:c r="B116"/>
      <x:c r="C116"/>
      <x:c r="D116"/>
      <x:c r="E116"/>
      <x:c r="F116"/>
      <x:c r="G116"/>
      <x:c r="H116"/>
      <x:c r="I116"/>
      <x:c r="J116"/>
      <x:c r="K116"/>
      <x:c r="L116"/>
      <x:c r="M116"/>
    </x:row>
    <x:row r="117">
      <x:c r="A117"/>
      <x:c r="B117"/>
      <x:c r="C117"/>
      <x:c r="D117"/>
      <x:c r="E117"/>
      <x:c r="F117"/>
      <x:c r="G117"/>
      <x:c r="H117"/>
      <x:c r="I117"/>
      <x:c r="J117"/>
      <x:c r="K117"/>
      <x:c r="L117"/>
      <x:c r="M117"/>
    </x:row>
    <x:row r="118">
      <x:c r="A118"/>
      <x:c r="B118"/>
      <x:c r="C118"/>
      <x:c r="D118"/>
      <x:c r="E118"/>
      <x:c r="F118"/>
      <x:c r="G118"/>
      <x:c r="H118"/>
      <x:c r="I118"/>
      <x:c r="J118"/>
      <x:c r="K118"/>
      <x:c r="L118"/>
      <x:c r="M118"/>
    </x:row>
    <x:row r="119">
      <x:c r="A119"/>
      <x:c r="B119"/>
      <x:c r="C119"/>
      <x:c r="D119"/>
      <x:c r="E119"/>
      <x:c r="F119"/>
      <x:c r="G119"/>
      <x:c r="H119"/>
      <x:c r="I119"/>
      <x:c r="J119"/>
      <x:c r="K119"/>
      <x:c r="L119"/>
      <x:c r="M119"/>
    </x:row>
    <x:row r="120">
      <x:c r="A120"/>
      <x:c r="B120"/>
      <x:c r="C120"/>
      <x:c r="D120"/>
      <x:c r="E120"/>
      <x:c r="F120"/>
      <x:c r="G120"/>
      <x:c r="H120"/>
      <x:c r="I120"/>
      <x:c r="J120"/>
      <x:c r="K120"/>
      <x:c r="L120"/>
      <x:c r="M120"/>
    </x:row>
    <x:row r="121">
      <x:c r="A121"/>
      <x:c r="B121"/>
      <x:c r="C121"/>
      <x:c r="D121"/>
      <x:c r="E121"/>
      <x:c r="F121"/>
      <x:c r="G121"/>
      <x:c r="H121"/>
      <x:c r="I121"/>
      <x:c r="J121"/>
      <x:c r="K121"/>
      <x:c r="L121"/>
      <x:c r="M121"/>
    </x:row>
    <x:row r="122">
      <x:c r="A122"/>
      <x:c r="B122"/>
      <x:c r="C122"/>
      <x:c r="D122"/>
      <x:c r="E122"/>
      <x:c r="F122"/>
      <x:c r="G122"/>
      <x:c r="H122"/>
      <x:c r="I122"/>
      <x:c r="J122"/>
      <x:c r="K122"/>
      <x:c r="L122"/>
      <x:c r="M122"/>
    </x:row>
    <x:row r="123">
      <x:c r="A123"/>
      <x:c r="B123"/>
      <x:c r="C123"/>
      <x:c r="D123"/>
      <x:c r="E123"/>
      <x:c r="F123"/>
      <x:c r="G123"/>
      <x:c r="H123"/>
      <x:c r="I123"/>
      <x:c r="J123"/>
      <x:c r="K123"/>
      <x:c r="L123"/>
      <x:c r="M123"/>
    </x:row>
    <x:row r="124">
      <x:c r="A124"/>
      <x:c r="B124"/>
      <x:c r="C124"/>
      <x:c r="D124"/>
      <x:c r="E124"/>
      <x:c r="F124"/>
      <x:c r="G124"/>
      <x:c r="H124"/>
      <x:c r="I124"/>
      <x:c r="J124"/>
      <x:c r="K124"/>
      <x:c r="L124"/>
      <x:c r="M124"/>
    </x:row>
    <x:row r="125">
      <x:c r="A125"/>
      <x:c r="B125"/>
      <x:c r="C125"/>
      <x:c r="D125"/>
      <x:c r="E125"/>
      <x:c r="F125"/>
      <x:c r="G125"/>
      <x:c r="H125"/>
      <x:c r="I125"/>
      <x:c r="J125"/>
      <x:c r="K125"/>
      <x:c r="L125"/>
      <x:c r="M125"/>
    </x:row>
    <x:row r="126">
      <x:c r="A126"/>
      <x:c r="B126"/>
      <x:c r="C126"/>
      <x:c r="D126"/>
      <x:c r="E126"/>
      <x:c r="F126"/>
      <x:c r="G126"/>
      <x:c r="H126"/>
      <x:c r="I126"/>
      <x:c r="J126"/>
      <x:c r="K126"/>
      <x:c r="L126"/>
      <x:c r="M126"/>
    </x:row>
    <x:row r="127">
      <x:c r="A127"/>
      <x:c r="B127"/>
      <x:c r="C127"/>
      <x:c r="D127"/>
      <x:c r="E127"/>
      <x:c r="F127"/>
      <x:c r="G127"/>
      <x:c r="H127"/>
      <x:c r="I127"/>
      <x:c r="J127"/>
      <x:c r="K127"/>
      <x:c r="L127"/>
      <x:c r="M127"/>
    </x:row>
    <x:row r="128">
      <x:c r="A128"/>
      <x:c r="B128"/>
      <x:c r="C128"/>
      <x:c r="D128"/>
      <x:c r="E128"/>
      <x:c r="F128"/>
      <x:c r="G128"/>
      <x:c r="H128"/>
      <x:c r="I128"/>
      <x:c r="J128"/>
      <x:c r="K128"/>
      <x:c r="L128"/>
      <x:c r="M128"/>
    </x:row>
    <x:row r="129">
      <x:c r="A129"/>
      <x:c r="B129"/>
      <x:c r="C129"/>
      <x:c r="D129"/>
      <x:c r="E129"/>
      <x:c r="F129"/>
      <x:c r="G129"/>
      <x:c r="H129"/>
      <x:c r="I129"/>
      <x:c r="J129"/>
      <x:c r="K129"/>
      <x:c r="L129"/>
      <x:c r="M129"/>
    </x:row>
    <x:row r="130">
      <x:c r="A130"/>
      <x:c r="B130"/>
      <x:c r="C130"/>
      <x:c r="D130"/>
      <x:c r="E130"/>
      <x:c r="F130"/>
      <x:c r="G130"/>
      <x:c r="H130"/>
      <x:c r="I130"/>
      <x:c r="J130"/>
      <x:c r="K130"/>
      <x:c r="L130"/>
      <x:c r="M130"/>
    </x:row>
    <x:row r="131">
      <x:c r="A131"/>
      <x:c r="B131"/>
      <x:c r="C131"/>
      <x:c r="D131"/>
      <x:c r="E131"/>
      <x:c r="F131"/>
      <x:c r="G131"/>
      <x:c r="H131"/>
      <x:c r="I131"/>
      <x:c r="J131"/>
      <x:c r="K131"/>
      <x:c r="L131"/>
      <x:c r="M131"/>
    </x:row>
    <x:row r="132">
      <x:c r="A132"/>
      <x:c r="B132"/>
      <x:c r="C132"/>
      <x:c r="D132"/>
      <x:c r="E132"/>
      <x:c r="F132"/>
      <x:c r="G132"/>
      <x:c r="H132"/>
      <x:c r="I132"/>
      <x:c r="J132"/>
      <x:c r="K132"/>
      <x:c r="L132"/>
      <x:c r="M132"/>
    </x:row>
    <x:row r="133">
      <x:c r="A133"/>
      <x:c r="B133"/>
      <x:c r="C133"/>
      <x:c r="D133"/>
      <x:c r="E133"/>
      <x:c r="F133"/>
      <x:c r="G133"/>
      <x:c r="H133"/>
      <x:c r="I133"/>
      <x:c r="J133"/>
      <x:c r="K133"/>
      <x:c r="L133"/>
      <x:c r="M133"/>
    </x:row>
    <x:row r="134">
      <x:c r="A134"/>
      <x:c r="B134"/>
      <x:c r="C134"/>
      <x:c r="D134"/>
      <x:c r="E134"/>
      <x:c r="F134"/>
      <x:c r="G134"/>
      <x:c r="H134"/>
      <x:c r="I134"/>
      <x:c r="J134"/>
      <x:c r="K134"/>
      <x:c r="L134"/>
      <x:c r="M134"/>
    </x:row>
    <x:row r="135">
      <x:c r="A135"/>
      <x:c r="B135"/>
      <x:c r="C135"/>
      <x:c r="D135"/>
      <x:c r="E135"/>
      <x:c r="F135"/>
      <x:c r="G135"/>
      <x:c r="H135"/>
      <x:c r="I135"/>
      <x:c r="J135"/>
      <x:c r="K135"/>
      <x:c r="L135"/>
      <x:c r="M135"/>
    </x:row>
    <x:row r="136">
      <x:c r="A136"/>
      <x:c r="B136"/>
      <x:c r="C136"/>
      <x:c r="D136"/>
      <x:c r="E136"/>
      <x:c r="F136"/>
      <x:c r="G136"/>
      <x:c r="H136"/>
      <x:c r="I136"/>
      <x:c r="J136"/>
      <x:c r="K136"/>
      <x:c r="L136"/>
      <x:c r="M136"/>
    </x:row>
    <x:row r="137">
      <x:c r="A137"/>
      <x:c r="B137"/>
      <x:c r="C137"/>
      <x:c r="D137"/>
      <x:c r="E137"/>
      <x:c r="F137"/>
      <x:c r="G137"/>
      <x:c r="H137"/>
      <x:c r="I137"/>
      <x:c r="J137"/>
      <x:c r="K137"/>
      <x:c r="L137"/>
      <x:c r="M137"/>
    </x:row>
    <x:row r="138">
      <x:c r="A138"/>
      <x:c r="B138"/>
      <x:c r="C138"/>
      <x:c r="D138"/>
      <x:c r="E138"/>
      <x:c r="F138"/>
      <x:c r="G138"/>
      <x:c r="H138"/>
      <x:c r="I138"/>
      <x:c r="J138"/>
      <x:c r="K138"/>
      <x:c r="L138"/>
      <x:c r="M138"/>
    </x:row>
    <x:row r="139">
      <x:c r="A139"/>
      <x:c r="B139"/>
      <x:c r="C139"/>
      <x:c r="D139"/>
      <x:c r="E139"/>
      <x:c r="F139"/>
      <x:c r="G139"/>
      <x:c r="H139"/>
      <x:c r="I139"/>
      <x:c r="J139"/>
      <x:c r="K139"/>
      <x:c r="L139"/>
      <x:c r="M139"/>
    </x:row>
    <x:row r="140">
      <x:c r="A140"/>
      <x:c r="B140"/>
      <x:c r="C140"/>
      <x:c r="D140"/>
      <x:c r="E140"/>
      <x:c r="F140"/>
      <x:c r="G140"/>
      <x:c r="H140"/>
      <x:c r="I140"/>
      <x:c r="J140"/>
      <x:c r="K140"/>
      <x:c r="L140"/>
      <x:c r="M140"/>
    </x:row>
    <x:row r="141">
      <x:c r="A141"/>
      <x:c r="B141"/>
      <x:c r="C141"/>
      <x:c r="D141"/>
      <x:c r="E141"/>
      <x:c r="F141"/>
      <x:c r="G141"/>
      <x:c r="H141"/>
      <x:c r="I141"/>
      <x:c r="J141"/>
      <x:c r="K141"/>
      <x:c r="L141"/>
      <x:c r="M141"/>
    </x:row>
    <x:row r="142">
      <x:c r="A142"/>
      <x:c r="B142"/>
      <x:c r="C142"/>
      <x:c r="D142"/>
      <x:c r="E142"/>
      <x:c r="F142"/>
      <x:c r="G142"/>
      <x:c r="H142"/>
      <x:c r="I142"/>
      <x:c r="J142"/>
      <x:c r="K142"/>
      <x:c r="L142"/>
      <x:c r="M142"/>
    </x:row>
    <x:row r="143">
      <x:c r="A143"/>
      <x:c r="B143"/>
      <x:c r="C143"/>
      <x:c r="D143"/>
      <x:c r="E143"/>
      <x:c r="F143"/>
      <x:c r="G143"/>
      <x:c r="H143"/>
      <x:c r="I143"/>
      <x:c r="J143"/>
      <x:c r="K143"/>
      <x:c r="L143"/>
      <x:c r="M143"/>
    </x:row>
    <x:row r="144">
      <x:c r="A144"/>
      <x:c r="B144"/>
      <x:c r="C144"/>
      <x:c r="D144"/>
      <x:c r="E144"/>
      <x:c r="F144"/>
      <x:c r="G144"/>
      <x:c r="H144"/>
      <x:c r="I144"/>
      <x:c r="J144"/>
      <x:c r="K144"/>
      <x:c r="L144"/>
      <x:c r="M144"/>
    </x:row>
    <x:row r="145">
      <x:c r="A145"/>
      <x:c r="B145"/>
      <x:c r="C145"/>
      <x:c r="D145"/>
      <x:c r="E145"/>
      <x:c r="F145"/>
      <x:c r="G145"/>
      <x:c r="H145"/>
      <x:c r="I145"/>
      <x:c r="J145"/>
      <x:c r="K145"/>
      <x:c r="L145"/>
      <x:c r="M145"/>
    </x:row>
    <x:row r="146">
      <x:c r="A146"/>
      <x:c r="B146"/>
      <x:c r="C146"/>
      <x:c r="D146"/>
      <x:c r="E146"/>
      <x:c r="F146"/>
      <x:c r="G146"/>
      <x:c r="H146"/>
      <x:c r="I146"/>
      <x:c r="J146"/>
      <x:c r="K146"/>
      <x:c r="L146"/>
      <x:c r="M146"/>
    </x:row>
    <x:row r="147">
      <x:c r="A147"/>
      <x:c r="B147"/>
      <x:c r="C147"/>
      <x:c r="D147"/>
      <x:c r="E147"/>
      <x:c r="F147"/>
      <x:c r="G147"/>
      <x:c r="H147"/>
      <x:c r="I147"/>
      <x:c r="J147"/>
      <x:c r="K147"/>
      <x:c r="L147"/>
      <x:c r="M147"/>
    </x:row>
    <x:row r="148">
      <x:c r="A148"/>
      <x:c r="B148"/>
      <x:c r="C148"/>
      <x:c r="D148"/>
      <x:c r="E148"/>
      <x:c r="F148"/>
      <x:c r="G148"/>
      <x:c r="H148"/>
      <x:c r="I148"/>
      <x:c r="J148"/>
      <x:c r="K148"/>
      <x:c r="L148"/>
      <x:c r="M148"/>
    </x:row>
    <x:row r="149">
      <x:c r="A149"/>
      <x:c r="B149"/>
      <x:c r="C149"/>
      <x:c r="D149"/>
      <x:c r="E149"/>
      <x:c r="F149"/>
      <x:c r="G149"/>
      <x:c r="H149"/>
      <x:c r="I149"/>
      <x:c r="J149"/>
      <x:c r="K149"/>
      <x:c r="L149"/>
      <x:c r="M149"/>
    </x:row>
    <x:row r="150">
      <x:c r="A150"/>
      <x:c r="B150"/>
      <x:c r="C150"/>
      <x:c r="D150"/>
      <x:c r="E150"/>
      <x:c r="F150"/>
      <x:c r="G150"/>
      <x:c r="H150"/>
      <x:c r="I150"/>
      <x:c r="J150"/>
      <x:c r="K150"/>
      <x:c r="L150"/>
      <x:c r="M150"/>
    </x:row>
  </x:sheetData>
  <x:dataValidations count="4">
    <x:dataValidation type="list" sqref="L2:L3">
      <x:formula1>"未レビュー,確認中,修正要,承認,却下"</x:formula1>
    </x:dataValidation>
    <x:dataValidation type="list" sqref="L2:L17">
      <x:formula1>"未レビュー,確認中,修正要,承認,却下"</x:formula1>
    </x:dataValidation>
    <x:dataValidation type="list" sqref="L2:L47">
      <x:formula1>"未レビュー,確認中,修正要,承認,却下"</x:formula1>
    </x:dataValidation>
    <x:dataValidation type="list" sqref="L2:L81">
      <x:formula1>"未レビュー,確認中,修正要,承認,却下"</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42" hidden="0" customWidth="1"/>
    <x:col min="3" max="3" width="55" hidden="0" customWidth="1"/>
    <x:col min="4" max="4" width="16" hidden="0" customWidth="1"/>
    <x:col min="5" max="5" width="16" hidden="0" customWidth="1"/>
    <x:col min="6" max="6" width="16" hidden="0" customWidth="1"/>
  </x:cols>
  <x:sheetData>
    <x:row r="1">
      <x:c r="A1" s="117" t="str">
        <x:v>タグ定義・運用ルール</x:v>
      </x:c>
      <x:c r="B1" s="117"/>
      <x:c r="C1" s="117"/>
      <x:c r="D1" s="117"/>
      <x:c r="E1" s="117"/>
      <x:c r="F1" s="117"/>
    </x:row>
    <x:row r="2">
      <x:c r="A2" s="42"/>
      <x:c r="B2" s="42"/>
      <x:c r="C2" s="42"/>
      <x:c r="D2" s="42"/>
      <x:c r="E2" s="42"/>
      <x:c r="F2" s="42"/>
    </x:row>
    <x:row r="3">
      <x:c r="A3" s="118" t="str">
        <x:v>LO</x:v>
      </x:c>
      <x:c r="B3" s="118" t="str">
        <x:v>名称</x:v>
      </x:c>
      <x:c r="C3" s="118" t="str">
        <x:v>本ファイルでの扱い</x:v>
      </x:c>
      <x:c r="D3" s="42"/>
      <x:c r="E3" s="42"/>
      <x:c r="F3" s="42"/>
    </x:row>
    <x:row r="4">
      <x:c r="A4" s="119" t="str">
        <x:v>LO1</x:v>
      </x:c>
      <x:c r="B4" s="120" t="str">
        <x:v>ブドウ畑・ワイナリーの自然要因と人的要因</x:v>
      </x:c>
      <x:c r="C4" s="121" t="str">
        <x:v>地域横断の一般原則</x:v>
      </x:c>
      <x:c r="D4" s="42"/>
      <x:c r="E4" s="42"/>
      <x:c r="F4" s="42"/>
    </x:row>
    <x:row r="5">
      <x:c r="A5" s="41" t="str">
        <x:v>LO2</x:v>
      </x:c>
      <x:c r="B5" s="42" t="str">
        <x:v>世界の主要な非発泡性ワイン</x:v>
      </x:c>
      <x:c r="C5" s="43" t="str">
        <x:v>産地・品種・栽培・醸造・法律・商業</x:v>
      </x:c>
      <x:c r="D5" s="42"/>
      <x:c r="E5" s="42"/>
      <x:c r="F5" s="42"/>
    </x:row>
    <x:row r="6">
      <x:c r="A6" s="41" t="str">
        <x:v>LO3</x:v>
      </x:c>
      <x:c r="B6" s="42" t="str">
        <x:v>世界の主要な発泡性ワイン</x:v>
      </x:c>
      <x:c r="C6" s="43" t="str">
        <x:v>製法・産地・品種・法律・価格</x:v>
      </x:c>
      <x:c r="D6" s="42"/>
      <x:c r="E6" s="42"/>
      <x:c r="F6" s="42"/>
    </x:row>
    <x:row r="7">
      <x:c r="A7" s="41" t="str">
        <x:v>LO4</x:v>
      </x:c>
      <x:c r="B7" s="42" t="str">
        <x:v>世界の主要な酒精強化ワイン</x:v>
      </x:c>
      <x:c r="C7" s="43" t="str">
        <x:v>ポート、シェリー、酒精強化マスカット</x:v>
      </x:c>
      <x:c r="D7" s="42"/>
      <x:c r="E7" s="42"/>
      <x:c r="F7" s="42"/>
    </x:row>
    <x:row r="8">
      <x:c r="A8" s="44" t="str">
        <x:v>LO5</x:v>
      </x:c>
      <x:c r="B8" s="45" t="str">
        <x:v>情報提供・推奨・保管・サービス</x:v>
      </x:c>
      <x:c r="C8" s="46" t="str">
        <x:v>保管、サービス、欠陥、料理との組み合わせ、責任ある飲酒</x:v>
      </x:c>
      <x:c r="D8" s="42"/>
      <x:c r="E8" s="42"/>
      <x:c r="F8" s="42"/>
    </x:row>
    <x:row r="9">
      <x:c r="A9" s="42"/>
      <x:c r="B9" s="42"/>
      <x:c r="C9" s="42"/>
      <x:c r="D9" s="42"/>
      <x:c r="E9" s="42"/>
      <x:c r="F9" s="42"/>
    </x:row>
    <x:row r="10">
      <x:c r="A10" s="42"/>
      <x:c r="B10" s="42"/>
      <x:c r="C10" s="42"/>
      <x:c r="D10" s="42"/>
      <x:c r="E10" s="42"/>
      <x:c r="F10" s="42"/>
    </x:row>
    <x:row r="11">
      <x:c r="A11" s="118" t="str">
        <x:v>難易度</x:v>
      </x:c>
      <x:c r="B11" s="118" t="str">
        <x:v>定義</x:v>
      </x:c>
      <x:c r="C11" s="118" t="str">
        <x:v>典型例</x:v>
      </x:c>
      <x:c r="D11" s="42"/>
      <x:c r="E11" s="42"/>
      <x:c r="F11" s="42"/>
    </x:row>
    <x:row r="12">
      <x:c r="A12" s="119" t="str">
        <x:v>D1</x:v>
      </x:c>
      <x:c r="B12" s="120" t="str">
        <x:v>単一事実または一段階の知識確認</x:v>
      </x:c>
      <x:c r="C12" s="121" t="str">
        <x:v>品種、工程名、典型的特徴</x:v>
      </x:c>
      <x:c r="D12" s="42"/>
      <x:c r="E12" s="42"/>
      <x:c r="F12" s="42"/>
    </x:row>
    <x:row r="13">
      <x:c r="A13" s="41" t="str">
        <x:v>D2</x:v>
      </x:c>
      <x:c r="B13" s="42" t="str">
        <x:v>原因と結果、または知識の適用</x:v>
      </x:c>
      <x:c r="C13" s="43" t="str">
        <x:v>気候→成熟→スタイル</x:v>
      </x:c>
      <x:c r="D13" s="42"/>
      <x:c r="E13" s="42"/>
      <x:c r="F13" s="42"/>
    </x:row>
    <x:row r="14">
      <x:c r="A14" s="44" t="str">
        <x:v>D3</x:v>
      </x:c>
      <x:c r="B14" s="45" t="str">
        <x:v>複数要因の統合、比較、価格・品質判断</x:v>
      </x:c>
      <x:c r="C14" s="46" t="str">
        <x:v>産地内差、製法と商業要因の統合</x:v>
      </x:c>
      <x:c r="D14" s="42"/>
      <x:c r="E14" s="42"/>
      <x:c r="F14" s="42"/>
    </x:row>
    <x:row r="15">
      <x:c r="A15" s="42"/>
      <x:c r="B15" s="42"/>
      <x:c r="C15" s="42"/>
      <x:c r="D15" s="42"/>
      <x:c r="E15" s="42"/>
      <x:c r="F15" s="42"/>
    </x:row>
    <x:row r="16">
      <x:c r="A16" s="42"/>
      <x:c r="B16" s="42"/>
      <x:c r="C16" s="42"/>
      <x:c r="D16" s="42"/>
      <x:c r="E16" s="42"/>
      <x:c r="F16" s="42"/>
    </x:row>
    <x:row r="17">
      <x:c r="A17" s="118" t="str">
        <x:v>思考スキル</x:v>
      </x:c>
      <x:c r="B17" s="118" t="str">
        <x:v>意味</x:v>
      </x:c>
      <x:c r="C17" s="118" t="str">
        <x:v>設問の特徴</x:v>
      </x:c>
      <x:c r="D17" s="42"/>
      <x:c r="E17" s="42"/>
      <x:c r="F17" s="42"/>
    </x:row>
    <x:row r="18">
      <x:c r="A18" s="119" t="str">
        <x:v>知識確認</x:v>
      </x:c>
      <x:c r="B18" s="120" t="str">
        <x:v>名称・特徴を特定する</x:v>
      </x:c>
      <x:c r="C18" s="121" t="str">
        <x:v>一つの明確な事実</x:v>
      </x:c>
      <x:c r="D18" s="42"/>
      <x:c r="E18" s="42"/>
      <x:c r="F18" s="42"/>
    </x:row>
    <x:row r="19">
      <x:c r="A19" s="41" t="str">
        <x:v>因果説明</x:v>
      </x:c>
      <x:c r="B19" s="42" t="str">
        <x:v>要因と結果の関係を理解する</x:v>
      </x:c>
      <x:c r="C19" s="43" t="str">
        <x:v>「なぜ」「主な理由」</x:v>
      </x:c>
      <x:c r="D19" s="42"/>
      <x:c r="E19" s="42"/>
      <x:c r="F19" s="42"/>
    </x:row>
    <x:row r="20">
      <x:c r="A20" s="41" t="str">
        <x:v>適用</x:v>
      </x:c>
      <x:c r="B20" s="42" t="str">
        <x:v>一般原則を具体的状況へ使う</x:v>
      </x:c>
      <x:c r="C20" s="43" t="str">
        <x:v>畑・醸造・サービスの判断</x:v>
      </x:c>
      <x:c r="D20" s="42"/>
      <x:c r="E20" s="42"/>
      <x:c r="F20" s="42"/>
    </x:row>
    <x:row r="21">
      <x:c r="A21" s="41" t="str">
        <x:v>比較</x:v>
      </x:c>
      <x:c r="B21" s="42" t="str">
        <x:v>二つの方法・スタイルの差を識別する</x:v>
      </x:c>
      <x:c r="C21" s="43" t="str">
        <x:v>製法や熟成経路の比較</x:v>
      </x:c>
      <x:c r="D21" s="42"/>
      <x:c r="E21" s="42"/>
      <x:c r="F21" s="42"/>
    </x:row>
    <x:row r="22">
      <x:c r="A22" s="41" t="str">
        <x:v>判断</x:v>
      </x:c>
      <x:c r="B22" s="42" t="str">
        <x:v>顧客・料理・サービスに適切な選択をする</x:v>
      </x:c>
      <x:c r="C22" s="43" t="str">
        <x:v>推奨、順序、温度</x:v>
      </x:c>
      <x:c r="D22" s="42"/>
      <x:c r="E22" s="42"/>
      <x:c r="F22" s="42"/>
    </x:row>
    <x:row r="23">
      <x:c r="A23" s="44" t="str">
        <x:v>統合判断</x:v>
      </x:c>
      <x:c r="B23" s="45" t="str">
        <x:v>複数要因を結び、品質・価格を判断する</x:v>
      </x:c>
      <x:c r="C23" s="46" t="str">
        <x:v>自然・人的・商業要因</x:v>
      </x:c>
      <x:c r="D23" s="42"/>
      <x:c r="E23" s="42"/>
      <x:c r="F23" s="42"/>
    </x:row>
    <x:row r="24">
      <x:c r="A24" s="42"/>
      <x:c r="B24" s="42"/>
      <x:c r="C24" s="42"/>
      <x:c r="D24" s="42"/>
      <x:c r="E24" s="42"/>
      <x:c r="F24" s="42"/>
    </x:row>
    <x:row r="25">
      <x:c r="A25" s="42"/>
      <x:c r="B25" s="42"/>
      <x:c r="C25" s="42"/>
      <x:c r="D25" s="42"/>
      <x:c r="E25" s="42"/>
      <x:c r="F25" s="42"/>
    </x:row>
    <x:row r="26">
      <x:c r="A26" s="118" t="str">
        <x:v>レビュー状態</x:v>
      </x:c>
      <x:c r="B26" s="118" t="str">
        <x:v>意味</x:v>
      </x:c>
      <x:c r="C26" s="118" t="str">
        <x:v>運用</x:v>
      </x:c>
      <x:c r="D26" s="42"/>
      <x:c r="E26" s="42"/>
      <x:c r="F26" s="42"/>
    </x:row>
    <x:row r="27">
      <x:c r="A27" s="119" t="str">
        <x:v>未レビュー</x:v>
      </x:c>
      <x:c r="B27" s="120" t="str">
        <x:v>人手確認前</x:v>
      </x:c>
      <x:c r="C27" s="121" t="str">
        <x:v>初期値</x:v>
      </x:c>
      <x:c r="D27" s="42"/>
      <x:c r="E27" s="42"/>
      <x:c r="F27" s="42"/>
    </x:row>
    <x:row r="28">
      <x:c r="A28" s="41" t="str">
        <x:v>確認中</x:v>
      </x:c>
      <x:c r="B28" s="42" t="str">
        <x:v>教材・規定・表現を照合中</x:v>
      </x:c>
      <x:c r="C28" s="43" t="str">
        <x:v>担当者名を記録</x:v>
      </x:c>
      <x:c r="D28" s="42"/>
      <x:c r="E28" s="42"/>
      <x:c r="F28" s="42"/>
    </x:row>
    <x:row r="29">
      <x:c r="A29" s="41" t="str">
        <x:v>修正要</x:v>
      </x:c>
      <x:c r="B29" s="42" t="str">
        <x:v>事実・表現・選択肢に修正が必要</x:v>
      </x:c>
      <x:c r="C29" s="43" t="str">
        <x:v>コメント欄に理由を記録</x:v>
      </x:c>
      <x:c r="D29" s="42"/>
      <x:c r="E29" s="42"/>
      <x:c r="F29" s="42"/>
    </x:row>
    <x:row r="30">
      <x:c r="A30" s="41" t="str">
        <x:v>承認</x:v>
      </x:c>
      <x:c r="B30" s="42" t="str">
        <x:v>出題可能と判断</x:v>
      </x:c>
      <x:c r="C30" s="43" t="str">
        <x:v>レビュアーと日付を記録</x:v>
      </x:c>
      <x:c r="D30" s="42"/>
      <x:c r="E30" s="42"/>
      <x:c r="F30" s="42"/>
    </x:row>
    <x:row r="31">
      <x:c r="A31" s="44" t="str">
        <x:v>却下</x:v>
      </x:c>
      <x:c r="B31" s="45" t="str">
        <x:v>使用しない</x:v>
      </x:c>
      <x:c r="C31" s="46" t="str">
        <x:v>理由を記録</x:v>
      </x:c>
      <x:c r="D31" s="42"/>
      <x:c r="E31" s="42"/>
      <x:c r="F31" s="42"/>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9" t="str">
        <x:v>WSET Level 3 オリジナル問題900問 v5 — 誤答レビュー完了</x:v>
      </x:c>
      <x:c r="B1" s="59"/>
      <x:c r="C1" s="59"/>
      <x:c r="D1" s="59"/>
      <x:c r="E1" s="59"/>
      <x:c r="F1" s="59"/>
      <x:c r="G1" s="59"/>
      <x:c r="H1" s="59"/>
    </x:row>
    <x:row r="3">
      <x:c r="A3" s="130" t="str">
        <x:v>概要</x:v>
      </x:c>
      <x:c r="B3" s="130"/>
      <x:c r="C3" s="130"/>
      <x:c r="D3" s="130"/>
      <x:c r="E3" s="130"/>
      <x:c r="F3" s="130"/>
      <x:c r="G3" s="130"/>
      <x:c r="H3" s="130"/>
    </x:row>
    <x:row r="4" ht="32" customHeight="1">
      <x:c r="A4" s="137" t="str">
        <x:v>• 日本語の多肢選択式問題900問。LO1〜LO5を各180問ずつ収録。</x:v>
      </x:c>
      <x:c r="B4" s="137"/>
      <x:c r="C4" s="137"/>
      <x:c r="D4" s="137"/>
      <x:c r="E4" s="137"/>
      <x:c r="F4" s="137"/>
      <x:c r="G4" s="137"/>
      <x:c r="H4" s="137"/>
    </x:row>
    <x:row r="5" ht="32" customHeight="1">
      <x:c r="A5" s="137" t="str">
        <x:v>• 全問がオリジナル作成。ユーザー作成コーパスと問題例は、論点・出題形式・誤答設計の研究資料として参照。</x:v>
      </x:c>
      <x:c r="B5" s="137"/>
      <x:c r="C5" s="137"/>
      <x:c r="D5" s="137"/>
      <x:c r="E5" s="137"/>
      <x:c r="F5" s="137"/>
      <x:c r="G5" s="137"/>
      <x:c r="H5" s="137"/>
    </x:row>
    <x:row r="6" ht="32" customHeight="1">
      <x:c r="A6" s="137" t="str">
        <x:v>• 各問に正答、正答解説、3つの誤答が誤りである理由、分類タグ、要レビュー判定を付与。</x:v>
      </x:c>
      <x:c r="B6" s="137"/>
      <x:c r="C6" s="137"/>
      <x:c r="D6" s="137"/>
      <x:c r="E6" s="137"/>
      <x:c r="F6" s="137"/>
      <x:c r="G6" s="137"/>
      <x:c r="H6" s="137"/>
    </x:row>
    <x:row r="8">
      <x:c r="A8" s="130" t="str">
        <x:v>設問設計ルール</x:v>
      </x:c>
      <x:c r="B8" s="130"/>
      <x:c r="C8" s="130"/>
      <x:c r="D8" s="130"/>
      <x:c r="E8" s="130"/>
      <x:c r="F8" s="130"/>
      <x:c r="G8" s="130"/>
      <x:c r="H8" s="130"/>
    </x:row>
    <x:row r="9" ht="32" customHeight="1">
      <x:c r="A9" s="137" t="str">
        <x:v>• 1問につき中心論点は1つ。</x:v>
      </x:c>
      <x:c r="B9" s="137"/>
      <x:c r="C9" s="137"/>
      <x:c r="D9" s="137"/>
      <x:c r="E9" s="137"/>
      <x:c r="F9" s="137"/>
      <x:c r="G9" s="137"/>
      <x:c r="H9" s="137"/>
    </x:row>
    <x:row r="10" ht="32" customHeight="1">
      <x:c r="A10" s="137" t="str">
        <x:v>• 正答は一意。正答位置は全体・各LOともA〜Dを均等配置。</x:v>
      </x:c>
      <x:c r="B10" s="137"/>
      <x:c r="C10" s="137"/>
      <x:c r="D10" s="137"/>
      <x:c r="E10" s="137"/>
      <x:c r="F10" s="137"/>
      <x:c r="G10" s="137"/>
      <x:c r="H10" s="137"/>
    </x:row>
    <x:row r="11" ht="32" customHeight="1">
      <x:c r="A11" s="137" t="str">
        <x:v>• 誤答は関連知識との混同を狙い、無関係な選択肢や「必ず／絶対」だけで見破れる表現を避けた。</x:v>
      </x:c>
      <x:c r="B11" s="137"/>
      <x:c r="C11" s="137"/>
      <x:c r="D11" s="137"/>
      <x:c r="E11" s="137"/>
      <x:c r="F11" s="137"/>
      <x:c r="G11" s="137"/>
      <x:c r="H11" s="137"/>
    </x:row>
    <x:row r="12" ht="32" customHeight="1">
      <x:c r="A12" s="137" t="str">
        <x:v>• タグは問題の性質を記述するためのもので、LO以外は配分ノルマとして問題生成を拘束していない。</x:v>
      </x:c>
      <x:c r="B12" s="137"/>
      <x:c r="C12" s="137"/>
      <x:c r="D12" s="137"/>
      <x:c r="E12" s="137"/>
      <x:c r="F12" s="137"/>
      <x:c r="G12" s="137"/>
      <x:c r="H12" s="137"/>
    </x:row>
    <x:row r="14">
      <x:c r="A14" s="130" t="str">
        <x:v>日本語用語</x:v>
      </x:c>
      <x:c r="B14" s="130"/>
      <x:c r="C14" s="130"/>
      <x:c r="D14" s="130"/>
      <x:c r="E14" s="130"/>
      <x:c r="F14" s="130"/>
      <x:c r="G14" s="130"/>
      <x:c r="H14" s="130"/>
    </x:row>
    <x:row r="15" ht="32" customHeight="1">
      <x:c r="A15" s="137" t="str">
        <x:v>• 日本語表現は、公開されているWSET日本語版Specification（2017年版）の用語を主な基準とした。</x:v>
      </x:c>
      <x:c r="B15" s="137"/>
      <x:c r="C15" s="137"/>
      <x:c r="D15" s="137"/>
      <x:c r="E15" s="137"/>
      <x:c r="F15" s="137"/>
      <x:c r="G15" s="137"/>
      <x:c r="H15" s="137"/>
    </x:row>
    <x:row r="16" ht="32" customHeight="1">
      <x:c r="A16" s="137" t="str">
        <x:v>• 学習範囲はWSET Level 3 Award in Wines Specification Issue 2（2022年英語版）とも照合。</x:v>
      </x:c>
      <x:c r="B16" s="137"/>
      <x:c r="C16" s="137"/>
      <x:c r="D16" s="137"/>
      <x:c r="E16" s="137"/>
      <x:c r="F16" s="137"/>
      <x:c r="G16" s="137"/>
      <x:c r="H16" s="137"/>
    </x:row>
    <x:row r="17" ht="32" customHeight="1">
      <x:c r="A17" s="137" t="str">
        <x:v>• 例：非発泡性ワイン、発泡性ワイン、酒精強化ワイン、キャノピー・マネジメント、澱との接触、ルミュアージュ（動瓶）、デゴルジュマン（澱抜き）、マロラクティック発酵（MLF）。</x:v>
      </x:c>
      <x:c r="B17" s="137"/>
      <x:c r="C17" s="137"/>
      <x:c r="D17" s="137"/>
      <x:c r="E17" s="137"/>
      <x:c r="F17" s="137"/>
      <x:c r="G17" s="137"/>
      <x:c r="H17" s="137"/>
    </x:row>
    <x:row r="19">
      <x:c r="A19" s="130" t="str">
        <x:v>レビュー</x:v>
      </x:c>
      <x:c r="B19" s="130"/>
      <x:c r="C19" s="130"/>
      <x:c r="D19" s="130"/>
      <x:c r="E19" s="130"/>
      <x:c r="F19" s="130"/>
      <x:c r="G19" s="130"/>
      <x:c r="H19" s="130"/>
    </x:row>
    <x:row r="20" ht="32" customHeight="1">
      <x:c r="A20" s="137" t="str">
        <x:v>• 全900問について、元サンプルを基準に誤答の関連性・もっともらしさ・明確な誤り・形式均衡を一問ずつレビュー。</x:v>
      </x:c>
      <x:c r="B20" s="137"/>
      <x:c r="C20" s="137"/>
      <x:c r="D20" s="137"/>
      <x:c r="E20" s="137"/>
      <x:c r="F20" s="137"/>
      <x:c r="G20" s="137"/>
      <x:c r="H20" s="137"/>
    </x:row>
    <x:row r="21" ht="32" customHeight="1">
      <x:c r="A21" s="137" t="str">
        <x:v>• 全問のレビュー状態は「改稿済み・専門家未承認」。要レビュー=Yの問題は、法規・表示・健康・官能表現等の最終照合を要する。</x:v>
      </x:c>
      <x:c r="B21" s="137"/>
      <x:c r="C21" s="137"/>
      <x:c r="D21" s="137"/>
      <x:c r="E21" s="137"/>
      <x:c r="F21" s="137"/>
      <x:c r="G21" s="137"/>
      <x:c r="H21" s="137"/>
    </x:row>
    <x:row r="23">
      <x:c r="A23" s="130"/>
      <x:c r="B23" s="130"/>
      <x:c r="C23" s="130"/>
      <x:c r="D23" s="130"/>
      <x:c r="E23" s="130"/>
      <x:c r="F23" s="130"/>
      <x:c r="G23" s="130"/>
      <x:c r="H23" s="130"/>
    </x:row>
    <x:row r="24" ht="32" customHeight="1">
      <x:c r="A24" s="137"/>
      <x:c r="B24" s="137"/>
      <x:c r="C24" s="137"/>
      <x:c r="D24" s="137"/>
      <x:c r="E24" s="137"/>
      <x:c r="F24" s="137"/>
      <x:c r="G24" s="137"/>
      <x:c r="H24" s="137"/>
    </x:row>
    <x:row r="25" ht="32" customHeight="1">
      <x:c r="A25" s="137"/>
      <x:c r="B25" s="137"/>
      <x:c r="C25" s="137"/>
      <x:c r="D25" s="137"/>
      <x:c r="E25" s="137"/>
      <x:c r="F25" s="137"/>
      <x:c r="G25" s="137"/>
      <x:c r="H25" s="137"/>
    </x:row>
    <x:row r="26" ht="32" customHeight="1">
      <x:c r="A26" s="137"/>
      <x:c r="B26" s="137"/>
      <x:c r="C26" s="137"/>
      <x:c r="D26" s="137"/>
      <x:c r="E26" s="137"/>
      <x:c r="F26" s="137"/>
      <x:c r="G26" s="137"/>
      <x:c r="H26" s="137"/>
    </x:row>
    <x:row r="27" ht="32" customHeight="1">
      <x:c r="A27" s="137"/>
      <x:c r="B27" s="137"/>
      <x:c r="C27" s="137"/>
      <x:c r="D27" s="137"/>
      <x:c r="E27" s="137"/>
      <x:c r="F27" s="137"/>
      <x:c r="G27" s="137"/>
      <x:c r="H27" s="137"/>
    </x:row>
    <x:row r="29">
      <x:c r="A29" s="130" t="str">
        <x:v>主な参照資料</x:v>
      </x:c>
      <x:c r="B29" s="130"/>
      <x:c r="C29" s="130"/>
      <x:c r="D29" s="130"/>
      <x:c r="E29" s="130"/>
      <x:c r="F29" s="130"/>
      <x:c r="G29" s="130"/>
      <x:c r="H29" s="130"/>
    </x:row>
    <x:row r="30" ht="48" customHeight="1">
      <x:c r="A30" s="137" t="str">
        <x:v>• WSET公式 日本語版Specification（2017）: https://www.wsetglobal.com/media/4724/wset_l3wines_specification_jp_aug2017.pdf</x:v>
      </x:c>
      <x:c r="B30" s="137"/>
      <x:c r="C30" s="137"/>
      <x:c r="D30" s="137"/>
      <x:c r="E30" s="137"/>
      <x:c r="F30" s="137"/>
      <x:c r="G30" s="137"/>
      <x:c r="H30" s="137"/>
    </x:row>
    <x:row r="31" ht="48" customHeight="1">
      <x:c r="A31" s="137" t="str">
        <x:v>• WSET公式 英語版Specification Issue 2（2022）: https://www.wsetglobal.com/media/11731/wset_l3wines_specification_en_highres_may2022_issue2.pdf</x:v>
      </x:c>
      <x:c r="B31" s="137"/>
      <x:c r="C31" s="137"/>
      <x:c r="D31" s="137"/>
      <x:c r="E31" s="137"/>
      <x:c r="F31" s="137"/>
      <x:c r="G31" s="137"/>
      <x:c r="H31" s="137"/>
    </x:row>
    <x:row r="32" ht="32" customHeight="1">
      <x:c r="A32" s="137"/>
      <x:c r="B32" s="137"/>
      <x:c r="C32" s="137"/>
      <x:c r="D32" s="137"/>
      <x:c r="E32" s="137"/>
      <x:c r="F32" s="137"/>
      <x:c r="G32" s="137"/>
      <x:c r="H32" s="137"/>
    </x:row>
    <x:row r="33" ht="32" customHeight="1">
      <x:c r="A33" s="137"/>
      <x:c r="B33" s="137"/>
      <x:c r="C33" s="137"/>
      <x:c r="D33" s="137"/>
      <x:c r="E33" s="137"/>
      <x:c r="F33" s="137"/>
      <x:c r="G33" s="137"/>
      <x:c r="H33" s="137"/>
    </x:row>
    <x:row r="35">
      <x:c r="A35" s="202" t="str">
        <x:v>更新履歴</x:v>
      </x:c>
      <x:c r="B35" s="202"/>
      <x:c r="C35" s="202"/>
      <x:c r="D35" s="202"/>
      <x:c r="E35" s="202"/>
      <x:c r="F35" s="202"/>
      <x:c r="G35" s="202"/>
      <x:c r="H35" s="202"/>
    </x:row>
    <x:row r="36" ht="42" customHeight="1">
      <x:c r="A36" s="205" t="str">
        <x:v>• v2：オリジナル問題を200問追加。各LOを20問から60問へ拡張し、正答位置はA〜D各75問に均等化。</x:v>
      </x:c>
      <x:c r="B36" s="205"/>
      <x:c r="C36" s="205"/>
      <x:c r="D36" s="205"/>
      <x:c r="E36" s="205"/>
      <x:c r="F36" s="205"/>
      <x:c r="G36" s="205"/>
      <x:c r="H36" s="205"/>
    </x:row>
    <x:row r="37" ht="42" customHeight="1">
      <x:c r="A37" s="346" t="str">
        <x:v>• v3：オリジナル問題を300問追加。各LOを60問から120問へ拡張し、正答位置はA〜D各150問に均等化。</x:v>
      </x:c>
      <x:c r="B37" s="346"/>
      <x:c r="C37" s="346"/>
      <x:c r="D37" s="346"/>
      <x:c r="E37" s="346"/>
      <x:c r="F37" s="346"/>
      <x:c r="G37" s="346"/>
      <x:c r="H37" s="346"/>
    </x:row>
    <x:row r="38" ht="42" customHeight="1">
      <x:c r="A38" s="401" t="str">
        <x:v>• v4：オリジナル問題を300問追加。各LOを120問から180問へ拡張し、正答位置はA〜D各225問に均等化。</x:v>
      </x:c>
      <x:c r="B38" s="401"/>
      <x:c r="C38" s="401"/>
      <x:c r="D38" s="401"/>
      <x:c r="E38" s="401"/>
      <x:c r="F38" s="401"/>
      <x:c r="G38" s="401"/>
      <x:c r="H38" s="401"/>
    </x:row>
    <x:row r="39" ht="38" customHeight="1">
      <x:c r="A39" s="30" t="str">
        <x:v>• v5：全900問の誤答品質レビューを完了。荒唐無稽・カテゴリ逸脱・絶対語で見破れる誤答を、同一論点内の典型的誤概念へ改稿。</x:v>
      </x:c>
      <x:c r="B39" s="30"/>
      <x:c r="C39" s="30"/>
      <x:c r="D39" s="30"/>
      <x:c r="E39" s="30"/>
      <x:c r="F39" s="30"/>
      <x:c r="G39" s="30"/>
      <x:c r="H39" s="30"/>
    </x:row>
    <x:row r="40" ht="38" customHeight="1">
      <x:c r="A40" s="30" t="str">
        <x:v>• レビューは30問、60問、120問、240問、240問、210問の6バッチで実施し、正答位置A〜D各225問を維持。</x:v>
      </x:c>
      <x:c r="B40" s="30"/>
      <x:c r="C40" s="30"/>
      <x:c r="D40" s="30"/>
      <x:c r="E40" s="30"/>
      <x:c r="F40" s="30"/>
      <x:c r="G40" s="30"/>
      <x:c r="H40" s="30"/>
    </x:row>
    <x:row r="41" ht="38" customHeight="1">
      <x:c r="A41" s="30" t="str">
        <x:v>• 全900問をマスターへ統合。レビュー状態、AIレビュアー、レビュー日、レビューコメントを記録。</x:v>
      </x:c>
      <x:c r="B41" s="30"/>
      <x:c r="C41" s="30"/>
      <x:c r="D41" s="30"/>
      <x:c r="E41" s="30"/>
      <x:c r="F41" s="30"/>
      <x:c r="G41" s="30"/>
      <x:c r="H41" s="30"/>
    </x:row>
  </x:sheetData>
  <x:mergeCells>
    <x:mergeCell ref="A1:H1"/>
    <x:mergeCell ref="A3:H3"/>
    <x:mergeCell ref="A4:H4"/>
    <x:mergeCell ref="A5:H5"/>
    <x:mergeCell ref="A6:H6"/>
    <x:mergeCell ref="A8:H8"/>
    <x:mergeCell ref="A9:H9"/>
    <x:mergeCell ref="A10:H10"/>
    <x:mergeCell ref="A11:H11"/>
    <x:mergeCell ref="A12:H12"/>
    <x:mergeCell ref="A14:H14"/>
    <x:mergeCell ref="A15:H15"/>
    <x:mergeCell ref="A16:H16"/>
    <x:mergeCell ref="A17:H17"/>
    <x:mergeCell ref="A19:H19"/>
    <x:mergeCell ref="A20:H20"/>
    <x:mergeCell ref="A21:H21"/>
    <x:mergeCell ref="A23:H23"/>
    <x:mergeCell ref="A24:H24"/>
    <x:mergeCell ref="A25:H25"/>
    <x:mergeCell ref="A26:H26"/>
    <x:mergeCell ref="A27:H27"/>
    <x:mergeCell ref="A29:H29"/>
    <x:mergeCell ref="A30:H30"/>
    <x:mergeCell ref="A31:H31"/>
    <x:mergeCell ref="A32:H32"/>
    <x:mergeCell ref="A33:H33"/>
    <x:mergeCell ref="A35:H35"/>
    <x:mergeCell ref="A36:H36"/>
    <x:mergeCell ref="A37:H37"/>
    <x:mergeCell ref="A38:H38"/>
    <x:mergeCell ref="A39:H39"/>
    <x:mergeCell ref="A40:H40"/>
    <x:mergeCell ref="A41:H41"/>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7" hidden="0" customWidth="1"/>
    <x:col min="3" max="3" width="17" hidden="0" customWidth="1"/>
    <x:col min="4" max="4" width="17" hidden="0" customWidth="1"/>
    <x:col min="5" max="5" width="12" hidden="0" customWidth="1"/>
    <x:col min="6" max="6" width="18" hidden="0" customWidth="1"/>
    <x:col min="7" max="7" width="13" hidden="0" customWidth="1"/>
    <x:col min="8" max="8" width="13" hidden="0" customWidth="1"/>
    <x:col min="9" max="9" width="13" hidden="0" customWidth="1"/>
  </x:cols>
  <x:sheetData>
    <x:row r="1" ht="34" customHeight="1">
      <x:c r="A1" s="422" t="str">
        <x:v>WSET Level 3 — 900問 誤答品質レビュー概要</x:v>
      </x:c>
      <x:c r="B1" s="422"/>
      <x:c r="C1" s="422"/>
      <x:c r="D1" s="422"/>
      <x:c r="E1" s="422"/>
      <x:c r="F1" s="422"/>
      <x:c r="G1" s="422"/>
      <x:c r="H1" s="422"/>
    </x:row>
    <x:row r="3">
      <x:c r="A3" s="427" t="str">
        <x:v>総問題数</x:v>
      </x:c>
      <x:c r="B3" s="427" t="str">
        <x:v>誤答レビュー済み</x:v>
      </x:c>
      <x:c r="C3" s="427" t="str">
        <x:v>要専門確認</x:v>
      </x:c>
      <x:c r="D3" s="427" t="str">
        <x:v>専門家承認済み</x:v>
      </x:c>
      <x:c r="E3" s="427" t="str">
        <x:v>正答A</x:v>
      </x:c>
      <x:c r="F3" s="427" t="str">
        <x:v>正答B</x:v>
      </x:c>
      <x:c r="G3" s="427" t="str">
        <x:v>正答C</x:v>
      </x:c>
      <x:c r="H3" s="427" t="str">
        <x:v>正答D</x:v>
      </x:c>
    </x:row>
    <x:row r="4" ht="28" customHeight="1">
      <x:c r="A4" s="438" t="n">
        <x:f>COUNTA(ReviewData!A2:A901)</x:f>
        <x:v>900</x:v>
      </x:c>
      <x:c r="B4" s="439" t="n">
        <x:f>COUNTIF(ReviewData!D2:D901,"改稿済み・専門家未承認")</x:f>
        <x:v>900</x:v>
      </x:c>
      <x:c r="C4" s="439" t="n">
        <x:f>COUNTIF(ReviewData!E2:E901,"Y")</x:f>
        <x:v>80</x:v>
      </x:c>
      <x:c r="D4" s="439" t="n">
        <x:f>COUNTIF(ReviewData!D2:D901,"承認")</x:f>
        <x:v>0</x:v>
      </x:c>
      <x:c r="E4" s="439" t="n">
        <x:f>COUNTIF(ReviewData!C2:C901,"A")</x:f>
        <x:v>225</x:v>
      </x:c>
      <x:c r="F4" s="439" t="n">
        <x:f>COUNTIF(ReviewData!C2:C901,"B")</x:f>
        <x:v>225</x:v>
      </x:c>
      <x:c r="G4" s="439" t="n">
        <x:f>COUNTIF(ReviewData!C2:C901,"C")</x:f>
        <x:v>225</x:v>
      </x:c>
      <x:c r="H4" s="440" t="n">
        <x:f>COUNTIF(ReviewData!C2:C901,"D")</x:f>
        <x:v>225</x:v>
      </x:c>
    </x:row>
    <x:row r="7">
      <x:c r="A7" s="441" t="str">
        <x:v>LO</x:v>
      </x:c>
      <x:c r="B7" s="441" t="str">
        <x:v>問題数</x:v>
      </x:c>
      <x:c r="C7" s="441" t="str">
        <x:v>レビュー済み</x:v>
      </x:c>
      <x:c r="D7" s="441" t="str">
        <x:v>要専門確認</x:v>
      </x:c>
      <x:c r="F7" s="441" t="str">
        <x:v>バッチ</x:v>
      </x:c>
      <x:c r="G7" s="441" t="str">
        <x:v>問題数</x:v>
      </x:c>
      <x:c r="H7" s="441" t="str">
        <x:v>累計</x:v>
      </x:c>
      <x:c r="I7" s="441" t="str">
        <x:v>残り</x:v>
      </x:c>
    </x:row>
    <x:row r="8">
      <x:c r="A8" s="442" t="str">
        <x:v>LO1</x:v>
      </x:c>
      <x:c r="B8" s="450" t="n">
        <x:f>COUNTIF(ReviewData!B2:B901,A8)</x:f>
        <x:v>180</x:v>
      </x:c>
      <x:c r="C8" s="450" t="n">
        <x:f>COUNTIFS(ReviewData!B2:B901,A8,ReviewData!D2:D901,"改稿済み・専門家未承認")</x:f>
        <x:v>180</x:v>
      </x:c>
      <x:c r="D8" s="451" t="n">
        <x:f>COUNTIFS(ReviewData!B2:B901,A8,ReviewData!E2:E901,"Y")</x:f>
        <x:v>6</x:v>
      </x:c>
      <x:c r="F8" s="442" t="str">
        <x:v>パイロット</x:v>
      </x:c>
      <x:c r="G8" s="450" t="n">
        <x:v>30</x:v>
      </x:c>
      <x:c r="H8" s="450" t="n">
        <x:v>30</x:v>
      </x:c>
      <x:c r="I8" s="451" t="n">
        <x:v>870</x:v>
      </x:c>
    </x:row>
    <x:row r="9">
      <x:c r="A9" s="445" t="str">
        <x:v>LO2</x:v>
      </x:c>
      <x:c r="B9" s="452" t="n">
        <x:f>COUNTIF(ReviewData!B2:B901,A9)</x:f>
        <x:v>180</x:v>
      </x:c>
      <x:c r="C9" s="452" t="n">
        <x:f>COUNTIFS(ReviewData!B2:B901,A9,ReviewData!D2:D901,"改稿済み・専門家未承認")</x:f>
        <x:v>180</x:v>
      </x:c>
      <x:c r="D9" s="453" t="n">
        <x:f>COUNTIFS(ReviewData!B2:B901,A9,ReviewData!E2:E901,"Y")</x:f>
        <x:v>3</x:v>
      </x:c>
      <x:c r="F9" s="445" t="str">
        <x:v>第2バッチ</x:v>
      </x:c>
      <x:c r="G9" s="452" t="n">
        <x:v>60</x:v>
      </x:c>
      <x:c r="H9" s="452" t="n">
        <x:v>90</x:v>
      </x:c>
      <x:c r="I9" s="453" t="n">
        <x:v>810</x:v>
      </x:c>
    </x:row>
    <x:row r="10">
      <x:c r="A10" s="445" t="str">
        <x:v>LO3</x:v>
      </x:c>
      <x:c r="B10" s="452" t="n">
        <x:f>COUNTIF(ReviewData!B2:B901,A10)</x:f>
        <x:v>180</x:v>
      </x:c>
      <x:c r="C10" s="452" t="n">
        <x:f>COUNTIFS(ReviewData!B2:B901,A10,ReviewData!D2:D901,"改稿済み・専門家未承認")</x:f>
        <x:v>180</x:v>
      </x:c>
      <x:c r="D10" s="453" t="n">
        <x:f>COUNTIFS(ReviewData!B2:B901,A10,ReviewData!E2:E901,"Y")</x:f>
        <x:v>20</x:v>
      </x:c>
      <x:c r="F10" s="445" t="str">
        <x:v>第3バッチ</x:v>
      </x:c>
      <x:c r="G10" s="452" t="n">
        <x:v>120</x:v>
      </x:c>
      <x:c r="H10" s="452" t="n">
        <x:v>210</x:v>
      </x:c>
      <x:c r="I10" s="453" t="n">
        <x:v>690</x:v>
      </x:c>
    </x:row>
    <x:row r="11">
      <x:c r="A11" s="445" t="str">
        <x:v>LO4</x:v>
      </x:c>
      <x:c r="B11" s="452" t="n">
        <x:f>COUNTIF(ReviewData!B2:B901,A11)</x:f>
        <x:v>180</x:v>
      </x:c>
      <x:c r="C11" s="452" t="n">
        <x:f>COUNTIFS(ReviewData!B2:B901,A11,ReviewData!D2:D901,"改稿済み・専門家未承認")</x:f>
        <x:v>180</x:v>
      </x:c>
      <x:c r="D11" s="453" t="n">
        <x:f>COUNTIFS(ReviewData!B2:B901,A11,ReviewData!E2:E901,"Y")</x:f>
        <x:v>33</x:v>
      </x:c>
      <x:c r="F11" s="445" t="str">
        <x:v>第4バッチ</x:v>
      </x:c>
      <x:c r="G11" s="452" t="n">
        <x:v>240</x:v>
      </x:c>
      <x:c r="H11" s="452" t="n">
        <x:v>450</x:v>
      </x:c>
      <x:c r="I11" s="453" t="n">
        <x:v>450</x:v>
      </x:c>
    </x:row>
    <x:row r="12">
      <x:c r="A12" s="447" t="str">
        <x:v>LO5</x:v>
      </x:c>
      <x:c r="B12" s="454" t="n">
        <x:f>COUNTIF(ReviewData!B2:B901,A12)</x:f>
        <x:v>180</x:v>
      </x:c>
      <x:c r="C12" s="454" t="n">
        <x:f>COUNTIFS(ReviewData!B2:B901,A12,ReviewData!D2:D901,"改稿済み・専門家未承認")</x:f>
        <x:v>180</x:v>
      </x:c>
      <x:c r="D12" s="455" t="n">
        <x:f>COUNTIFS(ReviewData!B2:B901,A12,ReviewData!E2:E901,"Y")</x:f>
        <x:v>18</x:v>
      </x:c>
      <x:c r="F12" s="445" t="str">
        <x:v>第5バッチ</x:v>
      </x:c>
      <x:c r="G12" s="452" t="n">
        <x:v>240</x:v>
      </x:c>
      <x:c r="H12" s="452" t="n">
        <x:v>690</x:v>
      </x:c>
      <x:c r="I12" s="453" t="n">
        <x:v>210</x:v>
      </x:c>
    </x:row>
    <x:row r="13">
      <x:c r="F13" s="447" t="str">
        <x:v>最終バッチ</x:v>
      </x:c>
      <x:c r="G13" s="454" t="n">
        <x:v>210</x:v>
      </x:c>
      <x:c r="H13" s="454" t="n">
        <x:v>900</x:v>
      </x:c>
      <x:c r="I13" s="455" t="n">
        <x:v>0</x:v>
      </x:c>
    </x:row>
    <x:row r="16">
      <x:c r="A16" s="457" t="str">
        <x:v>レビュー完了後の扱い</x:v>
      </x:c>
      <x:c r="B16" s="457"/>
      <x:c r="C16" s="457"/>
      <x:c r="D16" s="457"/>
      <x:c r="E16" s="457"/>
      <x:c r="F16" s="457"/>
      <x:c r="G16" s="457"/>
      <x:c r="H16" s="457"/>
      <x:c r="I16" s="457"/>
    </x:row>
    <x:row r="17">
      <x:c r="A17" s="477" t="str">
        <x:v>全900問について、正答以外の選択肢が同一論点内にあり、知識のない受験者にはもっともらしく、理解した受験者には明確に誤りと説明できることを基準にレビューしました。
「改稿済み・専門家未承認」は問題設計上のレビュー完了を示します。要レビュー=Yの問題は、法律・表示・健康・官能表現・専門技術を最新教材や専門家と最終照合してください。</x:v>
      </x:c>
      <x:c r="B17" s="478"/>
      <x:c r="C17" s="478"/>
      <x:c r="D17" s="478"/>
      <x:c r="E17" s="478"/>
      <x:c r="F17" s="478"/>
      <x:c r="G17" s="478"/>
      <x:c r="H17" s="478"/>
      <x:c r="I17" s="479"/>
    </x:row>
    <x:row r="18">
      <x:c r="A18" s="480"/>
      <x:c r="B18" s="481"/>
      <x:c r="C18" s="481"/>
      <x:c r="D18" s="481"/>
      <x:c r="E18" s="481"/>
      <x:c r="F18" s="481"/>
      <x:c r="G18" s="481"/>
      <x:c r="H18" s="481"/>
      <x:c r="I18" s="482"/>
    </x:row>
    <x:row r="19">
      <x:c r="A19" s="480"/>
      <x:c r="B19" s="481"/>
      <x:c r="C19" s="481"/>
      <x:c r="D19" s="481"/>
      <x:c r="E19" s="481"/>
      <x:c r="F19" s="481"/>
      <x:c r="G19" s="481"/>
      <x:c r="H19" s="481"/>
      <x:c r="I19" s="482"/>
    </x:row>
    <x:row r="20">
      <x:c r="A20" s="480"/>
      <x:c r="B20" s="481"/>
      <x:c r="C20" s="481"/>
      <x:c r="D20" s="481"/>
      <x:c r="E20" s="481"/>
      <x:c r="F20" s="481"/>
      <x:c r="G20" s="481"/>
      <x:c r="H20" s="481"/>
      <x:c r="I20" s="482"/>
    </x:row>
    <x:row r="21">
      <x:c r="A21" s="480"/>
      <x:c r="B21" s="481"/>
      <x:c r="C21" s="481"/>
      <x:c r="D21" s="481"/>
      <x:c r="E21" s="481"/>
      <x:c r="F21" s="481"/>
      <x:c r="G21" s="481"/>
      <x:c r="H21" s="481"/>
      <x:c r="I21" s="482"/>
    </x:row>
    <x:row r="22">
      <x:c r="A22" s="483"/>
      <x:c r="B22" s="484"/>
      <x:c r="C22" s="484"/>
      <x:c r="D22" s="484"/>
      <x:c r="E22" s="484"/>
      <x:c r="F22" s="484"/>
      <x:c r="G22" s="484"/>
      <x:c r="H22" s="484"/>
      <x:c r="I22" s="485"/>
    </x:row>
  </x:sheetData>
  <x:mergeCells>
    <x:mergeCell ref="A1:H1"/>
    <x:mergeCell ref="A16:I16"/>
    <x:mergeCell ref="A17:I22"/>
  </x:mergeCells>
  <x:pageMargins left="0.7" right="0.7" top="0.75" bottom="0.75" header="0.3" footer="0.3"/>
  <x:drawing xmlns:r="http://schemas.openxmlformats.org/officeDocument/2006/relationships" r:id="Re2a34755a1a44ef4"/>
</x:worksheet>
</file>

<file path=xl/worksheets/sheet7.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24" hidden="0" customWidth="1"/>
    <x:col min="5" max="5" width="24" hidden="0" customWidth="1"/>
  </x:cols>
  <x:sheetData>
    <x:row r="1">
      <x:c r="A1" s="494" t="str">
        <x:v>QuestionID</x:v>
      </x:c>
      <x:c r="B1" s="494" t="str">
        <x:v>LO</x:v>
      </x:c>
      <x:c r="C1" s="494" t="str">
        <x:v>Correct</x:v>
      </x:c>
      <x:c r="D1" s="494" t="str">
        <x:v>ReviewStatus</x:v>
      </x:c>
      <x:c r="E1" s="494" t="str">
        <x:v>ExpertFlag</x:v>
      </x:c>
    </x:row>
    <x:row r="2">
      <x:c r="A2" t="str">
        <x:v>LO1-001</x:v>
      </x:c>
      <x:c r="B2" t="str">
        <x:v>LO1</x:v>
      </x:c>
      <x:c r="C2" t="str">
        <x:v>A</x:v>
      </x:c>
      <x:c r="D2" t="str">
        <x:v>改稿済み・専門家未承認</x:v>
      </x:c>
      <x:c r="E2" t="str">
        <x:v>N</x:v>
      </x:c>
    </x:row>
    <x:row r="3">
      <x:c r="A3" t="str">
        <x:v>LO1-002</x:v>
      </x:c>
      <x:c r="B3" t="str">
        <x:v>LO1</x:v>
      </x:c>
      <x:c r="C3" t="str">
        <x:v>B</x:v>
      </x:c>
      <x:c r="D3" t="str">
        <x:v>改稿済み・専門家未承認</x:v>
      </x:c>
      <x:c r="E3" t="str">
        <x:v>N</x:v>
      </x:c>
    </x:row>
    <x:row r="4">
      <x:c r="A4" t="str">
        <x:v>LO1-003</x:v>
      </x:c>
      <x:c r="B4" t="str">
        <x:v>LO1</x:v>
      </x:c>
      <x:c r="C4" t="str">
        <x:v>C</x:v>
      </x:c>
      <x:c r="D4" t="str">
        <x:v>改稿済み・専門家未承認</x:v>
      </x:c>
      <x:c r="E4" t="str">
        <x:v>N</x:v>
      </x:c>
    </x:row>
    <x:row r="5">
      <x:c r="A5" t="str">
        <x:v>LO1-004</x:v>
      </x:c>
      <x:c r="B5" t="str">
        <x:v>LO1</x:v>
      </x:c>
      <x:c r="C5" t="str">
        <x:v>D</x:v>
      </x:c>
      <x:c r="D5" t="str">
        <x:v>改稿済み・専門家未承認</x:v>
      </x:c>
      <x:c r="E5" t="str">
        <x:v>N</x:v>
      </x:c>
    </x:row>
    <x:row r="6">
      <x:c r="A6" t="str">
        <x:v>LO1-005</x:v>
      </x:c>
      <x:c r="B6" t="str">
        <x:v>LO1</x:v>
      </x:c>
      <x:c r="C6" t="str">
        <x:v>A</x:v>
      </x:c>
      <x:c r="D6" t="str">
        <x:v>改稿済み・専門家未承認</x:v>
      </x:c>
      <x:c r="E6" t="str">
        <x:v>N</x:v>
      </x:c>
    </x:row>
    <x:row r="7">
      <x:c r="A7" t="str">
        <x:v>LO1-006</x:v>
      </x:c>
      <x:c r="B7" t="str">
        <x:v>LO1</x:v>
      </x:c>
      <x:c r="C7" t="str">
        <x:v>B</x:v>
      </x:c>
      <x:c r="D7" t="str">
        <x:v>改稿済み・専門家未承認</x:v>
      </x:c>
      <x:c r="E7" t="str">
        <x:v>N</x:v>
      </x:c>
    </x:row>
    <x:row r="8">
      <x:c r="A8" t="str">
        <x:v>LO1-007</x:v>
      </x:c>
      <x:c r="B8" t="str">
        <x:v>LO1</x:v>
      </x:c>
      <x:c r="C8" t="str">
        <x:v>C</x:v>
      </x:c>
      <x:c r="D8" t="str">
        <x:v>改稿済み・専門家未承認</x:v>
      </x:c>
      <x:c r="E8" t="str">
        <x:v>N</x:v>
      </x:c>
    </x:row>
    <x:row r="9">
      <x:c r="A9" t="str">
        <x:v>LO1-008</x:v>
      </x:c>
      <x:c r="B9" t="str">
        <x:v>LO1</x:v>
      </x:c>
      <x:c r="C9" t="str">
        <x:v>D</x:v>
      </x:c>
      <x:c r="D9" t="str">
        <x:v>改稿済み・専門家未承認</x:v>
      </x:c>
      <x:c r="E9" t="str">
        <x:v>N</x:v>
      </x:c>
    </x:row>
    <x:row r="10">
      <x:c r="A10" t="str">
        <x:v>LO1-009</x:v>
      </x:c>
      <x:c r="B10" t="str">
        <x:v>LO1</x:v>
      </x:c>
      <x:c r="C10" t="str">
        <x:v>A</x:v>
      </x:c>
      <x:c r="D10" t="str">
        <x:v>改稿済み・専門家未承認</x:v>
      </x:c>
      <x:c r="E10" t="str">
        <x:v>N</x:v>
      </x:c>
    </x:row>
    <x:row r="11">
      <x:c r="A11" t="str">
        <x:v>LO1-010</x:v>
      </x:c>
      <x:c r="B11" t="str">
        <x:v>LO1</x:v>
      </x:c>
      <x:c r="C11" t="str">
        <x:v>B</x:v>
      </x:c>
      <x:c r="D11" t="str">
        <x:v>改稿済み・専門家未承認</x:v>
      </x:c>
      <x:c r="E11" t="str">
        <x:v>N</x:v>
      </x:c>
    </x:row>
    <x:row r="12">
      <x:c r="A12" t="str">
        <x:v>LO1-011</x:v>
      </x:c>
      <x:c r="B12" t="str">
        <x:v>LO1</x:v>
      </x:c>
      <x:c r="C12" t="str">
        <x:v>C</x:v>
      </x:c>
      <x:c r="D12" t="str">
        <x:v>改稿済み・専門家未承認</x:v>
      </x:c>
      <x:c r="E12" t="str">
        <x:v>N</x:v>
      </x:c>
    </x:row>
    <x:row r="13">
      <x:c r="A13" t="str">
        <x:v>LO1-012</x:v>
      </x:c>
      <x:c r="B13" t="str">
        <x:v>LO1</x:v>
      </x:c>
      <x:c r="C13" t="str">
        <x:v>D</x:v>
      </x:c>
      <x:c r="D13" t="str">
        <x:v>改稿済み・専門家未承認</x:v>
      </x:c>
      <x:c r="E13" t="str">
        <x:v>N</x:v>
      </x:c>
    </x:row>
    <x:row r="14">
      <x:c r="A14" t="str">
        <x:v>LO1-013</x:v>
      </x:c>
      <x:c r="B14" t="str">
        <x:v>LO1</x:v>
      </x:c>
      <x:c r="C14" t="str">
        <x:v>A</x:v>
      </x:c>
      <x:c r="D14" t="str">
        <x:v>改稿済み・専門家未承認</x:v>
      </x:c>
      <x:c r="E14" t="str">
        <x:v>N</x:v>
      </x:c>
    </x:row>
    <x:row r="15">
      <x:c r="A15" t="str">
        <x:v>LO1-014</x:v>
      </x:c>
      <x:c r="B15" t="str">
        <x:v>LO1</x:v>
      </x:c>
      <x:c r="C15" t="str">
        <x:v>B</x:v>
      </x:c>
      <x:c r="D15" t="str">
        <x:v>改稿済み・専門家未承認</x:v>
      </x:c>
      <x:c r="E15" t="str">
        <x:v>N</x:v>
      </x:c>
    </x:row>
    <x:row r="16">
      <x:c r="A16" t="str">
        <x:v>LO1-015</x:v>
      </x:c>
      <x:c r="B16" t="str">
        <x:v>LO1</x:v>
      </x:c>
      <x:c r="C16" t="str">
        <x:v>C</x:v>
      </x:c>
      <x:c r="D16" t="str">
        <x:v>改稿済み・専門家未承認</x:v>
      </x:c>
      <x:c r="E16" t="str">
        <x:v>N</x:v>
      </x:c>
    </x:row>
    <x:row r="17">
      <x:c r="A17" t="str">
        <x:v>LO1-016</x:v>
      </x:c>
      <x:c r="B17" t="str">
        <x:v>LO1</x:v>
      </x:c>
      <x:c r="C17" t="str">
        <x:v>D</x:v>
      </x:c>
      <x:c r="D17" t="str">
        <x:v>改稿済み・専門家未承認</x:v>
      </x:c>
      <x:c r="E17" t="str">
        <x:v>N</x:v>
      </x:c>
    </x:row>
    <x:row r="18">
      <x:c r="A18" t="str">
        <x:v>LO1-017</x:v>
      </x:c>
      <x:c r="B18" t="str">
        <x:v>LO1</x:v>
      </x:c>
      <x:c r="C18" t="str">
        <x:v>A</x:v>
      </x:c>
      <x:c r="D18" t="str">
        <x:v>改稿済み・専門家未承認</x:v>
      </x:c>
      <x:c r="E18" t="str">
        <x:v>N</x:v>
      </x:c>
    </x:row>
    <x:row r="19">
      <x:c r="A19" t="str">
        <x:v>LO1-018</x:v>
      </x:c>
      <x:c r="B19" t="str">
        <x:v>LO1</x:v>
      </x:c>
      <x:c r="C19" t="str">
        <x:v>B</x:v>
      </x:c>
      <x:c r="D19" t="str">
        <x:v>改稿済み・専門家未承認</x:v>
      </x:c>
      <x:c r="E19" t="str">
        <x:v>N</x:v>
      </x:c>
    </x:row>
    <x:row r="20">
      <x:c r="A20" t="str">
        <x:v>LO1-019</x:v>
      </x:c>
      <x:c r="B20" t="str">
        <x:v>LO1</x:v>
      </x:c>
      <x:c r="C20" t="str">
        <x:v>C</x:v>
      </x:c>
      <x:c r="D20" t="str">
        <x:v>改稿済み・専門家未承認</x:v>
      </x:c>
      <x:c r="E20" t="str">
        <x:v>N</x:v>
      </x:c>
    </x:row>
    <x:row r="21">
      <x:c r="A21" t="str">
        <x:v>LO1-020</x:v>
      </x:c>
      <x:c r="B21" t="str">
        <x:v>LO1</x:v>
      </x:c>
      <x:c r="C21" t="str">
        <x:v>D</x:v>
      </x:c>
      <x:c r="D21" t="str">
        <x:v>改稿済み・専門家未承認</x:v>
      </x:c>
      <x:c r="E21" t="str">
        <x:v>N</x:v>
      </x:c>
    </x:row>
    <x:row r="22">
      <x:c r="A22" t="str">
        <x:v>LO2-001</x:v>
      </x:c>
      <x:c r="B22" t="str">
        <x:v>LO2</x:v>
      </x:c>
      <x:c r="C22" t="str">
        <x:v>A</x:v>
      </x:c>
      <x:c r="D22" t="str">
        <x:v>改稿済み・専門家未承認</x:v>
      </x:c>
      <x:c r="E22" t="str">
        <x:v>N</x:v>
      </x:c>
    </x:row>
    <x:row r="23">
      <x:c r="A23" t="str">
        <x:v>LO2-002</x:v>
      </x:c>
      <x:c r="B23" t="str">
        <x:v>LO2</x:v>
      </x:c>
      <x:c r="C23" t="str">
        <x:v>B</x:v>
      </x:c>
      <x:c r="D23" t="str">
        <x:v>改稿済み・専門家未承認</x:v>
      </x:c>
      <x:c r="E23" t="str">
        <x:v>N</x:v>
      </x:c>
    </x:row>
    <x:row r="24">
      <x:c r="A24" t="str">
        <x:v>LO2-003</x:v>
      </x:c>
      <x:c r="B24" t="str">
        <x:v>LO2</x:v>
      </x:c>
      <x:c r="C24" t="str">
        <x:v>C</x:v>
      </x:c>
      <x:c r="D24" t="str">
        <x:v>改稿済み・専門家未承認</x:v>
      </x:c>
      <x:c r="E24" t="str">
        <x:v>N</x:v>
      </x:c>
    </x:row>
    <x:row r="25">
      <x:c r="A25" t="str">
        <x:v>LO2-004</x:v>
      </x:c>
      <x:c r="B25" t="str">
        <x:v>LO2</x:v>
      </x:c>
      <x:c r="C25" t="str">
        <x:v>D</x:v>
      </x:c>
      <x:c r="D25" t="str">
        <x:v>改稿済み・専門家未承認</x:v>
      </x:c>
      <x:c r="E25" t="str">
        <x:v>N</x:v>
      </x:c>
    </x:row>
    <x:row r="26">
      <x:c r="A26" t="str">
        <x:v>LO2-005</x:v>
      </x:c>
      <x:c r="B26" t="str">
        <x:v>LO2</x:v>
      </x:c>
      <x:c r="C26" t="str">
        <x:v>A</x:v>
      </x:c>
      <x:c r="D26" t="str">
        <x:v>改稿済み・専門家未承認</x:v>
      </x:c>
      <x:c r="E26" t="str">
        <x:v>N</x:v>
      </x:c>
    </x:row>
    <x:row r="27">
      <x:c r="A27" t="str">
        <x:v>LO2-006</x:v>
      </x:c>
      <x:c r="B27" t="str">
        <x:v>LO2</x:v>
      </x:c>
      <x:c r="C27" t="str">
        <x:v>B</x:v>
      </x:c>
      <x:c r="D27" t="str">
        <x:v>改稿済み・専門家未承認</x:v>
      </x:c>
      <x:c r="E27" t="str">
        <x:v>N</x:v>
      </x:c>
    </x:row>
    <x:row r="28">
      <x:c r="A28" t="str">
        <x:v>LO2-007</x:v>
      </x:c>
      <x:c r="B28" t="str">
        <x:v>LO2</x:v>
      </x:c>
      <x:c r="C28" t="str">
        <x:v>C</x:v>
      </x:c>
      <x:c r="D28" t="str">
        <x:v>改稿済み・専門家未承認</x:v>
      </x:c>
      <x:c r="E28" t="str">
        <x:v>N</x:v>
      </x:c>
    </x:row>
    <x:row r="29">
      <x:c r="A29" t="str">
        <x:v>LO2-008</x:v>
      </x:c>
      <x:c r="B29" t="str">
        <x:v>LO2</x:v>
      </x:c>
      <x:c r="C29" t="str">
        <x:v>D</x:v>
      </x:c>
      <x:c r="D29" t="str">
        <x:v>改稿済み・専門家未承認</x:v>
      </x:c>
      <x:c r="E29" t="str">
        <x:v>N</x:v>
      </x:c>
    </x:row>
    <x:row r="30">
      <x:c r="A30" t="str">
        <x:v>LO2-009</x:v>
      </x:c>
      <x:c r="B30" t="str">
        <x:v>LO2</x:v>
      </x:c>
      <x:c r="C30" t="str">
        <x:v>A</x:v>
      </x:c>
      <x:c r="D30" t="str">
        <x:v>改稿済み・専門家未承認</x:v>
      </x:c>
      <x:c r="E30" t="str">
        <x:v>N</x:v>
      </x:c>
    </x:row>
    <x:row r="31">
      <x:c r="A31" t="str">
        <x:v>LO2-010</x:v>
      </x:c>
      <x:c r="B31" t="str">
        <x:v>LO2</x:v>
      </x:c>
      <x:c r="C31" t="str">
        <x:v>B</x:v>
      </x:c>
      <x:c r="D31" t="str">
        <x:v>改稿済み・専門家未承認</x:v>
      </x:c>
      <x:c r="E31" t="str">
        <x:v>N</x:v>
      </x:c>
    </x:row>
    <x:row r="32">
      <x:c r="A32" t="str">
        <x:v>LO2-011</x:v>
      </x:c>
      <x:c r="B32" t="str">
        <x:v>LO2</x:v>
      </x:c>
      <x:c r="C32" t="str">
        <x:v>C</x:v>
      </x:c>
      <x:c r="D32" t="str">
        <x:v>改稿済み・専門家未承認</x:v>
      </x:c>
      <x:c r="E32" t="str">
        <x:v>N</x:v>
      </x:c>
    </x:row>
    <x:row r="33">
      <x:c r="A33" t="str">
        <x:v>LO2-012</x:v>
      </x:c>
      <x:c r="B33" t="str">
        <x:v>LO2</x:v>
      </x:c>
      <x:c r="C33" t="str">
        <x:v>D</x:v>
      </x:c>
      <x:c r="D33" t="str">
        <x:v>改稿済み・専門家未承認</x:v>
      </x:c>
      <x:c r="E33" t="str">
        <x:v>N</x:v>
      </x:c>
    </x:row>
    <x:row r="34">
      <x:c r="A34" t="str">
        <x:v>LO2-013</x:v>
      </x:c>
      <x:c r="B34" t="str">
        <x:v>LO2</x:v>
      </x:c>
      <x:c r="C34" t="str">
        <x:v>A</x:v>
      </x:c>
      <x:c r="D34" t="str">
        <x:v>改稿済み・専門家未承認</x:v>
      </x:c>
      <x:c r="E34" t="str">
        <x:v>N</x:v>
      </x:c>
    </x:row>
    <x:row r="35">
      <x:c r="A35" t="str">
        <x:v>LO2-014</x:v>
      </x:c>
      <x:c r="B35" t="str">
        <x:v>LO2</x:v>
      </x:c>
      <x:c r="C35" t="str">
        <x:v>B</x:v>
      </x:c>
      <x:c r="D35" t="str">
        <x:v>改稿済み・専門家未承認</x:v>
      </x:c>
      <x:c r="E35" t="str">
        <x:v>N</x:v>
      </x:c>
    </x:row>
    <x:row r="36">
      <x:c r="A36" t="str">
        <x:v>LO2-015</x:v>
      </x:c>
      <x:c r="B36" t="str">
        <x:v>LO2</x:v>
      </x:c>
      <x:c r="C36" t="str">
        <x:v>C</x:v>
      </x:c>
      <x:c r="D36" t="str">
        <x:v>改稿済み・専門家未承認</x:v>
      </x:c>
      <x:c r="E36" t="str">
        <x:v>N</x:v>
      </x:c>
    </x:row>
    <x:row r="37">
      <x:c r="A37" t="str">
        <x:v>LO2-016</x:v>
      </x:c>
      <x:c r="B37" t="str">
        <x:v>LO2</x:v>
      </x:c>
      <x:c r="C37" t="str">
        <x:v>D</x:v>
      </x:c>
      <x:c r="D37" t="str">
        <x:v>改稿済み・専門家未承認</x:v>
      </x:c>
      <x:c r="E37" t="str">
        <x:v>N</x:v>
      </x:c>
    </x:row>
    <x:row r="38">
      <x:c r="A38" t="str">
        <x:v>LO2-017</x:v>
      </x:c>
      <x:c r="B38" t="str">
        <x:v>LO2</x:v>
      </x:c>
      <x:c r="C38" t="str">
        <x:v>A</x:v>
      </x:c>
      <x:c r="D38" t="str">
        <x:v>改稿済み・専門家未承認</x:v>
      </x:c>
      <x:c r="E38" t="str">
        <x:v>N</x:v>
      </x:c>
    </x:row>
    <x:row r="39">
      <x:c r="A39" t="str">
        <x:v>LO2-018</x:v>
      </x:c>
      <x:c r="B39" t="str">
        <x:v>LO2</x:v>
      </x:c>
      <x:c r="C39" t="str">
        <x:v>B</x:v>
      </x:c>
      <x:c r="D39" t="str">
        <x:v>改稿済み・専門家未承認</x:v>
      </x:c>
      <x:c r="E39" t="str">
        <x:v>N</x:v>
      </x:c>
    </x:row>
    <x:row r="40">
      <x:c r="A40" t="str">
        <x:v>LO2-019</x:v>
      </x:c>
      <x:c r="B40" t="str">
        <x:v>LO2</x:v>
      </x:c>
      <x:c r="C40" t="str">
        <x:v>C</x:v>
      </x:c>
      <x:c r="D40" t="str">
        <x:v>改稿済み・専門家未承認</x:v>
      </x:c>
      <x:c r="E40" t="str">
        <x:v>N</x:v>
      </x:c>
    </x:row>
    <x:row r="41">
      <x:c r="A41" t="str">
        <x:v>LO2-020</x:v>
      </x:c>
      <x:c r="B41" t="str">
        <x:v>LO2</x:v>
      </x:c>
      <x:c r="C41" t="str">
        <x:v>D</x:v>
      </x:c>
      <x:c r="D41" t="str">
        <x:v>改稿済み・専門家未承認</x:v>
      </x:c>
      <x:c r="E41" t="str">
        <x:v>N</x:v>
      </x:c>
    </x:row>
    <x:row r="42">
      <x:c r="A42" t="str">
        <x:v>LO3-001</x:v>
      </x:c>
      <x:c r="B42" t="str">
        <x:v>LO3</x:v>
      </x:c>
      <x:c r="C42" t="str">
        <x:v>A</x:v>
      </x:c>
      <x:c r="D42" t="str">
        <x:v>改稿済み・専門家未承認</x:v>
      </x:c>
      <x:c r="E42" t="str">
        <x:v>N</x:v>
      </x:c>
    </x:row>
    <x:row r="43">
      <x:c r="A43" t="str">
        <x:v>LO3-002</x:v>
      </x:c>
      <x:c r="B43" t="str">
        <x:v>LO3</x:v>
      </x:c>
      <x:c r="C43" t="str">
        <x:v>B</x:v>
      </x:c>
      <x:c r="D43" t="str">
        <x:v>改稿済み・専門家未承認</x:v>
      </x:c>
      <x:c r="E43" t="str">
        <x:v>N</x:v>
      </x:c>
    </x:row>
    <x:row r="44">
      <x:c r="A44" t="str">
        <x:v>LO3-003</x:v>
      </x:c>
      <x:c r="B44" t="str">
        <x:v>LO3</x:v>
      </x:c>
      <x:c r="C44" t="str">
        <x:v>C</x:v>
      </x:c>
      <x:c r="D44" t="str">
        <x:v>改稿済み・専門家未承認</x:v>
      </x:c>
      <x:c r="E44" t="str">
        <x:v>N</x:v>
      </x:c>
    </x:row>
    <x:row r="45">
      <x:c r="A45" t="str">
        <x:v>LO3-004</x:v>
      </x:c>
      <x:c r="B45" t="str">
        <x:v>LO3</x:v>
      </x:c>
      <x:c r="C45" t="str">
        <x:v>D</x:v>
      </x:c>
      <x:c r="D45" t="str">
        <x:v>改稿済み・専門家未承認</x:v>
      </x:c>
      <x:c r="E45" t="str">
        <x:v>N</x:v>
      </x:c>
    </x:row>
    <x:row r="46">
      <x:c r="A46" t="str">
        <x:v>LO3-005</x:v>
      </x:c>
      <x:c r="B46" t="str">
        <x:v>LO3</x:v>
      </x:c>
      <x:c r="C46" t="str">
        <x:v>B</x:v>
      </x:c>
      <x:c r="D46" t="str">
        <x:v>改稿済み・専門家未承認</x:v>
      </x:c>
      <x:c r="E46" t="str">
        <x:v>N</x:v>
      </x:c>
    </x:row>
    <x:row r="47">
      <x:c r="A47" t="str">
        <x:v>LO3-006</x:v>
      </x:c>
      <x:c r="B47" t="str">
        <x:v>LO3</x:v>
      </x:c>
      <x:c r="C47" t="str">
        <x:v>C</x:v>
      </x:c>
      <x:c r="D47" t="str">
        <x:v>改稿済み・専門家未承認</x:v>
      </x:c>
      <x:c r="E47" t="str">
        <x:v>N</x:v>
      </x:c>
    </x:row>
    <x:row r="48">
      <x:c r="A48" t="str">
        <x:v>LO3-007</x:v>
      </x:c>
      <x:c r="B48" t="str">
        <x:v>LO3</x:v>
      </x:c>
      <x:c r="C48" t="str">
        <x:v>D</x:v>
      </x:c>
      <x:c r="D48" t="str">
        <x:v>改稿済み・専門家未承認</x:v>
      </x:c>
      <x:c r="E48" t="str">
        <x:v>N</x:v>
      </x:c>
    </x:row>
    <x:row r="49">
      <x:c r="A49" t="str">
        <x:v>LO3-008</x:v>
      </x:c>
      <x:c r="B49" t="str">
        <x:v>LO3</x:v>
      </x:c>
      <x:c r="C49" t="str">
        <x:v>A</x:v>
      </x:c>
      <x:c r="D49" t="str">
        <x:v>改稿済み・専門家未承認</x:v>
      </x:c>
      <x:c r="E49" t="str">
        <x:v>N</x:v>
      </x:c>
    </x:row>
    <x:row r="50">
      <x:c r="A50" t="str">
        <x:v>LO3-009</x:v>
      </x:c>
      <x:c r="B50" t="str">
        <x:v>LO3</x:v>
      </x:c>
      <x:c r="C50" t="str">
        <x:v>B</x:v>
      </x:c>
      <x:c r="D50" t="str">
        <x:v>改稿済み・専門家未承認</x:v>
      </x:c>
      <x:c r="E50" t="str">
        <x:v>N</x:v>
      </x:c>
    </x:row>
    <x:row r="51">
      <x:c r="A51" t="str">
        <x:v>LO3-010</x:v>
      </x:c>
      <x:c r="B51" t="str">
        <x:v>LO3</x:v>
      </x:c>
      <x:c r="C51" t="str">
        <x:v>C</x:v>
      </x:c>
      <x:c r="D51" t="str">
        <x:v>改稿済み・専門家未承認</x:v>
      </x:c>
      <x:c r="E51" t="str">
        <x:v>N</x:v>
      </x:c>
    </x:row>
    <x:row r="52">
      <x:c r="A52" t="str">
        <x:v>LO3-011</x:v>
      </x:c>
      <x:c r="B52" t="str">
        <x:v>LO3</x:v>
      </x:c>
      <x:c r="C52" t="str">
        <x:v>D</x:v>
      </x:c>
      <x:c r="D52" t="str">
        <x:v>改稿済み・専門家未承認</x:v>
      </x:c>
      <x:c r="E52" t="str">
        <x:v>N</x:v>
      </x:c>
    </x:row>
    <x:row r="53">
      <x:c r="A53" t="str">
        <x:v>LO3-012</x:v>
      </x:c>
      <x:c r="B53" t="str">
        <x:v>LO3</x:v>
      </x:c>
      <x:c r="C53" t="str">
        <x:v>A</x:v>
      </x:c>
      <x:c r="D53" t="str">
        <x:v>改稿済み・専門家未承認</x:v>
      </x:c>
      <x:c r="E53" t="str">
        <x:v>N</x:v>
      </x:c>
    </x:row>
    <x:row r="54">
      <x:c r="A54" t="str">
        <x:v>LO3-013</x:v>
      </x:c>
      <x:c r="B54" t="str">
        <x:v>LO3</x:v>
      </x:c>
      <x:c r="C54" t="str">
        <x:v>B</x:v>
      </x:c>
      <x:c r="D54" t="str">
        <x:v>改稿済み・専門家未承認</x:v>
      </x:c>
      <x:c r="E54" t="str">
        <x:v>N</x:v>
      </x:c>
    </x:row>
    <x:row r="55">
      <x:c r="A55" t="str">
        <x:v>LO3-014</x:v>
      </x:c>
      <x:c r="B55" t="str">
        <x:v>LO3</x:v>
      </x:c>
      <x:c r="C55" t="str">
        <x:v>C</x:v>
      </x:c>
      <x:c r="D55" t="str">
        <x:v>改稿済み・専門家未承認</x:v>
      </x:c>
      <x:c r="E55" t="str">
        <x:v>N</x:v>
      </x:c>
    </x:row>
    <x:row r="56">
      <x:c r="A56" t="str">
        <x:v>LO3-015</x:v>
      </x:c>
      <x:c r="B56" t="str">
        <x:v>LO3</x:v>
      </x:c>
      <x:c r="C56" t="str">
        <x:v>D</x:v>
      </x:c>
      <x:c r="D56" t="str">
        <x:v>改稿済み・専門家未承認</x:v>
      </x:c>
      <x:c r="E56" t="str">
        <x:v>N</x:v>
      </x:c>
    </x:row>
    <x:row r="57">
      <x:c r="A57" t="str">
        <x:v>LO3-016</x:v>
      </x:c>
      <x:c r="B57" t="str">
        <x:v>LO3</x:v>
      </x:c>
      <x:c r="C57" t="str">
        <x:v>A</x:v>
      </x:c>
      <x:c r="D57" t="str">
        <x:v>改稿済み・専門家未承認</x:v>
      </x:c>
      <x:c r="E57" t="str">
        <x:v>N</x:v>
      </x:c>
    </x:row>
    <x:row r="58">
      <x:c r="A58" t="str">
        <x:v>LO3-017</x:v>
      </x:c>
      <x:c r="B58" t="str">
        <x:v>LO3</x:v>
      </x:c>
      <x:c r="C58" t="str">
        <x:v>B</x:v>
      </x:c>
      <x:c r="D58" t="str">
        <x:v>改稿済み・専門家未承認</x:v>
      </x:c>
      <x:c r="E58" t="str">
        <x:v>N</x:v>
      </x:c>
    </x:row>
    <x:row r="59">
      <x:c r="A59" t="str">
        <x:v>LO3-018</x:v>
      </x:c>
      <x:c r="B59" t="str">
        <x:v>LO3</x:v>
      </x:c>
      <x:c r="C59" t="str">
        <x:v>C</x:v>
      </x:c>
      <x:c r="D59" t="str">
        <x:v>改稿済み・専門家未承認</x:v>
      </x:c>
      <x:c r="E59" t="str">
        <x:v>N</x:v>
      </x:c>
    </x:row>
    <x:row r="60">
      <x:c r="A60" t="str">
        <x:v>LO3-019</x:v>
      </x:c>
      <x:c r="B60" t="str">
        <x:v>LO3</x:v>
      </x:c>
      <x:c r="C60" t="str">
        <x:v>D</x:v>
      </x:c>
      <x:c r="D60" t="str">
        <x:v>改稿済み・専門家未承認</x:v>
      </x:c>
      <x:c r="E60" t="str">
        <x:v>N</x:v>
      </x:c>
    </x:row>
    <x:row r="61">
      <x:c r="A61" t="str">
        <x:v>LO3-020</x:v>
      </x:c>
      <x:c r="B61" t="str">
        <x:v>LO3</x:v>
      </x:c>
      <x:c r="C61" t="str">
        <x:v>A</x:v>
      </x:c>
      <x:c r="D61" t="str">
        <x:v>改稿済み・専門家未承認</x:v>
      </x:c>
      <x:c r="E61" t="str">
        <x:v>N</x:v>
      </x:c>
    </x:row>
    <x:row r="62">
      <x:c r="A62" t="str">
        <x:v>LO4-001</x:v>
      </x:c>
      <x:c r="B62" t="str">
        <x:v>LO4</x:v>
      </x:c>
      <x:c r="C62" t="str">
        <x:v>A</x:v>
      </x:c>
      <x:c r="D62" t="str">
        <x:v>改稿済み・専門家未承認</x:v>
      </x:c>
      <x:c r="E62" t="str">
        <x:v>N</x:v>
      </x:c>
    </x:row>
    <x:row r="63">
      <x:c r="A63" t="str">
        <x:v>LO4-002</x:v>
      </x:c>
      <x:c r="B63" t="str">
        <x:v>LO4</x:v>
      </x:c>
      <x:c r="C63" t="str">
        <x:v>B</x:v>
      </x:c>
      <x:c r="D63" t="str">
        <x:v>改稿済み・専門家未承認</x:v>
      </x:c>
      <x:c r="E63" t="str">
        <x:v>N</x:v>
      </x:c>
    </x:row>
    <x:row r="64">
      <x:c r="A64" t="str">
        <x:v>LO4-003</x:v>
      </x:c>
      <x:c r="B64" t="str">
        <x:v>LO4</x:v>
      </x:c>
      <x:c r="C64" t="str">
        <x:v>C</x:v>
      </x:c>
      <x:c r="D64" t="str">
        <x:v>改稿済み・専門家未承認</x:v>
      </x:c>
      <x:c r="E64" t="str">
        <x:v>N</x:v>
      </x:c>
    </x:row>
    <x:row r="65">
      <x:c r="A65" t="str">
        <x:v>LO4-004</x:v>
      </x:c>
      <x:c r="B65" t="str">
        <x:v>LO4</x:v>
      </x:c>
      <x:c r="C65" t="str">
        <x:v>D</x:v>
      </x:c>
      <x:c r="D65" t="str">
        <x:v>改稿済み・専門家未承認</x:v>
      </x:c>
      <x:c r="E65" t="str">
        <x:v>N</x:v>
      </x:c>
    </x:row>
    <x:row r="66">
      <x:c r="A66" t="str">
        <x:v>LO4-005</x:v>
      </x:c>
      <x:c r="B66" t="str">
        <x:v>LO4</x:v>
      </x:c>
      <x:c r="C66" t="str">
        <x:v>A</x:v>
      </x:c>
      <x:c r="D66" t="str">
        <x:v>改稿済み・専門家未承認</x:v>
      </x:c>
      <x:c r="E66" t="str">
        <x:v>N</x:v>
      </x:c>
    </x:row>
    <x:row r="67">
      <x:c r="A67" t="str">
        <x:v>LO4-006</x:v>
      </x:c>
      <x:c r="B67" t="str">
        <x:v>LO4</x:v>
      </x:c>
      <x:c r="C67" t="str">
        <x:v>B</x:v>
      </x:c>
      <x:c r="D67" t="str">
        <x:v>改稿済み・専門家未承認</x:v>
      </x:c>
      <x:c r="E67" t="str">
        <x:v>N</x:v>
      </x:c>
    </x:row>
    <x:row r="68">
      <x:c r="A68" t="str">
        <x:v>LO4-007</x:v>
      </x:c>
      <x:c r="B68" t="str">
        <x:v>LO4</x:v>
      </x:c>
      <x:c r="C68" t="str">
        <x:v>C</x:v>
      </x:c>
      <x:c r="D68" t="str">
        <x:v>改稿済み・専門家未承認</x:v>
      </x:c>
      <x:c r="E68" t="str">
        <x:v>N</x:v>
      </x:c>
    </x:row>
    <x:row r="69">
      <x:c r="A69" t="str">
        <x:v>LO4-008</x:v>
      </x:c>
      <x:c r="B69" t="str">
        <x:v>LO4</x:v>
      </x:c>
      <x:c r="C69" t="str">
        <x:v>D</x:v>
      </x:c>
      <x:c r="D69" t="str">
        <x:v>改稿済み・専門家未承認</x:v>
      </x:c>
      <x:c r="E69" t="str">
        <x:v>Y</x:v>
      </x:c>
    </x:row>
    <x:row r="70">
      <x:c r="A70" t="str">
        <x:v>LO4-009</x:v>
      </x:c>
      <x:c r="B70" t="str">
        <x:v>LO4</x:v>
      </x:c>
      <x:c r="C70" t="str">
        <x:v>A</x:v>
      </x:c>
      <x:c r="D70" t="str">
        <x:v>改稿済み・専門家未承認</x:v>
      </x:c>
      <x:c r="E70" t="str">
        <x:v>N</x:v>
      </x:c>
    </x:row>
    <x:row r="71">
      <x:c r="A71" t="str">
        <x:v>LO4-010</x:v>
      </x:c>
      <x:c r="B71" t="str">
        <x:v>LO4</x:v>
      </x:c>
      <x:c r="C71" t="str">
        <x:v>B</x:v>
      </x:c>
      <x:c r="D71" t="str">
        <x:v>改稿済み・専門家未承認</x:v>
      </x:c>
      <x:c r="E71" t="str">
        <x:v>N</x:v>
      </x:c>
    </x:row>
    <x:row r="72">
      <x:c r="A72" t="str">
        <x:v>LO4-011</x:v>
      </x:c>
      <x:c r="B72" t="str">
        <x:v>LO4</x:v>
      </x:c>
      <x:c r="C72" t="str">
        <x:v>C</x:v>
      </x:c>
      <x:c r="D72" t="str">
        <x:v>改稿済み・専門家未承認</x:v>
      </x:c>
      <x:c r="E72" t="str">
        <x:v>N</x:v>
      </x:c>
    </x:row>
    <x:row r="73">
      <x:c r="A73" t="str">
        <x:v>LO4-012</x:v>
      </x:c>
      <x:c r="B73" t="str">
        <x:v>LO4</x:v>
      </x:c>
      <x:c r="C73" t="str">
        <x:v>D</x:v>
      </x:c>
      <x:c r="D73" t="str">
        <x:v>改稿済み・専門家未承認</x:v>
      </x:c>
      <x:c r="E73" t="str">
        <x:v>N</x:v>
      </x:c>
    </x:row>
    <x:row r="74">
      <x:c r="A74" t="str">
        <x:v>LO4-013</x:v>
      </x:c>
      <x:c r="B74" t="str">
        <x:v>LO4</x:v>
      </x:c>
      <x:c r="C74" t="str">
        <x:v>A</x:v>
      </x:c>
      <x:c r="D74" t="str">
        <x:v>改稿済み・専門家未承認</x:v>
      </x:c>
      <x:c r="E74" t="str">
        <x:v>Y</x:v>
      </x:c>
    </x:row>
    <x:row r="75">
      <x:c r="A75" t="str">
        <x:v>LO4-014</x:v>
      </x:c>
      <x:c r="B75" t="str">
        <x:v>LO4</x:v>
      </x:c>
      <x:c r="C75" t="str">
        <x:v>B</x:v>
      </x:c>
      <x:c r="D75" t="str">
        <x:v>改稿済み・専門家未承認</x:v>
      </x:c>
      <x:c r="E75" t="str">
        <x:v>N</x:v>
      </x:c>
    </x:row>
    <x:row r="76">
      <x:c r="A76" t="str">
        <x:v>LO4-015</x:v>
      </x:c>
      <x:c r="B76" t="str">
        <x:v>LO4</x:v>
      </x:c>
      <x:c r="C76" t="str">
        <x:v>C</x:v>
      </x:c>
      <x:c r="D76" t="str">
        <x:v>改稿済み・専門家未承認</x:v>
      </x:c>
      <x:c r="E76" t="str">
        <x:v>N</x:v>
      </x:c>
    </x:row>
    <x:row r="77">
      <x:c r="A77" t="str">
        <x:v>LO4-016</x:v>
      </x:c>
      <x:c r="B77" t="str">
        <x:v>LO4</x:v>
      </x:c>
      <x:c r="C77" t="str">
        <x:v>D</x:v>
      </x:c>
      <x:c r="D77" t="str">
        <x:v>改稿済み・専門家未承認</x:v>
      </x:c>
      <x:c r="E77" t="str">
        <x:v>N</x:v>
      </x:c>
    </x:row>
    <x:row r="78">
      <x:c r="A78" t="str">
        <x:v>LO4-017</x:v>
      </x:c>
      <x:c r="B78" t="str">
        <x:v>LO4</x:v>
      </x:c>
      <x:c r="C78" t="str">
        <x:v>A</x:v>
      </x:c>
      <x:c r="D78" t="str">
        <x:v>改稿済み・専門家未承認</x:v>
      </x:c>
      <x:c r="E78" t="str">
        <x:v>N</x:v>
      </x:c>
    </x:row>
    <x:row r="79">
      <x:c r="A79" t="str">
        <x:v>LO4-018</x:v>
      </x:c>
      <x:c r="B79" t="str">
        <x:v>LO4</x:v>
      </x:c>
      <x:c r="C79" t="str">
        <x:v>B</x:v>
      </x:c>
      <x:c r="D79" t="str">
        <x:v>改稿済み・専門家未承認</x:v>
      </x:c>
      <x:c r="E79" t="str">
        <x:v>N</x:v>
      </x:c>
    </x:row>
    <x:row r="80">
      <x:c r="A80" t="str">
        <x:v>LO4-019</x:v>
      </x:c>
      <x:c r="B80" t="str">
        <x:v>LO4</x:v>
      </x:c>
      <x:c r="C80" t="str">
        <x:v>C</x:v>
      </x:c>
      <x:c r="D80" t="str">
        <x:v>改稿済み・専門家未承認</x:v>
      </x:c>
      <x:c r="E80" t="str">
        <x:v>N</x:v>
      </x:c>
    </x:row>
    <x:row r="81">
      <x:c r="A81" t="str">
        <x:v>LO4-020</x:v>
      </x:c>
      <x:c r="B81" t="str">
        <x:v>LO4</x:v>
      </x:c>
      <x:c r="C81" t="str">
        <x:v>D</x:v>
      </x:c>
      <x:c r="D81" t="str">
        <x:v>改稿済み・専門家未承認</x:v>
      </x:c>
      <x:c r="E81" t="str">
        <x:v>N</x:v>
      </x:c>
    </x:row>
    <x:row r="82">
      <x:c r="A82" t="str">
        <x:v>LO5-001</x:v>
      </x:c>
      <x:c r="B82" t="str">
        <x:v>LO5</x:v>
      </x:c>
      <x:c r="C82" t="str">
        <x:v>A</x:v>
      </x:c>
      <x:c r="D82" t="str">
        <x:v>改稿済み・専門家未承認</x:v>
      </x:c>
      <x:c r="E82" t="str">
        <x:v>N</x:v>
      </x:c>
    </x:row>
    <x:row r="83">
      <x:c r="A83" t="str">
        <x:v>LO5-002</x:v>
      </x:c>
      <x:c r="B83" t="str">
        <x:v>LO5</x:v>
      </x:c>
      <x:c r="C83" t="str">
        <x:v>B</x:v>
      </x:c>
      <x:c r="D83" t="str">
        <x:v>改稿済み・専門家未承認</x:v>
      </x:c>
      <x:c r="E83" t="str">
        <x:v>N</x:v>
      </x:c>
    </x:row>
    <x:row r="84">
      <x:c r="A84" t="str">
        <x:v>LO5-003</x:v>
      </x:c>
      <x:c r="B84" t="str">
        <x:v>LO5</x:v>
      </x:c>
      <x:c r="C84" t="str">
        <x:v>C</x:v>
      </x:c>
      <x:c r="D84" t="str">
        <x:v>改稿済み・専門家未承認</x:v>
      </x:c>
      <x:c r="E84" t="str">
        <x:v>N</x:v>
      </x:c>
    </x:row>
    <x:row r="85">
      <x:c r="A85" t="str">
        <x:v>LO5-004</x:v>
      </x:c>
      <x:c r="B85" t="str">
        <x:v>LO5</x:v>
      </x:c>
      <x:c r="C85" t="str">
        <x:v>D</x:v>
      </x:c>
      <x:c r="D85" t="str">
        <x:v>改稿済み・専門家未承認</x:v>
      </x:c>
      <x:c r="E85" t="str">
        <x:v>N</x:v>
      </x:c>
    </x:row>
    <x:row r="86">
      <x:c r="A86" t="str">
        <x:v>LO5-005</x:v>
      </x:c>
      <x:c r="B86" t="str">
        <x:v>LO5</x:v>
      </x:c>
      <x:c r="C86" t="str">
        <x:v>A</x:v>
      </x:c>
      <x:c r="D86" t="str">
        <x:v>改稿済み・専門家未承認</x:v>
      </x:c>
      <x:c r="E86" t="str">
        <x:v>N</x:v>
      </x:c>
    </x:row>
    <x:row r="87">
      <x:c r="A87" t="str">
        <x:v>LO5-006</x:v>
      </x:c>
      <x:c r="B87" t="str">
        <x:v>LO5</x:v>
      </x:c>
      <x:c r="C87" t="str">
        <x:v>B</x:v>
      </x:c>
      <x:c r="D87" t="str">
        <x:v>改稿済み・専門家未承認</x:v>
      </x:c>
      <x:c r="E87" t="str">
        <x:v>N</x:v>
      </x:c>
    </x:row>
    <x:row r="88">
      <x:c r="A88" t="str">
        <x:v>LO5-007</x:v>
      </x:c>
      <x:c r="B88" t="str">
        <x:v>LO5</x:v>
      </x:c>
      <x:c r="C88" t="str">
        <x:v>C</x:v>
      </x:c>
      <x:c r="D88" t="str">
        <x:v>改稿済み・専門家未承認</x:v>
      </x:c>
      <x:c r="E88" t="str">
        <x:v>N</x:v>
      </x:c>
    </x:row>
    <x:row r="89">
      <x:c r="A89" t="str">
        <x:v>LO5-008</x:v>
      </x:c>
      <x:c r="B89" t="str">
        <x:v>LO5</x:v>
      </x:c>
      <x:c r="C89" t="str">
        <x:v>D</x:v>
      </x:c>
      <x:c r="D89" t="str">
        <x:v>改稿済み・専門家未承認</x:v>
      </x:c>
      <x:c r="E89" t="str">
        <x:v>N</x:v>
      </x:c>
    </x:row>
    <x:row r="90">
      <x:c r="A90" t="str">
        <x:v>LO5-009</x:v>
      </x:c>
      <x:c r="B90" t="str">
        <x:v>LO5</x:v>
      </x:c>
      <x:c r="C90" t="str">
        <x:v>B</x:v>
      </x:c>
      <x:c r="D90" t="str">
        <x:v>改稿済み・専門家未承認</x:v>
      </x:c>
      <x:c r="E90" t="str">
        <x:v>N</x:v>
      </x:c>
    </x:row>
    <x:row r="91">
      <x:c r="A91" t="str">
        <x:v>LO5-010</x:v>
      </x:c>
      <x:c r="B91" t="str">
        <x:v>LO5</x:v>
      </x:c>
      <x:c r="C91" t="str">
        <x:v>C</x:v>
      </x:c>
      <x:c r="D91" t="str">
        <x:v>改稿済み・専門家未承認</x:v>
      </x:c>
      <x:c r="E91" t="str">
        <x:v>N</x:v>
      </x:c>
    </x:row>
    <x:row r="92">
      <x:c r="A92" t="str">
        <x:v>LO5-011</x:v>
      </x:c>
      <x:c r="B92" t="str">
        <x:v>LO5</x:v>
      </x:c>
      <x:c r="C92" t="str">
        <x:v>D</x:v>
      </x:c>
      <x:c r="D92" t="str">
        <x:v>改稿済み・専門家未承認</x:v>
      </x:c>
      <x:c r="E92" t="str">
        <x:v>N</x:v>
      </x:c>
    </x:row>
    <x:row r="93">
      <x:c r="A93" t="str">
        <x:v>LO5-012</x:v>
      </x:c>
      <x:c r="B93" t="str">
        <x:v>LO5</x:v>
      </x:c>
      <x:c r="C93" t="str">
        <x:v>A</x:v>
      </x:c>
      <x:c r="D93" t="str">
        <x:v>改稿済み・専門家未承認</x:v>
      </x:c>
      <x:c r="E93" t="str">
        <x:v>N</x:v>
      </x:c>
    </x:row>
    <x:row r="94">
      <x:c r="A94" t="str">
        <x:v>LO5-013</x:v>
      </x:c>
      <x:c r="B94" t="str">
        <x:v>LO5</x:v>
      </x:c>
      <x:c r="C94" t="str">
        <x:v>B</x:v>
      </x:c>
      <x:c r="D94" t="str">
        <x:v>改稿済み・専門家未承認</x:v>
      </x:c>
      <x:c r="E94" t="str">
        <x:v>N</x:v>
      </x:c>
    </x:row>
    <x:row r="95">
      <x:c r="A95" t="str">
        <x:v>LO5-014</x:v>
      </x:c>
      <x:c r="B95" t="str">
        <x:v>LO5</x:v>
      </x:c>
      <x:c r="C95" t="str">
        <x:v>C</x:v>
      </x:c>
      <x:c r="D95" t="str">
        <x:v>改稿済み・専門家未承認</x:v>
      </x:c>
      <x:c r="E95" t="str">
        <x:v>N</x:v>
      </x:c>
    </x:row>
    <x:row r="96">
      <x:c r="A96" t="str">
        <x:v>LO5-015</x:v>
      </x:c>
      <x:c r="B96" t="str">
        <x:v>LO5</x:v>
      </x:c>
      <x:c r="C96" t="str">
        <x:v>D</x:v>
      </x:c>
      <x:c r="D96" t="str">
        <x:v>改稿済み・専門家未承認</x:v>
      </x:c>
      <x:c r="E96" t="str">
        <x:v>N</x:v>
      </x:c>
    </x:row>
    <x:row r="97">
      <x:c r="A97" t="str">
        <x:v>LO5-016</x:v>
      </x:c>
      <x:c r="B97" t="str">
        <x:v>LO5</x:v>
      </x:c>
      <x:c r="C97" t="str">
        <x:v>A</x:v>
      </x:c>
      <x:c r="D97" t="str">
        <x:v>改稿済み・専門家未承認</x:v>
      </x:c>
      <x:c r="E97" t="str">
        <x:v>N</x:v>
      </x:c>
    </x:row>
    <x:row r="98">
      <x:c r="A98" t="str">
        <x:v>LO5-017</x:v>
      </x:c>
      <x:c r="B98" t="str">
        <x:v>LO5</x:v>
      </x:c>
      <x:c r="C98" t="str">
        <x:v>B</x:v>
      </x:c>
      <x:c r="D98" t="str">
        <x:v>改稿済み・専門家未承認</x:v>
      </x:c>
      <x:c r="E98" t="str">
        <x:v>N</x:v>
      </x:c>
    </x:row>
    <x:row r="99">
      <x:c r="A99" t="str">
        <x:v>LO5-018</x:v>
      </x:c>
      <x:c r="B99" t="str">
        <x:v>LO5</x:v>
      </x:c>
      <x:c r="C99" t="str">
        <x:v>C</x:v>
      </x:c>
      <x:c r="D99" t="str">
        <x:v>改稿済み・専門家未承認</x:v>
      </x:c>
      <x:c r="E99" t="str">
        <x:v>N</x:v>
      </x:c>
    </x:row>
    <x:row r="100">
      <x:c r="A100" t="str">
        <x:v>LO5-019</x:v>
      </x:c>
      <x:c r="B100" t="str">
        <x:v>LO5</x:v>
      </x:c>
      <x:c r="C100" t="str">
        <x:v>D</x:v>
      </x:c>
      <x:c r="D100" t="str">
        <x:v>改稿済み・専門家未承認</x:v>
      </x:c>
      <x:c r="E100" t="str">
        <x:v>N</x:v>
      </x:c>
    </x:row>
    <x:row r="101">
      <x:c r="A101" t="str">
        <x:v>LO5-020</x:v>
      </x:c>
      <x:c r="B101" t="str">
        <x:v>LO5</x:v>
      </x:c>
      <x:c r="C101" t="str">
        <x:v>A</x:v>
      </x:c>
      <x:c r="D101" t="str">
        <x:v>改稿済み・専門家未承認</x:v>
      </x:c>
      <x:c r="E101" t="str">
        <x:v>N</x:v>
      </x:c>
    </x:row>
    <x:row r="102">
      <x:c r="A102" t="str">
        <x:v>LO1-021</x:v>
      </x:c>
      <x:c r="B102" t="str">
        <x:v>LO1</x:v>
      </x:c>
      <x:c r="C102" t="str">
        <x:v>A</x:v>
      </x:c>
      <x:c r="D102" t="str">
        <x:v>改稿済み・専門家未承認</x:v>
      </x:c>
      <x:c r="E102" t="str">
        <x:v>N</x:v>
      </x:c>
    </x:row>
    <x:row r="103">
      <x:c r="A103" t="str">
        <x:v>LO1-022</x:v>
      </x:c>
      <x:c r="B103" t="str">
        <x:v>LO1</x:v>
      </x:c>
      <x:c r="C103" t="str">
        <x:v>B</x:v>
      </x:c>
      <x:c r="D103" t="str">
        <x:v>改稿済み・専門家未承認</x:v>
      </x:c>
      <x:c r="E103" t="str">
        <x:v>N</x:v>
      </x:c>
    </x:row>
    <x:row r="104">
      <x:c r="A104" t="str">
        <x:v>LO1-023</x:v>
      </x:c>
      <x:c r="B104" t="str">
        <x:v>LO1</x:v>
      </x:c>
      <x:c r="C104" t="str">
        <x:v>C</x:v>
      </x:c>
      <x:c r="D104" t="str">
        <x:v>改稿済み・専門家未承認</x:v>
      </x:c>
      <x:c r="E104" t="str">
        <x:v>N</x:v>
      </x:c>
    </x:row>
    <x:row r="105">
      <x:c r="A105" t="str">
        <x:v>LO1-024</x:v>
      </x:c>
      <x:c r="B105" t="str">
        <x:v>LO1</x:v>
      </x:c>
      <x:c r="C105" t="str">
        <x:v>D</x:v>
      </x:c>
      <x:c r="D105" t="str">
        <x:v>改稿済み・専門家未承認</x:v>
      </x:c>
      <x:c r="E105" t="str">
        <x:v>N</x:v>
      </x:c>
    </x:row>
    <x:row r="106">
      <x:c r="A106" t="str">
        <x:v>LO1-025</x:v>
      </x:c>
      <x:c r="B106" t="str">
        <x:v>LO1</x:v>
      </x:c>
      <x:c r="C106" t="str">
        <x:v>A</x:v>
      </x:c>
      <x:c r="D106" t="str">
        <x:v>改稿済み・専門家未承認</x:v>
      </x:c>
      <x:c r="E106" t="str">
        <x:v>N</x:v>
      </x:c>
    </x:row>
    <x:row r="107">
      <x:c r="A107" t="str">
        <x:v>LO1-026</x:v>
      </x:c>
      <x:c r="B107" t="str">
        <x:v>LO1</x:v>
      </x:c>
      <x:c r="C107" t="str">
        <x:v>B</x:v>
      </x:c>
      <x:c r="D107" t="str">
        <x:v>改稿済み・専門家未承認</x:v>
      </x:c>
      <x:c r="E107" t="str">
        <x:v>N</x:v>
      </x:c>
    </x:row>
    <x:row r="108">
      <x:c r="A108" t="str">
        <x:v>LO1-027</x:v>
      </x:c>
      <x:c r="B108" t="str">
        <x:v>LO1</x:v>
      </x:c>
      <x:c r="C108" t="str">
        <x:v>C</x:v>
      </x:c>
      <x:c r="D108" t="str">
        <x:v>改稿済み・専門家未承認</x:v>
      </x:c>
      <x:c r="E108" t="str">
        <x:v>N</x:v>
      </x:c>
    </x:row>
    <x:row r="109">
      <x:c r="A109" t="str">
        <x:v>LO1-028</x:v>
      </x:c>
      <x:c r="B109" t="str">
        <x:v>LO1</x:v>
      </x:c>
      <x:c r="C109" t="str">
        <x:v>D</x:v>
      </x:c>
      <x:c r="D109" t="str">
        <x:v>改稿済み・専門家未承認</x:v>
      </x:c>
      <x:c r="E109" t="str">
        <x:v>N</x:v>
      </x:c>
    </x:row>
    <x:row r="110">
      <x:c r="A110" t="str">
        <x:v>LO1-029</x:v>
      </x:c>
      <x:c r="B110" t="str">
        <x:v>LO1</x:v>
      </x:c>
      <x:c r="C110" t="str">
        <x:v>A</x:v>
      </x:c>
      <x:c r="D110" t="str">
        <x:v>改稿済み・専門家未承認</x:v>
      </x:c>
      <x:c r="E110" t="str">
        <x:v>N</x:v>
      </x:c>
    </x:row>
    <x:row r="111">
      <x:c r="A111" t="str">
        <x:v>LO1-030</x:v>
      </x:c>
      <x:c r="B111" t="str">
        <x:v>LO1</x:v>
      </x:c>
      <x:c r="C111" t="str">
        <x:v>B</x:v>
      </x:c>
      <x:c r="D111" t="str">
        <x:v>改稿済み・専門家未承認</x:v>
      </x:c>
      <x:c r="E111" t="str">
        <x:v>N</x:v>
      </x:c>
    </x:row>
    <x:row r="112">
      <x:c r="A112" t="str">
        <x:v>LO1-031</x:v>
      </x:c>
      <x:c r="B112" t="str">
        <x:v>LO1</x:v>
      </x:c>
      <x:c r="C112" t="str">
        <x:v>C</x:v>
      </x:c>
      <x:c r="D112" t="str">
        <x:v>改稿済み・専門家未承認</x:v>
      </x:c>
      <x:c r="E112" t="str">
        <x:v>N</x:v>
      </x:c>
    </x:row>
    <x:row r="113">
      <x:c r="A113" t="str">
        <x:v>LO1-032</x:v>
      </x:c>
      <x:c r="B113" t="str">
        <x:v>LO1</x:v>
      </x:c>
      <x:c r="C113" t="str">
        <x:v>D</x:v>
      </x:c>
      <x:c r="D113" t="str">
        <x:v>改稿済み・専門家未承認</x:v>
      </x:c>
      <x:c r="E113" t="str">
        <x:v>N</x:v>
      </x:c>
    </x:row>
    <x:row r="114">
      <x:c r="A114" t="str">
        <x:v>LO1-033</x:v>
      </x:c>
      <x:c r="B114" t="str">
        <x:v>LO1</x:v>
      </x:c>
      <x:c r="C114" t="str">
        <x:v>A</x:v>
      </x:c>
      <x:c r="D114" t="str">
        <x:v>改稿済み・専門家未承認</x:v>
      </x:c>
      <x:c r="E114" t="str">
        <x:v>N</x:v>
      </x:c>
    </x:row>
    <x:row r="115">
      <x:c r="A115" t="str">
        <x:v>LO1-034</x:v>
      </x:c>
      <x:c r="B115" t="str">
        <x:v>LO1</x:v>
      </x:c>
      <x:c r="C115" t="str">
        <x:v>B</x:v>
      </x:c>
      <x:c r="D115" t="str">
        <x:v>改稿済み・専門家未承認</x:v>
      </x:c>
      <x:c r="E115" t="str">
        <x:v>N</x:v>
      </x:c>
    </x:row>
    <x:row r="116">
      <x:c r="A116" t="str">
        <x:v>LO1-035</x:v>
      </x:c>
      <x:c r="B116" t="str">
        <x:v>LO1</x:v>
      </x:c>
      <x:c r="C116" t="str">
        <x:v>C</x:v>
      </x:c>
      <x:c r="D116" t="str">
        <x:v>改稿済み・専門家未承認</x:v>
      </x:c>
      <x:c r="E116" t="str">
        <x:v>N</x:v>
      </x:c>
    </x:row>
    <x:row r="117">
      <x:c r="A117" t="str">
        <x:v>LO1-036</x:v>
      </x:c>
      <x:c r="B117" t="str">
        <x:v>LO1</x:v>
      </x:c>
      <x:c r="C117" t="str">
        <x:v>D</x:v>
      </x:c>
      <x:c r="D117" t="str">
        <x:v>改稿済み・専門家未承認</x:v>
      </x:c>
      <x:c r="E117" t="str">
        <x:v>N</x:v>
      </x:c>
    </x:row>
    <x:row r="118">
      <x:c r="A118" t="str">
        <x:v>LO1-037</x:v>
      </x:c>
      <x:c r="B118" t="str">
        <x:v>LO1</x:v>
      </x:c>
      <x:c r="C118" t="str">
        <x:v>A</x:v>
      </x:c>
      <x:c r="D118" t="str">
        <x:v>改稿済み・専門家未承認</x:v>
      </x:c>
      <x:c r="E118" t="str">
        <x:v>N</x:v>
      </x:c>
    </x:row>
    <x:row r="119">
      <x:c r="A119" t="str">
        <x:v>LO1-038</x:v>
      </x:c>
      <x:c r="B119" t="str">
        <x:v>LO1</x:v>
      </x:c>
      <x:c r="C119" t="str">
        <x:v>B</x:v>
      </x:c>
      <x:c r="D119" t="str">
        <x:v>改稿済み・専門家未承認</x:v>
      </x:c>
      <x:c r="E119" t="str">
        <x:v>N</x:v>
      </x:c>
    </x:row>
    <x:row r="120">
      <x:c r="A120" t="str">
        <x:v>LO1-039</x:v>
      </x:c>
      <x:c r="B120" t="str">
        <x:v>LO1</x:v>
      </x:c>
      <x:c r="C120" t="str">
        <x:v>C</x:v>
      </x:c>
      <x:c r="D120" t="str">
        <x:v>改稿済み・専門家未承認</x:v>
      </x:c>
      <x:c r="E120" t="str">
        <x:v>N</x:v>
      </x:c>
    </x:row>
    <x:row r="121">
      <x:c r="A121" t="str">
        <x:v>LO1-040</x:v>
      </x:c>
      <x:c r="B121" t="str">
        <x:v>LO1</x:v>
      </x:c>
      <x:c r="C121" t="str">
        <x:v>D</x:v>
      </x:c>
      <x:c r="D121" t="str">
        <x:v>改稿済み・専門家未承認</x:v>
      </x:c>
      <x:c r="E121" t="str">
        <x:v>N</x:v>
      </x:c>
    </x:row>
    <x:row r="122">
      <x:c r="A122" t="str">
        <x:v>LO1-041</x:v>
      </x:c>
      <x:c r="B122" t="str">
        <x:v>LO1</x:v>
      </x:c>
      <x:c r="C122" t="str">
        <x:v>A</x:v>
      </x:c>
      <x:c r="D122" t="str">
        <x:v>改稿済み・専門家未承認</x:v>
      </x:c>
      <x:c r="E122" t="str">
        <x:v>N</x:v>
      </x:c>
    </x:row>
    <x:row r="123">
      <x:c r="A123" t="str">
        <x:v>LO1-042</x:v>
      </x:c>
      <x:c r="B123" t="str">
        <x:v>LO1</x:v>
      </x:c>
      <x:c r="C123" t="str">
        <x:v>B</x:v>
      </x:c>
      <x:c r="D123" t="str">
        <x:v>改稿済み・専門家未承認</x:v>
      </x:c>
      <x:c r="E123" t="str">
        <x:v>Y</x:v>
      </x:c>
    </x:row>
    <x:row r="124">
      <x:c r="A124" t="str">
        <x:v>LO1-043</x:v>
      </x:c>
      <x:c r="B124" t="str">
        <x:v>LO1</x:v>
      </x:c>
      <x:c r="C124" t="str">
        <x:v>C</x:v>
      </x:c>
      <x:c r="D124" t="str">
        <x:v>改稿済み・専門家未承認</x:v>
      </x:c>
      <x:c r="E124" t="str">
        <x:v>N</x:v>
      </x:c>
    </x:row>
    <x:row r="125">
      <x:c r="A125" t="str">
        <x:v>LO1-044</x:v>
      </x:c>
      <x:c r="B125" t="str">
        <x:v>LO1</x:v>
      </x:c>
      <x:c r="C125" t="str">
        <x:v>D</x:v>
      </x:c>
      <x:c r="D125" t="str">
        <x:v>改稿済み・専門家未承認</x:v>
      </x:c>
      <x:c r="E125" t="str">
        <x:v>N</x:v>
      </x:c>
    </x:row>
    <x:row r="126">
      <x:c r="A126" t="str">
        <x:v>LO1-045</x:v>
      </x:c>
      <x:c r="B126" t="str">
        <x:v>LO1</x:v>
      </x:c>
      <x:c r="C126" t="str">
        <x:v>A</x:v>
      </x:c>
      <x:c r="D126" t="str">
        <x:v>改稿済み・専門家未承認</x:v>
      </x:c>
      <x:c r="E126" t="str">
        <x:v>N</x:v>
      </x:c>
    </x:row>
    <x:row r="127">
      <x:c r="A127" t="str">
        <x:v>LO1-046</x:v>
      </x:c>
      <x:c r="B127" t="str">
        <x:v>LO1</x:v>
      </x:c>
      <x:c r="C127" t="str">
        <x:v>B</x:v>
      </x:c>
      <x:c r="D127" t="str">
        <x:v>改稿済み・専門家未承認</x:v>
      </x:c>
      <x:c r="E127" t="str">
        <x:v>N</x:v>
      </x:c>
    </x:row>
    <x:row r="128">
      <x:c r="A128" t="str">
        <x:v>LO1-047</x:v>
      </x:c>
      <x:c r="B128" t="str">
        <x:v>LO1</x:v>
      </x:c>
      <x:c r="C128" t="str">
        <x:v>C</x:v>
      </x:c>
      <x:c r="D128" t="str">
        <x:v>改稿済み・専門家未承認</x:v>
      </x:c>
      <x:c r="E128" t="str">
        <x:v>N</x:v>
      </x:c>
    </x:row>
    <x:row r="129">
      <x:c r="A129" t="str">
        <x:v>LO1-048</x:v>
      </x:c>
      <x:c r="B129" t="str">
        <x:v>LO1</x:v>
      </x:c>
      <x:c r="C129" t="str">
        <x:v>D</x:v>
      </x:c>
      <x:c r="D129" t="str">
        <x:v>改稿済み・専門家未承認</x:v>
      </x:c>
      <x:c r="E129" t="str">
        <x:v>N</x:v>
      </x:c>
    </x:row>
    <x:row r="130">
      <x:c r="A130" t="str">
        <x:v>LO1-049</x:v>
      </x:c>
      <x:c r="B130" t="str">
        <x:v>LO1</x:v>
      </x:c>
      <x:c r="C130" t="str">
        <x:v>A</x:v>
      </x:c>
      <x:c r="D130" t="str">
        <x:v>改稿済み・専門家未承認</x:v>
      </x:c>
      <x:c r="E130" t="str">
        <x:v>N</x:v>
      </x:c>
    </x:row>
    <x:row r="131">
      <x:c r="A131" t="str">
        <x:v>LO1-050</x:v>
      </x:c>
      <x:c r="B131" t="str">
        <x:v>LO1</x:v>
      </x:c>
      <x:c r="C131" t="str">
        <x:v>B</x:v>
      </x:c>
      <x:c r="D131" t="str">
        <x:v>改稿済み・専門家未承認</x:v>
      </x:c>
      <x:c r="E131" t="str">
        <x:v>N</x:v>
      </x:c>
    </x:row>
    <x:row r="132">
      <x:c r="A132" t="str">
        <x:v>LO1-051</x:v>
      </x:c>
      <x:c r="B132" t="str">
        <x:v>LO1</x:v>
      </x:c>
      <x:c r="C132" t="str">
        <x:v>C</x:v>
      </x:c>
      <x:c r="D132" t="str">
        <x:v>改稿済み・専門家未承認</x:v>
      </x:c>
      <x:c r="E132" t="str">
        <x:v>N</x:v>
      </x:c>
    </x:row>
    <x:row r="133">
      <x:c r="A133" t="str">
        <x:v>LO1-052</x:v>
      </x:c>
      <x:c r="B133" t="str">
        <x:v>LO1</x:v>
      </x:c>
      <x:c r="C133" t="str">
        <x:v>D</x:v>
      </x:c>
      <x:c r="D133" t="str">
        <x:v>改稿済み・専門家未承認</x:v>
      </x:c>
      <x:c r="E133" t="str">
        <x:v>N</x:v>
      </x:c>
    </x:row>
    <x:row r="134">
      <x:c r="A134" t="str">
        <x:v>LO1-053</x:v>
      </x:c>
      <x:c r="B134" t="str">
        <x:v>LO1</x:v>
      </x:c>
      <x:c r="C134" t="str">
        <x:v>A</x:v>
      </x:c>
      <x:c r="D134" t="str">
        <x:v>改稿済み・専門家未承認</x:v>
      </x:c>
      <x:c r="E134" t="str">
        <x:v>N</x:v>
      </x:c>
    </x:row>
    <x:row r="135">
      <x:c r="A135" t="str">
        <x:v>LO1-054</x:v>
      </x:c>
      <x:c r="B135" t="str">
        <x:v>LO1</x:v>
      </x:c>
      <x:c r="C135" t="str">
        <x:v>B</x:v>
      </x:c>
      <x:c r="D135" t="str">
        <x:v>改稿済み・専門家未承認</x:v>
      </x:c>
      <x:c r="E135" t="str">
        <x:v>N</x:v>
      </x:c>
    </x:row>
    <x:row r="136">
      <x:c r="A136" t="str">
        <x:v>LO1-055</x:v>
      </x:c>
      <x:c r="B136" t="str">
        <x:v>LO1</x:v>
      </x:c>
      <x:c r="C136" t="str">
        <x:v>C</x:v>
      </x:c>
      <x:c r="D136" t="str">
        <x:v>改稿済み・専門家未承認</x:v>
      </x:c>
      <x:c r="E136" t="str">
        <x:v>N</x:v>
      </x:c>
    </x:row>
    <x:row r="137">
      <x:c r="A137" t="str">
        <x:v>LO1-056</x:v>
      </x:c>
      <x:c r="B137" t="str">
        <x:v>LO1</x:v>
      </x:c>
      <x:c r="C137" t="str">
        <x:v>D</x:v>
      </x:c>
      <x:c r="D137" t="str">
        <x:v>改稿済み・専門家未承認</x:v>
      </x:c>
      <x:c r="E137" t="str">
        <x:v>N</x:v>
      </x:c>
    </x:row>
    <x:row r="138">
      <x:c r="A138" t="str">
        <x:v>LO1-057</x:v>
      </x:c>
      <x:c r="B138" t="str">
        <x:v>LO1</x:v>
      </x:c>
      <x:c r="C138" t="str">
        <x:v>A</x:v>
      </x:c>
      <x:c r="D138" t="str">
        <x:v>改稿済み・専門家未承認</x:v>
      </x:c>
      <x:c r="E138" t="str">
        <x:v>N</x:v>
      </x:c>
    </x:row>
    <x:row r="139">
      <x:c r="A139" t="str">
        <x:v>LO1-058</x:v>
      </x:c>
      <x:c r="B139" t="str">
        <x:v>LO1</x:v>
      </x:c>
      <x:c r="C139" t="str">
        <x:v>B</x:v>
      </x:c>
      <x:c r="D139" t="str">
        <x:v>改稿済み・専門家未承認</x:v>
      </x:c>
      <x:c r="E139" t="str">
        <x:v>N</x:v>
      </x:c>
    </x:row>
    <x:row r="140">
      <x:c r="A140" t="str">
        <x:v>LO1-059</x:v>
      </x:c>
      <x:c r="B140" t="str">
        <x:v>LO1</x:v>
      </x:c>
      <x:c r="C140" t="str">
        <x:v>C</x:v>
      </x:c>
      <x:c r="D140" t="str">
        <x:v>改稿済み・専門家未承認</x:v>
      </x:c>
      <x:c r="E140" t="str">
        <x:v>N</x:v>
      </x:c>
    </x:row>
    <x:row r="141">
      <x:c r="A141" t="str">
        <x:v>LO1-060</x:v>
      </x:c>
      <x:c r="B141" t="str">
        <x:v>LO1</x:v>
      </x:c>
      <x:c r="C141" t="str">
        <x:v>D</x:v>
      </x:c>
      <x:c r="D141" t="str">
        <x:v>改稿済み・専門家未承認</x:v>
      </x:c>
      <x:c r="E141" t="str">
        <x:v>N</x:v>
      </x:c>
    </x:row>
    <x:row r="142">
      <x:c r="A142" t="str">
        <x:v>LO2-021</x:v>
      </x:c>
      <x:c r="B142" t="str">
        <x:v>LO2</x:v>
      </x:c>
      <x:c r="C142" t="str">
        <x:v>A</x:v>
      </x:c>
      <x:c r="D142" t="str">
        <x:v>改稿済み・専門家未承認</x:v>
      </x:c>
      <x:c r="E142" t="str">
        <x:v>N</x:v>
      </x:c>
    </x:row>
    <x:row r="143">
      <x:c r="A143" t="str">
        <x:v>LO2-022</x:v>
      </x:c>
      <x:c r="B143" t="str">
        <x:v>LO2</x:v>
      </x:c>
      <x:c r="C143" t="str">
        <x:v>B</x:v>
      </x:c>
      <x:c r="D143" t="str">
        <x:v>改稿済み・専門家未承認</x:v>
      </x:c>
      <x:c r="E143" t="str">
        <x:v>N</x:v>
      </x:c>
    </x:row>
    <x:row r="144">
      <x:c r="A144" t="str">
        <x:v>LO2-023</x:v>
      </x:c>
      <x:c r="B144" t="str">
        <x:v>LO2</x:v>
      </x:c>
      <x:c r="C144" t="str">
        <x:v>C</x:v>
      </x:c>
      <x:c r="D144" t="str">
        <x:v>改稿済み・専門家未承認</x:v>
      </x:c>
      <x:c r="E144" t="str">
        <x:v>N</x:v>
      </x:c>
    </x:row>
    <x:row r="145">
      <x:c r="A145" t="str">
        <x:v>LO2-024</x:v>
      </x:c>
      <x:c r="B145" t="str">
        <x:v>LO2</x:v>
      </x:c>
      <x:c r="C145" t="str">
        <x:v>D</x:v>
      </x:c>
      <x:c r="D145" t="str">
        <x:v>改稿済み・専門家未承認</x:v>
      </x:c>
      <x:c r="E145" t="str">
        <x:v>N</x:v>
      </x:c>
    </x:row>
    <x:row r="146">
      <x:c r="A146" t="str">
        <x:v>LO2-025</x:v>
      </x:c>
      <x:c r="B146" t="str">
        <x:v>LO2</x:v>
      </x:c>
      <x:c r="C146" t="str">
        <x:v>A</x:v>
      </x:c>
      <x:c r="D146" t="str">
        <x:v>改稿済み・専門家未承認</x:v>
      </x:c>
      <x:c r="E146" t="str">
        <x:v>N</x:v>
      </x:c>
    </x:row>
    <x:row r="147">
      <x:c r="A147" t="str">
        <x:v>LO2-026</x:v>
      </x:c>
      <x:c r="B147" t="str">
        <x:v>LO2</x:v>
      </x:c>
      <x:c r="C147" t="str">
        <x:v>B</x:v>
      </x:c>
      <x:c r="D147" t="str">
        <x:v>改稿済み・専門家未承認</x:v>
      </x:c>
      <x:c r="E147" t="str">
        <x:v>N</x:v>
      </x:c>
    </x:row>
    <x:row r="148">
      <x:c r="A148" t="str">
        <x:v>LO2-027</x:v>
      </x:c>
      <x:c r="B148" t="str">
        <x:v>LO2</x:v>
      </x:c>
      <x:c r="C148" t="str">
        <x:v>C</x:v>
      </x:c>
      <x:c r="D148" t="str">
        <x:v>改稿済み・専門家未承認</x:v>
      </x:c>
      <x:c r="E148" t="str">
        <x:v>N</x:v>
      </x:c>
    </x:row>
    <x:row r="149">
      <x:c r="A149" t="str">
        <x:v>LO2-028</x:v>
      </x:c>
      <x:c r="B149" t="str">
        <x:v>LO2</x:v>
      </x:c>
      <x:c r="C149" t="str">
        <x:v>D</x:v>
      </x:c>
      <x:c r="D149" t="str">
        <x:v>改稿済み・専門家未承認</x:v>
      </x:c>
      <x:c r="E149" t="str">
        <x:v>N</x:v>
      </x:c>
    </x:row>
    <x:row r="150">
      <x:c r="A150" t="str">
        <x:v>LO2-029</x:v>
      </x:c>
      <x:c r="B150" t="str">
        <x:v>LO2</x:v>
      </x:c>
      <x:c r="C150" t="str">
        <x:v>A</x:v>
      </x:c>
      <x:c r="D150" t="str">
        <x:v>改稿済み・専門家未承認</x:v>
      </x:c>
      <x:c r="E150" t="str">
        <x:v>N</x:v>
      </x:c>
    </x:row>
    <x:row r="151">
      <x:c r="A151" t="str">
        <x:v>LO2-030</x:v>
      </x:c>
      <x:c r="B151" t="str">
        <x:v>LO2</x:v>
      </x:c>
      <x:c r="C151" t="str">
        <x:v>B</x:v>
      </x:c>
      <x:c r="D151" t="str">
        <x:v>改稿済み・専門家未承認</x:v>
      </x:c>
      <x:c r="E151" t="str">
        <x:v>N</x:v>
      </x:c>
    </x:row>
    <x:row r="152">
      <x:c r="A152" t="str">
        <x:v>LO2-031</x:v>
      </x:c>
      <x:c r="B152" t="str">
        <x:v>LO2</x:v>
      </x:c>
      <x:c r="C152" t="str">
        <x:v>C</x:v>
      </x:c>
      <x:c r="D152" t="str">
        <x:v>改稿済み・専門家未承認</x:v>
      </x:c>
      <x:c r="E152" t="str">
        <x:v>N</x:v>
      </x:c>
    </x:row>
    <x:row r="153">
      <x:c r="A153" t="str">
        <x:v>LO2-032</x:v>
      </x:c>
      <x:c r="B153" t="str">
        <x:v>LO2</x:v>
      </x:c>
      <x:c r="C153" t="str">
        <x:v>D</x:v>
      </x:c>
      <x:c r="D153" t="str">
        <x:v>改稿済み・専門家未承認</x:v>
      </x:c>
      <x:c r="E153" t="str">
        <x:v>N</x:v>
      </x:c>
    </x:row>
    <x:row r="154">
      <x:c r="A154" t="str">
        <x:v>LO2-033</x:v>
      </x:c>
      <x:c r="B154" t="str">
        <x:v>LO2</x:v>
      </x:c>
      <x:c r="C154" t="str">
        <x:v>A</x:v>
      </x:c>
      <x:c r="D154" t="str">
        <x:v>改稿済み・専門家未承認</x:v>
      </x:c>
      <x:c r="E154" t="str">
        <x:v>N</x:v>
      </x:c>
    </x:row>
    <x:row r="155">
      <x:c r="A155" t="str">
        <x:v>LO2-034</x:v>
      </x:c>
      <x:c r="B155" t="str">
        <x:v>LO2</x:v>
      </x:c>
      <x:c r="C155" t="str">
        <x:v>B</x:v>
      </x:c>
      <x:c r="D155" t="str">
        <x:v>改稿済み・専門家未承認</x:v>
      </x:c>
      <x:c r="E155" t="str">
        <x:v>N</x:v>
      </x:c>
    </x:row>
    <x:row r="156">
      <x:c r="A156" t="str">
        <x:v>LO2-035</x:v>
      </x:c>
      <x:c r="B156" t="str">
        <x:v>LO2</x:v>
      </x:c>
      <x:c r="C156" t="str">
        <x:v>C</x:v>
      </x:c>
      <x:c r="D156" t="str">
        <x:v>改稿済み・専門家未承認</x:v>
      </x:c>
      <x:c r="E156" t="str">
        <x:v>Y</x:v>
      </x:c>
    </x:row>
    <x:row r="157">
      <x:c r="A157" t="str">
        <x:v>LO2-036</x:v>
      </x:c>
      <x:c r="B157" t="str">
        <x:v>LO2</x:v>
      </x:c>
      <x:c r="C157" t="str">
        <x:v>D</x:v>
      </x:c>
      <x:c r="D157" t="str">
        <x:v>改稿済み・専門家未承認</x:v>
      </x:c>
      <x:c r="E157" t="str">
        <x:v>N</x:v>
      </x:c>
    </x:row>
    <x:row r="158">
      <x:c r="A158" t="str">
        <x:v>LO2-037</x:v>
      </x:c>
      <x:c r="B158" t="str">
        <x:v>LO2</x:v>
      </x:c>
      <x:c r="C158" t="str">
        <x:v>A</x:v>
      </x:c>
      <x:c r="D158" t="str">
        <x:v>改稿済み・専門家未承認</x:v>
      </x:c>
      <x:c r="E158" t="str">
        <x:v>N</x:v>
      </x:c>
    </x:row>
    <x:row r="159">
      <x:c r="A159" t="str">
        <x:v>LO2-038</x:v>
      </x:c>
      <x:c r="B159" t="str">
        <x:v>LO2</x:v>
      </x:c>
      <x:c r="C159" t="str">
        <x:v>B</x:v>
      </x:c>
      <x:c r="D159" t="str">
        <x:v>改稿済み・専門家未承認</x:v>
      </x:c>
      <x:c r="E159" t="str">
        <x:v>N</x:v>
      </x:c>
    </x:row>
    <x:row r="160">
      <x:c r="A160" t="str">
        <x:v>LO2-039</x:v>
      </x:c>
      <x:c r="B160" t="str">
        <x:v>LO2</x:v>
      </x:c>
      <x:c r="C160" t="str">
        <x:v>C</x:v>
      </x:c>
      <x:c r="D160" t="str">
        <x:v>改稿済み・専門家未承認</x:v>
      </x:c>
      <x:c r="E160" t="str">
        <x:v>N</x:v>
      </x:c>
    </x:row>
    <x:row r="161">
      <x:c r="A161" t="str">
        <x:v>LO2-040</x:v>
      </x:c>
      <x:c r="B161" t="str">
        <x:v>LO2</x:v>
      </x:c>
      <x:c r="C161" t="str">
        <x:v>D</x:v>
      </x:c>
      <x:c r="D161" t="str">
        <x:v>改稿済み・専門家未承認</x:v>
      </x:c>
      <x:c r="E161" t="str">
        <x:v>N</x:v>
      </x:c>
    </x:row>
    <x:row r="162">
      <x:c r="A162" t="str">
        <x:v>LO2-041</x:v>
      </x:c>
      <x:c r="B162" t="str">
        <x:v>LO2</x:v>
      </x:c>
      <x:c r="C162" t="str">
        <x:v>A</x:v>
      </x:c>
      <x:c r="D162" t="str">
        <x:v>改稿済み・専門家未承認</x:v>
      </x:c>
      <x:c r="E162" t="str">
        <x:v>N</x:v>
      </x:c>
    </x:row>
    <x:row r="163">
      <x:c r="A163" t="str">
        <x:v>LO2-042</x:v>
      </x:c>
      <x:c r="B163" t="str">
        <x:v>LO2</x:v>
      </x:c>
      <x:c r="C163" t="str">
        <x:v>B</x:v>
      </x:c>
      <x:c r="D163" t="str">
        <x:v>改稿済み・専門家未承認</x:v>
      </x:c>
      <x:c r="E163" t="str">
        <x:v>N</x:v>
      </x:c>
    </x:row>
    <x:row r="164">
      <x:c r="A164" t="str">
        <x:v>LO2-043</x:v>
      </x:c>
      <x:c r="B164" t="str">
        <x:v>LO2</x:v>
      </x:c>
      <x:c r="C164" t="str">
        <x:v>C</x:v>
      </x:c>
      <x:c r="D164" t="str">
        <x:v>改稿済み・専門家未承認</x:v>
      </x:c>
      <x:c r="E164" t="str">
        <x:v>N</x:v>
      </x:c>
    </x:row>
    <x:row r="165">
      <x:c r="A165" t="str">
        <x:v>LO2-044</x:v>
      </x:c>
      <x:c r="B165" t="str">
        <x:v>LO2</x:v>
      </x:c>
      <x:c r="C165" t="str">
        <x:v>D</x:v>
      </x:c>
      <x:c r="D165" t="str">
        <x:v>改稿済み・専門家未承認</x:v>
      </x:c>
      <x:c r="E165" t="str">
        <x:v>N</x:v>
      </x:c>
    </x:row>
    <x:row r="166">
      <x:c r="A166" t="str">
        <x:v>LO2-045</x:v>
      </x:c>
      <x:c r="B166" t="str">
        <x:v>LO2</x:v>
      </x:c>
      <x:c r="C166" t="str">
        <x:v>A</x:v>
      </x:c>
      <x:c r="D166" t="str">
        <x:v>改稿済み・専門家未承認</x:v>
      </x:c>
      <x:c r="E166" t="str">
        <x:v>N</x:v>
      </x:c>
    </x:row>
    <x:row r="167">
      <x:c r="A167" t="str">
        <x:v>LO2-046</x:v>
      </x:c>
      <x:c r="B167" t="str">
        <x:v>LO2</x:v>
      </x:c>
      <x:c r="C167" t="str">
        <x:v>B</x:v>
      </x:c>
      <x:c r="D167" t="str">
        <x:v>改稿済み・専門家未承認</x:v>
      </x:c>
      <x:c r="E167" t="str">
        <x:v>N</x:v>
      </x:c>
    </x:row>
    <x:row r="168">
      <x:c r="A168" t="str">
        <x:v>LO2-047</x:v>
      </x:c>
      <x:c r="B168" t="str">
        <x:v>LO2</x:v>
      </x:c>
      <x:c r="C168" t="str">
        <x:v>C</x:v>
      </x:c>
      <x:c r="D168" t="str">
        <x:v>改稿済み・専門家未承認</x:v>
      </x:c>
      <x:c r="E168" t="str">
        <x:v>N</x:v>
      </x:c>
    </x:row>
    <x:row r="169">
      <x:c r="A169" t="str">
        <x:v>LO2-048</x:v>
      </x:c>
      <x:c r="B169" t="str">
        <x:v>LO2</x:v>
      </x:c>
      <x:c r="C169" t="str">
        <x:v>D</x:v>
      </x:c>
      <x:c r="D169" t="str">
        <x:v>改稿済み・専門家未承認</x:v>
      </x:c>
      <x:c r="E169" t="str">
        <x:v>N</x:v>
      </x:c>
    </x:row>
    <x:row r="170">
      <x:c r="A170" t="str">
        <x:v>LO2-049</x:v>
      </x:c>
      <x:c r="B170" t="str">
        <x:v>LO2</x:v>
      </x:c>
      <x:c r="C170" t="str">
        <x:v>A</x:v>
      </x:c>
      <x:c r="D170" t="str">
        <x:v>改稿済み・専門家未承認</x:v>
      </x:c>
      <x:c r="E170" t="str">
        <x:v>N</x:v>
      </x:c>
    </x:row>
    <x:row r="171">
      <x:c r="A171" t="str">
        <x:v>LO2-050</x:v>
      </x:c>
      <x:c r="B171" t="str">
        <x:v>LO2</x:v>
      </x:c>
      <x:c r="C171" t="str">
        <x:v>B</x:v>
      </x:c>
      <x:c r="D171" t="str">
        <x:v>改稿済み・専門家未承認</x:v>
      </x:c>
      <x:c r="E171" t="str">
        <x:v>N</x:v>
      </x:c>
    </x:row>
    <x:row r="172">
      <x:c r="A172" t="str">
        <x:v>LO2-051</x:v>
      </x:c>
      <x:c r="B172" t="str">
        <x:v>LO2</x:v>
      </x:c>
      <x:c r="C172" t="str">
        <x:v>C</x:v>
      </x:c>
      <x:c r="D172" t="str">
        <x:v>改稿済み・専門家未承認</x:v>
      </x:c>
      <x:c r="E172" t="str">
        <x:v>N</x:v>
      </x:c>
    </x:row>
    <x:row r="173">
      <x:c r="A173" t="str">
        <x:v>LO2-052</x:v>
      </x:c>
      <x:c r="B173" t="str">
        <x:v>LO2</x:v>
      </x:c>
      <x:c r="C173" t="str">
        <x:v>D</x:v>
      </x:c>
      <x:c r="D173" t="str">
        <x:v>改稿済み・専門家未承認</x:v>
      </x:c>
      <x:c r="E173" t="str">
        <x:v>N</x:v>
      </x:c>
    </x:row>
    <x:row r="174">
      <x:c r="A174" t="str">
        <x:v>LO2-053</x:v>
      </x:c>
      <x:c r="B174" t="str">
        <x:v>LO2</x:v>
      </x:c>
      <x:c r="C174" t="str">
        <x:v>A</x:v>
      </x:c>
      <x:c r="D174" t="str">
        <x:v>改稿済み・専門家未承認</x:v>
      </x:c>
      <x:c r="E174" t="str">
        <x:v>N</x:v>
      </x:c>
    </x:row>
    <x:row r="175">
      <x:c r="A175" t="str">
        <x:v>LO2-054</x:v>
      </x:c>
      <x:c r="B175" t="str">
        <x:v>LO2</x:v>
      </x:c>
      <x:c r="C175" t="str">
        <x:v>B</x:v>
      </x:c>
      <x:c r="D175" t="str">
        <x:v>改稿済み・専門家未承認</x:v>
      </x:c>
      <x:c r="E175" t="str">
        <x:v>N</x:v>
      </x:c>
    </x:row>
    <x:row r="176">
      <x:c r="A176" t="str">
        <x:v>LO2-055</x:v>
      </x:c>
      <x:c r="B176" t="str">
        <x:v>LO2</x:v>
      </x:c>
      <x:c r="C176" t="str">
        <x:v>C</x:v>
      </x:c>
      <x:c r="D176" t="str">
        <x:v>改稿済み・専門家未承認</x:v>
      </x:c>
      <x:c r="E176" t="str">
        <x:v>N</x:v>
      </x:c>
    </x:row>
    <x:row r="177">
      <x:c r="A177" t="str">
        <x:v>LO2-056</x:v>
      </x:c>
      <x:c r="B177" t="str">
        <x:v>LO2</x:v>
      </x:c>
      <x:c r="C177" t="str">
        <x:v>D</x:v>
      </x:c>
      <x:c r="D177" t="str">
        <x:v>改稿済み・専門家未承認</x:v>
      </x:c>
      <x:c r="E177" t="str">
        <x:v>N</x:v>
      </x:c>
    </x:row>
    <x:row r="178">
      <x:c r="A178" t="str">
        <x:v>LO2-057</x:v>
      </x:c>
      <x:c r="B178" t="str">
        <x:v>LO2</x:v>
      </x:c>
      <x:c r="C178" t="str">
        <x:v>A</x:v>
      </x:c>
      <x:c r="D178" t="str">
        <x:v>改稿済み・専門家未承認</x:v>
      </x:c>
      <x:c r="E178" t="str">
        <x:v>N</x:v>
      </x:c>
    </x:row>
    <x:row r="179">
      <x:c r="A179" t="str">
        <x:v>LO2-058</x:v>
      </x:c>
      <x:c r="B179" t="str">
        <x:v>LO2</x:v>
      </x:c>
      <x:c r="C179" t="str">
        <x:v>B</x:v>
      </x:c>
      <x:c r="D179" t="str">
        <x:v>改稿済み・専門家未承認</x:v>
      </x:c>
      <x:c r="E179" t="str">
        <x:v>N</x:v>
      </x:c>
    </x:row>
    <x:row r="180">
      <x:c r="A180" t="str">
        <x:v>LO2-059</x:v>
      </x:c>
      <x:c r="B180" t="str">
        <x:v>LO2</x:v>
      </x:c>
      <x:c r="C180" t="str">
        <x:v>C</x:v>
      </x:c>
      <x:c r="D180" t="str">
        <x:v>改稿済み・専門家未承認</x:v>
      </x:c>
      <x:c r="E180" t="str">
        <x:v>N</x:v>
      </x:c>
    </x:row>
    <x:row r="181">
      <x:c r="A181" t="str">
        <x:v>LO2-060</x:v>
      </x:c>
      <x:c r="B181" t="str">
        <x:v>LO2</x:v>
      </x:c>
      <x:c r="C181" t="str">
        <x:v>D</x:v>
      </x:c>
      <x:c r="D181" t="str">
        <x:v>改稿済み・専門家未承認</x:v>
      </x:c>
      <x:c r="E181" t="str">
        <x:v>N</x:v>
      </x:c>
    </x:row>
    <x:row r="182">
      <x:c r="A182" t="str">
        <x:v>LO3-021</x:v>
      </x:c>
      <x:c r="B182" t="str">
        <x:v>LO3</x:v>
      </x:c>
      <x:c r="C182" t="str">
        <x:v>A</x:v>
      </x:c>
      <x:c r="D182" t="str">
        <x:v>改稿済み・専門家未承認</x:v>
      </x:c>
      <x:c r="E182" t="str">
        <x:v>N</x:v>
      </x:c>
    </x:row>
    <x:row r="183">
      <x:c r="A183" t="str">
        <x:v>LO3-022</x:v>
      </x:c>
      <x:c r="B183" t="str">
        <x:v>LO3</x:v>
      </x:c>
      <x:c r="C183" t="str">
        <x:v>B</x:v>
      </x:c>
      <x:c r="D183" t="str">
        <x:v>改稿済み・専門家未承認</x:v>
      </x:c>
      <x:c r="E183" t="str">
        <x:v>N</x:v>
      </x:c>
    </x:row>
    <x:row r="184">
      <x:c r="A184" t="str">
        <x:v>LO3-023</x:v>
      </x:c>
      <x:c r="B184" t="str">
        <x:v>LO3</x:v>
      </x:c>
      <x:c r="C184" t="str">
        <x:v>C</x:v>
      </x:c>
      <x:c r="D184" t="str">
        <x:v>改稿済み・専門家未承認</x:v>
      </x:c>
      <x:c r="E184" t="str">
        <x:v>N</x:v>
      </x:c>
    </x:row>
    <x:row r="185">
      <x:c r="A185" t="str">
        <x:v>LO3-024</x:v>
      </x:c>
      <x:c r="B185" t="str">
        <x:v>LO3</x:v>
      </x:c>
      <x:c r="C185" t="str">
        <x:v>D</x:v>
      </x:c>
      <x:c r="D185" t="str">
        <x:v>改稿済み・専門家未承認</x:v>
      </x:c>
      <x:c r="E185" t="str">
        <x:v>N</x:v>
      </x:c>
    </x:row>
    <x:row r="186">
      <x:c r="A186" t="str">
        <x:v>LO3-025</x:v>
      </x:c>
      <x:c r="B186" t="str">
        <x:v>LO3</x:v>
      </x:c>
      <x:c r="C186" t="str">
        <x:v>A</x:v>
      </x:c>
      <x:c r="D186" t="str">
        <x:v>改稿済み・専門家未承認</x:v>
      </x:c>
      <x:c r="E186" t="str">
        <x:v>N</x:v>
      </x:c>
    </x:row>
    <x:row r="187">
      <x:c r="A187" t="str">
        <x:v>LO3-026</x:v>
      </x:c>
      <x:c r="B187" t="str">
        <x:v>LO3</x:v>
      </x:c>
      <x:c r="C187" t="str">
        <x:v>B</x:v>
      </x:c>
      <x:c r="D187" t="str">
        <x:v>改稿済み・専門家未承認</x:v>
      </x:c>
      <x:c r="E187" t="str">
        <x:v>N</x:v>
      </x:c>
    </x:row>
    <x:row r="188">
      <x:c r="A188" t="str">
        <x:v>LO3-027</x:v>
      </x:c>
      <x:c r="B188" t="str">
        <x:v>LO3</x:v>
      </x:c>
      <x:c r="C188" t="str">
        <x:v>C</x:v>
      </x:c>
      <x:c r="D188" t="str">
        <x:v>改稿済み・専門家未承認</x:v>
      </x:c>
      <x:c r="E188" t="str">
        <x:v>N</x:v>
      </x:c>
    </x:row>
    <x:row r="189">
      <x:c r="A189" t="str">
        <x:v>LO3-028</x:v>
      </x:c>
      <x:c r="B189" t="str">
        <x:v>LO3</x:v>
      </x:c>
      <x:c r="C189" t="str">
        <x:v>D</x:v>
      </x:c>
      <x:c r="D189" t="str">
        <x:v>改稿済み・専門家未承認</x:v>
      </x:c>
      <x:c r="E189" t="str">
        <x:v>N</x:v>
      </x:c>
    </x:row>
    <x:row r="190">
      <x:c r="A190" t="str">
        <x:v>LO3-029</x:v>
      </x:c>
      <x:c r="B190" t="str">
        <x:v>LO3</x:v>
      </x:c>
      <x:c r="C190" t="str">
        <x:v>A</x:v>
      </x:c>
      <x:c r="D190" t="str">
        <x:v>改稿済み・専門家未承認</x:v>
      </x:c>
      <x:c r="E190" t="str">
        <x:v>N</x:v>
      </x:c>
    </x:row>
    <x:row r="191">
      <x:c r="A191" t="str">
        <x:v>LO3-030</x:v>
      </x:c>
      <x:c r="B191" t="str">
        <x:v>LO3</x:v>
      </x:c>
      <x:c r="C191" t="str">
        <x:v>B</x:v>
      </x:c>
      <x:c r="D191" t="str">
        <x:v>改稿済み・専門家未承認</x:v>
      </x:c>
      <x:c r="E191" t="str">
        <x:v>N</x:v>
      </x:c>
    </x:row>
    <x:row r="192">
      <x:c r="A192" t="str">
        <x:v>LO3-031</x:v>
      </x:c>
      <x:c r="B192" t="str">
        <x:v>LO3</x:v>
      </x:c>
      <x:c r="C192" t="str">
        <x:v>C</x:v>
      </x:c>
      <x:c r="D192" t="str">
        <x:v>改稿済み・専門家未承認</x:v>
      </x:c>
      <x:c r="E192" t="str">
        <x:v>Y</x:v>
      </x:c>
    </x:row>
    <x:row r="193">
      <x:c r="A193" t="str">
        <x:v>LO3-032</x:v>
      </x:c>
      <x:c r="B193" t="str">
        <x:v>LO3</x:v>
      </x:c>
      <x:c r="C193" t="str">
        <x:v>D</x:v>
      </x:c>
      <x:c r="D193" t="str">
        <x:v>改稿済み・専門家未承認</x:v>
      </x:c>
      <x:c r="E193" t="str">
        <x:v>N</x:v>
      </x:c>
    </x:row>
    <x:row r="194">
      <x:c r="A194" t="str">
        <x:v>LO3-033</x:v>
      </x:c>
      <x:c r="B194" t="str">
        <x:v>LO3</x:v>
      </x:c>
      <x:c r="C194" t="str">
        <x:v>A</x:v>
      </x:c>
      <x:c r="D194" t="str">
        <x:v>改稿済み・専門家未承認</x:v>
      </x:c>
      <x:c r="E194" t="str">
        <x:v>N</x:v>
      </x:c>
    </x:row>
    <x:row r="195">
      <x:c r="A195" t="str">
        <x:v>LO3-034</x:v>
      </x:c>
      <x:c r="B195" t="str">
        <x:v>LO3</x:v>
      </x:c>
      <x:c r="C195" t="str">
        <x:v>B</x:v>
      </x:c>
      <x:c r="D195" t="str">
        <x:v>改稿済み・専門家未承認</x:v>
      </x:c>
      <x:c r="E195" t="str">
        <x:v>N</x:v>
      </x:c>
    </x:row>
    <x:row r="196">
      <x:c r="A196" t="str">
        <x:v>LO3-035</x:v>
      </x:c>
      <x:c r="B196" t="str">
        <x:v>LO3</x:v>
      </x:c>
      <x:c r="C196" t="str">
        <x:v>C</x:v>
      </x:c>
      <x:c r="D196" t="str">
        <x:v>改稿済み・専門家未承認</x:v>
      </x:c>
      <x:c r="E196" t="str">
        <x:v>N</x:v>
      </x:c>
    </x:row>
    <x:row r="197">
      <x:c r="A197" t="str">
        <x:v>LO3-036</x:v>
      </x:c>
      <x:c r="B197" t="str">
        <x:v>LO3</x:v>
      </x:c>
      <x:c r="C197" t="str">
        <x:v>D</x:v>
      </x:c>
      <x:c r="D197" t="str">
        <x:v>改稿済み・専門家未承認</x:v>
      </x:c>
      <x:c r="E197" t="str">
        <x:v>N</x:v>
      </x:c>
    </x:row>
    <x:row r="198">
      <x:c r="A198" t="str">
        <x:v>LO3-037</x:v>
      </x:c>
      <x:c r="B198" t="str">
        <x:v>LO3</x:v>
      </x:c>
      <x:c r="C198" t="str">
        <x:v>A</x:v>
      </x:c>
      <x:c r="D198" t="str">
        <x:v>改稿済み・専門家未承認</x:v>
      </x:c>
      <x:c r="E198" t="str">
        <x:v>Y</x:v>
      </x:c>
    </x:row>
    <x:row r="199">
      <x:c r="A199" t="str">
        <x:v>LO3-038</x:v>
      </x:c>
      <x:c r="B199" t="str">
        <x:v>LO3</x:v>
      </x:c>
      <x:c r="C199" t="str">
        <x:v>B</x:v>
      </x:c>
      <x:c r="D199" t="str">
        <x:v>改稿済み・専門家未承認</x:v>
      </x:c>
      <x:c r="E199" t="str">
        <x:v>N</x:v>
      </x:c>
    </x:row>
    <x:row r="200">
      <x:c r="A200" t="str">
        <x:v>LO3-039</x:v>
      </x:c>
      <x:c r="B200" t="str">
        <x:v>LO3</x:v>
      </x:c>
      <x:c r="C200" t="str">
        <x:v>C</x:v>
      </x:c>
      <x:c r="D200" t="str">
        <x:v>改稿済み・専門家未承認</x:v>
      </x:c>
      <x:c r="E200" t="str">
        <x:v>N</x:v>
      </x:c>
    </x:row>
    <x:row r="201">
      <x:c r="A201" t="str">
        <x:v>LO3-040</x:v>
      </x:c>
      <x:c r="B201" t="str">
        <x:v>LO3</x:v>
      </x:c>
      <x:c r="C201" t="str">
        <x:v>D</x:v>
      </x:c>
      <x:c r="D201" t="str">
        <x:v>改稿済み・専門家未承認</x:v>
      </x:c>
      <x:c r="E201" t="str">
        <x:v>N</x:v>
      </x:c>
    </x:row>
    <x:row r="202">
      <x:c r="A202" t="str">
        <x:v>LO3-041</x:v>
      </x:c>
      <x:c r="B202" t="str">
        <x:v>LO3</x:v>
      </x:c>
      <x:c r="C202" t="str">
        <x:v>A</x:v>
      </x:c>
      <x:c r="D202" t="str">
        <x:v>改稿済み・専門家未承認</x:v>
      </x:c>
      <x:c r="E202" t="str">
        <x:v>N</x:v>
      </x:c>
    </x:row>
    <x:row r="203">
      <x:c r="A203" t="str">
        <x:v>LO3-042</x:v>
      </x:c>
      <x:c r="B203" t="str">
        <x:v>LO3</x:v>
      </x:c>
      <x:c r="C203" t="str">
        <x:v>B</x:v>
      </x:c>
      <x:c r="D203" t="str">
        <x:v>改稿済み・専門家未承認</x:v>
      </x:c>
      <x:c r="E203" t="str">
        <x:v>N</x:v>
      </x:c>
    </x:row>
    <x:row r="204">
      <x:c r="A204" t="str">
        <x:v>LO3-043</x:v>
      </x:c>
      <x:c r="B204" t="str">
        <x:v>LO3</x:v>
      </x:c>
      <x:c r="C204" t="str">
        <x:v>C</x:v>
      </x:c>
      <x:c r="D204" t="str">
        <x:v>改稿済み・専門家未承認</x:v>
      </x:c>
      <x:c r="E204" t="str">
        <x:v>N</x:v>
      </x:c>
    </x:row>
    <x:row r="205">
      <x:c r="A205" t="str">
        <x:v>LO3-044</x:v>
      </x:c>
      <x:c r="B205" t="str">
        <x:v>LO3</x:v>
      </x:c>
      <x:c r="C205" t="str">
        <x:v>D</x:v>
      </x:c>
      <x:c r="D205" t="str">
        <x:v>改稿済み・専門家未承認</x:v>
      </x:c>
      <x:c r="E205" t="str">
        <x:v>N</x:v>
      </x:c>
    </x:row>
    <x:row r="206">
      <x:c r="A206" t="str">
        <x:v>LO3-045</x:v>
      </x:c>
      <x:c r="B206" t="str">
        <x:v>LO3</x:v>
      </x:c>
      <x:c r="C206" t="str">
        <x:v>A</x:v>
      </x:c>
      <x:c r="D206" t="str">
        <x:v>改稿済み・専門家未承認</x:v>
      </x:c>
      <x:c r="E206" t="str">
        <x:v>N</x:v>
      </x:c>
    </x:row>
    <x:row r="207">
      <x:c r="A207" t="str">
        <x:v>LO3-046</x:v>
      </x:c>
      <x:c r="B207" t="str">
        <x:v>LO3</x:v>
      </x:c>
      <x:c r="C207" t="str">
        <x:v>B</x:v>
      </x:c>
      <x:c r="D207" t="str">
        <x:v>改稿済み・専門家未承認</x:v>
      </x:c>
      <x:c r="E207" t="str">
        <x:v>N</x:v>
      </x:c>
    </x:row>
    <x:row r="208">
      <x:c r="A208" t="str">
        <x:v>LO3-047</x:v>
      </x:c>
      <x:c r="B208" t="str">
        <x:v>LO3</x:v>
      </x:c>
      <x:c r="C208" t="str">
        <x:v>C</x:v>
      </x:c>
      <x:c r="D208" t="str">
        <x:v>改稿済み・専門家未承認</x:v>
      </x:c>
      <x:c r="E208" t="str">
        <x:v>N</x:v>
      </x:c>
    </x:row>
    <x:row r="209">
      <x:c r="A209" t="str">
        <x:v>LO3-048</x:v>
      </x:c>
      <x:c r="B209" t="str">
        <x:v>LO3</x:v>
      </x:c>
      <x:c r="C209" t="str">
        <x:v>D</x:v>
      </x:c>
      <x:c r="D209" t="str">
        <x:v>改稿済み・専門家未承認</x:v>
      </x:c>
      <x:c r="E209" t="str">
        <x:v>N</x:v>
      </x:c>
    </x:row>
    <x:row r="210">
      <x:c r="A210" t="str">
        <x:v>LO3-049</x:v>
      </x:c>
      <x:c r="B210" t="str">
        <x:v>LO3</x:v>
      </x:c>
      <x:c r="C210" t="str">
        <x:v>A</x:v>
      </x:c>
      <x:c r="D210" t="str">
        <x:v>改稿済み・専門家未承認</x:v>
      </x:c>
      <x:c r="E210" t="str">
        <x:v>Y</x:v>
      </x:c>
    </x:row>
    <x:row r="211">
      <x:c r="A211" t="str">
        <x:v>LO3-050</x:v>
      </x:c>
      <x:c r="B211" t="str">
        <x:v>LO3</x:v>
      </x:c>
      <x:c r="C211" t="str">
        <x:v>B</x:v>
      </x:c>
      <x:c r="D211" t="str">
        <x:v>改稿済み・専門家未承認</x:v>
      </x:c>
      <x:c r="E211" t="str">
        <x:v>N</x:v>
      </x:c>
    </x:row>
    <x:row r="212">
      <x:c r="A212" t="str">
        <x:v>LO3-051</x:v>
      </x:c>
      <x:c r="B212" t="str">
        <x:v>LO3</x:v>
      </x:c>
      <x:c r="C212" t="str">
        <x:v>C</x:v>
      </x:c>
      <x:c r="D212" t="str">
        <x:v>改稿済み・専門家未承認</x:v>
      </x:c>
      <x:c r="E212" t="str">
        <x:v>N</x:v>
      </x:c>
    </x:row>
    <x:row r="213">
      <x:c r="A213" t="str">
        <x:v>LO3-052</x:v>
      </x:c>
      <x:c r="B213" t="str">
        <x:v>LO3</x:v>
      </x:c>
      <x:c r="C213" t="str">
        <x:v>D</x:v>
      </x:c>
      <x:c r="D213" t="str">
        <x:v>改稿済み・専門家未承認</x:v>
      </x:c>
      <x:c r="E213" t="str">
        <x:v>N</x:v>
      </x:c>
    </x:row>
    <x:row r="214">
      <x:c r="A214" t="str">
        <x:v>LO3-053</x:v>
      </x:c>
      <x:c r="B214" t="str">
        <x:v>LO3</x:v>
      </x:c>
      <x:c r="C214" t="str">
        <x:v>A</x:v>
      </x:c>
      <x:c r="D214" t="str">
        <x:v>改稿済み・専門家未承認</x:v>
      </x:c>
      <x:c r="E214" t="str">
        <x:v>N</x:v>
      </x:c>
    </x:row>
    <x:row r="215">
      <x:c r="A215" t="str">
        <x:v>LO3-054</x:v>
      </x:c>
      <x:c r="B215" t="str">
        <x:v>LO3</x:v>
      </x:c>
      <x:c r="C215" t="str">
        <x:v>B</x:v>
      </x:c>
      <x:c r="D215" t="str">
        <x:v>改稿済み・専門家未承認</x:v>
      </x:c>
      <x:c r="E215" t="str">
        <x:v>N</x:v>
      </x:c>
    </x:row>
    <x:row r="216">
      <x:c r="A216" t="str">
        <x:v>LO3-055</x:v>
      </x:c>
      <x:c r="B216" t="str">
        <x:v>LO3</x:v>
      </x:c>
      <x:c r="C216" t="str">
        <x:v>C</x:v>
      </x:c>
      <x:c r="D216" t="str">
        <x:v>改稿済み・専門家未承認</x:v>
      </x:c>
      <x:c r="E216" t="str">
        <x:v>N</x:v>
      </x:c>
    </x:row>
    <x:row r="217">
      <x:c r="A217" t="str">
        <x:v>LO3-056</x:v>
      </x:c>
      <x:c r="B217" t="str">
        <x:v>LO3</x:v>
      </x:c>
      <x:c r="C217" t="str">
        <x:v>D</x:v>
      </x:c>
      <x:c r="D217" t="str">
        <x:v>改稿済み・専門家未承認</x:v>
      </x:c>
      <x:c r="E217" t="str">
        <x:v>N</x:v>
      </x:c>
    </x:row>
    <x:row r="218">
      <x:c r="A218" t="str">
        <x:v>LO3-057</x:v>
      </x:c>
      <x:c r="B218" t="str">
        <x:v>LO3</x:v>
      </x:c>
      <x:c r="C218" t="str">
        <x:v>A</x:v>
      </x:c>
      <x:c r="D218" t="str">
        <x:v>改稿済み・専門家未承認</x:v>
      </x:c>
      <x:c r="E218" t="str">
        <x:v>N</x:v>
      </x:c>
    </x:row>
    <x:row r="219">
      <x:c r="A219" t="str">
        <x:v>LO3-058</x:v>
      </x:c>
      <x:c r="B219" t="str">
        <x:v>LO3</x:v>
      </x:c>
      <x:c r="C219" t="str">
        <x:v>B</x:v>
      </x:c>
      <x:c r="D219" t="str">
        <x:v>改稿済み・専門家未承認</x:v>
      </x:c>
      <x:c r="E219" t="str">
        <x:v>N</x:v>
      </x:c>
    </x:row>
    <x:row r="220">
      <x:c r="A220" t="str">
        <x:v>LO3-059</x:v>
      </x:c>
      <x:c r="B220" t="str">
        <x:v>LO3</x:v>
      </x:c>
      <x:c r="C220" t="str">
        <x:v>C</x:v>
      </x:c>
      <x:c r="D220" t="str">
        <x:v>改稿済み・専門家未承認</x:v>
      </x:c>
      <x:c r="E220" t="str">
        <x:v>N</x:v>
      </x:c>
    </x:row>
    <x:row r="221">
      <x:c r="A221" t="str">
        <x:v>LO3-060</x:v>
      </x:c>
      <x:c r="B221" t="str">
        <x:v>LO3</x:v>
      </x:c>
      <x:c r="C221" t="str">
        <x:v>D</x:v>
      </x:c>
      <x:c r="D221" t="str">
        <x:v>改稿済み・専門家未承認</x:v>
      </x:c>
      <x:c r="E221" t="str">
        <x:v>N</x:v>
      </x:c>
    </x:row>
    <x:row r="222">
      <x:c r="A222" t="str">
        <x:v>LO4-021</x:v>
      </x:c>
      <x:c r="B222" t="str">
        <x:v>LO4</x:v>
      </x:c>
      <x:c r="C222" t="str">
        <x:v>A</x:v>
      </x:c>
      <x:c r="D222" t="str">
        <x:v>改稿済み・専門家未承認</x:v>
      </x:c>
      <x:c r="E222" t="str">
        <x:v>N</x:v>
      </x:c>
    </x:row>
    <x:row r="223">
      <x:c r="A223" t="str">
        <x:v>LO4-022</x:v>
      </x:c>
      <x:c r="B223" t="str">
        <x:v>LO4</x:v>
      </x:c>
      <x:c r="C223" t="str">
        <x:v>B</x:v>
      </x:c>
      <x:c r="D223" t="str">
        <x:v>改稿済み・専門家未承認</x:v>
      </x:c>
      <x:c r="E223" t="str">
        <x:v>N</x:v>
      </x:c>
    </x:row>
    <x:row r="224">
      <x:c r="A224" t="str">
        <x:v>LO4-023</x:v>
      </x:c>
      <x:c r="B224" t="str">
        <x:v>LO4</x:v>
      </x:c>
      <x:c r="C224" t="str">
        <x:v>C</x:v>
      </x:c>
      <x:c r="D224" t="str">
        <x:v>改稿済み・専門家未承認</x:v>
      </x:c>
      <x:c r="E224" t="str">
        <x:v>N</x:v>
      </x:c>
    </x:row>
    <x:row r="225">
      <x:c r="A225" t="str">
        <x:v>LO4-024</x:v>
      </x:c>
      <x:c r="B225" t="str">
        <x:v>LO4</x:v>
      </x:c>
      <x:c r="C225" t="str">
        <x:v>D</x:v>
      </x:c>
      <x:c r="D225" t="str">
        <x:v>改稿済み・専門家未承認</x:v>
      </x:c>
      <x:c r="E225" t="str">
        <x:v>N</x:v>
      </x:c>
    </x:row>
    <x:row r="226">
      <x:c r="A226" t="str">
        <x:v>LO4-025</x:v>
      </x:c>
      <x:c r="B226" t="str">
        <x:v>LO4</x:v>
      </x:c>
      <x:c r="C226" t="str">
        <x:v>A</x:v>
      </x:c>
      <x:c r="D226" t="str">
        <x:v>改稿済み・専門家未承認</x:v>
      </x:c>
      <x:c r="E226" t="str">
        <x:v>N</x:v>
      </x:c>
    </x:row>
    <x:row r="227">
      <x:c r="A227" t="str">
        <x:v>LO4-026</x:v>
      </x:c>
      <x:c r="B227" t="str">
        <x:v>LO4</x:v>
      </x:c>
      <x:c r="C227" t="str">
        <x:v>B</x:v>
      </x:c>
      <x:c r="D227" t="str">
        <x:v>改稿済み・専門家未承認</x:v>
      </x:c>
      <x:c r="E227" t="str">
        <x:v>N</x:v>
      </x:c>
    </x:row>
    <x:row r="228">
      <x:c r="A228" t="str">
        <x:v>LO4-027</x:v>
      </x:c>
      <x:c r="B228" t="str">
        <x:v>LO4</x:v>
      </x:c>
      <x:c r="C228" t="str">
        <x:v>C</x:v>
      </x:c>
      <x:c r="D228" t="str">
        <x:v>改稿済み・専門家未承認</x:v>
      </x:c>
      <x:c r="E228" t="str">
        <x:v>N</x:v>
      </x:c>
    </x:row>
    <x:row r="229">
      <x:c r="A229" t="str">
        <x:v>LO4-028</x:v>
      </x:c>
      <x:c r="B229" t="str">
        <x:v>LO4</x:v>
      </x:c>
      <x:c r="C229" t="str">
        <x:v>D</x:v>
      </x:c>
      <x:c r="D229" t="str">
        <x:v>改稿済み・専門家未承認</x:v>
      </x:c>
      <x:c r="E229" t="str">
        <x:v>N</x:v>
      </x:c>
    </x:row>
    <x:row r="230">
      <x:c r="A230" t="str">
        <x:v>LO4-029</x:v>
      </x:c>
      <x:c r="B230" t="str">
        <x:v>LO4</x:v>
      </x:c>
      <x:c r="C230" t="str">
        <x:v>A</x:v>
      </x:c>
      <x:c r="D230" t="str">
        <x:v>改稿済み・専門家未承認</x:v>
      </x:c>
      <x:c r="E230" t="str">
        <x:v>N</x:v>
      </x:c>
    </x:row>
    <x:row r="231">
      <x:c r="A231" t="str">
        <x:v>LO4-030</x:v>
      </x:c>
      <x:c r="B231" t="str">
        <x:v>LO4</x:v>
      </x:c>
      <x:c r="C231" t="str">
        <x:v>B</x:v>
      </x:c>
      <x:c r="D231" t="str">
        <x:v>改稿済み・専門家未承認</x:v>
      </x:c>
      <x:c r="E231" t="str">
        <x:v>N</x:v>
      </x:c>
    </x:row>
    <x:row r="232">
      <x:c r="A232" t="str">
        <x:v>LO4-031</x:v>
      </x:c>
      <x:c r="B232" t="str">
        <x:v>LO4</x:v>
      </x:c>
      <x:c r="C232" t="str">
        <x:v>C</x:v>
      </x:c>
      <x:c r="D232" t="str">
        <x:v>改稿済み・専門家未承認</x:v>
      </x:c>
      <x:c r="E232" t="str">
        <x:v>N</x:v>
      </x:c>
    </x:row>
    <x:row r="233">
      <x:c r="A233" t="str">
        <x:v>LO4-032</x:v>
      </x:c>
      <x:c r="B233" t="str">
        <x:v>LO4</x:v>
      </x:c>
      <x:c r="C233" t="str">
        <x:v>D</x:v>
      </x:c>
      <x:c r="D233" t="str">
        <x:v>改稿済み・専門家未承認</x:v>
      </x:c>
      <x:c r="E233" t="str">
        <x:v>N</x:v>
      </x:c>
    </x:row>
    <x:row r="234">
      <x:c r="A234" t="str">
        <x:v>LO4-033</x:v>
      </x:c>
      <x:c r="B234" t="str">
        <x:v>LO4</x:v>
      </x:c>
      <x:c r="C234" t="str">
        <x:v>A</x:v>
      </x:c>
      <x:c r="D234" t="str">
        <x:v>改稿済み・専門家未承認</x:v>
      </x:c>
      <x:c r="E234" t="str">
        <x:v>Y</x:v>
      </x:c>
    </x:row>
    <x:row r="235">
      <x:c r="A235" t="str">
        <x:v>LO4-034</x:v>
      </x:c>
      <x:c r="B235" t="str">
        <x:v>LO4</x:v>
      </x:c>
      <x:c r="C235" t="str">
        <x:v>B</x:v>
      </x:c>
      <x:c r="D235" t="str">
        <x:v>改稿済み・専門家未承認</x:v>
      </x:c>
      <x:c r="E235" t="str">
        <x:v>N</x:v>
      </x:c>
    </x:row>
    <x:row r="236">
      <x:c r="A236" t="str">
        <x:v>LO4-035</x:v>
      </x:c>
      <x:c r="B236" t="str">
        <x:v>LO4</x:v>
      </x:c>
      <x:c r="C236" t="str">
        <x:v>C</x:v>
      </x:c>
      <x:c r="D236" t="str">
        <x:v>改稿済み・専門家未承認</x:v>
      </x:c>
      <x:c r="E236" t="str">
        <x:v>Y</x:v>
      </x:c>
    </x:row>
    <x:row r="237">
      <x:c r="A237" t="str">
        <x:v>LO4-036</x:v>
      </x:c>
      <x:c r="B237" t="str">
        <x:v>LO4</x:v>
      </x:c>
      <x:c r="C237" t="str">
        <x:v>D</x:v>
      </x:c>
      <x:c r="D237" t="str">
        <x:v>改稿済み・専門家未承認</x:v>
      </x:c>
      <x:c r="E237" t="str">
        <x:v>N</x:v>
      </x:c>
    </x:row>
    <x:row r="238">
      <x:c r="A238" t="str">
        <x:v>LO4-037</x:v>
      </x:c>
      <x:c r="B238" t="str">
        <x:v>LO4</x:v>
      </x:c>
      <x:c r="C238" t="str">
        <x:v>A</x:v>
      </x:c>
      <x:c r="D238" t="str">
        <x:v>改稿済み・専門家未承認</x:v>
      </x:c>
      <x:c r="E238" t="str">
        <x:v>N</x:v>
      </x:c>
    </x:row>
    <x:row r="239">
      <x:c r="A239" t="str">
        <x:v>LO4-038</x:v>
      </x:c>
      <x:c r="B239" t="str">
        <x:v>LO4</x:v>
      </x:c>
      <x:c r="C239" t="str">
        <x:v>B</x:v>
      </x:c>
      <x:c r="D239" t="str">
        <x:v>改稿済み・専門家未承認</x:v>
      </x:c>
      <x:c r="E239" t="str">
        <x:v>N</x:v>
      </x:c>
    </x:row>
    <x:row r="240">
      <x:c r="A240" t="str">
        <x:v>LO4-039</x:v>
      </x:c>
      <x:c r="B240" t="str">
        <x:v>LO4</x:v>
      </x:c>
      <x:c r="C240" t="str">
        <x:v>C</x:v>
      </x:c>
      <x:c r="D240" t="str">
        <x:v>改稿済み・専門家未承認</x:v>
      </x:c>
      <x:c r="E240" t="str">
        <x:v>N</x:v>
      </x:c>
    </x:row>
    <x:row r="241">
      <x:c r="A241" t="str">
        <x:v>LO4-040</x:v>
      </x:c>
      <x:c r="B241" t="str">
        <x:v>LO4</x:v>
      </x:c>
      <x:c r="C241" t="str">
        <x:v>D</x:v>
      </x:c>
      <x:c r="D241" t="str">
        <x:v>改稿済み・専門家未承認</x:v>
      </x:c>
      <x:c r="E241" t="str">
        <x:v>N</x:v>
      </x:c>
    </x:row>
    <x:row r="242">
      <x:c r="A242" t="str">
        <x:v>LO4-041</x:v>
      </x:c>
      <x:c r="B242" t="str">
        <x:v>LO4</x:v>
      </x:c>
      <x:c r="C242" t="str">
        <x:v>A</x:v>
      </x:c>
      <x:c r="D242" t="str">
        <x:v>改稿済み・専門家未承認</x:v>
      </x:c>
      <x:c r="E242" t="str">
        <x:v>N</x:v>
      </x:c>
    </x:row>
    <x:row r="243">
      <x:c r="A243" t="str">
        <x:v>LO4-042</x:v>
      </x:c>
      <x:c r="B243" t="str">
        <x:v>LO4</x:v>
      </x:c>
      <x:c r="C243" t="str">
        <x:v>B</x:v>
      </x:c>
      <x:c r="D243" t="str">
        <x:v>改稿済み・専門家未承認</x:v>
      </x:c>
      <x:c r="E243" t="str">
        <x:v>N</x:v>
      </x:c>
    </x:row>
    <x:row r="244">
      <x:c r="A244" t="str">
        <x:v>LO4-043</x:v>
      </x:c>
      <x:c r="B244" t="str">
        <x:v>LO4</x:v>
      </x:c>
      <x:c r="C244" t="str">
        <x:v>C</x:v>
      </x:c>
      <x:c r="D244" t="str">
        <x:v>改稿済み・専門家未承認</x:v>
      </x:c>
      <x:c r="E244" t="str">
        <x:v>N</x:v>
      </x:c>
    </x:row>
    <x:row r="245">
      <x:c r="A245" t="str">
        <x:v>LO4-044</x:v>
      </x:c>
      <x:c r="B245" t="str">
        <x:v>LO4</x:v>
      </x:c>
      <x:c r="C245" t="str">
        <x:v>D</x:v>
      </x:c>
      <x:c r="D245" t="str">
        <x:v>改稿済み・専門家未承認</x:v>
      </x:c>
      <x:c r="E245" t="str">
        <x:v>N</x:v>
      </x:c>
    </x:row>
    <x:row r="246">
      <x:c r="A246" t="str">
        <x:v>LO4-045</x:v>
      </x:c>
      <x:c r="B246" t="str">
        <x:v>LO4</x:v>
      </x:c>
      <x:c r="C246" t="str">
        <x:v>A</x:v>
      </x:c>
      <x:c r="D246" t="str">
        <x:v>改稿済み・専門家未承認</x:v>
      </x:c>
      <x:c r="E246" t="str">
        <x:v>N</x:v>
      </x:c>
    </x:row>
    <x:row r="247">
      <x:c r="A247" t="str">
        <x:v>LO4-046</x:v>
      </x:c>
      <x:c r="B247" t="str">
        <x:v>LO4</x:v>
      </x:c>
      <x:c r="C247" t="str">
        <x:v>B</x:v>
      </x:c>
      <x:c r="D247" t="str">
        <x:v>改稿済み・専門家未承認</x:v>
      </x:c>
      <x:c r="E247" t="str">
        <x:v>N</x:v>
      </x:c>
    </x:row>
    <x:row r="248">
      <x:c r="A248" t="str">
        <x:v>LO4-047</x:v>
      </x:c>
      <x:c r="B248" t="str">
        <x:v>LO4</x:v>
      </x:c>
      <x:c r="C248" t="str">
        <x:v>C</x:v>
      </x:c>
      <x:c r="D248" t="str">
        <x:v>改稿済み・専門家未承認</x:v>
      </x:c>
      <x:c r="E248" t="str">
        <x:v>Y</x:v>
      </x:c>
    </x:row>
    <x:row r="249">
      <x:c r="A249" t="str">
        <x:v>LO4-048</x:v>
      </x:c>
      <x:c r="B249" t="str">
        <x:v>LO4</x:v>
      </x:c>
      <x:c r="C249" t="str">
        <x:v>D</x:v>
      </x:c>
      <x:c r="D249" t="str">
        <x:v>改稿済み・専門家未承認</x:v>
      </x:c>
      <x:c r="E249" t="str">
        <x:v>N</x:v>
      </x:c>
    </x:row>
    <x:row r="250">
      <x:c r="A250" t="str">
        <x:v>LO4-049</x:v>
      </x:c>
      <x:c r="B250" t="str">
        <x:v>LO4</x:v>
      </x:c>
      <x:c r="C250" t="str">
        <x:v>A</x:v>
      </x:c>
      <x:c r="D250" t="str">
        <x:v>改稿済み・専門家未承認</x:v>
      </x:c>
      <x:c r="E250" t="str">
        <x:v>N</x:v>
      </x:c>
    </x:row>
    <x:row r="251">
      <x:c r="A251" t="str">
        <x:v>LO4-050</x:v>
      </x:c>
      <x:c r="B251" t="str">
        <x:v>LO4</x:v>
      </x:c>
      <x:c r="C251" t="str">
        <x:v>B</x:v>
      </x:c>
      <x:c r="D251" t="str">
        <x:v>改稿済み・専門家未承認</x:v>
      </x:c>
      <x:c r="E251" t="str">
        <x:v>N</x:v>
      </x:c>
    </x:row>
    <x:row r="252">
      <x:c r="A252" t="str">
        <x:v>LO4-051</x:v>
      </x:c>
      <x:c r="B252" t="str">
        <x:v>LO4</x:v>
      </x:c>
      <x:c r="C252" t="str">
        <x:v>C</x:v>
      </x:c>
      <x:c r="D252" t="str">
        <x:v>改稿済み・専門家未承認</x:v>
      </x:c>
      <x:c r="E252" t="str">
        <x:v>Y</x:v>
      </x:c>
    </x:row>
    <x:row r="253">
      <x:c r="A253" t="str">
        <x:v>LO4-052</x:v>
      </x:c>
      <x:c r="B253" t="str">
        <x:v>LO4</x:v>
      </x:c>
      <x:c r="C253" t="str">
        <x:v>D</x:v>
      </x:c>
      <x:c r="D253" t="str">
        <x:v>改稿済み・専門家未承認</x:v>
      </x:c>
      <x:c r="E253" t="str">
        <x:v>Y</x:v>
      </x:c>
    </x:row>
    <x:row r="254">
      <x:c r="A254" t="str">
        <x:v>LO4-053</x:v>
      </x:c>
      <x:c r="B254" t="str">
        <x:v>LO4</x:v>
      </x:c>
      <x:c r="C254" t="str">
        <x:v>A</x:v>
      </x:c>
      <x:c r="D254" t="str">
        <x:v>改稿済み・専門家未承認</x:v>
      </x:c>
      <x:c r="E254" t="str">
        <x:v>N</x:v>
      </x:c>
    </x:row>
    <x:row r="255">
      <x:c r="A255" t="str">
        <x:v>LO4-054</x:v>
      </x:c>
      <x:c r="B255" t="str">
        <x:v>LO4</x:v>
      </x:c>
      <x:c r="C255" t="str">
        <x:v>B</x:v>
      </x:c>
      <x:c r="D255" t="str">
        <x:v>改稿済み・専門家未承認</x:v>
      </x:c>
      <x:c r="E255" t="str">
        <x:v>N</x:v>
      </x:c>
    </x:row>
    <x:row r="256">
      <x:c r="A256" t="str">
        <x:v>LO4-055</x:v>
      </x:c>
      <x:c r="B256" t="str">
        <x:v>LO4</x:v>
      </x:c>
      <x:c r="C256" t="str">
        <x:v>C</x:v>
      </x:c>
      <x:c r="D256" t="str">
        <x:v>改稿済み・専門家未承認</x:v>
      </x:c>
      <x:c r="E256" t="str">
        <x:v>N</x:v>
      </x:c>
    </x:row>
    <x:row r="257">
      <x:c r="A257" t="str">
        <x:v>LO4-056</x:v>
      </x:c>
      <x:c r="B257" t="str">
        <x:v>LO4</x:v>
      </x:c>
      <x:c r="C257" t="str">
        <x:v>D</x:v>
      </x:c>
      <x:c r="D257" t="str">
        <x:v>改稿済み・専門家未承認</x:v>
      </x:c>
      <x:c r="E257" t="str">
        <x:v>N</x:v>
      </x:c>
    </x:row>
    <x:row r="258">
      <x:c r="A258" t="str">
        <x:v>LO4-057</x:v>
      </x:c>
      <x:c r="B258" t="str">
        <x:v>LO4</x:v>
      </x:c>
      <x:c r="C258" t="str">
        <x:v>A</x:v>
      </x:c>
      <x:c r="D258" t="str">
        <x:v>改稿済み・専門家未承認</x:v>
      </x:c>
      <x:c r="E258" t="str">
        <x:v>N</x:v>
      </x:c>
    </x:row>
    <x:row r="259">
      <x:c r="A259" t="str">
        <x:v>LO4-058</x:v>
      </x:c>
      <x:c r="B259" t="str">
        <x:v>LO4</x:v>
      </x:c>
      <x:c r="C259" t="str">
        <x:v>B</x:v>
      </x:c>
      <x:c r="D259" t="str">
        <x:v>改稿済み・専門家未承認</x:v>
      </x:c>
      <x:c r="E259" t="str">
        <x:v>N</x:v>
      </x:c>
    </x:row>
    <x:row r="260">
      <x:c r="A260" t="str">
        <x:v>LO4-059</x:v>
      </x:c>
      <x:c r="B260" t="str">
        <x:v>LO4</x:v>
      </x:c>
      <x:c r="C260" t="str">
        <x:v>C</x:v>
      </x:c>
      <x:c r="D260" t="str">
        <x:v>改稿済み・専門家未承認</x:v>
      </x:c>
      <x:c r="E260" t="str">
        <x:v>N</x:v>
      </x:c>
    </x:row>
    <x:row r="261">
      <x:c r="A261" t="str">
        <x:v>LO4-060</x:v>
      </x:c>
      <x:c r="B261" t="str">
        <x:v>LO4</x:v>
      </x:c>
      <x:c r="C261" t="str">
        <x:v>D</x:v>
      </x:c>
      <x:c r="D261" t="str">
        <x:v>改稿済み・専門家未承認</x:v>
      </x:c>
      <x:c r="E261" t="str">
        <x:v>N</x:v>
      </x:c>
    </x:row>
    <x:row r="262">
      <x:c r="A262" t="str">
        <x:v>LO5-021</x:v>
      </x:c>
      <x:c r="B262" t="str">
        <x:v>LO5</x:v>
      </x:c>
      <x:c r="C262" t="str">
        <x:v>A</x:v>
      </x:c>
      <x:c r="D262" t="str">
        <x:v>改稿済み・専門家未承認</x:v>
      </x:c>
      <x:c r="E262" t="str">
        <x:v>N</x:v>
      </x:c>
    </x:row>
    <x:row r="263">
      <x:c r="A263" t="str">
        <x:v>LO5-022</x:v>
      </x:c>
      <x:c r="B263" t="str">
        <x:v>LO5</x:v>
      </x:c>
      <x:c r="C263" t="str">
        <x:v>B</x:v>
      </x:c>
      <x:c r="D263" t="str">
        <x:v>改稿済み・専門家未承認</x:v>
      </x:c>
      <x:c r="E263" t="str">
        <x:v>N</x:v>
      </x:c>
    </x:row>
    <x:row r="264">
      <x:c r="A264" t="str">
        <x:v>LO5-023</x:v>
      </x:c>
      <x:c r="B264" t="str">
        <x:v>LO5</x:v>
      </x:c>
      <x:c r="C264" t="str">
        <x:v>C</x:v>
      </x:c>
      <x:c r="D264" t="str">
        <x:v>改稿済み・専門家未承認</x:v>
      </x:c>
      <x:c r="E264" t="str">
        <x:v>N</x:v>
      </x:c>
    </x:row>
    <x:row r="265">
      <x:c r="A265" t="str">
        <x:v>LO5-024</x:v>
      </x:c>
      <x:c r="B265" t="str">
        <x:v>LO5</x:v>
      </x:c>
      <x:c r="C265" t="str">
        <x:v>D</x:v>
      </x:c>
      <x:c r="D265" t="str">
        <x:v>改稿済み・専門家未承認</x:v>
      </x:c>
      <x:c r="E265" t="str">
        <x:v>N</x:v>
      </x:c>
    </x:row>
    <x:row r="266">
      <x:c r="A266" t="str">
        <x:v>LO5-025</x:v>
      </x:c>
      <x:c r="B266" t="str">
        <x:v>LO5</x:v>
      </x:c>
      <x:c r="C266" t="str">
        <x:v>A</x:v>
      </x:c>
      <x:c r="D266" t="str">
        <x:v>改稿済み・専門家未承認</x:v>
      </x:c>
      <x:c r="E266" t="str">
        <x:v>N</x:v>
      </x:c>
    </x:row>
    <x:row r="267">
      <x:c r="A267" t="str">
        <x:v>LO5-026</x:v>
      </x:c>
      <x:c r="B267" t="str">
        <x:v>LO5</x:v>
      </x:c>
      <x:c r="C267" t="str">
        <x:v>B</x:v>
      </x:c>
      <x:c r="D267" t="str">
        <x:v>改稿済み・専門家未承認</x:v>
      </x:c>
      <x:c r="E267" t="str">
        <x:v>N</x:v>
      </x:c>
    </x:row>
    <x:row r="268">
      <x:c r="A268" t="str">
        <x:v>LO5-027</x:v>
      </x:c>
      <x:c r="B268" t="str">
        <x:v>LO5</x:v>
      </x:c>
      <x:c r="C268" t="str">
        <x:v>C</x:v>
      </x:c>
      <x:c r="D268" t="str">
        <x:v>改稿済み・専門家未承認</x:v>
      </x:c>
      <x:c r="E268" t="str">
        <x:v>N</x:v>
      </x:c>
    </x:row>
    <x:row r="269">
      <x:c r="A269" t="str">
        <x:v>LO5-028</x:v>
      </x:c>
      <x:c r="B269" t="str">
        <x:v>LO5</x:v>
      </x:c>
      <x:c r="C269" t="str">
        <x:v>D</x:v>
      </x:c>
      <x:c r="D269" t="str">
        <x:v>改稿済み・専門家未承認</x:v>
      </x:c>
      <x:c r="E269" t="str">
        <x:v>N</x:v>
      </x:c>
    </x:row>
    <x:row r="270">
      <x:c r="A270" t="str">
        <x:v>LO5-029</x:v>
      </x:c>
      <x:c r="B270" t="str">
        <x:v>LO5</x:v>
      </x:c>
      <x:c r="C270" t="str">
        <x:v>A</x:v>
      </x:c>
      <x:c r="D270" t="str">
        <x:v>改稿済み・専門家未承認</x:v>
      </x:c>
      <x:c r="E270" t="str">
        <x:v>N</x:v>
      </x:c>
    </x:row>
    <x:row r="271">
      <x:c r="A271" t="str">
        <x:v>LO5-030</x:v>
      </x:c>
      <x:c r="B271" t="str">
        <x:v>LO5</x:v>
      </x:c>
      <x:c r="C271" t="str">
        <x:v>B</x:v>
      </x:c>
      <x:c r="D271" t="str">
        <x:v>改稿済み・専門家未承認</x:v>
      </x:c>
      <x:c r="E271" t="str">
        <x:v>N</x:v>
      </x:c>
    </x:row>
    <x:row r="272">
      <x:c r="A272" t="str">
        <x:v>LO5-031</x:v>
      </x:c>
      <x:c r="B272" t="str">
        <x:v>LO5</x:v>
      </x:c>
      <x:c r="C272" t="str">
        <x:v>C</x:v>
      </x:c>
      <x:c r="D272" t="str">
        <x:v>改稿済み・専門家未承認</x:v>
      </x:c>
      <x:c r="E272" t="str">
        <x:v>N</x:v>
      </x:c>
    </x:row>
    <x:row r="273">
      <x:c r="A273" t="str">
        <x:v>LO5-032</x:v>
      </x:c>
      <x:c r="B273" t="str">
        <x:v>LO5</x:v>
      </x:c>
      <x:c r="C273" t="str">
        <x:v>D</x:v>
      </x:c>
      <x:c r="D273" t="str">
        <x:v>改稿済み・専門家未承認</x:v>
      </x:c>
      <x:c r="E273" t="str">
        <x:v>N</x:v>
      </x:c>
    </x:row>
    <x:row r="274">
      <x:c r="A274" t="str">
        <x:v>LO5-033</x:v>
      </x:c>
      <x:c r="B274" t="str">
        <x:v>LO5</x:v>
      </x:c>
      <x:c r="C274" t="str">
        <x:v>A</x:v>
      </x:c>
      <x:c r="D274" t="str">
        <x:v>改稿済み・専門家未承認</x:v>
      </x:c>
      <x:c r="E274" t="str">
        <x:v>N</x:v>
      </x:c>
    </x:row>
    <x:row r="275">
      <x:c r="A275" t="str">
        <x:v>LO5-034</x:v>
      </x:c>
      <x:c r="B275" t="str">
        <x:v>LO5</x:v>
      </x:c>
      <x:c r="C275" t="str">
        <x:v>B</x:v>
      </x:c>
      <x:c r="D275" t="str">
        <x:v>改稿済み・専門家未承認</x:v>
      </x:c>
      <x:c r="E275" t="str">
        <x:v>N</x:v>
      </x:c>
    </x:row>
    <x:row r="276">
      <x:c r="A276" t="str">
        <x:v>LO5-035</x:v>
      </x:c>
      <x:c r="B276" t="str">
        <x:v>LO5</x:v>
      </x:c>
      <x:c r="C276" t="str">
        <x:v>C</x:v>
      </x:c>
      <x:c r="D276" t="str">
        <x:v>改稿済み・専門家未承認</x:v>
      </x:c>
      <x:c r="E276" t="str">
        <x:v>N</x:v>
      </x:c>
    </x:row>
    <x:row r="277">
      <x:c r="A277" t="str">
        <x:v>LO5-036</x:v>
      </x:c>
      <x:c r="B277" t="str">
        <x:v>LO5</x:v>
      </x:c>
      <x:c r="C277" t="str">
        <x:v>D</x:v>
      </x:c>
      <x:c r="D277" t="str">
        <x:v>改稿済み・専門家未承認</x:v>
      </x:c>
      <x:c r="E277" t="str">
        <x:v>N</x:v>
      </x:c>
    </x:row>
    <x:row r="278">
      <x:c r="A278" t="str">
        <x:v>LO5-037</x:v>
      </x:c>
      <x:c r="B278" t="str">
        <x:v>LO5</x:v>
      </x:c>
      <x:c r="C278" t="str">
        <x:v>A</x:v>
      </x:c>
      <x:c r="D278" t="str">
        <x:v>改稿済み・専門家未承認</x:v>
      </x:c>
      <x:c r="E278" t="str">
        <x:v>N</x:v>
      </x:c>
    </x:row>
    <x:row r="279">
      <x:c r="A279" t="str">
        <x:v>LO5-038</x:v>
      </x:c>
      <x:c r="B279" t="str">
        <x:v>LO5</x:v>
      </x:c>
      <x:c r="C279" t="str">
        <x:v>B</x:v>
      </x:c>
      <x:c r="D279" t="str">
        <x:v>改稿済み・専門家未承認</x:v>
      </x:c>
      <x:c r="E279" t="str">
        <x:v>N</x:v>
      </x:c>
    </x:row>
    <x:row r="280">
      <x:c r="A280" t="str">
        <x:v>LO5-039</x:v>
      </x:c>
      <x:c r="B280" t="str">
        <x:v>LO5</x:v>
      </x:c>
      <x:c r="C280" t="str">
        <x:v>C</x:v>
      </x:c>
      <x:c r="D280" t="str">
        <x:v>改稿済み・専門家未承認</x:v>
      </x:c>
      <x:c r="E280" t="str">
        <x:v>N</x:v>
      </x:c>
    </x:row>
    <x:row r="281">
      <x:c r="A281" t="str">
        <x:v>LO5-040</x:v>
      </x:c>
      <x:c r="B281" t="str">
        <x:v>LO5</x:v>
      </x:c>
      <x:c r="C281" t="str">
        <x:v>D</x:v>
      </x:c>
      <x:c r="D281" t="str">
        <x:v>改稿済み・専門家未承認</x:v>
      </x:c>
      <x:c r="E281" t="str">
        <x:v>Y</x:v>
      </x:c>
    </x:row>
    <x:row r="282">
      <x:c r="A282" t="str">
        <x:v>LO5-041</x:v>
      </x:c>
      <x:c r="B282" t="str">
        <x:v>LO5</x:v>
      </x:c>
      <x:c r="C282" t="str">
        <x:v>A</x:v>
      </x:c>
      <x:c r="D282" t="str">
        <x:v>改稿済み・専門家未承認</x:v>
      </x:c>
      <x:c r="E282" t="str">
        <x:v>N</x:v>
      </x:c>
    </x:row>
    <x:row r="283">
      <x:c r="A283" t="str">
        <x:v>LO5-042</x:v>
      </x:c>
      <x:c r="B283" t="str">
        <x:v>LO5</x:v>
      </x:c>
      <x:c r="C283" t="str">
        <x:v>B</x:v>
      </x:c>
      <x:c r="D283" t="str">
        <x:v>改稿済み・専門家未承認</x:v>
      </x:c>
      <x:c r="E283" t="str">
        <x:v>N</x:v>
      </x:c>
    </x:row>
    <x:row r="284">
      <x:c r="A284" t="str">
        <x:v>LO5-043</x:v>
      </x:c>
      <x:c r="B284" t="str">
        <x:v>LO5</x:v>
      </x:c>
      <x:c r="C284" t="str">
        <x:v>C</x:v>
      </x:c>
      <x:c r="D284" t="str">
        <x:v>改稿済み・専門家未承認</x:v>
      </x:c>
      <x:c r="E284" t="str">
        <x:v>N</x:v>
      </x:c>
    </x:row>
    <x:row r="285">
      <x:c r="A285" t="str">
        <x:v>LO5-044</x:v>
      </x:c>
      <x:c r="B285" t="str">
        <x:v>LO5</x:v>
      </x:c>
      <x:c r="C285" t="str">
        <x:v>D</x:v>
      </x:c>
      <x:c r="D285" t="str">
        <x:v>改稿済み・専門家未承認</x:v>
      </x:c>
      <x:c r="E285" t="str">
        <x:v>N</x:v>
      </x:c>
    </x:row>
    <x:row r="286">
      <x:c r="A286" t="str">
        <x:v>LO5-045</x:v>
      </x:c>
      <x:c r="B286" t="str">
        <x:v>LO5</x:v>
      </x:c>
      <x:c r="C286" t="str">
        <x:v>A</x:v>
      </x:c>
      <x:c r="D286" t="str">
        <x:v>改稿済み・専門家未承認</x:v>
      </x:c>
      <x:c r="E286" t="str">
        <x:v>N</x:v>
      </x:c>
    </x:row>
    <x:row r="287">
      <x:c r="A287" t="str">
        <x:v>LO5-046</x:v>
      </x:c>
      <x:c r="B287" t="str">
        <x:v>LO5</x:v>
      </x:c>
      <x:c r="C287" t="str">
        <x:v>B</x:v>
      </x:c>
      <x:c r="D287" t="str">
        <x:v>改稿済み・専門家未承認</x:v>
      </x:c>
      <x:c r="E287" t="str">
        <x:v>N</x:v>
      </x:c>
    </x:row>
    <x:row r="288">
      <x:c r="A288" t="str">
        <x:v>LO5-047</x:v>
      </x:c>
      <x:c r="B288" t="str">
        <x:v>LO5</x:v>
      </x:c>
      <x:c r="C288" t="str">
        <x:v>C</x:v>
      </x:c>
      <x:c r="D288" t="str">
        <x:v>改稿済み・専門家未承認</x:v>
      </x:c>
      <x:c r="E288" t="str">
        <x:v>N</x:v>
      </x:c>
    </x:row>
    <x:row r="289">
      <x:c r="A289" t="str">
        <x:v>LO5-048</x:v>
      </x:c>
      <x:c r="B289" t="str">
        <x:v>LO5</x:v>
      </x:c>
      <x:c r="C289" t="str">
        <x:v>D</x:v>
      </x:c>
      <x:c r="D289" t="str">
        <x:v>改稿済み・専門家未承認</x:v>
      </x:c>
      <x:c r="E289" t="str">
        <x:v>Y</x:v>
      </x:c>
    </x:row>
    <x:row r="290">
      <x:c r="A290" t="str">
        <x:v>LO5-049</x:v>
      </x:c>
      <x:c r="B290" t="str">
        <x:v>LO5</x:v>
      </x:c>
      <x:c r="C290" t="str">
        <x:v>A</x:v>
      </x:c>
      <x:c r="D290" t="str">
        <x:v>改稿済み・専門家未承認</x:v>
      </x:c>
      <x:c r="E290" t="str">
        <x:v>N</x:v>
      </x:c>
    </x:row>
    <x:row r="291">
      <x:c r="A291" t="str">
        <x:v>LO5-050</x:v>
      </x:c>
      <x:c r="B291" t="str">
        <x:v>LO5</x:v>
      </x:c>
      <x:c r="C291" t="str">
        <x:v>B</x:v>
      </x:c>
      <x:c r="D291" t="str">
        <x:v>改稿済み・専門家未承認</x:v>
      </x:c>
      <x:c r="E291" t="str">
        <x:v>N</x:v>
      </x:c>
    </x:row>
    <x:row r="292">
      <x:c r="A292" t="str">
        <x:v>LO5-051</x:v>
      </x:c>
      <x:c r="B292" t="str">
        <x:v>LO5</x:v>
      </x:c>
      <x:c r="C292" t="str">
        <x:v>C</x:v>
      </x:c>
      <x:c r="D292" t="str">
        <x:v>改稿済み・専門家未承認</x:v>
      </x:c>
      <x:c r="E292" t="str">
        <x:v>N</x:v>
      </x:c>
    </x:row>
    <x:row r="293">
      <x:c r="A293" t="str">
        <x:v>LO5-052</x:v>
      </x:c>
      <x:c r="B293" t="str">
        <x:v>LO5</x:v>
      </x:c>
      <x:c r="C293" t="str">
        <x:v>D</x:v>
      </x:c>
      <x:c r="D293" t="str">
        <x:v>改稿済み・専門家未承認</x:v>
      </x:c>
      <x:c r="E293" t="str">
        <x:v>N</x:v>
      </x:c>
    </x:row>
    <x:row r="294">
      <x:c r="A294" t="str">
        <x:v>LO5-053</x:v>
      </x:c>
      <x:c r="B294" t="str">
        <x:v>LO5</x:v>
      </x:c>
      <x:c r="C294" t="str">
        <x:v>A</x:v>
      </x:c>
      <x:c r="D294" t="str">
        <x:v>改稿済み・専門家未承認</x:v>
      </x:c>
      <x:c r="E294" t="str">
        <x:v>N</x:v>
      </x:c>
    </x:row>
    <x:row r="295">
      <x:c r="A295" t="str">
        <x:v>LO5-054</x:v>
      </x:c>
      <x:c r="B295" t="str">
        <x:v>LO5</x:v>
      </x:c>
      <x:c r="C295" t="str">
        <x:v>B</x:v>
      </x:c>
      <x:c r="D295" t="str">
        <x:v>改稿済み・専門家未承認</x:v>
      </x:c>
      <x:c r="E295" t="str">
        <x:v>N</x:v>
      </x:c>
    </x:row>
    <x:row r="296">
      <x:c r="A296" t="str">
        <x:v>LO5-055</x:v>
      </x:c>
      <x:c r="B296" t="str">
        <x:v>LO5</x:v>
      </x:c>
      <x:c r="C296" t="str">
        <x:v>C</x:v>
      </x:c>
      <x:c r="D296" t="str">
        <x:v>改稿済み・専門家未承認</x:v>
      </x:c>
      <x:c r="E296" t="str">
        <x:v>N</x:v>
      </x:c>
    </x:row>
    <x:row r="297">
      <x:c r="A297" t="str">
        <x:v>LO5-056</x:v>
      </x:c>
      <x:c r="B297" t="str">
        <x:v>LO5</x:v>
      </x:c>
      <x:c r="C297" t="str">
        <x:v>D</x:v>
      </x:c>
      <x:c r="D297" t="str">
        <x:v>改稿済み・専門家未承認</x:v>
      </x:c>
      <x:c r="E297" t="str">
        <x:v>N</x:v>
      </x:c>
    </x:row>
    <x:row r="298">
      <x:c r="A298" t="str">
        <x:v>LO5-057</x:v>
      </x:c>
      <x:c r="B298" t="str">
        <x:v>LO5</x:v>
      </x:c>
      <x:c r="C298" t="str">
        <x:v>A</x:v>
      </x:c>
      <x:c r="D298" t="str">
        <x:v>改稿済み・専門家未承認</x:v>
      </x:c>
      <x:c r="E298" t="str">
        <x:v>N</x:v>
      </x:c>
    </x:row>
    <x:row r="299">
      <x:c r="A299" t="str">
        <x:v>LO5-058</x:v>
      </x:c>
      <x:c r="B299" t="str">
        <x:v>LO5</x:v>
      </x:c>
      <x:c r="C299" t="str">
        <x:v>B</x:v>
      </x:c>
      <x:c r="D299" t="str">
        <x:v>改稿済み・専門家未承認</x:v>
      </x:c>
      <x:c r="E299" t="str">
        <x:v>N</x:v>
      </x:c>
    </x:row>
    <x:row r="300">
      <x:c r="A300" t="str">
        <x:v>LO5-059</x:v>
      </x:c>
      <x:c r="B300" t="str">
        <x:v>LO5</x:v>
      </x:c>
      <x:c r="C300" t="str">
        <x:v>C</x:v>
      </x:c>
      <x:c r="D300" t="str">
        <x:v>改稿済み・専門家未承認</x:v>
      </x:c>
      <x:c r="E300" t="str">
        <x:v>Y</x:v>
      </x:c>
    </x:row>
    <x:row r="301">
      <x:c r="A301" t="str">
        <x:v>LO5-060</x:v>
      </x:c>
      <x:c r="B301" t="str">
        <x:v>LO5</x:v>
      </x:c>
      <x:c r="C301" t="str">
        <x:v>D</x:v>
      </x:c>
      <x:c r="D301" t="str">
        <x:v>改稿済み・専門家未承認</x:v>
      </x:c>
      <x:c r="E301" t="str">
        <x:v>Y</x:v>
      </x:c>
    </x:row>
    <x:row r="302">
      <x:c r="A302" t="str">
        <x:v>LO1-061</x:v>
      </x:c>
      <x:c r="B302" t="str">
        <x:v>LO1</x:v>
      </x:c>
      <x:c r="C302" t="str">
        <x:v>A</x:v>
      </x:c>
      <x:c r="D302" t="str">
        <x:v>改稿済み・専門家未承認</x:v>
      </x:c>
      <x:c r="E302" t="str">
        <x:v>N</x:v>
      </x:c>
    </x:row>
    <x:row r="303">
      <x:c r="A303" t="str">
        <x:v>LO1-062</x:v>
      </x:c>
      <x:c r="B303" t="str">
        <x:v>LO1</x:v>
      </x:c>
      <x:c r="C303" t="str">
        <x:v>B</x:v>
      </x:c>
      <x:c r="D303" t="str">
        <x:v>改稿済み・専門家未承認</x:v>
      </x:c>
      <x:c r="E303" t="str">
        <x:v>N</x:v>
      </x:c>
    </x:row>
    <x:row r="304">
      <x:c r="A304" t="str">
        <x:v>LO1-063</x:v>
      </x:c>
      <x:c r="B304" t="str">
        <x:v>LO1</x:v>
      </x:c>
      <x:c r="C304" t="str">
        <x:v>C</x:v>
      </x:c>
      <x:c r="D304" t="str">
        <x:v>改稿済み・専門家未承認</x:v>
      </x:c>
      <x:c r="E304" t="str">
        <x:v>N</x:v>
      </x:c>
    </x:row>
    <x:row r="305">
      <x:c r="A305" t="str">
        <x:v>LO1-064</x:v>
      </x:c>
      <x:c r="B305" t="str">
        <x:v>LO1</x:v>
      </x:c>
      <x:c r="C305" t="str">
        <x:v>D</x:v>
      </x:c>
      <x:c r="D305" t="str">
        <x:v>改稿済み・専門家未承認</x:v>
      </x:c>
      <x:c r="E305" t="str">
        <x:v>N</x:v>
      </x:c>
    </x:row>
    <x:row r="306">
      <x:c r="A306" t="str">
        <x:v>LO1-065</x:v>
      </x:c>
      <x:c r="B306" t="str">
        <x:v>LO1</x:v>
      </x:c>
      <x:c r="C306" t="str">
        <x:v>A</x:v>
      </x:c>
      <x:c r="D306" t="str">
        <x:v>改稿済み・専門家未承認</x:v>
      </x:c>
      <x:c r="E306" t="str">
        <x:v>N</x:v>
      </x:c>
    </x:row>
    <x:row r="307">
      <x:c r="A307" t="str">
        <x:v>LO1-066</x:v>
      </x:c>
      <x:c r="B307" t="str">
        <x:v>LO1</x:v>
      </x:c>
      <x:c r="C307" t="str">
        <x:v>B</x:v>
      </x:c>
      <x:c r="D307" t="str">
        <x:v>改稿済み・専門家未承認</x:v>
      </x:c>
      <x:c r="E307" t="str">
        <x:v>N</x:v>
      </x:c>
    </x:row>
    <x:row r="308">
      <x:c r="A308" t="str">
        <x:v>LO1-067</x:v>
      </x:c>
      <x:c r="B308" t="str">
        <x:v>LO1</x:v>
      </x:c>
      <x:c r="C308" t="str">
        <x:v>C</x:v>
      </x:c>
      <x:c r="D308" t="str">
        <x:v>改稿済み・専門家未承認</x:v>
      </x:c>
      <x:c r="E308" t="str">
        <x:v>N</x:v>
      </x:c>
    </x:row>
    <x:row r="309">
      <x:c r="A309" t="str">
        <x:v>LO1-068</x:v>
      </x:c>
      <x:c r="B309" t="str">
        <x:v>LO1</x:v>
      </x:c>
      <x:c r="C309" t="str">
        <x:v>D</x:v>
      </x:c>
      <x:c r="D309" t="str">
        <x:v>改稿済み・専門家未承認</x:v>
      </x:c>
      <x:c r="E309" t="str">
        <x:v>N</x:v>
      </x:c>
    </x:row>
    <x:row r="310">
      <x:c r="A310" t="str">
        <x:v>LO1-069</x:v>
      </x:c>
      <x:c r="B310" t="str">
        <x:v>LO1</x:v>
      </x:c>
      <x:c r="C310" t="str">
        <x:v>A</x:v>
      </x:c>
      <x:c r="D310" t="str">
        <x:v>改稿済み・専門家未承認</x:v>
      </x:c>
      <x:c r="E310" t="str">
        <x:v>N</x:v>
      </x:c>
    </x:row>
    <x:row r="311">
      <x:c r="A311" t="str">
        <x:v>LO1-070</x:v>
      </x:c>
      <x:c r="B311" t="str">
        <x:v>LO1</x:v>
      </x:c>
      <x:c r="C311" t="str">
        <x:v>B</x:v>
      </x:c>
      <x:c r="D311" t="str">
        <x:v>改稿済み・専門家未承認</x:v>
      </x:c>
      <x:c r="E311" t="str">
        <x:v>N</x:v>
      </x:c>
    </x:row>
    <x:row r="312">
      <x:c r="A312" t="str">
        <x:v>LO1-071</x:v>
      </x:c>
      <x:c r="B312" t="str">
        <x:v>LO1</x:v>
      </x:c>
      <x:c r="C312" t="str">
        <x:v>C</x:v>
      </x:c>
      <x:c r="D312" t="str">
        <x:v>改稿済み・専門家未承認</x:v>
      </x:c>
      <x:c r="E312" t="str">
        <x:v>N</x:v>
      </x:c>
    </x:row>
    <x:row r="313">
      <x:c r="A313" t="str">
        <x:v>LO1-072</x:v>
      </x:c>
      <x:c r="B313" t="str">
        <x:v>LO1</x:v>
      </x:c>
      <x:c r="C313" t="str">
        <x:v>D</x:v>
      </x:c>
      <x:c r="D313" t="str">
        <x:v>改稿済み・専門家未承認</x:v>
      </x:c>
      <x:c r="E313" t="str">
        <x:v>N</x:v>
      </x:c>
    </x:row>
    <x:row r="314">
      <x:c r="A314" t="str">
        <x:v>LO1-073</x:v>
      </x:c>
      <x:c r="B314" t="str">
        <x:v>LO1</x:v>
      </x:c>
      <x:c r="C314" t="str">
        <x:v>A</x:v>
      </x:c>
      <x:c r="D314" t="str">
        <x:v>改稿済み・専門家未承認</x:v>
      </x:c>
      <x:c r="E314" t="str">
        <x:v>N</x:v>
      </x:c>
    </x:row>
    <x:row r="315">
      <x:c r="A315" t="str">
        <x:v>LO1-074</x:v>
      </x:c>
      <x:c r="B315" t="str">
        <x:v>LO1</x:v>
      </x:c>
      <x:c r="C315" t="str">
        <x:v>B</x:v>
      </x:c>
      <x:c r="D315" t="str">
        <x:v>改稿済み・専門家未承認</x:v>
      </x:c>
      <x:c r="E315" t="str">
        <x:v>N</x:v>
      </x:c>
    </x:row>
    <x:row r="316">
      <x:c r="A316" t="str">
        <x:v>LO1-075</x:v>
      </x:c>
      <x:c r="B316" t="str">
        <x:v>LO1</x:v>
      </x:c>
      <x:c r="C316" t="str">
        <x:v>C</x:v>
      </x:c>
      <x:c r="D316" t="str">
        <x:v>改稿済み・専門家未承認</x:v>
      </x:c>
      <x:c r="E316" t="str">
        <x:v>N</x:v>
      </x:c>
    </x:row>
    <x:row r="317">
      <x:c r="A317" t="str">
        <x:v>LO1-076</x:v>
      </x:c>
      <x:c r="B317" t="str">
        <x:v>LO1</x:v>
      </x:c>
      <x:c r="C317" t="str">
        <x:v>D</x:v>
      </x:c>
      <x:c r="D317" t="str">
        <x:v>改稿済み・専門家未承認</x:v>
      </x:c>
      <x:c r="E317" t="str">
        <x:v>N</x:v>
      </x:c>
    </x:row>
    <x:row r="318">
      <x:c r="A318" t="str">
        <x:v>LO1-077</x:v>
      </x:c>
      <x:c r="B318" t="str">
        <x:v>LO1</x:v>
      </x:c>
      <x:c r="C318" t="str">
        <x:v>A</x:v>
      </x:c>
      <x:c r="D318" t="str">
        <x:v>改稿済み・専門家未承認</x:v>
      </x:c>
      <x:c r="E318" t="str">
        <x:v>N</x:v>
      </x:c>
    </x:row>
    <x:row r="319">
      <x:c r="A319" t="str">
        <x:v>LO1-078</x:v>
      </x:c>
      <x:c r="B319" t="str">
        <x:v>LO1</x:v>
      </x:c>
      <x:c r="C319" t="str">
        <x:v>B</x:v>
      </x:c>
      <x:c r="D319" t="str">
        <x:v>改稿済み・専門家未承認</x:v>
      </x:c>
      <x:c r="E319" t="str">
        <x:v>N</x:v>
      </x:c>
    </x:row>
    <x:row r="320">
      <x:c r="A320" t="str">
        <x:v>LO1-079</x:v>
      </x:c>
      <x:c r="B320" t="str">
        <x:v>LO1</x:v>
      </x:c>
      <x:c r="C320" t="str">
        <x:v>C</x:v>
      </x:c>
      <x:c r="D320" t="str">
        <x:v>改稿済み・専門家未承認</x:v>
      </x:c>
      <x:c r="E320" t="str">
        <x:v>N</x:v>
      </x:c>
    </x:row>
    <x:row r="321">
      <x:c r="A321" t="str">
        <x:v>LO1-080</x:v>
      </x:c>
      <x:c r="B321" t="str">
        <x:v>LO1</x:v>
      </x:c>
      <x:c r="C321" t="str">
        <x:v>D</x:v>
      </x:c>
      <x:c r="D321" t="str">
        <x:v>改稿済み・専門家未承認</x:v>
      </x:c>
      <x:c r="E321" t="str">
        <x:v>N</x:v>
      </x:c>
    </x:row>
    <x:row r="322">
      <x:c r="A322" t="str">
        <x:v>LO1-081</x:v>
      </x:c>
      <x:c r="B322" t="str">
        <x:v>LO1</x:v>
      </x:c>
      <x:c r="C322" t="str">
        <x:v>A</x:v>
      </x:c>
      <x:c r="D322" t="str">
        <x:v>改稿済み・専門家未承認</x:v>
      </x:c>
      <x:c r="E322" t="str">
        <x:v>N</x:v>
      </x:c>
    </x:row>
    <x:row r="323">
      <x:c r="A323" t="str">
        <x:v>LO1-082</x:v>
      </x:c>
      <x:c r="B323" t="str">
        <x:v>LO1</x:v>
      </x:c>
      <x:c r="C323" t="str">
        <x:v>B</x:v>
      </x:c>
      <x:c r="D323" t="str">
        <x:v>改稿済み・専門家未承認</x:v>
      </x:c>
      <x:c r="E323" t="str">
        <x:v>N</x:v>
      </x:c>
    </x:row>
    <x:row r="324">
      <x:c r="A324" t="str">
        <x:v>LO1-083</x:v>
      </x:c>
      <x:c r="B324" t="str">
        <x:v>LO1</x:v>
      </x:c>
      <x:c r="C324" t="str">
        <x:v>C</x:v>
      </x:c>
      <x:c r="D324" t="str">
        <x:v>改稿済み・専門家未承認</x:v>
      </x:c>
      <x:c r="E324" t="str">
        <x:v>N</x:v>
      </x:c>
    </x:row>
    <x:row r="325">
      <x:c r="A325" t="str">
        <x:v>LO1-084</x:v>
      </x:c>
      <x:c r="B325" t="str">
        <x:v>LO1</x:v>
      </x:c>
      <x:c r="C325" t="str">
        <x:v>D</x:v>
      </x:c>
      <x:c r="D325" t="str">
        <x:v>改稿済み・専門家未承認</x:v>
      </x:c>
      <x:c r="E325" t="str">
        <x:v>N</x:v>
      </x:c>
    </x:row>
    <x:row r="326">
      <x:c r="A326" t="str">
        <x:v>LO1-085</x:v>
      </x:c>
      <x:c r="B326" t="str">
        <x:v>LO1</x:v>
      </x:c>
      <x:c r="C326" t="str">
        <x:v>A</x:v>
      </x:c>
      <x:c r="D326" t="str">
        <x:v>改稿済み・専門家未承認</x:v>
      </x:c>
      <x:c r="E326" t="str">
        <x:v>N</x:v>
      </x:c>
    </x:row>
    <x:row r="327">
      <x:c r="A327" t="str">
        <x:v>LO1-086</x:v>
      </x:c>
      <x:c r="B327" t="str">
        <x:v>LO1</x:v>
      </x:c>
      <x:c r="C327" t="str">
        <x:v>B</x:v>
      </x:c>
      <x:c r="D327" t="str">
        <x:v>改稿済み・専門家未承認</x:v>
      </x:c>
      <x:c r="E327" t="str">
        <x:v>N</x:v>
      </x:c>
    </x:row>
    <x:row r="328">
      <x:c r="A328" t="str">
        <x:v>LO1-087</x:v>
      </x:c>
      <x:c r="B328" t="str">
        <x:v>LO1</x:v>
      </x:c>
      <x:c r="C328" t="str">
        <x:v>C</x:v>
      </x:c>
      <x:c r="D328" t="str">
        <x:v>改稿済み・専門家未承認</x:v>
      </x:c>
      <x:c r="E328" t="str">
        <x:v>N</x:v>
      </x:c>
    </x:row>
    <x:row r="329">
      <x:c r="A329" t="str">
        <x:v>LO1-088</x:v>
      </x:c>
      <x:c r="B329" t="str">
        <x:v>LO1</x:v>
      </x:c>
      <x:c r="C329" t="str">
        <x:v>D</x:v>
      </x:c>
      <x:c r="D329" t="str">
        <x:v>改稿済み・専門家未承認</x:v>
      </x:c>
      <x:c r="E329" t="str">
        <x:v>N</x:v>
      </x:c>
    </x:row>
    <x:row r="330">
      <x:c r="A330" t="str">
        <x:v>LO1-089</x:v>
      </x:c>
      <x:c r="B330" t="str">
        <x:v>LO1</x:v>
      </x:c>
      <x:c r="C330" t="str">
        <x:v>A</x:v>
      </x:c>
      <x:c r="D330" t="str">
        <x:v>改稿済み・専門家未承認</x:v>
      </x:c>
      <x:c r="E330" t="str">
        <x:v>N</x:v>
      </x:c>
    </x:row>
    <x:row r="331">
      <x:c r="A331" t="str">
        <x:v>LO1-090</x:v>
      </x:c>
      <x:c r="B331" t="str">
        <x:v>LO1</x:v>
      </x:c>
      <x:c r="C331" t="str">
        <x:v>B</x:v>
      </x:c>
      <x:c r="D331" t="str">
        <x:v>改稿済み・専門家未承認</x:v>
      </x:c>
      <x:c r="E331" t="str">
        <x:v>N</x:v>
      </x:c>
    </x:row>
    <x:row r="332">
      <x:c r="A332" t="str">
        <x:v>LO1-091</x:v>
      </x:c>
      <x:c r="B332" t="str">
        <x:v>LO1</x:v>
      </x:c>
      <x:c r="C332" t="str">
        <x:v>C</x:v>
      </x:c>
      <x:c r="D332" t="str">
        <x:v>改稿済み・専門家未承認</x:v>
      </x:c>
      <x:c r="E332" t="str">
        <x:v>N</x:v>
      </x:c>
    </x:row>
    <x:row r="333">
      <x:c r="A333" t="str">
        <x:v>LO1-092</x:v>
      </x:c>
      <x:c r="B333" t="str">
        <x:v>LO1</x:v>
      </x:c>
      <x:c r="C333" t="str">
        <x:v>D</x:v>
      </x:c>
      <x:c r="D333" t="str">
        <x:v>改稿済み・専門家未承認</x:v>
      </x:c>
      <x:c r="E333" t="str">
        <x:v>N</x:v>
      </x:c>
    </x:row>
    <x:row r="334">
      <x:c r="A334" t="str">
        <x:v>LO1-093</x:v>
      </x:c>
      <x:c r="B334" t="str">
        <x:v>LO1</x:v>
      </x:c>
      <x:c r="C334" t="str">
        <x:v>A</x:v>
      </x:c>
      <x:c r="D334" t="str">
        <x:v>改稿済み・専門家未承認</x:v>
      </x:c>
      <x:c r="E334" t="str">
        <x:v>N</x:v>
      </x:c>
    </x:row>
    <x:row r="335">
      <x:c r="A335" t="str">
        <x:v>LO1-094</x:v>
      </x:c>
      <x:c r="B335" t="str">
        <x:v>LO1</x:v>
      </x:c>
      <x:c r="C335" t="str">
        <x:v>B</x:v>
      </x:c>
      <x:c r="D335" t="str">
        <x:v>改稿済み・専門家未承認</x:v>
      </x:c>
      <x:c r="E335" t="str">
        <x:v>N</x:v>
      </x:c>
    </x:row>
    <x:row r="336">
      <x:c r="A336" t="str">
        <x:v>LO1-095</x:v>
      </x:c>
      <x:c r="B336" t="str">
        <x:v>LO1</x:v>
      </x:c>
      <x:c r="C336" t="str">
        <x:v>C</x:v>
      </x:c>
      <x:c r="D336" t="str">
        <x:v>改稿済み・専門家未承認</x:v>
      </x:c>
      <x:c r="E336" t="str">
        <x:v>N</x:v>
      </x:c>
    </x:row>
    <x:row r="337">
      <x:c r="A337" t="str">
        <x:v>LO1-096</x:v>
      </x:c>
      <x:c r="B337" t="str">
        <x:v>LO1</x:v>
      </x:c>
      <x:c r="C337" t="str">
        <x:v>D</x:v>
      </x:c>
      <x:c r="D337" t="str">
        <x:v>改稿済み・専門家未承認</x:v>
      </x:c>
      <x:c r="E337" t="str">
        <x:v>N</x:v>
      </x:c>
    </x:row>
    <x:row r="338">
      <x:c r="A338" t="str">
        <x:v>LO1-097</x:v>
      </x:c>
      <x:c r="B338" t="str">
        <x:v>LO1</x:v>
      </x:c>
      <x:c r="C338" t="str">
        <x:v>A</x:v>
      </x:c>
      <x:c r="D338" t="str">
        <x:v>改稿済み・専門家未承認</x:v>
      </x:c>
      <x:c r="E338" t="str">
        <x:v>N</x:v>
      </x:c>
    </x:row>
    <x:row r="339">
      <x:c r="A339" t="str">
        <x:v>LO1-098</x:v>
      </x:c>
      <x:c r="B339" t="str">
        <x:v>LO1</x:v>
      </x:c>
      <x:c r="C339" t="str">
        <x:v>B</x:v>
      </x:c>
      <x:c r="D339" t="str">
        <x:v>改稿済み・専門家未承認</x:v>
      </x:c>
      <x:c r="E339" t="str">
        <x:v>N</x:v>
      </x:c>
    </x:row>
    <x:row r="340">
      <x:c r="A340" t="str">
        <x:v>LO1-099</x:v>
      </x:c>
      <x:c r="B340" t="str">
        <x:v>LO1</x:v>
      </x:c>
      <x:c r="C340" t="str">
        <x:v>C</x:v>
      </x:c>
      <x:c r="D340" t="str">
        <x:v>改稿済み・専門家未承認</x:v>
      </x:c>
      <x:c r="E340" t="str">
        <x:v>N</x:v>
      </x:c>
    </x:row>
    <x:row r="341">
      <x:c r="A341" t="str">
        <x:v>LO1-100</x:v>
      </x:c>
      <x:c r="B341" t="str">
        <x:v>LO1</x:v>
      </x:c>
      <x:c r="C341" t="str">
        <x:v>D</x:v>
      </x:c>
      <x:c r="D341" t="str">
        <x:v>改稿済み・専門家未承認</x:v>
      </x:c>
      <x:c r="E341" t="str">
        <x:v>N</x:v>
      </x:c>
    </x:row>
    <x:row r="342">
      <x:c r="A342" t="str">
        <x:v>LO1-101</x:v>
      </x:c>
      <x:c r="B342" t="str">
        <x:v>LO1</x:v>
      </x:c>
      <x:c r="C342" t="str">
        <x:v>A</x:v>
      </x:c>
      <x:c r="D342" t="str">
        <x:v>改稿済み・専門家未承認</x:v>
      </x:c>
      <x:c r="E342" t="str">
        <x:v>N</x:v>
      </x:c>
    </x:row>
    <x:row r="343">
      <x:c r="A343" t="str">
        <x:v>LO1-102</x:v>
      </x:c>
      <x:c r="B343" t="str">
        <x:v>LO1</x:v>
      </x:c>
      <x:c r="C343" t="str">
        <x:v>B</x:v>
      </x:c>
      <x:c r="D343" t="str">
        <x:v>改稿済み・専門家未承認</x:v>
      </x:c>
      <x:c r="E343" t="str">
        <x:v>N</x:v>
      </x:c>
    </x:row>
    <x:row r="344">
      <x:c r="A344" t="str">
        <x:v>LO1-103</x:v>
      </x:c>
      <x:c r="B344" t="str">
        <x:v>LO1</x:v>
      </x:c>
      <x:c r="C344" t="str">
        <x:v>C</x:v>
      </x:c>
      <x:c r="D344" t="str">
        <x:v>改稿済み・専門家未承認</x:v>
      </x:c>
      <x:c r="E344" t="str">
        <x:v>N</x:v>
      </x:c>
    </x:row>
    <x:row r="345">
      <x:c r="A345" t="str">
        <x:v>LO1-104</x:v>
      </x:c>
      <x:c r="B345" t="str">
        <x:v>LO1</x:v>
      </x:c>
      <x:c r="C345" t="str">
        <x:v>D</x:v>
      </x:c>
      <x:c r="D345" t="str">
        <x:v>改稿済み・専門家未承認</x:v>
      </x:c>
      <x:c r="E345" t="str">
        <x:v>N</x:v>
      </x:c>
    </x:row>
    <x:row r="346">
      <x:c r="A346" t="str">
        <x:v>LO1-105</x:v>
      </x:c>
      <x:c r="B346" t="str">
        <x:v>LO1</x:v>
      </x:c>
      <x:c r="C346" t="str">
        <x:v>A</x:v>
      </x:c>
      <x:c r="D346" t="str">
        <x:v>改稿済み・専門家未承認</x:v>
      </x:c>
      <x:c r="E346" t="str">
        <x:v>N</x:v>
      </x:c>
    </x:row>
    <x:row r="347">
      <x:c r="A347" t="str">
        <x:v>LO1-106</x:v>
      </x:c>
      <x:c r="B347" t="str">
        <x:v>LO1</x:v>
      </x:c>
      <x:c r="C347" t="str">
        <x:v>B</x:v>
      </x:c>
      <x:c r="D347" t="str">
        <x:v>改稿済み・専門家未承認</x:v>
      </x:c>
      <x:c r="E347" t="str">
        <x:v>N</x:v>
      </x:c>
    </x:row>
    <x:row r="348">
      <x:c r="A348" t="str">
        <x:v>LO1-107</x:v>
      </x:c>
      <x:c r="B348" t="str">
        <x:v>LO1</x:v>
      </x:c>
      <x:c r="C348" t="str">
        <x:v>C</x:v>
      </x:c>
      <x:c r="D348" t="str">
        <x:v>改稿済み・専門家未承認</x:v>
      </x:c>
      <x:c r="E348" t="str">
        <x:v>N</x:v>
      </x:c>
    </x:row>
    <x:row r="349">
      <x:c r="A349" t="str">
        <x:v>LO1-108</x:v>
      </x:c>
      <x:c r="B349" t="str">
        <x:v>LO1</x:v>
      </x:c>
      <x:c r="C349" t="str">
        <x:v>D</x:v>
      </x:c>
      <x:c r="D349" t="str">
        <x:v>改稿済み・専門家未承認</x:v>
      </x:c>
      <x:c r="E349" t="str">
        <x:v>N</x:v>
      </x:c>
    </x:row>
    <x:row r="350">
      <x:c r="A350" t="str">
        <x:v>LO1-109</x:v>
      </x:c>
      <x:c r="B350" t="str">
        <x:v>LO1</x:v>
      </x:c>
      <x:c r="C350" t="str">
        <x:v>A</x:v>
      </x:c>
      <x:c r="D350" t="str">
        <x:v>改稿済み・専門家未承認</x:v>
      </x:c>
      <x:c r="E350" t="str">
        <x:v>N</x:v>
      </x:c>
    </x:row>
    <x:row r="351">
      <x:c r="A351" t="str">
        <x:v>LO1-110</x:v>
      </x:c>
      <x:c r="B351" t="str">
        <x:v>LO1</x:v>
      </x:c>
      <x:c r="C351" t="str">
        <x:v>B</x:v>
      </x:c>
      <x:c r="D351" t="str">
        <x:v>改稿済み・専門家未承認</x:v>
      </x:c>
      <x:c r="E351" t="str">
        <x:v>N</x:v>
      </x:c>
    </x:row>
    <x:row r="352">
      <x:c r="A352" t="str">
        <x:v>LO1-111</x:v>
      </x:c>
      <x:c r="B352" t="str">
        <x:v>LO1</x:v>
      </x:c>
      <x:c r="C352" t="str">
        <x:v>C</x:v>
      </x:c>
      <x:c r="D352" t="str">
        <x:v>改稿済み・専門家未承認</x:v>
      </x:c>
      <x:c r="E352" t="str">
        <x:v>N</x:v>
      </x:c>
    </x:row>
    <x:row r="353">
      <x:c r="A353" t="str">
        <x:v>LO1-112</x:v>
      </x:c>
      <x:c r="B353" t="str">
        <x:v>LO1</x:v>
      </x:c>
      <x:c r="C353" t="str">
        <x:v>D</x:v>
      </x:c>
      <x:c r="D353" t="str">
        <x:v>改稿済み・専門家未承認</x:v>
      </x:c>
      <x:c r="E353" t="str">
        <x:v>N</x:v>
      </x:c>
    </x:row>
    <x:row r="354">
      <x:c r="A354" t="str">
        <x:v>LO1-113</x:v>
      </x:c>
      <x:c r="B354" t="str">
        <x:v>LO1</x:v>
      </x:c>
      <x:c r="C354" t="str">
        <x:v>A</x:v>
      </x:c>
      <x:c r="D354" t="str">
        <x:v>改稿済み・専門家未承認</x:v>
      </x:c>
      <x:c r="E354" t="str">
        <x:v>N</x:v>
      </x:c>
    </x:row>
    <x:row r="355">
      <x:c r="A355" t="str">
        <x:v>LO1-114</x:v>
      </x:c>
      <x:c r="B355" t="str">
        <x:v>LO1</x:v>
      </x:c>
      <x:c r="C355" t="str">
        <x:v>B</x:v>
      </x:c>
      <x:c r="D355" t="str">
        <x:v>改稿済み・専門家未承認</x:v>
      </x:c>
      <x:c r="E355" t="str">
        <x:v>N</x:v>
      </x:c>
    </x:row>
    <x:row r="356">
      <x:c r="A356" t="str">
        <x:v>LO1-115</x:v>
      </x:c>
      <x:c r="B356" t="str">
        <x:v>LO1</x:v>
      </x:c>
      <x:c r="C356" t="str">
        <x:v>C</x:v>
      </x:c>
      <x:c r="D356" t="str">
        <x:v>改稿済み・専門家未承認</x:v>
      </x:c>
      <x:c r="E356" t="str">
        <x:v>N</x:v>
      </x:c>
    </x:row>
    <x:row r="357">
      <x:c r="A357" t="str">
        <x:v>LO1-116</x:v>
      </x:c>
      <x:c r="B357" t="str">
        <x:v>LO1</x:v>
      </x:c>
      <x:c r="C357" t="str">
        <x:v>D</x:v>
      </x:c>
      <x:c r="D357" t="str">
        <x:v>改稿済み・専門家未承認</x:v>
      </x:c>
      <x:c r="E357" t="str">
        <x:v>N</x:v>
      </x:c>
    </x:row>
    <x:row r="358">
      <x:c r="A358" t="str">
        <x:v>LO1-117</x:v>
      </x:c>
      <x:c r="B358" t="str">
        <x:v>LO1</x:v>
      </x:c>
      <x:c r="C358" t="str">
        <x:v>A</x:v>
      </x:c>
      <x:c r="D358" t="str">
        <x:v>改稿済み・専門家未承認</x:v>
      </x:c>
      <x:c r="E358" t="str">
        <x:v>N</x:v>
      </x:c>
    </x:row>
    <x:row r="359">
      <x:c r="A359" t="str">
        <x:v>LO1-118</x:v>
      </x:c>
      <x:c r="B359" t="str">
        <x:v>LO1</x:v>
      </x:c>
      <x:c r="C359" t="str">
        <x:v>B</x:v>
      </x:c>
      <x:c r="D359" t="str">
        <x:v>改稿済み・専門家未承認</x:v>
      </x:c>
      <x:c r="E359" t="str">
        <x:v>N</x:v>
      </x:c>
    </x:row>
    <x:row r="360">
      <x:c r="A360" t="str">
        <x:v>LO1-119</x:v>
      </x:c>
      <x:c r="B360" t="str">
        <x:v>LO1</x:v>
      </x:c>
      <x:c r="C360" t="str">
        <x:v>C</x:v>
      </x:c>
      <x:c r="D360" t="str">
        <x:v>改稿済み・専門家未承認</x:v>
      </x:c>
      <x:c r="E360" t="str">
        <x:v>N</x:v>
      </x:c>
    </x:row>
    <x:row r="361">
      <x:c r="A361" t="str">
        <x:v>LO1-120</x:v>
      </x:c>
      <x:c r="B361" t="str">
        <x:v>LO1</x:v>
      </x:c>
      <x:c r="C361" t="str">
        <x:v>D</x:v>
      </x:c>
      <x:c r="D361" t="str">
        <x:v>改稿済み・専門家未承認</x:v>
      </x:c>
      <x:c r="E361" t="str">
        <x:v>Y</x:v>
      </x:c>
    </x:row>
    <x:row r="362">
      <x:c r="A362" t="str">
        <x:v>LO2-061</x:v>
      </x:c>
      <x:c r="B362" t="str">
        <x:v>LO2</x:v>
      </x:c>
      <x:c r="C362" t="str">
        <x:v>A</x:v>
      </x:c>
      <x:c r="D362" t="str">
        <x:v>改稿済み・専門家未承認</x:v>
      </x:c>
      <x:c r="E362" t="str">
        <x:v>N</x:v>
      </x:c>
    </x:row>
    <x:row r="363">
      <x:c r="A363" t="str">
        <x:v>LO2-062</x:v>
      </x:c>
      <x:c r="B363" t="str">
        <x:v>LO2</x:v>
      </x:c>
      <x:c r="C363" t="str">
        <x:v>B</x:v>
      </x:c>
      <x:c r="D363" t="str">
        <x:v>改稿済み・専門家未承認</x:v>
      </x:c>
      <x:c r="E363" t="str">
        <x:v>N</x:v>
      </x:c>
    </x:row>
    <x:row r="364">
      <x:c r="A364" t="str">
        <x:v>LO2-063</x:v>
      </x:c>
      <x:c r="B364" t="str">
        <x:v>LO2</x:v>
      </x:c>
      <x:c r="C364" t="str">
        <x:v>C</x:v>
      </x:c>
      <x:c r="D364" t="str">
        <x:v>改稿済み・専門家未承認</x:v>
      </x:c>
      <x:c r="E364" t="str">
        <x:v>N</x:v>
      </x:c>
    </x:row>
    <x:row r="365">
      <x:c r="A365" t="str">
        <x:v>LO2-064</x:v>
      </x:c>
      <x:c r="B365" t="str">
        <x:v>LO2</x:v>
      </x:c>
      <x:c r="C365" t="str">
        <x:v>D</x:v>
      </x:c>
      <x:c r="D365" t="str">
        <x:v>改稿済み・専門家未承認</x:v>
      </x:c>
      <x:c r="E365" t="str">
        <x:v>N</x:v>
      </x:c>
    </x:row>
    <x:row r="366">
      <x:c r="A366" t="str">
        <x:v>LO2-065</x:v>
      </x:c>
      <x:c r="B366" t="str">
        <x:v>LO2</x:v>
      </x:c>
      <x:c r="C366" t="str">
        <x:v>A</x:v>
      </x:c>
      <x:c r="D366" t="str">
        <x:v>改稿済み・専門家未承認</x:v>
      </x:c>
      <x:c r="E366" t="str">
        <x:v>N</x:v>
      </x:c>
    </x:row>
    <x:row r="367">
      <x:c r="A367" t="str">
        <x:v>LO2-066</x:v>
      </x:c>
      <x:c r="B367" t="str">
        <x:v>LO2</x:v>
      </x:c>
      <x:c r="C367" t="str">
        <x:v>B</x:v>
      </x:c>
      <x:c r="D367" t="str">
        <x:v>改稿済み・専門家未承認</x:v>
      </x:c>
      <x:c r="E367" t="str">
        <x:v>N</x:v>
      </x:c>
    </x:row>
    <x:row r="368">
      <x:c r="A368" t="str">
        <x:v>LO2-067</x:v>
      </x:c>
      <x:c r="B368" t="str">
        <x:v>LO2</x:v>
      </x:c>
      <x:c r="C368" t="str">
        <x:v>C</x:v>
      </x:c>
      <x:c r="D368" t="str">
        <x:v>改稿済み・専門家未承認</x:v>
      </x:c>
      <x:c r="E368" t="str">
        <x:v>N</x:v>
      </x:c>
    </x:row>
    <x:row r="369">
      <x:c r="A369" t="str">
        <x:v>LO2-068</x:v>
      </x:c>
      <x:c r="B369" t="str">
        <x:v>LO2</x:v>
      </x:c>
      <x:c r="C369" t="str">
        <x:v>D</x:v>
      </x:c>
      <x:c r="D369" t="str">
        <x:v>改稿済み・専門家未承認</x:v>
      </x:c>
      <x:c r="E369" t="str">
        <x:v>N</x:v>
      </x:c>
    </x:row>
    <x:row r="370">
      <x:c r="A370" t="str">
        <x:v>LO2-069</x:v>
      </x:c>
      <x:c r="B370" t="str">
        <x:v>LO2</x:v>
      </x:c>
      <x:c r="C370" t="str">
        <x:v>A</x:v>
      </x:c>
      <x:c r="D370" t="str">
        <x:v>改稿済み・専門家未承認</x:v>
      </x:c>
      <x:c r="E370" t="str">
        <x:v>N</x:v>
      </x:c>
    </x:row>
    <x:row r="371">
      <x:c r="A371" t="str">
        <x:v>LO2-070</x:v>
      </x:c>
      <x:c r="B371" t="str">
        <x:v>LO2</x:v>
      </x:c>
      <x:c r="C371" t="str">
        <x:v>B</x:v>
      </x:c>
      <x:c r="D371" t="str">
        <x:v>改稿済み・専門家未承認</x:v>
      </x:c>
      <x:c r="E371" t="str">
        <x:v>N</x:v>
      </x:c>
    </x:row>
    <x:row r="372">
      <x:c r="A372" t="str">
        <x:v>LO2-071</x:v>
      </x:c>
      <x:c r="B372" t="str">
        <x:v>LO2</x:v>
      </x:c>
      <x:c r="C372" t="str">
        <x:v>C</x:v>
      </x:c>
      <x:c r="D372" t="str">
        <x:v>改稿済み・専門家未承認</x:v>
      </x:c>
      <x:c r="E372" t="str">
        <x:v>N</x:v>
      </x:c>
    </x:row>
    <x:row r="373">
      <x:c r="A373" t="str">
        <x:v>LO2-072</x:v>
      </x:c>
      <x:c r="B373" t="str">
        <x:v>LO2</x:v>
      </x:c>
      <x:c r="C373" t="str">
        <x:v>D</x:v>
      </x:c>
      <x:c r="D373" t="str">
        <x:v>改稿済み・専門家未承認</x:v>
      </x:c>
      <x:c r="E373" t="str">
        <x:v>N</x:v>
      </x:c>
    </x:row>
    <x:row r="374">
      <x:c r="A374" t="str">
        <x:v>LO2-073</x:v>
      </x:c>
      <x:c r="B374" t="str">
        <x:v>LO2</x:v>
      </x:c>
      <x:c r="C374" t="str">
        <x:v>A</x:v>
      </x:c>
      <x:c r="D374" t="str">
        <x:v>改稿済み・専門家未承認</x:v>
      </x:c>
      <x:c r="E374" t="str">
        <x:v>N</x:v>
      </x:c>
    </x:row>
    <x:row r="375">
      <x:c r="A375" t="str">
        <x:v>LO2-074</x:v>
      </x:c>
      <x:c r="B375" t="str">
        <x:v>LO2</x:v>
      </x:c>
      <x:c r="C375" t="str">
        <x:v>B</x:v>
      </x:c>
      <x:c r="D375" t="str">
        <x:v>改稿済み・専門家未承認</x:v>
      </x:c>
      <x:c r="E375" t="str">
        <x:v>N</x:v>
      </x:c>
    </x:row>
    <x:row r="376">
      <x:c r="A376" t="str">
        <x:v>LO2-075</x:v>
      </x:c>
      <x:c r="B376" t="str">
        <x:v>LO2</x:v>
      </x:c>
      <x:c r="C376" t="str">
        <x:v>C</x:v>
      </x:c>
      <x:c r="D376" t="str">
        <x:v>改稿済み・専門家未承認</x:v>
      </x:c>
      <x:c r="E376" t="str">
        <x:v>N</x:v>
      </x:c>
    </x:row>
    <x:row r="377">
      <x:c r="A377" t="str">
        <x:v>LO2-076</x:v>
      </x:c>
      <x:c r="B377" t="str">
        <x:v>LO2</x:v>
      </x:c>
      <x:c r="C377" t="str">
        <x:v>D</x:v>
      </x:c>
      <x:c r="D377" t="str">
        <x:v>改稿済み・専門家未承認</x:v>
      </x:c>
      <x:c r="E377" t="str">
        <x:v>N</x:v>
      </x:c>
    </x:row>
    <x:row r="378">
      <x:c r="A378" t="str">
        <x:v>LO2-077</x:v>
      </x:c>
      <x:c r="B378" t="str">
        <x:v>LO2</x:v>
      </x:c>
      <x:c r="C378" t="str">
        <x:v>A</x:v>
      </x:c>
      <x:c r="D378" t="str">
        <x:v>改稿済み・専門家未承認</x:v>
      </x:c>
      <x:c r="E378" t="str">
        <x:v>N</x:v>
      </x:c>
    </x:row>
    <x:row r="379">
      <x:c r="A379" t="str">
        <x:v>LO2-078</x:v>
      </x:c>
      <x:c r="B379" t="str">
        <x:v>LO2</x:v>
      </x:c>
      <x:c r="C379" t="str">
        <x:v>B</x:v>
      </x:c>
      <x:c r="D379" t="str">
        <x:v>改稿済み・専門家未承認</x:v>
      </x:c>
      <x:c r="E379" t="str">
        <x:v>N</x:v>
      </x:c>
    </x:row>
    <x:row r="380">
      <x:c r="A380" t="str">
        <x:v>LO2-079</x:v>
      </x:c>
      <x:c r="B380" t="str">
        <x:v>LO2</x:v>
      </x:c>
      <x:c r="C380" t="str">
        <x:v>C</x:v>
      </x:c>
      <x:c r="D380" t="str">
        <x:v>改稿済み・専門家未承認</x:v>
      </x:c>
      <x:c r="E380" t="str">
        <x:v>N</x:v>
      </x:c>
    </x:row>
    <x:row r="381">
      <x:c r="A381" t="str">
        <x:v>LO2-080</x:v>
      </x:c>
      <x:c r="B381" t="str">
        <x:v>LO2</x:v>
      </x:c>
      <x:c r="C381" t="str">
        <x:v>D</x:v>
      </x:c>
      <x:c r="D381" t="str">
        <x:v>改稿済み・専門家未承認</x:v>
      </x:c>
      <x:c r="E381" t="str">
        <x:v>N</x:v>
      </x:c>
    </x:row>
    <x:row r="382">
      <x:c r="A382" t="str">
        <x:v>LO2-081</x:v>
      </x:c>
      <x:c r="B382" t="str">
        <x:v>LO2</x:v>
      </x:c>
      <x:c r="C382" t="str">
        <x:v>A</x:v>
      </x:c>
      <x:c r="D382" t="str">
        <x:v>改稿済み・専門家未承認</x:v>
      </x:c>
      <x:c r="E382" t="str">
        <x:v>N</x:v>
      </x:c>
    </x:row>
    <x:row r="383">
      <x:c r="A383" t="str">
        <x:v>LO2-082</x:v>
      </x:c>
      <x:c r="B383" t="str">
        <x:v>LO2</x:v>
      </x:c>
      <x:c r="C383" t="str">
        <x:v>B</x:v>
      </x:c>
      <x:c r="D383" t="str">
        <x:v>改稿済み・専門家未承認</x:v>
      </x:c>
      <x:c r="E383" t="str">
        <x:v>N</x:v>
      </x:c>
    </x:row>
    <x:row r="384">
      <x:c r="A384" t="str">
        <x:v>LO2-083</x:v>
      </x:c>
      <x:c r="B384" t="str">
        <x:v>LO2</x:v>
      </x:c>
      <x:c r="C384" t="str">
        <x:v>C</x:v>
      </x:c>
      <x:c r="D384" t="str">
        <x:v>改稿済み・専門家未承認</x:v>
      </x:c>
      <x:c r="E384" t="str">
        <x:v>N</x:v>
      </x:c>
    </x:row>
    <x:row r="385">
      <x:c r="A385" t="str">
        <x:v>LO2-084</x:v>
      </x:c>
      <x:c r="B385" t="str">
        <x:v>LO2</x:v>
      </x:c>
      <x:c r="C385" t="str">
        <x:v>D</x:v>
      </x:c>
      <x:c r="D385" t="str">
        <x:v>改稿済み・専門家未承認</x:v>
      </x:c>
      <x:c r="E385" t="str">
        <x:v>N</x:v>
      </x:c>
    </x:row>
    <x:row r="386">
      <x:c r="A386" t="str">
        <x:v>LO2-085</x:v>
      </x:c>
      <x:c r="B386" t="str">
        <x:v>LO2</x:v>
      </x:c>
      <x:c r="C386" t="str">
        <x:v>A</x:v>
      </x:c>
      <x:c r="D386" t="str">
        <x:v>改稿済み・専門家未承認</x:v>
      </x:c>
      <x:c r="E386" t="str">
        <x:v>N</x:v>
      </x:c>
    </x:row>
    <x:row r="387">
      <x:c r="A387" t="str">
        <x:v>LO2-086</x:v>
      </x:c>
      <x:c r="B387" t="str">
        <x:v>LO2</x:v>
      </x:c>
      <x:c r="C387" t="str">
        <x:v>B</x:v>
      </x:c>
      <x:c r="D387" t="str">
        <x:v>改稿済み・専門家未承認</x:v>
      </x:c>
      <x:c r="E387" t="str">
        <x:v>N</x:v>
      </x:c>
    </x:row>
    <x:row r="388">
      <x:c r="A388" t="str">
        <x:v>LO2-087</x:v>
      </x:c>
      <x:c r="B388" t="str">
        <x:v>LO2</x:v>
      </x:c>
      <x:c r="C388" t="str">
        <x:v>C</x:v>
      </x:c>
      <x:c r="D388" t="str">
        <x:v>改稿済み・専門家未承認</x:v>
      </x:c>
      <x:c r="E388" t="str">
        <x:v>N</x:v>
      </x:c>
    </x:row>
    <x:row r="389">
      <x:c r="A389" t="str">
        <x:v>LO2-088</x:v>
      </x:c>
      <x:c r="B389" t="str">
        <x:v>LO2</x:v>
      </x:c>
      <x:c r="C389" t="str">
        <x:v>D</x:v>
      </x:c>
      <x:c r="D389" t="str">
        <x:v>改稿済み・専門家未承認</x:v>
      </x:c>
      <x:c r="E389" t="str">
        <x:v>N</x:v>
      </x:c>
    </x:row>
    <x:row r="390">
      <x:c r="A390" t="str">
        <x:v>LO2-089</x:v>
      </x:c>
      <x:c r="B390" t="str">
        <x:v>LO2</x:v>
      </x:c>
      <x:c r="C390" t="str">
        <x:v>A</x:v>
      </x:c>
      <x:c r="D390" t="str">
        <x:v>改稿済み・専門家未承認</x:v>
      </x:c>
      <x:c r="E390" t="str">
        <x:v>N</x:v>
      </x:c>
    </x:row>
    <x:row r="391">
      <x:c r="A391" t="str">
        <x:v>LO2-090</x:v>
      </x:c>
      <x:c r="B391" t="str">
        <x:v>LO2</x:v>
      </x:c>
      <x:c r="C391" t="str">
        <x:v>B</x:v>
      </x:c>
      <x:c r="D391" t="str">
        <x:v>改稿済み・専門家未承認</x:v>
      </x:c>
      <x:c r="E391" t="str">
        <x:v>N</x:v>
      </x:c>
    </x:row>
    <x:row r="392">
      <x:c r="A392" t="str">
        <x:v>LO2-091</x:v>
      </x:c>
      <x:c r="B392" t="str">
        <x:v>LO2</x:v>
      </x:c>
      <x:c r="C392" t="str">
        <x:v>C</x:v>
      </x:c>
      <x:c r="D392" t="str">
        <x:v>改稿済み・専門家未承認</x:v>
      </x:c>
      <x:c r="E392" t="str">
        <x:v>N</x:v>
      </x:c>
    </x:row>
    <x:row r="393">
      <x:c r="A393" t="str">
        <x:v>LO2-092</x:v>
      </x:c>
      <x:c r="B393" t="str">
        <x:v>LO2</x:v>
      </x:c>
      <x:c r="C393" t="str">
        <x:v>D</x:v>
      </x:c>
      <x:c r="D393" t="str">
        <x:v>改稿済み・専門家未承認</x:v>
      </x:c>
      <x:c r="E393" t="str">
        <x:v>N</x:v>
      </x:c>
    </x:row>
    <x:row r="394">
      <x:c r="A394" t="str">
        <x:v>LO2-093</x:v>
      </x:c>
      <x:c r="B394" t="str">
        <x:v>LO2</x:v>
      </x:c>
      <x:c r="C394" t="str">
        <x:v>A</x:v>
      </x:c>
      <x:c r="D394" t="str">
        <x:v>改稿済み・専門家未承認</x:v>
      </x:c>
      <x:c r="E394" t="str">
        <x:v>N</x:v>
      </x:c>
    </x:row>
    <x:row r="395">
      <x:c r="A395" t="str">
        <x:v>LO2-094</x:v>
      </x:c>
      <x:c r="B395" t="str">
        <x:v>LO2</x:v>
      </x:c>
      <x:c r="C395" t="str">
        <x:v>B</x:v>
      </x:c>
      <x:c r="D395" t="str">
        <x:v>改稿済み・専門家未承認</x:v>
      </x:c>
      <x:c r="E395" t="str">
        <x:v>N</x:v>
      </x:c>
    </x:row>
    <x:row r="396">
      <x:c r="A396" t="str">
        <x:v>LO2-095</x:v>
      </x:c>
      <x:c r="B396" t="str">
        <x:v>LO2</x:v>
      </x:c>
      <x:c r="C396" t="str">
        <x:v>C</x:v>
      </x:c>
      <x:c r="D396" t="str">
        <x:v>改稿済み・専門家未承認</x:v>
      </x:c>
      <x:c r="E396" t="str">
        <x:v>N</x:v>
      </x:c>
    </x:row>
    <x:row r="397">
      <x:c r="A397" t="str">
        <x:v>LO2-096</x:v>
      </x:c>
      <x:c r="B397" t="str">
        <x:v>LO2</x:v>
      </x:c>
      <x:c r="C397" t="str">
        <x:v>D</x:v>
      </x:c>
      <x:c r="D397" t="str">
        <x:v>改稿済み・専門家未承認</x:v>
      </x:c>
      <x:c r="E397" t="str">
        <x:v>N</x:v>
      </x:c>
    </x:row>
    <x:row r="398">
      <x:c r="A398" t="str">
        <x:v>LO2-097</x:v>
      </x:c>
      <x:c r="B398" t="str">
        <x:v>LO2</x:v>
      </x:c>
      <x:c r="C398" t="str">
        <x:v>A</x:v>
      </x:c>
      <x:c r="D398" t="str">
        <x:v>改稿済み・専門家未承認</x:v>
      </x:c>
      <x:c r="E398" t="str">
        <x:v>N</x:v>
      </x:c>
    </x:row>
    <x:row r="399">
      <x:c r="A399" t="str">
        <x:v>LO2-098</x:v>
      </x:c>
      <x:c r="B399" t="str">
        <x:v>LO2</x:v>
      </x:c>
      <x:c r="C399" t="str">
        <x:v>B</x:v>
      </x:c>
      <x:c r="D399" t="str">
        <x:v>改稿済み・専門家未承認</x:v>
      </x:c>
      <x:c r="E399" t="str">
        <x:v>N</x:v>
      </x:c>
    </x:row>
    <x:row r="400">
      <x:c r="A400" t="str">
        <x:v>LO2-099</x:v>
      </x:c>
      <x:c r="B400" t="str">
        <x:v>LO2</x:v>
      </x:c>
      <x:c r="C400" t="str">
        <x:v>C</x:v>
      </x:c>
      <x:c r="D400" t="str">
        <x:v>改稿済み・専門家未承認</x:v>
      </x:c>
      <x:c r="E400" t="str">
        <x:v>N</x:v>
      </x:c>
    </x:row>
    <x:row r="401">
      <x:c r="A401" t="str">
        <x:v>LO2-100</x:v>
      </x:c>
      <x:c r="B401" t="str">
        <x:v>LO2</x:v>
      </x:c>
      <x:c r="C401" t="str">
        <x:v>D</x:v>
      </x:c>
      <x:c r="D401" t="str">
        <x:v>改稿済み・専門家未承認</x:v>
      </x:c>
      <x:c r="E401" t="str">
        <x:v>N</x:v>
      </x:c>
    </x:row>
    <x:row r="402">
      <x:c r="A402" t="str">
        <x:v>LO2-101</x:v>
      </x:c>
      <x:c r="B402" t="str">
        <x:v>LO2</x:v>
      </x:c>
      <x:c r="C402" t="str">
        <x:v>A</x:v>
      </x:c>
      <x:c r="D402" t="str">
        <x:v>改稿済み・専門家未承認</x:v>
      </x:c>
      <x:c r="E402" t="str">
        <x:v>N</x:v>
      </x:c>
    </x:row>
    <x:row r="403">
      <x:c r="A403" t="str">
        <x:v>LO2-102</x:v>
      </x:c>
      <x:c r="B403" t="str">
        <x:v>LO2</x:v>
      </x:c>
      <x:c r="C403" t="str">
        <x:v>B</x:v>
      </x:c>
      <x:c r="D403" t="str">
        <x:v>改稿済み・専門家未承認</x:v>
      </x:c>
      <x:c r="E403" t="str">
        <x:v>N</x:v>
      </x:c>
    </x:row>
    <x:row r="404">
      <x:c r="A404" t="str">
        <x:v>LO2-103</x:v>
      </x:c>
      <x:c r="B404" t="str">
        <x:v>LO2</x:v>
      </x:c>
      <x:c r="C404" t="str">
        <x:v>C</x:v>
      </x:c>
      <x:c r="D404" t="str">
        <x:v>改稿済み・専門家未承認</x:v>
      </x:c>
      <x:c r="E404" t="str">
        <x:v>N</x:v>
      </x:c>
    </x:row>
    <x:row r="405">
      <x:c r="A405" t="str">
        <x:v>LO2-104</x:v>
      </x:c>
      <x:c r="B405" t="str">
        <x:v>LO2</x:v>
      </x:c>
      <x:c r="C405" t="str">
        <x:v>D</x:v>
      </x:c>
      <x:c r="D405" t="str">
        <x:v>改稿済み・専門家未承認</x:v>
      </x:c>
      <x:c r="E405" t="str">
        <x:v>N</x:v>
      </x:c>
    </x:row>
    <x:row r="406">
      <x:c r="A406" t="str">
        <x:v>LO2-105</x:v>
      </x:c>
      <x:c r="B406" t="str">
        <x:v>LO2</x:v>
      </x:c>
      <x:c r="C406" t="str">
        <x:v>A</x:v>
      </x:c>
      <x:c r="D406" t="str">
        <x:v>改稿済み・専門家未承認</x:v>
      </x:c>
      <x:c r="E406" t="str">
        <x:v>N</x:v>
      </x:c>
    </x:row>
    <x:row r="407">
      <x:c r="A407" t="str">
        <x:v>LO2-106</x:v>
      </x:c>
      <x:c r="B407" t="str">
        <x:v>LO2</x:v>
      </x:c>
      <x:c r="C407" t="str">
        <x:v>B</x:v>
      </x:c>
      <x:c r="D407" t="str">
        <x:v>改稿済み・専門家未承認</x:v>
      </x:c>
      <x:c r="E407" t="str">
        <x:v>N</x:v>
      </x:c>
    </x:row>
    <x:row r="408">
      <x:c r="A408" t="str">
        <x:v>LO2-107</x:v>
      </x:c>
      <x:c r="B408" t="str">
        <x:v>LO2</x:v>
      </x:c>
      <x:c r="C408" t="str">
        <x:v>C</x:v>
      </x:c>
      <x:c r="D408" t="str">
        <x:v>改稿済み・専門家未承認</x:v>
      </x:c>
      <x:c r="E408" t="str">
        <x:v>N</x:v>
      </x:c>
    </x:row>
    <x:row r="409">
      <x:c r="A409" t="str">
        <x:v>LO2-108</x:v>
      </x:c>
      <x:c r="B409" t="str">
        <x:v>LO2</x:v>
      </x:c>
      <x:c r="C409" t="str">
        <x:v>D</x:v>
      </x:c>
      <x:c r="D409" t="str">
        <x:v>改稿済み・専門家未承認</x:v>
      </x:c>
      <x:c r="E409" t="str">
        <x:v>N</x:v>
      </x:c>
    </x:row>
    <x:row r="410">
      <x:c r="A410" t="str">
        <x:v>LO2-109</x:v>
      </x:c>
      <x:c r="B410" t="str">
        <x:v>LO2</x:v>
      </x:c>
      <x:c r="C410" t="str">
        <x:v>A</x:v>
      </x:c>
      <x:c r="D410" t="str">
        <x:v>改稿済み・専門家未承認</x:v>
      </x:c>
      <x:c r="E410" t="str">
        <x:v>N</x:v>
      </x:c>
    </x:row>
    <x:row r="411">
      <x:c r="A411" t="str">
        <x:v>LO2-110</x:v>
      </x:c>
      <x:c r="B411" t="str">
        <x:v>LO2</x:v>
      </x:c>
      <x:c r="C411" t="str">
        <x:v>B</x:v>
      </x:c>
      <x:c r="D411" t="str">
        <x:v>改稿済み・専門家未承認</x:v>
      </x:c>
      <x:c r="E411" t="str">
        <x:v>N</x:v>
      </x:c>
    </x:row>
    <x:row r="412">
      <x:c r="A412" t="str">
        <x:v>LO2-111</x:v>
      </x:c>
      <x:c r="B412" t="str">
        <x:v>LO2</x:v>
      </x:c>
      <x:c r="C412" t="str">
        <x:v>C</x:v>
      </x:c>
      <x:c r="D412" t="str">
        <x:v>改稿済み・専門家未承認</x:v>
      </x:c>
      <x:c r="E412" t="str">
        <x:v>N</x:v>
      </x:c>
    </x:row>
    <x:row r="413">
      <x:c r="A413" t="str">
        <x:v>LO2-112</x:v>
      </x:c>
      <x:c r="B413" t="str">
        <x:v>LO2</x:v>
      </x:c>
      <x:c r="C413" t="str">
        <x:v>D</x:v>
      </x:c>
      <x:c r="D413" t="str">
        <x:v>改稿済み・専門家未承認</x:v>
      </x:c>
      <x:c r="E413" t="str">
        <x:v>N</x:v>
      </x:c>
    </x:row>
    <x:row r="414">
      <x:c r="A414" t="str">
        <x:v>LO2-113</x:v>
      </x:c>
      <x:c r="B414" t="str">
        <x:v>LO2</x:v>
      </x:c>
      <x:c r="C414" t="str">
        <x:v>A</x:v>
      </x:c>
      <x:c r="D414" t="str">
        <x:v>改稿済み・専門家未承認</x:v>
      </x:c>
      <x:c r="E414" t="str">
        <x:v>N</x:v>
      </x:c>
    </x:row>
    <x:row r="415">
      <x:c r="A415" t="str">
        <x:v>LO2-114</x:v>
      </x:c>
      <x:c r="B415" t="str">
        <x:v>LO2</x:v>
      </x:c>
      <x:c r="C415" t="str">
        <x:v>B</x:v>
      </x:c>
      <x:c r="D415" t="str">
        <x:v>改稿済み・専門家未承認</x:v>
      </x:c>
      <x:c r="E415" t="str">
        <x:v>N</x:v>
      </x:c>
    </x:row>
    <x:row r="416">
      <x:c r="A416" t="str">
        <x:v>LO2-115</x:v>
      </x:c>
      <x:c r="B416" t="str">
        <x:v>LO2</x:v>
      </x:c>
      <x:c r="C416" t="str">
        <x:v>C</x:v>
      </x:c>
      <x:c r="D416" t="str">
        <x:v>改稿済み・専門家未承認</x:v>
      </x:c>
      <x:c r="E416" t="str">
        <x:v>N</x:v>
      </x:c>
    </x:row>
    <x:row r="417">
      <x:c r="A417" t="str">
        <x:v>LO2-116</x:v>
      </x:c>
      <x:c r="B417" t="str">
        <x:v>LO2</x:v>
      </x:c>
      <x:c r="C417" t="str">
        <x:v>D</x:v>
      </x:c>
      <x:c r="D417" t="str">
        <x:v>改稿済み・専門家未承認</x:v>
      </x:c>
      <x:c r="E417" t="str">
        <x:v>N</x:v>
      </x:c>
    </x:row>
    <x:row r="418">
      <x:c r="A418" t="str">
        <x:v>LO2-117</x:v>
      </x:c>
      <x:c r="B418" t="str">
        <x:v>LO2</x:v>
      </x:c>
      <x:c r="C418" t="str">
        <x:v>A</x:v>
      </x:c>
      <x:c r="D418" t="str">
        <x:v>改稿済み・専門家未承認</x:v>
      </x:c>
      <x:c r="E418" t="str">
        <x:v>N</x:v>
      </x:c>
    </x:row>
    <x:row r="419">
      <x:c r="A419" t="str">
        <x:v>LO2-118</x:v>
      </x:c>
      <x:c r="B419" t="str">
        <x:v>LO2</x:v>
      </x:c>
      <x:c r="C419" t="str">
        <x:v>B</x:v>
      </x:c>
      <x:c r="D419" t="str">
        <x:v>改稿済み・専門家未承認</x:v>
      </x:c>
      <x:c r="E419" t="str">
        <x:v>N</x:v>
      </x:c>
    </x:row>
    <x:row r="420">
      <x:c r="A420" t="str">
        <x:v>LO2-119</x:v>
      </x:c>
      <x:c r="B420" t="str">
        <x:v>LO2</x:v>
      </x:c>
      <x:c r="C420" t="str">
        <x:v>C</x:v>
      </x:c>
      <x:c r="D420" t="str">
        <x:v>改稿済み・専門家未承認</x:v>
      </x:c>
      <x:c r="E420" t="str">
        <x:v>N</x:v>
      </x:c>
    </x:row>
    <x:row r="421">
      <x:c r="A421" t="str">
        <x:v>LO2-120</x:v>
      </x:c>
      <x:c r="B421" t="str">
        <x:v>LO2</x:v>
      </x:c>
      <x:c r="C421" t="str">
        <x:v>D</x:v>
      </x:c>
      <x:c r="D421" t="str">
        <x:v>改稿済み・専門家未承認</x:v>
      </x:c>
      <x:c r="E421" t="str">
        <x:v>N</x:v>
      </x:c>
    </x:row>
    <x:row r="422">
      <x:c r="A422" t="str">
        <x:v>LO3-061</x:v>
      </x:c>
      <x:c r="B422" t="str">
        <x:v>LO3</x:v>
      </x:c>
      <x:c r="C422" t="str">
        <x:v>A</x:v>
      </x:c>
      <x:c r="D422" t="str">
        <x:v>改稿済み・専門家未承認</x:v>
      </x:c>
      <x:c r="E422" t="str">
        <x:v>N</x:v>
      </x:c>
    </x:row>
    <x:row r="423">
      <x:c r="A423" t="str">
        <x:v>LO3-062</x:v>
      </x:c>
      <x:c r="B423" t="str">
        <x:v>LO3</x:v>
      </x:c>
      <x:c r="C423" t="str">
        <x:v>B</x:v>
      </x:c>
      <x:c r="D423" t="str">
        <x:v>改稿済み・専門家未承認</x:v>
      </x:c>
      <x:c r="E423" t="str">
        <x:v>N</x:v>
      </x:c>
    </x:row>
    <x:row r="424">
      <x:c r="A424" t="str">
        <x:v>LO3-063</x:v>
      </x:c>
      <x:c r="B424" t="str">
        <x:v>LO3</x:v>
      </x:c>
      <x:c r="C424" t="str">
        <x:v>C</x:v>
      </x:c>
      <x:c r="D424" t="str">
        <x:v>改稿済み・専門家未承認</x:v>
      </x:c>
      <x:c r="E424" t="str">
        <x:v>N</x:v>
      </x:c>
    </x:row>
    <x:row r="425">
      <x:c r="A425" t="str">
        <x:v>LO3-064</x:v>
      </x:c>
      <x:c r="B425" t="str">
        <x:v>LO3</x:v>
      </x:c>
      <x:c r="C425" t="str">
        <x:v>D</x:v>
      </x:c>
      <x:c r="D425" t="str">
        <x:v>改稿済み・専門家未承認</x:v>
      </x:c>
      <x:c r="E425" t="str">
        <x:v>N</x:v>
      </x:c>
    </x:row>
    <x:row r="426">
      <x:c r="A426" t="str">
        <x:v>LO3-065</x:v>
      </x:c>
      <x:c r="B426" t="str">
        <x:v>LO3</x:v>
      </x:c>
      <x:c r="C426" t="str">
        <x:v>A</x:v>
      </x:c>
      <x:c r="D426" t="str">
        <x:v>改稿済み・専門家未承認</x:v>
      </x:c>
      <x:c r="E426" t="str">
        <x:v>N</x:v>
      </x:c>
    </x:row>
    <x:row r="427">
      <x:c r="A427" t="str">
        <x:v>LO3-066</x:v>
      </x:c>
      <x:c r="B427" t="str">
        <x:v>LO3</x:v>
      </x:c>
      <x:c r="C427" t="str">
        <x:v>B</x:v>
      </x:c>
      <x:c r="D427" t="str">
        <x:v>改稿済み・専門家未承認</x:v>
      </x:c>
      <x:c r="E427" t="str">
        <x:v>N</x:v>
      </x:c>
    </x:row>
    <x:row r="428">
      <x:c r="A428" t="str">
        <x:v>LO3-067</x:v>
      </x:c>
      <x:c r="B428" t="str">
        <x:v>LO3</x:v>
      </x:c>
      <x:c r="C428" t="str">
        <x:v>C</x:v>
      </x:c>
      <x:c r="D428" t="str">
        <x:v>改稿済み・専門家未承認</x:v>
      </x:c>
      <x:c r="E428" t="str">
        <x:v>N</x:v>
      </x:c>
    </x:row>
    <x:row r="429">
      <x:c r="A429" t="str">
        <x:v>LO3-068</x:v>
      </x:c>
      <x:c r="B429" t="str">
        <x:v>LO3</x:v>
      </x:c>
      <x:c r="C429" t="str">
        <x:v>D</x:v>
      </x:c>
      <x:c r="D429" t="str">
        <x:v>改稿済み・専門家未承認</x:v>
      </x:c>
      <x:c r="E429" t="str">
        <x:v>N</x:v>
      </x:c>
    </x:row>
    <x:row r="430">
      <x:c r="A430" t="str">
        <x:v>LO3-069</x:v>
      </x:c>
      <x:c r="B430" t="str">
        <x:v>LO3</x:v>
      </x:c>
      <x:c r="C430" t="str">
        <x:v>A</x:v>
      </x:c>
      <x:c r="D430" t="str">
        <x:v>改稿済み・専門家未承認</x:v>
      </x:c>
      <x:c r="E430" t="str">
        <x:v>N</x:v>
      </x:c>
    </x:row>
    <x:row r="431">
      <x:c r="A431" t="str">
        <x:v>LO3-070</x:v>
      </x:c>
      <x:c r="B431" t="str">
        <x:v>LO3</x:v>
      </x:c>
      <x:c r="C431" t="str">
        <x:v>B</x:v>
      </x:c>
      <x:c r="D431" t="str">
        <x:v>改稿済み・専門家未承認</x:v>
      </x:c>
      <x:c r="E431" t="str">
        <x:v>N</x:v>
      </x:c>
    </x:row>
    <x:row r="432">
      <x:c r="A432" t="str">
        <x:v>LO3-071</x:v>
      </x:c>
      <x:c r="B432" t="str">
        <x:v>LO3</x:v>
      </x:c>
      <x:c r="C432" t="str">
        <x:v>C</x:v>
      </x:c>
      <x:c r="D432" t="str">
        <x:v>改稿済み・専門家未承認</x:v>
      </x:c>
      <x:c r="E432" t="str">
        <x:v>N</x:v>
      </x:c>
    </x:row>
    <x:row r="433">
      <x:c r="A433" t="str">
        <x:v>LO3-072</x:v>
      </x:c>
      <x:c r="B433" t="str">
        <x:v>LO3</x:v>
      </x:c>
      <x:c r="C433" t="str">
        <x:v>D</x:v>
      </x:c>
      <x:c r="D433" t="str">
        <x:v>改稿済み・専門家未承認</x:v>
      </x:c>
      <x:c r="E433" t="str">
        <x:v>N</x:v>
      </x:c>
    </x:row>
    <x:row r="434">
      <x:c r="A434" t="str">
        <x:v>LO3-073</x:v>
      </x:c>
      <x:c r="B434" t="str">
        <x:v>LO3</x:v>
      </x:c>
      <x:c r="C434" t="str">
        <x:v>A</x:v>
      </x:c>
      <x:c r="D434" t="str">
        <x:v>改稿済み・専門家未承認</x:v>
      </x:c>
      <x:c r="E434" t="str">
        <x:v>N</x:v>
      </x:c>
    </x:row>
    <x:row r="435">
      <x:c r="A435" t="str">
        <x:v>LO3-074</x:v>
      </x:c>
      <x:c r="B435" t="str">
        <x:v>LO3</x:v>
      </x:c>
      <x:c r="C435" t="str">
        <x:v>B</x:v>
      </x:c>
      <x:c r="D435" t="str">
        <x:v>改稿済み・専門家未承認</x:v>
      </x:c>
      <x:c r="E435" t="str">
        <x:v>N</x:v>
      </x:c>
    </x:row>
    <x:row r="436">
      <x:c r="A436" t="str">
        <x:v>LO3-075</x:v>
      </x:c>
      <x:c r="B436" t="str">
        <x:v>LO3</x:v>
      </x:c>
      <x:c r="C436" t="str">
        <x:v>C</x:v>
      </x:c>
      <x:c r="D436" t="str">
        <x:v>改稿済み・専門家未承認</x:v>
      </x:c>
      <x:c r="E436" t="str">
        <x:v>N</x:v>
      </x:c>
    </x:row>
    <x:row r="437">
      <x:c r="A437" t="str">
        <x:v>LO3-076</x:v>
      </x:c>
      <x:c r="B437" t="str">
        <x:v>LO3</x:v>
      </x:c>
      <x:c r="C437" t="str">
        <x:v>D</x:v>
      </x:c>
      <x:c r="D437" t="str">
        <x:v>改稿済み・専門家未承認</x:v>
      </x:c>
      <x:c r="E437" t="str">
        <x:v>N</x:v>
      </x:c>
    </x:row>
    <x:row r="438">
      <x:c r="A438" t="str">
        <x:v>LO3-077</x:v>
      </x:c>
      <x:c r="B438" t="str">
        <x:v>LO3</x:v>
      </x:c>
      <x:c r="C438" t="str">
        <x:v>A</x:v>
      </x:c>
      <x:c r="D438" t="str">
        <x:v>改稿済み・専門家未承認</x:v>
      </x:c>
      <x:c r="E438" t="str">
        <x:v>N</x:v>
      </x:c>
    </x:row>
    <x:row r="439">
      <x:c r="A439" t="str">
        <x:v>LO3-078</x:v>
      </x:c>
      <x:c r="B439" t="str">
        <x:v>LO3</x:v>
      </x:c>
      <x:c r="C439" t="str">
        <x:v>B</x:v>
      </x:c>
      <x:c r="D439" t="str">
        <x:v>改稿済み・専門家未承認</x:v>
      </x:c>
      <x:c r="E439" t="str">
        <x:v>N</x:v>
      </x:c>
    </x:row>
    <x:row r="440">
      <x:c r="A440" t="str">
        <x:v>LO3-079</x:v>
      </x:c>
      <x:c r="B440" t="str">
        <x:v>LO3</x:v>
      </x:c>
      <x:c r="C440" t="str">
        <x:v>C</x:v>
      </x:c>
      <x:c r="D440" t="str">
        <x:v>改稿済み・専門家未承認</x:v>
      </x:c>
      <x:c r="E440" t="str">
        <x:v>N</x:v>
      </x:c>
    </x:row>
    <x:row r="441">
      <x:c r="A441" t="str">
        <x:v>LO3-080</x:v>
      </x:c>
      <x:c r="B441" t="str">
        <x:v>LO3</x:v>
      </x:c>
      <x:c r="C441" t="str">
        <x:v>D</x:v>
      </x:c>
      <x:c r="D441" t="str">
        <x:v>改稿済み・専門家未承認</x:v>
      </x:c>
      <x:c r="E441" t="str">
        <x:v>N</x:v>
      </x:c>
    </x:row>
    <x:row r="442">
      <x:c r="A442" t="str">
        <x:v>LO3-081</x:v>
      </x:c>
      <x:c r="B442" t="str">
        <x:v>LO3</x:v>
      </x:c>
      <x:c r="C442" t="str">
        <x:v>A</x:v>
      </x:c>
      <x:c r="D442" t="str">
        <x:v>改稿済み・専門家未承認</x:v>
      </x:c>
      <x:c r="E442" t="str">
        <x:v>N</x:v>
      </x:c>
    </x:row>
    <x:row r="443">
      <x:c r="A443" t="str">
        <x:v>LO3-082</x:v>
      </x:c>
      <x:c r="B443" t="str">
        <x:v>LO3</x:v>
      </x:c>
      <x:c r="C443" t="str">
        <x:v>B</x:v>
      </x:c>
      <x:c r="D443" t="str">
        <x:v>改稿済み・専門家未承認</x:v>
      </x:c>
      <x:c r="E443" t="str">
        <x:v>N</x:v>
      </x:c>
    </x:row>
    <x:row r="444">
      <x:c r="A444" t="str">
        <x:v>LO3-083</x:v>
      </x:c>
      <x:c r="B444" t="str">
        <x:v>LO3</x:v>
      </x:c>
      <x:c r="C444" t="str">
        <x:v>C</x:v>
      </x:c>
      <x:c r="D444" t="str">
        <x:v>改稿済み・専門家未承認</x:v>
      </x:c>
      <x:c r="E444" t="str">
        <x:v>Y</x:v>
      </x:c>
    </x:row>
    <x:row r="445">
      <x:c r="A445" t="str">
        <x:v>LO3-084</x:v>
      </x:c>
      <x:c r="B445" t="str">
        <x:v>LO3</x:v>
      </x:c>
      <x:c r="C445" t="str">
        <x:v>D</x:v>
      </x:c>
      <x:c r="D445" t="str">
        <x:v>改稿済み・専門家未承認</x:v>
      </x:c>
      <x:c r="E445" t="str">
        <x:v>N</x:v>
      </x:c>
    </x:row>
    <x:row r="446">
      <x:c r="A446" t="str">
        <x:v>LO3-085</x:v>
      </x:c>
      <x:c r="B446" t="str">
        <x:v>LO3</x:v>
      </x:c>
      <x:c r="C446" t="str">
        <x:v>A</x:v>
      </x:c>
      <x:c r="D446" t="str">
        <x:v>改稿済み・専門家未承認</x:v>
      </x:c>
      <x:c r="E446" t="str">
        <x:v>Y</x:v>
      </x:c>
    </x:row>
    <x:row r="447">
      <x:c r="A447" t="str">
        <x:v>LO3-086</x:v>
      </x:c>
      <x:c r="B447" t="str">
        <x:v>LO3</x:v>
      </x:c>
      <x:c r="C447" t="str">
        <x:v>B</x:v>
      </x:c>
      <x:c r="D447" t="str">
        <x:v>改稿済み・専門家未承認</x:v>
      </x:c>
      <x:c r="E447" t="str">
        <x:v>N</x:v>
      </x:c>
    </x:row>
    <x:row r="448">
      <x:c r="A448" t="str">
        <x:v>LO3-087</x:v>
      </x:c>
      <x:c r="B448" t="str">
        <x:v>LO3</x:v>
      </x:c>
      <x:c r="C448" t="str">
        <x:v>C</x:v>
      </x:c>
      <x:c r="D448" t="str">
        <x:v>改稿済み・専門家未承認</x:v>
      </x:c>
      <x:c r="E448" t="str">
        <x:v>Y</x:v>
      </x:c>
    </x:row>
    <x:row r="449">
      <x:c r="A449" t="str">
        <x:v>LO3-088</x:v>
      </x:c>
      <x:c r="B449" t="str">
        <x:v>LO3</x:v>
      </x:c>
      <x:c r="C449" t="str">
        <x:v>D</x:v>
      </x:c>
      <x:c r="D449" t="str">
        <x:v>改稿済み・専門家未承認</x:v>
      </x:c>
      <x:c r="E449" t="str">
        <x:v>N</x:v>
      </x:c>
    </x:row>
    <x:row r="450">
      <x:c r="A450" t="str">
        <x:v>LO3-089</x:v>
      </x:c>
      <x:c r="B450" t="str">
        <x:v>LO3</x:v>
      </x:c>
      <x:c r="C450" t="str">
        <x:v>A</x:v>
      </x:c>
      <x:c r="D450" t="str">
        <x:v>改稿済み・専門家未承認</x:v>
      </x:c>
      <x:c r="E450" t="str">
        <x:v>N</x:v>
      </x:c>
    </x:row>
    <x:row r="451">
      <x:c r="A451" t="str">
        <x:v>LO3-090</x:v>
      </x:c>
      <x:c r="B451" t="str">
        <x:v>LO3</x:v>
      </x:c>
      <x:c r="C451" t="str">
        <x:v>B</x:v>
      </x:c>
      <x:c r="D451" t="str">
        <x:v>改稿済み・専門家未承認</x:v>
      </x:c>
      <x:c r="E451" t="str">
        <x:v>N</x:v>
      </x:c>
    </x:row>
    <x:row r="452">
      <x:c r="A452" t="str">
        <x:v>LO3-091</x:v>
      </x:c>
      <x:c r="B452" t="str">
        <x:v>LO3</x:v>
      </x:c>
      <x:c r="C452" t="str">
        <x:v>C</x:v>
      </x:c>
      <x:c r="D452" t="str">
        <x:v>改稿済み・専門家未承認</x:v>
      </x:c>
      <x:c r="E452" t="str">
        <x:v>N</x:v>
      </x:c>
    </x:row>
    <x:row r="453">
      <x:c r="A453" t="str">
        <x:v>LO3-092</x:v>
      </x:c>
      <x:c r="B453" t="str">
        <x:v>LO3</x:v>
      </x:c>
      <x:c r="C453" t="str">
        <x:v>D</x:v>
      </x:c>
      <x:c r="D453" t="str">
        <x:v>改稿済み・専門家未承認</x:v>
      </x:c>
      <x:c r="E453" t="str">
        <x:v>N</x:v>
      </x:c>
    </x:row>
    <x:row r="454">
      <x:c r="A454" t="str">
        <x:v>LO3-093</x:v>
      </x:c>
      <x:c r="B454" t="str">
        <x:v>LO3</x:v>
      </x:c>
      <x:c r="C454" t="str">
        <x:v>A</x:v>
      </x:c>
      <x:c r="D454" t="str">
        <x:v>改稿済み・専門家未承認</x:v>
      </x:c>
      <x:c r="E454" t="str">
        <x:v>N</x:v>
      </x:c>
    </x:row>
    <x:row r="455">
      <x:c r="A455" t="str">
        <x:v>LO3-094</x:v>
      </x:c>
      <x:c r="B455" t="str">
        <x:v>LO3</x:v>
      </x:c>
      <x:c r="C455" t="str">
        <x:v>B</x:v>
      </x:c>
      <x:c r="D455" t="str">
        <x:v>改稿済み・専門家未承認</x:v>
      </x:c>
      <x:c r="E455" t="str">
        <x:v>Y</x:v>
      </x:c>
    </x:row>
    <x:row r="456">
      <x:c r="A456" t="str">
        <x:v>LO3-095</x:v>
      </x:c>
      <x:c r="B456" t="str">
        <x:v>LO3</x:v>
      </x:c>
      <x:c r="C456" t="str">
        <x:v>C</x:v>
      </x:c>
      <x:c r="D456" t="str">
        <x:v>改稿済み・専門家未承認</x:v>
      </x:c>
      <x:c r="E456" t="str">
        <x:v>Y</x:v>
      </x:c>
    </x:row>
    <x:row r="457">
      <x:c r="A457" t="str">
        <x:v>LO3-096</x:v>
      </x:c>
      <x:c r="B457" t="str">
        <x:v>LO3</x:v>
      </x:c>
      <x:c r="C457" t="str">
        <x:v>D</x:v>
      </x:c>
      <x:c r="D457" t="str">
        <x:v>改稿済み・専門家未承認</x:v>
      </x:c>
      <x:c r="E457" t="str">
        <x:v>N</x:v>
      </x:c>
    </x:row>
    <x:row r="458">
      <x:c r="A458" t="str">
        <x:v>LO3-097</x:v>
      </x:c>
      <x:c r="B458" t="str">
        <x:v>LO3</x:v>
      </x:c>
      <x:c r="C458" t="str">
        <x:v>A</x:v>
      </x:c>
      <x:c r="D458" t="str">
        <x:v>改稿済み・専門家未承認</x:v>
      </x:c>
      <x:c r="E458" t="str">
        <x:v>Y</x:v>
      </x:c>
    </x:row>
    <x:row r="459">
      <x:c r="A459" t="str">
        <x:v>LO3-098</x:v>
      </x:c>
      <x:c r="B459" t="str">
        <x:v>LO3</x:v>
      </x:c>
      <x:c r="C459" t="str">
        <x:v>B</x:v>
      </x:c>
      <x:c r="D459" t="str">
        <x:v>改稿済み・専門家未承認</x:v>
      </x:c>
      <x:c r="E459" t="str">
        <x:v>N</x:v>
      </x:c>
    </x:row>
    <x:row r="460">
      <x:c r="A460" t="str">
        <x:v>LO3-099</x:v>
      </x:c>
      <x:c r="B460" t="str">
        <x:v>LO3</x:v>
      </x:c>
      <x:c r="C460" t="str">
        <x:v>C</x:v>
      </x:c>
      <x:c r="D460" t="str">
        <x:v>改稿済み・専門家未承認</x:v>
      </x:c>
      <x:c r="E460" t="str">
        <x:v>N</x:v>
      </x:c>
    </x:row>
    <x:row r="461">
      <x:c r="A461" t="str">
        <x:v>LO3-100</x:v>
      </x:c>
      <x:c r="B461" t="str">
        <x:v>LO3</x:v>
      </x:c>
      <x:c r="C461" t="str">
        <x:v>D</x:v>
      </x:c>
      <x:c r="D461" t="str">
        <x:v>改稿済み・専門家未承認</x:v>
      </x:c>
      <x:c r="E461" t="str">
        <x:v>N</x:v>
      </x:c>
    </x:row>
    <x:row r="462">
      <x:c r="A462" t="str">
        <x:v>LO3-101</x:v>
      </x:c>
      <x:c r="B462" t="str">
        <x:v>LO3</x:v>
      </x:c>
      <x:c r="C462" t="str">
        <x:v>A</x:v>
      </x:c>
      <x:c r="D462" t="str">
        <x:v>改稿済み・専門家未承認</x:v>
      </x:c>
      <x:c r="E462" t="str">
        <x:v>N</x:v>
      </x:c>
    </x:row>
    <x:row r="463">
      <x:c r="A463" t="str">
        <x:v>LO3-102</x:v>
      </x:c>
      <x:c r="B463" t="str">
        <x:v>LO3</x:v>
      </x:c>
      <x:c r="C463" t="str">
        <x:v>B</x:v>
      </x:c>
      <x:c r="D463" t="str">
        <x:v>改稿済み・専門家未承認</x:v>
      </x:c>
      <x:c r="E463" t="str">
        <x:v>N</x:v>
      </x:c>
    </x:row>
    <x:row r="464">
      <x:c r="A464" t="str">
        <x:v>LO3-103</x:v>
      </x:c>
      <x:c r="B464" t="str">
        <x:v>LO3</x:v>
      </x:c>
      <x:c r="C464" t="str">
        <x:v>C</x:v>
      </x:c>
      <x:c r="D464" t="str">
        <x:v>改稿済み・専門家未承認</x:v>
      </x:c>
      <x:c r="E464" t="str">
        <x:v>N</x:v>
      </x:c>
    </x:row>
    <x:row r="465">
      <x:c r="A465" t="str">
        <x:v>LO3-104</x:v>
      </x:c>
      <x:c r="B465" t="str">
        <x:v>LO3</x:v>
      </x:c>
      <x:c r="C465" t="str">
        <x:v>D</x:v>
      </x:c>
      <x:c r="D465" t="str">
        <x:v>改稿済み・専門家未承認</x:v>
      </x:c>
      <x:c r="E465" t="str">
        <x:v>N</x:v>
      </x:c>
    </x:row>
    <x:row r="466">
      <x:c r="A466" t="str">
        <x:v>LO3-105</x:v>
      </x:c>
      <x:c r="B466" t="str">
        <x:v>LO3</x:v>
      </x:c>
      <x:c r="C466" t="str">
        <x:v>A</x:v>
      </x:c>
      <x:c r="D466" t="str">
        <x:v>改稿済み・専門家未承認</x:v>
      </x:c>
      <x:c r="E466" t="str">
        <x:v>N</x:v>
      </x:c>
    </x:row>
    <x:row r="467">
      <x:c r="A467" t="str">
        <x:v>LO3-106</x:v>
      </x:c>
      <x:c r="B467" t="str">
        <x:v>LO3</x:v>
      </x:c>
      <x:c r="C467" t="str">
        <x:v>B</x:v>
      </x:c>
      <x:c r="D467" t="str">
        <x:v>改稿済み・専門家未承認</x:v>
      </x:c>
      <x:c r="E467" t="str">
        <x:v>N</x:v>
      </x:c>
    </x:row>
    <x:row r="468">
      <x:c r="A468" t="str">
        <x:v>LO3-107</x:v>
      </x:c>
      <x:c r="B468" t="str">
        <x:v>LO3</x:v>
      </x:c>
      <x:c r="C468" t="str">
        <x:v>C</x:v>
      </x:c>
      <x:c r="D468" t="str">
        <x:v>改稿済み・専門家未承認</x:v>
      </x:c>
      <x:c r="E468" t="str">
        <x:v>N</x:v>
      </x:c>
    </x:row>
    <x:row r="469">
      <x:c r="A469" t="str">
        <x:v>LO3-108</x:v>
      </x:c>
      <x:c r="B469" t="str">
        <x:v>LO3</x:v>
      </x:c>
      <x:c r="C469" t="str">
        <x:v>D</x:v>
      </x:c>
      <x:c r="D469" t="str">
        <x:v>改稿済み・専門家未承認</x:v>
      </x:c>
      <x:c r="E469" t="str">
        <x:v>N</x:v>
      </x:c>
    </x:row>
    <x:row r="470">
      <x:c r="A470" t="str">
        <x:v>LO3-109</x:v>
      </x:c>
      <x:c r="B470" t="str">
        <x:v>LO3</x:v>
      </x:c>
      <x:c r="C470" t="str">
        <x:v>A</x:v>
      </x:c>
      <x:c r="D470" t="str">
        <x:v>改稿済み・専門家未承認</x:v>
      </x:c>
      <x:c r="E470" t="str">
        <x:v>N</x:v>
      </x:c>
    </x:row>
    <x:row r="471">
      <x:c r="A471" t="str">
        <x:v>LO3-110</x:v>
      </x:c>
      <x:c r="B471" t="str">
        <x:v>LO3</x:v>
      </x:c>
      <x:c r="C471" t="str">
        <x:v>B</x:v>
      </x:c>
      <x:c r="D471" t="str">
        <x:v>改稿済み・専門家未承認</x:v>
      </x:c>
      <x:c r="E471" t="str">
        <x:v>N</x:v>
      </x:c>
    </x:row>
    <x:row r="472">
      <x:c r="A472" t="str">
        <x:v>LO3-111</x:v>
      </x:c>
      <x:c r="B472" t="str">
        <x:v>LO3</x:v>
      </x:c>
      <x:c r="C472" t="str">
        <x:v>C</x:v>
      </x:c>
      <x:c r="D472" t="str">
        <x:v>改稿済み・専門家未承認</x:v>
      </x:c>
      <x:c r="E472" t="str">
        <x:v>N</x:v>
      </x:c>
    </x:row>
    <x:row r="473">
      <x:c r="A473" t="str">
        <x:v>LO3-112</x:v>
      </x:c>
      <x:c r="B473" t="str">
        <x:v>LO3</x:v>
      </x:c>
      <x:c r="C473" t="str">
        <x:v>D</x:v>
      </x:c>
      <x:c r="D473" t="str">
        <x:v>改稿済み・専門家未承認</x:v>
      </x:c>
      <x:c r="E473" t="str">
        <x:v>N</x:v>
      </x:c>
    </x:row>
    <x:row r="474">
      <x:c r="A474" t="str">
        <x:v>LO3-113</x:v>
      </x:c>
      <x:c r="B474" t="str">
        <x:v>LO3</x:v>
      </x:c>
      <x:c r="C474" t="str">
        <x:v>A</x:v>
      </x:c>
      <x:c r="D474" t="str">
        <x:v>改稿済み・専門家未承認</x:v>
      </x:c>
      <x:c r="E474" t="str">
        <x:v>N</x:v>
      </x:c>
    </x:row>
    <x:row r="475">
      <x:c r="A475" t="str">
        <x:v>LO3-114</x:v>
      </x:c>
      <x:c r="B475" t="str">
        <x:v>LO3</x:v>
      </x:c>
      <x:c r="C475" t="str">
        <x:v>B</x:v>
      </x:c>
      <x:c r="D475" t="str">
        <x:v>改稿済み・専門家未承認</x:v>
      </x:c>
      <x:c r="E475" t="str">
        <x:v>N</x:v>
      </x:c>
    </x:row>
    <x:row r="476">
      <x:c r="A476" t="str">
        <x:v>LO3-115</x:v>
      </x:c>
      <x:c r="B476" t="str">
        <x:v>LO3</x:v>
      </x:c>
      <x:c r="C476" t="str">
        <x:v>C</x:v>
      </x:c>
      <x:c r="D476" t="str">
        <x:v>改稿済み・専門家未承認</x:v>
      </x:c>
      <x:c r="E476" t="str">
        <x:v>N</x:v>
      </x:c>
    </x:row>
    <x:row r="477">
      <x:c r="A477" t="str">
        <x:v>LO3-116</x:v>
      </x:c>
      <x:c r="B477" t="str">
        <x:v>LO3</x:v>
      </x:c>
      <x:c r="C477" t="str">
        <x:v>D</x:v>
      </x:c>
      <x:c r="D477" t="str">
        <x:v>改稿済み・専門家未承認</x:v>
      </x:c>
      <x:c r="E477" t="str">
        <x:v>N</x:v>
      </x:c>
    </x:row>
    <x:row r="478">
      <x:c r="A478" t="str">
        <x:v>LO3-117</x:v>
      </x:c>
      <x:c r="B478" t="str">
        <x:v>LO3</x:v>
      </x:c>
      <x:c r="C478" t="str">
        <x:v>A</x:v>
      </x:c>
      <x:c r="D478" t="str">
        <x:v>改稿済み・専門家未承認</x:v>
      </x:c>
      <x:c r="E478" t="str">
        <x:v>N</x:v>
      </x:c>
    </x:row>
    <x:row r="479">
      <x:c r="A479" t="str">
        <x:v>LO3-118</x:v>
      </x:c>
      <x:c r="B479" t="str">
        <x:v>LO3</x:v>
      </x:c>
      <x:c r="C479" t="str">
        <x:v>B</x:v>
      </x:c>
      <x:c r="D479" t="str">
        <x:v>改稿済み・専門家未承認</x:v>
      </x:c>
      <x:c r="E479" t="str">
        <x:v>Y</x:v>
      </x:c>
    </x:row>
    <x:row r="480">
      <x:c r="A480" t="str">
        <x:v>LO3-119</x:v>
      </x:c>
      <x:c r="B480" t="str">
        <x:v>LO3</x:v>
      </x:c>
      <x:c r="C480" t="str">
        <x:v>C</x:v>
      </x:c>
      <x:c r="D480" t="str">
        <x:v>改稿済み・専門家未承認</x:v>
      </x:c>
      <x:c r="E480" t="str">
        <x:v>N</x:v>
      </x:c>
    </x:row>
    <x:row r="481">
      <x:c r="A481" t="str">
        <x:v>LO3-120</x:v>
      </x:c>
      <x:c r="B481" t="str">
        <x:v>LO3</x:v>
      </x:c>
      <x:c r="C481" t="str">
        <x:v>D</x:v>
      </x:c>
      <x:c r="D481" t="str">
        <x:v>改稿済み・専門家未承認</x:v>
      </x:c>
      <x:c r="E481" t="str">
        <x:v>N</x:v>
      </x:c>
    </x:row>
    <x:row r="482">
      <x:c r="A482" t="str">
        <x:v>LO4-061</x:v>
      </x:c>
      <x:c r="B482" t="str">
        <x:v>LO4</x:v>
      </x:c>
      <x:c r="C482" t="str">
        <x:v>A</x:v>
      </x:c>
      <x:c r="D482" t="str">
        <x:v>改稿済み・専門家未承認</x:v>
      </x:c>
      <x:c r="E482" t="str">
        <x:v>N</x:v>
      </x:c>
    </x:row>
    <x:row r="483">
      <x:c r="A483" t="str">
        <x:v>LO4-062</x:v>
      </x:c>
      <x:c r="B483" t="str">
        <x:v>LO4</x:v>
      </x:c>
      <x:c r="C483" t="str">
        <x:v>B</x:v>
      </x:c>
      <x:c r="D483" t="str">
        <x:v>改稿済み・専門家未承認</x:v>
      </x:c>
      <x:c r="E483" t="str">
        <x:v>N</x:v>
      </x:c>
    </x:row>
    <x:row r="484">
      <x:c r="A484" t="str">
        <x:v>LO4-063</x:v>
      </x:c>
      <x:c r="B484" t="str">
        <x:v>LO4</x:v>
      </x:c>
      <x:c r="C484" t="str">
        <x:v>C</x:v>
      </x:c>
      <x:c r="D484" t="str">
        <x:v>改稿済み・専門家未承認</x:v>
      </x:c>
      <x:c r="E484" t="str">
        <x:v>N</x:v>
      </x:c>
    </x:row>
    <x:row r="485">
      <x:c r="A485" t="str">
        <x:v>LO4-064</x:v>
      </x:c>
      <x:c r="B485" t="str">
        <x:v>LO4</x:v>
      </x:c>
      <x:c r="C485" t="str">
        <x:v>D</x:v>
      </x:c>
      <x:c r="D485" t="str">
        <x:v>改稿済み・専門家未承認</x:v>
      </x:c>
      <x:c r="E485" t="str">
        <x:v>Y</x:v>
      </x:c>
    </x:row>
    <x:row r="486">
      <x:c r="A486" t="str">
        <x:v>LO4-065</x:v>
      </x:c>
      <x:c r="B486" t="str">
        <x:v>LO4</x:v>
      </x:c>
      <x:c r="C486" t="str">
        <x:v>A</x:v>
      </x:c>
      <x:c r="D486" t="str">
        <x:v>改稿済み・専門家未承認</x:v>
      </x:c>
      <x:c r="E486" t="str">
        <x:v>Y</x:v>
      </x:c>
    </x:row>
    <x:row r="487">
      <x:c r="A487" t="str">
        <x:v>LO4-066</x:v>
      </x:c>
      <x:c r="B487" t="str">
        <x:v>LO4</x:v>
      </x:c>
      <x:c r="C487" t="str">
        <x:v>B</x:v>
      </x:c>
      <x:c r="D487" t="str">
        <x:v>改稿済み・専門家未承認</x:v>
      </x:c>
      <x:c r="E487" t="str">
        <x:v>Y</x:v>
      </x:c>
    </x:row>
    <x:row r="488">
      <x:c r="A488" t="str">
        <x:v>LO4-067</x:v>
      </x:c>
      <x:c r="B488" t="str">
        <x:v>LO4</x:v>
      </x:c>
      <x:c r="C488" t="str">
        <x:v>C</x:v>
      </x:c>
      <x:c r="D488" t="str">
        <x:v>改稿済み・専門家未承認</x:v>
      </x:c>
      <x:c r="E488" t="str">
        <x:v>N</x:v>
      </x:c>
    </x:row>
    <x:row r="489">
      <x:c r="A489" t="str">
        <x:v>LO4-068</x:v>
      </x:c>
      <x:c r="B489" t="str">
        <x:v>LO4</x:v>
      </x:c>
      <x:c r="C489" t="str">
        <x:v>D</x:v>
      </x:c>
      <x:c r="D489" t="str">
        <x:v>改稿済み・専門家未承認</x:v>
      </x:c>
      <x:c r="E489" t="str">
        <x:v>N</x:v>
      </x:c>
    </x:row>
    <x:row r="490">
      <x:c r="A490" t="str">
        <x:v>LO4-069</x:v>
      </x:c>
      <x:c r="B490" t="str">
        <x:v>LO4</x:v>
      </x:c>
      <x:c r="C490" t="str">
        <x:v>A</x:v>
      </x:c>
      <x:c r="D490" t="str">
        <x:v>改稿済み・専門家未承認</x:v>
      </x:c>
      <x:c r="E490" t="str">
        <x:v>N</x:v>
      </x:c>
    </x:row>
    <x:row r="491">
      <x:c r="A491" t="str">
        <x:v>LO4-070</x:v>
      </x:c>
      <x:c r="B491" t="str">
        <x:v>LO4</x:v>
      </x:c>
      <x:c r="C491" t="str">
        <x:v>B</x:v>
      </x:c>
      <x:c r="D491" t="str">
        <x:v>改稿済み・専門家未承認</x:v>
      </x:c>
      <x:c r="E491" t="str">
        <x:v>N</x:v>
      </x:c>
    </x:row>
    <x:row r="492">
      <x:c r="A492" t="str">
        <x:v>LO4-071</x:v>
      </x:c>
      <x:c r="B492" t="str">
        <x:v>LO4</x:v>
      </x:c>
      <x:c r="C492" t="str">
        <x:v>C</x:v>
      </x:c>
      <x:c r="D492" t="str">
        <x:v>改稿済み・専門家未承認</x:v>
      </x:c>
      <x:c r="E492" t="str">
        <x:v>N</x:v>
      </x:c>
    </x:row>
    <x:row r="493">
      <x:c r="A493" t="str">
        <x:v>LO4-072</x:v>
      </x:c>
      <x:c r="B493" t="str">
        <x:v>LO4</x:v>
      </x:c>
      <x:c r="C493" t="str">
        <x:v>D</x:v>
      </x:c>
      <x:c r="D493" t="str">
        <x:v>改稿済み・専門家未承認</x:v>
      </x:c>
      <x:c r="E493" t="str">
        <x:v>N</x:v>
      </x:c>
    </x:row>
    <x:row r="494">
      <x:c r="A494" t="str">
        <x:v>LO4-073</x:v>
      </x:c>
      <x:c r="B494" t="str">
        <x:v>LO4</x:v>
      </x:c>
      <x:c r="C494" t="str">
        <x:v>A</x:v>
      </x:c>
      <x:c r="D494" t="str">
        <x:v>改稿済み・専門家未承認</x:v>
      </x:c>
      <x:c r="E494" t="str">
        <x:v>N</x:v>
      </x:c>
    </x:row>
    <x:row r="495">
      <x:c r="A495" t="str">
        <x:v>LO4-074</x:v>
      </x:c>
      <x:c r="B495" t="str">
        <x:v>LO4</x:v>
      </x:c>
      <x:c r="C495" t="str">
        <x:v>B</x:v>
      </x:c>
      <x:c r="D495" t="str">
        <x:v>改稿済み・専門家未承認</x:v>
      </x:c>
      <x:c r="E495" t="str">
        <x:v>Y</x:v>
      </x:c>
    </x:row>
    <x:row r="496">
      <x:c r="A496" t="str">
        <x:v>LO4-075</x:v>
      </x:c>
      <x:c r="B496" t="str">
        <x:v>LO4</x:v>
      </x:c>
      <x:c r="C496" t="str">
        <x:v>C</x:v>
      </x:c>
      <x:c r="D496" t="str">
        <x:v>改稿済み・専門家未承認</x:v>
      </x:c>
      <x:c r="E496" t="str">
        <x:v>N</x:v>
      </x:c>
    </x:row>
    <x:row r="497">
      <x:c r="A497" t="str">
        <x:v>LO4-076</x:v>
      </x:c>
      <x:c r="B497" t="str">
        <x:v>LO4</x:v>
      </x:c>
      <x:c r="C497" t="str">
        <x:v>D</x:v>
      </x:c>
      <x:c r="D497" t="str">
        <x:v>改稿済み・専門家未承認</x:v>
      </x:c>
      <x:c r="E497" t="str">
        <x:v>N</x:v>
      </x:c>
    </x:row>
    <x:row r="498">
      <x:c r="A498" t="str">
        <x:v>LO4-077</x:v>
      </x:c>
      <x:c r="B498" t="str">
        <x:v>LO4</x:v>
      </x:c>
      <x:c r="C498" t="str">
        <x:v>A</x:v>
      </x:c>
      <x:c r="D498" t="str">
        <x:v>改稿済み・専門家未承認</x:v>
      </x:c>
      <x:c r="E498" t="str">
        <x:v>N</x:v>
      </x:c>
    </x:row>
    <x:row r="499">
      <x:c r="A499" t="str">
        <x:v>LO4-078</x:v>
      </x:c>
      <x:c r="B499" t="str">
        <x:v>LO4</x:v>
      </x:c>
      <x:c r="C499" t="str">
        <x:v>B</x:v>
      </x:c>
      <x:c r="D499" t="str">
        <x:v>改稿済み・専門家未承認</x:v>
      </x:c>
      <x:c r="E499" t="str">
        <x:v>N</x:v>
      </x:c>
    </x:row>
    <x:row r="500">
      <x:c r="A500" t="str">
        <x:v>LO4-079</x:v>
      </x:c>
      <x:c r="B500" t="str">
        <x:v>LO4</x:v>
      </x:c>
      <x:c r="C500" t="str">
        <x:v>C</x:v>
      </x:c>
      <x:c r="D500" t="str">
        <x:v>改稿済み・専門家未承認</x:v>
      </x:c>
      <x:c r="E500" t="str">
        <x:v>N</x:v>
      </x:c>
    </x:row>
    <x:row r="501">
      <x:c r="A501" t="str">
        <x:v>LO4-080</x:v>
      </x:c>
      <x:c r="B501" t="str">
        <x:v>LO4</x:v>
      </x:c>
      <x:c r="C501" t="str">
        <x:v>D</x:v>
      </x:c>
      <x:c r="D501" t="str">
        <x:v>改稿済み・専門家未承認</x:v>
      </x:c>
      <x:c r="E501" t="str">
        <x:v>N</x:v>
      </x:c>
    </x:row>
    <x:row r="502">
      <x:c r="A502" t="str">
        <x:v>LO4-081</x:v>
      </x:c>
      <x:c r="B502" t="str">
        <x:v>LO4</x:v>
      </x:c>
      <x:c r="C502" t="str">
        <x:v>A</x:v>
      </x:c>
      <x:c r="D502" t="str">
        <x:v>改稿済み・専門家未承認</x:v>
      </x:c>
      <x:c r="E502" t="str">
        <x:v>N</x:v>
      </x:c>
    </x:row>
    <x:row r="503">
      <x:c r="A503" t="str">
        <x:v>LO4-082</x:v>
      </x:c>
      <x:c r="B503" t="str">
        <x:v>LO4</x:v>
      </x:c>
      <x:c r="C503" t="str">
        <x:v>B</x:v>
      </x:c>
      <x:c r="D503" t="str">
        <x:v>改稿済み・専門家未承認</x:v>
      </x:c>
      <x:c r="E503" t="str">
        <x:v>Y</x:v>
      </x:c>
    </x:row>
    <x:row r="504">
      <x:c r="A504" t="str">
        <x:v>LO4-083</x:v>
      </x:c>
      <x:c r="B504" t="str">
        <x:v>LO4</x:v>
      </x:c>
      <x:c r="C504" t="str">
        <x:v>C</x:v>
      </x:c>
      <x:c r="D504" t="str">
        <x:v>改稿済み・専門家未承認</x:v>
      </x:c>
      <x:c r="E504" t="str">
        <x:v>Y</x:v>
      </x:c>
    </x:row>
    <x:row r="505">
      <x:c r="A505" t="str">
        <x:v>LO4-084</x:v>
      </x:c>
      <x:c r="B505" t="str">
        <x:v>LO4</x:v>
      </x:c>
      <x:c r="C505" t="str">
        <x:v>D</x:v>
      </x:c>
      <x:c r="D505" t="str">
        <x:v>改稿済み・専門家未承認</x:v>
      </x:c>
      <x:c r="E505" t="str">
        <x:v>N</x:v>
      </x:c>
    </x:row>
    <x:row r="506">
      <x:c r="A506" t="str">
        <x:v>LO4-085</x:v>
      </x:c>
      <x:c r="B506" t="str">
        <x:v>LO4</x:v>
      </x:c>
      <x:c r="C506" t="str">
        <x:v>A</x:v>
      </x:c>
      <x:c r="D506" t="str">
        <x:v>改稿済み・専門家未承認</x:v>
      </x:c>
      <x:c r="E506" t="str">
        <x:v>N</x:v>
      </x:c>
    </x:row>
    <x:row r="507">
      <x:c r="A507" t="str">
        <x:v>LO4-086</x:v>
      </x:c>
      <x:c r="B507" t="str">
        <x:v>LO4</x:v>
      </x:c>
      <x:c r="C507" t="str">
        <x:v>B</x:v>
      </x:c>
      <x:c r="D507" t="str">
        <x:v>改稿済み・専門家未承認</x:v>
      </x:c>
      <x:c r="E507" t="str">
        <x:v>N</x:v>
      </x:c>
    </x:row>
    <x:row r="508">
      <x:c r="A508" t="str">
        <x:v>LO4-087</x:v>
      </x:c>
      <x:c r="B508" t="str">
        <x:v>LO4</x:v>
      </x:c>
      <x:c r="C508" t="str">
        <x:v>C</x:v>
      </x:c>
      <x:c r="D508" t="str">
        <x:v>改稿済み・専門家未承認</x:v>
      </x:c>
      <x:c r="E508" t="str">
        <x:v>Y</x:v>
      </x:c>
    </x:row>
    <x:row r="509">
      <x:c r="A509" t="str">
        <x:v>LO4-088</x:v>
      </x:c>
      <x:c r="B509" t="str">
        <x:v>LO4</x:v>
      </x:c>
      <x:c r="C509" t="str">
        <x:v>D</x:v>
      </x:c>
      <x:c r="D509" t="str">
        <x:v>改稿済み・専門家未承認</x:v>
      </x:c>
      <x:c r="E509" t="str">
        <x:v>Y</x:v>
      </x:c>
    </x:row>
    <x:row r="510">
      <x:c r="A510" t="str">
        <x:v>LO4-089</x:v>
      </x:c>
      <x:c r="B510" t="str">
        <x:v>LO4</x:v>
      </x:c>
      <x:c r="C510" t="str">
        <x:v>A</x:v>
      </x:c>
      <x:c r="D510" t="str">
        <x:v>改稿済み・専門家未承認</x:v>
      </x:c>
      <x:c r="E510" t="str">
        <x:v>N</x:v>
      </x:c>
    </x:row>
    <x:row r="511">
      <x:c r="A511" t="str">
        <x:v>LO4-090</x:v>
      </x:c>
      <x:c r="B511" t="str">
        <x:v>LO4</x:v>
      </x:c>
      <x:c r="C511" t="str">
        <x:v>B</x:v>
      </x:c>
      <x:c r="D511" t="str">
        <x:v>改稿済み・専門家未承認</x:v>
      </x:c>
      <x:c r="E511" t="str">
        <x:v>N</x:v>
      </x:c>
    </x:row>
    <x:row r="512">
      <x:c r="A512" t="str">
        <x:v>LO4-091</x:v>
      </x:c>
      <x:c r="B512" t="str">
        <x:v>LO4</x:v>
      </x:c>
      <x:c r="C512" t="str">
        <x:v>C</x:v>
      </x:c>
      <x:c r="D512" t="str">
        <x:v>改稿済み・専門家未承認</x:v>
      </x:c>
      <x:c r="E512" t="str">
        <x:v>Y</x:v>
      </x:c>
    </x:row>
    <x:row r="513">
      <x:c r="A513" t="str">
        <x:v>LO4-092</x:v>
      </x:c>
      <x:c r="B513" t="str">
        <x:v>LO4</x:v>
      </x:c>
      <x:c r="C513" t="str">
        <x:v>D</x:v>
      </x:c>
      <x:c r="D513" t="str">
        <x:v>改稿済み・専門家未承認</x:v>
      </x:c>
      <x:c r="E513" t="str">
        <x:v>Y</x:v>
      </x:c>
    </x:row>
    <x:row r="514">
      <x:c r="A514" t="str">
        <x:v>LO4-093</x:v>
      </x:c>
      <x:c r="B514" t="str">
        <x:v>LO4</x:v>
      </x:c>
      <x:c r="C514" t="str">
        <x:v>A</x:v>
      </x:c>
      <x:c r="D514" t="str">
        <x:v>改稿済み・専門家未承認</x:v>
      </x:c>
      <x:c r="E514" t="str">
        <x:v>N</x:v>
      </x:c>
    </x:row>
    <x:row r="515">
      <x:c r="A515" t="str">
        <x:v>LO4-094</x:v>
      </x:c>
      <x:c r="B515" t="str">
        <x:v>LO4</x:v>
      </x:c>
      <x:c r="C515" t="str">
        <x:v>B</x:v>
      </x:c>
      <x:c r="D515" t="str">
        <x:v>改稿済み・専門家未承認</x:v>
      </x:c>
      <x:c r="E515" t="str">
        <x:v>N</x:v>
      </x:c>
    </x:row>
    <x:row r="516">
      <x:c r="A516" t="str">
        <x:v>LO4-095</x:v>
      </x:c>
      <x:c r="B516" t="str">
        <x:v>LO4</x:v>
      </x:c>
      <x:c r="C516" t="str">
        <x:v>C</x:v>
      </x:c>
      <x:c r="D516" t="str">
        <x:v>改稿済み・専門家未承認</x:v>
      </x:c>
      <x:c r="E516" t="str">
        <x:v>Y</x:v>
      </x:c>
    </x:row>
    <x:row r="517">
      <x:c r="A517" t="str">
        <x:v>LO4-096</x:v>
      </x:c>
      <x:c r="B517" t="str">
        <x:v>LO4</x:v>
      </x:c>
      <x:c r="C517" t="str">
        <x:v>D</x:v>
      </x:c>
      <x:c r="D517" t="str">
        <x:v>改稿済み・専門家未承認</x:v>
      </x:c>
      <x:c r="E517" t="str">
        <x:v>Y</x:v>
      </x:c>
    </x:row>
    <x:row r="518">
      <x:c r="A518" t="str">
        <x:v>LO4-097</x:v>
      </x:c>
      <x:c r="B518" t="str">
        <x:v>LO4</x:v>
      </x:c>
      <x:c r="C518" t="str">
        <x:v>A</x:v>
      </x:c>
      <x:c r="D518" t="str">
        <x:v>改稿済み・専門家未承認</x:v>
      </x:c>
      <x:c r="E518" t="str">
        <x:v>N</x:v>
      </x:c>
    </x:row>
    <x:row r="519">
      <x:c r="A519" t="str">
        <x:v>LO4-098</x:v>
      </x:c>
      <x:c r="B519" t="str">
        <x:v>LO4</x:v>
      </x:c>
      <x:c r="C519" t="str">
        <x:v>B</x:v>
      </x:c>
      <x:c r="D519" t="str">
        <x:v>改稿済み・専門家未承認</x:v>
      </x:c>
      <x:c r="E519" t="str">
        <x:v>N</x:v>
      </x:c>
    </x:row>
    <x:row r="520">
      <x:c r="A520" t="str">
        <x:v>LO4-099</x:v>
      </x:c>
      <x:c r="B520" t="str">
        <x:v>LO4</x:v>
      </x:c>
      <x:c r="C520" t="str">
        <x:v>C</x:v>
      </x:c>
      <x:c r="D520" t="str">
        <x:v>改稿済み・専門家未承認</x:v>
      </x:c>
      <x:c r="E520" t="str">
        <x:v>N</x:v>
      </x:c>
    </x:row>
    <x:row r="521">
      <x:c r="A521" t="str">
        <x:v>LO4-100</x:v>
      </x:c>
      <x:c r="B521" t="str">
        <x:v>LO4</x:v>
      </x:c>
      <x:c r="C521" t="str">
        <x:v>D</x:v>
      </x:c>
      <x:c r="D521" t="str">
        <x:v>改稿済み・専門家未承認</x:v>
      </x:c>
      <x:c r="E521" t="str">
        <x:v>N</x:v>
      </x:c>
    </x:row>
    <x:row r="522">
      <x:c r="A522" t="str">
        <x:v>LO4-101</x:v>
      </x:c>
      <x:c r="B522" t="str">
        <x:v>LO4</x:v>
      </x:c>
      <x:c r="C522" t="str">
        <x:v>A</x:v>
      </x:c>
      <x:c r="D522" t="str">
        <x:v>改稿済み・専門家未承認</x:v>
      </x:c>
      <x:c r="E522" t="str">
        <x:v>N</x:v>
      </x:c>
    </x:row>
    <x:row r="523">
      <x:c r="A523" t="str">
        <x:v>LO4-102</x:v>
      </x:c>
      <x:c r="B523" t="str">
        <x:v>LO4</x:v>
      </x:c>
      <x:c r="C523" t="str">
        <x:v>B</x:v>
      </x:c>
      <x:c r="D523" t="str">
        <x:v>改稿済み・専門家未承認</x:v>
      </x:c>
      <x:c r="E523" t="str">
        <x:v>N</x:v>
      </x:c>
    </x:row>
    <x:row r="524">
      <x:c r="A524" t="str">
        <x:v>LO4-103</x:v>
      </x:c>
      <x:c r="B524" t="str">
        <x:v>LO4</x:v>
      </x:c>
      <x:c r="C524" t="str">
        <x:v>C</x:v>
      </x:c>
      <x:c r="D524" t="str">
        <x:v>改稿済み・専門家未承認</x:v>
      </x:c>
      <x:c r="E524" t="str">
        <x:v>N</x:v>
      </x:c>
    </x:row>
    <x:row r="525">
      <x:c r="A525" t="str">
        <x:v>LO4-104</x:v>
      </x:c>
      <x:c r="B525" t="str">
        <x:v>LO4</x:v>
      </x:c>
      <x:c r="C525" t="str">
        <x:v>D</x:v>
      </x:c>
      <x:c r="D525" t="str">
        <x:v>改稿済み・専門家未承認</x:v>
      </x:c>
      <x:c r="E525" t="str">
        <x:v>N</x:v>
      </x:c>
    </x:row>
    <x:row r="526">
      <x:c r="A526" t="str">
        <x:v>LO4-105</x:v>
      </x:c>
      <x:c r="B526" t="str">
        <x:v>LO4</x:v>
      </x:c>
      <x:c r="C526" t="str">
        <x:v>A</x:v>
      </x:c>
      <x:c r="D526" t="str">
        <x:v>改稿済み・専門家未承認</x:v>
      </x:c>
      <x:c r="E526" t="str">
        <x:v>N</x:v>
      </x:c>
    </x:row>
    <x:row r="527">
      <x:c r="A527" t="str">
        <x:v>LO4-106</x:v>
      </x:c>
      <x:c r="B527" t="str">
        <x:v>LO4</x:v>
      </x:c>
      <x:c r="C527" t="str">
        <x:v>B</x:v>
      </x:c>
      <x:c r="D527" t="str">
        <x:v>改稿済み・専門家未承認</x:v>
      </x:c>
      <x:c r="E527" t="str">
        <x:v>Y</x:v>
      </x:c>
    </x:row>
    <x:row r="528">
      <x:c r="A528" t="str">
        <x:v>LO4-107</x:v>
      </x:c>
      <x:c r="B528" t="str">
        <x:v>LO4</x:v>
      </x:c>
      <x:c r="C528" t="str">
        <x:v>C</x:v>
      </x:c>
      <x:c r="D528" t="str">
        <x:v>改稿済み・専門家未承認</x:v>
      </x:c>
      <x:c r="E528" t="str">
        <x:v>N</x:v>
      </x:c>
    </x:row>
    <x:row r="529">
      <x:c r="A529" t="str">
        <x:v>LO4-108</x:v>
      </x:c>
      <x:c r="B529" t="str">
        <x:v>LO4</x:v>
      </x:c>
      <x:c r="C529" t="str">
        <x:v>D</x:v>
      </x:c>
      <x:c r="D529" t="str">
        <x:v>改稿済み・専門家未承認</x:v>
      </x:c>
      <x:c r="E529" t="str">
        <x:v>N</x:v>
      </x:c>
    </x:row>
    <x:row r="530">
      <x:c r="A530" t="str">
        <x:v>LO4-109</x:v>
      </x:c>
      <x:c r="B530" t="str">
        <x:v>LO4</x:v>
      </x:c>
      <x:c r="C530" t="str">
        <x:v>A</x:v>
      </x:c>
      <x:c r="D530" t="str">
        <x:v>改稿済み・専門家未承認</x:v>
      </x:c>
      <x:c r="E530" t="str">
        <x:v>N</x:v>
      </x:c>
    </x:row>
    <x:row r="531">
      <x:c r="A531" t="str">
        <x:v>LO4-110</x:v>
      </x:c>
      <x:c r="B531" t="str">
        <x:v>LO4</x:v>
      </x:c>
      <x:c r="C531" t="str">
        <x:v>B</x:v>
      </x:c>
      <x:c r="D531" t="str">
        <x:v>改稿済み・専門家未承認</x:v>
      </x:c>
      <x:c r="E531" t="str">
        <x:v>N</x:v>
      </x:c>
    </x:row>
    <x:row r="532">
      <x:c r="A532" t="str">
        <x:v>LO4-111</x:v>
      </x:c>
      <x:c r="B532" t="str">
        <x:v>LO4</x:v>
      </x:c>
      <x:c r="C532" t="str">
        <x:v>C</x:v>
      </x:c>
      <x:c r="D532" t="str">
        <x:v>改稿済み・専門家未承認</x:v>
      </x:c>
      <x:c r="E532" t="str">
        <x:v>Y</x:v>
      </x:c>
    </x:row>
    <x:row r="533">
      <x:c r="A533" t="str">
        <x:v>LO4-112</x:v>
      </x:c>
      <x:c r="B533" t="str">
        <x:v>LO4</x:v>
      </x:c>
      <x:c r="C533" t="str">
        <x:v>D</x:v>
      </x:c>
      <x:c r="D533" t="str">
        <x:v>改稿済み・専門家未承認</x:v>
      </x:c>
      <x:c r="E533" t="str">
        <x:v>Y</x:v>
      </x:c>
    </x:row>
    <x:row r="534">
      <x:c r="A534" t="str">
        <x:v>LO4-113</x:v>
      </x:c>
      <x:c r="B534" t="str">
        <x:v>LO4</x:v>
      </x:c>
      <x:c r="C534" t="str">
        <x:v>A</x:v>
      </x:c>
      <x:c r="D534" t="str">
        <x:v>改稿済み・専門家未承認</x:v>
      </x:c>
      <x:c r="E534" t="str">
        <x:v>Y</x:v>
      </x:c>
    </x:row>
    <x:row r="535">
      <x:c r="A535" t="str">
        <x:v>LO4-114</x:v>
      </x:c>
      <x:c r="B535" t="str">
        <x:v>LO4</x:v>
      </x:c>
      <x:c r="C535" t="str">
        <x:v>B</x:v>
      </x:c>
      <x:c r="D535" t="str">
        <x:v>改稿済み・専門家未承認</x:v>
      </x:c>
      <x:c r="E535" t="str">
        <x:v>Y</x:v>
      </x:c>
    </x:row>
    <x:row r="536">
      <x:c r="A536" t="str">
        <x:v>LO4-115</x:v>
      </x:c>
      <x:c r="B536" t="str">
        <x:v>LO4</x:v>
      </x:c>
      <x:c r="C536" t="str">
        <x:v>C</x:v>
      </x:c>
      <x:c r="D536" t="str">
        <x:v>改稿済み・専門家未承認</x:v>
      </x:c>
      <x:c r="E536" t="str">
        <x:v>N</x:v>
      </x:c>
    </x:row>
    <x:row r="537">
      <x:c r="A537" t="str">
        <x:v>LO4-116</x:v>
      </x:c>
      <x:c r="B537" t="str">
        <x:v>LO4</x:v>
      </x:c>
      <x:c r="C537" t="str">
        <x:v>D</x:v>
      </x:c>
      <x:c r="D537" t="str">
        <x:v>改稿済み・専門家未承認</x:v>
      </x:c>
      <x:c r="E537" t="str">
        <x:v>N</x:v>
      </x:c>
    </x:row>
    <x:row r="538">
      <x:c r="A538" t="str">
        <x:v>LO4-117</x:v>
      </x:c>
      <x:c r="B538" t="str">
        <x:v>LO4</x:v>
      </x:c>
      <x:c r="C538" t="str">
        <x:v>A</x:v>
      </x:c>
      <x:c r="D538" t="str">
        <x:v>改稿済み・専門家未承認</x:v>
      </x:c>
      <x:c r="E538" t="str">
        <x:v>N</x:v>
      </x:c>
    </x:row>
    <x:row r="539">
      <x:c r="A539" t="str">
        <x:v>LO4-118</x:v>
      </x:c>
      <x:c r="B539" t="str">
        <x:v>LO4</x:v>
      </x:c>
      <x:c r="C539" t="str">
        <x:v>B</x:v>
      </x:c>
      <x:c r="D539" t="str">
        <x:v>改稿済み・専門家未承認</x:v>
      </x:c>
      <x:c r="E539" t="str">
        <x:v>N</x:v>
      </x:c>
    </x:row>
    <x:row r="540">
      <x:c r="A540" t="str">
        <x:v>LO4-119</x:v>
      </x:c>
      <x:c r="B540" t="str">
        <x:v>LO4</x:v>
      </x:c>
      <x:c r="C540" t="str">
        <x:v>C</x:v>
      </x:c>
      <x:c r="D540" t="str">
        <x:v>改稿済み・専門家未承認</x:v>
      </x:c>
      <x:c r="E540" t="str">
        <x:v>N</x:v>
      </x:c>
    </x:row>
    <x:row r="541">
      <x:c r="A541" t="str">
        <x:v>LO4-120</x:v>
      </x:c>
      <x:c r="B541" t="str">
        <x:v>LO4</x:v>
      </x:c>
      <x:c r="C541" t="str">
        <x:v>D</x:v>
      </x:c>
      <x:c r="D541" t="str">
        <x:v>改稿済み・専門家未承認</x:v>
      </x:c>
      <x:c r="E541" t="str">
        <x:v>N</x:v>
      </x:c>
    </x:row>
    <x:row r="542">
      <x:c r="A542" t="str">
        <x:v>LO5-061</x:v>
      </x:c>
      <x:c r="B542" t="str">
        <x:v>LO5</x:v>
      </x:c>
      <x:c r="C542" t="str">
        <x:v>A</x:v>
      </x:c>
      <x:c r="D542" t="str">
        <x:v>改稿済み・専門家未承認</x:v>
      </x:c>
      <x:c r="E542" t="str">
        <x:v>N</x:v>
      </x:c>
    </x:row>
    <x:row r="543">
      <x:c r="A543" t="str">
        <x:v>LO5-062</x:v>
      </x:c>
      <x:c r="B543" t="str">
        <x:v>LO5</x:v>
      </x:c>
      <x:c r="C543" t="str">
        <x:v>B</x:v>
      </x:c>
      <x:c r="D543" t="str">
        <x:v>改稿済み・専門家未承認</x:v>
      </x:c>
      <x:c r="E543" t="str">
        <x:v>N</x:v>
      </x:c>
    </x:row>
    <x:row r="544">
      <x:c r="A544" t="str">
        <x:v>LO5-063</x:v>
      </x:c>
      <x:c r="B544" t="str">
        <x:v>LO5</x:v>
      </x:c>
      <x:c r="C544" t="str">
        <x:v>C</x:v>
      </x:c>
      <x:c r="D544" t="str">
        <x:v>改稿済み・専門家未承認</x:v>
      </x:c>
      <x:c r="E544" t="str">
        <x:v>Y</x:v>
      </x:c>
    </x:row>
    <x:row r="545">
      <x:c r="A545" t="str">
        <x:v>LO5-064</x:v>
      </x:c>
      <x:c r="B545" t="str">
        <x:v>LO5</x:v>
      </x:c>
      <x:c r="C545" t="str">
        <x:v>D</x:v>
      </x:c>
      <x:c r="D545" t="str">
        <x:v>改稿済み・専門家未承認</x:v>
      </x:c>
      <x:c r="E545" t="str">
        <x:v>N</x:v>
      </x:c>
    </x:row>
    <x:row r="546">
      <x:c r="A546" t="str">
        <x:v>LO5-065</x:v>
      </x:c>
      <x:c r="B546" t="str">
        <x:v>LO5</x:v>
      </x:c>
      <x:c r="C546" t="str">
        <x:v>A</x:v>
      </x:c>
      <x:c r="D546" t="str">
        <x:v>改稿済み・専門家未承認</x:v>
      </x:c>
      <x:c r="E546" t="str">
        <x:v>N</x:v>
      </x:c>
    </x:row>
    <x:row r="547">
      <x:c r="A547" t="str">
        <x:v>LO5-066</x:v>
      </x:c>
      <x:c r="B547" t="str">
        <x:v>LO5</x:v>
      </x:c>
      <x:c r="C547" t="str">
        <x:v>B</x:v>
      </x:c>
      <x:c r="D547" t="str">
        <x:v>改稿済み・専門家未承認</x:v>
      </x:c>
      <x:c r="E547" t="str">
        <x:v>N</x:v>
      </x:c>
    </x:row>
    <x:row r="548">
      <x:c r="A548" t="str">
        <x:v>LO5-067</x:v>
      </x:c>
      <x:c r="B548" t="str">
        <x:v>LO5</x:v>
      </x:c>
      <x:c r="C548" t="str">
        <x:v>C</x:v>
      </x:c>
      <x:c r="D548" t="str">
        <x:v>改稿済み・専門家未承認</x:v>
      </x:c>
      <x:c r="E548" t="str">
        <x:v>N</x:v>
      </x:c>
    </x:row>
    <x:row r="549">
      <x:c r="A549" t="str">
        <x:v>LO5-068</x:v>
      </x:c>
      <x:c r="B549" t="str">
        <x:v>LO5</x:v>
      </x:c>
      <x:c r="C549" t="str">
        <x:v>D</x:v>
      </x:c>
      <x:c r="D549" t="str">
        <x:v>改稿済み・専門家未承認</x:v>
      </x:c>
      <x:c r="E549" t="str">
        <x:v>N</x:v>
      </x:c>
    </x:row>
    <x:row r="550">
      <x:c r="A550" t="str">
        <x:v>LO5-069</x:v>
      </x:c>
      <x:c r="B550" t="str">
        <x:v>LO5</x:v>
      </x:c>
      <x:c r="C550" t="str">
        <x:v>A</x:v>
      </x:c>
      <x:c r="D550" t="str">
        <x:v>改稿済み・専門家未承認</x:v>
      </x:c>
      <x:c r="E550" t="str">
        <x:v>N</x:v>
      </x:c>
    </x:row>
    <x:row r="551">
      <x:c r="A551" t="str">
        <x:v>LO5-070</x:v>
      </x:c>
      <x:c r="B551" t="str">
        <x:v>LO5</x:v>
      </x:c>
      <x:c r="C551" t="str">
        <x:v>B</x:v>
      </x:c>
      <x:c r="D551" t="str">
        <x:v>改稿済み・専門家未承認</x:v>
      </x:c>
      <x:c r="E551" t="str">
        <x:v>N</x:v>
      </x:c>
    </x:row>
    <x:row r="552">
      <x:c r="A552" t="str">
        <x:v>LO5-071</x:v>
      </x:c>
      <x:c r="B552" t="str">
        <x:v>LO5</x:v>
      </x:c>
      <x:c r="C552" t="str">
        <x:v>C</x:v>
      </x:c>
      <x:c r="D552" t="str">
        <x:v>改稿済み・専門家未承認</x:v>
      </x:c>
      <x:c r="E552" t="str">
        <x:v>N</x:v>
      </x:c>
    </x:row>
    <x:row r="553">
      <x:c r="A553" t="str">
        <x:v>LO5-072</x:v>
      </x:c>
      <x:c r="B553" t="str">
        <x:v>LO5</x:v>
      </x:c>
      <x:c r="C553" t="str">
        <x:v>D</x:v>
      </x:c>
      <x:c r="D553" t="str">
        <x:v>改稿済み・専門家未承認</x:v>
      </x:c>
      <x:c r="E553" t="str">
        <x:v>N</x:v>
      </x:c>
    </x:row>
    <x:row r="554">
      <x:c r="A554" t="str">
        <x:v>LO5-073</x:v>
      </x:c>
      <x:c r="B554" t="str">
        <x:v>LO5</x:v>
      </x:c>
      <x:c r="C554" t="str">
        <x:v>A</x:v>
      </x:c>
      <x:c r="D554" t="str">
        <x:v>改稿済み・専門家未承認</x:v>
      </x:c>
      <x:c r="E554" t="str">
        <x:v>N</x:v>
      </x:c>
    </x:row>
    <x:row r="555">
      <x:c r="A555" t="str">
        <x:v>LO5-074</x:v>
      </x:c>
      <x:c r="B555" t="str">
        <x:v>LO5</x:v>
      </x:c>
      <x:c r="C555" t="str">
        <x:v>B</x:v>
      </x:c>
      <x:c r="D555" t="str">
        <x:v>改稿済み・専門家未承認</x:v>
      </x:c>
      <x:c r="E555" t="str">
        <x:v>N</x:v>
      </x:c>
    </x:row>
    <x:row r="556">
      <x:c r="A556" t="str">
        <x:v>LO5-075</x:v>
      </x:c>
      <x:c r="B556" t="str">
        <x:v>LO5</x:v>
      </x:c>
      <x:c r="C556" t="str">
        <x:v>C</x:v>
      </x:c>
      <x:c r="D556" t="str">
        <x:v>改稿済み・専門家未承認</x:v>
      </x:c>
      <x:c r="E556" t="str">
        <x:v>N</x:v>
      </x:c>
    </x:row>
    <x:row r="557">
      <x:c r="A557" t="str">
        <x:v>LO5-076</x:v>
      </x:c>
      <x:c r="B557" t="str">
        <x:v>LO5</x:v>
      </x:c>
      <x:c r="C557" t="str">
        <x:v>D</x:v>
      </x:c>
      <x:c r="D557" t="str">
        <x:v>改稿済み・専門家未承認</x:v>
      </x:c>
      <x:c r="E557" t="str">
        <x:v>N</x:v>
      </x:c>
    </x:row>
    <x:row r="558">
      <x:c r="A558" t="str">
        <x:v>LO5-077</x:v>
      </x:c>
      <x:c r="B558" t="str">
        <x:v>LO5</x:v>
      </x:c>
      <x:c r="C558" t="str">
        <x:v>A</x:v>
      </x:c>
      <x:c r="D558" t="str">
        <x:v>改稿済み・専門家未承認</x:v>
      </x:c>
      <x:c r="E558" t="str">
        <x:v>N</x:v>
      </x:c>
    </x:row>
    <x:row r="559">
      <x:c r="A559" t="str">
        <x:v>LO5-078</x:v>
      </x:c>
      <x:c r="B559" t="str">
        <x:v>LO5</x:v>
      </x:c>
      <x:c r="C559" t="str">
        <x:v>B</x:v>
      </x:c>
      <x:c r="D559" t="str">
        <x:v>改稿済み・専門家未承認</x:v>
      </x:c>
      <x:c r="E559" t="str">
        <x:v>N</x:v>
      </x:c>
    </x:row>
    <x:row r="560">
      <x:c r="A560" t="str">
        <x:v>LO5-079</x:v>
      </x:c>
      <x:c r="B560" t="str">
        <x:v>LO5</x:v>
      </x:c>
      <x:c r="C560" t="str">
        <x:v>C</x:v>
      </x:c>
      <x:c r="D560" t="str">
        <x:v>改稿済み・専門家未承認</x:v>
      </x:c>
      <x:c r="E560" t="str">
        <x:v>N</x:v>
      </x:c>
    </x:row>
    <x:row r="561">
      <x:c r="A561" t="str">
        <x:v>LO5-080</x:v>
      </x:c>
      <x:c r="B561" t="str">
        <x:v>LO5</x:v>
      </x:c>
      <x:c r="C561" t="str">
        <x:v>D</x:v>
      </x:c>
      <x:c r="D561" t="str">
        <x:v>改稿済み・専門家未承認</x:v>
      </x:c>
      <x:c r="E561" t="str">
        <x:v>N</x:v>
      </x:c>
    </x:row>
    <x:row r="562">
      <x:c r="A562" t="str">
        <x:v>LO5-081</x:v>
      </x:c>
      <x:c r="B562" t="str">
        <x:v>LO5</x:v>
      </x:c>
      <x:c r="C562" t="str">
        <x:v>A</x:v>
      </x:c>
      <x:c r="D562" t="str">
        <x:v>改稿済み・専門家未承認</x:v>
      </x:c>
      <x:c r="E562" t="str">
        <x:v>N</x:v>
      </x:c>
    </x:row>
    <x:row r="563">
      <x:c r="A563" t="str">
        <x:v>LO5-082</x:v>
      </x:c>
      <x:c r="B563" t="str">
        <x:v>LO5</x:v>
      </x:c>
      <x:c r="C563" t="str">
        <x:v>B</x:v>
      </x:c>
      <x:c r="D563" t="str">
        <x:v>改稿済み・専門家未承認</x:v>
      </x:c>
      <x:c r="E563" t="str">
        <x:v>N</x:v>
      </x:c>
    </x:row>
    <x:row r="564">
      <x:c r="A564" t="str">
        <x:v>LO5-083</x:v>
      </x:c>
      <x:c r="B564" t="str">
        <x:v>LO5</x:v>
      </x:c>
      <x:c r="C564" t="str">
        <x:v>C</x:v>
      </x:c>
      <x:c r="D564" t="str">
        <x:v>改稿済み・専門家未承認</x:v>
      </x:c>
      <x:c r="E564" t="str">
        <x:v>N</x:v>
      </x:c>
    </x:row>
    <x:row r="565">
      <x:c r="A565" t="str">
        <x:v>LO5-084</x:v>
      </x:c>
      <x:c r="B565" t="str">
        <x:v>LO5</x:v>
      </x:c>
      <x:c r="C565" t="str">
        <x:v>D</x:v>
      </x:c>
      <x:c r="D565" t="str">
        <x:v>改稿済み・専門家未承認</x:v>
      </x:c>
      <x:c r="E565" t="str">
        <x:v>N</x:v>
      </x:c>
    </x:row>
    <x:row r="566">
      <x:c r="A566" t="str">
        <x:v>LO5-085</x:v>
      </x:c>
      <x:c r="B566" t="str">
        <x:v>LO5</x:v>
      </x:c>
      <x:c r="C566" t="str">
        <x:v>A</x:v>
      </x:c>
      <x:c r="D566" t="str">
        <x:v>改稿済み・専門家未承認</x:v>
      </x:c>
      <x:c r="E566" t="str">
        <x:v>N</x:v>
      </x:c>
    </x:row>
    <x:row r="567">
      <x:c r="A567" t="str">
        <x:v>LO5-086</x:v>
      </x:c>
      <x:c r="B567" t="str">
        <x:v>LO5</x:v>
      </x:c>
      <x:c r="C567" t="str">
        <x:v>B</x:v>
      </x:c>
      <x:c r="D567" t="str">
        <x:v>改稿済み・専門家未承認</x:v>
      </x:c>
      <x:c r="E567" t="str">
        <x:v>N</x:v>
      </x:c>
    </x:row>
    <x:row r="568">
      <x:c r="A568" t="str">
        <x:v>LO5-087</x:v>
      </x:c>
      <x:c r="B568" t="str">
        <x:v>LO5</x:v>
      </x:c>
      <x:c r="C568" t="str">
        <x:v>C</x:v>
      </x:c>
      <x:c r="D568" t="str">
        <x:v>改稿済み・専門家未承認</x:v>
      </x:c>
      <x:c r="E568" t="str">
        <x:v>N</x:v>
      </x:c>
    </x:row>
    <x:row r="569">
      <x:c r="A569" t="str">
        <x:v>LO5-088</x:v>
      </x:c>
      <x:c r="B569" t="str">
        <x:v>LO5</x:v>
      </x:c>
      <x:c r="C569" t="str">
        <x:v>D</x:v>
      </x:c>
      <x:c r="D569" t="str">
        <x:v>改稿済み・専門家未承認</x:v>
      </x:c>
      <x:c r="E569" t="str">
        <x:v>N</x:v>
      </x:c>
    </x:row>
    <x:row r="570">
      <x:c r="A570" t="str">
        <x:v>LO5-089</x:v>
      </x:c>
      <x:c r="B570" t="str">
        <x:v>LO5</x:v>
      </x:c>
      <x:c r="C570" t="str">
        <x:v>A</x:v>
      </x:c>
      <x:c r="D570" t="str">
        <x:v>改稿済み・専門家未承認</x:v>
      </x:c>
      <x:c r="E570" t="str">
        <x:v>N</x:v>
      </x:c>
    </x:row>
    <x:row r="571">
      <x:c r="A571" t="str">
        <x:v>LO5-090</x:v>
      </x:c>
      <x:c r="B571" t="str">
        <x:v>LO5</x:v>
      </x:c>
      <x:c r="C571" t="str">
        <x:v>B</x:v>
      </x:c>
      <x:c r="D571" t="str">
        <x:v>改稿済み・専門家未承認</x:v>
      </x:c>
      <x:c r="E571" t="str">
        <x:v>N</x:v>
      </x:c>
    </x:row>
    <x:row r="572">
      <x:c r="A572" t="str">
        <x:v>LO5-091</x:v>
      </x:c>
      <x:c r="B572" t="str">
        <x:v>LO5</x:v>
      </x:c>
      <x:c r="C572" t="str">
        <x:v>C</x:v>
      </x:c>
      <x:c r="D572" t="str">
        <x:v>改稿済み・専門家未承認</x:v>
      </x:c>
      <x:c r="E572" t="str">
        <x:v>N</x:v>
      </x:c>
    </x:row>
    <x:row r="573">
      <x:c r="A573" t="str">
        <x:v>LO5-092</x:v>
      </x:c>
      <x:c r="B573" t="str">
        <x:v>LO5</x:v>
      </x:c>
      <x:c r="C573" t="str">
        <x:v>D</x:v>
      </x:c>
      <x:c r="D573" t="str">
        <x:v>改稿済み・専門家未承認</x:v>
      </x:c>
      <x:c r="E573" t="str">
        <x:v>N</x:v>
      </x:c>
    </x:row>
    <x:row r="574">
      <x:c r="A574" t="str">
        <x:v>LO5-093</x:v>
      </x:c>
      <x:c r="B574" t="str">
        <x:v>LO5</x:v>
      </x:c>
      <x:c r="C574" t="str">
        <x:v>A</x:v>
      </x:c>
      <x:c r="D574" t="str">
        <x:v>改稿済み・専門家未承認</x:v>
      </x:c>
      <x:c r="E574" t="str">
        <x:v>N</x:v>
      </x:c>
    </x:row>
    <x:row r="575">
      <x:c r="A575" t="str">
        <x:v>LO5-094</x:v>
      </x:c>
      <x:c r="B575" t="str">
        <x:v>LO5</x:v>
      </x:c>
      <x:c r="C575" t="str">
        <x:v>B</x:v>
      </x:c>
      <x:c r="D575" t="str">
        <x:v>改稿済み・専門家未承認</x:v>
      </x:c>
      <x:c r="E575" t="str">
        <x:v>N</x:v>
      </x:c>
    </x:row>
    <x:row r="576">
      <x:c r="A576" t="str">
        <x:v>LO5-095</x:v>
      </x:c>
      <x:c r="B576" t="str">
        <x:v>LO5</x:v>
      </x:c>
      <x:c r="C576" t="str">
        <x:v>C</x:v>
      </x:c>
      <x:c r="D576" t="str">
        <x:v>改稿済み・専門家未承認</x:v>
      </x:c>
      <x:c r="E576" t="str">
        <x:v>Y</x:v>
      </x:c>
    </x:row>
    <x:row r="577">
      <x:c r="A577" t="str">
        <x:v>LO5-096</x:v>
      </x:c>
      <x:c r="B577" t="str">
        <x:v>LO5</x:v>
      </x:c>
      <x:c r="C577" t="str">
        <x:v>D</x:v>
      </x:c>
      <x:c r="D577" t="str">
        <x:v>改稿済み・専門家未承認</x:v>
      </x:c>
      <x:c r="E577" t="str">
        <x:v>N</x:v>
      </x:c>
    </x:row>
    <x:row r="578">
      <x:c r="A578" t="str">
        <x:v>LO5-097</x:v>
      </x:c>
      <x:c r="B578" t="str">
        <x:v>LO5</x:v>
      </x:c>
      <x:c r="C578" t="str">
        <x:v>A</x:v>
      </x:c>
      <x:c r="D578" t="str">
        <x:v>改稿済み・専門家未承認</x:v>
      </x:c>
      <x:c r="E578" t="str">
        <x:v>N</x:v>
      </x:c>
    </x:row>
    <x:row r="579">
      <x:c r="A579" t="str">
        <x:v>LO5-098</x:v>
      </x:c>
      <x:c r="B579" t="str">
        <x:v>LO5</x:v>
      </x:c>
      <x:c r="C579" t="str">
        <x:v>B</x:v>
      </x:c>
      <x:c r="D579" t="str">
        <x:v>改稿済み・専門家未承認</x:v>
      </x:c>
      <x:c r="E579" t="str">
        <x:v>N</x:v>
      </x:c>
    </x:row>
    <x:row r="580">
      <x:c r="A580" t="str">
        <x:v>LO5-099</x:v>
      </x:c>
      <x:c r="B580" t="str">
        <x:v>LO5</x:v>
      </x:c>
      <x:c r="C580" t="str">
        <x:v>C</x:v>
      </x:c>
      <x:c r="D580" t="str">
        <x:v>改稿済み・専門家未承認</x:v>
      </x:c>
      <x:c r="E580" t="str">
        <x:v>N</x:v>
      </x:c>
    </x:row>
    <x:row r="581">
      <x:c r="A581" t="str">
        <x:v>LO5-100</x:v>
      </x:c>
      <x:c r="B581" t="str">
        <x:v>LO5</x:v>
      </x:c>
      <x:c r="C581" t="str">
        <x:v>D</x:v>
      </x:c>
      <x:c r="D581" t="str">
        <x:v>改稿済み・専門家未承認</x:v>
      </x:c>
      <x:c r="E581" t="str">
        <x:v>N</x:v>
      </x:c>
    </x:row>
    <x:row r="582">
      <x:c r="A582" t="str">
        <x:v>LO5-101</x:v>
      </x:c>
      <x:c r="B582" t="str">
        <x:v>LO5</x:v>
      </x:c>
      <x:c r="C582" t="str">
        <x:v>A</x:v>
      </x:c>
      <x:c r="D582" t="str">
        <x:v>改稿済み・専門家未承認</x:v>
      </x:c>
      <x:c r="E582" t="str">
        <x:v>N</x:v>
      </x:c>
    </x:row>
    <x:row r="583">
      <x:c r="A583" t="str">
        <x:v>LO5-102</x:v>
      </x:c>
      <x:c r="B583" t="str">
        <x:v>LO5</x:v>
      </x:c>
      <x:c r="C583" t="str">
        <x:v>B</x:v>
      </x:c>
      <x:c r="D583" t="str">
        <x:v>改稿済み・専門家未承認</x:v>
      </x:c>
      <x:c r="E583" t="str">
        <x:v>N</x:v>
      </x:c>
    </x:row>
    <x:row r="584">
      <x:c r="A584" t="str">
        <x:v>LO5-103</x:v>
      </x:c>
      <x:c r="B584" t="str">
        <x:v>LO5</x:v>
      </x:c>
      <x:c r="C584" t="str">
        <x:v>C</x:v>
      </x:c>
      <x:c r="D584" t="str">
        <x:v>改稿済み・専門家未承認</x:v>
      </x:c>
      <x:c r="E584" t="str">
        <x:v>N</x:v>
      </x:c>
    </x:row>
    <x:row r="585">
      <x:c r="A585" t="str">
        <x:v>LO5-104</x:v>
      </x:c>
      <x:c r="B585" t="str">
        <x:v>LO5</x:v>
      </x:c>
      <x:c r="C585" t="str">
        <x:v>D</x:v>
      </x:c>
      <x:c r="D585" t="str">
        <x:v>改稿済み・専門家未承認</x:v>
      </x:c>
      <x:c r="E585" t="str">
        <x:v>N</x:v>
      </x:c>
    </x:row>
    <x:row r="586">
      <x:c r="A586" t="str">
        <x:v>LO5-105</x:v>
      </x:c>
      <x:c r="B586" t="str">
        <x:v>LO5</x:v>
      </x:c>
      <x:c r="C586" t="str">
        <x:v>A</x:v>
      </x:c>
      <x:c r="D586" t="str">
        <x:v>改稿済み・専門家未承認</x:v>
      </x:c>
      <x:c r="E586" t="str">
        <x:v>N</x:v>
      </x:c>
    </x:row>
    <x:row r="587">
      <x:c r="A587" t="str">
        <x:v>LO5-106</x:v>
      </x:c>
      <x:c r="B587" t="str">
        <x:v>LO5</x:v>
      </x:c>
      <x:c r="C587" t="str">
        <x:v>B</x:v>
      </x:c>
      <x:c r="D587" t="str">
        <x:v>改稿済み・専門家未承認</x:v>
      </x:c>
      <x:c r="E587" t="str">
        <x:v>N</x:v>
      </x:c>
    </x:row>
    <x:row r="588">
      <x:c r="A588" t="str">
        <x:v>LO5-107</x:v>
      </x:c>
      <x:c r="B588" t="str">
        <x:v>LO5</x:v>
      </x:c>
      <x:c r="C588" t="str">
        <x:v>C</x:v>
      </x:c>
      <x:c r="D588" t="str">
        <x:v>改稿済み・専門家未承認</x:v>
      </x:c>
      <x:c r="E588" t="str">
        <x:v>N</x:v>
      </x:c>
    </x:row>
    <x:row r="589">
      <x:c r="A589" t="str">
        <x:v>LO5-108</x:v>
      </x:c>
      <x:c r="B589" t="str">
        <x:v>LO5</x:v>
      </x:c>
      <x:c r="C589" t="str">
        <x:v>D</x:v>
      </x:c>
      <x:c r="D589" t="str">
        <x:v>改稿済み・専門家未承認</x:v>
      </x:c>
      <x:c r="E589" t="str">
        <x:v>N</x:v>
      </x:c>
    </x:row>
    <x:row r="590">
      <x:c r="A590" t="str">
        <x:v>LO5-109</x:v>
      </x:c>
      <x:c r="B590" t="str">
        <x:v>LO5</x:v>
      </x:c>
      <x:c r="C590" t="str">
        <x:v>A</x:v>
      </x:c>
      <x:c r="D590" t="str">
        <x:v>改稿済み・専門家未承認</x:v>
      </x:c>
      <x:c r="E590" t="str">
        <x:v>N</x:v>
      </x:c>
    </x:row>
    <x:row r="591">
      <x:c r="A591" t="str">
        <x:v>LO5-110</x:v>
      </x:c>
      <x:c r="B591" t="str">
        <x:v>LO5</x:v>
      </x:c>
      <x:c r="C591" t="str">
        <x:v>B</x:v>
      </x:c>
      <x:c r="D591" t="str">
        <x:v>改稿済み・専門家未承認</x:v>
      </x:c>
      <x:c r="E591" t="str">
        <x:v>N</x:v>
      </x:c>
    </x:row>
    <x:row r="592">
      <x:c r="A592" t="str">
        <x:v>LO5-111</x:v>
      </x:c>
      <x:c r="B592" t="str">
        <x:v>LO5</x:v>
      </x:c>
      <x:c r="C592" t="str">
        <x:v>C</x:v>
      </x:c>
      <x:c r="D592" t="str">
        <x:v>改稿済み・専門家未承認</x:v>
      </x:c>
      <x:c r="E592" t="str">
        <x:v>N</x:v>
      </x:c>
    </x:row>
    <x:row r="593">
      <x:c r="A593" t="str">
        <x:v>LO5-112</x:v>
      </x:c>
      <x:c r="B593" t="str">
        <x:v>LO5</x:v>
      </x:c>
      <x:c r="C593" t="str">
        <x:v>D</x:v>
      </x:c>
      <x:c r="D593" t="str">
        <x:v>改稿済み・専門家未承認</x:v>
      </x:c>
      <x:c r="E593" t="str">
        <x:v>N</x:v>
      </x:c>
    </x:row>
    <x:row r="594">
      <x:c r="A594" t="str">
        <x:v>LO5-113</x:v>
      </x:c>
      <x:c r="B594" t="str">
        <x:v>LO5</x:v>
      </x:c>
      <x:c r="C594" t="str">
        <x:v>A</x:v>
      </x:c>
      <x:c r="D594" t="str">
        <x:v>改稿済み・専門家未承認</x:v>
      </x:c>
      <x:c r="E594" t="str">
        <x:v>N</x:v>
      </x:c>
    </x:row>
    <x:row r="595">
      <x:c r="A595" t="str">
        <x:v>LO5-114</x:v>
      </x:c>
      <x:c r="B595" t="str">
        <x:v>LO5</x:v>
      </x:c>
      <x:c r="C595" t="str">
        <x:v>B</x:v>
      </x:c>
      <x:c r="D595" t="str">
        <x:v>改稿済み・専門家未承認</x:v>
      </x:c>
      <x:c r="E595" t="str">
        <x:v>N</x:v>
      </x:c>
    </x:row>
    <x:row r="596">
      <x:c r="A596" t="str">
        <x:v>LO5-115</x:v>
      </x:c>
      <x:c r="B596" t="str">
        <x:v>LO5</x:v>
      </x:c>
      <x:c r="C596" t="str">
        <x:v>C</x:v>
      </x:c>
      <x:c r="D596" t="str">
        <x:v>改稿済み・専門家未承認</x:v>
      </x:c>
      <x:c r="E596" t="str">
        <x:v>N</x:v>
      </x:c>
    </x:row>
    <x:row r="597">
      <x:c r="A597" t="str">
        <x:v>LO5-116</x:v>
      </x:c>
      <x:c r="B597" t="str">
        <x:v>LO5</x:v>
      </x:c>
      <x:c r="C597" t="str">
        <x:v>D</x:v>
      </x:c>
      <x:c r="D597" t="str">
        <x:v>改稿済み・専門家未承認</x:v>
      </x:c>
      <x:c r="E597" t="str">
        <x:v>N</x:v>
      </x:c>
    </x:row>
    <x:row r="598">
      <x:c r="A598" t="str">
        <x:v>LO5-117</x:v>
      </x:c>
      <x:c r="B598" t="str">
        <x:v>LO5</x:v>
      </x:c>
      <x:c r="C598" t="str">
        <x:v>A</x:v>
      </x:c>
      <x:c r="D598" t="str">
        <x:v>改稿済み・専門家未承認</x:v>
      </x:c>
      <x:c r="E598" t="str">
        <x:v>N</x:v>
      </x:c>
    </x:row>
    <x:row r="599">
      <x:c r="A599" t="str">
        <x:v>LO5-118</x:v>
      </x:c>
      <x:c r="B599" t="str">
        <x:v>LO5</x:v>
      </x:c>
      <x:c r="C599" t="str">
        <x:v>B</x:v>
      </x:c>
      <x:c r="D599" t="str">
        <x:v>改稿済み・専門家未承認</x:v>
      </x:c>
      <x:c r="E599" t="str">
        <x:v>Y</x:v>
      </x:c>
    </x:row>
    <x:row r="600">
      <x:c r="A600" t="str">
        <x:v>LO5-119</x:v>
      </x:c>
      <x:c r="B600" t="str">
        <x:v>LO5</x:v>
      </x:c>
      <x:c r="C600" t="str">
        <x:v>C</x:v>
      </x:c>
      <x:c r="D600" t="str">
        <x:v>改稿済み・専門家未承認</x:v>
      </x:c>
      <x:c r="E600" t="str">
        <x:v>Y</x:v>
      </x:c>
    </x:row>
    <x:row r="601">
      <x:c r="A601" t="str">
        <x:v>LO5-120</x:v>
      </x:c>
      <x:c r="B601" t="str">
        <x:v>LO5</x:v>
      </x:c>
      <x:c r="C601" t="str">
        <x:v>D</x:v>
      </x:c>
      <x:c r="D601" t="str">
        <x:v>改稿済み・専門家未承認</x:v>
      </x:c>
      <x:c r="E601" t="str">
        <x:v>Y</x:v>
      </x:c>
    </x:row>
    <x:row r="602">
      <x:c r="A602" t="str">
        <x:v>LO1-121</x:v>
      </x:c>
      <x:c r="B602" t="str">
        <x:v>LO1</x:v>
      </x:c>
      <x:c r="C602" t="str">
        <x:v>A</x:v>
      </x:c>
      <x:c r="D602" t="str">
        <x:v>改稿済み・専門家未承認</x:v>
      </x:c>
      <x:c r="E602" t="str">
        <x:v>N</x:v>
      </x:c>
    </x:row>
    <x:row r="603">
      <x:c r="A603" t="str">
        <x:v>LO1-122</x:v>
      </x:c>
      <x:c r="B603" t="str">
        <x:v>LO1</x:v>
      </x:c>
      <x:c r="C603" t="str">
        <x:v>B</x:v>
      </x:c>
      <x:c r="D603" t="str">
        <x:v>改稿済み・専門家未承認</x:v>
      </x:c>
      <x:c r="E603" t="str">
        <x:v>N</x:v>
      </x:c>
    </x:row>
    <x:row r="604">
      <x:c r="A604" t="str">
        <x:v>LO1-123</x:v>
      </x:c>
      <x:c r="B604" t="str">
        <x:v>LO1</x:v>
      </x:c>
      <x:c r="C604" t="str">
        <x:v>C</x:v>
      </x:c>
      <x:c r="D604" t="str">
        <x:v>改稿済み・専門家未承認</x:v>
      </x:c>
      <x:c r="E604" t="str">
        <x:v>N</x:v>
      </x:c>
    </x:row>
    <x:row r="605">
      <x:c r="A605" t="str">
        <x:v>LO1-124</x:v>
      </x:c>
      <x:c r="B605" t="str">
        <x:v>LO1</x:v>
      </x:c>
      <x:c r="C605" t="str">
        <x:v>D</x:v>
      </x:c>
      <x:c r="D605" t="str">
        <x:v>改稿済み・専門家未承認</x:v>
      </x:c>
      <x:c r="E605" t="str">
        <x:v>N</x:v>
      </x:c>
    </x:row>
    <x:row r="606">
      <x:c r="A606" t="str">
        <x:v>LO1-125</x:v>
      </x:c>
      <x:c r="B606" t="str">
        <x:v>LO1</x:v>
      </x:c>
      <x:c r="C606" t="str">
        <x:v>A</x:v>
      </x:c>
      <x:c r="D606" t="str">
        <x:v>改稿済み・専門家未承認</x:v>
      </x:c>
      <x:c r="E606" t="str">
        <x:v>N</x:v>
      </x:c>
    </x:row>
    <x:row r="607">
      <x:c r="A607" t="str">
        <x:v>LO1-126</x:v>
      </x:c>
      <x:c r="B607" t="str">
        <x:v>LO1</x:v>
      </x:c>
      <x:c r="C607" t="str">
        <x:v>B</x:v>
      </x:c>
      <x:c r="D607" t="str">
        <x:v>改稿済み・専門家未承認</x:v>
      </x:c>
      <x:c r="E607" t="str">
        <x:v>N</x:v>
      </x:c>
    </x:row>
    <x:row r="608">
      <x:c r="A608" t="str">
        <x:v>LO1-127</x:v>
      </x:c>
      <x:c r="B608" t="str">
        <x:v>LO1</x:v>
      </x:c>
      <x:c r="C608" t="str">
        <x:v>C</x:v>
      </x:c>
      <x:c r="D608" t="str">
        <x:v>改稿済み・専門家未承認</x:v>
      </x:c>
      <x:c r="E608" t="str">
        <x:v>N</x:v>
      </x:c>
    </x:row>
    <x:row r="609">
      <x:c r="A609" t="str">
        <x:v>LO1-128</x:v>
      </x:c>
      <x:c r="B609" t="str">
        <x:v>LO1</x:v>
      </x:c>
      <x:c r="C609" t="str">
        <x:v>D</x:v>
      </x:c>
      <x:c r="D609" t="str">
        <x:v>改稿済み・専門家未承認</x:v>
      </x:c>
      <x:c r="E609" t="str">
        <x:v>N</x:v>
      </x:c>
    </x:row>
    <x:row r="610">
      <x:c r="A610" t="str">
        <x:v>LO1-129</x:v>
      </x:c>
      <x:c r="B610" t="str">
        <x:v>LO1</x:v>
      </x:c>
      <x:c r="C610" t="str">
        <x:v>A</x:v>
      </x:c>
      <x:c r="D610" t="str">
        <x:v>改稿済み・専門家未承認</x:v>
      </x:c>
      <x:c r="E610" t="str">
        <x:v>N</x:v>
      </x:c>
    </x:row>
    <x:row r="611">
      <x:c r="A611" t="str">
        <x:v>LO1-130</x:v>
      </x:c>
      <x:c r="B611" t="str">
        <x:v>LO1</x:v>
      </x:c>
      <x:c r="C611" t="str">
        <x:v>B</x:v>
      </x:c>
      <x:c r="D611" t="str">
        <x:v>改稿済み・専門家未承認</x:v>
      </x:c>
      <x:c r="E611" t="str">
        <x:v>N</x:v>
      </x:c>
    </x:row>
    <x:row r="612">
      <x:c r="A612" t="str">
        <x:v>LO1-131</x:v>
      </x:c>
      <x:c r="B612" t="str">
        <x:v>LO1</x:v>
      </x:c>
      <x:c r="C612" t="str">
        <x:v>C</x:v>
      </x:c>
      <x:c r="D612" t="str">
        <x:v>改稿済み・専門家未承認</x:v>
      </x:c>
      <x:c r="E612" t="str">
        <x:v>N</x:v>
      </x:c>
    </x:row>
    <x:row r="613">
      <x:c r="A613" t="str">
        <x:v>LO1-132</x:v>
      </x:c>
      <x:c r="B613" t="str">
        <x:v>LO1</x:v>
      </x:c>
      <x:c r="C613" t="str">
        <x:v>D</x:v>
      </x:c>
      <x:c r="D613" t="str">
        <x:v>改稿済み・専門家未承認</x:v>
      </x:c>
      <x:c r="E613" t="str">
        <x:v>N</x:v>
      </x:c>
    </x:row>
    <x:row r="614">
      <x:c r="A614" t="str">
        <x:v>LO1-133</x:v>
      </x:c>
      <x:c r="B614" t="str">
        <x:v>LO1</x:v>
      </x:c>
      <x:c r="C614" t="str">
        <x:v>A</x:v>
      </x:c>
      <x:c r="D614" t="str">
        <x:v>改稿済み・専門家未承認</x:v>
      </x:c>
      <x:c r="E614" t="str">
        <x:v>N</x:v>
      </x:c>
    </x:row>
    <x:row r="615">
      <x:c r="A615" t="str">
        <x:v>LO1-134</x:v>
      </x:c>
      <x:c r="B615" t="str">
        <x:v>LO1</x:v>
      </x:c>
      <x:c r="C615" t="str">
        <x:v>B</x:v>
      </x:c>
      <x:c r="D615" t="str">
        <x:v>改稿済み・専門家未承認</x:v>
      </x:c>
      <x:c r="E615" t="str">
        <x:v>N</x:v>
      </x:c>
    </x:row>
    <x:row r="616">
      <x:c r="A616" t="str">
        <x:v>LO1-135</x:v>
      </x:c>
      <x:c r="B616" t="str">
        <x:v>LO1</x:v>
      </x:c>
      <x:c r="C616" t="str">
        <x:v>C</x:v>
      </x:c>
      <x:c r="D616" t="str">
        <x:v>改稿済み・専門家未承認</x:v>
      </x:c>
      <x:c r="E616" t="str">
        <x:v>N</x:v>
      </x:c>
    </x:row>
    <x:row r="617">
      <x:c r="A617" t="str">
        <x:v>LO1-136</x:v>
      </x:c>
      <x:c r="B617" t="str">
        <x:v>LO1</x:v>
      </x:c>
      <x:c r="C617" t="str">
        <x:v>D</x:v>
      </x:c>
      <x:c r="D617" t="str">
        <x:v>改稿済み・専門家未承認</x:v>
      </x:c>
      <x:c r="E617" t="str">
        <x:v>N</x:v>
      </x:c>
    </x:row>
    <x:row r="618">
      <x:c r="A618" t="str">
        <x:v>LO1-137</x:v>
      </x:c>
      <x:c r="B618" t="str">
        <x:v>LO1</x:v>
      </x:c>
      <x:c r="C618" t="str">
        <x:v>A</x:v>
      </x:c>
      <x:c r="D618" t="str">
        <x:v>改稿済み・専門家未承認</x:v>
      </x:c>
      <x:c r="E618" t="str">
        <x:v>Y</x:v>
      </x:c>
    </x:row>
    <x:row r="619">
      <x:c r="A619" t="str">
        <x:v>LO1-138</x:v>
      </x:c>
      <x:c r="B619" t="str">
        <x:v>LO1</x:v>
      </x:c>
      <x:c r="C619" t="str">
        <x:v>B</x:v>
      </x:c>
      <x:c r="D619" t="str">
        <x:v>改稿済み・専門家未承認</x:v>
      </x:c>
      <x:c r="E619" t="str">
        <x:v>N</x:v>
      </x:c>
    </x:row>
    <x:row r="620">
      <x:c r="A620" t="str">
        <x:v>LO1-139</x:v>
      </x:c>
      <x:c r="B620" t="str">
        <x:v>LO1</x:v>
      </x:c>
      <x:c r="C620" t="str">
        <x:v>C</x:v>
      </x:c>
      <x:c r="D620" t="str">
        <x:v>改稿済み・専門家未承認</x:v>
      </x:c>
      <x:c r="E620" t="str">
        <x:v>N</x:v>
      </x:c>
    </x:row>
    <x:row r="621">
      <x:c r="A621" t="str">
        <x:v>LO1-140</x:v>
      </x:c>
      <x:c r="B621" t="str">
        <x:v>LO1</x:v>
      </x:c>
      <x:c r="C621" t="str">
        <x:v>D</x:v>
      </x:c>
      <x:c r="D621" t="str">
        <x:v>改稿済み・専門家未承認</x:v>
      </x:c>
      <x:c r="E621" t="str">
        <x:v>Y</x:v>
      </x:c>
    </x:row>
    <x:row r="622">
      <x:c r="A622" t="str">
        <x:v>LO1-141</x:v>
      </x:c>
      <x:c r="B622" t="str">
        <x:v>LO1</x:v>
      </x:c>
      <x:c r="C622" t="str">
        <x:v>A</x:v>
      </x:c>
      <x:c r="D622" t="str">
        <x:v>改稿済み・専門家未承認</x:v>
      </x:c>
      <x:c r="E622" t="str">
        <x:v>N</x:v>
      </x:c>
    </x:row>
    <x:row r="623">
      <x:c r="A623" t="str">
        <x:v>LO1-142</x:v>
      </x:c>
      <x:c r="B623" t="str">
        <x:v>LO1</x:v>
      </x:c>
      <x:c r="C623" t="str">
        <x:v>B</x:v>
      </x:c>
      <x:c r="D623" t="str">
        <x:v>改稿済み・専門家未承認</x:v>
      </x:c>
      <x:c r="E623" t="str">
        <x:v>N</x:v>
      </x:c>
    </x:row>
    <x:row r="624">
      <x:c r="A624" t="str">
        <x:v>LO1-143</x:v>
      </x:c>
      <x:c r="B624" t="str">
        <x:v>LO1</x:v>
      </x:c>
      <x:c r="C624" t="str">
        <x:v>C</x:v>
      </x:c>
      <x:c r="D624" t="str">
        <x:v>改稿済み・専門家未承認</x:v>
      </x:c>
      <x:c r="E624" t="str">
        <x:v>N</x:v>
      </x:c>
    </x:row>
    <x:row r="625">
      <x:c r="A625" t="str">
        <x:v>LO1-144</x:v>
      </x:c>
      <x:c r="B625" t="str">
        <x:v>LO1</x:v>
      </x:c>
      <x:c r="C625" t="str">
        <x:v>D</x:v>
      </x:c>
      <x:c r="D625" t="str">
        <x:v>改稿済み・専門家未承認</x:v>
      </x:c>
      <x:c r="E625" t="str">
        <x:v>N</x:v>
      </x:c>
    </x:row>
    <x:row r="626">
      <x:c r="A626" t="str">
        <x:v>LO1-145</x:v>
      </x:c>
      <x:c r="B626" t="str">
        <x:v>LO1</x:v>
      </x:c>
      <x:c r="C626" t="str">
        <x:v>A</x:v>
      </x:c>
      <x:c r="D626" t="str">
        <x:v>改稿済み・専門家未承認</x:v>
      </x:c>
      <x:c r="E626" t="str">
        <x:v>N</x:v>
      </x:c>
    </x:row>
    <x:row r="627">
      <x:c r="A627" t="str">
        <x:v>LO1-146</x:v>
      </x:c>
      <x:c r="B627" t="str">
        <x:v>LO1</x:v>
      </x:c>
      <x:c r="C627" t="str">
        <x:v>B</x:v>
      </x:c>
      <x:c r="D627" t="str">
        <x:v>改稿済み・専門家未承認</x:v>
      </x:c>
      <x:c r="E627" t="str">
        <x:v>N</x:v>
      </x:c>
    </x:row>
    <x:row r="628">
      <x:c r="A628" t="str">
        <x:v>LO1-147</x:v>
      </x:c>
      <x:c r="B628" t="str">
        <x:v>LO1</x:v>
      </x:c>
      <x:c r="C628" t="str">
        <x:v>C</x:v>
      </x:c>
      <x:c r="D628" t="str">
        <x:v>改稿済み・専門家未承認</x:v>
      </x:c>
      <x:c r="E628" t="str">
        <x:v>N</x:v>
      </x:c>
    </x:row>
    <x:row r="629">
      <x:c r="A629" t="str">
        <x:v>LO1-148</x:v>
      </x:c>
      <x:c r="B629" t="str">
        <x:v>LO1</x:v>
      </x:c>
      <x:c r="C629" t="str">
        <x:v>D</x:v>
      </x:c>
      <x:c r="D629" t="str">
        <x:v>改稿済み・専門家未承認</x:v>
      </x:c>
      <x:c r="E629" t="str">
        <x:v>N</x:v>
      </x:c>
    </x:row>
    <x:row r="630">
      <x:c r="A630" t="str">
        <x:v>LO1-149</x:v>
      </x:c>
      <x:c r="B630" t="str">
        <x:v>LO1</x:v>
      </x:c>
      <x:c r="C630" t="str">
        <x:v>A</x:v>
      </x:c>
      <x:c r="D630" t="str">
        <x:v>改稿済み・専門家未承認</x:v>
      </x:c>
      <x:c r="E630" t="str">
        <x:v>N</x:v>
      </x:c>
    </x:row>
    <x:row r="631">
      <x:c r="A631" t="str">
        <x:v>LO1-150</x:v>
      </x:c>
      <x:c r="B631" t="str">
        <x:v>LO1</x:v>
      </x:c>
      <x:c r="C631" t="str">
        <x:v>B</x:v>
      </x:c>
      <x:c r="D631" t="str">
        <x:v>改稿済み・専門家未承認</x:v>
      </x:c>
      <x:c r="E631" t="str">
        <x:v>N</x:v>
      </x:c>
    </x:row>
    <x:row r="632">
      <x:c r="A632" t="str">
        <x:v>LO1-151</x:v>
      </x:c>
      <x:c r="B632" t="str">
        <x:v>LO1</x:v>
      </x:c>
      <x:c r="C632" t="str">
        <x:v>C</x:v>
      </x:c>
      <x:c r="D632" t="str">
        <x:v>改稿済み・専門家未承認</x:v>
      </x:c>
      <x:c r="E632" t="str">
        <x:v>N</x:v>
      </x:c>
    </x:row>
    <x:row r="633">
      <x:c r="A633" t="str">
        <x:v>LO1-152</x:v>
      </x:c>
      <x:c r="B633" t="str">
        <x:v>LO1</x:v>
      </x:c>
      <x:c r="C633" t="str">
        <x:v>D</x:v>
      </x:c>
      <x:c r="D633" t="str">
        <x:v>改稿済み・専門家未承認</x:v>
      </x:c>
      <x:c r="E633" t="str">
        <x:v>N</x:v>
      </x:c>
    </x:row>
    <x:row r="634">
      <x:c r="A634" t="str">
        <x:v>LO1-153</x:v>
      </x:c>
      <x:c r="B634" t="str">
        <x:v>LO1</x:v>
      </x:c>
      <x:c r="C634" t="str">
        <x:v>A</x:v>
      </x:c>
      <x:c r="D634" t="str">
        <x:v>改稿済み・専門家未承認</x:v>
      </x:c>
      <x:c r="E634" t="str">
        <x:v>Y</x:v>
      </x:c>
    </x:row>
    <x:row r="635">
      <x:c r="A635" t="str">
        <x:v>LO1-154</x:v>
      </x:c>
      <x:c r="B635" t="str">
        <x:v>LO1</x:v>
      </x:c>
      <x:c r="C635" t="str">
        <x:v>B</x:v>
      </x:c>
      <x:c r="D635" t="str">
        <x:v>改稿済み・専門家未承認</x:v>
      </x:c>
      <x:c r="E635" t="str">
        <x:v>N</x:v>
      </x:c>
    </x:row>
    <x:row r="636">
      <x:c r="A636" t="str">
        <x:v>LO1-155</x:v>
      </x:c>
      <x:c r="B636" t="str">
        <x:v>LO1</x:v>
      </x:c>
      <x:c r="C636" t="str">
        <x:v>C</x:v>
      </x:c>
      <x:c r="D636" t="str">
        <x:v>改稿済み・専門家未承認</x:v>
      </x:c>
      <x:c r="E636" t="str">
        <x:v>N</x:v>
      </x:c>
    </x:row>
    <x:row r="637">
      <x:c r="A637" t="str">
        <x:v>LO1-156</x:v>
      </x:c>
      <x:c r="B637" t="str">
        <x:v>LO1</x:v>
      </x:c>
      <x:c r="C637" t="str">
        <x:v>D</x:v>
      </x:c>
      <x:c r="D637" t="str">
        <x:v>改稿済み・専門家未承認</x:v>
      </x:c>
      <x:c r="E637" t="str">
        <x:v>N</x:v>
      </x:c>
    </x:row>
    <x:row r="638">
      <x:c r="A638" t="str">
        <x:v>LO1-157</x:v>
      </x:c>
      <x:c r="B638" t="str">
        <x:v>LO1</x:v>
      </x:c>
      <x:c r="C638" t="str">
        <x:v>A</x:v>
      </x:c>
      <x:c r="D638" t="str">
        <x:v>改稿済み・専門家未承認</x:v>
      </x:c>
      <x:c r="E638" t="str">
        <x:v>N</x:v>
      </x:c>
    </x:row>
    <x:row r="639">
      <x:c r="A639" t="str">
        <x:v>LO1-158</x:v>
      </x:c>
      <x:c r="B639" t="str">
        <x:v>LO1</x:v>
      </x:c>
      <x:c r="C639" t="str">
        <x:v>B</x:v>
      </x:c>
      <x:c r="D639" t="str">
        <x:v>改稿済み・専門家未承認</x:v>
      </x:c>
      <x:c r="E639" t="str">
        <x:v>N</x:v>
      </x:c>
    </x:row>
    <x:row r="640">
      <x:c r="A640" t="str">
        <x:v>LO1-159</x:v>
      </x:c>
      <x:c r="B640" t="str">
        <x:v>LO1</x:v>
      </x:c>
      <x:c r="C640" t="str">
        <x:v>C</x:v>
      </x:c>
      <x:c r="D640" t="str">
        <x:v>改稿済み・専門家未承認</x:v>
      </x:c>
      <x:c r="E640" t="str">
        <x:v>N</x:v>
      </x:c>
    </x:row>
    <x:row r="641">
      <x:c r="A641" t="str">
        <x:v>LO1-160</x:v>
      </x:c>
      <x:c r="B641" t="str">
        <x:v>LO1</x:v>
      </x:c>
      <x:c r="C641" t="str">
        <x:v>D</x:v>
      </x:c>
      <x:c r="D641" t="str">
        <x:v>改稿済み・専門家未承認</x:v>
      </x:c>
      <x:c r="E641" t="str">
        <x:v>N</x:v>
      </x:c>
    </x:row>
    <x:row r="642">
      <x:c r="A642" t="str">
        <x:v>LO1-161</x:v>
      </x:c>
      <x:c r="B642" t="str">
        <x:v>LO1</x:v>
      </x:c>
      <x:c r="C642" t="str">
        <x:v>A</x:v>
      </x:c>
      <x:c r="D642" t="str">
        <x:v>改稿済み・専門家未承認</x:v>
      </x:c>
      <x:c r="E642" t="str">
        <x:v>N</x:v>
      </x:c>
    </x:row>
    <x:row r="643">
      <x:c r="A643" t="str">
        <x:v>LO1-162</x:v>
      </x:c>
      <x:c r="B643" t="str">
        <x:v>LO1</x:v>
      </x:c>
      <x:c r="C643" t="str">
        <x:v>B</x:v>
      </x:c>
      <x:c r="D643" t="str">
        <x:v>改稿済み・専門家未承認</x:v>
      </x:c>
      <x:c r="E643" t="str">
        <x:v>N</x:v>
      </x:c>
    </x:row>
    <x:row r="644">
      <x:c r="A644" t="str">
        <x:v>LO1-163</x:v>
      </x:c>
      <x:c r="B644" t="str">
        <x:v>LO1</x:v>
      </x:c>
      <x:c r="C644" t="str">
        <x:v>C</x:v>
      </x:c>
      <x:c r="D644" t="str">
        <x:v>改稿済み・専門家未承認</x:v>
      </x:c>
      <x:c r="E644" t="str">
        <x:v>N</x:v>
      </x:c>
    </x:row>
    <x:row r="645">
      <x:c r="A645" t="str">
        <x:v>LO1-164</x:v>
      </x:c>
      <x:c r="B645" t="str">
        <x:v>LO1</x:v>
      </x:c>
      <x:c r="C645" t="str">
        <x:v>D</x:v>
      </x:c>
      <x:c r="D645" t="str">
        <x:v>改稿済み・専門家未承認</x:v>
      </x:c>
      <x:c r="E645" t="str">
        <x:v>N</x:v>
      </x:c>
    </x:row>
    <x:row r="646">
      <x:c r="A646" t="str">
        <x:v>LO1-165</x:v>
      </x:c>
      <x:c r="B646" t="str">
        <x:v>LO1</x:v>
      </x:c>
      <x:c r="C646" t="str">
        <x:v>A</x:v>
      </x:c>
      <x:c r="D646" t="str">
        <x:v>改稿済み・専門家未承認</x:v>
      </x:c>
      <x:c r="E646" t="str">
        <x:v>N</x:v>
      </x:c>
    </x:row>
    <x:row r="647">
      <x:c r="A647" t="str">
        <x:v>LO1-166</x:v>
      </x:c>
      <x:c r="B647" t="str">
        <x:v>LO1</x:v>
      </x:c>
      <x:c r="C647" t="str">
        <x:v>B</x:v>
      </x:c>
      <x:c r="D647" t="str">
        <x:v>改稿済み・専門家未承認</x:v>
      </x:c>
      <x:c r="E647" t="str">
        <x:v>N</x:v>
      </x:c>
    </x:row>
    <x:row r="648">
      <x:c r="A648" t="str">
        <x:v>LO1-167</x:v>
      </x:c>
      <x:c r="B648" t="str">
        <x:v>LO1</x:v>
      </x:c>
      <x:c r="C648" t="str">
        <x:v>C</x:v>
      </x:c>
      <x:c r="D648" t="str">
        <x:v>改稿済み・専門家未承認</x:v>
      </x:c>
      <x:c r="E648" t="str">
        <x:v>Y</x:v>
      </x:c>
    </x:row>
    <x:row r="649">
      <x:c r="A649" t="str">
        <x:v>LO1-168</x:v>
      </x:c>
      <x:c r="B649" t="str">
        <x:v>LO1</x:v>
      </x:c>
      <x:c r="C649" t="str">
        <x:v>D</x:v>
      </x:c>
      <x:c r="D649" t="str">
        <x:v>改稿済み・専門家未承認</x:v>
      </x:c>
      <x:c r="E649" t="str">
        <x:v>N</x:v>
      </x:c>
    </x:row>
    <x:row r="650">
      <x:c r="A650" t="str">
        <x:v>LO1-169</x:v>
      </x:c>
      <x:c r="B650" t="str">
        <x:v>LO1</x:v>
      </x:c>
      <x:c r="C650" t="str">
        <x:v>A</x:v>
      </x:c>
      <x:c r="D650" t="str">
        <x:v>改稿済み・専門家未承認</x:v>
      </x:c>
      <x:c r="E650" t="str">
        <x:v>N</x:v>
      </x:c>
    </x:row>
    <x:row r="651">
      <x:c r="A651" t="str">
        <x:v>LO1-170</x:v>
      </x:c>
      <x:c r="B651" t="str">
        <x:v>LO1</x:v>
      </x:c>
      <x:c r="C651" t="str">
        <x:v>B</x:v>
      </x:c>
      <x:c r="D651" t="str">
        <x:v>改稿済み・専門家未承認</x:v>
      </x:c>
      <x:c r="E651" t="str">
        <x:v>N</x:v>
      </x:c>
    </x:row>
    <x:row r="652">
      <x:c r="A652" t="str">
        <x:v>LO1-171</x:v>
      </x:c>
      <x:c r="B652" t="str">
        <x:v>LO1</x:v>
      </x:c>
      <x:c r="C652" t="str">
        <x:v>C</x:v>
      </x:c>
      <x:c r="D652" t="str">
        <x:v>改稿済み・専門家未承認</x:v>
      </x:c>
      <x:c r="E652" t="str">
        <x:v>N</x:v>
      </x:c>
    </x:row>
    <x:row r="653">
      <x:c r="A653" t="str">
        <x:v>LO1-172</x:v>
      </x:c>
      <x:c r="B653" t="str">
        <x:v>LO1</x:v>
      </x:c>
      <x:c r="C653" t="str">
        <x:v>D</x:v>
      </x:c>
      <x:c r="D653" t="str">
        <x:v>改稿済み・専門家未承認</x:v>
      </x:c>
      <x:c r="E653" t="str">
        <x:v>N</x:v>
      </x:c>
    </x:row>
    <x:row r="654">
      <x:c r="A654" t="str">
        <x:v>LO1-173</x:v>
      </x:c>
      <x:c r="B654" t="str">
        <x:v>LO1</x:v>
      </x:c>
      <x:c r="C654" t="str">
        <x:v>A</x:v>
      </x:c>
      <x:c r="D654" t="str">
        <x:v>改稿済み・専門家未承認</x:v>
      </x:c>
      <x:c r="E654" t="str">
        <x:v>N</x:v>
      </x:c>
    </x:row>
    <x:row r="655">
      <x:c r="A655" t="str">
        <x:v>LO1-174</x:v>
      </x:c>
      <x:c r="B655" t="str">
        <x:v>LO1</x:v>
      </x:c>
      <x:c r="C655" t="str">
        <x:v>B</x:v>
      </x:c>
      <x:c r="D655" t="str">
        <x:v>改稿済み・専門家未承認</x:v>
      </x:c>
      <x:c r="E655" t="str">
        <x:v>N</x:v>
      </x:c>
    </x:row>
    <x:row r="656">
      <x:c r="A656" t="str">
        <x:v>LO1-175</x:v>
      </x:c>
      <x:c r="B656" t="str">
        <x:v>LO1</x:v>
      </x:c>
      <x:c r="C656" t="str">
        <x:v>C</x:v>
      </x:c>
      <x:c r="D656" t="str">
        <x:v>改稿済み・専門家未承認</x:v>
      </x:c>
      <x:c r="E656" t="str">
        <x:v>N</x:v>
      </x:c>
    </x:row>
    <x:row r="657">
      <x:c r="A657" t="str">
        <x:v>LO1-176</x:v>
      </x:c>
      <x:c r="B657" t="str">
        <x:v>LO1</x:v>
      </x:c>
      <x:c r="C657" t="str">
        <x:v>D</x:v>
      </x:c>
      <x:c r="D657" t="str">
        <x:v>改稿済み・専門家未承認</x:v>
      </x:c>
      <x:c r="E657" t="str">
        <x:v>N</x:v>
      </x:c>
    </x:row>
    <x:row r="658">
      <x:c r="A658" t="str">
        <x:v>LO1-177</x:v>
      </x:c>
      <x:c r="B658" t="str">
        <x:v>LO1</x:v>
      </x:c>
      <x:c r="C658" t="str">
        <x:v>A</x:v>
      </x:c>
      <x:c r="D658" t="str">
        <x:v>改稿済み・専門家未承認</x:v>
      </x:c>
      <x:c r="E658" t="str">
        <x:v>N</x:v>
      </x:c>
    </x:row>
    <x:row r="659">
      <x:c r="A659" t="str">
        <x:v>LO1-178</x:v>
      </x:c>
      <x:c r="B659" t="str">
        <x:v>LO1</x:v>
      </x:c>
      <x:c r="C659" t="str">
        <x:v>B</x:v>
      </x:c>
      <x:c r="D659" t="str">
        <x:v>改稿済み・専門家未承認</x:v>
      </x:c>
      <x:c r="E659" t="str">
        <x:v>N</x:v>
      </x:c>
    </x:row>
    <x:row r="660">
      <x:c r="A660" t="str">
        <x:v>LO1-179</x:v>
      </x:c>
      <x:c r="B660" t="str">
        <x:v>LO1</x:v>
      </x:c>
      <x:c r="C660" t="str">
        <x:v>C</x:v>
      </x:c>
      <x:c r="D660" t="str">
        <x:v>改稿済み・専門家未承認</x:v>
      </x:c>
      <x:c r="E660" t="str">
        <x:v>N</x:v>
      </x:c>
    </x:row>
    <x:row r="661">
      <x:c r="A661" t="str">
        <x:v>LO1-180</x:v>
      </x:c>
      <x:c r="B661" t="str">
        <x:v>LO1</x:v>
      </x:c>
      <x:c r="C661" t="str">
        <x:v>D</x:v>
      </x:c>
      <x:c r="D661" t="str">
        <x:v>改稿済み・専門家未承認</x:v>
      </x:c>
      <x:c r="E661" t="str">
        <x:v>N</x:v>
      </x:c>
    </x:row>
    <x:row r="662">
      <x:c r="A662" t="str">
        <x:v>LO2-121</x:v>
      </x:c>
      <x:c r="B662" t="str">
        <x:v>LO2</x:v>
      </x:c>
      <x:c r="C662" t="str">
        <x:v>A</x:v>
      </x:c>
      <x:c r="D662" t="str">
        <x:v>改稿済み・専門家未承認</x:v>
      </x:c>
      <x:c r="E662" t="str">
        <x:v>N</x:v>
      </x:c>
    </x:row>
    <x:row r="663">
      <x:c r="A663" t="str">
        <x:v>LO2-122</x:v>
      </x:c>
      <x:c r="B663" t="str">
        <x:v>LO2</x:v>
      </x:c>
      <x:c r="C663" t="str">
        <x:v>B</x:v>
      </x:c>
      <x:c r="D663" t="str">
        <x:v>改稿済み・専門家未承認</x:v>
      </x:c>
      <x:c r="E663" t="str">
        <x:v>N</x:v>
      </x:c>
    </x:row>
    <x:row r="664">
      <x:c r="A664" t="str">
        <x:v>LO2-123</x:v>
      </x:c>
      <x:c r="B664" t="str">
        <x:v>LO2</x:v>
      </x:c>
      <x:c r="C664" t="str">
        <x:v>C</x:v>
      </x:c>
      <x:c r="D664" t="str">
        <x:v>改稿済み・専門家未承認</x:v>
      </x:c>
      <x:c r="E664" t="str">
        <x:v>N</x:v>
      </x:c>
    </x:row>
    <x:row r="665">
      <x:c r="A665" t="str">
        <x:v>LO2-124</x:v>
      </x:c>
      <x:c r="B665" t="str">
        <x:v>LO2</x:v>
      </x:c>
      <x:c r="C665" t="str">
        <x:v>D</x:v>
      </x:c>
      <x:c r="D665" t="str">
        <x:v>改稿済み・専門家未承認</x:v>
      </x:c>
      <x:c r="E665" t="str">
        <x:v>Y</x:v>
      </x:c>
    </x:row>
    <x:row r="666">
      <x:c r="A666" t="str">
        <x:v>LO2-125</x:v>
      </x:c>
      <x:c r="B666" t="str">
        <x:v>LO2</x:v>
      </x:c>
      <x:c r="C666" t="str">
        <x:v>A</x:v>
      </x:c>
      <x:c r="D666" t="str">
        <x:v>改稿済み・専門家未承認</x:v>
      </x:c>
      <x:c r="E666" t="str">
        <x:v>N</x:v>
      </x:c>
    </x:row>
    <x:row r="667">
      <x:c r="A667" t="str">
        <x:v>LO2-126</x:v>
      </x:c>
      <x:c r="B667" t="str">
        <x:v>LO2</x:v>
      </x:c>
      <x:c r="C667" t="str">
        <x:v>B</x:v>
      </x:c>
      <x:c r="D667" t="str">
        <x:v>改稿済み・専門家未承認</x:v>
      </x:c>
      <x:c r="E667" t="str">
        <x:v>N</x:v>
      </x:c>
    </x:row>
    <x:row r="668">
      <x:c r="A668" t="str">
        <x:v>LO2-127</x:v>
      </x:c>
      <x:c r="B668" t="str">
        <x:v>LO2</x:v>
      </x:c>
      <x:c r="C668" t="str">
        <x:v>C</x:v>
      </x:c>
      <x:c r="D668" t="str">
        <x:v>改稿済み・専門家未承認</x:v>
      </x:c>
      <x:c r="E668" t="str">
        <x:v>N</x:v>
      </x:c>
    </x:row>
    <x:row r="669">
      <x:c r="A669" t="str">
        <x:v>LO2-128</x:v>
      </x:c>
      <x:c r="B669" t="str">
        <x:v>LO2</x:v>
      </x:c>
      <x:c r="C669" t="str">
        <x:v>D</x:v>
      </x:c>
      <x:c r="D669" t="str">
        <x:v>改稿済み・専門家未承認</x:v>
      </x:c>
      <x:c r="E669" t="str">
        <x:v>N</x:v>
      </x:c>
    </x:row>
    <x:row r="670">
      <x:c r="A670" t="str">
        <x:v>LO2-129</x:v>
      </x:c>
      <x:c r="B670" t="str">
        <x:v>LO2</x:v>
      </x:c>
      <x:c r="C670" t="str">
        <x:v>A</x:v>
      </x:c>
      <x:c r="D670" t="str">
        <x:v>改稿済み・専門家未承認</x:v>
      </x:c>
      <x:c r="E670" t="str">
        <x:v>N</x:v>
      </x:c>
    </x:row>
    <x:row r="671">
      <x:c r="A671" t="str">
        <x:v>LO2-130</x:v>
      </x:c>
      <x:c r="B671" t="str">
        <x:v>LO2</x:v>
      </x:c>
      <x:c r="C671" t="str">
        <x:v>B</x:v>
      </x:c>
      <x:c r="D671" t="str">
        <x:v>改稿済み・専門家未承認</x:v>
      </x:c>
      <x:c r="E671" t="str">
        <x:v>N</x:v>
      </x:c>
    </x:row>
    <x:row r="672">
      <x:c r="A672" t="str">
        <x:v>LO2-131</x:v>
      </x:c>
      <x:c r="B672" t="str">
        <x:v>LO2</x:v>
      </x:c>
      <x:c r="C672" t="str">
        <x:v>C</x:v>
      </x:c>
      <x:c r="D672" t="str">
        <x:v>改稿済み・専門家未承認</x:v>
      </x:c>
      <x:c r="E672" t="str">
        <x:v>N</x:v>
      </x:c>
    </x:row>
    <x:row r="673">
      <x:c r="A673" t="str">
        <x:v>LO2-132</x:v>
      </x:c>
      <x:c r="B673" t="str">
        <x:v>LO2</x:v>
      </x:c>
      <x:c r="C673" t="str">
        <x:v>D</x:v>
      </x:c>
      <x:c r="D673" t="str">
        <x:v>改稿済み・専門家未承認</x:v>
      </x:c>
      <x:c r="E673" t="str">
        <x:v>N</x:v>
      </x:c>
    </x:row>
    <x:row r="674">
      <x:c r="A674" t="str">
        <x:v>LO2-133</x:v>
      </x:c>
      <x:c r="B674" t="str">
        <x:v>LO2</x:v>
      </x:c>
      <x:c r="C674" t="str">
        <x:v>A</x:v>
      </x:c>
      <x:c r="D674" t="str">
        <x:v>改稿済み・専門家未承認</x:v>
      </x:c>
      <x:c r="E674" t="str">
        <x:v>N</x:v>
      </x:c>
    </x:row>
    <x:row r="675">
      <x:c r="A675" t="str">
        <x:v>LO2-134</x:v>
      </x:c>
      <x:c r="B675" t="str">
        <x:v>LO2</x:v>
      </x:c>
      <x:c r="C675" t="str">
        <x:v>B</x:v>
      </x:c>
      <x:c r="D675" t="str">
        <x:v>改稿済み・専門家未承認</x:v>
      </x:c>
      <x:c r="E675" t="str">
        <x:v>N</x:v>
      </x:c>
    </x:row>
    <x:row r="676">
      <x:c r="A676" t="str">
        <x:v>LO2-135</x:v>
      </x:c>
      <x:c r="B676" t="str">
        <x:v>LO2</x:v>
      </x:c>
      <x:c r="C676" t="str">
        <x:v>C</x:v>
      </x:c>
      <x:c r="D676" t="str">
        <x:v>改稿済み・専門家未承認</x:v>
      </x:c>
      <x:c r="E676" t="str">
        <x:v>N</x:v>
      </x:c>
    </x:row>
    <x:row r="677">
      <x:c r="A677" t="str">
        <x:v>LO2-136</x:v>
      </x:c>
      <x:c r="B677" t="str">
        <x:v>LO2</x:v>
      </x:c>
      <x:c r="C677" t="str">
        <x:v>D</x:v>
      </x:c>
      <x:c r="D677" t="str">
        <x:v>改稿済み・専門家未承認</x:v>
      </x:c>
      <x:c r="E677" t="str">
        <x:v>N</x:v>
      </x:c>
    </x:row>
    <x:row r="678">
      <x:c r="A678" t="str">
        <x:v>LO2-137</x:v>
      </x:c>
      <x:c r="B678" t="str">
        <x:v>LO2</x:v>
      </x:c>
      <x:c r="C678" t="str">
        <x:v>A</x:v>
      </x:c>
      <x:c r="D678" t="str">
        <x:v>改稿済み・専門家未承認</x:v>
      </x:c>
      <x:c r="E678" t="str">
        <x:v>Y</x:v>
      </x:c>
    </x:row>
    <x:row r="679">
      <x:c r="A679" t="str">
        <x:v>LO2-138</x:v>
      </x:c>
      <x:c r="B679" t="str">
        <x:v>LO2</x:v>
      </x:c>
      <x:c r="C679" t="str">
        <x:v>B</x:v>
      </x:c>
      <x:c r="D679" t="str">
        <x:v>改稿済み・専門家未承認</x:v>
      </x:c>
      <x:c r="E679" t="str">
        <x:v>N</x:v>
      </x:c>
    </x:row>
    <x:row r="680">
      <x:c r="A680" t="str">
        <x:v>LO2-139</x:v>
      </x:c>
      <x:c r="B680" t="str">
        <x:v>LO2</x:v>
      </x:c>
      <x:c r="C680" t="str">
        <x:v>C</x:v>
      </x:c>
      <x:c r="D680" t="str">
        <x:v>改稿済み・専門家未承認</x:v>
      </x:c>
      <x:c r="E680" t="str">
        <x:v>N</x:v>
      </x:c>
    </x:row>
    <x:row r="681">
      <x:c r="A681" t="str">
        <x:v>LO2-140</x:v>
      </x:c>
      <x:c r="B681" t="str">
        <x:v>LO2</x:v>
      </x:c>
      <x:c r="C681" t="str">
        <x:v>D</x:v>
      </x:c>
      <x:c r="D681" t="str">
        <x:v>改稿済み・専門家未承認</x:v>
      </x:c>
      <x:c r="E681" t="str">
        <x:v>N</x:v>
      </x:c>
    </x:row>
    <x:row r="682">
      <x:c r="A682" t="str">
        <x:v>LO2-141</x:v>
      </x:c>
      <x:c r="B682" t="str">
        <x:v>LO2</x:v>
      </x:c>
      <x:c r="C682" t="str">
        <x:v>A</x:v>
      </x:c>
      <x:c r="D682" t="str">
        <x:v>改稿済み・専門家未承認</x:v>
      </x:c>
      <x:c r="E682" t="str">
        <x:v>N</x:v>
      </x:c>
    </x:row>
    <x:row r="683">
      <x:c r="A683" t="str">
        <x:v>LO2-142</x:v>
      </x:c>
      <x:c r="B683" t="str">
        <x:v>LO2</x:v>
      </x:c>
      <x:c r="C683" t="str">
        <x:v>B</x:v>
      </x:c>
      <x:c r="D683" t="str">
        <x:v>改稿済み・専門家未承認</x:v>
      </x:c>
      <x:c r="E683" t="str">
        <x:v>N</x:v>
      </x:c>
    </x:row>
    <x:row r="684">
      <x:c r="A684" t="str">
        <x:v>LO2-143</x:v>
      </x:c>
      <x:c r="B684" t="str">
        <x:v>LO2</x:v>
      </x:c>
      <x:c r="C684" t="str">
        <x:v>C</x:v>
      </x:c>
      <x:c r="D684" t="str">
        <x:v>改稿済み・専門家未承認</x:v>
      </x:c>
      <x:c r="E684" t="str">
        <x:v>N</x:v>
      </x:c>
    </x:row>
    <x:row r="685">
      <x:c r="A685" t="str">
        <x:v>LO2-144</x:v>
      </x:c>
      <x:c r="B685" t="str">
        <x:v>LO2</x:v>
      </x:c>
      <x:c r="C685" t="str">
        <x:v>D</x:v>
      </x:c>
      <x:c r="D685" t="str">
        <x:v>改稿済み・専門家未承認</x:v>
      </x:c>
      <x:c r="E685" t="str">
        <x:v>N</x:v>
      </x:c>
    </x:row>
    <x:row r="686">
      <x:c r="A686" t="str">
        <x:v>LO2-145</x:v>
      </x:c>
      <x:c r="B686" t="str">
        <x:v>LO2</x:v>
      </x:c>
      <x:c r="C686" t="str">
        <x:v>A</x:v>
      </x:c>
      <x:c r="D686" t="str">
        <x:v>改稿済み・専門家未承認</x:v>
      </x:c>
      <x:c r="E686" t="str">
        <x:v>N</x:v>
      </x:c>
    </x:row>
    <x:row r="687">
      <x:c r="A687" t="str">
        <x:v>LO2-146</x:v>
      </x:c>
      <x:c r="B687" t="str">
        <x:v>LO2</x:v>
      </x:c>
      <x:c r="C687" t="str">
        <x:v>B</x:v>
      </x:c>
      <x:c r="D687" t="str">
        <x:v>改稿済み・専門家未承認</x:v>
      </x:c>
      <x:c r="E687" t="str">
        <x:v>N</x:v>
      </x:c>
    </x:row>
    <x:row r="688">
      <x:c r="A688" t="str">
        <x:v>LO2-147</x:v>
      </x:c>
      <x:c r="B688" t="str">
        <x:v>LO2</x:v>
      </x:c>
      <x:c r="C688" t="str">
        <x:v>C</x:v>
      </x:c>
      <x:c r="D688" t="str">
        <x:v>改稿済み・専門家未承認</x:v>
      </x:c>
      <x:c r="E688" t="str">
        <x:v>N</x:v>
      </x:c>
    </x:row>
    <x:row r="689">
      <x:c r="A689" t="str">
        <x:v>LO2-148</x:v>
      </x:c>
      <x:c r="B689" t="str">
        <x:v>LO2</x:v>
      </x:c>
      <x:c r="C689" t="str">
        <x:v>D</x:v>
      </x:c>
      <x:c r="D689" t="str">
        <x:v>改稿済み・専門家未承認</x:v>
      </x:c>
      <x:c r="E689" t="str">
        <x:v>N</x:v>
      </x:c>
    </x:row>
    <x:row r="690">
      <x:c r="A690" t="str">
        <x:v>LO2-149</x:v>
      </x:c>
      <x:c r="B690" t="str">
        <x:v>LO2</x:v>
      </x:c>
      <x:c r="C690" t="str">
        <x:v>A</x:v>
      </x:c>
      <x:c r="D690" t="str">
        <x:v>改稿済み・専門家未承認</x:v>
      </x:c>
      <x:c r="E690" t="str">
        <x:v>N</x:v>
      </x:c>
    </x:row>
    <x:row r="691">
      <x:c r="A691" t="str">
        <x:v>LO2-150</x:v>
      </x:c>
      <x:c r="B691" t="str">
        <x:v>LO2</x:v>
      </x:c>
      <x:c r="C691" t="str">
        <x:v>B</x:v>
      </x:c>
      <x:c r="D691" t="str">
        <x:v>改稿済み・専門家未承認</x:v>
      </x:c>
      <x:c r="E691" t="str">
        <x:v>N</x:v>
      </x:c>
    </x:row>
    <x:row r="692">
      <x:c r="A692" t="str">
        <x:v>LO2-151</x:v>
      </x:c>
      <x:c r="B692" t="str">
        <x:v>LO2</x:v>
      </x:c>
      <x:c r="C692" t="str">
        <x:v>C</x:v>
      </x:c>
      <x:c r="D692" t="str">
        <x:v>改稿済み・専門家未承認</x:v>
      </x:c>
      <x:c r="E692" t="str">
        <x:v>N</x:v>
      </x:c>
    </x:row>
    <x:row r="693">
      <x:c r="A693" t="str">
        <x:v>LO2-152</x:v>
      </x:c>
      <x:c r="B693" t="str">
        <x:v>LO2</x:v>
      </x:c>
      <x:c r="C693" t="str">
        <x:v>D</x:v>
      </x:c>
      <x:c r="D693" t="str">
        <x:v>改稿済み・専門家未承認</x:v>
      </x:c>
      <x:c r="E693" t="str">
        <x:v>N</x:v>
      </x:c>
    </x:row>
    <x:row r="694">
      <x:c r="A694" t="str">
        <x:v>LO2-153</x:v>
      </x:c>
      <x:c r="B694" t="str">
        <x:v>LO2</x:v>
      </x:c>
      <x:c r="C694" t="str">
        <x:v>A</x:v>
      </x:c>
      <x:c r="D694" t="str">
        <x:v>改稿済み・専門家未承認</x:v>
      </x:c>
      <x:c r="E694" t="str">
        <x:v>N</x:v>
      </x:c>
    </x:row>
    <x:row r="695">
      <x:c r="A695" t="str">
        <x:v>LO2-154</x:v>
      </x:c>
      <x:c r="B695" t="str">
        <x:v>LO2</x:v>
      </x:c>
      <x:c r="C695" t="str">
        <x:v>B</x:v>
      </x:c>
      <x:c r="D695" t="str">
        <x:v>改稿済み・専門家未承認</x:v>
      </x:c>
      <x:c r="E695" t="str">
        <x:v>N</x:v>
      </x:c>
    </x:row>
    <x:row r="696">
      <x:c r="A696" t="str">
        <x:v>LO2-155</x:v>
      </x:c>
      <x:c r="B696" t="str">
        <x:v>LO2</x:v>
      </x:c>
      <x:c r="C696" t="str">
        <x:v>C</x:v>
      </x:c>
      <x:c r="D696" t="str">
        <x:v>改稿済み・専門家未承認</x:v>
      </x:c>
      <x:c r="E696" t="str">
        <x:v>N</x:v>
      </x:c>
    </x:row>
    <x:row r="697">
      <x:c r="A697" t="str">
        <x:v>LO2-156</x:v>
      </x:c>
      <x:c r="B697" t="str">
        <x:v>LO2</x:v>
      </x:c>
      <x:c r="C697" t="str">
        <x:v>D</x:v>
      </x:c>
      <x:c r="D697" t="str">
        <x:v>改稿済み・専門家未承認</x:v>
      </x:c>
      <x:c r="E697" t="str">
        <x:v>N</x:v>
      </x:c>
    </x:row>
    <x:row r="698">
      <x:c r="A698" t="str">
        <x:v>LO2-157</x:v>
      </x:c>
      <x:c r="B698" t="str">
        <x:v>LO2</x:v>
      </x:c>
      <x:c r="C698" t="str">
        <x:v>A</x:v>
      </x:c>
      <x:c r="D698" t="str">
        <x:v>改稿済み・専門家未承認</x:v>
      </x:c>
      <x:c r="E698" t="str">
        <x:v>N</x:v>
      </x:c>
    </x:row>
    <x:row r="699">
      <x:c r="A699" t="str">
        <x:v>LO2-158</x:v>
      </x:c>
      <x:c r="B699" t="str">
        <x:v>LO2</x:v>
      </x:c>
      <x:c r="C699" t="str">
        <x:v>B</x:v>
      </x:c>
      <x:c r="D699" t="str">
        <x:v>改稿済み・専門家未承認</x:v>
      </x:c>
      <x:c r="E699" t="str">
        <x:v>N</x:v>
      </x:c>
    </x:row>
    <x:row r="700">
      <x:c r="A700" t="str">
        <x:v>LO2-159</x:v>
      </x:c>
      <x:c r="B700" t="str">
        <x:v>LO2</x:v>
      </x:c>
      <x:c r="C700" t="str">
        <x:v>C</x:v>
      </x:c>
      <x:c r="D700" t="str">
        <x:v>改稿済み・専門家未承認</x:v>
      </x:c>
      <x:c r="E700" t="str">
        <x:v>N</x:v>
      </x:c>
    </x:row>
    <x:row r="701">
      <x:c r="A701" t="str">
        <x:v>LO2-160</x:v>
      </x:c>
      <x:c r="B701" t="str">
        <x:v>LO2</x:v>
      </x:c>
      <x:c r="C701" t="str">
        <x:v>D</x:v>
      </x:c>
      <x:c r="D701" t="str">
        <x:v>改稿済み・専門家未承認</x:v>
      </x:c>
      <x:c r="E701" t="str">
        <x:v>N</x:v>
      </x:c>
    </x:row>
    <x:row r="702">
      <x:c r="A702" t="str">
        <x:v>LO2-161</x:v>
      </x:c>
      <x:c r="B702" t="str">
        <x:v>LO2</x:v>
      </x:c>
      <x:c r="C702" t="str">
        <x:v>A</x:v>
      </x:c>
      <x:c r="D702" t="str">
        <x:v>改稿済み・専門家未承認</x:v>
      </x:c>
      <x:c r="E702" t="str">
        <x:v>N</x:v>
      </x:c>
    </x:row>
    <x:row r="703">
      <x:c r="A703" t="str">
        <x:v>LO2-162</x:v>
      </x:c>
      <x:c r="B703" t="str">
        <x:v>LO2</x:v>
      </x:c>
      <x:c r="C703" t="str">
        <x:v>B</x:v>
      </x:c>
      <x:c r="D703" t="str">
        <x:v>改稿済み・専門家未承認</x:v>
      </x:c>
      <x:c r="E703" t="str">
        <x:v>N</x:v>
      </x:c>
    </x:row>
    <x:row r="704">
      <x:c r="A704" t="str">
        <x:v>LO2-163</x:v>
      </x:c>
      <x:c r="B704" t="str">
        <x:v>LO2</x:v>
      </x:c>
      <x:c r="C704" t="str">
        <x:v>C</x:v>
      </x:c>
      <x:c r="D704" t="str">
        <x:v>改稿済み・専門家未承認</x:v>
      </x:c>
      <x:c r="E704" t="str">
        <x:v>N</x:v>
      </x:c>
    </x:row>
    <x:row r="705">
      <x:c r="A705" t="str">
        <x:v>LO2-164</x:v>
      </x:c>
      <x:c r="B705" t="str">
        <x:v>LO2</x:v>
      </x:c>
      <x:c r="C705" t="str">
        <x:v>D</x:v>
      </x:c>
      <x:c r="D705" t="str">
        <x:v>改稿済み・専門家未承認</x:v>
      </x:c>
      <x:c r="E705" t="str">
        <x:v>N</x:v>
      </x:c>
    </x:row>
    <x:row r="706">
      <x:c r="A706" t="str">
        <x:v>LO2-165</x:v>
      </x:c>
      <x:c r="B706" t="str">
        <x:v>LO2</x:v>
      </x:c>
      <x:c r="C706" t="str">
        <x:v>A</x:v>
      </x:c>
      <x:c r="D706" t="str">
        <x:v>改稿済み・専門家未承認</x:v>
      </x:c>
      <x:c r="E706" t="str">
        <x:v>N</x:v>
      </x:c>
    </x:row>
    <x:row r="707">
      <x:c r="A707" t="str">
        <x:v>LO2-166</x:v>
      </x:c>
      <x:c r="B707" t="str">
        <x:v>LO2</x:v>
      </x:c>
      <x:c r="C707" t="str">
        <x:v>B</x:v>
      </x:c>
      <x:c r="D707" t="str">
        <x:v>改稿済み・専門家未承認</x:v>
      </x:c>
      <x:c r="E707" t="str">
        <x:v>N</x:v>
      </x:c>
    </x:row>
    <x:row r="708">
      <x:c r="A708" t="str">
        <x:v>LO2-167</x:v>
      </x:c>
      <x:c r="B708" t="str">
        <x:v>LO2</x:v>
      </x:c>
      <x:c r="C708" t="str">
        <x:v>C</x:v>
      </x:c>
      <x:c r="D708" t="str">
        <x:v>改稿済み・専門家未承認</x:v>
      </x:c>
      <x:c r="E708" t="str">
        <x:v>N</x:v>
      </x:c>
    </x:row>
    <x:row r="709">
      <x:c r="A709" t="str">
        <x:v>LO2-168</x:v>
      </x:c>
      <x:c r="B709" t="str">
        <x:v>LO2</x:v>
      </x:c>
      <x:c r="C709" t="str">
        <x:v>D</x:v>
      </x:c>
      <x:c r="D709" t="str">
        <x:v>改稿済み・専門家未承認</x:v>
      </x:c>
      <x:c r="E709" t="str">
        <x:v>N</x:v>
      </x:c>
    </x:row>
    <x:row r="710">
      <x:c r="A710" t="str">
        <x:v>LO2-169</x:v>
      </x:c>
      <x:c r="B710" t="str">
        <x:v>LO2</x:v>
      </x:c>
      <x:c r="C710" t="str">
        <x:v>A</x:v>
      </x:c>
      <x:c r="D710" t="str">
        <x:v>改稿済み・専門家未承認</x:v>
      </x:c>
      <x:c r="E710" t="str">
        <x:v>N</x:v>
      </x:c>
    </x:row>
    <x:row r="711">
      <x:c r="A711" t="str">
        <x:v>LO2-170</x:v>
      </x:c>
      <x:c r="B711" t="str">
        <x:v>LO2</x:v>
      </x:c>
      <x:c r="C711" t="str">
        <x:v>B</x:v>
      </x:c>
      <x:c r="D711" t="str">
        <x:v>改稿済み・専門家未承認</x:v>
      </x:c>
      <x:c r="E711" t="str">
        <x:v>N</x:v>
      </x:c>
    </x:row>
    <x:row r="712">
      <x:c r="A712" t="str">
        <x:v>LO2-171</x:v>
      </x:c>
      <x:c r="B712" t="str">
        <x:v>LO2</x:v>
      </x:c>
      <x:c r="C712" t="str">
        <x:v>C</x:v>
      </x:c>
      <x:c r="D712" t="str">
        <x:v>改稿済み・専門家未承認</x:v>
      </x:c>
      <x:c r="E712" t="str">
        <x:v>N</x:v>
      </x:c>
    </x:row>
    <x:row r="713">
      <x:c r="A713" t="str">
        <x:v>LO2-172</x:v>
      </x:c>
      <x:c r="B713" t="str">
        <x:v>LO2</x:v>
      </x:c>
      <x:c r="C713" t="str">
        <x:v>D</x:v>
      </x:c>
      <x:c r="D713" t="str">
        <x:v>改稿済み・専門家未承認</x:v>
      </x:c>
      <x:c r="E713" t="str">
        <x:v>N</x:v>
      </x:c>
    </x:row>
    <x:row r="714">
      <x:c r="A714" t="str">
        <x:v>LO2-173</x:v>
      </x:c>
      <x:c r="B714" t="str">
        <x:v>LO2</x:v>
      </x:c>
      <x:c r="C714" t="str">
        <x:v>A</x:v>
      </x:c>
      <x:c r="D714" t="str">
        <x:v>改稿済み・専門家未承認</x:v>
      </x:c>
      <x:c r="E714" t="str">
        <x:v>N</x:v>
      </x:c>
    </x:row>
    <x:row r="715">
      <x:c r="A715" t="str">
        <x:v>LO2-174</x:v>
      </x:c>
      <x:c r="B715" t="str">
        <x:v>LO2</x:v>
      </x:c>
      <x:c r="C715" t="str">
        <x:v>B</x:v>
      </x:c>
      <x:c r="D715" t="str">
        <x:v>改稿済み・専門家未承認</x:v>
      </x:c>
      <x:c r="E715" t="str">
        <x:v>N</x:v>
      </x:c>
    </x:row>
    <x:row r="716">
      <x:c r="A716" t="str">
        <x:v>LO2-175</x:v>
      </x:c>
      <x:c r="B716" t="str">
        <x:v>LO2</x:v>
      </x:c>
      <x:c r="C716" t="str">
        <x:v>C</x:v>
      </x:c>
      <x:c r="D716" t="str">
        <x:v>改稿済み・専門家未承認</x:v>
      </x:c>
      <x:c r="E716" t="str">
        <x:v>N</x:v>
      </x:c>
    </x:row>
    <x:row r="717">
      <x:c r="A717" t="str">
        <x:v>LO2-176</x:v>
      </x:c>
      <x:c r="B717" t="str">
        <x:v>LO2</x:v>
      </x:c>
      <x:c r="C717" t="str">
        <x:v>D</x:v>
      </x:c>
      <x:c r="D717" t="str">
        <x:v>改稿済み・専門家未承認</x:v>
      </x:c>
      <x:c r="E717" t="str">
        <x:v>N</x:v>
      </x:c>
    </x:row>
    <x:row r="718">
      <x:c r="A718" t="str">
        <x:v>LO2-177</x:v>
      </x:c>
      <x:c r="B718" t="str">
        <x:v>LO2</x:v>
      </x:c>
      <x:c r="C718" t="str">
        <x:v>A</x:v>
      </x:c>
      <x:c r="D718" t="str">
        <x:v>改稿済み・専門家未承認</x:v>
      </x:c>
      <x:c r="E718" t="str">
        <x:v>N</x:v>
      </x:c>
    </x:row>
    <x:row r="719">
      <x:c r="A719" t="str">
        <x:v>LO2-178</x:v>
      </x:c>
      <x:c r="B719" t="str">
        <x:v>LO2</x:v>
      </x:c>
      <x:c r="C719" t="str">
        <x:v>B</x:v>
      </x:c>
      <x:c r="D719" t="str">
        <x:v>改稿済み・専門家未承認</x:v>
      </x:c>
      <x:c r="E719" t="str">
        <x:v>N</x:v>
      </x:c>
    </x:row>
    <x:row r="720">
      <x:c r="A720" t="str">
        <x:v>LO2-179</x:v>
      </x:c>
      <x:c r="B720" t="str">
        <x:v>LO2</x:v>
      </x:c>
      <x:c r="C720" t="str">
        <x:v>C</x:v>
      </x:c>
      <x:c r="D720" t="str">
        <x:v>改稿済み・専門家未承認</x:v>
      </x:c>
      <x:c r="E720" t="str">
        <x:v>N</x:v>
      </x:c>
    </x:row>
    <x:row r="721">
      <x:c r="A721" t="str">
        <x:v>LO2-180</x:v>
      </x:c>
      <x:c r="B721" t="str">
        <x:v>LO2</x:v>
      </x:c>
      <x:c r="C721" t="str">
        <x:v>D</x:v>
      </x:c>
      <x:c r="D721" t="str">
        <x:v>改稿済み・専門家未承認</x:v>
      </x:c>
      <x:c r="E721" t="str">
        <x:v>N</x:v>
      </x:c>
    </x:row>
    <x:row r="722">
      <x:c r="A722" t="str">
        <x:v>LO3-121</x:v>
      </x:c>
      <x:c r="B722" t="str">
        <x:v>LO3</x:v>
      </x:c>
      <x:c r="C722" t="str">
        <x:v>A</x:v>
      </x:c>
      <x:c r="D722" t="str">
        <x:v>改稿済み・専門家未承認</x:v>
      </x:c>
      <x:c r="E722" t="str">
        <x:v>N</x:v>
      </x:c>
    </x:row>
    <x:row r="723">
      <x:c r="A723" t="str">
        <x:v>LO3-122</x:v>
      </x:c>
      <x:c r="B723" t="str">
        <x:v>LO3</x:v>
      </x:c>
      <x:c r="C723" t="str">
        <x:v>B</x:v>
      </x:c>
      <x:c r="D723" t="str">
        <x:v>改稿済み・専門家未承認</x:v>
      </x:c>
      <x:c r="E723" t="str">
        <x:v>N</x:v>
      </x:c>
    </x:row>
    <x:row r="724">
      <x:c r="A724" t="str">
        <x:v>LO3-123</x:v>
      </x:c>
      <x:c r="B724" t="str">
        <x:v>LO3</x:v>
      </x:c>
      <x:c r="C724" t="str">
        <x:v>C</x:v>
      </x:c>
      <x:c r="D724" t="str">
        <x:v>改稿済み・専門家未承認</x:v>
      </x:c>
      <x:c r="E724" t="str">
        <x:v>N</x:v>
      </x:c>
    </x:row>
    <x:row r="725">
      <x:c r="A725" t="str">
        <x:v>LO3-124</x:v>
      </x:c>
      <x:c r="B725" t="str">
        <x:v>LO3</x:v>
      </x:c>
      <x:c r="C725" t="str">
        <x:v>D</x:v>
      </x:c>
      <x:c r="D725" t="str">
        <x:v>改稿済み・専門家未承認</x:v>
      </x:c>
      <x:c r="E725" t="str">
        <x:v>N</x:v>
      </x:c>
    </x:row>
    <x:row r="726">
      <x:c r="A726" t="str">
        <x:v>LO3-125</x:v>
      </x:c>
      <x:c r="B726" t="str">
        <x:v>LO3</x:v>
      </x:c>
      <x:c r="C726" t="str">
        <x:v>A</x:v>
      </x:c>
      <x:c r="D726" t="str">
        <x:v>改稿済み・専門家未承認</x:v>
      </x:c>
      <x:c r="E726" t="str">
        <x:v>N</x:v>
      </x:c>
    </x:row>
    <x:row r="727">
      <x:c r="A727" t="str">
        <x:v>LO3-126</x:v>
      </x:c>
      <x:c r="B727" t="str">
        <x:v>LO3</x:v>
      </x:c>
      <x:c r="C727" t="str">
        <x:v>B</x:v>
      </x:c>
      <x:c r="D727" t="str">
        <x:v>改稿済み・専門家未承認</x:v>
      </x:c>
      <x:c r="E727" t="str">
        <x:v>N</x:v>
      </x:c>
    </x:row>
    <x:row r="728">
      <x:c r="A728" t="str">
        <x:v>LO3-127</x:v>
      </x:c>
      <x:c r="B728" t="str">
        <x:v>LO3</x:v>
      </x:c>
      <x:c r="C728" t="str">
        <x:v>C</x:v>
      </x:c>
      <x:c r="D728" t="str">
        <x:v>改稿済み・専門家未承認</x:v>
      </x:c>
      <x:c r="E728" t="str">
        <x:v>N</x:v>
      </x:c>
    </x:row>
    <x:row r="729">
      <x:c r="A729" t="str">
        <x:v>LO3-128</x:v>
      </x:c>
      <x:c r="B729" t="str">
        <x:v>LO3</x:v>
      </x:c>
      <x:c r="C729" t="str">
        <x:v>D</x:v>
      </x:c>
      <x:c r="D729" t="str">
        <x:v>改稿済み・専門家未承認</x:v>
      </x:c>
      <x:c r="E729" t="str">
        <x:v>N</x:v>
      </x:c>
    </x:row>
    <x:row r="730">
      <x:c r="A730" t="str">
        <x:v>LO3-129</x:v>
      </x:c>
      <x:c r="B730" t="str">
        <x:v>LO3</x:v>
      </x:c>
      <x:c r="C730" t="str">
        <x:v>A</x:v>
      </x:c>
      <x:c r="D730" t="str">
        <x:v>改稿済み・専門家未承認</x:v>
      </x:c>
      <x:c r="E730" t="str">
        <x:v>N</x:v>
      </x:c>
    </x:row>
    <x:row r="731">
      <x:c r="A731" t="str">
        <x:v>LO3-130</x:v>
      </x:c>
      <x:c r="B731" t="str">
        <x:v>LO3</x:v>
      </x:c>
      <x:c r="C731" t="str">
        <x:v>B</x:v>
      </x:c>
      <x:c r="D731" t="str">
        <x:v>改稿済み・専門家未承認</x:v>
      </x:c>
      <x:c r="E731" t="str">
        <x:v>N</x:v>
      </x:c>
    </x:row>
    <x:row r="732">
      <x:c r="A732" t="str">
        <x:v>LO3-131</x:v>
      </x:c>
      <x:c r="B732" t="str">
        <x:v>LO3</x:v>
      </x:c>
      <x:c r="C732" t="str">
        <x:v>C</x:v>
      </x:c>
      <x:c r="D732" t="str">
        <x:v>改稿済み・専門家未承認</x:v>
      </x:c>
      <x:c r="E732" t="str">
        <x:v>Y</x:v>
      </x:c>
    </x:row>
    <x:row r="733">
      <x:c r="A733" t="str">
        <x:v>LO3-132</x:v>
      </x:c>
      <x:c r="B733" t="str">
        <x:v>LO3</x:v>
      </x:c>
      <x:c r="C733" t="str">
        <x:v>D</x:v>
      </x:c>
      <x:c r="D733" t="str">
        <x:v>改稿済み・専門家未承認</x:v>
      </x:c>
      <x:c r="E733" t="str">
        <x:v>N</x:v>
      </x:c>
    </x:row>
    <x:row r="734">
      <x:c r="A734" t="str">
        <x:v>LO3-133</x:v>
      </x:c>
      <x:c r="B734" t="str">
        <x:v>LO3</x:v>
      </x:c>
      <x:c r="C734" t="str">
        <x:v>A</x:v>
      </x:c>
      <x:c r="D734" t="str">
        <x:v>改稿済み・専門家未承認</x:v>
      </x:c>
      <x:c r="E734" t="str">
        <x:v>N</x:v>
      </x:c>
    </x:row>
    <x:row r="735">
      <x:c r="A735" t="str">
        <x:v>LO3-134</x:v>
      </x:c>
      <x:c r="B735" t="str">
        <x:v>LO3</x:v>
      </x:c>
      <x:c r="C735" t="str">
        <x:v>B</x:v>
      </x:c>
      <x:c r="D735" t="str">
        <x:v>改稿済み・専門家未承認</x:v>
      </x:c>
      <x:c r="E735" t="str">
        <x:v>N</x:v>
      </x:c>
    </x:row>
    <x:row r="736">
      <x:c r="A736" t="str">
        <x:v>LO3-135</x:v>
      </x:c>
      <x:c r="B736" t="str">
        <x:v>LO3</x:v>
      </x:c>
      <x:c r="C736" t="str">
        <x:v>C</x:v>
      </x:c>
      <x:c r="D736" t="str">
        <x:v>改稿済み・専門家未承認</x:v>
      </x:c>
      <x:c r="E736" t="str">
        <x:v>N</x:v>
      </x:c>
    </x:row>
    <x:row r="737">
      <x:c r="A737" t="str">
        <x:v>LO3-136</x:v>
      </x:c>
      <x:c r="B737" t="str">
        <x:v>LO3</x:v>
      </x:c>
      <x:c r="C737" t="str">
        <x:v>D</x:v>
      </x:c>
      <x:c r="D737" t="str">
        <x:v>改稿済み・専門家未承認</x:v>
      </x:c>
      <x:c r="E737" t="str">
        <x:v>N</x:v>
      </x:c>
    </x:row>
    <x:row r="738">
      <x:c r="A738" t="str">
        <x:v>LO3-137</x:v>
      </x:c>
      <x:c r="B738" t="str">
        <x:v>LO3</x:v>
      </x:c>
      <x:c r="C738" t="str">
        <x:v>A</x:v>
      </x:c>
      <x:c r="D738" t="str">
        <x:v>改稿済み・専門家未承認</x:v>
      </x:c>
      <x:c r="E738" t="str">
        <x:v>Y</x:v>
      </x:c>
    </x:row>
    <x:row r="739">
      <x:c r="A739" t="str">
        <x:v>LO3-138</x:v>
      </x:c>
      <x:c r="B739" t="str">
        <x:v>LO3</x:v>
      </x:c>
      <x:c r="C739" t="str">
        <x:v>B</x:v>
      </x:c>
      <x:c r="D739" t="str">
        <x:v>改稿済み・専門家未承認</x:v>
      </x:c>
      <x:c r="E739" t="str">
        <x:v>Y</x:v>
      </x:c>
    </x:row>
    <x:row r="740">
      <x:c r="A740" t="str">
        <x:v>LO3-139</x:v>
      </x:c>
      <x:c r="B740" t="str">
        <x:v>LO3</x:v>
      </x:c>
      <x:c r="C740" t="str">
        <x:v>C</x:v>
      </x:c>
      <x:c r="D740" t="str">
        <x:v>改稿済み・専門家未承認</x:v>
      </x:c>
      <x:c r="E740" t="str">
        <x:v>N</x:v>
      </x:c>
    </x:row>
    <x:row r="741">
      <x:c r="A741" t="str">
        <x:v>LO3-140</x:v>
      </x:c>
      <x:c r="B741" t="str">
        <x:v>LO3</x:v>
      </x:c>
      <x:c r="C741" t="str">
        <x:v>D</x:v>
      </x:c>
      <x:c r="D741" t="str">
        <x:v>改稿済み・専門家未承認</x:v>
      </x:c>
      <x:c r="E741" t="str">
        <x:v>N</x:v>
      </x:c>
    </x:row>
    <x:row r="742">
      <x:c r="A742" t="str">
        <x:v>LO3-141</x:v>
      </x:c>
      <x:c r="B742" t="str">
        <x:v>LO3</x:v>
      </x:c>
      <x:c r="C742" t="str">
        <x:v>A</x:v>
      </x:c>
      <x:c r="D742" t="str">
        <x:v>改稿済み・専門家未承認</x:v>
      </x:c>
      <x:c r="E742" t="str">
        <x:v>N</x:v>
      </x:c>
    </x:row>
    <x:row r="743">
      <x:c r="A743" t="str">
        <x:v>LO3-142</x:v>
      </x:c>
      <x:c r="B743" t="str">
        <x:v>LO3</x:v>
      </x:c>
      <x:c r="C743" t="str">
        <x:v>B</x:v>
      </x:c>
      <x:c r="D743" t="str">
        <x:v>改稿済み・専門家未承認</x:v>
      </x:c>
      <x:c r="E743" t="str">
        <x:v>N</x:v>
      </x:c>
    </x:row>
    <x:row r="744">
      <x:c r="A744" t="str">
        <x:v>LO3-143</x:v>
      </x:c>
      <x:c r="B744" t="str">
        <x:v>LO3</x:v>
      </x:c>
      <x:c r="C744" t="str">
        <x:v>C</x:v>
      </x:c>
      <x:c r="D744" t="str">
        <x:v>改稿済み・専門家未承認</x:v>
      </x:c>
      <x:c r="E744" t="str">
        <x:v>N</x:v>
      </x:c>
    </x:row>
    <x:row r="745">
      <x:c r="A745" t="str">
        <x:v>LO3-144</x:v>
      </x:c>
      <x:c r="B745" t="str">
        <x:v>LO3</x:v>
      </x:c>
      <x:c r="C745" t="str">
        <x:v>D</x:v>
      </x:c>
      <x:c r="D745" t="str">
        <x:v>改稿済み・専門家未承認</x:v>
      </x:c>
      <x:c r="E745" t="str">
        <x:v>Y</x:v>
      </x:c>
    </x:row>
    <x:row r="746">
      <x:c r="A746" t="str">
        <x:v>LO3-145</x:v>
      </x:c>
      <x:c r="B746" t="str">
        <x:v>LO3</x:v>
      </x:c>
      <x:c r="C746" t="str">
        <x:v>A</x:v>
      </x:c>
      <x:c r="D746" t="str">
        <x:v>改稿済み・専門家未承認</x:v>
      </x:c>
      <x:c r="E746" t="str">
        <x:v>N</x:v>
      </x:c>
    </x:row>
    <x:row r="747">
      <x:c r="A747" t="str">
        <x:v>LO3-146</x:v>
      </x:c>
      <x:c r="B747" t="str">
        <x:v>LO3</x:v>
      </x:c>
      <x:c r="C747" t="str">
        <x:v>B</x:v>
      </x:c>
      <x:c r="D747" t="str">
        <x:v>改稿済み・専門家未承認</x:v>
      </x:c>
      <x:c r="E747" t="str">
        <x:v>N</x:v>
      </x:c>
    </x:row>
    <x:row r="748">
      <x:c r="A748" t="str">
        <x:v>LO3-147</x:v>
      </x:c>
      <x:c r="B748" t="str">
        <x:v>LO3</x:v>
      </x:c>
      <x:c r="C748" t="str">
        <x:v>C</x:v>
      </x:c>
      <x:c r="D748" t="str">
        <x:v>改稿済み・専門家未承認</x:v>
      </x:c>
      <x:c r="E748" t="str">
        <x:v>N</x:v>
      </x:c>
    </x:row>
    <x:row r="749">
      <x:c r="A749" t="str">
        <x:v>LO3-148</x:v>
      </x:c>
      <x:c r="B749" t="str">
        <x:v>LO3</x:v>
      </x:c>
      <x:c r="C749" t="str">
        <x:v>D</x:v>
      </x:c>
      <x:c r="D749" t="str">
        <x:v>改稿済み・専門家未承認</x:v>
      </x:c>
      <x:c r="E749" t="str">
        <x:v>N</x:v>
      </x:c>
    </x:row>
    <x:row r="750">
      <x:c r="A750" t="str">
        <x:v>LO3-149</x:v>
      </x:c>
      <x:c r="B750" t="str">
        <x:v>LO3</x:v>
      </x:c>
      <x:c r="C750" t="str">
        <x:v>A</x:v>
      </x:c>
      <x:c r="D750" t="str">
        <x:v>改稿済み・専門家未承認</x:v>
      </x:c>
      <x:c r="E750" t="str">
        <x:v>N</x:v>
      </x:c>
    </x:row>
    <x:row r="751">
      <x:c r="A751" t="str">
        <x:v>LO3-150</x:v>
      </x:c>
      <x:c r="B751" t="str">
        <x:v>LO3</x:v>
      </x:c>
      <x:c r="C751" t="str">
        <x:v>B</x:v>
      </x:c>
      <x:c r="D751" t="str">
        <x:v>改稿済み・専門家未承認</x:v>
      </x:c>
      <x:c r="E751" t="str">
        <x:v>N</x:v>
      </x:c>
    </x:row>
    <x:row r="752">
      <x:c r="A752" t="str">
        <x:v>LO3-151</x:v>
      </x:c>
      <x:c r="B752" t="str">
        <x:v>LO3</x:v>
      </x:c>
      <x:c r="C752" t="str">
        <x:v>C</x:v>
      </x:c>
      <x:c r="D752" t="str">
        <x:v>改稿済み・専門家未承認</x:v>
      </x:c>
      <x:c r="E752" t="str">
        <x:v>N</x:v>
      </x:c>
    </x:row>
    <x:row r="753">
      <x:c r="A753" t="str">
        <x:v>LO3-152</x:v>
      </x:c>
      <x:c r="B753" t="str">
        <x:v>LO3</x:v>
      </x:c>
      <x:c r="C753" t="str">
        <x:v>D</x:v>
      </x:c>
      <x:c r="D753" t="str">
        <x:v>改稿済み・専門家未承認</x:v>
      </x:c>
      <x:c r="E753" t="str">
        <x:v>N</x:v>
      </x:c>
    </x:row>
    <x:row r="754">
      <x:c r="A754" t="str">
        <x:v>LO3-153</x:v>
      </x:c>
      <x:c r="B754" t="str">
        <x:v>LO3</x:v>
      </x:c>
      <x:c r="C754" t="str">
        <x:v>A</x:v>
      </x:c>
      <x:c r="D754" t="str">
        <x:v>改稿済み・専門家未承認</x:v>
      </x:c>
      <x:c r="E754" t="str">
        <x:v>N</x:v>
      </x:c>
    </x:row>
    <x:row r="755">
      <x:c r="A755" t="str">
        <x:v>LO3-154</x:v>
      </x:c>
      <x:c r="B755" t="str">
        <x:v>LO3</x:v>
      </x:c>
      <x:c r="C755" t="str">
        <x:v>B</x:v>
      </x:c>
      <x:c r="D755" t="str">
        <x:v>改稿済み・専門家未承認</x:v>
      </x:c>
      <x:c r="E755" t="str">
        <x:v>Y</x:v>
      </x:c>
    </x:row>
    <x:row r="756">
      <x:c r="A756" t="str">
        <x:v>LO3-155</x:v>
      </x:c>
      <x:c r="B756" t="str">
        <x:v>LO3</x:v>
      </x:c>
      <x:c r="C756" t="str">
        <x:v>C</x:v>
      </x:c>
      <x:c r="D756" t="str">
        <x:v>改稿済み・専門家未承認</x:v>
      </x:c>
      <x:c r="E756" t="str">
        <x:v>N</x:v>
      </x:c>
    </x:row>
    <x:row r="757">
      <x:c r="A757" t="str">
        <x:v>LO3-156</x:v>
      </x:c>
      <x:c r="B757" t="str">
        <x:v>LO3</x:v>
      </x:c>
      <x:c r="C757" t="str">
        <x:v>D</x:v>
      </x:c>
      <x:c r="D757" t="str">
        <x:v>改稿済み・専門家未承認</x:v>
      </x:c>
      <x:c r="E757" t="str">
        <x:v>N</x:v>
      </x:c>
    </x:row>
    <x:row r="758">
      <x:c r="A758" t="str">
        <x:v>LO3-157</x:v>
      </x:c>
      <x:c r="B758" t="str">
        <x:v>LO3</x:v>
      </x:c>
      <x:c r="C758" t="str">
        <x:v>A</x:v>
      </x:c>
      <x:c r="D758" t="str">
        <x:v>改稿済み・専門家未承認</x:v>
      </x:c>
      <x:c r="E758" t="str">
        <x:v>N</x:v>
      </x:c>
    </x:row>
    <x:row r="759">
      <x:c r="A759" t="str">
        <x:v>LO3-158</x:v>
      </x:c>
      <x:c r="B759" t="str">
        <x:v>LO3</x:v>
      </x:c>
      <x:c r="C759" t="str">
        <x:v>B</x:v>
      </x:c>
      <x:c r="D759" t="str">
        <x:v>改稿済み・専門家未承認</x:v>
      </x:c>
      <x:c r="E759" t="str">
        <x:v>N</x:v>
      </x:c>
    </x:row>
    <x:row r="760">
      <x:c r="A760" t="str">
        <x:v>LO3-159</x:v>
      </x:c>
      <x:c r="B760" t="str">
        <x:v>LO3</x:v>
      </x:c>
      <x:c r="C760" t="str">
        <x:v>C</x:v>
      </x:c>
      <x:c r="D760" t="str">
        <x:v>改稿済み・専門家未承認</x:v>
      </x:c>
      <x:c r="E760" t="str">
        <x:v>N</x:v>
      </x:c>
    </x:row>
    <x:row r="761">
      <x:c r="A761" t="str">
        <x:v>LO3-160</x:v>
      </x:c>
      <x:c r="B761" t="str">
        <x:v>LO3</x:v>
      </x:c>
      <x:c r="C761" t="str">
        <x:v>D</x:v>
      </x:c>
      <x:c r="D761" t="str">
        <x:v>改稿済み・専門家未承認</x:v>
      </x:c>
      <x:c r="E761" t="str">
        <x:v>N</x:v>
      </x:c>
    </x:row>
    <x:row r="762">
      <x:c r="A762" t="str">
        <x:v>LO3-161</x:v>
      </x:c>
      <x:c r="B762" t="str">
        <x:v>LO3</x:v>
      </x:c>
      <x:c r="C762" t="str">
        <x:v>A</x:v>
      </x:c>
      <x:c r="D762" t="str">
        <x:v>改稿済み・専門家未承認</x:v>
      </x:c>
      <x:c r="E762" t="str">
        <x:v>N</x:v>
      </x:c>
    </x:row>
    <x:row r="763">
      <x:c r="A763" t="str">
        <x:v>LO3-162</x:v>
      </x:c>
      <x:c r="B763" t="str">
        <x:v>LO3</x:v>
      </x:c>
      <x:c r="C763" t="str">
        <x:v>B</x:v>
      </x:c>
      <x:c r="D763" t="str">
        <x:v>改稿済み・専門家未承認</x:v>
      </x:c>
      <x:c r="E763" t="str">
        <x:v>Y</x:v>
      </x:c>
    </x:row>
    <x:row r="764">
      <x:c r="A764" t="str">
        <x:v>LO3-163</x:v>
      </x:c>
      <x:c r="B764" t="str">
        <x:v>LO3</x:v>
      </x:c>
      <x:c r="C764" t="str">
        <x:v>C</x:v>
      </x:c>
      <x:c r="D764" t="str">
        <x:v>改稿済み・専門家未承認</x:v>
      </x:c>
      <x:c r="E764" t="str">
        <x:v>N</x:v>
      </x:c>
    </x:row>
    <x:row r="765">
      <x:c r="A765" t="str">
        <x:v>LO3-164</x:v>
      </x:c>
      <x:c r="B765" t="str">
        <x:v>LO3</x:v>
      </x:c>
      <x:c r="C765" t="str">
        <x:v>D</x:v>
      </x:c>
      <x:c r="D765" t="str">
        <x:v>改稿済み・専門家未承認</x:v>
      </x:c>
      <x:c r="E765" t="str">
        <x:v>N</x:v>
      </x:c>
    </x:row>
    <x:row r="766">
      <x:c r="A766" t="str">
        <x:v>LO3-165</x:v>
      </x:c>
      <x:c r="B766" t="str">
        <x:v>LO3</x:v>
      </x:c>
      <x:c r="C766" t="str">
        <x:v>A</x:v>
      </x:c>
      <x:c r="D766" t="str">
        <x:v>改稿済み・専門家未承認</x:v>
      </x:c>
      <x:c r="E766" t="str">
        <x:v>Y</x:v>
      </x:c>
    </x:row>
    <x:row r="767">
      <x:c r="A767" t="str">
        <x:v>LO3-166</x:v>
      </x:c>
      <x:c r="B767" t="str">
        <x:v>LO3</x:v>
      </x:c>
      <x:c r="C767" t="str">
        <x:v>B</x:v>
      </x:c>
      <x:c r="D767" t="str">
        <x:v>改稿済み・専門家未承認</x:v>
      </x:c>
      <x:c r="E767" t="str">
        <x:v>Y</x:v>
      </x:c>
    </x:row>
    <x:row r="768">
      <x:c r="A768" t="str">
        <x:v>LO3-167</x:v>
      </x:c>
      <x:c r="B768" t="str">
        <x:v>LO3</x:v>
      </x:c>
      <x:c r="C768" t="str">
        <x:v>C</x:v>
      </x:c>
      <x:c r="D768" t="str">
        <x:v>改稿済み・専門家未承認</x:v>
      </x:c>
      <x:c r="E768" t="str">
        <x:v>Y</x:v>
      </x:c>
    </x:row>
    <x:row r="769">
      <x:c r="A769" t="str">
        <x:v>LO3-168</x:v>
      </x:c>
      <x:c r="B769" t="str">
        <x:v>LO3</x:v>
      </x:c>
      <x:c r="C769" t="str">
        <x:v>D</x:v>
      </x:c>
      <x:c r="D769" t="str">
        <x:v>改稿済み・専門家未承認</x:v>
      </x:c>
      <x:c r="E769" t="str">
        <x:v>N</x:v>
      </x:c>
    </x:row>
    <x:row r="770">
      <x:c r="A770" t="str">
        <x:v>LO3-169</x:v>
      </x:c>
      <x:c r="B770" t="str">
        <x:v>LO3</x:v>
      </x:c>
      <x:c r="C770" t="str">
        <x:v>A</x:v>
      </x:c>
      <x:c r="D770" t="str">
        <x:v>改稿済み・専門家未承認</x:v>
      </x:c>
      <x:c r="E770" t="str">
        <x:v>N</x:v>
      </x:c>
    </x:row>
    <x:row r="771">
      <x:c r="A771" t="str">
        <x:v>LO3-170</x:v>
      </x:c>
      <x:c r="B771" t="str">
        <x:v>LO3</x:v>
      </x:c>
      <x:c r="C771" t="str">
        <x:v>B</x:v>
      </x:c>
      <x:c r="D771" t="str">
        <x:v>改稿済み・専門家未承認</x:v>
      </x:c>
      <x:c r="E771" t="str">
        <x:v>N</x:v>
      </x:c>
    </x:row>
    <x:row r="772">
      <x:c r="A772" t="str">
        <x:v>LO3-171</x:v>
      </x:c>
      <x:c r="B772" t="str">
        <x:v>LO3</x:v>
      </x:c>
      <x:c r="C772" t="str">
        <x:v>C</x:v>
      </x:c>
      <x:c r="D772" t="str">
        <x:v>改稿済み・専門家未承認</x:v>
      </x:c>
      <x:c r="E772" t="str">
        <x:v>Y</x:v>
      </x:c>
    </x:row>
    <x:row r="773">
      <x:c r="A773" t="str">
        <x:v>LO3-172</x:v>
      </x:c>
      <x:c r="B773" t="str">
        <x:v>LO3</x:v>
      </x:c>
      <x:c r="C773" t="str">
        <x:v>D</x:v>
      </x:c>
      <x:c r="D773" t="str">
        <x:v>改稿済み・専門家未承認</x:v>
      </x:c>
      <x:c r="E773" t="str">
        <x:v>N</x:v>
      </x:c>
    </x:row>
    <x:row r="774">
      <x:c r="A774" t="str">
        <x:v>LO3-173</x:v>
      </x:c>
      <x:c r="B774" t="str">
        <x:v>LO3</x:v>
      </x:c>
      <x:c r="C774" t="str">
        <x:v>A</x:v>
      </x:c>
      <x:c r="D774" t="str">
        <x:v>改稿済み・専門家未承認</x:v>
      </x:c>
      <x:c r="E774" t="str">
        <x:v>N</x:v>
      </x:c>
    </x:row>
    <x:row r="775">
      <x:c r="A775" t="str">
        <x:v>LO3-174</x:v>
      </x:c>
      <x:c r="B775" t="str">
        <x:v>LO3</x:v>
      </x:c>
      <x:c r="C775" t="str">
        <x:v>B</x:v>
      </x:c>
      <x:c r="D775" t="str">
        <x:v>改稿済み・専門家未承認</x:v>
      </x:c>
      <x:c r="E775" t="str">
        <x:v>N</x:v>
      </x:c>
    </x:row>
    <x:row r="776">
      <x:c r="A776" t="str">
        <x:v>LO3-175</x:v>
      </x:c>
      <x:c r="B776" t="str">
        <x:v>LO3</x:v>
      </x:c>
      <x:c r="C776" t="str">
        <x:v>C</x:v>
      </x:c>
      <x:c r="D776" t="str">
        <x:v>改稿済み・専門家未承認</x:v>
      </x:c>
      <x:c r="E776" t="str">
        <x:v>N</x:v>
      </x:c>
    </x:row>
    <x:row r="777">
      <x:c r="A777" t="str">
        <x:v>LO3-176</x:v>
      </x:c>
      <x:c r="B777" t="str">
        <x:v>LO3</x:v>
      </x:c>
      <x:c r="C777" t="str">
        <x:v>D</x:v>
      </x:c>
      <x:c r="D777" t="str">
        <x:v>改稿済み・専門家未承認</x:v>
      </x:c>
      <x:c r="E777" t="str">
        <x:v>N</x:v>
      </x:c>
    </x:row>
    <x:row r="778">
      <x:c r="A778" t="str">
        <x:v>LO3-177</x:v>
      </x:c>
      <x:c r="B778" t="str">
        <x:v>LO3</x:v>
      </x:c>
      <x:c r="C778" t="str">
        <x:v>A</x:v>
      </x:c>
      <x:c r="D778" t="str">
        <x:v>改稿済み・専門家未承認</x:v>
      </x:c>
      <x:c r="E778" t="str">
        <x:v>N</x:v>
      </x:c>
    </x:row>
    <x:row r="779">
      <x:c r="A779" t="str">
        <x:v>LO3-178</x:v>
      </x:c>
      <x:c r="B779" t="str">
        <x:v>LO3</x:v>
      </x:c>
      <x:c r="C779" t="str">
        <x:v>B</x:v>
      </x:c>
      <x:c r="D779" t="str">
        <x:v>改稿済み・専門家未承認</x:v>
      </x:c>
      <x:c r="E779" t="str">
        <x:v>N</x:v>
      </x:c>
    </x:row>
    <x:row r="780">
      <x:c r="A780" t="str">
        <x:v>LO3-179</x:v>
      </x:c>
      <x:c r="B780" t="str">
        <x:v>LO3</x:v>
      </x:c>
      <x:c r="C780" t="str">
        <x:v>C</x:v>
      </x:c>
      <x:c r="D780" t="str">
        <x:v>改稿済み・専門家未承認</x:v>
      </x:c>
      <x:c r="E780" t="str">
        <x:v>N</x:v>
      </x:c>
    </x:row>
    <x:row r="781">
      <x:c r="A781" t="str">
        <x:v>LO3-180</x:v>
      </x:c>
      <x:c r="B781" t="str">
        <x:v>LO3</x:v>
      </x:c>
      <x:c r="C781" t="str">
        <x:v>D</x:v>
      </x:c>
      <x:c r="D781" t="str">
        <x:v>改稿済み・専門家未承認</x:v>
      </x:c>
      <x:c r="E781" t="str">
        <x:v>N</x:v>
      </x:c>
    </x:row>
    <x:row r="782">
      <x:c r="A782" t="str">
        <x:v>LO4-121</x:v>
      </x:c>
      <x:c r="B782" t="str">
        <x:v>LO4</x:v>
      </x:c>
      <x:c r="C782" t="str">
        <x:v>A</x:v>
      </x:c>
      <x:c r="D782" t="str">
        <x:v>改稿済み・専門家未承認</x:v>
      </x:c>
      <x:c r="E782" t="str">
        <x:v>N</x:v>
      </x:c>
    </x:row>
    <x:row r="783">
      <x:c r="A783" t="str">
        <x:v>LO4-122</x:v>
      </x:c>
      <x:c r="B783" t="str">
        <x:v>LO4</x:v>
      </x:c>
      <x:c r="C783" t="str">
        <x:v>B</x:v>
      </x:c>
      <x:c r="D783" t="str">
        <x:v>改稿済み・専門家未承認</x:v>
      </x:c>
      <x:c r="E783" t="str">
        <x:v>N</x:v>
      </x:c>
    </x:row>
    <x:row r="784">
      <x:c r="A784" t="str">
        <x:v>LO4-123</x:v>
      </x:c>
      <x:c r="B784" t="str">
        <x:v>LO4</x:v>
      </x:c>
      <x:c r="C784" t="str">
        <x:v>C</x:v>
      </x:c>
      <x:c r="D784" t="str">
        <x:v>改稿済み・専門家未承認</x:v>
      </x:c>
      <x:c r="E784" t="str">
        <x:v>N</x:v>
      </x:c>
    </x:row>
    <x:row r="785">
      <x:c r="A785" t="str">
        <x:v>LO4-124</x:v>
      </x:c>
      <x:c r="B785" t="str">
        <x:v>LO4</x:v>
      </x:c>
      <x:c r="C785" t="str">
        <x:v>D</x:v>
      </x:c>
      <x:c r="D785" t="str">
        <x:v>改稿済み・専門家未承認</x:v>
      </x:c>
      <x:c r="E785" t="str">
        <x:v>N</x:v>
      </x:c>
    </x:row>
    <x:row r="786">
      <x:c r="A786" t="str">
        <x:v>LO4-125</x:v>
      </x:c>
      <x:c r="B786" t="str">
        <x:v>LO4</x:v>
      </x:c>
      <x:c r="C786" t="str">
        <x:v>A</x:v>
      </x:c>
      <x:c r="D786" t="str">
        <x:v>改稿済み・専門家未承認</x:v>
      </x:c>
      <x:c r="E786" t="str">
        <x:v>N</x:v>
      </x:c>
    </x:row>
    <x:row r="787">
      <x:c r="A787" t="str">
        <x:v>LO4-126</x:v>
      </x:c>
      <x:c r="B787" t="str">
        <x:v>LO4</x:v>
      </x:c>
      <x:c r="C787" t="str">
        <x:v>B</x:v>
      </x:c>
      <x:c r="D787" t="str">
        <x:v>改稿済み・専門家未承認</x:v>
      </x:c>
      <x:c r="E787" t="str">
        <x:v>N</x:v>
      </x:c>
    </x:row>
    <x:row r="788">
      <x:c r="A788" t="str">
        <x:v>LO4-127</x:v>
      </x:c>
      <x:c r="B788" t="str">
        <x:v>LO4</x:v>
      </x:c>
      <x:c r="C788" t="str">
        <x:v>C</x:v>
      </x:c>
      <x:c r="D788" t="str">
        <x:v>改稿済み・専門家未承認</x:v>
      </x:c>
      <x:c r="E788" t="str">
        <x:v>N</x:v>
      </x:c>
    </x:row>
    <x:row r="789">
      <x:c r="A789" t="str">
        <x:v>LO4-128</x:v>
      </x:c>
      <x:c r="B789" t="str">
        <x:v>LO4</x:v>
      </x:c>
      <x:c r="C789" t="str">
        <x:v>D</x:v>
      </x:c>
      <x:c r="D789" t="str">
        <x:v>改稿済み・専門家未承認</x:v>
      </x:c>
      <x:c r="E789" t="str">
        <x:v>N</x:v>
      </x:c>
    </x:row>
    <x:row r="790">
      <x:c r="A790" t="str">
        <x:v>LO4-129</x:v>
      </x:c>
      <x:c r="B790" t="str">
        <x:v>LO4</x:v>
      </x:c>
      <x:c r="C790" t="str">
        <x:v>A</x:v>
      </x:c>
      <x:c r="D790" t="str">
        <x:v>改稿済み・専門家未承認</x:v>
      </x:c>
      <x:c r="E790" t="str">
        <x:v>N</x:v>
      </x:c>
    </x:row>
    <x:row r="791">
      <x:c r="A791" t="str">
        <x:v>LO4-130</x:v>
      </x:c>
      <x:c r="B791" t="str">
        <x:v>LO4</x:v>
      </x:c>
      <x:c r="C791" t="str">
        <x:v>B</x:v>
      </x:c>
      <x:c r="D791" t="str">
        <x:v>改稿済み・専門家未承認</x:v>
      </x:c>
      <x:c r="E791" t="str">
        <x:v>N</x:v>
      </x:c>
    </x:row>
    <x:row r="792">
      <x:c r="A792" t="str">
        <x:v>LO4-131</x:v>
      </x:c>
      <x:c r="B792" t="str">
        <x:v>LO4</x:v>
      </x:c>
      <x:c r="C792" t="str">
        <x:v>C</x:v>
      </x:c>
      <x:c r="D792" t="str">
        <x:v>改稿済み・専門家未承認</x:v>
      </x:c>
      <x:c r="E792" t="str">
        <x:v>N</x:v>
      </x:c>
    </x:row>
    <x:row r="793">
      <x:c r="A793" t="str">
        <x:v>LO4-132</x:v>
      </x:c>
      <x:c r="B793" t="str">
        <x:v>LO4</x:v>
      </x:c>
      <x:c r="C793" t="str">
        <x:v>D</x:v>
      </x:c>
      <x:c r="D793" t="str">
        <x:v>改稿済み・専門家未承認</x:v>
      </x:c>
      <x:c r="E793" t="str">
        <x:v>N</x:v>
      </x:c>
    </x:row>
    <x:row r="794">
      <x:c r="A794" t="str">
        <x:v>LO4-133</x:v>
      </x:c>
      <x:c r="B794" t="str">
        <x:v>LO4</x:v>
      </x:c>
      <x:c r="C794" t="str">
        <x:v>A</x:v>
      </x:c>
      <x:c r="D794" t="str">
        <x:v>改稿済み・専門家未承認</x:v>
      </x:c>
      <x:c r="E794" t="str">
        <x:v>Y</x:v>
      </x:c>
    </x:row>
    <x:row r="795">
      <x:c r="A795" t="str">
        <x:v>LO4-134</x:v>
      </x:c>
      <x:c r="B795" t="str">
        <x:v>LO4</x:v>
      </x:c>
      <x:c r="C795" t="str">
        <x:v>B</x:v>
      </x:c>
      <x:c r="D795" t="str">
        <x:v>改稿済み・専門家未承認</x:v>
      </x:c>
      <x:c r="E795" t="str">
        <x:v>N</x:v>
      </x:c>
    </x:row>
    <x:row r="796">
      <x:c r="A796" t="str">
        <x:v>LO4-135</x:v>
      </x:c>
      <x:c r="B796" t="str">
        <x:v>LO4</x:v>
      </x:c>
      <x:c r="C796" t="str">
        <x:v>C</x:v>
      </x:c>
      <x:c r="D796" t="str">
        <x:v>改稿済み・専門家未承認</x:v>
      </x:c>
      <x:c r="E796" t="str">
        <x:v>Y</x:v>
      </x:c>
    </x:row>
    <x:row r="797">
      <x:c r="A797" t="str">
        <x:v>LO4-136</x:v>
      </x:c>
      <x:c r="B797" t="str">
        <x:v>LO4</x:v>
      </x:c>
      <x:c r="C797" t="str">
        <x:v>D</x:v>
      </x:c>
      <x:c r="D797" t="str">
        <x:v>改稿済み・専門家未承認</x:v>
      </x:c>
      <x:c r="E797" t="str">
        <x:v>N</x:v>
      </x:c>
    </x:row>
    <x:row r="798">
      <x:c r="A798" t="str">
        <x:v>LO4-137</x:v>
      </x:c>
      <x:c r="B798" t="str">
        <x:v>LO4</x:v>
      </x:c>
      <x:c r="C798" t="str">
        <x:v>A</x:v>
      </x:c>
      <x:c r="D798" t="str">
        <x:v>改稿済み・専門家未承認</x:v>
      </x:c>
      <x:c r="E798" t="str">
        <x:v>N</x:v>
      </x:c>
    </x:row>
    <x:row r="799">
      <x:c r="A799" t="str">
        <x:v>LO4-138</x:v>
      </x:c>
      <x:c r="B799" t="str">
        <x:v>LO4</x:v>
      </x:c>
      <x:c r="C799" t="str">
        <x:v>B</x:v>
      </x:c>
      <x:c r="D799" t="str">
        <x:v>改稿済み・専門家未承認</x:v>
      </x:c>
      <x:c r="E799" t="str">
        <x:v>N</x:v>
      </x:c>
    </x:row>
    <x:row r="800">
      <x:c r="A800" t="str">
        <x:v>LO4-139</x:v>
      </x:c>
      <x:c r="B800" t="str">
        <x:v>LO4</x:v>
      </x:c>
      <x:c r="C800" t="str">
        <x:v>C</x:v>
      </x:c>
      <x:c r="D800" t="str">
        <x:v>改稿済み・専門家未承認</x:v>
      </x:c>
      <x:c r="E800" t="str">
        <x:v>N</x:v>
      </x:c>
    </x:row>
    <x:row r="801">
      <x:c r="A801" t="str">
        <x:v>LO4-140</x:v>
      </x:c>
      <x:c r="B801" t="str">
        <x:v>LO4</x:v>
      </x:c>
      <x:c r="C801" t="str">
        <x:v>D</x:v>
      </x:c>
      <x:c r="D801" t="str">
        <x:v>改稿済み・専門家未承認</x:v>
      </x:c>
      <x:c r="E801" t="str">
        <x:v>N</x:v>
      </x:c>
    </x:row>
    <x:row r="802">
      <x:c r="A802" t="str">
        <x:v>LO4-141</x:v>
      </x:c>
      <x:c r="B802" t="str">
        <x:v>LO4</x:v>
      </x:c>
      <x:c r="C802" t="str">
        <x:v>A</x:v>
      </x:c>
      <x:c r="D802" t="str">
        <x:v>改稿済み・専門家未承認</x:v>
      </x:c>
      <x:c r="E802" t="str">
        <x:v>Y</x:v>
      </x:c>
    </x:row>
    <x:row r="803">
      <x:c r="A803" t="str">
        <x:v>LO4-142</x:v>
      </x:c>
      <x:c r="B803" t="str">
        <x:v>LO4</x:v>
      </x:c>
      <x:c r="C803" t="str">
        <x:v>B</x:v>
      </x:c>
      <x:c r="D803" t="str">
        <x:v>改稿済み・専門家未承認</x:v>
      </x:c>
      <x:c r="E803" t="str">
        <x:v>N</x:v>
      </x:c>
    </x:row>
    <x:row r="804">
      <x:c r="A804" t="str">
        <x:v>LO4-143</x:v>
      </x:c>
      <x:c r="B804" t="str">
        <x:v>LO4</x:v>
      </x:c>
      <x:c r="C804" t="str">
        <x:v>C</x:v>
      </x:c>
      <x:c r="D804" t="str">
        <x:v>改稿済み・専門家未承認</x:v>
      </x:c>
      <x:c r="E804" t="str">
        <x:v>N</x:v>
      </x:c>
    </x:row>
    <x:row r="805">
      <x:c r="A805" t="str">
        <x:v>LO4-144</x:v>
      </x:c>
      <x:c r="B805" t="str">
        <x:v>LO4</x:v>
      </x:c>
      <x:c r="C805" t="str">
        <x:v>D</x:v>
      </x:c>
      <x:c r="D805" t="str">
        <x:v>改稿済み・専門家未承認</x:v>
      </x:c>
      <x:c r="E805" t="str">
        <x:v>N</x:v>
      </x:c>
    </x:row>
    <x:row r="806">
      <x:c r="A806" t="str">
        <x:v>LO4-145</x:v>
      </x:c>
      <x:c r="B806" t="str">
        <x:v>LO4</x:v>
      </x:c>
      <x:c r="C806" t="str">
        <x:v>A</x:v>
      </x:c>
      <x:c r="D806" t="str">
        <x:v>改稿済み・専門家未承認</x:v>
      </x:c>
      <x:c r="E806" t="str">
        <x:v>N</x:v>
      </x:c>
    </x:row>
    <x:row r="807">
      <x:c r="A807" t="str">
        <x:v>LO4-146</x:v>
      </x:c>
      <x:c r="B807" t="str">
        <x:v>LO4</x:v>
      </x:c>
      <x:c r="C807" t="str">
        <x:v>B</x:v>
      </x:c>
      <x:c r="D807" t="str">
        <x:v>改稿済み・専門家未承認</x:v>
      </x:c>
      <x:c r="E807" t="str">
        <x:v>N</x:v>
      </x:c>
    </x:row>
    <x:row r="808">
      <x:c r="A808" t="str">
        <x:v>LO4-147</x:v>
      </x:c>
      <x:c r="B808" t="str">
        <x:v>LO4</x:v>
      </x:c>
      <x:c r="C808" t="str">
        <x:v>C</x:v>
      </x:c>
      <x:c r="D808" t="str">
        <x:v>改稿済み・専門家未承認</x:v>
      </x:c>
      <x:c r="E808" t="str">
        <x:v>N</x:v>
      </x:c>
    </x:row>
    <x:row r="809">
      <x:c r="A809" t="str">
        <x:v>LO4-148</x:v>
      </x:c>
      <x:c r="B809" t="str">
        <x:v>LO4</x:v>
      </x:c>
      <x:c r="C809" t="str">
        <x:v>D</x:v>
      </x:c>
      <x:c r="D809" t="str">
        <x:v>改稿済み・専門家未承認</x:v>
      </x:c>
      <x:c r="E809" t="str">
        <x:v>N</x:v>
      </x:c>
    </x:row>
    <x:row r="810">
      <x:c r="A810" t="str">
        <x:v>LO4-149</x:v>
      </x:c>
      <x:c r="B810" t="str">
        <x:v>LO4</x:v>
      </x:c>
      <x:c r="C810" t="str">
        <x:v>A</x:v>
      </x:c>
      <x:c r="D810" t="str">
        <x:v>改稿済み・専門家未承認</x:v>
      </x:c>
      <x:c r="E810" t="str">
        <x:v>N</x:v>
      </x:c>
    </x:row>
    <x:row r="811">
      <x:c r="A811" t="str">
        <x:v>LO4-150</x:v>
      </x:c>
      <x:c r="B811" t="str">
        <x:v>LO4</x:v>
      </x:c>
      <x:c r="C811" t="str">
        <x:v>B</x:v>
      </x:c>
      <x:c r="D811" t="str">
        <x:v>改稿済み・専門家未承認</x:v>
      </x:c>
      <x:c r="E811" t="str">
        <x:v>Y</x:v>
      </x:c>
    </x:row>
    <x:row r="812">
      <x:c r="A812" t="str">
        <x:v>LO4-151</x:v>
      </x:c>
      <x:c r="B812" t="str">
        <x:v>LO4</x:v>
      </x:c>
      <x:c r="C812" t="str">
        <x:v>C</x:v>
      </x:c>
      <x:c r="D812" t="str">
        <x:v>改稿済み・専門家未承認</x:v>
      </x:c>
      <x:c r="E812" t="str">
        <x:v>Y</x:v>
      </x:c>
    </x:row>
    <x:row r="813">
      <x:c r="A813" t="str">
        <x:v>LO4-152</x:v>
      </x:c>
      <x:c r="B813" t="str">
        <x:v>LO4</x:v>
      </x:c>
      <x:c r="C813" t="str">
        <x:v>D</x:v>
      </x:c>
      <x:c r="D813" t="str">
        <x:v>改稿済み・専門家未承認</x:v>
      </x:c>
      <x:c r="E813" t="str">
        <x:v>N</x:v>
      </x:c>
    </x:row>
    <x:row r="814">
      <x:c r="A814" t="str">
        <x:v>LO4-153</x:v>
      </x:c>
      <x:c r="B814" t="str">
        <x:v>LO4</x:v>
      </x:c>
      <x:c r="C814" t="str">
        <x:v>A</x:v>
      </x:c>
      <x:c r="D814" t="str">
        <x:v>改稿済み・専門家未承認</x:v>
      </x:c>
      <x:c r="E814" t="str">
        <x:v>N</x:v>
      </x:c>
    </x:row>
    <x:row r="815">
      <x:c r="A815" t="str">
        <x:v>LO4-154</x:v>
      </x:c>
      <x:c r="B815" t="str">
        <x:v>LO4</x:v>
      </x:c>
      <x:c r="C815" t="str">
        <x:v>B</x:v>
      </x:c>
      <x:c r="D815" t="str">
        <x:v>改稿済み・専門家未承認</x:v>
      </x:c>
      <x:c r="E815" t="str">
        <x:v>N</x:v>
      </x:c>
    </x:row>
    <x:row r="816">
      <x:c r="A816" t="str">
        <x:v>LO4-155</x:v>
      </x:c>
      <x:c r="B816" t="str">
        <x:v>LO4</x:v>
      </x:c>
      <x:c r="C816" t="str">
        <x:v>C</x:v>
      </x:c>
      <x:c r="D816" t="str">
        <x:v>改稿済み・専門家未承認</x:v>
      </x:c>
      <x:c r="E816" t="str">
        <x:v>N</x:v>
      </x:c>
    </x:row>
    <x:row r="817">
      <x:c r="A817" t="str">
        <x:v>LO4-156</x:v>
      </x:c>
      <x:c r="B817" t="str">
        <x:v>LO4</x:v>
      </x:c>
      <x:c r="C817" t="str">
        <x:v>D</x:v>
      </x:c>
      <x:c r="D817" t="str">
        <x:v>改稿済み・専門家未承認</x:v>
      </x:c>
      <x:c r="E817" t="str">
        <x:v>N</x:v>
      </x:c>
    </x:row>
    <x:row r="818">
      <x:c r="A818" t="str">
        <x:v>LO4-157</x:v>
      </x:c>
      <x:c r="B818" t="str">
        <x:v>LO4</x:v>
      </x:c>
      <x:c r="C818" t="str">
        <x:v>A</x:v>
      </x:c>
      <x:c r="D818" t="str">
        <x:v>改稿済み・専門家未承認</x:v>
      </x:c>
      <x:c r="E818" t="str">
        <x:v>N</x:v>
      </x:c>
    </x:row>
    <x:row r="819">
      <x:c r="A819" t="str">
        <x:v>LO4-158</x:v>
      </x:c>
      <x:c r="B819" t="str">
        <x:v>LO4</x:v>
      </x:c>
      <x:c r="C819" t="str">
        <x:v>B</x:v>
      </x:c>
      <x:c r="D819" t="str">
        <x:v>改稿済み・専門家未承認</x:v>
      </x:c>
      <x:c r="E819" t="str">
        <x:v>N</x:v>
      </x:c>
    </x:row>
    <x:row r="820">
      <x:c r="A820" t="str">
        <x:v>LO4-159</x:v>
      </x:c>
      <x:c r="B820" t="str">
        <x:v>LO4</x:v>
      </x:c>
      <x:c r="C820" t="str">
        <x:v>C</x:v>
      </x:c>
      <x:c r="D820" t="str">
        <x:v>改稿済み・専門家未承認</x:v>
      </x:c>
      <x:c r="E820" t="str">
        <x:v>N</x:v>
      </x:c>
    </x:row>
    <x:row r="821">
      <x:c r="A821" t="str">
        <x:v>LO4-160</x:v>
      </x:c>
      <x:c r="B821" t="str">
        <x:v>LO4</x:v>
      </x:c>
      <x:c r="C821" t="str">
        <x:v>D</x:v>
      </x:c>
      <x:c r="D821" t="str">
        <x:v>改稿済み・専門家未承認</x:v>
      </x:c>
      <x:c r="E821" t="str">
        <x:v>N</x:v>
      </x:c>
    </x:row>
    <x:row r="822">
      <x:c r="A822" t="str">
        <x:v>LO4-161</x:v>
      </x:c>
      <x:c r="B822" t="str">
        <x:v>LO4</x:v>
      </x:c>
      <x:c r="C822" t="str">
        <x:v>A</x:v>
      </x:c>
      <x:c r="D822" t="str">
        <x:v>改稿済み・専門家未承認</x:v>
      </x:c>
      <x:c r="E822" t="str">
        <x:v>N</x:v>
      </x:c>
    </x:row>
    <x:row r="823">
      <x:c r="A823" t="str">
        <x:v>LO4-162</x:v>
      </x:c>
      <x:c r="B823" t="str">
        <x:v>LO4</x:v>
      </x:c>
      <x:c r="C823" t="str">
        <x:v>B</x:v>
      </x:c>
      <x:c r="D823" t="str">
        <x:v>改稿済み・専門家未承認</x:v>
      </x:c>
      <x:c r="E823" t="str">
        <x:v>N</x:v>
      </x:c>
    </x:row>
    <x:row r="824">
      <x:c r="A824" t="str">
        <x:v>LO4-163</x:v>
      </x:c>
      <x:c r="B824" t="str">
        <x:v>LO4</x:v>
      </x:c>
      <x:c r="C824" t="str">
        <x:v>C</x:v>
      </x:c>
      <x:c r="D824" t="str">
        <x:v>改稿済み・専門家未承認</x:v>
      </x:c>
      <x:c r="E824" t="str">
        <x:v>N</x:v>
      </x:c>
    </x:row>
    <x:row r="825">
      <x:c r="A825" t="str">
        <x:v>LO4-164</x:v>
      </x:c>
      <x:c r="B825" t="str">
        <x:v>LO4</x:v>
      </x:c>
      <x:c r="C825" t="str">
        <x:v>D</x:v>
      </x:c>
      <x:c r="D825" t="str">
        <x:v>改稿済み・専門家未承認</x:v>
      </x:c>
      <x:c r="E825" t="str">
        <x:v>N</x:v>
      </x:c>
    </x:row>
    <x:row r="826">
      <x:c r="A826" t="str">
        <x:v>LO4-165</x:v>
      </x:c>
      <x:c r="B826" t="str">
        <x:v>LO4</x:v>
      </x:c>
      <x:c r="C826" t="str">
        <x:v>A</x:v>
      </x:c>
      <x:c r="D826" t="str">
        <x:v>改稿済み・専門家未承認</x:v>
      </x:c>
      <x:c r="E826" t="str">
        <x:v>Y</x:v>
      </x:c>
    </x:row>
    <x:row r="827">
      <x:c r="A827" t="str">
        <x:v>LO4-166</x:v>
      </x:c>
      <x:c r="B827" t="str">
        <x:v>LO4</x:v>
      </x:c>
      <x:c r="C827" t="str">
        <x:v>B</x:v>
      </x:c>
      <x:c r="D827" t="str">
        <x:v>改稿済み・専門家未承認</x:v>
      </x:c>
      <x:c r="E827" t="str">
        <x:v>N</x:v>
      </x:c>
    </x:row>
    <x:row r="828">
      <x:c r="A828" t="str">
        <x:v>LO4-167</x:v>
      </x:c>
      <x:c r="B828" t="str">
        <x:v>LO4</x:v>
      </x:c>
      <x:c r="C828" t="str">
        <x:v>C</x:v>
      </x:c>
      <x:c r="D828" t="str">
        <x:v>改稿済み・専門家未承認</x:v>
      </x:c>
      <x:c r="E828" t="str">
        <x:v>N</x:v>
      </x:c>
    </x:row>
    <x:row r="829">
      <x:c r="A829" t="str">
        <x:v>LO4-168</x:v>
      </x:c>
      <x:c r="B829" t="str">
        <x:v>LO4</x:v>
      </x:c>
      <x:c r="C829" t="str">
        <x:v>D</x:v>
      </x:c>
      <x:c r="D829" t="str">
        <x:v>改稿済み・専門家未承認</x:v>
      </x:c>
      <x:c r="E829" t="str">
        <x:v>N</x:v>
      </x:c>
    </x:row>
    <x:row r="830">
      <x:c r="A830" t="str">
        <x:v>LO4-169</x:v>
      </x:c>
      <x:c r="B830" t="str">
        <x:v>LO4</x:v>
      </x:c>
      <x:c r="C830" t="str">
        <x:v>A</x:v>
      </x:c>
      <x:c r="D830" t="str">
        <x:v>改稿済み・専門家未承認</x:v>
      </x:c>
      <x:c r="E830" t="str">
        <x:v>Y</x:v>
      </x:c>
    </x:row>
    <x:row r="831">
      <x:c r="A831" t="str">
        <x:v>LO4-170</x:v>
      </x:c>
      <x:c r="B831" t="str">
        <x:v>LO4</x:v>
      </x:c>
      <x:c r="C831" t="str">
        <x:v>B</x:v>
      </x:c>
      <x:c r="D831" t="str">
        <x:v>改稿済み・専門家未承認</x:v>
      </x:c>
      <x:c r="E831" t="str">
        <x:v>Y</x:v>
      </x:c>
    </x:row>
    <x:row r="832">
      <x:c r="A832" t="str">
        <x:v>LO4-171</x:v>
      </x:c>
      <x:c r="B832" t="str">
        <x:v>LO4</x:v>
      </x:c>
      <x:c r="C832" t="str">
        <x:v>C</x:v>
      </x:c>
      <x:c r="D832" t="str">
        <x:v>改稿済み・専門家未承認</x:v>
      </x:c>
      <x:c r="E832" t="str">
        <x:v>Y</x:v>
      </x:c>
    </x:row>
    <x:row r="833">
      <x:c r="A833" t="str">
        <x:v>LO4-172</x:v>
      </x:c>
      <x:c r="B833" t="str">
        <x:v>LO4</x:v>
      </x:c>
      <x:c r="C833" t="str">
        <x:v>D</x:v>
      </x:c>
      <x:c r="D833" t="str">
        <x:v>改稿済み・専門家未承認</x:v>
      </x:c>
      <x:c r="E833" t="str">
        <x:v>N</x:v>
      </x:c>
    </x:row>
    <x:row r="834">
      <x:c r="A834" t="str">
        <x:v>LO4-173</x:v>
      </x:c>
      <x:c r="B834" t="str">
        <x:v>LO4</x:v>
      </x:c>
      <x:c r="C834" t="str">
        <x:v>A</x:v>
      </x:c>
      <x:c r="D834" t="str">
        <x:v>改稿済み・専門家未承認</x:v>
      </x:c>
      <x:c r="E834" t="str">
        <x:v>N</x:v>
      </x:c>
    </x:row>
    <x:row r="835">
      <x:c r="A835" t="str">
        <x:v>LO4-174</x:v>
      </x:c>
      <x:c r="B835" t="str">
        <x:v>LO4</x:v>
      </x:c>
      <x:c r="C835" t="str">
        <x:v>B</x:v>
      </x:c>
      <x:c r="D835" t="str">
        <x:v>改稿済み・専門家未承認</x:v>
      </x:c>
      <x:c r="E835" t="str">
        <x:v>N</x:v>
      </x:c>
    </x:row>
    <x:row r="836">
      <x:c r="A836" t="str">
        <x:v>LO4-175</x:v>
      </x:c>
      <x:c r="B836" t="str">
        <x:v>LO4</x:v>
      </x:c>
      <x:c r="C836" t="str">
        <x:v>C</x:v>
      </x:c>
      <x:c r="D836" t="str">
        <x:v>改稿済み・専門家未承認</x:v>
      </x:c>
      <x:c r="E836" t="str">
        <x:v>N</x:v>
      </x:c>
    </x:row>
    <x:row r="837">
      <x:c r="A837" t="str">
        <x:v>LO4-176</x:v>
      </x:c>
      <x:c r="B837" t="str">
        <x:v>LO4</x:v>
      </x:c>
      <x:c r="C837" t="str">
        <x:v>D</x:v>
      </x:c>
      <x:c r="D837" t="str">
        <x:v>改稿済み・専門家未承認</x:v>
      </x:c>
      <x:c r="E837" t="str">
        <x:v>N</x:v>
      </x:c>
    </x:row>
    <x:row r="838">
      <x:c r="A838" t="str">
        <x:v>LO4-177</x:v>
      </x:c>
      <x:c r="B838" t="str">
        <x:v>LO4</x:v>
      </x:c>
      <x:c r="C838" t="str">
        <x:v>A</x:v>
      </x:c>
      <x:c r="D838" t="str">
        <x:v>改稿済み・専門家未承認</x:v>
      </x:c>
      <x:c r="E838" t="str">
        <x:v>N</x:v>
      </x:c>
    </x:row>
    <x:row r="839">
      <x:c r="A839" t="str">
        <x:v>LO4-178</x:v>
      </x:c>
      <x:c r="B839" t="str">
        <x:v>LO4</x:v>
      </x:c>
      <x:c r="C839" t="str">
        <x:v>B</x:v>
      </x:c>
      <x:c r="D839" t="str">
        <x:v>改稿済み・専門家未承認</x:v>
      </x:c>
      <x:c r="E839" t="str">
        <x:v>N</x:v>
      </x:c>
    </x:row>
    <x:row r="840">
      <x:c r="A840" t="str">
        <x:v>LO4-179</x:v>
      </x:c>
      <x:c r="B840" t="str">
        <x:v>LO4</x:v>
      </x:c>
      <x:c r="C840" t="str">
        <x:v>C</x:v>
      </x:c>
      <x:c r="D840" t="str">
        <x:v>改稿済み・専門家未承認</x:v>
      </x:c>
      <x:c r="E840" t="str">
        <x:v>N</x:v>
      </x:c>
    </x:row>
    <x:row r="841">
      <x:c r="A841" t="str">
        <x:v>LO4-180</x:v>
      </x:c>
      <x:c r="B841" t="str">
        <x:v>LO4</x:v>
      </x:c>
      <x:c r="C841" t="str">
        <x:v>D</x:v>
      </x:c>
      <x:c r="D841" t="str">
        <x:v>改稿済み・専門家未承認</x:v>
      </x:c>
      <x:c r="E841" t="str">
        <x:v>N</x:v>
      </x:c>
    </x:row>
    <x:row r="842">
      <x:c r="A842" t="str">
        <x:v>LO5-121</x:v>
      </x:c>
      <x:c r="B842" t="str">
        <x:v>LO5</x:v>
      </x:c>
      <x:c r="C842" t="str">
        <x:v>A</x:v>
      </x:c>
      <x:c r="D842" t="str">
        <x:v>改稿済み・専門家未承認</x:v>
      </x:c>
      <x:c r="E842" t="str">
        <x:v>N</x:v>
      </x:c>
    </x:row>
    <x:row r="843">
      <x:c r="A843" t="str">
        <x:v>LO5-122</x:v>
      </x:c>
      <x:c r="B843" t="str">
        <x:v>LO5</x:v>
      </x:c>
      <x:c r="C843" t="str">
        <x:v>B</x:v>
      </x:c>
      <x:c r="D843" t="str">
        <x:v>改稿済み・専門家未承認</x:v>
      </x:c>
      <x:c r="E843" t="str">
        <x:v>N</x:v>
      </x:c>
    </x:row>
    <x:row r="844">
      <x:c r="A844" t="str">
        <x:v>LO5-123</x:v>
      </x:c>
      <x:c r="B844" t="str">
        <x:v>LO5</x:v>
      </x:c>
      <x:c r="C844" t="str">
        <x:v>C</x:v>
      </x:c>
      <x:c r="D844" t="str">
        <x:v>改稿済み・専門家未承認</x:v>
      </x:c>
      <x:c r="E844" t="str">
        <x:v>N</x:v>
      </x:c>
    </x:row>
    <x:row r="845">
      <x:c r="A845" t="str">
        <x:v>LO5-124</x:v>
      </x:c>
      <x:c r="B845" t="str">
        <x:v>LO5</x:v>
      </x:c>
      <x:c r="C845" t="str">
        <x:v>D</x:v>
      </x:c>
      <x:c r="D845" t="str">
        <x:v>改稿済み・専門家未承認</x:v>
      </x:c>
      <x:c r="E845" t="str">
        <x:v>N</x:v>
      </x:c>
    </x:row>
    <x:row r="846">
      <x:c r="A846" t="str">
        <x:v>LO5-125</x:v>
      </x:c>
      <x:c r="B846" t="str">
        <x:v>LO5</x:v>
      </x:c>
      <x:c r="C846" t="str">
        <x:v>A</x:v>
      </x:c>
      <x:c r="D846" t="str">
        <x:v>改稿済み・専門家未承認</x:v>
      </x:c>
      <x:c r="E846" t="str">
        <x:v>N</x:v>
      </x:c>
    </x:row>
    <x:row r="847">
      <x:c r="A847" t="str">
        <x:v>LO5-126</x:v>
      </x:c>
      <x:c r="B847" t="str">
        <x:v>LO5</x:v>
      </x:c>
      <x:c r="C847" t="str">
        <x:v>B</x:v>
      </x:c>
      <x:c r="D847" t="str">
        <x:v>改稿済み・専門家未承認</x:v>
      </x:c>
      <x:c r="E847" t="str">
        <x:v>N</x:v>
      </x:c>
    </x:row>
    <x:row r="848">
      <x:c r="A848" t="str">
        <x:v>LO5-127</x:v>
      </x:c>
      <x:c r="B848" t="str">
        <x:v>LO5</x:v>
      </x:c>
      <x:c r="C848" t="str">
        <x:v>C</x:v>
      </x:c>
      <x:c r="D848" t="str">
        <x:v>改稿済み・専門家未承認</x:v>
      </x:c>
      <x:c r="E848" t="str">
        <x:v>N</x:v>
      </x:c>
    </x:row>
    <x:row r="849">
      <x:c r="A849" t="str">
        <x:v>LO5-128</x:v>
      </x:c>
      <x:c r="B849" t="str">
        <x:v>LO5</x:v>
      </x:c>
      <x:c r="C849" t="str">
        <x:v>D</x:v>
      </x:c>
      <x:c r="D849" t="str">
        <x:v>改稿済み・専門家未承認</x:v>
      </x:c>
      <x:c r="E849" t="str">
        <x:v>N</x:v>
      </x:c>
    </x:row>
    <x:row r="850">
      <x:c r="A850" t="str">
        <x:v>LO5-129</x:v>
      </x:c>
      <x:c r="B850" t="str">
        <x:v>LO5</x:v>
      </x:c>
      <x:c r="C850" t="str">
        <x:v>A</x:v>
      </x:c>
      <x:c r="D850" t="str">
        <x:v>改稿済み・専門家未承認</x:v>
      </x:c>
      <x:c r="E850" t="str">
        <x:v>N</x:v>
      </x:c>
    </x:row>
    <x:row r="851">
      <x:c r="A851" t="str">
        <x:v>LO5-130</x:v>
      </x:c>
      <x:c r="B851" t="str">
        <x:v>LO5</x:v>
      </x:c>
      <x:c r="C851" t="str">
        <x:v>B</x:v>
      </x:c>
      <x:c r="D851" t="str">
        <x:v>改稿済み・専門家未承認</x:v>
      </x:c>
      <x:c r="E851" t="str">
        <x:v>N</x:v>
      </x:c>
    </x:row>
    <x:row r="852">
      <x:c r="A852" t="str">
        <x:v>LO5-131</x:v>
      </x:c>
      <x:c r="B852" t="str">
        <x:v>LO5</x:v>
      </x:c>
      <x:c r="C852" t="str">
        <x:v>C</x:v>
      </x:c>
      <x:c r="D852" t="str">
        <x:v>改稿済み・専門家未承認</x:v>
      </x:c>
      <x:c r="E852" t="str">
        <x:v>N</x:v>
      </x:c>
    </x:row>
    <x:row r="853">
      <x:c r="A853" t="str">
        <x:v>LO5-132</x:v>
      </x:c>
      <x:c r="B853" t="str">
        <x:v>LO5</x:v>
      </x:c>
      <x:c r="C853" t="str">
        <x:v>D</x:v>
      </x:c>
      <x:c r="D853" t="str">
        <x:v>改稿済み・専門家未承認</x:v>
      </x:c>
      <x:c r="E853" t="str">
        <x:v>N</x:v>
      </x:c>
    </x:row>
    <x:row r="854">
      <x:c r="A854" t="str">
        <x:v>LO5-133</x:v>
      </x:c>
      <x:c r="B854" t="str">
        <x:v>LO5</x:v>
      </x:c>
      <x:c r="C854" t="str">
        <x:v>A</x:v>
      </x:c>
      <x:c r="D854" t="str">
        <x:v>改稿済み・専門家未承認</x:v>
      </x:c>
      <x:c r="E854" t="str">
        <x:v>N</x:v>
      </x:c>
    </x:row>
    <x:row r="855">
      <x:c r="A855" t="str">
        <x:v>LO5-134</x:v>
      </x:c>
      <x:c r="B855" t="str">
        <x:v>LO5</x:v>
      </x:c>
      <x:c r="C855" t="str">
        <x:v>B</x:v>
      </x:c>
      <x:c r="D855" t="str">
        <x:v>改稿済み・専門家未承認</x:v>
      </x:c>
      <x:c r="E855" t="str">
        <x:v>N</x:v>
      </x:c>
    </x:row>
    <x:row r="856">
      <x:c r="A856" t="str">
        <x:v>LO5-135</x:v>
      </x:c>
      <x:c r="B856" t="str">
        <x:v>LO5</x:v>
      </x:c>
      <x:c r="C856" t="str">
        <x:v>C</x:v>
      </x:c>
      <x:c r="D856" t="str">
        <x:v>改稿済み・専門家未承認</x:v>
      </x:c>
      <x:c r="E856" t="str">
        <x:v>N</x:v>
      </x:c>
    </x:row>
    <x:row r="857">
      <x:c r="A857" t="str">
        <x:v>LO5-136</x:v>
      </x:c>
      <x:c r="B857" t="str">
        <x:v>LO5</x:v>
      </x:c>
      <x:c r="C857" t="str">
        <x:v>D</x:v>
      </x:c>
      <x:c r="D857" t="str">
        <x:v>改稿済み・専門家未承認</x:v>
      </x:c>
      <x:c r="E857" t="str">
        <x:v>N</x:v>
      </x:c>
    </x:row>
    <x:row r="858">
      <x:c r="A858" t="str">
        <x:v>LO5-137</x:v>
      </x:c>
      <x:c r="B858" t="str">
        <x:v>LO5</x:v>
      </x:c>
      <x:c r="C858" t="str">
        <x:v>A</x:v>
      </x:c>
      <x:c r="D858" t="str">
        <x:v>改稿済み・専門家未承認</x:v>
      </x:c>
      <x:c r="E858" t="str">
        <x:v>N</x:v>
      </x:c>
    </x:row>
    <x:row r="859">
      <x:c r="A859" t="str">
        <x:v>LO5-138</x:v>
      </x:c>
      <x:c r="B859" t="str">
        <x:v>LO5</x:v>
      </x:c>
      <x:c r="C859" t="str">
        <x:v>B</x:v>
      </x:c>
      <x:c r="D859" t="str">
        <x:v>改稿済み・専門家未承認</x:v>
      </x:c>
      <x:c r="E859" t="str">
        <x:v>N</x:v>
      </x:c>
    </x:row>
    <x:row r="860">
      <x:c r="A860" t="str">
        <x:v>LO5-139</x:v>
      </x:c>
      <x:c r="B860" t="str">
        <x:v>LO5</x:v>
      </x:c>
      <x:c r="C860" t="str">
        <x:v>C</x:v>
      </x:c>
      <x:c r="D860" t="str">
        <x:v>改稿済み・専門家未承認</x:v>
      </x:c>
      <x:c r="E860" t="str">
        <x:v>N</x:v>
      </x:c>
    </x:row>
    <x:row r="861">
      <x:c r="A861" t="str">
        <x:v>LO5-140</x:v>
      </x:c>
      <x:c r="B861" t="str">
        <x:v>LO5</x:v>
      </x:c>
      <x:c r="C861" t="str">
        <x:v>D</x:v>
      </x:c>
      <x:c r="D861" t="str">
        <x:v>改稿済み・専門家未承認</x:v>
      </x:c>
      <x:c r="E861" t="str">
        <x:v>N</x:v>
      </x:c>
    </x:row>
    <x:row r="862">
      <x:c r="A862" t="str">
        <x:v>LO5-141</x:v>
      </x:c>
      <x:c r="B862" t="str">
        <x:v>LO5</x:v>
      </x:c>
      <x:c r="C862" t="str">
        <x:v>A</x:v>
      </x:c>
      <x:c r="D862" t="str">
        <x:v>改稿済み・専門家未承認</x:v>
      </x:c>
      <x:c r="E862" t="str">
        <x:v>N</x:v>
      </x:c>
    </x:row>
    <x:row r="863">
      <x:c r="A863" t="str">
        <x:v>LO5-142</x:v>
      </x:c>
      <x:c r="B863" t="str">
        <x:v>LO5</x:v>
      </x:c>
      <x:c r="C863" t="str">
        <x:v>B</x:v>
      </x:c>
      <x:c r="D863" t="str">
        <x:v>改稿済み・専門家未承認</x:v>
      </x:c>
      <x:c r="E863" t="str">
        <x:v>N</x:v>
      </x:c>
    </x:row>
    <x:row r="864">
      <x:c r="A864" t="str">
        <x:v>LO5-143</x:v>
      </x:c>
      <x:c r="B864" t="str">
        <x:v>LO5</x:v>
      </x:c>
      <x:c r="C864" t="str">
        <x:v>C</x:v>
      </x:c>
      <x:c r="D864" t="str">
        <x:v>改稿済み・専門家未承認</x:v>
      </x:c>
      <x:c r="E864" t="str">
        <x:v>N</x:v>
      </x:c>
    </x:row>
    <x:row r="865">
      <x:c r="A865" t="str">
        <x:v>LO5-144</x:v>
      </x:c>
      <x:c r="B865" t="str">
        <x:v>LO5</x:v>
      </x:c>
      <x:c r="C865" t="str">
        <x:v>D</x:v>
      </x:c>
      <x:c r="D865" t="str">
        <x:v>改稿済み・専門家未承認</x:v>
      </x:c>
      <x:c r="E865" t="str">
        <x:v>N</x:v>
      </x:c>
    </x:row>
    <x:row r="866">
      <x:c r="A866" t="str">
        <x:v>LO5-145</x:v>
      </x:c>
      <x:c r="B866" t="str">
        <x:v>LO5</x:v>
      </x:c>
      <x:c r="C866" t="str">
        <x:v>A</x:v>
      </x:c>
      <x:c r="D866" t="str">
        <x:v>改稿済み・専門家未承認</x:v>
      </x:c>
      <x:c r="E866" t="str">
        <x:v>N</x:v>
      </x:c>
    </x:row>
    <x:row r="867">
      <x:c r="A867" t="str">
        <x:v>LO5-146</x:v>
      </x:c>
      <x:c r="B867" t="str">
        <x:v>LO5</x:v>
      </x:c>
      <x:c r="C867" t="str">
        <x:v>B</x:v>
      </x:c>
      <x:c r="D867" t="str">
        <x:v>改稿済み・専門家未承認</x:v>
      </x:c>
      <x:c r="E867" t="str">
        <x:v>N</x:v>
      </x:c>
    </x:row>
    <x:row r="868">
      <x:c r="A868" t="str">
        <x:v>LO5-147</x:v>
      </x:c>
      <x:c r="B868" t="str">
        <x:v>LO5</x:v>
      </x:c>
      <x:c r="C868" t="str">
        <x:v>C</x:v>
      </x:c>
      <x:c r="D868" t="str">
        <x:v>改稿済み・専門家未承認</x:v>
      </x:c>
      <x:c r="E868" t="str">
        <x:v>N</x:v>
      </x:c>
    </x:row>
    <x:row r="869">
      <x:c r="A869" t="str">
        <x:v>LO5-148</x:v>
      </x:c>
      <x:c r="B869" t="str">
        <x:v>LO5</x:v>
      </x:c>
      <x:c r="C869" t="str">
        <x:v>D</x:v>
      </x:c>
      <x:c r="D869" t="str">
        <x:v>改稿済み・専門家未承認</x:v>
      </x:c>
      <x:c r="E869" t="str">
        <x:v>N</x:v>
      </x:c>
    </x:row>
    <x:row r="870">
      <x:c r="A870" t="str">
        <x:v>LO5-149</x:v>
      </x:c>
      <x:c r="B870" t="str">
        <x:v>LO5</x:v>
      </x:c>
      <x:c r="C870" t="str">
        <x:v>A</x:v>
      </x:c>
      <x:c r="D870" t="str">
        <x:v>改稿済み・専門家未承認</x:v>
      </x:c>
      <x:c r="E870" t="str">
        <x:v>N</x:v>
      </x:c>
    </x:row>
    <x:row r="871">
      <x:c r="A871" t="str">
        <x:v>LO5-150</x:v>
      </x:c>
      <x:c r="B871" t="str">
        <x:v>LO5</x:v>
      </x:c>
      <x:c r="C871" t="str">
        <x:v>B</x:v>
      </x:c>
      <x:c r="D871" t="str">
        <x:v>改稿済み・専門家未承認</x:v>
      </x:c>
      <x:c r="E871" t="str">
        <x:v>N</x:v>
      </x:c>
    </x:row>
    <x:row r="872">
      <x:c r="A872" t="str">
        <x:v>LO5-151</x:v>
      </x:c>
      <x:c r="B872" t="str">
        <x:v>LO5</x:v>
      </x:c>
      <x:c r="C872" t="str">
        <x:v>C</x:v>
      </x:c>
      <x:c r="D872" t="str">
        <x:v>改稿済み・専門家未承認</x:v>
      </x:c>
      <x:c r="E872" t="str">
        <x:v>N</x:v>
      </x:c>
    </x:row>
    <x:row r="873">
      <x:c r="A873" t="str">
        <x:v>LO5-152</x:v>
      </x:c>
      <x:c r="B873" t="str">
        <x:v>LO5</x:v>
      </x:c>
      <x:c r="C873" t="str">
        <x:v>D</x:v>
      </x:c>
      <x:c r="D873" t="str">
        <x:v>改稿済み・専門家未承認</x:v>
      </x:c>
      <x:c r="E873" t="str">
        <x:v>N</x:v>
      </x:c>
    </x:row>
    <x:row r="874">
      <x:c r="A874" t="str">
        <x:v>LO5-153</x:v>
      </x:c>
      <x:c r="B874" t="str">
        <x:v>LO5</x:v>
      </x:c>
      <x:c r="C874" t="str">
        <x:v>A</x:v>
      </x:c>
      <x:c r="D874" t="str">
        <x:v>改稿済み・専門家未承認</x:v>
      </x:c>
      <x:c r="E874" t="str">
        <x:v>N</x:v>
      </x:c>
    </x:row>
    <x:row r="875">
      <x:c r="A875" t="str">
        <x:v>LO5-154</x:v>
      </x:c>
      <x:c r="B875" t="str">
        <x:v>LO5</x:v>
      </x:c>
      <x:c r="C875" t="str">
        <x:v>B</x:v>
      </x:c>
      <x:c r="D875" t="str">
        <x:v>改稿済み・専門家未承認</x:v>
      </x:c>
      <x:c r="E875" t="str">
        <x:v>N</x:v>
      </x:c>
    </x:row>
    <x:row r="876">
      <x:c r="A876" t="str">
        <x:v>LO5-155</x:v>
      </x:c>
      <x:c r="B876" t="str">
        <x:v>LO5</x:v>
      </x:c>
      <x:c r="C876" t="str">
        <x:v>C</x:v>
      </x:c>
      <x:c r="D876" t="str">
        <x:v>改稿済み・専門家未承認</x:v>
      </x:c>
      <x:c r="E876" t="str">
        <x:v>N</x:v>
      </x:c>
    </x:row>
    <x:row r="877">
      <x:c r="A877" t="str">
        <x:v>LO5-156</x:v>
      </x:c>
      <x:c r="B877" t="str">
        <x:v>LO5</x:v>
      </x:c>
      <x:c r="C877" t="str">
        <x:v>D</x:v>
      </x:c>
      <x:c r="D877" t="str">
        <x:v>改稿済み・専門家未承認</x:v>
      </x:c>
      <x:c r="E877" t="str">
        <x:v>N</x:v>
      </x:c>
    </x:row>
    <x:row r="878">
      <x:c r="A878" t="str">
        <x:v>LO5-157</x:v>
      </x:c>
      <x:c r="B878" t="str">
        <x:v>LO5</x:v>
      </x:c>
      <x:c r="C878" t="str">
        <x:v>A</x:v>
      </x:c>
      <x:c r="D878" t="str">
        <x:v>改稿済み・専門家未承認</x:v>
      </x:c>
      <x:c r="E878" t="str">
        <x:v>N</x:v>
      </x:c>
    </x:row>
    <x:row r="879">
      <x:c r="A879" t="str">
        <x:v>LO5-158</x:v>
      </x:c>
      <x:c r="B879" t="str">
        <x:v>LO5</x:v>
      </x:c>
      <x:c r="C879" t="str">
        <x:v>B</x:v>
      </x:c>
      <x:c r="D879" t="str">
        <x:v>改稿済み・専門家未承認</x:v>
      </x:c>
      <x:c r="E879" t="str">
        <x:v>N</x:v>
      </x:c>
    </x:row>
    <x:row r="880">
      <x:c r="A880" t="str">
        <x:v>LO5-159</x:v>
      </x:c>
      <x:c r="B880" t="str">
        <x:v>LO5</x:v>
      </x:c>
      <x:c r="C880" t="str">
        <x:v>C</x:v>
      </x:c>
      <x:c r="D880" t="str">
        <x:v>改稿済み・専門家未承認</x:v>
      </x:c>
      <x:c r="E880" t="str">
        <x:v>N</x:v>
      </x:c>
    </x:row>
    <x:row r="881">
      <x:c r="A881" t="str">
        <x:v>LO5-160</x:v>
      </x:c>
      <x:c r="B881" t="str">
        <x:v>LO5</x:v>
      </x:c>
      <x:c r="C881" t="str">
        <x:v>D</x:v>
      </x:c>
      <x:c r="D881" t="str">
        <x:v>改稿済み・専門家未承認</x:v>
      </x:c>
      <x:c r="E881" t="str">
        <x:v>N</x:v>
      </x:c>
    </x:row>
    <x:row r="882">
      <x:c r="A882" t="str">
        <x:v>LO5-161</x:v>
      </x:c>
      <x:c r="B882" t="str">
        <x:v>LO5</x:v>
      </x:c>
      <x:c r="C882" t="str">
        <x:v>A</x:v>
      </x:c>
      <x:c r="D882" t="str">
        <x:v>改稿済み・専門家未承認</x:v>
      </x:c>
      <x:c r="E882" t="str">
        <x:v>N</x:v>
      </x:c>
    </x:row>
    <x:row r="883">
      <x:c r="A883" t="str">
        <x:v>LO5-162</x:v>
      </x:c>
      <x:c r="B883" t="str">
        <x:v>LO5</x:v>
      </x:c>
      <x:c r="C883" t="str">
        <x:v>B</x:v>
      </x:c>
      <x:c r="D883" t="str">
        <x:v>改稿済み・専門家未承認</x:v>
      </x:c>
      <x:c r="E883" t="str">
        <x:v>N</x:v>
      </x:c>
    </x:row>
    <x:row r="884">
      <x:c r="A884" t="str">
        <x:v>LO5-163</x:v>
      </x:c>
      <x:c r="B884" t="str">
        <x:v>LO5</x:v>
      </x:c>
      <x:c r="C884" t="str">
        <x:v>C</x:v>
      </x:c>
      <x:c r="D884" t="str">
        <x:v>改稿済み・専門家未承認</x:v>
      </x:c>
      <x:c r="E884" t="str">
        <x:v>N</x:v>
      </x:c>
    </x:row>
    <x:row r="885">
      <x:c r="A885" t="str">
        <x:v>LO5-164</x:v>
      </x:c>
      <x:c r="B885" t="str">
        <x:v>LO5</x:v>
      </x:c>
      <x:c r="C885" t="str">
        <x:v>D</x:v>
      </x:c>
      <x:c r="D885" t="str">
        <x:v>改稿済み・専門家未承認</x:v>
      </x:c>
      <x:c r="E885" t="str">
        <x:v>N</x:v>
      </x:c>
    </x:row>
    <x:row r="886">
      <x:c r="A886" t="str">
        <x:v>LO5-165</x:v>
      </x:c>
      <x:c r="B886" t="str">
        <x:v>LO5</x:v>
      </x:c>
      <x:c r="C886" t="str">
        <x:v>A</x:v>
      </x:c>
      <x:c r="D886" t="str">
        <x:v>改稿済み・専門家未承認</x:v>
      </x:c>
      <x:c r="E886" t="str">
        <x:v>N</x:v>
      </x:c>
    </x:row>
    <x:row r="887">
      <x:c r="A887" t="str">
        <x:v>LO5-166</x:v>
      </x:c>
      <x:c r="B887" t="str">
        <x:v>LO5</x:v>
      </x:c>
      <x:c r="C887" t="str">
        <x:v>B</x:v>
      </x:c>
      <x:c r="D887" t="str">
        <x:v>改稿済み・専門家未承認</x:v>
      </x:c>
      <x:c r="E887" t="str">
        <x:v>N</x:v>
      </x:c>
    </x:row>
    <x:row r="888">
      <x:c r="A888" t="str">
        <x:v>LO5-167</x:v>
      </x:c>
      <x:c r="B888" t="str">
        <x:v>LO5</x:v>
      </x:c>
      <x:c r="C888" t="str">
        <x:v>C</x:v>
      </x:c>
      <x:c r="D888" t="str">
        <x:v>改稿済み・専門家未承認</x:v>
      </x:c>
      <x:c r="E888" t="str">
        <x:v>Y</x:v>
      </x:c>
    </x:row>
    <x:row r="889">
      <x:c r="A889" t="str">
        <x:v>LO5-168</x:v>
      </x:c>
      <x:c r="B889" t="str">
        <x:v>LO5</x:v>
      </x:c>
      <x:c r="C889" t="str">
        <x:v>D</x:v>
      </x:c>
      <x:c r="D889" t="str">
        <x:v>改稿済み・専門家未承認</x:v>
      </x:c>
      <x:c r="E889" t="str">
        <x:v>Y</x:v>
      </x:c>
    </x:row>
    <x:row r="890">
      <x:c r="A890" t="str">
        <x:v>LO5-169</x:v>
      </x:c>
      <x:c r="B890" t="str">
        <x:v>LO5</x:v>
      </x:c>
      <x:c r="C890" t="str">
        <x:v>A</x:v>
      </x:c>
      <x:c r="D890" t="str">
        <x:v>改稿済み・専門家未承認</x:v>
      </x:c>
      <x:c r="E890" t="str">
        <x:v>Y</x:v>
      </x:c>
    </x:row>
    <x:row r="891">
      <x:c r="A891" t="str">
        <x:v>LO5-170</x:v>
      </x:c>
      <x:c r="B891" t="str">
        <x:v>LO5</x:v>
      </x:c>
      <x:c r="C891" t="str">
        <x:v>B</x:v>
      </x:c>
      <x:c r="D891" t="str">
        <x:v>改稿済み・専門家未承認</x:v>
      </x:c>
      <x:c r="E891" t="str">
        <x:v>Y</x:v>
      </x:c>
    </x:row>
    <x:row r="892">
      <x:c r="A892" t="str">
        <x:v>LO5-171</x:v>
      </x:c>
      <x:c r="B892" t="str">
        <x:v>LO5</x:v>
      </x:c>
      <x:c r="C892" t="str">
        <x:v>C</x:v>
      </x:c>
      <x:c r="D892" t="str">
        <x:v>改稿済み・専門家未承認</x:v>
      </x:c>
      <x:c r="E892" t="str">
        <x:v>Y</x:v>
      </x:c>
    </x:row>
    <x:row r="893">
      <x:c r="A893" t="str">
        <x:v>LO5-172</x:v>
      </x:c>
      <x:c r="B893" t="str">
        <x:v>LO5</x:v>
      </x:c>
      <x:c r="C893" t="str">
        <x:v>D</x:v>
      </x:c>
      <x:c r="D893" t="str">
        <x:v>改稿済み・専門家未承認</x:v>
      </x:c>
      <x:c r="E893" t="str">
        <x:v>Y</x:v>
      </x:c>
    </x:row>
    <x:row r="894">
      <x:c r="A894" t="str">
        <x:v>LO5-173</x:v>
      </x:c>
      <x:c r="B894" t="str">
        <x:v>LO5</x:v>
      </x:c>
      <x:c r="C894" t="str">
        <x:v>A</x:v>
      </x:c>
      <x:c r="D894" t="str">
        <x:v>改稿済み・専門家未承認</x:v>
      </x:c>
      <x:c r="E894" t="str">
        <x:v>Y</x:v>
      </x:c>
    </x:row>
    <x:row r="895">
      <x:c r="A895" t="str">
        <x:v>LO5-174</x:v>
      </x:c>
      <x:c r="B895" t="str">
        <x:v>LO5</x:v>
      </x:c>
      <x:c r="C895" t="str">
        <x:v>B</x:v>
      </x:c>
      <x:c r="D895" t="str">
        <x:v>改稿済み・専門家未承認</x:v>
      </x:c>
      <x:c r="E895" t="str">
        <x:v>Y</x:v>
      </x:c>
    </x:row>
    <x:row r="896">
      <x:c r="A896" t="str">
        <x:v>LO5-175</x:v>
      </x:c>
      <x:c r="B896" t="str">
        <x:v>LO5</x:v>
      </x:c>
      <x:c r="C896" t="str">
        <x:v>C</x:v>
      </x:c>
      <x:c r="D896" t="str">
        <x:v>改稿済み・専門家未承認</x:v>
      </x:c>
      <x:c r="E896" t="str">
        <x:v>N</x:v>
      </x:c>
    </x:row>
    <x:row r="897">
      <x:c r="A897" t="str">
        <x:v>LO5-176</x:v>
      </x:c>
      <x:c r="B897" t="str">
        <x:v>LO5</x:v>
      </x:c>
      <x:c r="C897" t="str">
        <x:v>D</x:v>
      </x:c>
      <x:c r="D897" t="str">
        <x:v>改稿済み・専門家未承認</x:v>
      </x:c>
      <x:c r="E897" t="str">
        <x:v>N</x:v>
      </x:c>
    </x:row>
    <x:row r="898">
      <x:c r="A898" t="str">
        <x:v>LO5-177</x:v>
      </x:c>
      <x:c r="B898" t="str">
        <x:v>LO5</x:v>
      </x:c>
      <x:c r="C898" t="str">
        <x:v>A</x:v>
      </x:c>
      <x:c r="D898" t="str">
        <x:v>改稿済み・専門家未承認</x:v>
      </x:c>
      <x:c r="E898" t="str">
        <x:v>N</x:v>
      </x:c>
    </x:row>
    <x:row r="899">
      <x:c r="A899" t="str">
        <x:v>LO5-178</x:v>
      </x:c>
      <x:c r="B899" t="str">
        <x:v>LO5</x:v>
      </x:c>
      <x:c r="C899" t="str">
        <x:v>B</x:v>
      </x:c>
      <x:c r="D899" t="str">
        <x:v>改稿済み・専門家未承認</x:v>
      </x:c>
      <x:c r="E899" t="str">
        <x:v>N</x:v>
      </x:c>
    </x:row>
    <x:row r="900">
      <x:c r="A900" t="str">
        <x:v>LO5-179</x:v>
      </x:c>
      <x:c r="B900" t="str">
        <x:v>LO5</x:v>
      </x:c>
      <x:c r="C900" t="str">
        <x:v>C</x:v>
      </x:c>
      <x:c r="D900" t="str">
        <x:v>改稿済み・専門家未承認</x:v>
      </x:c>
      <x:c r="E900" t="str">
        <x:v>N</x:v>
      </x:c>
    </x:row>
    <x:row r="901">
      <x:c r="A901" t="str">
        <x:v>LO5-180</x:v>
      </x:c>
      <x:c r="B901" t="str">
        <x:v>LO5</x:v>
      </x:c>
      <x:c r="C901" t="str">
        <x:v>D</x:v>
      </x:c>
      <x:c r="D901" t="str">
        <x:v>改稿済み・専門家未承認</x:v>
      </x:c>
      <x:c r="E901" t="str">
        <x:v>Y</x:v>
      </x:c>
    </x:row>
  </x:sheetData>
  <x:pageMargins left="0.7" right="0.7" top="0.75" bottom="0.75" header="0.3" footer="0.3"/>
</x:worksheet>
</file>