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a8acb275dd43c8" /></Relationships>
</file>

<file path=xl/workbook.xml><?xml version="1.0" encoding="utf-8"?>
<x:workbook xmlns:x="http://schemas.openxmlformats.org/spreadsheetml/2006/main">
  <x:sheets>
    <x:sheet xmlns:r="http://schemas.openxmlformats.org/officeDocument/2006/relationships" name="問題集" sheetId="1" r:id="Rff6f6f261d354116"/>
    <x:sheet xmlns:r="http://schemas.openxmlformats.org/officeDocument/2006/relationships" name="カバレッジ" sheetId="2" r:id="Rcd8d2a71e67e4b12"/>
    <x:sheet xmlns:r="http://schemas.openxmlformats.org/officeDocument/2006/relationships" name="レビュー対象" sheetId="3" r:id="Rcfcb2664adfb45bb"/>
    <x:sheet xmlns:r="http://schemas.openxmlformats.org/officeDocument/2006/relationships" name="タグ定義" sheetId="4" r:id="R354dd7b8a8924cac"/>
    <x:sheet xmlns:r="http://schemas.openxmlformats.org/officeDocument/2006/relationships" name="README" sheetId="5" r:id="R1b06da5f30324c2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6"/>
      <x:color rgb="FFFFFFFF"/>
      <x:name val="Carlito"/>
    </x:font>
    <x:font>
      <x:b/>
      <x:sz val="11"/>
      <x:color rgb="FF3D1B28"/>
      <x:name val="Carlito"/>
    </x:font>
    <x:font>
      <x:b/>
      <x:sz val="14"/>
      <x:color rgb="FF6B1534"/>
      <x:name val="Carlito"/>
    </x:font>
    <x:font>
      <x:i/>
      <x:sz val="11"/>
      <x:color rgb="FF5B4A00"/>
      <x:name val="Carlito"/>
    </x:font>
    <x:font>
      <x:sz val="11"/>
      <x:color rgb="FF000000"/>
      <x:name val="Carlito"/>
    </x:font>
    <x:font>
      <x:i/>
      <x:sz val="11"/>
      <x:color rgb="FF000000"/>
      <x:name val="Carlito"/>
    </x:font>
  </x:fonts>
  <x:fills count="11">
    <x:fill>
      <x:patternFill patternType="none"/>
    </x:fill>
    <x:fill>
      <x:patternFill patternType="gray125"/>
    </x:fill>
    <x:fill>
      <x:patternFill patternType="solid">
        <x:fgColor rgb="FF6B1534"/>
      </x:patternFill>
    </x:fill>
    <x:fill>
      <x:patternFill patternType="solid">
        <x:fgColor rgb="FFEAD9DF"/>
      </x:patternFill>
    </x:fill>
    <x:fill>
      <x:patternFill patternType="solid">
        <x:fgColor rgb="FFF7F2F4"/>
      </x:patternFill>
    </x:fill>
    <x:fill>
      <x:patternFill patternType="solid">
        <x:fgColor rgb="FFFFF2CC"/>
      </x:patternFill>
    </x:fill>
    <x:fill>
      <x:patternFill patternType="solid">
        <x:fgColor rgb="FFD9B46D"/>
      </x:patternFill>
    </x:fill>
    <x:fill>
      <x:patternFill patternType="solid">
        <x:fgColor rgb="FF6B1534"/>
      </x:patternFill>
    </x:fill>
    <x:fill>
      <x:patternFill patternType="solid">
        <x:fgColor rgb="FFFFF2CC"/>
      </x:patternFill>
    </x:fill>
    <x:fill>
      <x:patternFill patternType="solid">
        <x:fgColor rgb="FFD9B46D"/>
      </x:patternFill>
    </x:fill>
    <x:fill>
      <x:patternFill patternType="solid">
        <x:fgColor rgb="FFFFFFFF"/>
      </x:patternFill>
    </x:fill>
  </x:fills>
  <x:borders count="39">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0" fontId="4" fillId="4" borderId="18" xfId="0" applyNumberFormat="1" applyFont="1" applyFill="1" applyBorder="1" applyAlignment="1">
      <x:alignment horizontal="center"/>
    </x:xf>
    <x:xf numFmtId="0" fontId="4" fillId="4" borderId="19" xfId="0" applyNumberFormat="1" applyFont="1" applyFill="1" applyBorder="1" applyAlignment="1">
      <x:alignment horizontal="center"/>
    </x:xf>
    <x:xf numFmtId="0" fontId="4" fillId="4" borderId="20" xfId="0" applyNumberFormat="1" applyFont="1" applyFill="1" applyBorder="1" applyAlignment="1">
      <x:alignment horizontal="center"/>
    </x:xf>
    <x:xf numFmtId="0" fontId="4" fillId="4" borderId="18" xfId="0" applyNumberFormat="1" applyFont="1" applyFill="1" applyBorder="1" applyAlignment="1">
      <x:alignment horizontal="center" vertical="center"/>
    </x:xf>
    <x:xf numFmtId="0" fontId="4" fillId="4" borderId="19"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21" xfId="0" applyNumberFormat="1" applyFont="1" applyFill="1" applyBorder="1"/>
    <x:xf numFmtId="0" fontId="4" fillId="4" borderId="22" xfId="0" applyNumberFormat="1" applyFont="1" applyFill="1" applyBorder="1"/>
    <x:xf numFmtId="0" fontId="4" fillId="4" borderId="23" xfId="0" applyNumberFormat="1" applyFont="1" applyFill="1" applyBorder="1"/>
    <x:xf numFmtId="0" fontId="4" fillId="4" borderId="21" xfId="0" applyNumberFormat="1" applyFont="1" applyFill="1" applyBorder="1" applyAlignment="1">
      <x:alignment horizontal="center"/>
    </x:xf>
    <x:xf numFmtId="0" fontId="4" fillId="4" borderId="22" xfId="0" applyNumberFormat="1" applyFont="1" applyFill="1" applyBorder="1" applyAlignment="1">
      <x:alignment horizontal="center"/>
    </x:xf>
    <x:xf numFmtId="0" fontId="4" fillId="4" borderId="23" xfId="0" applyNumberFormat="1" applyFont="1" applyFill="1" applyBorder="1" applyAlignment="1">
      <x:alignment horizontal="center"/>
    </x:xf>
    <x:xf numFmtId="0" fontId="4" fillId="4" borderId="21"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4" fillId="4" borderId="23" xfId="0" applyNumberFormat="1" applyFont="1" applyFill="1" applyBorder="1" applyAlignment="1">
      <x:alignment horizontal="center" vertical="center"/>
    </x:xf>
    <x:xf numFmtId="0" fontId="0" fillId="0" borderId="2"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1" xfId="0" applyNumberFormat="1" applyFont="1" applyFill="1" applyBorder="1" applyAlignment="1">
      <x:alignment horizontal="left"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2" borderId="0" xfId="0" applyNumberFormat="1" applyFont="1" applyFill="1" applyBorder="1" applyAlignment="1">
      <x:alignment horizontal="left" vertical="top" wrapText="1"/>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2"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top" wrapText="1"/>
    </x:xf>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xfId="0" applyNumberFormat="1" applyFont="1" applyFill="1" applyBorder="0"/>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xfId="0" applyNumberFormat="1" applyFont="1" applyFill="1" applyBorder="0"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27" xfId="0" applyNumberFormat="1" applyFont="1" applyFill="1" applyBorder="1" applyAlignment="1">
      <x:alignment horizontal="center" vertical="top" wrapText="1"/>
    </x:xf>
    <x:xf numFmtId="0" fontId="0" fillId="0" xfId="0" applyNumberFormat="1" applyFont="1" applyFill="1" applyBorder="0" applyAlignment="1">
      <x:alignment horizontal="center" vertical="top" wrapText="1"/>
    </x:xf>
    <x:xf numFmtId="0" fontId="0" fillId="0" borderId="32"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0" borderId="34" xfId="0" applyNumberFormat="1" applyFont="1" applyFill="1" applyBorder="1"/>
    <x:xf numFmtId="0" fontId="0" fillId="0" borderId="35" xfId="0" applyNumberFormat="1" applyFont="1" applyFill="1" applyBorder="1"/>
    <x:xf numFmtId="0" fontId="1" fillId="2" borderId="29" xfId="0" applyNumberFormat="1" applyFont="1" applyFill="1" applyBorder="1" applyAlignment="1">
      <x:alignment horizontal="center" vertical="center" wrapText="1"/>
    </x:xf>
    <x:xf numFmtId="0" fontId="1" fillId="2" borderId="30" xfId="0" applyNumberFormat="1" applyFont="1" applyFill="1" applyBorder="1" applyAlignment="1">
      <x:alignment horizontal="center" vertical="center" wrapText="1"/>
    </x:xf>
    <x:xf numFmtId="0" fontId="0" fillId="0" borderId="36" xfId="0" applyNumberFormat="1" applyFont="1" applyFill="1" applyBorder="1"/>
    <x:xf numFmtId="0" fontId="0" fillId="0" borderId="37"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5" fillId="5" borderId="29" xfId="0" applyNumberFormat="1" applyFont="1" applyFill="1" applyBorder="1" applyAlignment="1">
      <x:alignment vertical="center" wrapText="1"/>
    </x:xf>
    <x:xf numFmtId="0" fontId="5" fillId="5" xfId="0" applyNumberFormat="1" applyFont="1" applyFill="1" applyBorder="0" applyAlignment="1">
      <x:alignment vertical="center" wrapText="1"/>
    </x:xf>
    <x:xf numFmtId="0" fontId="5" fillId="5" borderId="3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26" xfId="0" applyNumberFormat="1" applyFont="1" applyFill="1" applyBorder="1" applyAlignment="1">
      <x:alignment horizontal="center" vertical="center" wrapText="1"/>
    </x:xf>
    <x:xf numFmtId="0" fontId="1" fillId="7" borderId="27" xfId="0" applyNumberFormat="1" applyFont="1" applyFill="1" applyBorder="1" applyAlignment="1">
      <x:alignment horizontal="center" vertical="center" wrapText="1"/>
    </x:xf>
    <x:xf numFmtId="0" fontId="1" fillId="7" borderId="28" xfId="0" applyNumberFormat="1" applyFont="1" applyFill="1" applyBorder="1" applyAlignment="1">
      <x:alignment horizontal="center" vertical="center"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0" borderId="38" xfId="0" applyNumberFormat="1" applyFont="1" applyFill="1" applyBorder="1"/>
    <x:xf numFmtId="0" fontId="0" fillId="0" borderId="38"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10" borderId="26" xfId="0" applyNumberFormat="1" applyFont="1" applyFill="1" applyBorder="1"/>
    <x:xf numFmtId="0" fontId="0" fillId="10" borderId="28" xfId="0" applyNumberFormat="1" applyFont="1" applyFill="1" applyBorder="1"/>
    <x:xf numFmtId="0" fontId="0" fillId="10" borderId="29" xfId="0" applyNumberFormat="1" applyFont="1" applyFill="1" applyBorder="1"/>
    <x:xf numFmtId="0" fontId="0" fillId="10" borderId="30" xfId="0" applyNumberFormat="1" applyFont="1" applyFill="1" applyBorder="1"/>
    <x:xf numFmtId="0" fontId="0" fillId="10" borderId="34" xfId="0" applyNumberFormat="1" applyFont="1" applyFill="1" applyBorder="1"/>
    <x:xf numFmtId="0" fontId="0" fillId="10" borderId="35" xfId="0" applyNumberFormat="1" applyFont="1" applyFill="1" applyBorder="1"/>
    <x:xf numFmtId="0" fontId="1" fillId="10" borderId="29" xfId="0" applyNumberFormat="1" applyFont="1" applyFill="1" applyBorder="1" applyAlignment="1">
      <x:alignment horizontal="center" vertical="center" wrapText="1"/>
    </x:xf>
    <x:xf numFmtId="0" fontId="1" fillId="10" borderId="30" xfId="0" applyNumberFormat="1" applyFont="1" applyFill="1" applyBorder="1" applyAlignment="1">
      <x:alignment horizontal="center" vertical="center" wrapText="1"/>
    </x:xf>
    <x:xf numFmtId="0" fontId="0" fillId="10" borderId="36" xfId="0" applyNumberFormat="1" applyFont="1" applyFill="1" applyBorder="1"/>
    <x:xf numFmtId="0" fontId="0" fillId="10" borderId="37" xfId="0" applyNumberFormat="1" applyFont="1" applyFill="1" applyBorder="1"/>
    <x:xf numFmtId="0" fontId="6" fillId="10" borderId="26" xfId="0" applyNumberFormat="1" applyFont="1" applyFill="1" applyBorder="1"/>
    <x:xf numFmtId="0" fontId="6" fillId="10" borderId="28" xfId="0" applyNumberFormat="1" applyFont="1" applyFill="1" applyBorder="1"/>
    <x:xf numFmtId="0" fontId="6" fillId="10" borderId="29" xfId="0" applyNumberFormat="1" applyFont="1" applyFill="1" applyBorder="1"/>
    <x:xf numFmtId="0" fontId="6" fillId="10" borderId="30" xfId="0" applyNumberFormat="1" applyFont="1" applyFill="1" applyBorder="1"/>
    <x:xf numFmtId="0" fontId="6" fillId="10" borderId="34" xfId="0" applyNumberFormat="1" applyFont="1" applyFill="1" applyBorder="1"/>
    <x:xf numFmtId="0" fontId="6" fillId="10" borderId="35" xfId="0" applyNumberFormat="1" applyFont="1" applyFill="1" applyBorder="1"/>
    <x:xf numFmtId="0" fontId="6" fillId="10" borderId="29" xfId="0" applyNumberFormat="1" applyFont="1" applyFill="1" applyBorder="1" applyAlignment="1">
      <x:alignment horizontal="center" vertical="center" wrapText="1"/>
    </x:xf>
    <x:xf numFmtId="0" fontId="6" fillId="10" borderId="30" xfId="0" applyNumberFormat="1" applyFont="1" applyFill="1" applyBorder="1" applyAlignment="1">
      <x:alignment horizontal="center" vertical="center" wrapText="1"/>
    </x:xf>
    <x:xf numFmtId="0" fontId="6" fillId="10" borderId="36" xfId="0" applyNumberFormat="1" applyFont="1" applyFill="1" applyBorder="1"/>
    <x:xf numFmtId="0" fontId="6" fillId="10" borderId="37" xfId="0" applyNumberFormat="1" applyFont="1" applyFill="1" applyBorder="1"/>
    <x:xf numFmtId="0" fontId="6" fillId="10" borderId="26" xfId="0" applyNumberFormat="1" applyFont="1" applyFill="1" applyBorder="1" applyAlignment="1">
      <x:alignment vertical="center"/>
    </x:xf>
    <x:xf numFmtId="0" fontId="6" fillId="10" borderId="28" xfId="0" applyNumberFormat="1" applyFont="1" applyFill="1" applyBorder="1" applyAlignment="1">
      <x:alignment vertical="center"/>
    </x:xf>
    <x:xf numFmtId="0" fontId="6" fillId="10" borderId="29" xfId="0" applyNumberFormat="1" applyFont="1" applyFill="1" applyBorder="1" applyAlignment="1">
      <x:alignment vertical="center"/>
    </x:xf>
    <x:xf numFmtId="0" fontId="6" fillId="10" borderId="30" xfId="0" applyNumberFormat="1" applyFont="1" applyFill="1" applyBorder="1" applyAlignment="1">
      <x:alignment vertical="center"/>
    </x:xf>
    <x:xf numFmtId="0" fontId="6" fillId="10" borderId="34" xfId="0" applyNumberFormat="1" applyFont="1" applyFill="1" applyBorder="1" applyAlignment="1">
      <x:alignment vertical="center"/>
    </x:xf>
    <x:xf numFmtId="0" fontId="6" fillId="10" borderId="35" xfId="0" applyNumberFormat="1" applyFont="1" applyFill="1" applyBorder="1" applyAlignment="1">
      <x:alignment vertical="center"/>
    </x:xf>
    <x:xf numFmtId="0" fontId="6" fillId="10" borderId="36" xfId="0" applyNumberFormat="1" applyFont="1" applyFill="1" applyBorder="1" applyAlignment="1">
      <x:alignment vertical="center"/>
    </x:xf>
    <x:xf numFmtId="0" fontId="6" fillId="10" borderId="37" xfId="0" applyNumberFormat="1" applyFont="1" applyFill="1" applyBorder="1" applyAlignment="1">
      <x:alignment vertical="center"/>
    </x:xf>
    <x:xf numFmtId="0" fontId="0" fillId="10" borderId="31" xfId="0" applyNumberFormat="1" applyFont="1" applyFill="1" applyBorder="1"/>
    <x:xf numFmtId="0" fontId="0" fillId="10" borderId="33" xfId="0" applyNumberFormat="1" applyFont="1" applyFill="1" applyBorder="1"/>
    <x:xf numFmtId="0" fontId="6" fillId="10" borderId="31" xfId="0" applyNumberFormat="1" applyFont="1" applyFill="1" applyBorder="1"/>
    <x:xf numFmtId="0" fontId="6" fillId="10" borderId="33" xfId="0" applyNumberFormat="1" applyFont="1" applyFill="1" applyBorder="1"/>
    <x:xf numFmtId="0" fontId="6" fillId="10" borderId="31" xfId="0" applyNumberFormat="1" applyFont="1" applyFill="1" applyBorder="1" applyAlignment="1">
      <x:alignment vertical="center"/>
    </x:xf>
    <x:xf numFmtId="0" fontId="6" fillId="10" borderId="33" xfId="0" applyNumberFormat="1" applyFont="1" applyFill="1" applyBorder="1" applyAlignment="1">
      <x:alignment vertical="center"/>
    </x:xf>
    <x:xf numFmtId="0" fontId="6" fillId="10" borderId="26"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x:xf>
    <x:xf numFmtId="0" fontId="6" fillId="10" borderId="34"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wrapText="1"/>
    </x:xf>
    <x:xf numFmtId="0" fontId="6" fillId="10" borderId="36" xfId="0" applyNumberFormat="1" applyFont="1" applyFill="1" applyBorder="1" applyAlignment="1">
      <x:alignment horizontal="left" vertical="center"/>
    </x:xf>
    <x:xf numFmtId="0" fontId="6" fillId="10" borderId="31" xfId="0" applyNumberFormat="1" applyFont="1" applyFill="1" applyBorder="1" applyAlignment="1">
      <x:alignment horizontal="left" vertical="center"/>
    </x:xf>
    <x:xf numFmtId="0" fontId="6" fillId="10" borderId="28"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x:xf>
    <x:xf numFmtId="0" fontId="6" fillId="10" borderId="35"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wrapText="1"/>
    </x:xf>
    <x:xf numFmtId="0" fontId="6" fillId="10" borderId="37" xfId="0" applyNumberFormat="1" applyFont="1" applyFill="1" applyBorder="1" applyAlignment="1">
      <x:alignment horizontal="right" vertical="center"/>
    </x:xf>
    <x:xf numFmtId="0" fontId="6" fillId="10" borderId="33" xfId="0" applyNumberFormat="1" applyFont="1" applyFill="1" applyBorder="1" applyAlignment="1">
      <x:alignment horizontal="right" vertical="center"/>
    </x:xf>
    <x:xf numFmtId="0" fontId="5" fillId="10" borderId="0" xfId="0" applyNumberFormat="1" applyFont="1" applyFill="1" applyBorder="1" applyAlignment="1">
      <x:alignment vertical="center" wrapText="1"/>
    </x:xf>
    <x:xf numFmtId="0" fontId="5" fillId="10" borderId="29" xfId="0" applyNumberFormat="1" applyFont="1" applyFill="1" applyBorder="1" applyAlignment="1">
      <x:alignment vertical="center" wrapText="1"/>
    </x:xf>
    <x:xf numFmtId="0" fontId="5" fillId="10" xfId="0" applyNumberFormat="1" applyFont="1" applyFill="1" applyBorder="0" applyAlignment="1">
      <x:alignment vertical="center" wrapText="1"/>
    </x:xf>
    <x:xf numFmtId="0" fontId="5" fillId="10" borderId="30" xfId="0" applyNumberFormat="1" applyFont="1" applyFill="1" applyBorder="1" applyAlignment="1">
      <x:alignment vertical="center" wrapText="1"/>
    </x:xf>
    <x:xf numFmtId="0" fontId="0" fillId="10" borderId="27" xfId="0" applyNumberFormat="1" applyFont="1" applyFill="1" applyBorder="1"/>
    <x:xf numFmtId="0" fontId="0" fillId="10" xfId="0" applyNumberFormat="1" applyFont="1" applyFill="1" applyBorder="0"/>
    <x:xf numFmtId="0" fontId="0" fillId="10" borderId="32" xfId="0" applyNumberFormat="1" applyFont="1" applyFill="1" applyBorder="1"/>
    <x:xf numFmtId="0" fontId="6" fillId="10" borderId="27" xfId="0" applyNumberFormat="1" applyFont="1" applyFill="1" applyBorder="1"/>
    <x:xf numFmtId="0" fontId="6" fillId="10" xfId="0" applyNumberFormat="1" applyFont="1" applyFill="1" applyBorder="0"/>
    <x:xf numFmtId="0" fontId="7" fillId="10" borderId="29"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7" fillId="10" borderId="30" xfId="0" applyNumberFormat="1" applyFont="1" applyFill="1" applyBorder="1" applyAlignment="1">
      <x:alignment vertical="center" wrapText="1"/>
    </x:xf>
    <x:xf numFmtId="0" fontId="6" fillId="10" borderId="32" xfId="0" applyNumberFormat="1" applyFont="1" applyFill="1" applyBorder="1"/>
    <x:xf numFmtId="0" fontId="6" fillId="10" borderId="27"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32" xfId="0" applyNumberFormat="1" applyFont="1" applyFill="1" applyBorder="1" applyAlignment="1">
      <x:alignment vertical="center"/>
    </x:xf>
    <x:xf numFmtId="0" fontId="7" fillId="10" borderId="29" xfId="0" applyNumberFormat="1" applyFont="1" applyFill="1" applyBorder="1" applyAlignment="1">
      <x:alignment horizontal="left" vertical="center" wrapText="1"/>
    </x:xf>
    <x:xf numFmtId="0" fontId="6" fillId="10" borderId="27" xfId="0" applyNumberFormat="1" applyFont="1" applyFill="1" applyBorder="1" applyAlignment="1">
      <x:alignment horizontal="right" vertical="center"/>
    </x:xf>
    <x:xf numFmtId="0" fontId="6" fillId="10" xfId="0" applyNumberFormat="1" applyFont="1" applyFill="1" applyBorder="0" applyAlignment="1">
      <x:alignment horizontal="right" vertical="center"/>
    </x:xf>
    <x:xf numFmtId="0" fontId="7" fillId="10" xfId="0" applyNumberFormat="1" applyFont="1" applyFill="1" applyBorder="0" applyAlignment="1">
      <x:alignment horizontal="right" vertical="center" wrapText="1"/>
    </x:xf>
    <x:xf numFmtId="0" fontId="7" fillId="10" borderId="30" xfId="0" applyNumberFormat="1" applyFont="1" applyFill="1" applyBorder="1" applyAlignment="1">
      <x:alignment horizontal="right" vertical="center" wrapText="1"/>
    </x:xf>
    <x:xf numFmtId="0" fontId="6" fillId="10" borderId="32" xfId="0" applyNumberFormat="1" applyFont="1" applyFill="1" applyBorder="1" applyAlignment="1">
      <x:alignment horizontal="right" vertical="center"/>
    </x:xf>
    <x:xf numFmtId="0" fontId="0" fillId="10" borderId="0" xfId="0" applyNumberFormat="1" applyFont="1" applyFill="1" applyBorder="1"/>
    <x:xf numFmtId="0" fontId="1" fillId="10" borderId="0" xfId="0" applyNumberFormat="1" applyFont="1" applyFill="1" applyBorder="1" applyAlignment="1">
      <x:alignment horizontal="center" vertical="center" wrapText="1"/>
    </x:xf>
    <x:xf numFmtId="0" fontId="0" fillId="10" borderId="4" xfId="0" applyNumberFormat="1" applyFont="1" applyFill="1" applyBorder="1"/>
    <x:xf numFmtId="0" fontId="0" fillId="10" borderId="6" xfId="0" applyNumberFormat="1" applyFont="1" applyFill="1" applyBorder="1"/>
    <x:xf numFmtId="0" fontId="0" fillId="10" borderId="9"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vertical="center" wrapText="1"/>
    </x:xf>
    <x:xf numFmtId="0" fontId="6" fillId="10" borderId="4" xfId="0" applyNumberFormat="1" applyFont="1" applyFill="1" applyBorder="1"/>
    <x:xf numFmtId="0" fontId="6" fillId="10" borderId="6" xfId="0" applyNumberFormat="1" applyFont="1" applyFill="1" applyBorder="1"/>
    <x:xf numFmtId="0" fontId="6" fillId="10" borderId="9" xfId="0" applyNumberFormat="1" applyFont="1" applyFill="1" applyBorder="1"/>
  </x:cellXfs>
  <x:cellStyles count="1">
    <x:cellStyle name="Normal" xfId="0"/>
  </x:cellStyles>
  <x:dxfs count="16">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09109754144268" /><Relationship Type="http://schemas.openxmlformats.org/officeDocument/2006/relationships/theme" Target="/xl/theme/theme1.xml" Id="R686642f67b2c45da" /><Relationship Type="http://schemas.openxmlformats.org/officeDocument/2006/relationships/sharedStrings" Target="/xl/sharedStrings.xml" Id="Rfa478820d8b14bd0" /><Relationship Type="http://schemas.openxmlformats.org/officeDocument/2006/relationships/worksheet" Target="/xl/worksheets/sheet1.xml" Id="Rff6f6f261d354116" /><Relationship Type="http://schemas.openxmlformats.org/officeDocument/2006/relationships/worksheet" Target="/xl/worksheets/sheet2.xml" Id="Rcd8d2a71e67e4b12" /><Relationship Type="http://schemas.openxmlformats.org/officeDocument/2006/relationships/worksheet" Target="/xl/worksheets/sheet3.xml" Id="Rcfcb2664adfb45bb" /><Relationship Type="http://schemas.openxmlformats.org/officeDocument/2006/relationships/worksheet" Target="/xl/worksheets/sheet4.xml" Id="R354dd7b8a8924cac" /><Relationship Type="http://schemas.openxmlformats.org/officeDocument/2006/relationships/worksheet" Target="/xl/worksheets/sheet5.xml" Id="R1b06da5f30324c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3da9ab53fa4522" /><Relationship Type="http://schemas.openxmlformats.org/officeDocument/2006/relationships/chart" Target="/xl/drawings/charts/chart2.xml" Id="Rea7a4be628ff43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LO別問題数</a:t>
            </a:r>
          </a:p>
        </c:rich>
      </c:tx>
    </c:title>
    <c:autoTitleDeleted val="0"/>
    <c:plotArea>
      <c:barChart>
        <c:barDir val="col"/>
        <c:varyColors val="0"/>
        <c:ser>
          <c:idx val="0"/>
          <c:order val="0"/>
          <c:tx>
            <c:v>問題数</c:v>
          </c:tx>
          <c:cat>
            <c:strRef>
              <c:f>'カバレッジ'!$A$8:$A$12</c:f>
              <c:strCache>
                <c:ptCount val="0"/>
              </c:strCache>
            </c:strRef>
          </c:cat>
          <c:val>
            <c:numRef>
              <c:f>'カバレッジ'!$B$8:$B$12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難易度分布</a:t>
            </a:r>
          </a:p>
        </c:rich>
      </c:tx>
    </c:title>
    <c:autoTitleDeleted val="0"/>
    <c:plotArea>
      <c:barChart>
        <c:barDir val="col"/>
        <c:varyColors val="0"/>
        <c:ser>
          <c:idx val="0"/>
          <c:order val="0"/>
          <c:tx>
            <c:v>問題数</c:v>
          </c:tx>
          <c:cat>
            <c:strRef>
              <c:f>'カバレッジ'!$A$17:$A$19</c:f>
              <c:strCache>
                <c:ptCount val="0"/>
              </c:strCache>
            </c:strRef>
          </c:cat>
          <c:val>
            <c:numRef>
              <c:f>'カバレッジ'!$B$17:$B$19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6</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3da9ab53fa4522"/>
        </a:graphicData>
      </a:graphic>
    </xdr:graphicFrame>
    <xdr:clientData/>
  </xdr:twoCellAnchor>
  <xdr:twoCellAnchor>
    <xdr:from>
      <xdr:col>6</xdr:col>
      <xdr:colOff>0</xdr:colOff>
      <xdr:row>19</xdr:row>
      <xdr:rowOff>0</xdr:rowOff>
    </xdr:from>
    <xdr:to>
      <xdr:col>11</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7a4be628ff4315"/>
        </a:graphicData>
      </a:graphic>
    </xdr:graphicFrame>
    <xdr:clientData/>
  </xdr:twoCellAnchor>
</xdr:wsDr>
</file>

<file path=xl/tables/table1.xml><?xml version="1.0" encoding="utf-8"?>
<x:table xmlns:x="http://schemas.openxmlformats.org/spreadsheetml/2006/main" id="1" name="QuestionsTable" displayName="QuestionsTable" ref="A1:AG301" headerRowCount="1">
  <x:tableColumns count="33">
    <x:tableColumn id="1" name="問題ID"/>
    <x:tableColumn id="2" name="LO"/>
    <x:tableColumn id="3" name="LO名称"/>
    <x:tableColumn id="4" name="トピック"/>
    <x:tableColumn id="5" name="問題文"/>
    <x:tableColumn id="6" name="選択肢A"/>
    <x:tableColumn id="7" name="選択肢B"/>
    <x:tableColumn id="8" name="選択肢C"/>
    <x:tableColumn id="9" name="選択肢D"/>
    <x:tableColumn id="10" name="正答"/>
    <x:tableColumn id="11" name="正答本文"/>
    <x:tableColumn id="12" name="正答解説"/>
    <x:tableColumn id="13" name="A解説"/>
    <x:tableColumn id="14" name="B解説"/>
    <x:tableColumn id="15" name="C解説"/>
    <x:tableColumn id="16" name="D解説"/>
    <x:tableColumn id="17" name="知識領域"/>
    <x:tableColumn id="18" name="小分類"/>
    <x:tableColumn id="19" name="ワイン区分"/>
    <x:tableColumn id="20" name="国"/>
    <x:tableColumn id="21" name="産地"/>
    <x:tableColumn id="22" name="主要品種"/>
    <x:tableColumn id="23" name="思考スキル"/>
    <x:tableColumn id="24" name="難易度"/>
    <x:tableColumn id="25" name="誤概念タグ"/>
    <x:tableColumn id="26" name="要レビュー"/>
    <x:tableColumn id="27" name="レビュー理由"/>
    <x:tableColumn id="28" name="作成区分"/>
    <x:tableColumn id="29" name="作成根拠"/>
    <x:tableColumn id="30" name="レビュー状態"/>
    <x:tableColumn id="31" name="レビュアー"/>
    <x:tableColumn id="32" name="レビュー日"/>
    <x:tableColumn id="33" name="レビューコメント"/>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41e53c7cd447c5" /></Relationships>
</file>

<file path=xl/worksheets/_rels/sheet2.xml.rels>&#65279;<?xml version="1.0" encoding="utf-8"?><Relationships xmlns="http://schemas.openxmlformats.org/package/2006/relationships"><Relationship Type="http://schemas.openxmlformats.org/officeDocument/2006/relationships/drawing" Target="/xl/drawings/drawing1.xml" Id="R637a6419bc5e4b4f" /></Relationships>
</file>

<file path=xl/worksheets/sheet1.xml><?xml version="1.0" encoding="utf-8"?>
<x:worksheet xmlns:x="http://schemas.openxmlformats.org/spreadsheetml/2006/main">
  <x:sheetFormatPr defaultRowHeight="15"/>
  <x:cols>
    <x:col min="1" max="1" width="13" hidden="0" customWidth="1"/>
    <x:col min="2" max="2" width="7" hidden="0" customWidth="1"/>
    <x:col min="3" max="3" width="28" hidden="0" customWidth="1"/>
    <x:col min="4" max="4" width="25" hidden="0" customWidth="1"/>
    <x:col min="5" max="5" width="48" hidden="0" customWidth="1"/>
    <x:col min="6" max="6" width="38" hidden="0" customWidth="1"/>
    <x:col min="7" max="7" width="38" hidden="0" customWidth="1"/>
    <x:col min="8" max="8" width="38" hidden="0" customWidth="1"/>
    <x:col min="9" max="9" width="38" hidden="0" customWidth="1"/>
    <x:col min="10" max="10" width="7" hidden="0" customWidth="1"/>
    <x:col min="11" max="11" width="38" hidden="0" customWidth="1"/>
    <x:col min="12" max="12" width="48" hidden="0" customWidth="1"/>
    <x:col min="13" max="13" width="48" hidden="0" customWidth="1"/>
    <x:col min="14" max="14" width="48" hidden="0" customWidth="1"/>
    <x:col min="15" max="15" width="48" hidden="0" customWidth="1"/>
    <x:col min="16" max="16" width="48" hidden="0" customWidth="1"/>
    <x:col min="17" max="17" width="24" hidden="0" customWidth="1"/>
    <x:col min="18" max="18" width="25" hidden="0" customWidth="1"/>
    <x:col min="19" max="19" width="23" hidden="0" customWidth="1"/>
    <x:col min="20" max="20" width="18" hidden="0" customWidth="1"/>
    <x:col min="21" max="21" width="28" hidden="0" customWidth="1"/>
    <x:col min="22" max="22" width="28" hidden="0" customWidth="1"/>
    <x:col min="23" max="23" width="15" hidden="0" customWidth="1"/>
    <x:col min="24" max="24" width="10" hidden="0" customWidth="1"/>
    <x:col min="25" max="25" width="32" hidden="0" customWidth="1"/>
    <x:col min="26" max="26" width="11" hidden="0" customWidth="1"/>
    <x:col min="27" max="27" width="34" hidden="0" customWidth="1"/>
    <x:col min="28" max="28" width="14" hidden="0" customWidth="1"/>
    <x:col min="29" max="29" width="42" hidden="0" customWidth="1"/>
    <x:col min="30" max="30" width="14" hidden="0" customWidth="1"/>
    <x:col min="31" max="31" width="16" hidden="0" customWidth="1"/>
    <x:col min="32" max="32" width="14" hidden="0" customWidth="1"/>
    <x:col min="33" max="33" width="38" hidden="0" customWidth="1"/>
  </x:cols>
  <x:sheetData>
    <x:row r="1" ht="40" customHeight="1">
      <x:c r="A1" s="12" t="str">
        <x:v>問題ID</x:v>
      </x:c>
      <x:c r="B1" s="13" t="str">
        <x:v>LO</x:v>
      </x:c>
      <x:c r="C1" s="13" t="str">
        <x:v>LO名称</x:v>
      </x:c>
      <x:c r="D1" s="13" t="str">
        <x:v>トピック</x:v>
      </x:c>
      <x:c r="E1" s="13" t="str">
        <x:v>問題文</x:v>
      </x:c>
      <x:c r="F1" s="13" t="str">
        <x:v>選択肢A</x:v>
      </x:c>
      <x:c r="G1" s="13" t="str">
        <x:v>選択肢B</x:v>
      </x:c>
      <x:c r="H1" s="13" t="str">
        <x:v>選択肢C</x:v>
      </x:c>
      <x:c r="I1" s="13" t="str">
        <x:v>選択肢D</x:v>
      </x:c>
      <x:c r="J1" s="13" t="str">
        <x:v>正答</x:v>
      </x:c>
      <x:c r="K1" s="13" t="str">
        <x:v>正答本文</x:v>
      </x:c>
      <x:c r="L1" s="13" t="str">
        <x:v>正答解説</x:v>
      </x:c>
      <x:c r="M1" s="13" t="str">
        <x:v>A解説</x:v>
      </x:c>
      <x:c r="N1" s="13" t="str">
        <x:v>B解説</x:v>
      </x:c>
      <x:c r="O1" s="13" t="str">
        <x:v>C解説</x:v>
      </x:c>
      <x:c r="P1" s="13" t="str">
        <x:v>D解説</x:v>
      </x:c>
      <x:c r="Q1" s="13" t="str">
        <x:v>知識領域</x:v>
      </x:c>
      <x:c r="R1" s="13" t="str">
        <x:v>小分類</x:v>
      </x:c>
      <x:c r="S1" s="13" t="str">
        <x:v>ワイン区分</x:v>
      </x:c>
      <x:c r="T1" s="13" t="str">
        <x:v>国</x:v>
      </x:c>
      <x:c r="U1" s="13" t="str">
        <x:v>産地</x:v>
      </x:c>
      <x:c r="V1" s="13" t="str">
        <x:v>主要品種</x:v>
      </x:c>
      <x:c r="W1" s="13" t="str">
        <x:v>思考スキル</x:v>
      </x:c>
      <x:c r="X1" s="13" t="str">
        <x:v>難易度</x:v>
      </x:c>
      <x:c r="Y1" s="13" t="str">
        <x:v>誤概念タグ</x:v>
      </x:c>
      <x:c r="Z1" s="13" t="str">
        <x:v>要レビュー</x:v>
      </x:c>
      <x:c r="AA1" s="13" t="str">
        <x:v>レビュー理由</x:v>
      </x:c>
      <x:c r="AB1" s="13" t="str">
        <x:v>作成区分</x:v>
      </x:c>
      <x:c r="AC1" s="13" t="str">
        <x:v>作成根拠</x:v>
      </x:c>
      <x:c r="AD1" s="13" t="str">
        <x:v>レビュー状態</x:v>
      </x:c>
      <x:c r="AE1" s="13" t="str">
        <x:v>レビュアー</x:v>
      </x:c>
      <x:c r="AF1" s="13" t="str">
        <x:v>レビュー日</x:v>
      </x:c>
      <x:c r="AG1" s="14" t="str">
        <x:v>レビューコメント</x:v>
      </x:c>
    </x:row>
    <x:row r="2" ht="84" customHeight="1">
      <x:c r="A2" s="41" t="str">
        <x:v>LO1-001</x:v>
      </x:c>
      <x:c r="B2" s="53" t="str">
        <x:v>LO1</x:v>
      </x:c>
      <x:c r="C2" s="42" t="str">
        <x:v>ブドウ畑・ワイナリーの自然要因と人的要因</x:v>
      </x:c>
      <x:c r="D2" s="42" t="str">
        <x:v>気候と成熟</x:v>
      </x:c>
      <x:c r="E2" s="42" t="str">
        <x:v>冷涼な気候で栽培されたブドウに最も起こりやすい特徴はどれか。</x:v>
      </x:c>
      <x:c r="F2" s="42" t="str">
        <x:v>糖度の上昇が遅く、酸が保持されやすい</x:v>
      </x:c>
      <x:c r="G2" s="42" t="str">
        <x:v>糖度が急速に上がり、酸が急速に減少する</x:v>
      </x:c>
      <x:c r="H2" s="42" t="str">
        <x:v>果皮のタンニンが早期に成熟し、酸より先に減少する</x:v>
      </x:c>
      <x:c r="I2" s="42" t="str">
        <x:v>ブドウの収量が気温だけで低くなり、他の栽培判断の影響を受けない</x:v>
      </x:c>
      <x:c r="J2" s="53" t="str">
        <x:v>A</x:v>
      </x:c>
      <x:c r="K2" s="42" t="str">
        <x:v>糖度の上昇が遅く、酸が保持されやすい</x:v>
      </x:c>
      <x:c r="L2" s="42" t="str">
        <x:v>気温が低いと成熟が緩やかに進み、呼吸による酸の減少も遅くなるため、収穫時に酸が高く残りやすい。</x:v>
      </x:c>
      <x:c r="M2" s="42" t="str">
        <x:v>正しい。 気温が低いと成熟が緩やかに進み、呼吸による酸の減少も遅くなるため、収穫時に酸が高く残りやすい。</x:v>
      </x:c>
      <x:c r="N2" s="42" t="str">
        <x:v>誤り。 これは一般に温暖または高温な条件で起こりやすく、冷涼な気候の典型ではない。</x:v>
      </x:c>
      <x:c r="O2" s="42" t="str">
        <x:v>誤り。 冷涼な条件ではフェノール類の成熟が遅れることがあり、タンニンが早期に成熟して減少するという説明は適切でない。</x:v>
      </x:c>
      <x:c r="P2" s="42" t="str">
        <x:v>誤り。 収量は剪定、結実、病害、土壌、水分などにも左右され、気温だけで決まらない。</x:v>
      </x:c>
      <x:c r="Q2" s="42" t="str">
        <x:v>自然要因</x:v>
      </x:c>
      <x:c r="R2" s="42" t="str">
        <x:v>気候</x:v>
      </x:c>
      <x:c r="S2" s="42" t="str">
        <x:v>非発泡性ワイン</x:v>
      </x:c>
      <x:c r="T2" s="42" t="str"/>
      <x:c r="U2" s="42" t="str"/>
      <x:c r="V2" s="42" t="str"/>
      <x:c r="W2" s="42" t="str">
        <x:v>因果説明</x:v>
      </x:c>
      <x:c r="X2" s="53" t="str">
        <x:v>D1</x:v>
      </x:c>
      <x:c r="Y2" s="42" t="str">
        <x:v>冷涼気候で糖度上昇が速い; 冷涼気候なら必ず低収量</x:v>
      </x:c>
      <x:c r="Z2" s="53" t="str">
        <x:v>N</x:v>
      </x:c>
      <x:c r="AA2" s="42" t="str"/>
      <x:c r="AB2" s="42" t="str">
        <x:v>オリジナル</x:v>
      </x:c>
      <x:c r="AC2" s="42" t="str">
        <x:v>公式Specificationの範囲＋ユーザー作成コーパスの論点を参考に独自作成</x:v>
      </x:c>
      <x:c r="AD2" s="53" t="str">
        <x:v>未レビュー</x:v>
      </x:c>
      <x:c r="AE2" s="53" t="str"/>
      <x:c r="AF2" s="53" t="str"/>
      <x:c r="AG2" s="43" t="str"/>
    </x:row>
    <x:row r="3" ht="84" customHeight="1">
      <x:c r="A3" s="41" t="str">
        <x:v>LO1-002</x:v>
      </x:c>
      <x:c r="B3" s="53" t="str">
        <x:v>LO1</x:v>
      </x:c>
      <x:c r="C3" s="42" t="str">
        <x:v>ブドウ畑・ワイナリーの自然要因と人的要因</x:v>
      </x:c>
      <x:c r="D3" s="42" t="str">
        <x:v>標高</x:v>
      </x:c>
      <x:c r="E3" s="42" t="str">
        <x:v>一般に、標高の高い畑が温暖な地域で酸の保持に役立つ主な理由はどれか。</x:v>
      </x:c>
      <x:c r="F3" s="42" t="str">
        <x:v>標高の上昇に伴って降水量が増えるため、酸が希釈されにくい</x:v>
      </x:c>
      <x:c r="G3" s="42" t="str">
        <x:v>標高の上昇に伴って気温が低下し、特に夜間の冷却が強まる</x:v>
      </x:c>
      <x:c r="H3" s="42" t="str">
        <x:v>標高が高いほど紫外線が弱くなる</x:v>
      </x:c>
      <x:c r="I3" s="42" t="str">
        <x:v>標高の上昇に伴って日照時間が短くなり、糖の蓄積が抑えられる</x:v>
      </x:c>
      <x:c r="J3" s="53" t="str">
        <x:v>B</x:v>
      </x:c>
      <x:c r="K3" s="42" t="str">
        <x:v>標高の上昇に伴って気温が低下し、特に夜間の冷却が強まる</x:v>
      </x:c>
      <x:c r="L3" s="42" t="str">
        <x:v>低い気温は成熟を遅らせ、呼吸による酸の減少を抑えるため、酸が保持されやすい。</x:v>
      </x:c>
      <x:c r="M3" s="42" t="str">
        <x:v>誤り。 降水量は地形や気象条件に左右され、酸の保持を最も直接的に説明するのは気温低下である。</x:v>
      </x:c>
      <x:c r="N3" s="42" t="str">
        <x:v>正しい。 低い気温は成熟を遅らせ、呼吸による酸の減少を抑えるため、酸が保持されやすい。</x:v>
      </x:c>
      <x:c r="O3" s="42" t="str">
        <x:v>誤り。 一般に紫外線は標高とともに強くなるため、説明が逆である。</x:v>
      </x:c>
      <x:c r="P3" s="42" t="str">
        <x:v>誤り。 日照時間は雲量、方角、地形などに左右され、標高と単純に反比例しない。</x:v>
      </x:c>
      <x:c r="Q3" s="42" t="str">
        <x:v>自然要因</x:v>
      </x:c>
      <x:c r="R3" s="42" t="str">
        <x:v>標高・日較差</x:v>
      </x:c>
      <x:c r="S3" s="42" t="str">
        <x:v>非発泡性ワイン</x:v>
      </x:c>
      <x:c r="T3" s="42" t="str"/>
      <x:c r="U3" s="42" t="str"/>
      <x:c r="V3" s="42" t="str"/>
      <x:c r="W3" s="42" t="str">
        <x:v>因果説明</x:v>
      </x:c>
      <x:c r="X3" s="53" t="str">
        <x:v>D2</x:v>
      </x:c>
      <x:c r="Y3" s="42" t="str">
        <x:v>標高=多雨; 標高=紫外線低下</x:v>
      </x:c>
      <x:c r="Z3" s="53" t="str">
        <x:v>N</x:v>
      </x:c>
      <x:c r="AA3" s="42" t="str"/>
      <x:c r="AB3" s="42" t="str">
        <x:v>オリジナル</x:v>
      </x:c>
      <x:c r="AC3" s="42" t="str">
        <x:v>公式Specificationの範囲＋ユーザー作成コーパスの論点を参考に独自作成</x:v>
      </x:c>
      <x:c r="AD3" s="53" t="str">
        <x:v>未レビュー</x:v>
      </x:c>
      <x:c r="AE3" s="53" t="str"/>
      <x:c r="AF3" s="53" t="str"/>
      <x:c r="AG3" s="43" t="str"/>
    </x:row>
    <x:row r="4" ht="84" customHeight="1">
      <x:c r="A4" s="41" t="str">
        <x:v>LO1-003</x:v>
      </x:c>
      <x:c r="B4" s="53" t="str">
        <x:v>LO1</x:v>
      </x:c>
      <x:c r="C4" s="42" t="str">
        <x:v>ブドウ畑・ワイナリーの自然要因と人的要因</x:v>
      </x:c>
      <x:c r="D4" s="42" t="str">
        <x:v>方角</x:v>
      </x:c>
      <x:c r="E4" s="42" t="str">
        <x:v>北半球の冷涼な地域で、南向き斜面がブドウの成熟を助ける最も直接的な理由はどれか。</x:v>
      </x:c>
      <x:c r="F4" s="42" t="str">
        <x:v>斜面が卓越風を遮り、畑の湿度を一定に保つため</x:v>
      </x:c>
      <x:c r="G4" s="42" t="str">
        <x:v>土壌中の栄養分が自動的に増えるため</x:v>
      </x:c>
      <x:c r="H4" s="42" t="str">
        <x:v>受ける日射量が多くなり、畑がより暖まりやすいため</x:v>
      </x:c>
      <x:c r="I4" s="42" t="str">
        <x:v>夜間の湿度が低くなり、酸の呼吸が止まるため</x:v>
      </x:c>
      <x:c r="J4" s="53" t="str">
        <x:v>C</x:v>
      </x:c>
      <x:c r="K4" s="42" t="str">
        <x:v>受ける日射量が多くなり、畑がより暖まりやすいため</x:v>
      </x:c>
      <x:c r="L4" s="42" t="str">
        <x:v>南向き斜面は北半球でより多くの日射を受けやすく、光合成と成熟を促進する。</x:v>
      </x:c>
      <x:c r="M4" s="42" t="str">
        <x:v>誤り。 斜面の方角だけで卓越風を遮るとは限らず、主な効果は受ける日射量の違いである。</x:v>
      </x:c>
      <x:c r="N4" s="42" t="str">
        <x:v>誤り。 方角は日射量に影響するが、土壌の栄養分を自動的に増やすものではない。</x:v>
      </x:c>
      <x:c r="O4" s="42" t="str">
        <x:v>正しい。 南向き斜面は北半球でより多くの日射を受けやすく、光合成と成熟を促進する。</x:v>
      </x:c>
      <x:c r="P4" s="42" t="str">
        <x:v>誤り。 湿度は風、降雨、水塊、気温などに左右され、酸の保持を直接説明するのは主に温度である。</x:v>
      </x:c>
      <x:c r="Q4" s="42" t="str">
        <x:v>自然要因</x:v>
      </x:c>
      <x:c r="R4" s="42" t="str">
        <x:v>方角・日照</x:v>
      </x:c>
      <x:c r="S4" s="42" t="str">
        <x:v>非発泡性ワイン</x:v>
      </x:c>
      <x:c r="T4" s="42" t="str"/>
      <x:c r="U4" s="42" t="str"/>
      <x:c r="V4" s="42" t="str"/>
      <x:c r="W4" s="42" t="str">
        <x:v>因果説明</x:v>
      </x:c>
      <x:c r="X4" s="53" t="str">
        <x:v>D1</x:v>
      </x:c>
      <x:c r="Y4" s="42" t="str">
        <x:v>方角=土壌肥沃度; 方角=完全な防風</x:v>
      </x:c>
      <x:c r="Z4" s="53" t="str">
        <x:v>N</x:v>
      </x:c>
      <x:c r="AA4" s="42" t="str"/>
      <x:c r="AB4" s="42" t="str">
        <x:v>オリジナル</x:v>
      </x:c>
      <x:c r="AC4" s="42" t="str">
        <x:v>公式Specificationの範囲＋ユーザー作成コーパスの論点を参考に独自作成</x:v>
      </x:c>
      <x:c r="AD4" s="53" t="str">
        <x:v>未レビュー</x:v>
      </x:c>
      <x:c r="AE4" s="53" t="str"/>
      <x:c r="AF4" s="53" t="str"/>
      <x:c r="AG4" s="43" t="str"/>
    </x:row>
    <x:row r="5" ht="84" customHeight="1">
      <x:c r="A5" s="41" t="str">
        <x:v>LO1-004</x:v>
      </x:c>
      <x:c r="B5" s="53" t="str">
        <x:v>LO1</x:v>
      </x:c>
      <x:c r="C5" s="42" t="str">
        <x:v>ブドウ畑・ワイナリーの自然要因と人的要因</x:v>
      </x:c>
      <x:c r="D5" s="42" t="str">
        <x:v>日較差</x:v>
      </x:c>
      <x:c r="E5" s="42" t="str">
        <x:v>大きな日較差がブドウの品質に有利となる場合、その効果を最も適切に説明しているものはどれか。</x:v>
      </x:c>
      <x:c r="F5" s="42" t="str">
        <x:v>暖かい夜が酸の保持を促し、涼しい昼が糖の蓄積を促す</x:v>
      </x:c>
      <x:c r="G5" s="42" t="str">
        <x:v>昼夜とも高温になるため、成熟が均一に停止する</x:v>
      </x:c>
      <x:c r="H5" s="42" t="str">
        <x:v>夜間だけ光合成が活発になり、糖分が増加する</x:v>
      </x:c>
      <x:c r="I5" s="42" t="str">
        <x:v>暖かい昼が成熟を進め、涼しい夜が酸と香りの保持に役立つ</x:v>
      </x:c>
      <x:c r="J5" s="53" t="str">
        <x:v>D</x:v>
      </x:c>
      <x:c r="K5" s="42" t="str">
        <x:v>暖かい昼が成熟を進め、涼しい夜が酸と香りの保持に役立つ</x:v>
      </x:c>
      <x:c r="L5" s="42" t="str">
        <x:v>昼の暖かさは糖と風味の成熟を支え、夜の低温は呼吸を遅らせて酸や香りを保持しやすくする。</x:v>
      </x:c>
      <x:c r="M5" s="42" t="str">
        <x:v>誤り。 昼夜の効果が逆である。一般には暖かい昼が成熟を促し、涼しい夜が酸の保持に役立つ。</x:v>
      </x:c>
      <x:c r="N5" s="42" t="str">
        <x:v>誤り。 大きな日較差とは昼夜の気温差が大きいことであり、昼夜とも高温という意味ではない。</x:v>
      </x:c>
      <x:c r="O5" s="42" t="str">
        <x:v>誤り。 光合成には日光が必要であり、夜間だけ活発になるわけではない。</x:v>
      </x:c>
      <x:c r="P5" s="42" t="str">
        <x:v>正しい。 昼の暖かさは糖と風味の成熟を支え、夜の低温は呼吸を遅らせて酸や香りを保持しやすくする。</x:v>
      </x:c>
      <x:c r="Q5" s="42" t="str">
        <x:v>自然要因</x:v>
      </x:c>
      <x:c r="R5" s="42" t="str">
        <x:v>日較差</x:v>
      </x:c>
      <x:c r="S5" s="42" t="str">
        <x:v>非発泡性ワイン</x:v>
      </x:c>
      <x:c r="T5" s="42" t="str"/>
      <x:c r="U5" s="42" t="str"/>
      <x:c r="V5" s="42" t="str"/>
      <x:c r="W5" s="42" t="str">
        <x:v>因果説明</x:v>
      </x:c>
      <x:c r="X5" s="53" t="str">
        <x:v>D2</x:v>
      </x:c>
      <x:c r="Y5" s="42" t="str">
        <x:v>夜間光合成; 日較差=常時高温</x:v>
      </x:c>
      <x:c r="Z5" s="53" t="str">
        <x:v>N</x:v>
      </x:c>
      <x:c r="AA5" s="42" t="str"/>
      <x:c r="AB5" s="42" t="str">
        <x:v>オリジナル</x:v>
      </x:c>
      <x:c r="AC5" s="42" t="str">
        <x:v>公式Specificationの範囲＋ユーザー作成コーパスの論点を参考に独自作成</x:v>
      </x:c>
      <x:c r="AD5" s="53" t="str">
        <x:v>未レビュー</x:v>
      </x:c>
      <x:c r="AE5" s="53" t="str"/>
      <x:c r="AF5" s="53" t="str"/>
      <x:c r="AG5" s="43" t="str"/>
    </x:row>
    <x:row r="6" ht="84" customHeight="1">
      <x:c r="A6" s="41" t="str">
        <x:v>LO1-005</x:v>
      </x:c>
      <x:c r="B6" s="53" t="str">
        <x:v>LO1</x:v>
      </x:c>
      <x:c r="C6" s="42" t="str">
        <x:v>ブドウ畑・ワイナリーの自然要因と人的要因</x:v>
      </x:c>
      <x:c r="D6" s="42" t="str">
        <x:v>水分供給</x:v>
      </x:c>
      <x:c r="E6" s="42" t="str">
        <x:v>ブドウ樹に軽度の水不足によるストレスが生じた場合に期待される影響として、最も適切なものはどれか。</x:v>
      </x:c>
      <x:c r="F6" s="42" t="str">
        <x:v>新梢の成長が抑えられ、果実の成熟へ資源が向かいやすくなる</x:v>
      </x:c>
      <x:c r="G6" s="42" t="str">
        <x:v>光合成が大きく低下し、糖と風味の成熟が止まる</x:v>
      </x:c>
      <x:c r="H6" s="42" t="str">
        <x:v>果粒が大きくなり、果汁が希釈される</x:v>
      </x:c>
      <x:c r="I6" s="42" t="str">
        <x:v>葉が密になり、果房周辺の湿度が上昇する</x:v>
      </x:c>
      <x:c r="J6" s="53" t="str">
        <x:v>A</x:v>
      </x:c>
      <x:c r="K6" s="42" t="str">
        <x:v>新梢の成長が抑えられ、果実の成熟へ資源が向かいやすくなる</x:v>
      </x:c>
      <x:c r="L6" s="42" t="str">
        <x:v>適度な水不足は過剰な栄養成長を抑え、果実とキャノピーのバランス改善に役立つ場合がある。</x:v>
      </x:c>
      <x:c r="M6" s="42" t="str">
        <x:v>正しい。 適度な水不足は過剰な栄養成長を抑え、果実とキャノピーのバランス改善に役立つ場合がある。</x:v>
      </x:c>
      <x:c r="N6" s="42" t="str">
        <x:v>誤り。 これは重度の水不足で起こり得るが、軽度のストレスの典型的な効果ではない。</x:v>
      </x:c>
      <x:c r="O6" s="42" t="str">
        <x:v>誤り。 十分すぎる水分供給で起こりやすい影響であり、軽度の水不足では果粒が小さくなりやすい。</x:v>
      </x:c>
      <x:c r="P6" s="42" t="str">
        <x:v>誤り。 軽度の水不足はむしろ新梢成長を抑えることがあり、葉が密になるという説明は逆である。</x:v>
      </x:c>
      <x:c r="Q6" s="42" t="str">
        <x:v>自然要因</x:v>
      </x:c>
      <x:c r="R6" s="42" t="str">
        <x:v>水分・水不足ストレス</x:v>
      </x:c>
      <x:c r="S6" s="42" t="str">
        <x:v>非発泡性ワイン</x:v>
      </x:c>
      <x:c r="T6" s="42" t="str"/>
      <x:c r="U6" s="42" t="str"/>
      <x:c r="V6" s="42" t="str"/>
      <x:c r="W6" s="42" t="str">
        <x:v>適用</x:v>
      </x:c>
      <x:c r="X6" s="53" t="str">
        <x:v>D2</x:v>
      </x:c>
      <x:c r="Y6" s="42" t="str">
        <x:v>軽度水不足=光合成完全停止; 水不足=果粒肥大</x:v>
      </x:c>
      <x:c r="Z6" s="53" t="str">
        <x:v>N</x:v>
      </x:c>
      <x:c r="AA6" s="42" t="str"/>
      <x:c r="AB6" s="42" t="str">
        <x:v>オリジナル</x:v>
      </x:c>
      <x:c r="AC6" s="42" t="str">
        <x:v>公式Specificationの範囲＋ユーザー作成コーパスの論点を参考に独自作成</x:v>
      </x:c>
      <x:c r="AD6" s="53" t="str">
        <x:v>未レビュー</x:v>
      </x:c>
      <x:c r="AE6" s="53" t="str"/>
      <x:c r="AF6" s="53" t="str"/>
      <x:c r="AG6" s="43" t="str"/>
    </x:row>
    <x:row r="7" ht="84" customHeight="1">
      <x:c r="A7" s="41" t="str">
        <x:v>LO1-006</x:v>
      </x:c>
      <x:c r="B7" s="53" t="str">
        <x:v>LO1</x:v>
      </x:c>
      <x:c r="C7" s="42" t="str">
        <x:v>ブドウ畑・ワイナリーの自然要因と人的要因</x:v>
      </x:c>
      <x:c r="D7" s="42" t="str">
        <x:v>春霜対策</x:v>
      </x:c>
      <x:c r="E7" s="42" t="str">
        <x:v>萌芽後の春霜から芽を守るため、スプリンクラーを使用する場合の原理はどれか。</x:v>
      </x:c>
      <x:c r="F7" s="42" t="str">
        <x:v>散水で芽の糖度を高め、凍結温度を下げる</x:v>
      </x:c>
      <x:c r="G7" s="42" t="str">
        <x:v>水が凍る際に放出する潜熱によって、芽の温度をおおむね0℃付近に保つ</x:v>
      </x:c>
      <x:c r="H7" s="42" t="str">
        <x:v>散水した水が放射冷却を遮る膜となり、芽を外気から断熱する</x:v>
      </x:c>
      <x:c r="I7" s="42" t="str">
        <x:v>散水により風速を上げ、冷気を畑の外へ押し出す</x:v>
      </x:c>
      <x:c r="J7" s="53" t="str">
        <x:v>B</x:v>
      </x:c>
      <x:c r="K7" s="42" t="str">
        <x:v>水が凍る際に放出する潜熱によって、芽の温度をおおむね0℃付近に保つ</x:v>
      </x:c>
      <x:c r="L7" s="42" t="str">
        <x:v>散水を継続して氷が形成される間、放出される熱が芽の温度低下を抑える。</x:v>
      </x:c>
      <x:c r="M7" s="42" t="str">
        <x:v>誤り。 散水は芽の糖度を直接高めるために行うものではない。</x:v>
      </x:c>
      <x:c r="N7" s="42" t="str">
        <x:v>正しい。 散水を継続して氷が形成される間、放出される熱が芽の温度低下を抑える。</x:v>
      </x:c>
      <x:c r="O7" s="42" t="str">
        <x:v>誤り。 保護の主な原理は水が凍る際の潜熱であり、単なる断熱膜ではない。</x:v>
      </x:c>
      <x:c r="P7" s="42" t="str">
        <x:v>誤り。 風速を上げるのは送風機の役割であり、スプリンクラーの主要原理ではない。</x:v>
      </x:c>
      <x:c r="Q7" s="42" t="str">
        <x:v>人的要因（畑）</x:v>
      </x:c>
      <x:c r="R7" s="42" t="str">
        <x:v>霜害管理</x:v>
      </x:c>
      <x:c r="S7" s="42" t="str">
        <x:v>非発泡性ワイン</x:v>
      </x:c>
      <x:c r="T7" s="42" t="str"/>
      <x:c r="U7" s="42" t="str"/>
      <x:c r="V7" s="42" t="str"/>
      <x:c r="W7" s="42" t="str">
        <x:v>因果説明</x:v>
      </x:c>
      <x:c r="X7" s="53" t="str">
        <x:v>D3</x:v>
      </x:c>
      <x:c r="Y7" s="42" t="str">
        <x:v>散水=糖度上昇; 散水=送風</x:v>
      </x:c>
      <x:c r="Z7" s="53" t="str">
        <x:v>N</x:v>
      </x:c>
      <x:c r="AA7" s="42" t="str"/>
      <x:c r="AB7" s="42" t="str">
        <x:v>オリジナル</x:v>
      </x:c>
      <x:c r="AC7" s="42" t="str">
        <x:v>公式Specificationの範囲＋ユーザー作成コーパスの論点を参考に独自作成</x:v>
      </x:c>
      <x:c r="AD7" s="53" t="str">
        <x:v>未レビュー</x:v>
      </x:c>
      <x:c r="AE7" s="53" t="str"/>
      <x:c r="AF7" s="53" t="str"/>
      <x:c r="AG7" s="43" t="str"/>
    </x:row>
    <x:row r="8" ht="84" customHeight="1">
      <x:c r="A8" s="41" t="str">
        <x:v>LO1-007</x:v>
      </x:c>
      <x:c r="B8" s="53" t="str">
        <x:v>LO1</x:v>
      </x:c>
      <x:c r="C8" s="42" t="str">
        <x:v>ブドウ畑・ワイナリーの自然要因と人的要因</x:v>
      </x:c>
      <x:c r="D8" s="42" t="str">
        <x:v>キャノピー・マネジメント</x:v>
      </x:c>
      <x:c r="E8" s="42" t="str">
        <x:v>湿度の高い畑でキャノピーを開くことが菌類病のリスク低下につながる主な理由はどれか。</x:v>
      </x:c>
      <x:c r="F8" s="42" t="str">
        <x:v>果房の糖度を直接下げるため</x:v>
      </x:c>
      <x:c r="G8" s="42" t="str">
        <x:v>土壌のpHを下げるため</x:v>
      </x:c>
      <x:c r="H8" s="42" t="str">
        <x:v>通風と日照が改善し、葉や果房が乾きやすくなるため</x:v>
      </x:c>
      <x:c r="I8" s="42" t="str">
        <x:v>フィロキセラが地上部へ移動するため</x:v>
      </x:c>
      <x:c r="J8" s="53" t="str">
        <x:v>C</x:v>
      </x:c>
      <x:c r="K8" s="42" t="str">
        <x:v>通風と日照が改善し、葉や果房が乾きやすくなるため</x:v>
      </x:c>
      <x:c r="L8" s="42" t="str">
        <x:v>湿った状態が続く時間を短くし、菌類病が発生しやすい環境を抑える。</x:v>
      </x:c>
      <x:c r="M8" s="42" t="str">
        <x:v>誤り。 キャノピーを開く主目的は微気候の改善であり、糖度を直接下げることではない。</x:v>
      </x:c>
      <x:c r="N8" s="42" t="str">
        <x:v>誤り。 キャノピー管理は土壌pHを直接変化させない。</x:v>
      </x:c>
      <x:c r="O8" s="42" t="str">
        <x:v>正しい。 湿った状態が続く時間を短くし、菌類病が発生しやすい環境を抑える。</x:v>
      </x:c>
      <x:c r="P8" s="42" t="str">
        <x:v>誤り。 フィロキセラ対策の中心は抵抗性台木であり、キャノピーを開くこととは関係がない。</x:v>
      </x:c>
      <x:c r="Q8" s="42" t="str">
        <x:v>人的要因（畑）</x:v>
      </x:c>
      <x:c r="R8" s="42" t="str">
        <x:v>キャノピー・マネジメント</x:v>
      </x:c>
      <x:c r="S8" s="42" t="str">
        <x:v>非発泡性ワイン</x:v>
      </x:c>
      <x:c r="T8" s="42" t="str"/>
      <x:c r="U8" s="42" t="str"/>
      <x:c r="V8" s="42" t="str"/>
      <x:c r="W8" s="42" t="str">
        <x:v>因果説明</x:v>
      </x:c>
      <x:c r="X8" s="53" t="str">
        <x:v>D2</x:v>
      </x:c>
      <x:c r="Y8" s="42" t="str">
        <x:v>キャノピー=土壌pH; キャノピー=フィロキセラ対策</x:v>
      </x:c>
      <x:c r="Z8" s="53" t="str">
        <x:v>N</x:v>
      </x:c>
      <x:c r="AA8" s="42" t="str"/>
      <x:c r="AB8" s="42" t="str">
        <x:v>オリジナル</x:v>
      </x:c>
      <x:c r="AC8" s="42" t="str">
        <x:v>公式Specificationの範囲＋ユーザー作成コーパスの論点を参考に独自作成</x:v>
      </x:c>
      <x:c r="AD8" s="53" t="str">
        <x:v>未レビュー</x:v>
      </x:c>
      <x:c r="AE8" s="53" t="str"/>
      <x:c r="AF8" s="53" t="str"/>
      <x:c r="AG8" s="43" t="str"/>
    </x:row>
    <x:row r="9" ht="84" customHeight="1">
      <x:c r="A9" s="41" t="str">
        <x:v>LO1-008</x:v>
      </x:c>
      <x:c r="B9" s="53" t="str">
        <x:v>LO1</x:v>
      </x:c>
      <x:c r="C9" s="42" t="str">
        <x:v>ブドウ畑・ワイナリーの自然要因と人的要因</x:v>
      </x:c>
      <x:c r="D9" s="42" t="str">
        <x:v>収穫方法</x:v>
      </x:c>
      <x:c r="E9" s="42" t="str">
        <x:v>手摘みが機械収穫より特に有利となる状況はどれか。</x:v>
      </x:c>
      <x:c r="F9" s="42" t="str">
        <x:v>広く平坦な畑で、短時間に大量のブドウを低コストで収穫したい場合</x:v>
      </x:c>
      <x:c r="G9" s="42" t="str">
        <x:v>夜間に収穫し、冷たい果実をすぐワイナリーへ運びたい場合</x:v>
      </x:c>
      <x:c r="H9" s="42" t="str">
        <x:v>広い畑で成熟度が均一な果実を一度に収穫する場合</x:v>
      </x:c>
      <x:c r="I9" s="42" t="str">
        <x:v>貴腐化した粒だけを複数回に分けて選別収穫する場合</x:v>
      </x:c>
      <x:c r="J9" s="53" t="str">
        <x:v>D</x:v>
      </x:c>
      <x:c r="K9" s="42" t="str">
        <x:v>貴腐化した粒だけを複数回に分けて選別収穫する場合</x:v>
      </x:c>
      <x:c r="L9" s="42" t="str">
        <x:v>粒や房を選びながら何度も収穫するには人の判断が必要で、手摘みが不可欠に近い。</x:v>
      </x:c>
      <x:c r="M9" s="42" t="str">
        <x:v>誤り。 この条件では一般に機械収穫の方が速度とコスト面で有利である。</x:v>
      </x:c>
      <x:c r="N9" s="42" t="str">
        <x:v>誤り。 機械収穫でも夜間収穫が可能であり、手摘み固有の利点ではない。</x:v>
      </x:c>
      <x:c r="O9" s="42" t="str">
        <x:v>誤り。 成熟が均一で一斉収穫するなら機械収穫が効率的で、手摘みの特別な優位性は小さい。</x:v>
      </x:c>
      <x:c r="P9" s="42" t="str">
        <x:v>正しい。 粒や房を選びながら何度も収穫するには人の判断が必要で、手摘みが不可欠に近い。</x:v>
      </x:c>
      <x:c r="Q9" s="42" t="str">
        <x:v>人的要因（畑）</x:v>
      </x:c>
      <x:c r="R9" s="42" t="str">
        <x:v>手摘み・選別収穫</x:v>
      </x:c>
      <x:c r="S9" s="42" t="str">
        <x:v>甘口非発泡性ワイン</x:v>
      </x:c>
      <x:c r="T9" s="42" t="str"/>
      <x:c r="U9" s="42" t="str"/>
      <x:c r="V9" s="42" t="str"/>
      <x:c r="W9" s="42" t="str">
        <x:v>適用</x:v>
      </x:c>
      <x:c r="X9" s="53" t="str">
        <x:v>D2</x:v>
      </x:c>
      <x:c r="Y9" s="42" t="str">
        <x:v>夜間収穫は手摘みのみ; 選別収穫に機械が最適</x:v>
      </x:c>
      <x:c r="Z9" s="53" t="str">
        <x:v>N</x:v>
      </x:c>
      <x:c r="AA9" s="42" t="str"/>
      <x:c r="AB9" s="42" t="str">
        <x:v>オリジナル</x:v>
      </x:c>
      <x:c r="AC9" s="42" t="str">
        <x:v>公式Specificationの範囲＋ユーザー作成コーパスの論点を参考に独自作成</x:v>
      </x:c>
      <x:c r="AD9" s="53" t="str">
        <x:v>未レビュー</x:v>
      </x:c>
      <x:c r="AE9" s="53" t="str"/>
      <x:c r="AF9" s="53" t="str"/>
      <x:c r="AG9" s="43" t="str"/>
    </x:row>
    <x:row r="10" ht="84" customHeight="1">
      <x:c r="A10" s="41" t="str">
        <x:v>LO1-009</x:v>
      </x:c>
      <x:c r="B10" s="53" t="str">
        <x:v>LO1</x:v>
      </x:c>
      <x:c r="C10" s="42" t="str">
        <x:v>ブドウ畑・ワイナリーの自然要因と人的要因</x:v>
      </x:c>
      <x:c r="D10" s="42" t="str">
        <x:v>収穫時期</x:v>
      </x:c>
      <x:c r="E10" s="42" t="str">
        <x:v>収穫を遅らせることで一般に期待される変化はどれか。</x:v>
      </x:c>
      <x:c r="F10" s="42" t="str">
        <x:v>糖度が高まり、酸が低下し、より熟した果実風味になりやすい</x:v>
      </x:c>
      <x:c r="G10" s="42" t="str">
        <x:v>糖度が低下し、酸が高まり、青い風味が強くなる</x:v>
      </x:c>
      <x:c r="H10" s="42" t="str">
        <x:v>糖度が上がる一方、発酵後のアルコール度は低くなる</x:v>
      </x:c>
      <x:c r="I10" s="42" t="str">
        <x:v>樹上で果粒が膨らみ続けるため、収量が増加する</x:v>
      </x:c>
      <x:c r="J10" s="53" t="str">
        <x:v>A</x:v>
      </x:c>
      <x:c r="K10" s="42" t="str">
        <x:v>糖度が高まり、酸が低下し、より熟した果実風味になりやすい</x:v>
      </x:c>
      <x:c r="L10" s="42" t="str">
        <x:v>成熟の進行により糖が蓄積し、酸が減少し、果実風味も熟した方向へ変化しやすい。</x:v>
      </x:c>
      <x:c r="M10" s="42" t="str">
        <x:v>正しい。 成熟の進行により糖が蓄積し、酸が減少し、果実風味も熟した方向へ変化しやすい。</x:v>
      </x:c>
      <x:c r="N10" s="42" t="str">
        <x:v>誤り。 これは早すぎる収穫の特徴に近く、遅摘みの一般的な結果ではない。</x:v>
      </x:c>
      <x:c r="O10" s="42" t="str">
        <x:v>誤り。 糖度が高いほど、完全発酵した場合の潜在アルコール度は高くなる。</x:v>
      </x:c>
      <x:c r="P10" s="42" t="str">
        <x:v>誤り。 遅摘みでは水分蒸散や病害、鳥害などで収量が減ることが多く、果粒が膨らみ続けるとは限らない。</x:v>
      </x:c>
      <x:c r="Q10" s="42" t="str">
        <x:v>人的要因（畑）</x:v>
      </x:c>
      <x:c r="R10" s="42" t="str">
        <x:v>収穫時期</x:v>
      </x:c>
      <x:c r="S10" s="42" t="str">
        <x:v>非発泡性ワイン</x:v>
      </x:c>
      <x:c r="T10" s="42" t="str"/>
      <x:c r="U10" s="42" t="str"/>
      <x:c r="V10" s="42" t="str"/>
      <x:c r="W10" s="42" t="str">
        <x:v>因果説明</x:v>
      </x:c>
      <x:c r="X10" s="53" t="str">
        <x:v>D1</x:v>
      </x:c>
      <x:c r="Y10" s="42" t="str">
        <x:v>遅摘み=低糖; 遅摘み=必ず増収</x:v>
      </x:c>
      <x:c r="Z10" s="53" t="str">
        <x:v>N</x:v>
      </x:c>
      <x:c r="AA10" s="42" t="str"/>
      <x:c r="AB10" s="42" t="str">
        <x:v>オリジナル</x:v>
      </x:c>
      <x:c r="AC10" s="42" t="str">
        <x:v>公式Specificationの範囲＋ユーザー作成コーパスの論点を参考に独自作成</x:v>
      </x:c>
      <x:c r="AD10" s="53" t="str">
        <x:v>未レビュー</x:v>
      </x:c>
      <x:c r="AE10" s="53" t="str"/>
      <x:c r="AF10" s="53" t="str"/>
      <x:c r="AG10" s="43" t="str"/>
    </x:row>
    <x:row r="11" ht="84" customHeight="1">
      <x:c r="A11" s="41" t="str">
        <x:v>LO1-010</x:v>
      </x:c>
      <x:c r="B11" s="53" t="str">
        <x:v>LO1</x:v>
      </x:c>
      <x:c r="C11" s="42" t="str">
        <x:v>ブドウ畑・ワイナリーの自然要因と人的要因</x:v>
      </x:c>
      <x:c r="D11" s="42" t="str">
        <x:v>貴腐</x:v>
      </x:c>
      <x:c r="E11" s="42" t="str">
        <x:v>貴腐が健全に進行したブドウで、糖分と風味が濃縮される主な仕組みはどれか。</x:v>
      </x:c>
      <x:c r="F11" s="42" t="str">
        <x:v>菌が果粒内で新たな糖を大量に生成する</x:v>
      </x:c>
      <x:c r="G11" s="42" t="str">
        <x:v>菌が果皮に微細な穴を開け、水分の蒸発を促す</x:v>
      </x:c>
      <x:c r="H11" s="42" t="str">
        <x:v>菌が果皮を厚くし、果汁量を増やす</x:v>
      </x:c>
      <x:c r="I11" s="42" t="str">
        <x:v>菌がアルコール発酵を果房上で完了させる</x:v>
      </x:c>
      <x:c r="J11" s="53" t="str">
        <x:v>B</x:v>
      </x:c>
      <x:c r="K11" s="42" t="str">
        <x:v>菌が果皮に微細な穴を開け、水分の蒸発を促す</x:v>
      </x:c>
      <x:c r="L11" s="42" t="str">
        <x:v>果皮が傷つき水分が失われるため、糖、酸、風味成分が濃縮する。</x:v>
      </x:c>
      <x:c r="M11" s="42" t="str">
        <x:v>誤り。 ボトリティス菌が糖を作るのではなく、水分が失われることで既存の成分が濃縮される。</x:v>
      </x:c>
      <x:c r="N11" s="42" t="str">
        <x:v>正しい。 果皮が傷つき水分が失われるため、糖、酸、風味成分が濃縮する。</x:v>
      </x:c>
      <x:c r="O11" s="42" t="str">
        <x:v>誤り。 貴腐は果粒をしぼませ、果汁量を減らす方向に働く。</x:v>
      </x:c>
      <x:c r="P11" s="42" t="str">
        <x:v>誤り。 発酵は通常ワイナリーで酵母によって行われ、畑で完了するものではない。</x:v>
      </x:c>
      <x:c r="Q11" s="42" t="str">
        <x:v>自然・人的要因</x:v>
      </x:c>
      <x:c r="R11" s="42" t="str">
        <x:v>貴腐・糖分濃縮</x:v>
      </x:c>
      <x:c r="S11" s="42" t="str">
        <x:v>甘口非発泡性ワイン</x:v>
      </x:c>
      <x:c r="T11" s="42" t="str"/>
      <x:c r="U11" s="42" t="str"/>
      <x:c r="V11" s="42" t="str"/>
      <x:c r="W11" s="42" t="str">
        <x:v>因果説明</x:v>
      </x:c>
      <x:c r="X11" s="53" t="str">
        <x:v>D2</x:v>
      </x:c>
      <x:c r="Y11" s="42" t="str">
        <x:v>貴腐菌が糖を生成; 畑で発酵</x:v>
      </x:c>
      <x:c r="Z11" s="53" t="str">
        <x:v>N</x:v>
      </x:c>
      <x:c r="AA11" s="42" t="str"/>
      <x:c r="AB11" s="42" t="str">
        <x:v>オリジナル</x:v>
      </x:c>
      <x:c r="AC11" s="42" t="str">
        <x:v>公式Specificationの範囲＋ユーザー作成コーパスの論点を参考に独自作成</x:v>
      </x:c>
      <x:c r="AD11" s="53" t="str">
        <x:v>未レビュー</x:v>
      </x:c>
      <x:c r="AE11" s="53" t="str"/>
      <x:c r="AF11" s="53" t="str"/>
      <x:c r="AG11" s="43" t="str"/>
    </x:row>
    <x:row r="12" ht="84" customHeight="1">
      <x:c r="A12" s="41" t="str">
        <x:v>LO1-011</x:v>
      </x:c>
      <x:c r="B12" s="53" t="str">
        <x:v>LO1</x:v>
      </x:c>
      <x:c r="C12" s="42" t="str">
        <x:v>ブドウ畑・ワイナリーの自然要因と人的要因</x:v>
      </x:c>
      <x:c r="D12" s="42" t="str">
        <x:v>亜硫酸</x:v>
      </x:c>
      <x:c r="E12" s="42" t="str">
        <x:v>ワイン醸造で亜硫酸を使用する主な目的の組み合わせはどれか。</x:v>
      </x:c>
      <x:c r="F12" s="42" t="str">
        <x:v>アルコール度を高め、酸を低下させる</x:v>
      </x:c>
      <x:c r="G12" s="42" t="str">
        <x:v>タンニンを増やし、色を濃くする</x:v>
      </x:c>
      <x:c r="H12" s="42" t="str">
        <x:v>酸化を抑え、望ましくない微生物の活動を抑制する</x:v>
      </x:c>
      <x:c r="I12" s="42" t="str">
        <x:v>酒石酸塩を除去し、瓶内圧を高める</x:v>
      </x:c>
      <x:c r="J12" s="53" t="str">
        <x:v>C</x:v>
      </x:c>
      <x:c r="K12" s="42" t="str">
        <x:v>酸化を抑え、望ましくない微生物の活動を抑制する</x:v>
      </x:c>
      <x:c r="L12" s="42" t="str">
        <x:v>亜硫酸は抗酸化作用と抗菌作用を持ち、果汁やワインの保護に用いられる。</x:v>
      </x:c>
      <x:c r="M12" s="42" t="str">
        <x:v>誤り。 亜硫酸は糖をアルコールに変えるものでも、酸を直接下げるものでもない。</x:v>
      </x:c>
      <x:c r="N12" s="42" t="str">
        <x:v>誤り。 亜硫酸の主目的は酸化と微生物の管理であり、タンニンを増加させることではない。</x:v>
      </x:c>
      <x:c r="O12" s="42" t="str">
        <x:v>正しい。 亜硫酸は抗酸化作用と抗菌作用を持ち、果汁やワインの保護に用いられる。</x:v>
      </x:c>
      <x:c r="P12" s="42" t="str">
        <x:v>誤り。 酒石酸安定化や発泡性ワインの加圧は亜硫酸の役割ではない。</x:v>
      </x:c>
      <x:c r="Q12" s="42" t="str">
        <x:v>人的要因（ワイナリー）</x:v>
      </x:c>
      <x:c r="R12" s="42" t="str">
        <x:v>亜硫酸・酸素管理</x:v>
      </x:c>
      <x:c r="S12" s="42" t="str">
        <x:v>全般</x:v>
      </x:c>
      <x:c r="T12" s="42" t="str"/>
      <x:c r="U12" s="42" t="str"/>
      <x:c r="V12" s="42" t="str"/>
      <x:c r="W12" s="42" t="str">
        <x:v>知識確認</x:v>
      </x:c>
      <x:c r="X12" s="53" t="str">
        <x:v>D1</x:v>
      </x:c>
      <x:c r="Y12" s="42" t="str">
        <x:v>亜硫酸=アルコール増加; 亜硫酸=酒石安定化</x:v>
      </x:c>
      <x:c r="Z12" s="53" t="str">
        <x:v>N</x:v>
      </x:c>
      <x:c r="AA12" s="42" t="str"/>
      <x:c r="AB12" s="42" t="str">
        <x:v>オリジナル</x:v>
      </x:c>
      <x:c r="AC12" s="42" t="str">
        <x:v>公式Specificationの範囲＋ユーザー作成コーパスの論点を参考に独自作成</x:v>
      </x:c>
      <x:c r="AD12" s="53" t="str">
        <x:v>未レビュー</x:v>
      </x:c>
      <x:c r="AE12" s="53" t="str"/>
      <x:c r="AF12" s="53" t="str"/>
      <x:c r="AG12" s="43" t="str"/>
    </x:row>
    <x:row r="13" ht="84" customHeight="1">
      <x:c r="A13" s="41" t="str">
        <x:v>LO1-012</x:v>
      </x:c>
      <x:c r="B13" s="53" t="str">
        <x:v>LO1</x:v>
      </x:c>
      <x:c r="C13" s="42" t="str">
        <x:v>ブドウ畑・ワイナリーの自然要因と人的要因</x:v>
      </x:c>
      <x:c r="D13" s="42" t="str">
        <x:v>マロラクティック発酵</x:v>
      </x:c>
      <x:c r="E13" s="42" t="str">
        <x:v>マロラクティック発酵（MLF）がワインに与える典型的な影響はどれか。</x:v>
      </x:c>
      <x:c r="F13" s="42" t="str">
        <x:v>酒石酸を糖に変え、甘味を増やす</x:v>
      </x:c>
      <x:c r="G13" s="42" t="str">
        <x:v>アルコールを酢酸に変え、酢のような香りを生じさせる</x:v>
      </x:c>
      <x:c r="H13" s="42" t="str">
        <x:v>果皮から色素を抽出し、赤ワインの色を濃くする</x:v>
      </x:c>
      <x:c r="I13" s="42" t="str">
        <x:v>リンゴ酸を乳酸に変え、酸味を柔らかくし、場合によりバター様の香りを加える</x:v>
      </x:c>
      <x:c r="J13" s="53" t="str">
        <x:v>D</x:v>
      </x:c>
      <x:c r="K13" s="42" t="str">
        <x:v>リンゴ酸を乳酸に変え、酸味を柔らかくし、場合によりバター様の香りを加える</x:v>
      </x:c>
      <x:c r="L13" s="42" t="str">
        <x:v>乳酸はリンゴ酸より穏やかで、ジアセチルによりバター様の香りが生じる場合がある。</x:v>
      </x:c>
      <x:c r="M13" s="42" t="str">
        <x:v>誤り。 MLFは主にリンゴ酸を乳酸へ変換するもので、酒石酸を糖に変えない。</x:v>
      </x:c>
      <x:c r="N13" s="42" t="str">
        <x:v>誤り。 これは酢酸菌などによる望ましくない変化に近く、正常なMLFの説明ではない。</x:v>
      </x:c>
      <x:c r="O13" s="42" t="str">
        <x:v>誤り。 色素抽出は主にマセラシオンや発酵中の抽出による。</x:v>
      </x:c>
      <x:c r="P13" s="42" t="str">
        <x:v>正しい。 乳酸はリンゴ酸より穏やかで、ジアセチルによりバター様の香りが生じる場合がある。</x:v>
      </x:c>
      <x:c r="Q13" s="42" t="str">
        <x:v>人的要因（ワイナリー）</x:v>
      </x:c>
      <x:c r="R13" s="42" t="str">
        <x:v>マロラクティック発酵</x:v>
      </x:c>
      <x:c r="S13" s="42" t="str">
        <x:v>全般</x:v>
      </x:c>
      <x:c r="T13" s="42" t="str"/>
      <x:c r="U13" s="42" t="str"/>
      <x:c r="V13" s="42" t="str"/>
      <x:c r="W13" s="42" t="str">
        <x:v>因果説明</x:v>
      </x:c>
      <x:c r="X13" s="53" t="str">
        <x:v>D1</x:v>
      </x:c>
      <x:c r="Y13" s="42" t="str">
        <x:v>MLF=糖生成; MLF=色抽出</x:v>
      </x:c>
      <x:c r="Z13" s="53" t="str">
        <x:v>N</x:v>
      </x:c>
      <x:c r="AA13" s="42" t="str"/>
      <x:c r="AB13" s="42" t="str">
        <x:v>オリジナル</x:v>
      </x:c>
      <x:c r="AC13" s="42" t="str">
        <x:v>公式Specificationの範囲＋ユーザー作成コーパスの論点を参考に独自作成</x:v>
      </x:c>
      <x:c r="AD13" s="53" t="str">
        <x:v>未レビュー</x:v>
      </x:c>
      <x:c r="AE13" s="53" t="str"/>
      <x:c r="AF13" s="53" t="str"/>
      <x:c r="AG13" s="43" t="str"/>
    </x:row>
    <x:row r="14" ht="84" customHeight="1">
      <x:c r="A14" s="41" t="str">
        <x:v>LO1-013</x:v>
      </x:c>
      <x:c r="B14" s="53" t="str">
        <x:v>LO1</x:v>
      </x:c>
      <x:c r="C14" s="42" t="str">
        <x:v>ブドウ畑・ワイナリーの自然要因と人的要因</x:v>
      </x:c>
      <x:c r="D14" s="42" t="str">
        <x:v>オーク樽</x:v>
      </x:c>
      <x:c r="E14" s="42" t="str">
        <x:v>同じ期間熟成する場合、小型のオーク樽が大型の古樽よりワインへ強い影響を与えやすい主な理由はどれか。</x:v>
      </x:c>
      <x:c r="F14" s="42" t="str">
        <x:v>ワイン量に対する木材表面積の比率が大きいから</x:v>
      </x:c>
      <x:c r="G14" s="42" t="str">
        <x:v>小樽では酸素が遮断され、アルコール発酵が再開するから</x:v>
      </x:c>
      <x:c r="H14" s="42" t="str">
        <x:v>小樽には新しい木材が使われ、大型樽には香りを与えない木材が使われるから</x:v>
      </x:c>
      <x:c r="I14" s="42" t="str">
        <x:v>小樽の内部で酒石酸塩がより速く溶解するから</x:v>
      </x:c>
      <x:c r="J14" s="53" t="str">
        <x:v>A</x:v>
      </x:c>
      <x:c r="K14" s="42" t="str">
        <x:v>ワイン量に対する木材表面積の比率が大きいから</x:v>
      </x:c>
      <x:c r="L14" s="42" t="str">
        <x:v>小樽ではワインが接する木材面積が相対的に大きく、オーク由来の風味や酸素の影響を受けやすい。</x:v>
      </x:c>
      <x:c r="M14" s="42" t="str">
        <x:v>正しい。 小樽ではワインが接する木材面積が相対的に大きく、オーク由来の風味や酸素の影響を受けやすい。</x:v>
      </x:c>
      <x:c r="N14" s="42" t="str">
        <x:v>誤り。 小樽は穏やかな酸素接触を与えることがあり、樽サイズが発酵再開を直接決めるわけではない。</x:v>
      </x:c>
      <x:c r="O14" s="42" t="str">
        <x:v>誤り。 樽の新旧とサイズは別の要素であり、どちらのサイズにも新樽・古樽があり得る。</x:v>
      </x:c>
      <x:c r="P14" s="42" t="str">
        <x:v>誤り。 酒石酸塩の安定性は温度などで管理され、樽サイズが主な説明ではない。</x:v>
      </x:c>
      <x:c r="Q14" s="42" t="str">
        <x:v>人的要因（ワイナリー）</x:v>
      </x:c>
      <x:c r="R14" s="42" t="str">
        <x:v>オーク熟成</x:v>
      </x:c>
      <x:c r="S14" s="42" t="str">
        <x:v>非発泡性ワイン</x:v>
      </x:c>
      <x:c r="T14" s="42" t="str"/>
      <x:c r="U14" s="42" t="str"/>
      <x:c r="V14" s="42" t="str"/>
      <x:c r="W14" s="42" t="str">
        <x:v>因果説明</x:v>
      </x:c>
      <x:c r="X14" s="53" t="str">
        <x:v>D2</x:v>
      </x:c>
      <x:c r="Y14" s="42" t="str">
        <x:v>小樽=必ず新樽; 樽熟成=酒石除去</x:v>
      </x:c>
      <x:c r="Z14" s="53" t="str">
        <x:v>N</x:v>
      </x:c>
      <x:c r="AA14" s="42" t="str"/>
      <x:c r="AB14" s="42" t="str">
        <x:v>オリジナル</x:v>
      </x:c>
      <x:c r="AC14" s="42" t="str">
        <x:v>公式Specificationの範囲＋ユーザー作成コーパスの論点を参考に独自作成</x:v>
      </x:c>
      <x:c r="AD14" s="53" t="str">
        <x:v>未レビュー</x:v>
      </x:c>
      <x:c r="AE14" s="53" t="str"/>
      <x:c r="AF14" s="53" t="str"/>
      <x:c r="AG14" s="43" t="str"/>
    </x:row>
    <x:row r="15" ht="84" customHeight="1">
      <x:c r="A15" s="41" t="str">
        <x:v>LO1-014</x:v>
      </x:c>
      <x:c r="B15" s="53" t="str">
        <x:v>LO1</x:v>
      </x:c>
      <x:c r="C15" s="42" t="str">
        <x:v>ブドウ畑・ワイナリーの自然要因と人的要因</x:v>
      </x:c>
      <x:c r="D15" s="42" t="str">
        <x:v>澱との接触</x:v>
      </x:c>
      <x:c r="E15" s="42" t="str">
        <x:v>白ワインを細かい澱と接触させて熟成することで期待される効果はどれか。</x:v>
      </x:c>
      <x:c r="F15" s="42" t="str">
        <x:v>果皮由来のタンニンと色素が増え、赤ワインに近い構造になる</x:v>
      </x:c>
      <x:c r="G15" s="42" t="str">
        <x:v>口当たりに厚みが加わり、パン生地やビスケットを思わせる風味が生じることがある</x:v>
      </x:c>
      <x:c r="H15" s="42" t="str">
        <x:v>澱がアルコールを吸収し、ワインのアルコール度を大きく下げる</x:v>
      </x:c>
      <x:c r="I15" s="42" t="str">
        <x:v>澱中の酵母が残糖を発酵し続け、辛口のスタイルを決める</x:v>
      </x:c>
      <x:c r="J15" s="53" t="str">
        <x:v>B</x:v>
      </x:c>
      <x:c r="K15" s="42" t="str">
        <x:v>口当たりに厚みが加わり、パン生地やビスケットを思わせる風味が生じることがある</x:v>
      </x:c>
      <x:c r="L15" s="42" t="str">
        <x:v>酵母の自己分解により多糖類や風味成分が放出され、質感と複雑さが増すことがある。</x:v>
      </x:c>
      <x:c r="M15" s="42" t="str">
        <x:v>誤り。 澱との接触はタンニンや色素抽出を目的とする工程ではない。</x:v>
      </x:c>
      <x:c r="N15" s="42" t="str">
        <x:v>正しい。 酵母の自己分解により多糖類や風味成分が放出され、質感と複雑さが増すことがある。</x:v>
      </x:c>
      <x:c r="O15" s="42" t="str">
        <x:v>誤り。 澱との接触はアルコールを大幅に除去する工程ではない。</x:v>
      </x:c>
      <x:c r="P15" s="42" t="str">
        <x:v>誤り。 澱との接触だけで再発酵が起こるわけではなく、残糖管理とは別である。</x:v>
      </x:c>
      <x:c r="Q15" s="42" t="str">
        <x:v>人的要因（ワイナリー）</x:v>
      </x:c>
      <x:c r="R15" s="42" t="str">
        <x:v>澱との接触</x:v>
      </x:c>
      <x:c r="S15" s="42" t="str">
        <x:v>白・発泡性ワイン</x:v>
      </x:c>
      <x:c r="T15" s="42" t="str"/>
      <x:c r="U15" s="42" t="str"/>
      <x:c r="V15" s="42" t="str"/>
      <x:c r="W15" s="42" t="str">
        <x:v>因果説明</x:v>
      </x:c>
      <x:c r="X15" s="53" t="str">
        <x:v>D2</x:v>
      </x:c>
      <x:c r="Y15" s="42" t="str">
        <x:v>澱接触=タンニン抽出; 澱接触=アルコール低下</x:v>
      </x:c>
      <x:c r="Z15" s="53" t="str">
        <x:v>N</x:v>
      </x:c>
      <x:c r="AA15" s="42" t="str"/>
      <x:c r="AB15" s="42" t="str">
        <x:v>オリジナル</x:v>
      </x:c>
      <x:c r="AC15" s="42" t="str">
        <x:v>公式Specificationの範囲＋ユーザー作成コーパスの論点を参考に独自作成</x:v>
      </x:c>
      <x:c r="AD15" s="53" t="str">
        <x:v>未レビュー</x:v>
      </x:c>
      <x:c r="AE15" s="53" t="str"/>
      <x:c r="AF15" s="53" t="str"/>
      <x:c r="AG15" s="43" t="str"/>
    </x:row>
    <x:row r="16" ht="84" customHeight="1">
      <x:c r="A16" s="41" t="str">
        <x:v>LO1-015</x:v>
      </x:c>
      <x:c r="B16" s="53" t="str">
        <x:v>LO1</x:v>
      </x:c>
      <x:c r="C16" s="42" t="str">
        <x:v>ブドウ畑・ワイナリーの自然要因と人的要因</x:v>
      </x:c>
      <x:c r="D16" s="42" t="str">
        <x:v>炭酸ガス浸漬法</x:v>
      </x:c>
      <x:c r="E16" s="42" t="str">
        <x:v>炭酸ガス浸漬法で造られた赤ワインに最も典型的な特徴はどれか。</x:v>
      </x:c>
      <x:c r="F16" s="42" t="str">
        <x:v>高いタンニンと長期熟成向きの厳格な骨格</x:v>
      </x:c>
      <x:c r="G16" s="42" t="str">
        <x:v>強い酸化香と褐色の色調</x:v>
      </x:c>
      <x:c r="H16" s="42" t="str">
        <x:v>鮮やかな果実香、低めのタンニン、早飲みのスタイル</x:v>
      </x:c>
      <x:c r="I16" s="42" t="str">
        <x:v>高い残糖と酒精強化による高アルコール</x:v>
      </x:c>
      <x:c r="J16" s="53" t="str">
        <x:v>C</x:v>
      </x:c>
      <x:c r="K16" s="42" t="str">
        <x:v>鮮やかな果実香、低めのタンニン、早飲みのスタイル</x:v>
      </x:c>
      <x:c r="L16" s="42" t="str">
        <x:v>細胞内発酵によりキャンディーやバナナを思わせる香りが生じ、抽出が穏やかなためタンニンが低くなりやすい。</x:v>
      </x:c>
      <x:c r="M16" s="42" t="str">
        <x:v>誤り。 全房を無酸素環境で発酵させる方法は抽出が穏やかで、一般に低タンニンの早飲みスタイルになりやすい。</x:v>
      </x:c>
      <x:c r="N16" s="42" t="str">
        <x:v>誤り。 この方法は酸化熟成を目的とせず、若々しい果実香を保つ方向に働く。</x:v>
      </x:c>
      <x:c r="O16" s="42" t="str">
        <x:v>正しい。 細胞内発酵によりキャンディーやバナナを思わせる香りが生じ、抽出が穏やかなためタンニンが低くなりやすい。</x:v>
      </x:c>
      <x:c r="P16" s="42" t="str">
        <x:v>誤り。 炭酸ガス浸漬法は甘口化や酒精強化の方法ではない。</x:v>
      </x:c>
      <x:c r="Q16" s="42" t="str">
        <x:v>人的要因（ワイナリー）</x:v>
      </x:c>
      <x:c r="R16" s="42" t="str">
        <x:v>炭酸ガス浸漬法</x:v>
      </x:c>
      <x:c r="S16" s="42" t="str">
        <x:v>赤非発泡性ワイン</x:v>
      </x:c>
      <x:c r="T16" s="42" t="str"/>
      <x:c r="U16" s="42" t="str"/>
      <x:c r="V16" s="42" t="str"/>
      <x:c r="W16" s="42" t="str">
        <x:v>知識確認</x:v>
      </x:c>
      <x:c r="X16" s="53" t="str">
        <x:v>D1</x:v>
      </x:c>
      <x:c r="Y16" s="42" t="str">
        <x:v>炭酸ガス浸漬=高タンニン; 炭酸ガス浸漬=酒精強化</x:v>
      </x:c>
      <x:c r="Z16" s="53" t="str">
        <x:v>N</x:v>
      </x:c>
      <x:c r="AA16" s="42" t="str"/>
      <x:c r="AB16" s="42" t="str">
        <x:v>オリジナル</x:v>
      </x:c>
      <x:c r="AC16" s="42" t="str">
        <x:v>公式Specificationの範囲＋ユーザー作成コーパスの論点を参考に独自作成</x:v>
      </x:c>
      <x:c r="AD16" s="53" t="str">
        <x:v>未レビュー</x:v>
      </x:c>
      <x:c r="AE16" s="53" t="str"/>
      <x:c r="AF16" s="53" t="str"/>
      <x:c r="AG16" s="43" t="str"/>
    </x:row>
    <x:row r="17" ht="84" customHeight="1">
      <x:c r="A17" s="41" t="str">
        <x:v>LO1-016</x:v>
      </x:c>
      <x:c r="B17" s="53" t="str">
        <x:v>LO1</x:v>
      </x:c>
      <x:c r="C17" s="42" t="str">
        <x:v>ブドウ畑・ワイナリーの自然要因と人的要因</x:v>
      </x:c>
      <x:c r="D17" s="42" t="str">
        <x:v>圧搾</x:v>
      </x:c>
      <x:c r="E17" s="42" t="str">
        <x:v>白ワイン醸造で強い圧力をかけて圧搾した果汁を別に扱うことがある主な理由はどれか。</x:v>
      </x:c>
      <x:c r="F17" s="42" t="str">
        <x:v>圧力を高めるほど香りの強いフリーラン果汁が増えるため</x:v>
      </x:c>
      <x:c r="G17" s="42" t="str">
        <x:v>圧力を高めるほど果汁中の糖が果皮へ戻るため</x:v>
      </x:c>
      <x:c r="H17" s="42" t="str">
        <x:v>強い圧搾で果汁のアルコール度がすでに高くなるため</x:v>
      </x:c>
      <x:c r="I17" s="42" t="str">
        <x:v>後半の圧搾果汁にはフェノールや苦味成分が多くなり、最終ブレンドへの使用量を調整する必要があるため</x:v>
      </x:c>
      <x:c r="J17" s="53" t="str">
        <x:v>D</x:v>
      </x:c>
      <x:c r="K17" s="42" t="str">
        <x:v>後半の圧搾果汁にはフェノールや苦味成分が多くなり、最終ブレンドへの使用量を調整する必要があるため</x:v>
      </x:c>
      <x:c r="L17" s="42" t="str">
        <x:v>圧力が高まるほど果皮や種からより多くのフェノールが抽出され、品質への影響を見ながら分別する。</x:v>
      </x:c>
      <x:c r="M17" s="42" t="str">
        <x:v>誤り。 フリーラン果汁は低い圧力で得られ、強い圧搾では苦味やフェノールが増えやすい。</x:v>
      </x:c>
      <x:c r="N17" s="42" t="str">
        <x:v>誤り。 圧搾は糖を果皮へ戻す工程ではない。</x:v>
      </x:c>
      <x:c r="O17" s="42" t="str">
        <x:v>誤り。 圧搾前の果汁には通常アルコールはほとんどなく、アルコールは発酵で生じる。</x:v>
      </x:c>
      <x:c r="P17" s="42" t="str">
        <x:v>正しい。 圧力が高まるほど果皮や種からより多くのフェノールが抽出され、品質への影響を見ながら分別する。</x:v>
      </x:c>
      <x:c r="Q17" s="42" t="str">
        <x:v>人的要因（ワイナリー）</x:v>
      </x:c>
      <x:c r="R17" s="42" t="str">
        <x:v>圧搾・果汁分画</x:v>
      </x:c>
      <x:c r="S17" s="42" t="str">
        <x:v>白非発泡性ワイン</x:v>
      </x:c>
      <x:c r="T17" s="42" t="str"/>
      <x:c r="U17" s="42" t="str"/>
      <x:c r="V17" s="42" t="str"/>
      <x:c r="W17" s="42" t="str">
        <x:v>因果説明</x:v>
      </x:c>
      <x:c r="X17" s="53" t="str">
        <x:v>D3</x:v>
      </x:c>
      <x:c r="Y17" s="42" t="str">
        <x:v>強圧搾=高品質; 圧搾=アルコール生成</x:v>
      </x:c>
      <x:c r="Z17" s="53" t="str">
        <x:v>N</x:v>
      </x:c>
      <x:c r="AA17" s="42" t="str"/>
      <x:c r="AB17" s="42" t="str">
        <x:v>オリジナル</x:v>
      </x:c>
      <x:c r="AC17" s="42" t="str">
        <x:v>公式Specificationの範囲＋ユーザー作成コーパスの論点を参考に独自作成</x:v>
      </x:c>
      <x:c r="AD17" s="53" t="str">
        <x:v>未レビュー</x:v>
      </x:c>
      <x:c r="AE17" s="53" t="str"/>
      <x:c r="AF17" s="53" t="str"/>
      <x:c r="AG17" s="43" t="str"/>
    </x:row>
    <x:row r="18" ht="84" customHeight="1">
      <x:c r="A18" s="41" t="str">
        <x:v>LO1-017</x:v>
      </x:c>
      <x:c r="B18" s="53" t="str">
        <x:v>LO1</x:v>
      </x:c>
      <x:c r="C18" s="42" t="str">
        <x:v>ブドウ畑・ワイナリーの自然要因と人的要因</x:v>
      </x:c>
      <x:c r="D18" s="42" t="str">
        <x:v>清澄・濾過</x:v>
      </x:c>
      <x:c r="E18" s="42" t="str">
        <x:v>瓶詰め前に膜状濾過を行う主な目的として最も適切なものはどれか。</x:v>
      </x:c>
      <x:c r="F18" s="42" t="str">
        <x:v>酵母や細菌を除去し、微生物学的な安定性を高める</x:v>
      </x:c>
      <x:c r="G18" s="42" t="str">
        <x:v>ワインにオーク由来の風味を加える</x:v>
      </x:c>
      <x:c r="H18" s="42" t="str">
        <x:v>酸度を上げてpHを下げる</x:v>
      </x:c>
      <x:c r="I18" s="42" t="str">
        <x:v>果皮から色素とタンニンを抽出し、ワインの構造を強める</x:v>
      </x:c>
      <x:c r="J18" s="53" t="str">
        <x:v>A</x:v>
      </x:c>
      <x:c r="K18" s="42" t="str">
        <x:v>酵母や細菌を除去し、微生物学的な安定性を高める</x:v>
      </x:c>
      <x:c r="L18" s="42" t="str">
        <x:v>細かい孔径のフィルターは微生物を除去し、残糖のあるワインなどの再発酵リスクを下げる。</x:v>
      </x:c>
      <x:c r="M18" s="42" t="str">
        <x:v>正しい。 細かい孔径のフィルターは微生物を除去し、残糖のあるワインなどの再発酵リスクを下げる。</x:v>
      </x:c>
      <x:c r="N18" s="42" t="str">
        <x:v>誤り。 オーク風味は樽やオーク代用品から得られ、濾過の役割ではない。</x:v>
      </x:c>
      <x:c r="O18" s="42" t="str">
        <x:v>誤り。 濾過は酸を添加する工程ではない。</x:v>
      </x:c>
      <x:c r="P18" s="42" t="str">
        <x:v>誤り。 濾過は成分を加える工程ではなく、過度な濾過では一部成分が減る可能性がある。</x:v>
      </x:c>
      <x:c r="Q18" s="42" t="str">
        <x:v>人的要因（ワイナリー）</x:v>
      </x:c>
      <x:c r="R18" s="42" t="str">
        <x:v>濾過・微生物安定化</x:v>
      </x:c>
      <x:c r="S18" s="42" t="str">
        <x:v>全般</x:v>
      </x:c>
      <x:c r="T18" s="42" t="str"/>
      <x:c r="U18" s="42" t="str"/>
      <x:c r="V18" s="42" t="str"/>
      <x:c r="W18" s="42" t="str">
        <x:v>知識確認</x:v>
      </x:c>
      <x:c r="X18" s="53" t="str">
        <x:v>D2</x:v>
      </x:c>
      <x:c r="Y18" s="42" t="str">
        <x:v>濾過=補酸; 濾過=オーク風味</x:v>
      </x:c>
      <x:c r="Z18" s="53" t="str">
        <x:v>N</x:v>
      </x:c>
      <x:c r="AA18" s="42" t="str"/>
      <x:c r="AB18" s="42" t="str">
        <x:v>オリジナル</x:v>
      </x:c>
      <x:c r="AC18" s="42" t="str">
        <x:v>公式Specificationの範囲＋ユーザー作成コーパスの論点を参考に独自作成</x:v>
      </x:c>
      <x:c r="AD18" s="53" t="str">
        <x:v>未レビュー</x:v>
      </x:c>
      <x:c r="AE18" s="53" t="str"/>
      <x:c r="AF18" s="53" t="str"/>
      <x:c r="AG18" s="43" t="str"/>
    </x:row>
    <x:row r="19" ht="84" customHeight="1">
      <x:c r="A19" s="41" t="str">
        <x:v>LO1-018</x:v>
      </x:c>
      <x:c r="B19" s="53" t="str">
        <x:v>LO1</x:v>
      </x:c>
      <x:c r="C19" s="42" t="str">
        <x:v>ブドウ畑・ワイナリーの自然要因と人的要因</x:v>
      </x:c>
      <x:c r="D19" s="42" t="str">
        <x:v>酒石酸安定化</x:v>
      </x:c>
      <x:c r="E19" s="42" t="str">
        <x:v>ワインを低温で保持して酒石酸塩の結晶を析出させる処理の目的はどれか。</x:v>
      </x:c>
      <x:c r="F19" s="42" t="str">
        <x:v>低温によってアルコールを蒸発させ、度数を下げる</x:v>
      </x:c>
      <x:c r="G19" s="42" t="str">
        <x:v>瓶詰め後に無害な結晶が生じ、消費者が異物と誤認するのを防ぐ</x:v>
      </x:c>
      <x:c r="H19" s="42" t="str">
        <x:v>コルク汚染の原因物質を結晶とともに沈殿させる</x:v>
      </x:c>
      <x:c r="I19" s="42" t="str">
        <x:v>二次発酵用の糖を析出させ、瓶内圧を高める</x:v>
      </x:c>
      <x:c r="J19" s="53" t="str">
        <x:v>B</x:v>
      </x:c>
      <x:c r="K19" s="42" t="str">
        <x:v>瓶詰め後に無害な結晶が生じ、消費者が異物と誤認するのを防ぐ</x:v>
      </x:c>
      <x:c r="L19" s="42" t="str">
        <x:v>瓶詰め前に結晶を析出・除去して、外観上の安定性を高める。</x:v>
      </x:c>
      <x:c r="M19" s="42" t="str">
        <x:v>誤り。 低温安定化はアルコール除去を目的としない。</x:v>
      </x:c>
      <x:c r="N19" s="42" t="str">
        <x:v>正しい。 瓶詰め前に結晶を析出・除去して、外観上の安定性を高める。</x:v>
      </x:c>
      <x:c r="O19" s="42" t="str">
        <x:v>誤り。 コルク汚染は主にTCAに由来し、低温安定化では除去できない。</x:v>
      </x:c>
      <x:c r="P19" s="42" t="str">
        <x:v>誤り。 瓶内圧は二次発酵などで生じ、酒石酸安定化とは関係がない。</x:v>
      </x:c>
      <x:c r="Q19" s="42" t="str">
        <x:v>人的要因（ワイナリー）</x:v>
      </x:c>
      <x:c r="R19" s="42" t="str">
        <x:v>酒石酸安定化</x:v>
      </x:c>
      <x:c r="S19" s="42" t="str">
        <x:v>全般</x:v>
      </x:c>
      <x:c r="T19" s="42" t="str"/>
      <x:c r="U19" s="42" t="str"/>
      <x:c r="V19" s="42" t="str"/>
      <x:c r="W19" s="42" t="str">
        <x:v>知識確認</x:v>
      </x:c>
      <x:c r="X19" s="53" t="str">
        <x:v>D1</x:v>
      </x:c>
      <x:c r="Y19" s="42" t="str">
        <x:v>低温安定化=脱アルコール; 低温安定化=TCA除去</x:v>
      </x:c>
      <x:c r="Z19" s="53" t="str">
        <x:v>N</x:v>
      </x:c>
      <x:c r="AA19" s="42" t="str"/>
      <x:c r="AB19" s="42" t="str">
        <x:v>オリジナル</x:v>
      </x:c>
      <x:c r="AC19" s="42" t="str">
        <x:v>公式Specificationの範囲＋ユーザー作成コーパスの論点を参考に独自作成</x:v>
      </x:c>
      <x:c r="AD19" s="53" t="str">
        <x:v>未レビュー</x:v>
      </x:c>
      <x:c r="AE19" s="53" t="str"/>
      <x:c r="AF19" s="53" t="str"/>
      <x:c r="AG19" s="43" t="str"/>
    </x:row>
    <x:row r="20" ht="84" customHeight="1">
      <x:c r="A20" s="41" t="str">
        <x:v>LO1-019</x:v>
      </x:c>
      <x:c r="B20" s="53" t="str">
        <x:v>LO1</x:v>
      </x:c>
      <x:c r="C20" s="42" t="str">
        <x:v>ブドウ畑・ワイナリーの自然要因と人的要因</x:v>
      </x:c>
      <x:c r="D20" s="42" t="str">
        <x:v>ブレンド</x:v>
      </x:c>
      <x:c r="E20" s="42" t="str">
        <x:v>複数のロットをブレンドする生産者の目的として、最も適切なものはどれか。</x:v>
      </x:c>
      <x:c r="F20" s="42" t="str">
        <x:v>各ロットの違いを強調し、毎年まったく異なるスタイルにすることだけ</x:v>
      </x:c>
      <x:c r="G20" s="42" t="str">
        <x:v>異なる原産地のワインを混ぜ、表示規定を適用外にすること</x:v>
      </x:c>
      <x:c r="H20" s="42" t="str">
        <x:v>酸、果実味、タンニンなどを補完し、望むバランスと一貫したスタイルを作る</x:v>
      </x:c>
      <x:c r="I20" s="42" t="str">
        <x:v>辛口ワインに甘口ワインを加え、残糖だけでバランスを整えること</x:v>
      </x:c>
      <x:c r="J20" s="53" t="str">
        <x:v>C</x:v>
      </x:c>
      <x:c r="K20" s="42" t="str">
        <x:v>酸、果実味、タンニンなどを補完し、望むバランスと一貫したスタイルを作る</x:v>
      </x:c>
      <x:c r="L20" s="42" t="str">
        <x:v>異なる品種、畑、樽、ヴィンテージの特徴を組み合わせ、品質やハウススタイルを整える。</x:v>
      </x:c>
      <x:c r="M20" s="42" t="str">
        <x:v>誤り。 ブレンドは違いを強調する場合もあるが、一般にバランスや一貫性の確保も重要な目的である。</x:v>
      </x:c>
      <x:c r="N20" s="42" t="str">
        <x:v>誤り。 ブレンドは法律の範囲内で行われ、表示規定を適用外にすることが一般目的ではない。</x:v>
      </x:c>
      <x:c r="O20" s="42" t="str">
        <x:v>正しい。 異なる品種、畑、樽、ヴィンテージの特徴を組み合わせ、品質やハウススタイルを整える。</x:v>
      </x:c>
      <x:c r="P20" s="42" t="str">
        <x:v>誤り。 甘味調整に使われる場合もあるが、ブレンドの目的は酸、果実味、タンニン、スタイルなどより広い。</x:v>
      </x:c>
      <x:c r="Q20" s="42" t="str">
        <x:v>人的要因（ワイナリー）</x:v>
      </x:c>
      <x:c r="R20" s="42" t="str">
        <x:v>ブレンド</x:v>
      </x:c>
      <x:c r="S20" s="42" t="str">
        <x:v>全般</x:v>
      </x:c>
      <x:c r="T20" s="42" t="str"/>
      <x:c r="U20" s="42" t="str"/>
      <x:c r="V20" s="42" t="str"/>
      <x:c r="W20" s="42" t="str">
        <x:v>適用</x:v>
      </x:c>
      <x:c r="X20" s="53" t="str">
        <x:v>D2</x:v>
      </x:c>
      <x:c r="Y20" s="42" t="str">
        <x:v>ブレンド=規定回避; ブレンド=甘口化のみ</x:v>
      </x:c>
      <x:c r="Z20" s="53" t="str">
        <x:v>N</x:v>
      </x:c>
      <x:c r="AA20" s="42" t="str"/>
      <x:c r="AB20" s="42" t="str">
        <x:v>オリジナル</x:v>
      </x:c>
      <x:c r="AC20" s="42" t="str">
        <x:v>公式Specificationの範囲＋ユーザー作成コーパスの論点を参考に独自作成</x:v>
      </x:c>
      <x:c r="AD20" s="53" t="str">
        <x:v>未レビュー</x:v>
      </x:c>
      <x:c r="AE20" s="53" t="str"/>
      <x:c r="AF20" s="53" t="str"/>
      <x:c r="AG20" s="43" t="str"/>
    </x:row>
    <x:row r="21" ht="84" customHeight="1">
      <x:c r="A21" s="41" t="str">
        <x:v>LO1-020</x:v>
      </x:c>
      <x:c r="B21" s="53" t="str">
        <x:v>LO1</x:v>
      </x:c>
      <x:c r="C21" s="42" t="str">
        <x:v>ブドウ畑・ワイナリーの自然要因と人的要因</x:v>
      </x:c>
      <x:c r="D21" s="42" t="str">
        <x:v>包装</x:v>
      </x:c>
      <x:c r="E21" s="42" t="str">
        <x:v>バッグ・イン・ボックスが、開封後のワインを比較的長く新鮮に保ちやすい主な理由はどれか。</x:v>
      </x:c>
      <x:c r="F21" s="42" t="str">
        <x:v>容器内で継続的に二次発酵が起こるため</x:v>
      </x:c>
      <x:c r="G21" s="42" t="str">
        <x:v>プラスチック袋がワインに亜硫酸を自動的に加えるため</x:v>
      </x:c>
      <x:c r="H21" s="42" t="str">
        <x:v>箱が光を通すことで還元臭を除去するため</x:v>
      </x:c>
      <x:c r="I21" s="42" t="str">
        <x:v>ワインを注ぐと内袋が縮み、容器内へ空気が入りにくいため</x:v>
      </x:c>
      <x:c r="J21" s="53" t="str">
        <x:v>D</x:v>
      </x:c>
      <x:c r="K21" s="42" t="str">
        <x:v>ワインを注ぐと内袋が縮み、容器内へ空気が入りにくいため</x:v>
      </x:c>
      <x:c r="L21" s="42" t="str">
        <x:v>ヘッドスペースへの酸素流入が抑えられ、開封後の酸化速度が遅くなる。</x:v>
      </x:c>
      <x:c r="M21" s="42" t="str">
        <x:v>誤り。 通常は再発酵を防ぐよう安定化されており、二次発酵が鮮度維持の理由ではない。</x:v>
      </x:c>
      <x:c r="N21" s="42" t="str">
        <x:v>誤り。 包装材が亜硫酸を自動添加するわけではない。</x:v>
      </x:c>
      <x:c r="O21" s="42" t="str">
        <x:v>誤り。 箱はむしろ光を遮り、光を通すことが鮮度維持の理由ではない。</x:v>
      </x:c>
      <x:c r="P21" s="42" t="str">
        <x:v>正しい。 ヘッドスペースへの酸素流入が抑えられ、開封後の酸化速度が遅くなる。</x:v>
      </x:c>
      <x:c r="Q21" s="42" t="str">
        <x:v>人的要因（ワイナリー）</x:v>
      </x:c>
      <x:c r="R21" s="42" t="str">
        <x:v>包装・酸化管理</x:v>
      </x:c>
      <x:c r="S21" s="42" t="str">
        <x:v>全般</x:v>
      </x:c>
      <x:c r="T21" s="42" t="str"/>
      <x:c r="U21" s="42" t="str"/>
      <x:c r="V21" s="42" t="str"/>
      <x:c r="W21" s="42" t="str">
        <x:v>因果説明</x:v>
      </x:c>
      <x:c r="X21" s="53" t="str">
        <x:v>D2</x:v>
      </x:c>
      <x:c r="Y21" s="42" t="str">
        <x:v>バッグインボックス=再発酵; 包装材=亜硫酸添加</x:v>
      </x:c>
      <x:c r="Z21" s="53" t="str">
        <x:v>N</x:v>
      </x:c>
      <x:c r="AA21" s="42" t="str"/>
      <x:c r="AB21" s="42" t="str">
        <x:v>オリジナル</x:v>
      </x:c>
      <x:c r="AC21" s="42" t="str">
        <x:v>公式Specificationの範囲＋ユーザー作成コーパスの論点を参考に独自作成</x:v>
      </x:c>
      <x:c r="AD21" s="53" t="str">
        <x:v>未レビュー</x:v>
      </x:c>
      <x:c r="AE21" s="53" t="str"/>
      <x:c r="AF21" s="53" t="str"/>
      <x:c r="AG21" s="43" t="str"/>
    </x:row>
    <x:row r="22" ht="84" customHeight="1">
      <x:c r="A22" s="41" t="str">
        <x:v>LO2-001</x:v>
      </x:c>
      <x:c r="B22" s="53" t="str">
        <x:v>LO2</x:v>
      </x:c>
      <x:c r="C22" s="42" t="str">
        <x:v>世界の主要な非発泡性ワイン</x:v>
      </x:c>
      <x:c r="D22" s="42" t="str">
        <x:v>メドック</x:v>
      </x:c>
      <x:c r="E22" s="42" t="str">
        <x:v>メドックの上質赤ワインでカベルネ・ソーヴィニヨンが重要となる自然要因として、最も適切なものはどれか。</x:v>
      </x:c>
      <x:c r="F22" s="42" t="str">
        <x:v>砂利質土壌の水はけと蓄熱性が、晩熟な品種の成熟を助ける</x:v>
      </x:c>
      <x:c r="G22" s="42" t="str">
        <x:v>粘土質土壌の高い保水性が、晩熟なカベルネ・ソーヴィニヨンの成熟を早める</x:v>
      </x:c>
      <x:c r="H22" s="42" t="str">
        <x:v>冷涼な大陸性気候が生育期の降雨を少なくし、成熟を安定させる</x:v>
      </x:c>
      <x:c r="I22" s="42" t="str">
        <x:v>高標高による大きな日較差が主な成熟要因になる</x:v>
      </x:c>
      <x:c r="J22" s="53" t="str">
        <x:v>A</x:v>
      </x:c>
      <x:c r="K22" s="42" t="str">
        <x:v>砂利質土壌の水はけと蓄熱性が、晩熟な品種の成熟を助ける</x:v>
      </x:c>
      <x:c r="L22" s="42" t="str">
        <x:v>砂利は排水性が高く、日中の熱を蓄えて成熟を助けるため、カベルネ・ソーヴィニヨンに適する。</x:v>
      </x:c>
      <x:c r="M22" s="42" t="str">
        <x:v>正しい。 砂利は排水性が高く、日中の熱を蓄えて成熟を助けるため、カベルネ・ソーヴィニヨンに適する。</x:v>
      </x:c>
      <x:c r="N22" s="42" t="str">
        <x:v>誤り。 粘土の保水性は右岸のメルロと結びつきやすく、メドックのカベルネを最も直接的に説明しない。</x:v>
      </x:c>
      <x:c r="O22" s="42" t="str">
        <x:v>誤り。 ボルドーは海洋性気候で、降雨は生育期や収穫期のリスクとなり得る。</x:v>
      </x:c>
      <x:c r="P22" s="42" t="str">
        <x:v>誤り。 メドックは高標高地域ではなく、標高が主要な説明ではない。</x:v>
      </x:c>
      <x:c r="Q22" s="42" t="str">
        <x:v>自然要因・産地</x:v>
      </x:c>
      <x:c r="R22" s="42" t="str">
        <x:v>土壌と品種</x:v>
      </x:c>
      <x:c r="S22" s="42" t="str">
        <x:v>赤非発泡性ワイン</x:v>
      </x:c>
      <x:c r="T22" s="42" t="str">
        <x:v>フランス</x:v>
      </x:c>
      <x:c r="U22" s="42" t="str">
        <x:v>メドック</x:v>
      </x:c>
      <x:c r="V22" s="42" t="str">
        <x:v>カベルネ・ソーヴィニヨン</x:v>
      </x:c>
      <x:c r="W22" s="42" t="str">
        <x:v>因果説明</x:v>
      </x:c>
      <x:c r="X22" s="53" t="str">
        <x:v>D2</x:v>
      </x:c>
      <x:c r="Y22" s="42" t="str">
        <x:v>左岸=粘土とメルロ; ボルドー=大陸性</x:v>
      </x:c>
      <x:c r="Z22" s="53" t="str">
        <x:v>N</x:v>
      </x:c>
      <x:c r="AA22" s="42" t="str"/>
      <x:c r="AB22" s="42" t="str">
        <x:v>オリジナル</x:v>
      </x:c>
      <x:c r="AC22" s="42" t="str">
        <x:v>公式Specificationの範囲＋ユーザー作成コーパスの論点を参考に独自作成</x:v>
      </x:c>
      <x:c r="AD22" s="53" t="str">
        <x:v>未レビュー</x:v>
      </x:c>
      <x:c r="AE22" s="53" t="str"/>
      <x:c r="AF22" s="53" t="str"/>
      <x:c r="AG22" s="43" t="str"/>
    </x:row>
    <x:row r="23" ht="84" customHeight="1">
      <x:c r="A23" s="41" t="str">
        <x:v>LO2-002</x:v>
      </x:c>
      <x:c r="B23" s="53" t="str">
        <x:v>LO2</x:v>
      </x:c>
      <x:c r="C23" s="42" t="str">
        <x:v>世界の主要な非発泡性ワイン</x:v>
      </x:c>
      <x:c r="D23" s="42" t="str">
        <x:v>ポムロール</x:v>
      </x:c>
      <x:c r="E23" s="42" t="str">
        <x:v>ポムロールでメルロが主要品種となる理由として最も適切なものはどれか。</x:v>
      </x:c>
      <x:c r="F23" s="42" t="str">
        <x:v>メルロはカベルネ・ソーヴィニヨンより晩熟で、冷涼な年に有利だから</x:v>
      </x:c>
      <x:c r="G23" s="42" t="str">
        <x:v>粘土質土壌が水分を保持し、早熟なメルロの生育と成熟を支えるから</x:v>
      </x:c>
      <x:c r="H23" s="42" t="str">
        <x:v>海から最も遠いため、乾燥した地中海性気候になるから</x:v>
      </x:c>
      <x:c r="I23" s="42" t="str">
        <x:v>法律によりメルロ以外の黒ブドウが全面的に禁止されているから</x:v>
      </x:c>
      <x:c r="J23" s="53" t="str">
        <x:v>B</x:v>
      </x:c>
      <x:c r="K23" s="42" t="str">
        <x:v>粘土質土壌が水分を保持し、早熟なメルロの生育と成熟を支えるから</x:v>
      </x:c>
      <x:c r="L23" s="42" t="str">
        <x:v>ポムロールの粘土質土壌は水分保持力があり、メルロに適した条件を作る。</x:v>
      </x:c>
      <x:c r="M23" s="42" t="str">
        <x:v>誤り。 メルロは一般にカベルネ・ソーヴィニヨンより早熟である。</x:v>
      </x:c>
      <x:c r="N23" s="42" t="str">
        <x:v>正しい。 ポムロールの粘土質土壌は水分保持力があり、メルロに適した条件を作る。</x:v>
      </x:c>
      <x:c r="O23" s="42" t="str">
        <x:v>誤り。 ポムロールもボルドーの海洋性気候の影響を受ける。</x:v>
      </x:c>
      <x:c r="P23" s="42" t="str">
        <x:v>誤り。 他のボルドー品種も使用可能であり、メルロだけに限定されていない。</x:v>
      </x:c>
      <x:c r="Q23" s="42" t="str">
        <x:v>自然要因・産地</x:v>
      </x:c>
      <x:c r="R23" s="42" t="str">
        <x:v>土壌と品種</x:v>
      </x:c>
      <x:c r="S23" s="42" t="str">
        <x:v>赤非発泡性ワイン</x:v>
      </x:c>
      <x:c r="T23" s="42" t="str">
        <x:v>フランス</x:v>
      </x:c>
      <x:c r="U23" s="42" t="str">
        <x:v>ポムロール</x:v>
      </x:c>
      <x:c r="V23" s="42" t="str">
        <x:v>メルロ</x:v>
      </x:c>
      <x:c r="W23" s="42" t="str">
        <x:v>因果説明</x:v>
      </x:c>
      <x:c r="X23" s="53" t="str">
        <x:v>D2</x:v>
      </x:c>
      <x:c r="Y23" s="42" t="str">
        <x:v>メルロ=晩熟; ポムロール=メルロのみ</x:v>
      </x:c>
      <x:c r="Z23" s="53" t="str">
        <x:v>N</x:v>
      </x:c>
      <x:c r="AA23" s="42" t="str"/>
      <x:c r="AB23" s="42" t="str">
        <x:v>オリジナル</x:v>
      </x:c>
      <x:c r="AC23" s="42" t="str">
        <x:v>公式Specificationの範囲＋ユーザー作成コーパスの論点を参考に独自作成</x:v>
      </x:c>
      <x:c r="AD23" s="53" t="str">
        <x:v>未レビュー</x:v>
      </x:c>
      <x:c r="AE23" s="53" t="str"/>
      <x:c r="AF23" s="53" t="str"/>
      <x:c r="AG23" s="43" t="str"/>
    </x:row>
    <x:row r="24" ht="84" customHeight="1">
      <x:c r="A24" s="41" t="str">
        <x:v>LO2-003</x:v>
      </x:c>
      <x:c r="B24" s="53" t="str">
        <x:v>LO2</x:v>
      </x:c>
      <x:c r="C24" s="42" t="str">
        <x:v>世界の主要な非発泡性ワイン</x:v>
      </x:c>
      <x:c r="D24" s="42" t="str">
        <x:v>ソーテルヌ</x:v>
      </x:c>
      <x:c r="E24" s="42" t="str">
        <x:v>ソーテルヌで複数回に分けた選別収穫が必要となる主な理由はどれか。</x:v>
      </x:c>
      <x:c r="F24" s="42" t="str">
        <x:v>貴腐化した果粒が房全体で同時に成熟するため</x:v>
      </x:c>
      <x:c r="G24" s="42" t="str">
        <x:v>法律が一日に収穫できる房数を制限しているため</x:v>
      </x:c>
      <x:c r="H24" s="42" t="str">
        <x:v>貴腐化の進み方が果粒ごとに異なり、適切な果粒だけを選ぶ必要があるため</x:v>
      </x:c>
      <x:c r="I24" s="42" t="str">
        <x:v>機械収穫が果粒の水分を増やし、糖度を下げるため</x:v>
      </x:c>
      <x:c r="J24" s="53" t="str">
        <x:v>C</x:v>
      </x:c>
      <x:c r="K24" s="42" t="str">
        <x:v>貴腐化の進み方が果粒ごとに異なり、適切な果粒だけを選ぶ必要があるため</x:v>
      </x:c>
      <x:c r="L24" s="42" t="str">
        <x:v>健全な貴腐果を選ぶために畑を何度も回り、収量と労働コストが大きくなる。</x:v>
      </x:c>
      <x:c r="M24" s="42" t="str">
        <x:v>誤り。 貴腐の進行は果粒ごとに不均一であり、一度で均一に収穫できない。</x:v>
      </x:c>
      <x:c r="N24" s="42" t="str">
        <x:v>誤り。 複数回収穫は法律上の日量制限が主因ではない。</x:v>
      </x:c>
      <x:c r="O24" s="42" t="str">
        <x:v>正しい。 健全な貴腐果を選ぶために畑を何度も回り、収量と労働コストが大きくなる。</x:v>
      </x:c>
      <x:c r="P24" s="42" t="str">
        <x:v>誤り。 主因は糖度低下ではなく、貴腐果を選別する精度が必要なことである。</x:v>
      </x:c>
      <x:c r="Q24" s="42" t="str">
        <x:v>人的要因（畑）</x:v>
      </x:c>
      <x:c r="R24" s="42" t="str">
        <x:v>選別収穫・価格</x:v>
      </x:c>
      <x:c r="S24" s="42" t="str">
        <x:v>甘口非発泡性ワイン</x:v>
      </x:c>
      <x:c r="T24" s="42" t="str">
        <x:v>フランス</x:v>
      </x:c>
      <x:c r="U24" s="42" t="str">
        <x:v>ソーテルヌ</x:v>
      </x:c>
      <x:c r="V24" s="42" t="str">
        <x:v>セミヨン、ソーヴィニヨン・ブラン</x:v>
      </x:c>
      <x:c r="W24" s="42" t="str">
        <x:v>因果説明</x:v>
      </x:c>
      <x:c r="X24" s="53" t="str">
        <x:v>D2</x:v>
      </x:c>
      <x:c r="Y24" s="42" t="str">
        <x:v>貴腐は均一; 複数回収穫=法定日量</x:v>
      </x:c>
      <x:c r="Z24" s="53" t="str">
        <x:v>N</x:v>
      </x:c>
      <x:c r="AA24" s="42" t="str"/>
      <x:c r="AB24" s="42" t="str">
        <x:v>オリジナル</x:v>
      </x:c>
      <x:c r="AC24" s="42" t="str">
        <x:v>公式Specificationの範囲＋ユーザー作成コーパスの論点を参考に独自作成</x:v>
      </x:c>
      <x:c r="AD24" s="53" t="str">
        <x:v>未レビュー</x:v>
      </x:c>
      <x:c r="AE24" s="53" t="str"/>
      <x:c r="AF24" s="53" t="str"/>
      <x:c r="AG24" s="43" t="str"/>
    </x:row>
    <x:row r="25" ht="84" customHeight="1">
      <x:c r="A25" s="41" t="str">
        <x:v>LO2-004</x:v>
      </x:c>
      <x:c r="B25" s="53" t="str">
        <x:v>LO2</x:v>
      </x:c>
      <x:c r="C25" s="42" t="str">
        <x:v>世界の主要な非発泡性ワイン</x:v>
      </x:c>
      <x:c r="D25" s="42" t="str">
        <x:v>ブルゴーニュ</x:v>
      </x:c>
      <x:c r="E25" s="42" t="str">
        <x:v>ブルゴーニュの上位畑のワインが高価格になりやすい要因の組み合わせとして最も適切なものはどれか。</x:v>
      </x:c>
      <x:c r="F25" s="42" t="str">
        <x:v>高収量、広大な畑、機械化の容易さ</x:v>
      </x:c>
      <x:c r="G25" s="42" t="str">
        <x:v>温暖な平地、短い熟成、低い需要</x:v>
      </x:c>
      <x:c r="H25" s="42" t="str">
        <x:v>ブレンドによる大量生産と毎年の均一化</x:v>
      </x:c>
      <x:c r="I25" s="42" t="str">
        <x:v>小規模な区画、限られた供給、手作業の多さ、強い需要</x:v>
      </x:c>
      <x:c r="J25" s="53" t="str">
        <x:v>D</x:v>
      </x:c>
      <x:c r="K25" s="42" t="str">
        <x:v>小規模な区画、限られた供給、手作業の多さ、強い需要</x:v>
      </x:c>
      <x:c r="L25" s="42" t="str">
        <x:v>供給が限定され、生産コストが高く、名声による需要も強いため価格が上昇しやすい。</x:v>
      </x:c>
      <x:c r="M25" s="42" t="str">
        <x:v>誤り。 高収量と機械化は一般に生産コストを抑える方向に働く。</x:v>
      </x:c>
      <x:c r="N25" s="42" t="str">
        <x:v>誤り。 上位畑の価格を説明する条件とは反対である。</x:v>
      </x:c>
      <x:c r="O25" s="42" t="str">
        <x:v>誤り。 ブルゴーニュの上位畑は小区画と原産地の個性が重視される。</x:v>
      </x:c>
      <x:c r="P25" s="42" t="str">
        <x:v>正しい。 供給が限定され、生産コストが高く、名声による需要も強いため価格が上昇しやすい。</x:v>
      </x:c>
      <x:c r="Q25" s="42" t="str">
        <x:v>商業面・産地</x:v>
      </x:c>
      <x:c r="R25" s="42" t="str">
        <x:v>価格形成</x:v>
      </x:c>
      <x:c r="S25" s="42" t="str">
        <x:v>非発泡性ワイン</x:v>
      </x:c>
      <x:c r="T25" s="42" t="str">
        <x:v>フランス</x:v>
      </x:c>
      <x:c r="U25" s="42" t="str">
        <x:v>ブルゴーニュ</x:v>
      </x:c>
      <x:c r="V25" s="42" t="str">
        <x:v>ピノ・ノワール、シャルドネ</x:v>
      </x:c>
      <x:c r="W25" s="42" t="str">
        <x:v>統合判断</x:v>
      </x:c>
      <x:c r="X25" s="53" t="str">
        <x:v>D3</x:v>
      </x:c>
      <x:c r="Y25" s="42" t="str">
        <x:v>高価格=高収量; 上位畑=大量ブレンド</x:v>
      </x:c>
      <x:c r="Z25" s="53" t="str">
        <x:v>N</x:v>
      </x:c>
      <x:c r="AA25" s="42" t="str"/>
      <x:c r="AB25" s="42" t="str">
        <x:v>オリジナル</x:v>
      </x:c>
      <x:c r="AC25" s="42" t="str">
        <x:v>公式Specificationの範囲＋ユーザー作成コーパスの論点を参考に独自作成</x:v>
      </x:c>
      <x:c r="AD25" s="53" t="str">
        <x:v>未レビュー</x:v>
      </x:c>
      <x:c r="AE25" s="53" t="str"/>
      <x:c r="AF25" s="53" t="str"/>
      <x:c r="AG25" s="43" t="str"/>
    </x:row>
    <x:row r="26" ht="84" customHeight="1">
      <x:c r="A26" s="41" t="str">
        <x:v>LO2-005</x:v>
      </x:c>
      <x:c r="B26" s="53" t="str">
        <x:v>LO2</x:v>
      </x:c>
      <x:c r="C26" s="42" t="str">
        <x:v>世界の主要な非発泡性ワイン</x:v>
      </x:c>
      <x:c r="D26" s="42" t="str">
        <x:v>ミュスカデ</x:v>
      </x:c>
      <x:c r="E26" s="42" t="str">
        <x:v>ミュスカデ・セーヴル・エ・メーヌ・シュール・リーの典型的な特徴として最も適切なものはどれか。</x:v>
      </x:c>
      <x:c r="F26" s="42" t="str">
        <x:v>高い酸、軽めのボディ、控えめな果実風味、澱由来のわずかな厚み</x:v>
      </x:c>
      <x:c r="G26" s="42" t="str">
        <x:v>低い酸、フルボディ、強い新樽香</x:v>
      </x:c>
      <x:c r="H26" s="42" t="str">
        <x:v>高いタンニン、黒系果実、長期の酸化熟成</x:v>
      </x:c>
      <x:c r="I26" s="42" t="str">
        <x:v>高い残糖と貴腐由来の蜂蜜香</x:v>
      </x:c>
      <x:c r="J26" s="53" t="str">
        <x:v>A</x:v>
      </x:c>
      <x:c r="K26" s="42" t="str">
        <x:v>高い酸、軽めのボディ、控えめな果実風味、澱由来のわずかな厚み</x:v>
      </x:c>
      <x:c r="L26" s="42" t="str">
        <x:v>冷涼な海洋性環境のムロン・ブランに、澱との接触が質感や複雑さを加える。</x:v>
      </x:c>
      <x:c r="M26" s="42" t="str">
        <x:v>正しい。 冷涼な海洋性環境のムロン・ブランに、澱との接触が質感や複雑さを加える。</x:v>
      </x:c>
      <x:c r="N26" s="42" t="str">
        <x:v>誤り。 ミュスカデは一般に高酸で軽快であり、強い新樽香は典型的でない。</x:v>
      </x:c>
      <x:c r="O26" s="42" t="str">
        <x:v>誤り。 白ワインであり、黒系果実や高タンニンは典型的でない。</x:v>
      </x:c>
      <x:c r="P26" s="42" t="str">
        <x:v>誤り。 通常は辛口で、貴腐甘口を主とする産地ではない。</x:v>
      </x:c>
      <x:c r="Q26" s="42" t="str">
        <x:v>産地スタイル</x:v>
      </x:c>
      <x:c r="R26" s="42" t="str">
        <x:v>澱との接触</x:v>
      </x:c>
      <x:c r="S26" s="42" t="str">
        <x:v>白非発泡性ワイン</x:v>
      </x:c>
      <x:c r="T26" s="42" t="str">
        <x:v>フランス</x:v>
      </x:c>
      <x:c r="U26" s="42" t="str">
        <x:v>ミュスカデ・セーヴル・エ・メーヌ</x:v>
      </x:c>
      <x:c r="V26" s="42" t="str">
        <x:v>ムロン・ブラン</x:v>
      </x:c>
      <x:c r="W26" s="42" t="str">
        <x:v>知識確認</x:v>
      </x:c>
      <x:c r="X26" s="53" t="str">
        <x:v>D1</x:v>
      </x:c>
      <x:c r="Y26" s="42" t="str">
        <x:v>ミュスカデ=樽熟成; ミュスカデ=甘口</x:v>
      </x:c>
      <x:c r="Z26" s="53" t="str">
        <x:v>N</x:v>
      </x:c>
      <x:c r="AA26" s="42" t="str"/>
      <x:c r="AB26" s="42" t="str">
        <x:v>オリジナル</x:v>
      </x:c>
      <x:c r="AC26" s="42" t="str">
        <x:v>公式Specificationの範囲＋ユーザー作成コーパスの論点を参考に独自作成</x:v>
      </x:c>
      <x:c r="AD26" s="53" t="str">
        <x:v>未レビュー</x:v>
      </x:c>
      <x:c r="AE26" s="53" t="str"/>
      <x:c r="AF26" s="53" t="str"/>
      <x:c r="AG26" s="43" t="str"/>
    </x:row>
    <x:row r="27" ht="84" customHeight="1">
      <x:c r="A27" s="41" t="str">
        <x:v>LO2-006</x:v>
      </x:c>
      <x:c r="B27" s="53" t="str">
        <x:v>LO2</x:v>
      </x:c>
      <x:c r="C27" s="42" t="str">
        <x:v>世界の主要な非発泡性ワイン</x:v>
      </x:c>
      <x:c r="D27" s="42" t="str">
        <x:v>北部ローヌ</x:v>
      </x:c>
      <x:c r="E27" s="42" t="str">
        <x:v>コート・ロティの赤ワインにシラーらしい黒コショウの香りと高い品質をもたらす条件として最も適切なものはどれか。</x:v>
      </x:c>
      <x:c r="F27" s="42" t="str">
        <x:v>温暖な平地での高収量栽培と早い収穫</x:v>
      </x:c>
      <x:c r="G27" s="42" t="str">
        <x:v>急斜面の日照、良好な水はけ、温和な気候での十分な成熟</x:v>
      </x:c>
      <x:c r="H27" s="42" t="str">
        <x:v>高湿度の沿岸気候と恒常的な霧</x:v>
      </x:c>
      <x:c r="I27" s="42" t="str">
        <x:v>貴腐化したシラーを選別収穫すること</x:v>
      </x:c>
      <x:c r="J27" s="53" t="str">
        <x:v>B</x:v>
      </x:c>
      <x:c r="K27" s="42" t="str">
        <x:v>急斜面の日照、良好な水はけ、温和な気候での十分な成熟</x:v>
      </x:c>
      <x:c r="L27" s="42" t="str">
        <x:v>急斜面は日照を確保し、シラーの成熟を助ける一方、手作業が必要でコストも高い。</x:v>
      </x:c>
      <x:c r="M27" s="42" t="str">
        <x:v>誤り。 高収量と早摘みは凝縮度や成熟を損なう可能性がある。</x:v>
      </x:c>
      <x:c r="N27" s="42" t="str">
        <x:v>正しい。 急斜面は日照を確保し、シラーの成熟を助ける一方、手作業が必要でコストも高い。</x:v>
      </x:c>
      <x:c r="O27" s="42" t="str">
        <x:v>誤り。 北部ローヌは内陸の谷で、恒常的な沿岸霧が主要因ではない。</x:v>
      </x:c>
      <x:c r="P27" s="42" t="str">
        <x:v>誤り。 赤ワイン用シラーの貴腐化は望ましい主要要因ではない。</x:v>
      </x:c>
      <x:c r="Q27" s="42" t="str">
        <x:v>自然要因・産地</x:v>
      </x:c>
      <x:c r="R27" s="42" t="str">
        <x:v>斜面・成熟</x:v>
      </x:c>
      <x:c r="S27" s="42" t="str">
        <x:v>赤非発泡性ワイン</x:v>
      </x:c>
      <x:c r="T27" s="42" t="str">
        <x:v>フランス</x:v>
      </x:c>
      <x:c r="U27" s="42" t="str">
        <x:v>コート・ロティ</x:v>
      </x:c>
      <x:c r="V27" s="42" t="str">
        <x:v>シラー</x:v>
      </x:c>
      <x:c r="W27" s="42" t="str">
        <x:v>因果説明</x:v>
      </x:c>
      <x:c r="X27" s="53" t="str">
        <x:v>D2</x:v>
      </x:c>
      <x:c r="Y27" s="42" t="str">
        <x:v>北部ローヌ=沿岸霧; シラー=貴腐</x:v>
      </x:c>
      <x:c r="Z27" s="53" t="str">
        <x:v>N</x:v>
      </x:c>
      <x:c r="AA27" s="42" t="str"/>
      <x:c r="AB27" s="42" t="str">
        <x:v>オリジナル</x:v>
      </x:c>
      <x:c r="AC27" s="42" t="str">
        <x:v>公式Specificationの範囲＋ユーザー作成コーパスの論点を参考に独自作成</x:v>
      </x:c>
      <x:c r="AD27" s="53" t="str">
        <x:v>未レビュー</x:v>
      </x:c>
      <x:c r="AE27" s="53" t="str"/>
      <x:c r="AF27" s="53" t="str"/>
      <x:c r="AG27" s="43" t="str"/>
    </x:row>
    <x:row r="28" ht="84" customHeight="1">
      <x:c r="A28" s="41" t="str">
        <x:v>LO2-007</x:v>
      </x:c>
      <x:c r="B28" s="53" t="str">
        <x:v>LO2</x:v>
      </x:c>
      <x:c r="C28" s="42" t="str">
        <x:v>世界の主要な非発泡性ワイン</x:v>
      </x:c>
      <x:c r="D28" s="42" t="str">
        <x:v>アルザス</x:v>
      </x:c>
      <x:c r="E28" s="42" t="str">
        <x:v>アルザスで香りが強く、成熟度の高い白ワインを造りやすい主な自然要因はどれか。</x:v>
      </x:c>
      <x:c r="F28" s="42" t="str">
        <x:v>大西洋から直接受ける多量の降雨</x:v>
      </x:c>
      <x:c r="G28" s="42" t="str">
        <x:v>短い生育期間と恒常的な低温</x:v>
      </x:c>
      <x:c r="H28" s="42" t="str">
        <x:v>ヴォージュ山脈の雨陰による乾燥した晴天と長い生育期間</x:v>
      </x:c>
      <x:c r="I28" s="42" t="str">
        <x:v>北海からの冷たい海風が生育期を短縮し、糖の蓄積を抑えること</x:v>
      </x:c>
      <x:c r="J28" s="53" t="str">
        <x:v>C</x:v>
      </x:c>
      <x:c r="K28" s="42" t="str">
        <x:v>ヴォージュ山脈の雨陰による乾燥した晴天と長い生育期間</x:v>
      </x:c>
      <x:c r="L28" s="42" t="str">
        <x:v>乾燥と日照が健全な果実の成熟を促し、香りと糖度を高めやすい。</x:v>
      </x:c>
      <x:c r="M28" s="42" t="str">
        <x:v>誤り。 ヴォージュ山脈が西からの降雨を遮るため、アルザスは比較的乾燥している。</x:v>
      </x:c>
      <x:c r="N28" s="42" t="str">
        <x:v>誤り。 比較的長く乾燥した生育期間が成熟を支える。</x:v>
      </x:c>
      <x:c r="O28" s="42" t="str">
        <x:v>正しい。 乾燥と日照が健全な果実の成熟を促し、香りと糖度を高めやすい。</x:v>
      </x:c>
      <x:c r="P28" s="42" t="str">
        <x:v>誤り。 アルザスは内陸で、北海からの直接的な冷却が主要因ではない。</x:v>
      </x:c>
      <x:c r="Q28" s="42" t="str">
        <x:v>自然要因・産地</x:v>
      </x:c>
      <x:c r="R28" s="42" t="str">
        <x:v>雨陰・成熟</x:v>
      </x:c>
      <x:c r="S28" s="42" t="str">
        <x:v>白非発泡性ワイン</x:v>
      </x:c>
      <x:c r="T28" s="42" t="str">
        <x:v>フランス</x:v>
      </x:c>
      <x:c r="U28" s="42" t="str">
        <x:v>アルザス</x:v>
      </x:c>
      <x:c r="V28" s="42" t="str">
        <x:v>リースリング、ピノ・グリ、ゲヴュルツトラミネール</x:v>
      </x:c>
      <x:c r="W28" s="42" t="str">
        <x:v>因果説明</x:v>
      </x:c>
      <x:c r="X28" s="53" t="str">
        <x:v>D2</x:v>
      </x:c>
      <x:c r="Y28" s="42" t="str">
        <x:v>アルザス=多雨; アルザス=沿岸冷却</x:v>
      </x:c>
      <x:c r="Z28" s="53" t="str">
        <x:v>N</x:v>
      </x:c>
      <x:c r="AA28" s="42" t="str"/>
      <x:c r="AB28" s="42" t="str">
        <x:v>オリジナル</x:v>
      </x:c>
      <x:c r="AC28" s="42" t="str">
        <x:v>公式Specificationの範囲＋ユーザー作成コーパスの論点を参考に独自作成</x:v>
      </x:c>
      <x:c r="AD28" s="53" t="str">
        <x:v>未レビュー</x:v>
      </x:c>
      <x:c r="AE28" s="53" t="str"/>
      <x:c r="AF28" s="53" t="str"/>
      <x:c r="AG28" s="43" t="str"/>
    </x:row>
    <x:row r="29" ht="84" customHeight="1">
      <x:c r="A29" s="41" t="str">
        <x:v>LO2-008</x:v>
      </x:c>
      <x:c r="B29" s="53" t="str">
        <x:v>LO2</x:v>
      </x:c>
      <x:c r="C29" s="42" t="str">
        <x:v>世界の主要な非発泡性ワイン</x:v>
      </x:c>
      <x:c r="D29" s="42" t="str">
        <x:v>モーゼル</x:v>
      </x:c>
      <x:c r="E29" s="42" t="str">
        <x:v>モーゼルの急斜面にあるリースリング畑が高コストになりやすい最も直接的な理由はどれか。</x:v>
      </x:c>
      <x:c r="F29" s="42" t="str">
        <x:v>高い酸を和らげるため、長期間の新樽熟成を行う必要があるから</x:v>
      </x:c>
      <x:c r="G29" s="42" t="str">
        <x:v>残糖を得るため、瓶内で二次発酵を行い発酵を途中で止めるから</x:v>
      </x:c>
      <x:c r="H29" s="42" t="str">
        <x:v>スレート土壌が肥沃で収量が高すぎるから</x:v>
      </x:c>
      <x:c r="I29" s="42" t="str">
        <x:v>機械化が難しく、畑作業と収穫を手作業で行う必要が多いから</x:v>
      </x:c>
      <x:c r="J29" s="53" t="str">
        <x:v>D</x:v>
      </x:c>
      <x:c r="K29" s="42" t="str">
        <x:v>機械化が難しく、畑作業と収穫を手作業で行う必要が多いから</x:v>
      </x:c>
      <x:c r="L29" s="42" t="str">
        <x:v>急斜面では機械の使用が制限され、労働時間と生産コストが増える。</x:v>
      </x:c>
      <x:c r="M29" s="42" t="str">
        <x:v>誤り。 モーゼルのリースリングは新樽熟成を必須とせず、急斜面の手作業がコストの主因である。</x:v>
      </x:c>
      <x:c r="N29" s="42" t="str">
        <x:v>誤り。 残糖は一次発酵を止めるなどして得られ、瓶内二次発酵は通常のモーゼル・リースリングの工程ではない。</x:v>
      </x:c>
      <x:c r="O29" s="42" t="str">
        <x:v>誤り。 スレートは一般に肥沃な土壌ではなく、高収量が主因ではない。</x:v>
      </x:c>
      <x:c r="P29" s="42" t="str">
        <x:v>正しい。 急斜面では機械の使用が制限され、労働時間と生産コストが増える。</x:v>
      </x:c>
      <x:c r="Q29" s="42" t="str">
        <x:v>商業面・産地</x:v>
      </x:c>
      <x:c r="R29" s="42" t="str">
        <x:v>急斜面・生産コスト</x:v>
      </x:c>
      <x:c r="S29" s="42" t="str">
        <x:v>白非発泡性ワイン</x:v>
      </x:c>
      <x:c r="T29" s="42" t="str">
        <x:v>ドイツ</x:v>
      </x:c>
      <x:c r="U29" s="42" t="str">
        <x:v>モーゼル</x:v>
      </x:c>
      <x:c r="V29" s="42" t="str">
        <x:v>リースリング</x:v>
      </x:c>
      <x:c r="W29" s="42" t="str">
        <x:v>因果説明</x:v>
      </x:c>
      <x:c r="X29" s="53" t="str">
        <x:v>D2</x:v>
      </x:c>
      <x:c r="Y29" s="42" t="str">
        <x:v>モーゼル=新樽必須; 急斜面=高収量</x:v>
      </x:c>
      <x:c r="Z29" s="53" t="str">
        <x:v>N</x:v>
      </x:c>
      <x:c r="AA29" s="42" t="str"/>
      <x:c r="AB29" s="42" t="str">
        <x:v>オリジナル</x:v>
      </x:c>
      <x:c r="AC29" s="42" t="str">
        <x:v>公式Specificationの範囲＋ユーザー作成コーパスの論点を参考に独自作成</x:v>
      </x:c>
      <x:c r="AD29" s="53" t="str">
        <x:v>未レビュー</x:v>
      </x:c>
      <x:c r="AE29" s="53" t="str"/>
      <x:c r="AF29" s="53" t="str"/>
      <x:c r="AG29" s="43" t="str"/>
    </x:row>
    <x:row r="30" ht="84" customHeight="1">
      <x:c r="A30" s="41" t="str">
        <x:v>LO2-009</x:v>
      </x:c>
      <x:c r="B30" s="53" t="str">
        <x:v>LO2</x:v>
      </x:c>
      <x:c r="C30" s="42" t="str">
        <x:v>世界の主要な非発泡性ワイン</x:v>
      </x:c>
      <x:c r="D30" s="42" t="str">
        <x:v>ヴァッハウ</x:v>
      </x:c>
      <x:c r="E30" s="42" t="str">
        <x:v>ヴァッハウの上質な辛口リースリングやグリューナー・ヴェルトリーナーに寄与する条件として最も適切なものはどれか。</x:v>
      </x:c>
      <x:c r="F30" s="42" t="str">
        <x:v>日当たりのよい段々畑と、標高や冷たい気流による夜間の冷却</x:v>
      </x:c>
      <x:c r="G30" s="42" t="str">
        <x:v>熱帯性気候と年間を通じた高湿度</x:v>
      </x:c>
      <x:c r="H30" s="42" t="str">
        <x:v>平坦で肥沃な沖積地だけを使用すること</x:v>
      </x:c>
      <x:c r="I30" s="42" t="str">
        <x:v>貴腐化した果実のみを使用する法律</x:v>
      </x:c>
      <x:c r="J30" s="53" t="str">
        <x:v>A</x:v>
      </x:c>
      <x:c r="K30" s="42" t="str">
        <x:v>日当たりのよい段々畑と、標高や冷たい気流による夜間の冷却</x:v>
      </x:c>
      <x:c r="L30" s="42" t="str">
        <x:v>日中の成熟と夜間の酸の保持を両立し、凝縮度と鮮度を持つワインを生みやすい。</x:v>
      </x:c>
      <x:c r="M30" s="42" t="str">
        <x:v>正しい。 日中の成熟と夜間の酸の保持を両立し、凝縮度と鮮度を持つワインを生みやすい。</x:v>
      </x:c>
      <x:c r="N30" s="42" t="str">
        <x:v>誤り。 ヴァッハウは熱帯性ではなく、大陸性の影響を受ける。</x:v>
      </x:c>
      <x:c r="O30" s="42" t="str">
        <x:v>誤り。 上質ワインは急斜面の段々畑とも強く結びつく。</x:v>
      </x:c>
      <x:c r="P30" s="42" t="str">
        <x:v>誤り。 辛口ワインでは貴腐果のみを使用する規定はない。</x:v>
      </x:c>
      <x:c r="Q30" s="42" t="str">
        <x:v>自然要因・産地</x:v>
      </x:c>
      <x:c r="R30" s="42" t="str">
        <x:v>斜面・日較差</x:v>
      </x:c>
      <x:c r="S30" s="42" t="str">
        <x:v>白非発泡性ワイン</x:v>
      </x:c>
      <x:c r="T30" s="42" t="str">
        <x:v>オーストリア</x:v>
      </x:c>
      <x:c r="U30" s="42" t="str">
        <x:v>ヴァッハウ</x:v>
      </x:c>
      <x:c r="V30" s="42" t="str">
        <x:v>リースリング、グリューナー・ヴェルトリーナー</x:v>
      </x:c>
      <x:c r="W30" s="42" t="str">
        <x:v>因果説明</x:v>
      </x:c>
      <x:c r="X30" s="53" t="str">
        <x:v>D3</x:v>
      </x:c>
      <x:c r="Y30" s="42" t="str">
        <x:v>ヴァッハウ=熱帯; 辛口=貴腐必須</x:v>
      </x:c>
      <x:c r="Z30" s="53" t="str">
        <x:v>N</x:v>
      </x:c>
      <x:c r="AA30" s="42" t="str"/>
      <x:c r="AB30" s="42" t="str">
        <x:v>オリジナル</x:v>
      </x:c>
      <x:c r="AC30" s="42" t="str">
        <x:v>公式Specificationの範囲＋ユーザー作成コーパスの論点を参考に独自作成</x:v>
      </x:c>
      <x:c r="AD30" s="53" t="str">
        <x:v>未レビュー</x:v>
      </x:c>
      <x:c r="AE30" s="53" t="str"/>
      <x:c r="AF30" s="53" t="str"/>
      <x:c r="AG30" s="43" t="str"/>
    </x:row>
    <x:row r="31" ht="84" customHeight="1">
      <x:c r="A31" s="41" t="str">
        <x:v>LO2-010</x:v>
      </x:c>
      <x:c r="B31" s="53" t="str">
        <x:v>LO2</x:v>
      </x:c>
      <x:c r="C31" s="42" t="str">
        <x:v>世界の主要な非発泡性ワイン</x:v>
      </x:c>
      <x:c r="D31" s="42" t="str">
        <x:v>トカイ</x:v>
      </x:c>
      <x:c r="E31" s="42" t="str">
        <x:v>トカイ・アスーの甘味と高い酸のバランスに最も重要な品種はどれか。</x:v>
      </x:c>
      <x:c r="F31" s="42" t="str">
        <x:v>グレラ</x:v>
      </x:c>
      <x:c r="G31" s="42" t="str">
        <x:v>フルミント</x:v>
      </x:c>
      <x:c r="H31" s="42" t="str">
        <x:v>パロミノ</x:v>
      </x:c>
      <x:c r="I31" s="42" t="str">
        <x:v>マカベオ</x:v>
      </x:c>
      <x:c r="J31" s="53" t="str">
        <x:v>B</x:v>
      </x:c>
      <x:c r="K31" s="42" t="str">
        <x:v>フルミント</x:v>
      </x:c>
      <x:c r="L31" s="42" t="str">
        <x:v>フルミントは高い酸を保持しやすく、貴腐にも適し、トカイの甘口ワインの骨格を支える。</x:v>
      </x:c>
      <x:c r="M31" s="42" t="str">
        <x:v>誤り。 グレラは主にプロセッコに使用される品種である。</x:v>
      </x:c>
      <x:c r="N31" s="42" t="str">
        <x:v>正しい。 フルミントは高い酸を保持しやすく、貴腐にも適し、トカイの甘口ワインの骨格を支える。</x:v>
      </x:c>
      <x:c r="O31" s="42" t="str">
        <x:v>誤り。 パロミノは主にシェリーの辛口ベースワインに使用される。</x:v>
      </x:c>
      <x:c r="P31" s="42" t="str">
        <x:v>誤り。 マカベオはカバやスペインの白ワインで重要だが、トカイの主要品種ではない。</x:v>
      </x:c>
      <x:c r="Q31" s="42" t="str">
        <x:v>品種・産地</x:v>
      </x:c>
      <x:c r="R31" s="42" t="str">
        <x:v>甘口ワインの骨格</x:v>
      </x:c>
      <x:c r="S31" s="42" t="str">
        <x:v>甘口非発泡性ワイン</x:v>
      </x:c>
      <x:c r="T31" s="42" t="str">
        <x:v>ハンガリー</x:v>
      </x:c>
      <x:c r="U31" s="42" t="str">
        <x:v>トカイ</x:v>
      </x:c>
      <x:c r="V31" s="42" t="str">
        <x:v>フルミント</x:v>
      </x:c>
      <x:c r="W31" s="42" t="str">
        <x:v>知識確認</x:v>
      </x:c>
      <x:c r="X31" s="53" t="str">
        <x:v>D1</x:v>
      </x:c>
      <x:c r="Y31" s="42" t="str">
        <x:v>トカイ=パロミノ; トカイ=グレラ</x:v>
      </x:c>
      <x:c r="Z31" s="53" t="str">
        <x:v>N</x:v>
      </x:c>
      <x:c r="AA31" s="42" t="str"/>
      <x:c r="AB31" s="42" t="str">
        <x:v>オリジナル</x:v>
      </x:c>
      <x:c r="AC31" s="42" t="str">
        <x:v>公式Specificationの範囲＋ユーザー作成コーパスの論点を参考に独自作成</x:v>
      </x:c>
      <x:c r="AD31" s="53" t="str">
        <x:v>未レビュー</x:v>
      </x:c>
      <x:c r="AE31" s="53" t="str"/>
      <x:c r="AF31" s="53" t="str"/>
      <x:c r="AG31" s="43" t="str"/>
    </x:row>
    <x:row r="32" ht="84" customHeight="1">
      <x:c r="A32" s="41" t="str">
        <x:v>LO2-011</x:v>
      </x:c>
      <x:c r="B32" s="53" t="str">
        <x:v>LO2</x:v>
      </x:c>
      <x:c r="C32" s="42" t="str">
        <x:v>世界の主要な非発泡性ワイン</x:v>
      </x:c>
      <x:c r="D32" s="42" t="str">
        <x:v>バローロ</x:v>
      </x:c>
      <x:c r="E32" s="42" t="str">
        <x:v>ネッビオーロがバローロで長い生育期間を必要とする主な理由はどれか。</x:v>
      </x:c>
      <x:c r="F32" s="42" t="str">
        <x:v>早熟で、萌芽後すぐに糖度が上がる品種だから</x:v>
      </x:c>
      <x:c r="G32" s="42" t="str">
        <x:v>色を濃くするため、収穫後に果実を陰干しする品種だから</x:v>
      </x:c>
      <x:c r="H32" s="42" t="str">
        <x:v>晩熟で、糖、香り、タンニンの成熟に十分な時間を要するから</x:v>
      </x:c>
      <x:c r="I32" s="42" t="str">
        <x:v>法律で収穫日が冬まで延期されるから</x:v>
      </x:c>
      <x:c r="J32" s="53" t="str">
        <x:v>C</x:v>
      </x:c>
      <x:c r="K32" s="42" t="str">
        <x:v>晩熟で、糖、香り、タンニンの成熟に十分な時間を要するから</x:v>
      </x:c>
      <x:c r="L32" s="42" t="str">
        <x:v>長い秋と日当たりのよい斜面が、酸を保ちながらフェノール類の成熟を進める。</x:v>
      </x:c>
      <x:c r="M32" s="42" t="str">
        <x:v>誤り。 ネッビオーロは晩熟品種であり、説明が逆である。</x:v>
      </x:c>
      <x:c r="N32" s="42" t="str">
        <x:v>誤り。 陰干しはアマローネなどに関係し、バローロの必須工程ではない。</x:v>
      </x:c>
      <x:c r="O32" s="42" t="str">
        <x:v>正しい。 長い秋と日当たりのよい斜面が、酸を保ちながらフェノール類の成熟を進める。</x:v>
      </x:c>
      <x:c r="P32" s="42" t="str">
        <x:v>誤り。 成熟の必要性は品種特性と気候によるもので、冬までの延期が法律で義務付けられているわけではない。</x:v>
      </x:c>
      <x:c r="Q32" s="42" t="str">
        <x:v>品種・産地</x:v>
      </x:c>
      <x:c r="R32" s="42" t="str">
        <x:v>晩熟・成熟</x:v>
      </x:c>
      <x:c r="S32" s="42" t="str">
        <x:v>赤非発泡性ワイン</x:v>
      </x:c>
      <x:c r="T32" s="42" t="str">
        <x:v>イタリア</x:v>
      </x:c>
      <x:c r="U32" s="42" t="str">
        <x:v>バローロ</x:v>
      </x:c>
      <x:c r="V32" s="42" t="str">
        <x:v>ネッビオーロ</x:v>
      </x:c>
      <x:c r="W32" s="42" t="str">
        <x:v>因果説明</x:v>
      </x:c>
      <x:c r="X32" s="53" t="str">
        <x:v>D2</x:v>
      </x:c>
      <x:c r="Y32" s="42" t="str">
        <x:v>ネッビオーロ=早熟; バローロ=陰干し</x:v>
      </x:c>
      <x:c r="Z32" s="53" t="str">
        <x:v>N</x:v>
      </x:c>
      <x:c r="AA32" s="42" t="str"/>
      <x:c r="AB32" s="42" t="str">
        <x:v>オリジナル</x:v>
      </x:c>
      <x:c r="AC32" s="42" t="str">
        <x:v>公式Specificationの範囲＋ユーザー作成コーパスの論点を参考に独自作成</x:v>
      </x:c>
      <x:c r="AD32" s="53" t="str">
        <x:v>未レビュー</x:v>
      </x:c>
      <x:c r="AE32" s="53" t="str"/>
      <x:c r="AF32" s="53" t="str"/>
      <x:c r="AG32" s="43" t="str"/>
    </x:row>
    <x:row r="33" ht="84" customHeight="1">
      <x:c r="A33" s="41" t="str">
        <x:v>LO2-012</x:v>
      </x:c>
      <x:c r="B33" s="53" t="str">
        <x:v>LO2</x:v>
      </x:c>
      <x:c r="C33" s="42" t="str">
        <x:v>世界の主要な非発泡性ワイン</x:v>
      </x:c>
      <x:c r="D33" s="42" t="str">
        <x:v>ヴァルポリチェッラ・リパッソ</x:v>
      </x:c>
      <x:c r="E33" s="42" t="str">
        <x:v>ヴァルポリチェッラ・リパッソが通常のヴァルポリチェッラよりボディと風味の強さを増しやすい理由はどれか。</x:v>
      </x:c>
      <x:c r="F33" s="42" t="str">
        <x:v>完成したワインを低温で凍結し、水分を除いて濃縮するから</x:v>
      </x:c>
      <x:c r="G33" s="42" t="str">
        <x:v>新樽で長期熟成し、樽由来の風味とアルコールを高めるから</x:v>
      </x:c>
      <x:c r="H33" s="42" t="str">
        <x:v>発酵途中に酒精強化し、残糖とアルコールを高めるから</x:v>
      </x:c>
      <x:c r="I33" s="42" t="str">
        <x:v>アマローネまたはレチョートの搾りかすと再発酵させ、成分を追加抽出するから</x:v>
      </x:c>
      <x:c r="J33" s="53" t="str">
        <x:v>D</x:v>
      </x:c>
      <x:c r="K33" s="42" t="str">
        <x:v>アマローネまたはレチョートの搾りかすと再発酵させ、成分を追加抽出するから</x:v>
      </x:c>
      <x:c r="L33" s="42" t="str">
        <x:v>搾りかすに残る糖、色素、タンニン、風味がワインに加わり、アルコールと構造も増す。</x:v>
      </x:c>
      <x:c r="M33" s="42" t="str">
        <x:v>誤り。 凍結濃縮はリパッソの製法ではない。</x:v>
      </x:c>
      <x:c r="N33" s="42" t="str">
        <x:v>誤り。 樽熟成はアルコールを大幅に高めず、リパッソの特徴を生む主要工程ではない。</x:v>
      </x:c>
      <x:c r="O33" s="42" t="str">
        <x:v>誤り。 リパッソは酒精強化ワインではない。</x:v>
      </x:c>
      <x:c r="P33" s="42" t="str">
        <x:v>正しい。 搾りかすに残る糖、色素、タンニン、風味がワインに加わり、アルコールと構造も増す。</x:v>
      </x:c>
      <x:c r="Q33" s="42" t="str">
        <x:v>醸造・産地</x:v>
      </x:c>
      <x:c r="R33" s="42" t="str">
        <x:v>リパッソ製法</x:v>
      </x:c>
      <x:c r="S33" s="42" t="str">
        <x:v>赤非発泡性ワイン</x:v>
      </x:c>
      <x:c r="T33" s="42" t="str">
        <x:v>イタリア</x:v>
      </x:c>
      <x:c r="U33" s="42" t="str">
        <x:v>ヴァルポリチェッラ</x:v>
      </x:c>
      <x:c r="V33" s="42" t="str">
        <x:v>コルヴィーナ</x:v>
      </x:c>
      <x:c r="W33" s="42" t="str">
        <x:v>因果説明</x:v>
      </x:c>
      <x:c r="X33" s="53" t="str">
        <x:v>D2</x:v>
      </x:c>
      <x:c r="Y33" s="42" t="str">
        <x:v>リパッソ=酒精強化; リパッソ=凍結濃縮</x:v>
      </x:c>
      <x:c r="Z33" s="53" t="str">
        <x:v>N</x:v>
      </x:c>
      <x:c r="AA33" s="42" t="str"/>
      <x:c r="AB33" s="42" t="str">
        <x:v>オリジナル</x:v>
      </x:c>
      <x:c r="AC33" s="42" t="str">
        <x:v>公式Specificationの範囲＋ユーザー作成コーパスの論点を参考に独自作成</x:v>
      </x:c>
      <x:c r="AD33" s="53" t="str">
        <x:v>未レビュー</x:v>
      </x:c>
      <x:c r="AE33" s="53" t="str"/>
      <x:c r="AF33" s="53" t="str"/>
      <x:c r="AG33" s="43" t="str"/>
    </x:row>
    <x:row r="34" ht="84" customHeight="1">
      <x:c r="A34" s="41" t="str">
        <x:v>LO2-013</x:v>
      </x:c>
      <x:c r="B34" s="53" t="str">
        <x:v>LO2</x:v>
      </x:c>
      <x:c r="C34" s="42" t="str">
        <x:v>世界の主要な非発泡性ワイン</x:v>
      </x:c>
      <x:c r="D34" s="42" t="str">
        <x:v>リオハ</x:v>
      </x:c>
      <x:c r="E34" s="42" t="str">
        <x:v>リオハでアメリカンオークを用いた熟成がワインに与えやすい特徴はどれか。</x:v>
      </x:c>
      <x:c r="F34" s="42" t="str">
        <x:v>バニラやココナッツを思わせる香りと、酸素による穏やかな熟成</x:v>
      </x:c>
      <x:c r="G34" s="42" t="str">
        <x:v>ピーマンのような草本香を強め、赤色を失わせる</x:v>
      </x:c>
      <x:c r="H34" s="42" t="str">
        <x:v>残糖が増え、アルコール度と酸度が低下する</x:v>
      </x:c>
      <x:c r="I34" s="42" t="str">
        <x:v>瓶内二次発酵による持続性の高い泡と酵母香</x:v>
      </x:c>
      <x:c r="J34" s="53" t="str">
        <x:v>A</x:v>
      </x:c>
      <x:c r="K34" s="42" t="str">
        <x:v>バニラやココナッツを思わせる香りと、酸素による穏やかな熟成</x:v>
      </x:c>
      <x:c r="L34" s="42" t="str">
        <x:v>アメリカンオークは比較的強いバニラやココナッツ香を与え、樽を通じた酸素接触が熟成を進める。</x:v>
      </x:c>
      <x:c r="M34" s="42" t="str">
        <x:v>正しい。 アメリカンオークは比較的強いバニラやココナッツ香を与え、樽を通じた酸素接触が熟成を進める。</x:v>
      </x:c>
      <x:c r="N34" s="42" t="str">
        <x:v>誤り。 アメリカンオークの典型的な影響はバニラやココナッツで、草本香や色の消失ではない。</x:v>
      </x:c>
      <x:c r="O34" s="42" t="str">
        <x:v>誤り。 樽熟成は糖を加えたりアルコールや酸を大幅に下げたりしない。</x:v>
      </x:c>
      <x:c r="P34" s="42" t="str">
        <x:v>誤り。 樽熟成で発泡性が生じるわけではない。</x:v>
      </x:c>
      <x:c r="Q34" s="42" t="str">
        <x:v>醸造・産地</x:v>
      </x:c>
      <x:c r="R34" s="42" t="str">
        <x:v>オーク熟成</x:v>
      </x:c>
      <x:c r="S34" s="42" t="str">
        <x:v>赤非発泡性ワイン</x:v>
      </x:c>
      <x:c r="T34" s="42" t="str">
        <x:v>スペイン</x:v>
      </x:c>
      <x:c r="U34" s="42" t="str">
        <x:v>リオハ</x:v>
      </x:c>
      <x:c r="V34" s="42" t="str">
        <x:v>テンプラニーリョ</x:v>
      </x:c>
      <x:c r="W34" s="42" t="str">
        <x:v>知識確認</x:v>
      </x:c>
      <x:c r="X34" s="53" t="str">
        <x:v>D1</x:v>
      </x:c>
      <x:c r="Y34" s="42" t="str">
        <x:v>樽熟成=甘口化; 樽熟成=発泡</x:v>
      </x:c>
      <x:c r="Z34" s="53" t="str">
        <x:v>N</x:v>
      </x:c>
      <x:c r="AA34" s="42" t="str"/>
      <x:c r="AB34" s="42" t="str">
        <x:v>オリジナル</x:v>
      </x:c>
      <x:c r="AC34" s="42" t="str">
        <x:v>公式Specificationの範囲＋ユーザー作成コーパスの論点を参考に独自作成</x:v>
      </x:c>
      <x:c r="AD34" s="53" t="str">
        <x:v>未レビュー</x:v>
      </x:c>
      <x:c r="AE34" s="53" t="str"/>
      <x:c r="AF34" s="53" t="str"/>
      <x:c r="AG34" s="43" t="str"/>
    </x:row>
    <x:row r="35" ht="84" customHeight="1">
      <x:c r="A35" s="41" t="str">
        <x:v>LO2-014</x:v>
      </x:c>
      <x:c r="B35" s="53" t="str">
        <x:v>LO2</x:v>
      </x:c>
      <x:c r="C35" s="42" t="str">
        <x:v>世界の主要な非発泡性ワイン</x:v>
      </x:c>
      <x:c r="D35" s="42" t="str">
        <x:v>リアス・バイシャス</x:v>
      </x:c>
      <x:c r="E35" s="42" t="str">
        <x:v>リアス・バイシャスでアルバリーニョが高い酸を保持しやすい主な理由はどれか。</x:v>
      </x:c>
      <x:c r="F35" s="42" t="str">
        <x:v>内陸の高温で夜間も暖かいため</x:v>
      </x:c>
      <x:c r="G35" s="42" t="str">
        <x:v>大西洋の影響を受ける温和で湿潤な気候が、成熟を穏やかに進めるため</x:v>
      </x:c>
      <x:c r="H35" s="42" t="str">
        <x:v>果実を収穫後に陰干しすることが義務だから</x:v>
      </x:c>
      <x:c r="I35" s="42" t="str">
        <x:v>酸を保持するため、マロラクティック発酵を積極的に行うため</x:v>
      </x:c>
      <x:c r="J35" s="53" t="str">
        <x:v>B</x:v>
      </x:c>
      <x:c r="K35" s="42" t="str">
        <x:v>大西洋の影響を受ける温和で湿潤な気候が、成熟を穏やかに進めるため</x:v>
      </x:c>
      <x:c r="L35" s="42" t="str">
        <x:v>海洋の冷却により酸が保たれ、香りの強い辛口白ワインになりやすい。</x:v>
      </x:c>
      <x:c r="M35" s="42" t="str">
        <x:v>誤り。 リアス・バイシャスは大西洋の影響を強く受け、夜間も常に高温ではない。</x:v>
      </x:c>
      <x:c r="N35" s="42" t="str">
        <x:v>正しい。 海洋の冷却により酸が保たれ、香りの強い辛口白ワインになりやすい。</x:v>
      </x:c>
      <x:c r="O35" s="42" t="str">
        <x:v>誤り。 アルバリーニョの典型的な辛口ワインで陰干しは必須ではない。</x:v>
      </x:c>
      <x:c r="P35" s="42" t="str">
        <x:v>誤り。 MLFは酸を柔らかくするため、高い酸の保持を直接説明しない。</x:v>
      </x:c>
      <x:c r="Q35" s="42" t="str">
        <x:v>自然要因・産地</x:v>
      </x:c>
      <x:c r="R35" s="42" t="str">
        <x:v>海洋性気候</x:v>
      </x:c>
      <x:c r="S35" s="42" t="str">
        <x:v>白非発泡性ワイン</x:v>
      </x:c>
      <x:c r="T35" s="42" t="str">
        <x:v>スペイン</x:v>
      </x:c>
      <x:c r="U35" s="42" t="str">
        <x:v>リアス・バイシャス</x:v>
      </x:c>
      <x:c r="V35" s="42" t="str">
        <x:v>アルバリーニョ</x:v>
      </x:c>
      <x:c r="W35" s="42" t="str">
        <x:v>因果説明</x:v>
      </x:c>
      <x:c r="X35" s="53" t="str">
        <x:v>D2</x:v>
      </x:c>
      <x:c r="Y35" s="42" t="str">
        <x:v>リアスバイシャス=内陸高温; 高酸=完全MLF</x:v>
      </x:c>
      <x:c r="Z35" s="53" t="str">
        <x:v>N</x:v>
      </x:c>
      <x:c r="AA35" s="42" t="str"/>
      <x:c r="AB35" s="42" t="str">
        <x:v>オリジナル</x:v>
      </x:c>
      <x:c r="AC35" s="42" t="str">
        <x:v>公式Specificationの範囲＋ユーザー作成コーパスの論点を参考に独自作成</x:v>
      </x:c>
      <x:c r="AD35" s="53" t="str">
        <x:v>未レビュー</x:v>
      </x:c>
      <x:c r="AE35" s="53" t="str"/>
      <x:c r="AF35" s="53" t="str"/>
      <x:c r="AG35" s="43" t="str"/>
    </x:row>
    <x:row r="36" ht="84" customHeight="1">
      <x:c r="A36" s="41" t="str">
        <x:v>LO2-015</x:v>
      </x:c>
      <x:c r="B36" s="53" t="str">
        <x:v>LO2</x:v>
      </x:c>
      <x:c r="C36" s="42" t="str">
        <x:v>世界の主要な非発泡性ワイン</x:v>
      </x:c>
      <x:c r="D36" s="42" t="str">
        <x:v>ナパ・ヴァレー</x:v>
      </x:c>
      <x:c r="E36" s="42" t="str">
        <x:v>ナパ・ヴァレーで産地内のカベルネ・ソーヴィニヨンのスタイルに差が生じる要因として最も適切なものはどれか。</x:v>
      </x:c>
      <x:c r="F36" s="42" t="str">
        <x:v>地区間で標高、霧、土壌がほぼ同じであること</x:v>
      </x:c>
      <x:c r="G36" s="42" t="str">
        <x:v>法律により各地区で異なる品種しか栽培できないこと</x:v>
      </x:c>
      <x:c r="H36" s="42" t="str">
        <x:v>サン・パブロ湾からの霧や風、標高、斜面、土壌の違い</x:v>
      </x:c>
      <x:c r="I36" s="42" t="str">
        <x:v>統一された醸造規則により、地区ごとに異なる熟成方法が指定されること</x:v>
      </x:c>
      <x:c r="J36" s="53" t="str">
        <x:v>C</x:v>
      </x:c>
      <x:c r="K36" s="42" t="str">
        <x:v>サン・パブロ湾からの霧や風、標高、斜面、土壌の違い</x:v>
      </x:c>
      <x:c r="L36" s="42" t="str">
        <x:v>冷却の強さや成熟速度が異なり、果実の熟度、酸、タンニン、香りに差が生じる。</x:v>
      </x:c>
      <x:c r="M36" s="42" t="str">
        <x:v>誤り。 実際には標高、霧、風、土壌などが地区ごとに異なる。</x:v>
      </x:c>
      <x:c r="N36" s="42" t="str">
        <x:v>誤り。 AVAは一般に使用品種を一つに限定しない。</x:v>
      </x:c>
      <x:c r="O36" s="42" t="str">
        <x:v>正しい。 冷却の強さや成熟速度が異なり、果実の熟度、酸、タンニン、香りに差が生じる。</x:v>
      </x:c>
      <x:c r="P36" s="42" t="str">
        <x:v>誤り。 AVAは一般に詳細な醸造方法を地区ごとに指定せず、生産者の判断も大きい。</x:v>
      </x:c>
      <x:c r="Q36" s="42" t="str">
        <x:v>自然・人的要因</x:v>
      </x:c>
      <x:c r="R36" s="42" t="str">
        <x:v>サブリージョン差</x:v>
      </x:c>
      <x:c r="S36" s="42" t="str">
        <x:v>赤非発泡性ワイン</x:v>
      </x:c>
      <x:c r="T36" s="42" t="str">
        <x:v>米国</x:v>
      </x:c>
      <x:c r="U36" s="42" t="str">
        <x:v>ナパ・ヴァレー</x:v>
      </x:c>
      <x:c r="V36" s="42" t="str">
        <x:v>カベルネ・ソーヴィニヨン</x:v>
      </x:c>
      <x:c r="W36" s="42" t="str">
        <x:v>統合判断</x:v>
      </x:c>
      <x:c r="X36" s="53" t="str">
        <x:v>D3</x:v>
      </x:c>
      <x:c r="Y36" s="42" t="str">
        <x:v>AVA=品種規制; ナパは均一</x:v>
      </x:c>
      <x:c r="Z36" s="53" t="str">
        <x:v>N</x:v>
      </x:c>
      <x:c r="AA36" s="42" t="str"/>
      <x:c r="AB36" s="42" t="str">
        <x:v>オリジナル</x:v>
      </x:c>
      <x:c r="AC36" s="42" t="str">
        <x:v>公式Specificationの範囲＋ユーザー作成コーパスの論点を参考に独自作成</x:v>
      </x:c>
      <x:c r="AD36" s="53" t="str">
        <x:v>未レビュー</x:v>
      </x:c>
      <x:c r="AE36" s="53" t="str"/>
      <x:c r="AF36" s="53" t="str"/>
      <x:c r="AG36" s="43" t="str"/>
    </x:row>
    <x:row r="37" ht="84" customHeight="1">
      <x:c r="A37" s="41" t="str">
        <x:v>LO2-016</x:v>
      </x:c>
      <x:c r="B37" s="53" t="str">
        <x:v>LO2</x:v>
      </x:c>
      <x:c r="C37" s="42" t="str">
        <x:v>世界の主要な非発泡性ワイン</x:v>
      </x:c>
      <x:c r="D37" s="42" t="str">
        <x:v>ウィラメット・ヴァレー</x:v>
      </x:c>
      <x:c r="E37" s="42" t="str">
        <x:v>ウィラメット・ヴァレーがピノ・ノワールに適するとされる主な理由はどれか。</x:v>
      </x:c>
      <x:c r="F37" s="42" t="str">
        <x:v>高温で乾燥した砂漠気候により糖度が急上昇するため</x:v>
      </x:c>
      <x:c r="G37" s="42" t="str">
        <x:v>秋の湿度により貴腐が広く発生し、甘口赤ワインが中心となるため</x:v>
      </x:c>
      <x:c r="H37" s="42" t="str">
        <x:v>強い大陸性気候で冬も生育が続くため</x:v>
      </x:c>
      <x:c r="I37" s="42" t="str">
        <x:v>冷涼から温和な気候と長い生育期間により、酸と繊細な香りを保ちながら成熟できるため</x:v>
      </x:c>
      <x:c r="J37" s="53" t="str">
        <x:v>D</x:v>
      </x:c>
      <x:c r="K37" s="42" t="str">
        <x:v>冷涼から温和な気候と長い生育期間により、酸と繊細な香りを保ちながら成熟できるため</x:v>
      </x:c>
      <x:c r="L37" s="42" t="str">
        <x:v>ピノ・ノワールの早熟性に合い、過度な糖度上昇を避けながら風味を発達させやすい。</x:v>
      </x:c>
      <x:c r="M37" s="42" t="str">
        <x:v>誤り。 ウィラメットは冷涼から温和な気候であり、砂漠気候ではない。</x:v>
      </x:c>
      <x:c r="N37" s="42" t="str">
        <x:v>誤り。 ウィラメットの典型は辛口ピノ・ノワールで、貴腐甘口赤ワインが中心ではない。</x:v>
      </x:c>
      <x:c r="O37" s="42" t="str">
        <x:v>誤り。 冬は休眠し、強い大陸性気候が主要説明ではない。</x:v>
      </x:c>
      <x:c r="P37" s="42" t="str">
        <x:v>正しい。 ピノ・ノワールの早熟性に合い、過度な糖度上昇を避けながら風味を発達させやすい。</x:v>
      </x:c>
      <x:c r="Q37" s="42" t="str">
        <x:v>自然要因・産地</x:v>
      </x:c>
      <x:c r="R37" s="42" t="str">
        <x:v>冷涼気候と品種</x:v>
      </x:c>
      <x:c r="S37" s="42" t="str">
        <x:v>赤非発泡性ワイン</x:v>
      </x:c>
      <x:c r="T37" s="42" t="str">
        <x:v>米国</x:v>
      </x:c>
      <x:c r="U37" s="42" t="str">
        <x:v>ウィラメット・ヴァレー</x:v>
      </x:c>
      <x:c r="V37" s="42" t="str">
        <x:v>ピノ・ノワール</x:v>
      </x:c>
      <x:c r="W37" s="42" t="str">
        <x:v>因果説明</x:v>
      </x:c>
      <x:c r="X37" s="53" t="str">
        <x:v>D2</x:v>
      </x:c>
      <x:c r="Y37" s="42" t="str">
        <x:v>オレゴン=砂漠; ピノ=貴腐甘口</x:v>
      </x:c>
      <x:c r="Z37" s="53" t="str">
        <x:v>N</x:v>
      </x:c>
      <x:c r="AA37" s="42" t="str"/>
      <x:c r="AB37" s="42" t="str">
        <x:v>オリジナル</x:v>
      </x:c>
      <x:c r="AC37" s="42" t="str">
        <x:v>公式Specificationの範囲＋ユーザー作成コーパスの論点を参考に独自作成</x:v>
      </x:c>
      <x:c r="AD37" s="53" t="str">
        <x:v>未レビュー</x:v>
      </x:c>
      <x:c r="AE37" s="53" t="str"/>
      <x:c r="AF37" s="53" t="str"/>
      <x:c r="AG37" s="43" t="str"/>
    </x:row>
    <x:row r="38" ht="84" customHeight="1">
      <x:c r="A38" s="41" t="str">
        <x:v>LO2-017</x:v>
      </x:c>
      <x:c r="B38" s="53" t="str">
        <x:v>LO2</x:v>
      </x:c>
      <x:c r="C38" s="42" t="str">
        <x:v>世界の主要な非発泡性ワイン</x:v>
      </x:c>
      <x:c r="D38" s="42" t="str">
        <x:v>カサブランカ・ヴァレー</x:v>
      </x:c>
      <x:c r="E38" s="42" t="str">
        <x:v>カサブランカ・ヴァレーのソーヴィニヨン・ブランに高い酸と青々しい柑橘系の風味をもたらす主な要因はどれか。</x:v>
      </x:c>
      <x:c r="F38" s="42" t="str">
        <x:v>太平洋からの冷たい海風と朝霧による冷却</x:v>
      </x:c>
      <x:c r="G38" s="42" t="str">
        <x:v>アンデス山脈からの高温乾燥風だけ</x:v>
      </x:c>
      <x:c r="H38" s="42" t="str">
        <x:v>果実を長期間天日干しすること</x:v>
      </x:c>
      <x:c r="I38" s="42" t="str">
        <x:v>酸を下げるためのマロラクティック発酵を広く行うこと</x:v>
      </x:c>
      <x:c r="J38" s="53" t="str">
        <x:v>A</x:v>
      </x:c>
      <x:c r="K38" s="42" t="str">
        <x:v>太平洋からの冷たい海風と朝霧による冷却</x:v>
      </x:c>
      <x:c r="L38" s="42" t="str">
        <x:v>冷却により成熟がゆっくり進み、酸と香りが保持される。</x:v>
      </x:c>
      <x:c r="M38" s="42" t="str">
        <x:v>正しい。 冷却により成熟がゆっくり進み、酸と香りが保持される。</x:v>
      </x:c>
      <x:c r="N38" s="42" t="str">
        <x:v>誤り。 アンデスの影響より太平洋の冷却が主要である。</x:v>
      </x:c>
      <x:c r="O38" s="42" t="str">
        <x:v>誤り。 天日干しは糖分を濃縮し、典型的な辛口ソーヴィニヨンの製法ではない。</x:v>
      </x:c>
      <x:c r="P38" s="42" t="str">
        <x:v>誤り。 MLFは酸を柔らかくするため、高い酸を直接説明しない。</x:v>
      </x:c>
      <x:c r="Q38" s="42" t="str">
        <x:v>自然要因・産地</x:v>
      </x:c>
      <x:c r="R38" s="42" t="str">
        <x:v>海洋冷却・霧</x:v>
      </x:c>
      <x:c r="S38" s="42" t="str">
        <x:v>白非発泡性ワイン</x:v>
      </x:c>
      <x:c r="T38" s="42" t="str">
        <x:v>チリ</x:v>
      </x:c>
      <x:c r="U38" s="42" t="str">
        <x:v>カサブランカ・ヴァレー</x:v>
      </x:c>
      <x:c r="V38" s="42" t="str">
        <x:v>ソーヴィニヨン・ブラン</x:v>
      </x:c>
      <x:c r="W38" s="42" t="str">
        <x:v>因果説明</x:v>
      </x:c>
      <x:c r="X38" s="53" t="str">
        <x:v>D2</x:v>
      </x:c>
      <x:c r="Y38" s="42" t="str">
        <x:v>カサブランカ=高温内陸; 高酸=MLF</x:v>
      </x:c>
      <x:c r="Z38" s="53" t="str">
        <x:v>N</x:v>
      </x:c>
      <x:c r="AA38" s="42" t="str"/>
      <x:c r="AB38" s="42" t="str">
        <x:v>オリジナル</x:v>
      </x:c>
      <x:c r="AC38" s="42" t="str">
        <x:v>公式Specificationの範囲＋ユーザー作成コーパスの論点を参考に独自作成</x:v>
      </x:c>
      <x:c r="AD38" s="53" t="str">
        <x:v>未レビュー</x:v>
      </x:c>
      <x:c r="AE38" s="53" t="str"/>
      <x:c r="AF38" s="53" t="str"/>
      <x:c r="AG38" s="43" t="str"/>
    </x:row>
    <x:row r="39" ht="84" customHeight="1">
      <x:c r="A39" s="41" t="str">
        <x:v>LO2-018</x:v>
      </x:c>
      <x:c r="B39" s="53" t="str">
        <x:v>LO2</x:v>
      </x:c>
      <x:c r="C39" s="42" t="str">
        <x:v>世界の主要な非発泡性ワイン</x:v>
      </x:c>
      <x:c r="D39" s="42" t="str">
        <x:v>ウコ・ヴァレー</x:v>
      </x:c>
      <x:c r="E39" s="42" t="str">
        <x:v>ウコ・ヴァレーの高標高畑がマルベックの品質に寄与する組み合わせとして最も適切なものはどれか。</x:v>
      </x:c>
      <x:c r="F39" s="42" t="str">
        <x:v>弱い日射と暖かい夜により、薄い果皮と低い酸になる</x:v>
      </x:c>
      <x:c r="G39" s="42" t="str">
        <x:v>強い日射による成熟と色の発達、涼しい夜による酸の保持</x:v>
      </x:c>
      <x:c r="H39" s="42" t="str">
        <x:v>多雨により灌漑が不要となり、病害もなくなる</x:v>
      </x:c>
      <x:c r="I39" s="42" t="str">
        <x:v>海洋の影響が強く、年ごとの天候差が小さいこと</x:v>
      </x:c>
      <x:c r="J39" s="53" t="str">
        <x:v>B</x:v>
      </x:c>
      <x:c r="K39" s="42" t="str">
        <x:v>強い日射による成熟と色の発達、涼しい夜による酸の保持</x:v>
      </x:c>
      <x:c r="L39" s="42" t="str">
        <x:v>果実の熟度と鮮度を両立し、濃い色と明瞭な風味を持つワインを生みやすい。</x:v>
      </x:c>
      <x:c r="M39" s="42" t="str">
        <x:v>誤り。 高標高では日射や紫外線が強く、夜は涼しくなりやすい。</x:v>
      </x:c>
      <x:c r="N39" s="42" t="str">
        <x:v>正しい。 果実の熟度と鮮度を両立し、濃い色と明瞭な風味を持つワインを生みやすい。</x:v>
      </x:c>
      <x:c r="O39" s="42" t="str">
        <x:v>誤り。 メンドーサは乾燥しており、一般に灌漑が必要である。</x:v>
      </x:c>
      <x:c r="P39" s="42" t="str">
        <x:v>誤り。 ウコ・ヴァレーは内陸性が強く、海洋性気候ではない。</x:v>
      </x:c>
      <x:c r="Q39" s="42" t="str">
        <x:v>自然要因・産地</x:v>
      </x:c>
      <x:c r="R39" s="42" t="str">
        <x:v>高標高・日較差</x:v>
      </x:c>
      <x:c r="S39" s="42" t="str">
        <x:v>赤非発泡性ワイン</x:v>
      </x:c>
      <x:c r="T39" s="42" t="str">
        <x:v>アルゼンチン</x:v>
      </x:c>
      <x:c r="U39" s="42" t="str">
        <x:v>ウコ・ヴァレー</x:v>
      </x:c>
      <x:c r="V39" s="42" t="str">
        <x:v>マルベック</x:v>
      </x:c>
      <x:c r="W39" s="42" t="str">
        <x:v>因果説明</x:v>
      </x:c>
      <x:c r="X39" s="53" t="str">
        <x:v>D2</x:v>
      </x:c>
      <x:c r="Y39" s="42" t="str">
        <x:v>高標高=弱紫外線; メンドーサ=多雨</x:v>
      </x:c>
      <x:c r="Z39" s="53" t="str">
        <x:v>N</x:v>
      </x:c>
      <x:c r="AA39" s="42" t="str"/>
      <x:c r="AB39" s="42" t="str">
        <x:v>オリジナル</x:v>
      </x:c>
      <x:c r="AC39" s="42" t="str">
        <x:v>公式Specificationの範囲＋ユーザー作成コーパスの論点を参考に独自作成</x:v>
      </x:c>
      <x:c r="AD39" s="53" t="str">
        <x:v>未レビュー</x:v>
      </x:c>
      <x:c r="AE39" s="53" t="str"/>
      <x:c r="AF39" s="53" t="str"/>
      <x:c r="AG39" s="43" t="str"/>
    </x:row>
    <x:row r="40" ht="84" customHeight="1">
      <x:c r="A40" s="41" t="str">
        <x:v>LO2-019</x:v>
      </x:c>
      <x:c r="B40" s="53" t="str">
        <x:v>LO2</x:v>
      </x:c>
      <x:c r="C40" s="42" t="str">
        <x:v>世界の主要な非発泡性ワイン</x:v>
      </x:c>
      <x:c r="D40" s="42" t="str">
        <x:v>マーガレット・リヴァー</x:v>
      </x:c>
      <x:c r="E40" s="42" t="str">
        <x:v>マーガレット・リヴァーのカベルネ・ソーヴィニヨンが成熟した果実味と酸のバランスを持ちやすい理由はどれか。</x:v>
      </x:c>
      <x:c r="F40" s="42" t="str">
        <x:v>内陸砂漠の極端な高温が夜間まで続くため</x:v>
      </x:c>
      <x:c r="G40" s="42" t="str">
        <x:v>秋の湿度によって貴腐が進み、糖分が濃縮されるため</x:v>
      </x:c>
      <x:c r="H40" s="42" t="str">
        <x:v>温和な海洋性気候が極端な暑さを和らげ、長く均一な成熟を可能にするため</x:v>
      </x:c>
      <x:c r="I40" s="42" t="str">
        <x:v>高いアルコール度を得るため、収穫後に酒精強化すること</x:v>
      </x:c>
      <x:c r="J40" s="53" t="str">
        <x:v>C</x:v>
      </x:c>
      <x:c r="K40" s="42" t="str">
        <x:v>温和な海洋性気候が極端な暑さを和らげ、長く均一な成熟を可能にするため</x:v>
      </x:c>
      <x:c r="L40" s="42" t="str">
        <x:v>海洋の緩和作用により過熟や急速な酸の低下を避けながら成熟しやすい。</x:v>
      </x:c>
      <x:c r="M40" s="42" t="str">
        <x:v>誤り。 マーガレット・リヴァーはインド洋と南大洋の影響を受ける海洋性の地域である。</x:v>
      </x:c>
      <x:c r="N40" s="42" t="str">
        <x:v>誤り。 カベルネ・ソーヴィニヨンの品質を説明する主因ではない。</x:v>
      </x:c>
      <x:c r="O40" s="42" t="str">
        <x:v>正しい。 海洋の緩和作用により過熟や急速な酸の低下を避けながら成熟しやすい。</x:v>
      </x:c>
      <x:c r="P40" s="42" t="str">
        <x:v>誤り。 通常のカベルネは非発泡性の辛口ワインで、酒精強化されない。</x:v>
      </x:c>
      <x:c r="Q40" s="42" t="str">
        <x:v>自然要因・産地</x:v>
      </x:c>
      <x:c r="R40" s="42" t="str">
        <x:v>海洋性気候</x:v>
      </x:c>
      <x:c r="S40" s="42" t="str">
        <x:v>赤非発泡性ワイン</x:v>
      </x:c>
      <x:c r="T40" s="42" t="str">
        <x:v>オーストラリア</x:v>
      </x:c>
      <x:c r="U40" s="42" t="str">
        <x:v>マーガレット・リヴァー</x:v>
      </x:c>
      <x:c r="V40" s="42" t="str">
        <x:v>カベルネ・ソーヴィニヨン</x:v>
      </x:c>
      <x:c r="W40" s="42" t="str">
        <x:v>因果説明</x:v>
      </x:c>
      <x:c r="X40" s="53" t="str">
        <x:v>D2</x:v>
      </x:c>
      <x:c r="Y40" s="42" t="str">
        <x:v>マーガレットリヴァー=砂漠; カベルネ=酒精強化</x:v>
      </x:c>
      <x:c r="Z40" s="53" t="str">
        <x:v>N</x:v>
      </x:c>
      <x:c r="AA40" s="42" t="str"/>
      <x:c r="AB40" s="42" t="str">
        <x:v>オリジナル</x:v>
      </x:c>
      <x:c r="AC40" s="42" t="str">
        <x:v>公式Specificationの範囲＋ユーザー作成コーパスの論点を参考に独自作成</x:v>
      </x:c>
      <x:c r="AD40" s="53" t="str">
        <x:v>未レビュー</x:v>
      </x:c>
      <x:c r="AE40" s="53" t="str"/>
      <x:c r="AF40" s="53" t="str"/>
      <x:c r="AG40" s="43" t="str"/>
    </x:row>
    <x:row r="41" ht="84" customHeight="1">
      <x:c r="A41" s="41" t="str">
        <x:v>LO2-020</x:v>
      </x:c>
      <x:c r="B41" s="53" t="str">
        <x:v>LO2</x:v>
      </x:c>
      <x:c r="C41" s="42" t="str">
        <x:v>世界の主要な非発泡性ワイン</x:v>
      </x:c>
      <x:c r="D41" s="42" t="str">
        <x:v>マールボロ</x:v>
      </x:c>
      <x:c r="E41" s="42" t="str">
        <x:v>マールボロのソーヴィニヨン・ブランが強い香りと高い酸を持ちやすい条件として最も適切なものはどれか。</x:v>
      </x:c>
      <x:c r="F41" s="42" t="str">
        <x:v>湿潤で曇天が多く、日照が限られること</x:v>
      </x:c>
      <x:c r="G41" s="42" t="str">
        <x:v>夜間も高温が続く短い生育期間によって糖度を急速に高めること</x:v>
      </x:c>
      <x:c r="H41" s="42" t="str">
        <x:v>新樽発酵とマロラクティック発酵で酸を和らげること</x:v>
      </x:c>
      <x:c r="I41" s="42" t="str">
        <x:v>強い日照で風味が発達し、涼しい夜が酸と香りを保持すること</x:v>
      </x:c>
      <x:c r="J41" s="53" t="str">
        <x:v>D</x:v>
      </x:c>
      <x:c r="K41" s="42" t="str">
        <x:v>強い日照で風味が発達し、涼しい夜が酸と香りを保持すること</x:v>
      </x:c>
      <x:c r="L41" s="42" t="str">
        <x:v>日照と日較差の組み合わせが、熟した風味と鮮度の両立に寄与する。</x:v>
      </x:c>
      <x:c r="M41" s="42" t="str">
        <x:v>誤り。 マールボロは比較的日照が多く、乾燥した条件を持つ。</x:v>
      </x:c>
      <x:c r="N41" s="42" t="str">
        <x:v>誤り。 夜間の冷却と長い生育期間が香りと酸の保持に役立つ。</x:v>
      </x:c>
      <x:c r="O41" s="42" t="str">
        <x:v>誤り。 フレッシュなスタイルでは新樽やMLFを避けることも多く、高い酸と一次香の保持を説明しない。</x:v>
      </x:c>
      <x:c r="P41" s="42" t="str">
        <x:v>正しい。 日照と日較差の組み合わせが、熟した風味と鮮度の両立に寄与する。</x:v>
      </x:c>
      <x:c r="Q41" s="42" t="str">
        <x:v>自然要因・産地</x:v>
      </x:c>
      <x:c r="R41" s="42" t="str">
        <x:v>日照・日較差</x:v>
      </x:c>
      <x:c r="S41" s="42" t="str">
        <x:v>白非発泡性ワイン</x:v>
      </x:c>
      <x:c r="T41" s="42" t="str">
        <x:v>ニュージーランド</x:v>
      </x:c>
      <x:c r="U41" s="42" t="str">
        <x:v>マールボロ</x:v>
      </x:c>
      <x:c r="V41" s="42" t="str">
        <x:v>ソーヴィニヨン・ブラン</x:v>
      </x:c>
      <x:c r="W41" s="42" t="str">
        <x:v>因果説明</x:v>
      </x:c>
      <x:c r="X41" s="53" t="str">
        <x:v>D2</x:v>
      </x:c>
      <x:c r="Y41" s="42" t="str">
        <x:v>マールボロ=多湿少日照; 全量新樽MLF</x:v>
      </x:c>
      <x:c r="Z41" s="53" t="str">
        <x:v>N</x:v>
      </x:c>
      <x:c r="AA41" s="42" t="str"/>
      <x:c r="AB41" s="42" t="str">
        <x:v>オリジナル</x:v>
      </x:c>
      <x:c r="AC41" s="42" t="str">
        <x:v>公式Specificationの範囲＋ユーザー作成コーパスの論点を参考に独自作成</x:v>
      </x:c>
      <x:c r="AD41" s="53" t="str">
        <x:v>未レビュー</x:v>
      </x:c>
      <x:c r="AE41" s="53" t="str"/>
      <x:c r="AF41" s="53" t="str"/>
      <x:c r="AG41" s="43" t="str"/>
    </x:row>
    <x:row r="42" ht="84" customHeight="1">
      <x:c r="A42" s="41" t="str">
        <x:v>LO3-001</x:v>
      </x:c>
      <x:c r="B42" s="53" t="str">
        <x:v>LO3</x:v>
      </x:c>
      <x:c r="C42" s="42" t="str">
        <x:v>世界の主要な発泡性ワイン</x:v>
      </x:c>
      <x:c r="D42" s="42" t="str">
        <x:v>ベースワイン</x:v>
      </x:c>
      <x:c r="E42" s="42" t="str">
        <x:v>伝統的方式の発泡性ワインで、ベースワインのアルコール度が比較的低く造られる主な理由はどれか。</x:v>
      </x:c>
      <x:c r="F42" s="42" t="str">
        <x:v>瓶内二次発酵でさらにアルコールが生じるため</x:v>
      </x:c>
      <x:c r="G42" s="42" t="str">
        <x:v>低いアルコール度が酵母の自己分解を促し、澱熟成期間を短縮するため</x:v>
      </x:c>
      <x:c r="H42" s="42" t="str">
        <x:v>低いアルコール度が糖の発酵量を増やし、瓶内圧を高めるため</x:v>
      </x:c>
      <x:c r="I42" s="42" t="str">
        <x:v>ドザージュによってアルコール度が下がり、ベースワインの強さが相殺されるため</x:v>
      </x:c>
      <x:c r="J42" s="53" t="str">
        <x:v>A</x:v>
      </x:c>
      <x:c r="K42" s="42" t="str">
        <x:v>瓶内二次発酵でさらにアルコールが生じるため</x:v>
      </x:c>
      <x:c r="L42" s="42" t="str">
        <x:v>二次発酵で糖がアルコールと炭酸ガスに変わるため、ベースワインの段階で高すぎるアルコール度を避ける。</x:v>
      </x:c>
      <x:c r="M42" s="42" t="str">
        <x:v>正しい。 二次発酵で糖がアルコールと炭酸ガスに変わるため、ベースワインの段階で高すぎるアルコール度を避ける。</x:v>
      </x:c>
      <x:c r="N42" s="42" t="str">
        <x:v>誤り。 自己分解の程度は主に澱との接触期間などに左右され、低アルコールが直接の主因ではない。</x:v>
      </x:c>
      <x:c r="O42" s="42" t="str">
        <x:v>誤り。 瓶内圧は主に二次発酵用に加える糖の量で決まる。</x:v>
      </x:c>
      <x:c r="P42" s="42" t="str">
        <x:v>誤り。 ドザージュは最終的な甘味調整が主目的で、アルコールを大幅に下げない。</x:v>
      </x:c>
      <x:c r="Q42" s="42" t="str">
        <x:v>発泡性ワイン製法</x:v>
      </x:c>
      <x:c r="R42" s="42" t="str">
        <x:v>ベースワイン</x:v>
      </x:c>
      <x:c r="S42" s="42" t="str">
        <x:v>発泡性ワイン</x:v>
      </x:c>
      <x:c r="T42" s="42" t="str"/>
      <x:c r="U42" s="42" t="str"/>
      <x:c r="V42" s="42" t="str"/>
      <x:c r="W42" s="42" t="str">
        <x:v>因果説明</x:v>
      </x:c>
      <x:c r="X42" s="53" t="str">
        <x:v>D1</x:v>
      </x:c>
      <x:c r="Y42" s="42" t="str">
        <x:v>低アルコール=高圧; ドザージュ=脱アルコール</x:v>
      </x:c>
      <x:c r="Z42" s="53" t="str">
        <x:v>N</x:v>
      </x:c>
      <x:c r="AA42" s="42" t="str"/>
      <x:c r="AB42" s="42" t="str">
        <x:v>オリジナル</x:v>
      </x:c>
      <x:c r="AC42" s="42" t="str">
        <x:v>公式Specificationの範囲＋ユーザー作成コーパスの論点を参考に独自作成</x:v>
      </x:c>
      <x:c r="AD42" s="53" t="str">
        <x:v>未レビュー</x:v>
      </x:c>
      <x:c r="AE42" s="53" t="str"/>
      <x:c r="AF42" s="53" t="str"/>
      <x:c r="AG42" s="43" t="str"/>
    </x:row>
    <x:row r="43" ht="84" customHeight="1">
      <x:c r="A43" s="41" t="str">
        <x:v>LO3-002</x:v>
      </x:c>
      <x:c r="B43" s="53" t="str">
        <x:v>LO3</x:v>
      </x:c>
      <x:c r="C43" s="42" t="str">
        <x:v>世界の主要な発泡性ワイン</x:v>
      </x:c>
      <x:c r="D43" s="42" t="str">
        <x:v>リクール・ドゥ・ティラージュ</x:v>
      </x:c>
      <x:c r="E43" s="42" t="str">
        <x:v>リクール・ドゥ・ティラージュをベースワインに加える主な目的はどれか。</x:v>
      </x:c>
      <x:c r="F43" s="42" t="str">
        <x:v>最終的な甘味を調整するため</x:v>
      </x:c>
      <x:c r="G43" s="42" t="str">
        <x:v>糖と酵母を供給し、二次発酵を開始させるため</x:v>
      </x:c>
      <x:c r="H43" s="42" t="str">
        <x:v>酒石酸塩を析出させるため</x:v>
      </x:c>
      <x:c r="I43" s="42" t="str">
        <x:v>フロールを形成するため</x:v>
      </x:c>
      <x:c r="J43" s="53" t="str">
        <x:v>B</x:v>
      </x:c>
      <x:c r="K43" s="42" t="str">
        <x:v>糖と酵母を供給し、二次発酵を開始させるため</x:v>
      </x:c>
      <x:c r="L43" s="42" t="str">
        <x:v>添加した糖を酵母が発酵し、アルコールと炭酸ガスを生成する。</x:v>
      </x:c>
      <x:c r="M43" s="42" t="str">
        <x:v>誤り。 最終的な甘味調整は通常リクール・デクスペディシオン（ドザージュ）が担う。</x:v>
      </x:c>
      <x:c r="N43" s="42" t="str">
        <x:v>正しい。 添加した糖を酵母が発酵し、アルコールと炭酸ガスを生成する。</x:v>
      </x:c>
      <x:c r="O43" s="42" t="str">
        <x:v>誤り。 酒石酸安定化は冷却などで行われ、ティラージュの目的ではない。</x:v>
      </x:c>
      <x:c r="P43" s="42" t="str">
        <x:v>誤り。 フロールは一部のシェリーの熟成に関係する。</x:v>
      </x:c>
      <x:c r="Q43" s="42" t="str">
        <x:v>発泡性ワイン製法</x:v>
      </x:c>
      <x:c r="R43" s="42" t="str">
        <x:v>瓶内二次発酵</x:v>
      </x:c>
      <x:c r="S43" s="42" t="str">
        <x:v>発泡性ワイン</x:v>
      </x:c>
      <x:c r="T43" s="42" t="str"/>
      <x:c r="U43" s="42" t="str"/>
      <x:c r="V43" s="42" t="str"/>
      <x:c r="W43" s="42" t="str">
        <x:v>知識確認</x:v>
      </x:c>
      <x:c r="X43" s="53" t="str">
        <x:v>D1</x:v>
      </x:c>
      <x:c r="Y43" s="42" t="str">
        <x:v>ティラージュ=ドザージュ; ティラージュ=酒石安定化</x:v>
      </x:c>
      <x:c r="Z43" s="53" t="str">
        <x:v>N</x:v>
      </x:c>
      <x:c r="AA43" s="42" t="str"/>
      <x:c r="AB43" s="42" t="str">
        <x:v>オリジナル</x:v>
      </x:c>
      <x:c r="AC43" s="42" t="str">
        <x:v>公式Specificationの範囲＋ユーザー作成コーパスの論点を参考に独自作成</x:v>
      </x:c>
      <x:c r="AD43" s="53" t="str">
        <x:v>未レビュー</x:v>
      </x:c>
      <x:c r="AE43" s="53" t="str"/>
      <x:c r="AF43" s="53" t="str"/>
      <x:c r="AG43" s="43" t="str"/>
    </x:row>
    <x:row r="44" ht="84" customHeight="1">
      <x:c r="A44" s="41" t="str">
        <x:v>LO3-003</x:v>
      </x:c>
      <x:c r="B44" s="53" t="str">
        <x:v>LO3</x:v>
      </x:c>
      <x:c r="C44" s="42" t="str">
        <x:v>世界の主要な発泡性ワイン</x:v>
      </x:c>
      <x:c r="D44" s="42" t="str">
        <x:v>澱との接触</x:v>
      </x:c>
      <x:c r="E44" s="42" t="str">
        <x:v>伝統的方式の発泡性ワインを澱と長く接触させることで最も期待される変化はどれか。</x:v>
      </x:c>
      <x:c r="F44" s="42" t="str">
        <x:v>果実の糖度が上がり、残糖が増える</x:v>
      </x:c>
      <x:c r="G44" s="42" t="str">
        <x:v>タンニンが大幅に増え、色が濃くなる</x:v>
      </x:c>
      <x:c r="H44" s="42" t="str">
        <x:v>パン、ビスケット、ブリオッシュを思わせる香りと、より滑らかな質感が生じる</x:v>
      </x:c>
      <x:c r="I44" s="42" t="str">
        <x:v>瓶内圧が時間とともに無制限に上昇する</x:v>
      </x:c>
      <x:c r="J44" s="53" t="str">
        <x:v>C</x:v>
      </x:c>
      <x:c r="K44" s="42" t="str">
        <x:v>パン、ビスケット、ブリオッシュを思わせる香りと、より滑らかな質感が生じる</x:v>
      </x:c>
      <x:c r="L44" s="42" t="str">
        <x:v>酵母の自己分解により風味成分と多糖類が放出され、複雑さと質感が増す。</x:v>
      </x:c>
      <x:c r="M44" s="42" t="str">
        <x:v>誤り。 瓶内の果実糖度が上がるわけではなく、残糖は発酵とドザージュで管理される。</x:v>
      </x:c>
      <x:c r="N44" s="42" t="str">
        <x:v>誤り。 澱との接触は主に質感と自己分解香に影響し、タンニンや色を大幅に増やさない。</x:v>
      </x:c>
      <x:c r="O44" s="42" t="str">
        <x:v>正しい。 酵母の自己分解により風味成分と多糖類が放出され、複雑さと質感が増す。</x:v>
      </x:c>
      <x:c r="P44" s="42" t="str">
        <x:v>誤り。 発酵可能な糖がなくなれば二次発酵は止まり、圧力は無制限には上がらない。</x:v>
      </x:c>
      <x:c r="Q44" s="42" t="str">
        <x:v>発泡性ワイン製法</x:v>
      </x:c>
      <x:c r="R44" s="42" t="str">
        <x:v>澱との接触・自己分解</x:v>
      </x:c>
      <x:c r="S44" s="42" t="str">
        <x:v>発泡性ワイン</x:v>
      </x:c>
      <x:c r="T44" s="42" t="str"/>
      <x:c r="U44" s="42" t="str"/>
      <x:c r="V44" s="42" t="str"/>
      <x:c r="W44" s="42" t="str">
        <x:v>因果説明</x:v>
      </x:c>
      <x:c r="X44" s="53" t="str">
        <x:v>D2</x:v>
      </x:c>
      <x:c r="Y44" s="42" t="str">
        <x:v>澱接触=残糖増加; 澱接触=圧力無制限上昇</x:v>
      </x:c>
      <x:c r="Z44" s="53" t="str">
        <x:v>N</x:v>
      </x:c>
      <x:c r="AA44" s="42" t="str"/>
      <x:c r="AB44" s="42" t="str">
        <x:v>オリジナル</x:v>
      </x:c>
      <x:c r="AC44" s="42" t="str">
        <x:v>公式Specificationの範囲＋ユーザー作成コーパスの論点を参考に独自作成</x:v>
      </x:c>
      <x:c r="AD44" s="53" t="str">
        <x:v>未レビュー</x:v>
      </x:c>
      <x:c r="AE44" s="53" t="str"/>
      <x:c r="AF44" s="53" t="str"/>
      <x:c r="AG44" s="43" t="str"/>
    </x:row>
    <x:row r="45" ht="84" customHeight="1">
      <x:c r="A45" s="41" t="str">
        <x:v>LO3-004</x:v>
      </x:c>
      <x:c r="B45" s="53" t="str">
        <x:v>LO3</x:v>
      </x:c>
      <x:c r="C45" s="42" t="str">
        <x:v>世界の主要な発泡性ワイン</x:v>
      </x:c>
      <x:c r="D45" s="42" t="str">
        <x:v>ルミュアージュ</x:v>
      </x:c>
      <x:c r="E45" s="42" t="str">
        <x:v>伝統的方式におけるルミュアージュ（動瓶）の目的はどれか。</x:v>
      </x:c>
      <x:c r="F45" s="42" t="str">
        <x:v>ワインに糖を加えて二次発酵を始めること</x:v>
      </x:c>
      <x:c r="G45" s="42" t="str">
        <x:v>瓶を回転させて炭酸ガスを栓から徐々に逃がすこと</x:v>
      </x:c>
      <x:c r="H45" s="42" t="str">
        <x:v>最終的な甘味を決定すること</x:v>
      </x:c>
      <x:c r="I45" s="42" t="str">
        <x:v>澱を瓶口に集め、デゴルジュマンで除去しやすくすること</x:v>
      </x:c>
      <x:c r="J45" s="53" t="str">
        <x:v>D</x:v>
      </x:c>
      <x:c r="K45" s="42" t="str">
        <x:v>澱を瓶口に集め、デゴルジュマンで除去しやすくすること</x:v>
      </x:c>
      <x:c r="L45" s="42" t="str">
        <x:v>瓶を徐々に回転・傾斜させ、澱を栓付近に集める。</x:v>
      </x:c>
      <x:c r="M45" s="42" t="str">
        <x:v>誤り。 二次発酵開始にはリクール・ドゥ・ティラージュを加える。</x:v>
      </x:c>
      <x:c r="N45" s="42" t="str">
        <x:v>誤り。 炭酸ガスを保持したまま澱を移動させる工程であり、ガスを逃がすことが目的ではない。</x:v>
      </x:c>
      <x:c r="O45" s="42" t="str">
        <x:v>誤り。 甘味はデゴルジュマン後のドザージュで調整される。</x:v>
      </x:c>
      <x:c r="P45" s="42" t="str">
        <x:v>正しい。 瓶を徐々に回転・傾斜させ、澱を栓付近に集める。</x:v>
      </x:c>
      <x:c r="Q45" s="42" t="str">
        <x:v>発泡性ワイン製法</x:v>
      </x:c>
      <x:c r="R45" s="42" t="str">
        <x:v>ルミュアージュ</x:v>
      </x:c>
      <x:c r="S45" s="42" t="str">
        <x:v>発泡性ワイン</x:v>
      </x:c>
      <x:c r="T45" s="42" t="str"/>
      <x:c r="U45" s="42" t="str"/>
      <x:c r="V45" s="42" t="str"/>
      <x:c r="W45" s="42" t="str">
        <x:v>知識確認</x:v>
      </x:c>
      <x:c r="X45" s="53" t="str">
        <x:v>D1</x:v>
      </x:c>
      <x:c r="Y45" s="42" t="str">
        <x:v>ルミュアージュ=ティラージュ; ルミュアージュ=ドザージュ</x:v>
      </x:c>
      <x:c r="Z45" s="53" t="str">
        <x:v>N</x:v>
      </x:c>
      <x:c r="AA45" s="42" t="str"/>
      <x:c r="AB45" s="42" t="str">
        <x:v>オリジナル</x:v>
      </x:c>
      <x:c r="AC45" s="42" t="str">
        <x:v>公式Specificationの範囲＋ユーザー作成コーパスの論点を参考に独自作成</x:v>
      </x:c>
      <x:c r="AD45" s="53" t="str">
        <x:v>未レビュー</x:v>
      </x:c>
      <x:c r="AE45" s="53" t="str"/>
      <x:c r="AF45" s="53" t="str"/>
      <x:c r="AG45" s="43" t="str"/>
    </x:row>
    <x:row r="46" ht="84" customHeight="1">
      <x:c r="A46" s="41" t="str">
        <x:v>LO3-005</x:v>
      </x:c>
      <x:c r="B46" s="53" t="str">
        <x:v>LO3</x:v>
      </x:c>
      <x:c r="C46" s="42" t="str">
        <x:v>世界の主要な発泡性ワイン</x:v>
      </x:c>
      <x:c r="D46" s="42" t="str">
        <x:v>ドザージュ</x:v>
      </x:c>
      <x:c r="E46" s="42" t="str">
        <x:v>リクール・デクスペディシオン（ドザージュ）の主な役割はどれか。</x:v>
      </x:c>
      <x:c r="F46" s="42" t="str">
        <x:v>糖と酵母を加え、瓶内二次発酵を開始すること</x:v>
      </x:c>
      <x:c r="G46" s="42" t="str">
        <x:v>デゴルジュマン後の液量を補い、最終的な甘味のスタイルを調整すること</x:v>
      </x:c>
      <x:c r="H46" s="42" t="str">
        <x:v>瓶を回転させ、澱を瓶口へ徐々に移動させること</x:v>
      </x:c>
      <x:c r="I46" s="42" t="str">
        <x:v>ブドウ由来のスピリッツを加え、ワインを酒精強化すること</x:v>
      </x:c>
      <x:c r="J46" s="53" t="str">
        <x:v>B</x:v>
      </x:c>
      <x:c r="K46" s="42" t="str">
        <x:v>デゴルジュマン後の液量を補い、最終的な甘味のスタイルを調整すること</x:v>
      </x:c>
      <x:c r="L46" s="42" t="str">
        <x:v>ワインと糖を含む液体を加え、ブリュットなどの最終スタイルを決める。</x:v>
      </x:c>
      <x:c r="M46" s="42" t="str">
        <x:v>誤り。 二次発酵の開始にはリクール・ドゥ・ティラージュを用いる。</x:v>
      </x:c>
      <x:c r="N46" s="42" t="str">
        <x:v>正しい。 ワインと糖を含む液体を加え、ブリュットなどの最終スタイルを決める。</x:v>
      </x:c>
      <x:c r="O46" s="42" t="str">
        <x:v>誤り。 澱を移動させる工程はルミュアージュである。</x:v>
      </x:c>
      <x:c r="P46" s="42" t="str">
        <x:v>誤り。 通常の発泡性ワインのドザージュは酒精強化を目的としない。</x:v>
      </x:c>
      <x:c r="Q46" s="42" t="str">
        <x:v>発泡性ワイン製法</x:v>
      </x:c>
      <x:c r="R46" s="42" t="str">
        <x:v>ドザージュ</x:v>
      </x:c>
      <x:c r="S46" s="42" t="str">
        <x:v>発泡性ワイン</x:v>
      </x:c>
      <x:c r="T46" s="42" t="str"/>
      <x:c r="U46" s="42" t="str"/>
      <x:c r="V46" s="42" t="str"/>
      <x:c r="W46" s="42" t="str">
        <x:v>知識確認</x:v>
      </x:c>
      <x:c r="X46" s="53" t="str">
        <x:v>D1</x:v>
      </x:c>
      <x:c r="Y46" s="42" t="str">
        <x:v>ドザージュ=ティラージュ; ドザージュ=酒精強化</x:v>
      </x:c>
      <x:c r="Z46" s="53" t="str">
        <x:v>N</x:v>
      </x:c>
      <x:c r="AA46" s="42" t="str"/>
      <x:c r="AB46" s="42" t="str">
        <x:v>オリジナル</x:v>
      </x:c>
      <x:c r="AC46" s="42" t="str">
        <x:v>公式Specificationの範囲＋ユーザー作成コーパスの論点を参考に独自作成</x:v>
      </x:c>
      <x:c r="AD46" s="53" t="str">
        <x:v>未レビュー</x:v>
      </x:c>
      <x:c r="AE46" s="53" t="str"/>
      <x:c r="AF46" s="53" t="str"/>
      <x:c r="AG46" s="43" t="str"/>
    </x:row>
    <x:row r="47" ht="84" customHeight="1">
      <x:c r="A47" s="41" t="str">
        <x:v>LO3-006</x:v>
      </x:c>
      <x:c r="B47" s="53" t="str">
        <x:v>LO3</x:v>
      </x:c>
      <x:c r="C47" s="42" t="str">
        <x:v>世界の主要な発泡性ワイン</x:v>
      </x:c>
      <x:c r="D47" s="42" t="str">
        <x:v>トランスファー方式</x:v>
      </x:c>
      <x:c r="E47" s="42" t="str">
        <x:v>トランスファー方式が伝統的方式と異なる点として最も適切なものはどれか。</x:v>
      </x:c>
      <x:c r="F47" s="42" t="str">
        <x:v>二次発酵を加圧タンクで行い、そのまま瓶詰めする</x:v>
      </x:c>
      <x:c r="G47" s="42" t="str">
        <x:v>完成したベースワインへ外部から炭酸ガスを注入する</x:v>
      </x:c>
      <x:c r="H47" s="42" t="str">
        <x:v>瓶内二次発酵後、ワインを加圧タンクへ移して一括して濾過し、再瓶詰めする</x:v>
      </x:c>
      <x:c r="I47" s="42" t="str">
        <x:v>加圧タンクで発酵を途中停止し、低アルコール甘口に仕上げる</x:v>
      </x:c>
      <x:c r="J47" s="53" t="str">
        <x:v>C</x:v>
      </x:c>
      <x:c r="K47" s="42" t="str">
        <x:v>瓶内二次発酵後、ワインを加圧タンクへ移して一括して濾過し、再瓶詰めする</x:v>
      </x:c>
      <x:c r="L47" s="42" t="str">
        <x:v>個別のルミュアージュとデゴルジュマンを省きながら、瓶内二次発酵由来の特徴を得られる。</x:v>
      </x:c>
      <x:c r="M47" s="42" t="str">
        <x:v>誤り。 これはタンク方式の説明で、トランスファー方式では二次発酵は瓶内で行う。</x:v>
      </x:c>
      <x:c r="N47" s="42" t="str">
        <x:v>誤り。 外部注入は炭酸ガス注入方式である。</x:v>
      </x:c>
      <x:c r="O47" s="42" t="str">
        <x:v>正しい。 個別のルミュアージュとデゴルジュマンを省きながら、瓶内二次発酵由来の特徴を得られる。</x:v>
      </x:c>
      <x:c r="P47" s="42" t="str">
        <x:v>誤り。 これはアスティ方式の特徴に近い。</x:v>
      </x:c>
      <x:c r="Q47" s="42" t="str">
        <x:v>発泡性ワイン製法</x:v>
      </x:c>
      <x:c r="R47" s="42" t="str">
        <x:v>トランスファー方式</x:v>
      </x:c>
      <x:c r="S47" s="42" t="str">
        <x:v>発泡性ワイン</x:v>
      </x:c>
      <x:c r="T47" s="42" t="str"/>
      <x:c r="U47" s="42" t="str"/>
      <x:c r="V47" s="42" t="str"/>
      <x:c r="W47" s="42" t="str">
        <x:v>比較</x:v>
      </x:c>
      <x:c r="X47" s="53" t="str">
        <x:v>D2</x:v>
      </x:c>
      <x:c r="Y47" s="42" t="str">
        <x:v>トランスファー=タンク二次発酵; トランスファー=炭酸注入</x:v>
      </x:c>
      <x:c r="Z47" s="53" t="str">
        <x:v>N</x:v>
      </x:c>
      <x:c r="AA47" s="42" t="str"/>
      <x:c r="AB47" s="42" t="str">
        <x:v>オリジナル</x:v>
      </x:c>
      <x:c r="AC47" s="42" t="str">
        <x:v>公式Specificationの範囲＋ユーザー作成コーパスの論点を参考に独自作成</x:v>
      </x:c>
      <x:c r="AD47" s="53" t="str">
        <x:v>未レビュー</x:v>
      </x:c>
      <x:c r="AE47" s="53" t="str"/>
      <x:c r="AF47" s="53" t="str"/>
      <x:c r="AG47" s="43" t="str"/>
    </x:row>
    <x:row r="48" ht="84" customHeight="1">
      <x:c r="A48" s="41" t="str">
        <x:v>LO3-007</x:v>
      </x:c>
      <x:c r="B48" s="53" t="str">
        <x:v>LO3</x:v>
      </x:c>
      <x:c r="C48" s="42" t="str">
        <x:v>世界の主要な発泡性ワイン</x:v>
      </x:c>
      <x:c r="D48" s="42" t="str">
        <x:v>タンク方式</x:v>
      </x:c>
      <x:c r="E48" s="42" t="str">
        <x:v>芳香性の高い品種から造る発泡性ワインでタンク方式が適する主な理由はどれか。</x:v>
      </x:c>
      <x:c r="F48" s="42" t="str">
        <x:v>長い瓶内澱熟成により自己分解香を最大化できるから</x:v>
      </x:c>
      <x:c r="G48" s="42" t="str">
        <x:v>高いタンニンを抽出できるから</x:v>
      </x:c>
      <x:c r="H48" s="42" t="str">
        <x:v>貴腐化した果実を加圧タンクで発酵し、甘味を残すから</x:v>
      </x:c>
      <x:c r="I48" s="42" t="str">
        <x:v>果実や花の一次香を保ちながら、効率よく発泡性ワインを生産できるから</x:v>
      </x:c>
      <x:c r="J48" s="53" t="str">
        <x:v>D</x:v>
      </x:c>
      <x:c r="K48" s="42" t="str">
        <x:v>果実や花の一次香を保ちながら、効率よく発泡性ワインを生産できるから</x:v>
      </x:c>
      <x:c r="L48" s="42" t="str">
        <x:v>密閉タンクで二次発酵し、酸素接触と長い自己分解熟成を抑えてフレッシュな香りを保持する。</x:v>
      </x:c>
      <x:c r="M48" s="42" t="str">
        <x:v>誤り。 タンク方式は通常、長期の瓶内澱熟成を目的としない。</x:v>
      </x:c>
      <x:c r="N48" s="42" t="str">
        <x:v>誤り。 白い発泡性ワインでタンニン抽出が主目的ではない。</x:v>
      </x:c>
      <x:c r="O48" s="42" t="str">
        <x:v>誤り。 貴腐はタンク方式の必須条件ではなく、芳香性品種の一次香保持が主な利点である。</x:v>
      </x:c>
      <x:c r="P48" s="42" t="str">
        <x:v>正しい。 密閉タンクで二次発酵し、酸素接触と長い自己分解熟成を抑えてフレッシュな香りを保持する。</x:v>
      </x:c>
      <x:c r="Q48" s="42" t="str">
        <x:v>発泡性ワイン製法</x:v>
      </x:c>
      <x:c r="R48" s="42" t="str">
        <x:v>タンク方式</x:v>
      </x:c>
      <x:c r="S48" s="42" t="str">
        <x:v>発泡性ワイン</x:v>
      </x:c>
      <x:c r="T48" s="42" t="str"/>
      <x:c r="U48" s="42" t="str"/>
      <x:c r="V48" s="42" t="str"/>
      <x:c r="W48" s="42" t="str">
        <x:v>因果説明</x:v>
      </x:c>
      <x:c r="X48" s="53" t="str">
        <x:v>D2</x:v>
      </x:c>
      <x:c r="Y48" s="42" t="str">
        <x:v>タンク方式=自己分解最大化; タンク方式=高タンニン</x:v>
      </x:c>
      <x:c r="Z48" s="53" t="str">
        <x:v>N</x:v>
      </x:c>
      <x:c r="AA48" s="42" t="str"/>
      <x:c r="AB48" s="42" t="str">
        <x:v>オリジナル</x:v>
      </x:c>
      <x:c r="AC48" s="42" t="str">
        <x:v>公式Specificationの範囲＋ユーザー作成コーパスの論点を参考に独自作成</x:v>
      </x:c>
      <x:c r="AD48" s="53" t="str">
        <x:v>未レビュー</x:v>
      </x:c>
      <x:c r="AE48" s="53" t="str"/>
      <x:c r="AF48" s="53" t="str"/>
      <x:c r="AG48" s="43" t="str"/>
    </x:row>
    <x:row r="49" ht="84" customHeight="1">
      <x:c r="A49" s="41" t="str">
        <x:v>LO3-008</x:v>
      </x:c>
      <x:c r="B49" s="53" t="str">
        <x:v>LO3</x:v>
      </x:c>
      <x:c r="C49" s="42" t="str">
        <x:v>世界の主要な発泡性ワイン</x:v>
      </x:c>
      <x:c r="D49" s="42" t="str">
        <x:v>アスティ方式</x:v>
      </x:c>
      <x:c r="E49" s="42" t="str">
        <x:v>アスティが一般に甘口で比較的低アルコールとなる主な理由はどれか。</x:v>
      </x:c>
      <x:c r="F49" s="42" t="str">
        <x:v>発酵を完了する前に冷却・濾過で止め、未発酵の糖を残すため</x:v>
      </x:c>
      <x:c r="G49" s="42" t="str">
        <x:v>完成後に大量の水を加えるため</x:v>
      </x:c>
      <x:c r="H49" s="42" t="str">
        <x:v>瓶内で長期間酸化熟成させるため</x:v>
      </x:c>
      <x:c r="I49" s="42" t="str">
        <x:v>酒精強化して酵母を止めるため</x:v>
      </x:c>
      <x:c r="J49" s="53" t="str">
        <x:v>A</x:v>
      </x:c>
      <x:c r="K49" s="42" t="str">
        <x:v>発酵を完了する前に冷却・濾過で止め、未発酵の糖を残すため</x:v>
      </x:c>
      <x:c r="L49" s="42" t="str">
        <x:v>一度の発酵中に炭酸ガスを保持し、途中で止めることで残糖と低いアルコール度を両立する。</x:v>
      </x:c>
      <x:c r="M49" s="42" t="str">
        <x:v>正しい。 一度の発酵中に炭酸ガスを保持し、途中で止めることで残糖と低いアルコール度を両立する。</x:v>
      </x:c>
      <x:c r="N49" s="42" t="str">
        <x:v>誤り。 水の添加が主要な製法ではない。</x:v>
      </x:c>
      <x:c r="O49" s="42" t="str">
        <x:v>誤り。 アスティはフレッシュな芳香を重視し、長期酸化熟成を行わない。</x:v>
      </x:c>
      <x:c r="P49" s="42" t="str">
        <x:v>誤り。 通常のアスティは酒精強化ワインではない。</x:v>
      </x:c>
      <x:c r="Q49" s="42" t="str">
        <x:v>発泡性ワイン製法</x:v>
      </x:c>
      <x:c r="R49" s="42" t="str">
        <x:v>アスティ方式</x:v>
      </x:c>
      <x:c r="S49" s="42" t="str">
        <x:v>甘口発泡性ワイン</x:v>
      </x:c>
      <x:c r="T49" s="42" t="str">
        <x:v>イタリア</x:v>
      </x:c>
      <x:c r="U49" s="42" t="str">
        <x:v>アスティ</x:v>
      </x:c>
      <x:c r="V49" s="42" t="str">
        <x:v>ミュスカ・ブラン・ア・プティ・グラン</x:v>
      </x:c>
      <x:c r="W49" s="42" t="str">
        <x:v>因果説明</x:v>
      </x:c>
      <x:c r="X49" s="53" t="str">
        <x:v>D2</x:v>
      </x:c>
      <x:c r="Y49" s="42" t="str">
        <x:v>アスティ=加水; アスティ=酒精強化</x:v>
      </x:c>
      <x:c r="Z49" s="53" t="str">
        <x:v>N</x:v>
      </x:c>
      <x:c r="AA49" s="42" t="str"/>
      <x:c r="AB49" s="42" t="str">
        <x:v>オリジナル</x:v>
      </x:c>
      <x:c r="AC49" s="42" t="str">
        <x:v>公式Specificationの範囲＋ユーザー作成コーパスの論点を参考に独自作成</x:v>
      </x:c>
      <x:c r="AD49" s="53" t="str">
        <x:v>未レビュー</x:v>
      </x:c>
      <x:c r="AE49" s="53" t="str"/>
      <x:c r="AF49" s="53" t="str"/>
      <x:c r="AG49" s="43" t="str"/>
    </x:row>
    <x:row r="50" ht="84" customHeight="1">
      <x:c r="A50" s="41" t="str">
        <x:v>LO3-009</x:v>
      </x:c>
      <x:c r="B50" s="53" t="str">
        <x:v>LO3</x:v>
      </x:c>
      <x:c r="C50" s="42" t="str">
        <x:v>世界の主要な発泡性ワイン</x:v>
      </x:c>
      <x:c r="D50" s="42" t="str">
        <x:v>炭酸ガス注入方式</x:v>
      </x:c>
      <x:c r="E50" s="42" t="str">
        <x:v>炭酸ガス注入方式で造られる発泡性ワインの一般的な特徴はどれか。</x:v>
      </x:c>
      <x:c r="F50" s="42" t="str">
        <x:v>長い澱熟成による複雑な自己分解香</x:v>
      </x:c>
      <x:c r="G50" s="42" t="str">
        <x:v>生産コストが低く、果実主体で単純なスタイルになりやすい</x:v>
      </x:c>
      <x:c r="H50" s="42" t="str">
        <x:v>瓶内二次発酵を行うため、自己分解香と持続性の高い泡を得やすい</x:v>
      </x:c>
      <x:c r="I50" s="42" t="str">
        <x:v>酒精強化を伴うため、高アルコールの発泡性ワインになる</x:v>
      </x:c>
      <x:c r="J50" s="53" t="str">
        <x:v>B</x:v>
      </x:c>
      <x:c r="K50" s="42" t="str">
        <x:v>生産コストが低く、果実主体で単純なスタイルになりやすい</x:v>
      </x:c>
      <x:c r="L50" s="42" t="str">
        <x:v>外部から炭酸ガスを加えるため工程が短く、複雑な発酵・熟成香は得にくい。</x:v>
      </x:c>
      <x:c r="M50" s="42" t="str">
        <x:v>誤り。 炭酸ガス注入では二次発酵や長い澱熟成を行わない。</x:v>
      </x:c>
      <x:c r="N50" s="42" t="str">
        <x:v>正しい。 外部から炭酸ガスを加えるため工程が短く、複雑な発酵・熟成香は得にくい。</x:v>
      </x:c>
      <x:c r="O50" s="42" t="str">
        <x:v>誤り。 炭酸ガス注入では瓶内二次発酵を行わず、自己分解香は得にくい。</x:v>
      </x:c>
      <x:c r="P50" s="42" t="str">
        <x:v>誤り。 酒精強化されるわけではなく、通常そのような高アルコールにはならない。</x:v>
      </x:c>
      <x:c r="Q50" s="42" t="str">
        <x:v>発泡性ワイン製法</x:v>
      </x:c>
      <x:c r="R50" s="42" t="str">
        <x:v>炭酸ガス注入方式</x:v>
      </x:c>
      <x:c r="S50" s="42" t="str">
        <x:v>発泡性ワイン</x:v>
      </x:c>
      <x:c r="T50" s="42" t="str"/>
      <x:c r="U50" s="42" t="str"/>
      <x:c r="V50" s="42" t="str"/>
      <x:c r="W50" s="42" t="str">
        <x:v>知識確認</x:v>
      </x:c>
      <x:c r="X50" s="53" t="str">
        <x:v>D1</x:v>
      </x:c>
      <x:c r="Y50" s="42" t="str">
        <x:v>炭酸注入=澱熟成; 炭酸注入=高アルコール</x:v>
      </x:c>
      <x:c r="Z50" s="53" t="str">
        <x:v>N</x:v>
      </x:c>
      <x:c r="AA50" s="42" t="str"/>
      <x:c r="AB50" s="42" t="str">
        <x:v>オリジナル</x:v>
      </x:c>
      <x:c r="AC50" s="42" t="str">
        <x:v>公式Specificationの範囲＋ユーザー作成コーパスの論点を参考に独自作成</x:v>
      </x:c>
      <x:c r="AD50" s="53" t="str">
        <x:v>未レビュー</x:v>
      </x:c>
      <x:c r="AE50" s="53" t="str"/>
      <x:c r="AF50" s="53" t="str"/>
      <x:c r="AG50" s="43" t="str"/>
    </x:row>
    <x:row r="51" ht="84" customHeight="1">
      <x:c r="A51" s="41" t="str">
        <x:v>LO3-010</x:v>
      </x:c>
      <x:c r="B51" s="53" t="str">
        <x:v>LO3</x:v>
      </x:c>
      <x:c r="C51" s="42" t="str">
        <x:v>世界の主要な発泡性ワイン</x:v>
      </x:c>
      <x:c r="D51" s="42" t="str">
        <x:v>ノン・ヴィンテージ・シャンパーニュ</x:v>
      </x:c>
      <x:c r="E51" s="42" t="str">
        <x:v>ノン・ヴィンテージ・シャンパーニュにリザーヴワインをブレンドする主な目的はどれか。</x:v>
      </x:c>
      <x:c r="F51" s="42" t="str">
        <x:v>毎年異なるスタイルにし、ヴィンテージ差を最大化するため</x:v>
      </x:c>
      <x:c r="G51" s="42" t="str">
        <x:v>熟成中の蒸発によってアルコール度を下げるため</x:v>
      </x:c>
      <x:c r="H51" s="42" t="str">
        <x:v>複数年の特徴を組み合わせ、ハウススタイルと品質の一貫性を保つため</x:v>
      </x:c>
      <x:c r="I51" s="42" t="str">
        <x:v>甘味の異なるロットを混ぜ、最終的な残糖区分を決めるため</x:v>
      </x:c>
      <x:c r="J51" s="53" t="str">
        <x:v>C</x:v>
      </x:c>
      <x:c r="K51" s="42" t="str">
        <x:v>複数年の特徴を組み合わせ、ハウススタイルと品質の一貫性を保つため</x:v>
      </x:c>
      <x:c r="L51" s="42" t="str">
        <x:v>冷涼地のヴィンテージ差を和らげ、複雑さも加えられる。</x:v>
      </x:c>
      <x:c r="M51" s="42" t="str">
        <x:v>誤り。 ハウススタイルの一貫性を高める目的と反対である。</x:v>
      </x:c>
      <x:c r="N51" s="42" t="str">
        <x:v>誤り。 リザーヴワインのブレンドは脱アルコール工程ではない。</x:v>
      </x:c>
      <x:c r="O51" s="42" t="str">
        <x:v>正しい。 冷涼地のヴィンテージ差を和らげ、複雑さも加えられる。</x:v>
      </x:c>
      <x:c r="P51" s="42" t="str">
        <x:v>誤り。 最終的な甘味は主にドザージュで決まり、リザーヴワインの主目的は一貫性と複雑さである。</x:v>
      </x:c>
      <x:c r="Q51" s="42" t="str">
        <x:v>ブレンド・商業</x:v>
      </x:c>
      <x:c r="R51" s="42" t="str">
        <x:v>ノン・ヴィンテージ</x:v>
      </x:c>
      <x:c r="S51" s="42" t="str">
        <x:v>発泡性ワイン</x:v>
      </x:c>
      <x:c r="T51" s="42" t="str">
        <x:v>フランス</x:v>
      </x:c>
      <x:c r="U51" s="42" t="str">
        <x:v>シャンパーニュ</x:v>
      </x:c>
      <x:c r="V51" s="42" t="str">
        <x:v>シャルドネ、ピノ・ノワール、ムーニエ</x:v>
      </x:c>
      <x:c r="W51" s="42" t="str">
        <x:v>因果説明</x:v>
      </x:c>
      <x:c r="X51" s="53" t="str">
        <x:v>D2</x:v>
      </x:c>
      <x:c r="Y51" s="42" t="str">
        <x:v>リザーヴワイン=甘口化; NV=差を最大化</x:v>
      </x:c>
      <x:c r="Z51" s="53" t="str">
        <x:v>N</x:v>
      </x:c>
      <x:c r="AA51" s="42" t="str"/>
      <x:c r="AB51" s="42" t="str">
        <x:v>オリジナル</x:v>
      </x:c>
      <x:c r="AC51" s="42" t="str">
        <x:v>公式Specificationの範囲＋ユーザー作成コーパスの論点を参考に独自作成</x:v>
      </x:c>
      <x:c r="AD51" s="53" t="str">
        <x:v>未レビュー</x:v>
      </x:c>
      <x:c r="AE51" s="53" t="str"/>
      <x:c r="AF51" s="53" t="str"/>
      <x:c r="AG51" s="43" t="str"/>
    </x:row>
    <x:row r="52" ht="84" customHeight="1">
      <x:c r="A52" s="41" t="str">
        <x:v>LO3-011</x:v>
      </x:c>
      <x:c r="B52" s="53" t="str">
        <x:v>LO3</x:v>
      </x:c>
      <x:c r="C52" s="42" t="str">
        <x:v>世界の主要な発泡性ワイン</x:v>
      </x:c>
      <x:c r="D52" s="42" t="str">
        <x:v>ブラン・ドゥ・ブラン</x:v>
      </x:c>
      <x:c r="E52" s="42" t="str">
        <x:v>シャンパーニュのブラン・ドゥ・ブランについて最も適切な説明はどれか。</x:v>
      </x:c>
      <x:c r="F52" s="42" t="str">
        <x:v>黒ブドウだけから造られ、赤い果実風味と高いタンニンを持つ</x:v>
      </x:c>
      <x:c r="G52" s="42" t="str">
        <x:v>白ブドウと黒ブドウを同量程度ブレンドして造る</x:v>
      </x:c>
      <x:c r="H52" s="42" t="str">
        <x:v>ドザージュを一切行わないシャンパーニュの総称である</x:v>
      </x:c>
      <x:c r="I52" s="42" t="str">
        <x:v>白ブドウ、主にシャルドネから造られ、柑橘や花、引き締まった酸を示しやすい</x:v>
      </x:c>
      <x:c r="J52" s="53" t="str">
        <x:v>D</x:v>
      </x:c>
      <x:c r="K52" s="42" t="str">
        <x:v>白ブドウ、主にシャルドネから造られ、柑橘や花、引き締まった酸を示しやすい</x:v>
      </x:c>
      <x:c r="L52" s="42" t="str">
        <x:v>シャルドネ主体のため、繊細さと高い酸、熟成による複雑さを持ちやすい。</x:v>
      </x:c>
      <x:c r="M52" s="42" t="str">
        <x:v>誤り。 これはブラン・ドゥ・ノワールの原料説明に近いが、白ワインでは高タンニンは典型的でない。</x:v>
      </x:c>
      <x:c r="N52" s="42" t="str">
        <x:v>誤り。 ブラン・ドゥ・ブランは白ブドウから造られる。</x:v>
      </x:c>
      <x:c r="O52" s="42" t="str">
        <x:v>誤り。 無添加ドザージュはブリュット・ナチュールなどの甘味区分に関係する。</x:v>
      </x:c>
      <x:c r="P52" s="42" t="str">
        <x:v>正しい。 シャルドネ主体のため、繊細さと高い酸、熟成による複雑さを持ちやすい。</x:v>
      </x:c>
      <x:c r="Q52" s="42" t="str">
        <x:v>産地スタイル</x:v>
      </x:c>
      <x:c r="R52" s="42" t="str">
        <x:v>ブラン・ドゥ・ブラン</x:v>
      </x:c>
      <x:c r="S52" s="42" t="str">
        <x:v>発泡性ワイン</x:v>
      </x:c>
      <x:c r="T52" s="42" t="str">
        <x:v>フランス</x:v>
      </x:c>
      <x:c r="U52" s="42" t="str">
        <x:v>シャンパーニュ</x:v>
      </x:c>
      <x:c r="V52" s="42" t="str">
        <x:v>シャルドネ</x:v>
      </x:c>
      <x:c r="W52" s="42" t="str">
        <x:v>知識確認</x:v>
      </x:c>
      <x:c r="X52" s="53" t="str">
        <x:v>D1</x:v>
      </x:c>
      <x:c r="Y52" s="42" t="str">
        <x:v>Blanc de Blancs=黒ブドウ; Blanc de Blancs=無ドザージュ</x:v>
      </x:c>
      <x:c r="Z52" s="53" t="str">
        <x:v>N</x:v>
      </x:c>
      <x:c r="AA52" s="42" t="str"/>
      <x:c r="AB52" s="42" t="str">
        <x:v>オリジナル</x:v>
      </x:c>
      <x:c r="AC52" s="42" t="str">
        <x:v>公式Specificationの範囲＋ユーザー作成コーパスの論点を参考に独自作成</x:v>
      </x:c>
      <x:c r="AD52" s="53" t="str">
        <x:v>未レビュー</x:v>
      </x:c>
      <x:c r="AE52" s="53" t="str"/>
      <x:c r="AF52" s="53" t="str"/>
      <x:c r="AG52" s="43" t="str"/>
    </x:row>
    <x:row r="53" ht="84" customHeight="1">
      <x:c r="A53" s="41" t="str">
        <x:v>LO3-012</x:v>
      </x:c>
      <x:c r="B53" s="53" t="str">
        <x:v>LO3</x:v>
      </x:c>
      <x:c r="C53" s="42" t="str">
        <x:v>世界の主要な発泡性ワイン</x:v>
      </x:c>
      <x:c r="D53" s="42" t="str">
        <x:v>コート・デ・ブラン</x:v>
      </x:c>
      <x:c r="E53" s="42" t="str">
        <x:v>コート・デ・ブランがシャルドネで高い評価を得る主な理由はどれか。</x:v>
      </x:c>
      <x:c r="F53" s="42" t="str">
        <x:v>白亜質土壌の水はけと保水性、冷涼な気候が高い酸と繊細な風味を支える</x:v>
      </x:c>
      <x:c r="G53" s="42" t="str">
        <x:v>高温の火山性土壌が黒ブドウのタンニンを増やす</x:v>
      </x:c>
      <x:c r="H53" s="42" t="str">
        <x:v>高標高の温暖な畑で糖度を高め、酸を低下させる</x:v>
      </x:c>
      <x:c r="I53" s="42" t="str">
        <x:v>貴腐化したブドウのみを使用する</x:v>
      </x:c>
      <x:c r="J53" s="53" t="str">
        <x:v>A</x:v>
      </x:c>
      <x:c r="K53" s="42" t="str">
        <x:v>白亜質土壌の水はけと保水性、冷涼な気候が高い酸と繊細な風味を支える</x:v>
      </x:c>
      <x:c r="L53" s="42" t="str">
        <x:v>白亜は排水しつつ水を蓄え、冷涼条件でシャルドネがゆっくり成熟する。</x:v>
      </x:c>
      <x:c r="M53" s="42" t="str">
        <x:v>正しい。 白亜は排水しつつ水を蓄え、冷涼条件でシャルドネがゆっくり成熟する。</x:v>
      </x:c>
      <x:c r="N53" s="42" t="str">
        <x:v>誤り。 コート・デ・ブランは主にシャルドネで知られ、説明が合わない。</x:v>
      </x:c>
      <x:c r="O53" s="42" t="str">
        <x:v>誤り。 コート・デ・ブランは冷涼な条件と白亜質土壌が重要で、高温・低酸を目的としない。</x:v>
      </x:c>
      <x:c r="P53" s="42" t="str">
        <x:v>誤り。 シャンパーニュ用ブドウで貴腐は一般に望まれない。</x:v>
      </x:c>
      <x:c r="Q53" s="42" t="str">
        <x:v>自然要因・産地</x:v>
      </x:c>
      <x:c r="R53" s="42" t="str">
        <x:v>白亜質土壌・シャルドネ</x:v>
      </x:c>
      <x:c r="S53" s="42" t="str">
        <x:v>発泡性ワイン</x:v>
      </x:c>
      <x:c r="T53" s="42" t="str">
        <x:v>フランス</x:v>
      </x:c>
      <x:c r="U53" s="42" t="str">
        <x:v>コート・デ・ブラン</x:v>
      </x:c>
      <x:c r="V53" s="42" t="str">
        <x:v>シャルドネ</x:v>
      </x:c>
      <x:c r="W53" s="42" t="str">
        <x:v>因果説明</x:v>
      </x:c>
      <x:c r="X53" s="53" t="str">
        <x:v>D2</x:v>
      </x:c>
      <x:c r="Y53" s="42" t="str">
        <x:v>コートデブラン=火山性; シャンパーニュ=貴腐</x:v>
      </x:c>
      <x:c r="Z53" s="53" t="str">
        <x:v>N</x:v>
      </x:c>
      <x:c r="AA53" s="42" t="str"/>
      <x:c r="AB53" s="42" t="str">
        <x:v>オリジナル</x:v>
      </x:c>
      <x:c r="AC53" s="42" t="str">
        <x:v>公式Specificationの範囲＋ユーザー作成コーパスの論点を参考に独自作成</x:v>
      </x:c>
      <x:c r="AD53" s="53" t="str">
        <x:v>未レビュー</x:v>
      </x:c>
      <x:c r="AE53" s="53" t="str"/>
      <x:c r="AF53" s="53" t="str"/>
      <x:c r="AG53" s="43" t="str"/>
    </x:row>
    <x:row r="54" ht="84" customHeight="1">
      <x:c r="A54" s="41" t="str">
        <x:v>LO3-013</x:v>
      </x:c>
      <x:c r="B54" s="53" t="str">
        <x:v>LO3</x:v>
      </x:c>
      <x:c r="C54" s="42" t="str">
        <x:v>世界の主要な発泡性ワイン</x:v>
      </x:c>
      <x:c r="D54" s="42" t="str">
        <x:v>ヴァレ・ドゥ・ラ・マルヌ</x:v>
      </x:c>
      <x:c r="E54" s="42" t="str">
        <x:v>ヴァレ・ドゥ・ラ・マルヌでムーニエが重要となる理由として最も適切なものはどれか。</x:v>
      </x:c>
      <x:c r="F54" s="42" t="str">
        <x:v>ムーニエは極めて晩熟で、最も暖かい斜面だけに適するから</x:v>
      </x:c>
      <x:c r="G54" s="42" t="str">
        <x:v>萌芽が遅く比較的早熟で、霜の影響を受けやすい地域でも安定して成熟しやすいから</x:v>
      </x:c>
      <x:c r="H54" s="42" t="str">
        <x:v>高いタンニンを得るため長期の果皮浸漬が必要だから</x:v>
      </x:c>
      <x:c r="I54" s="42" t="str">
        <x:v>法律でムーニエ以外の品種が禁止されているから</x:v>
      </x:c>
      <x:c r="J54" s="53" t="str">
        <x:v>B</x:v>
      </x:c>
      <x:c r="K54" s="42" t="str">
        <x:v>萌芽が遅く比較的早熟で、霜の影響を受けやすい地域でも安定して成熟しやすいから</x:v>
      </x:c>
      <x:c r="L54" s="42" t="str">
        <x:v>遅い萌芽で春霜を避けやすく、比較的早く成熟するため冷涼な条件に適応しやすい。</x:v>
      </x:c>
      <x:c r="M54" s="42" t="str">
        <x:v>誤り。 ムーニエは比較的早く芽吹き・成熟し、冷涼条件への適応が高い。</x:v>
      </x:c>
      <x:c r="N54" s="42" t="str">
        <x:v>正しい。 遅い萌芽で春霜を避けやすく、比較的早く成熟するため冷涼な条件に適応しやすい。</x:v>
      </x:c>
      <x:c r="O54" s="42" t="str">
        <x:v>誤り。 白い発泡性ワインでは強いタンニン抽出を避ける。</x:v>
      </x:c>
      <x:c r="P54" s="42" t="str">
        <x:v>誤り。 シャルドネやピノ・ノワールも栽培される。</x:v>
      </x:c>
      <x:c r="Q54" s="42" t="str">
        <x:v>自然要因・産地</x:v>
      </x:c>
      <x:c r="R54" s="42" t="str">
        <x:v>品種適性</x:v>
      </x:c>
      <x:c r="S54" s="42" t="str">
        <x:v>発泡性ワイン</x:v>
      </x:c>
      <x:c r="T54" s="42" t="str">
        <x:v>フランス</x:v>
      </x:c>
      <x:c r="U54" s="42" t="str">
        <x:v>ヴァレ・ドゥ・ラ・マルヌ</x:v>
      </x:c>
      <x:c r="V54" s="42" t="str">
        <x:v>ムーニエ</x:v>
      </x:c>
      <x:c r="W54" s="42" t="str">
        <x:v>因果説明</x:v>
      </x:c>
      <x:c r="X54" s="53" t="str">
        <x:v>D2</x:v>
      </x:c>
      <x:c r="Y54" s="42" t="str">
        <x:v>ムーニエ=晩熟; 地域=単一品種のみ</x:v>
      </x:c>
      <x:c r="Z54" s="53" t="str">
        <x:v>N</x:v>
      </x:c>
      <x:c r="AA54" s="42" t="str"/>
      <x:c r="AB54" s="42" t="str">
        <x:v>オリジナル</x:v>
      </x:c>
      <x:c r="AC54" s="42" t="str">
        <x:v>公式Specificationの範囲＋ユーザー作成コーパスの論点を参考に独自作成</x:v>
      </x:c>
      <x:c r="AD54" s="53" t="str">
        <x:v>未レビュー</x:v>
      </x:c>
      <x:c r="AE54" s="53" t="str"/>
      <x:c r="AF54" s="53" t="str"/>
      <x:c r="AG54" s="43" t="str"/>
    </x:row>
    <x:row r="55" ht="84" customHeight="1">
      <x:c r="A55" s="41" t="str">
        <x:v>LO3-014</x:v>
      </x:c>
      <x:c r="B55" s="53" t="str">
        <x:v>LO3</x:v>
      </x:c>
      <x:c r="C55" s="42" t="str">
        <x:v>世界の主要な発泡性ワイン</x:v>
      </x:c>
      <x:c r="D55" s="42" t="str">
        <x:v>ヴィンテージ・シャンパーニュ</x:v>
      </x:c>
      <x:c r="E55" s="42" t="str">
        <x:v>ヴィンテージ・シャンパーニュがノン・ヴィンテージより高価格になりやすい理由として最も適切なものはどれか。</x:v>
      </x:c>
      <x:c r="F55" s="42" t="str">
        <x:v>複数年のワインをブレンドし、毎年同じ量を生産できるから</x:v>
      </x:c>
      <x:c r="G55" s="42" t="str">
        <x:v>澱との接触を行わず、すぐ発売できるから</x:v>
      </x:c>
      <x:c r="H55" s="42" t="str">
        <x:v>優れた年のブドウを用い、長い熟成期間と在庫保有コストを必要とするから</x:v>
      </x:c>
      <x:c r="I55" s="42" t="str">
        <x:v>高いドザージュ量を用い、甘味の強いスタイルに限定されるから</x:v>
      </x:c>
      <x:c r="J55" s="53" t="str">
        <x:v>C</x:v>
      </x:c>
      <x:c r="K55" s="42" t="str">
        <x:v>優れた年のブドウを用い、長い熟成期間と在庫保有コストを必要とするから</x:v>
      </x:c>
      <x:c r="L55" s="42" t="str">
        <x:v>限定供給、長期熟成、品質への期待が価格を押し上げる。</x:v>
      </x:c>
      <x:c r="M55" s="42" t="str">
        <x:v>誤り。 ヴィンテージ・シャンパーニュは単一年のブドウを用い、優れた年に限って造られることが多い。</x:v>
      </x:c>
      <x:c r="N55" s="42" t="str">
        <x:v>誤り。 一般により長い熟成を行い、発売までの資金負担が大きい。</x:v>
      </x:c>
      <x:c r="O55" s="42" t="str">
        <x:v>正しい。 限定供給、長期熟成、品質への期待が価格を押し上げる。</x:v>
      </x:c>
      <x:c r="P55" s="42" t="str">
        <x:v>誤り。 ヴィンテージ表示は甘味区分ではなく、辛口のスタイルも一般的である。</x:v>
      </x:c>
      <x:c r="Q55" s="42" t="str">
        <x:v>商業面・法律面</x:v>
      </x:c>
      <x:c r="R55" s="42" t="str">
        <x:v>ヴィンテージ表示・価格</x:v>
      </x:c>
      <x:c r="S55" s="42" t="str">
        <x:v>発泡性ワイン</x:v>
      </x:c>
      <x:c r="T55" s="42" t="str">
        <x:v>フランス</x:v>
      </x:c>
      <x:c r="U55" s="42" t="str">
        <x:v>シャンパーニュ</x:v>
      </x:c>
      <x:c r="V55" s="42" t="str">
        <x:v>シャルドネ、ピノ・ノワール、ムーニエ</x:v>
      </x:c>
      <x:c r="W55" s="42" t="str">
        <x:v>統合判断</x:v>
      </x:c>
      <x:c r="X55" s="53" t="str">
        <x:v>D3</x:v>
      </x:c>
      <x:c r="Y55" s="42" t="str">
        <x:v>ヴィンテージ=毎年大量; ヴィンテージ=甘口</x:v>
      </x:c>
      <x:c r="Z55" s="53" t="str">
        <x:v>N</x:v>
      </x:c>
      <x:c r="AA55" s="42" t="str"/>
      <x:c r="AB55" s="42" t="str">
        <x:v>オリジナル</x:v>
      </x:c>
      <x:c r="AC55" s="42" t="str">
        <x:v>公式Specificationの範囲＋ユーザー作成コーパスの論点を参考に独自作成</x:v>
      </x:c>
      <x:c r="AD55" s="53" t="str">
        <x:v>未レビュー</x:v>
      </x:c>
      <x:c r="AE55" s="53" t="str"/>
      <x:c r="AF55" s="53" t="str"/>
      <x:c r="AG55" s="43" t="str"/>
    </x:row>
    <x:row r="56" ht="84" customHeight="1">
      <x:c r="A56" s="41" t="str">
        <x:v>LO3-015</x:v>
      </x:c>
      <x:c r="B56" s="53" t="str">
        <x:v>LO3</x:v>
      </x:c>
      <x:c r="C56" s="42" t="str">
        <x:v>世界の主要な発泡性ワイン</x:v>
      </x:c>
      <x:c r="D56" s="42" t="str">
        <x:v>カバ</x:v>
      </x:c>
      <x:c r="E56" s="42" t="str">
        <x:v>伝統的なカバの主要品種の組み合わせはどれか。</x:v>
      </x:c>
      <x:c r="F56" s="42" t="str">
        <x:v>グレラ、コルテーゼ、ガルガーネガ</x:v>
      </x:c>
      <x:c r="G56" s="42" t="str">
        <x:v>リースリング、シルヴァーナー、ミュラー・トゥルガウ</x:v>
      </x:c>
      <x:c r="H56" s="42" t="str">
        <x:v>シャルドネ、ピノ・ノワール、ムーニエのみ</x:v>
      </x:c>
      <x:c r="I56" s="42" t="str">
        <x:v>マカベオ、チャレッロ、パレリャーダ</x:v>
      </x:c>
      <x:c r="J56" s="53" t="str">
        <x:v>D</x:v>
      </x:c>
      <x:c r="K56" s="42" t="str">
        <x:v>マカベオ、チャレッロ、パレリャーダ</x:v>
      </x:c>
      <x:c r="L56" s="42" t="str">
        <x:v>これらが伝統的なカバの主要品種で、酸、果実味、構造などを補完する。</x:v>
      </x:c>
      <x:c r="M56" s="42" t="str">
        <x:v>誤り。 グレラはプロセッコ、コルテーゼはガヴィ、ガルガーネガはソアーヴェで重要である。</x:v>
      </x:c>
      <x:c r="N56" s="42" t="str">
        <x:v>誤り。 ドイツ系の品種で、伝統的なカバの主要三品種ではない。</x:v>
      </x:c>
      <x:c r="O56" s="42" t="str">
        <x:v>誤り。 国際品種も使われるが、伝統的な主要三品種ではない。</x:v>
      </x:c>
      <x:c r="P56" s="42" t="str">
        <x:v>正しい。 これらが伝統的なカバの主要品種で、酸、果実味、構造などを補完する。</x:v>
      </x:c>
      <x:c r="Q56" s="42" t="str">
        <x:v>品種・産地</x:v>
      </x:c>
      <x:c r="R56" s="42" t="str">
        <x:v>カバ主要品種</x:v>
      </x:c>
      <x:c r="S56" s="42" t="str">
        <x:v>発泡性ワイン</x:v>
      </x:c>
      <x:c r="T56" s="42" t="str">
        <x:v>スペイン</x:v>
      </x:c>
      <x:c r="U56" s="42" t="str">
        <x:v>カバ</x:v>
      </x:c>
      <x:c r="V56" s="42" t="str">
        <x:v>マカベオ、チャレッロ、パレリャーダ</x:v>
      </x:c>
      <x:c r="W56" s="42" t="str">
        <x:v>知識確認</x:v>
      </x:c>
      <x:c r="X56" s="53" t="str">
        <x:v>D1</x:v>
      </x:c>
      <x:c r="Y56" s="42" t="str">
        <x:v>カバ=シャンパーニュ三品種のみ; カバ=グレラ</x:v>
      </x:c>
      <x:c r="Z56" s="53" t="str">
        <x:v>N</x:v>
      </x:c>
      <x:c r="AA56" s="42" t="str"/>
      <x:c r="AB56" s="42" t="str">
        <x:v>オリジナル</x:v>
      </x:c>
      <x:c r="AC56" s="42" t="str">
        <x:v>公式Specificationの範囲＋ユーザー作成コーパスの論点を参考に独自作成</x:v>
      </x:c>
      <x:c r="AD56" s="53" t="str">
        <x:v>未レビュー</x:v>
      </x:c>
      <x:c r="AE56" s="53" t="str"/>
      <x:c r="AF56" s="53" t="str"/>
      <x:c r="AG56" s="43" t="str"/>
    </x:row>
    <x:row r="57" ht="84" customHeight="1">
      <x:c r="A57" s="41" t="str">
        <x:v>LO3-016</x:v>
      </x:c>
      <x:c r="B57" s="53" t="str">
        <x:v>LO3</x:v>
      </x:c>
      <x:c r="C57" s="42" t="str">
        <x:v>世界の主要な発泡性ワイン</x:v>
      </x:c>
      <x:c r="D57" s="42" t="str">
        <x:v>プロセッコ</x:v>
      </x:c>
      <x:c r="E57" s="42" t="str">
        <x:v>プロセッコでタンク方式が広く用いられる主な理由はどれか。</x:v>
      </x:c>
      <x:c r="F57" s="42" t="str">
        <x:v>グレラの洋ナシ、リンゴ、花のような一次香を保ちやすく、効率的に生産できるから</x:v>
      </x:c>
      <x:c r="G57" s="42" t="str">
        <x:v>高いタンニンを抽出し、長期瓶熟成させるため</x:v>
      </x:c>
      <x:c r="H57" s="42" t="str">
        <x:v>フロールの下で生物学的熟成を行い、酵母由来の香りを加えるため</x:v>
      </x:c>
      <x:c r="I57" s="42" t="str">
        <x:v>発酵途中で酒精強化し、残糖と高いアルコール度を得るため</x:v>
      </x:c>
      <x:c r="J57" s="53" t="str">
        <x:v>A</x:v>
      </x:c>
      <x:c r="K57" s="42" t="str">
        <x:v>グレラの洋ナシ、リンゴ、花のような一次香を保ちやすく、効率的に生産できるから</x:v>
      </x:c>
      <x:c r="L57" s="42" t="str">
        <x:v>長い自己分解熟成を避け、フレッシュな芳香を前面に出すスタイルに適する。</x:v>
      </x:c>
      <x:c r="M57" s="42" t="str">
        <x:v>正しい。 長い自己分解熟成を避け、フレッシュな芳香を前面に出すスタイルに適する。</x:v>
      </x:c>
      <x:c r="N57" s="42" t="str">
        <x:v>誤り。 プロセッコは通常、低タンニンで早飲みの発泡性白ワインである。</x:v>
      </x:c>
      <x:c r="O57" s="42" t="str">
        <x:v>誤り。 フロールはシェリーに関係し、プロセッコの製法ではない。</x:v>
      </x:c>
      <x:c r="P57" s="42" t="str">
        <x:v>誤り。 プロセッコは通常酒精強化されない。</x:v>
      </x:c>
      <x:c r="Q57" s="42" t="str">
        <x:v>発泡性ワイン製法・産地</x:v>
      </x:c>
      <x:c r="R57" s="42" t="str">
        <x:v>タンク方式と品種</x:v>
      </x:c>
      <x:c r="S57" s="42" t="str">
        <x:v>発泡性ワイン</x:v>
      </x:c>
      <x:c r="T57" s="42" t="str">
        <x:v>イタリア</x:v>
      </x:c>
      <x:c r="U57" s="42" t="str">
        <x:v>プロセッコ</x:v>
      </x:c>
      <x:c r="V57" s="42" t="str">
        <x:v>グレラ</x:v>
      </x:c>
      <x:c r="W57" s="42" t="str">
        <x:v>因果説明</x:v>
      </x:c>
      <x:c r="X57" s="53" t="str">
        <x:v>D2</x:v>
      </x:c>
      <x:c r="Y57" s="42" t="str">
        <x:v>プロセッコ=長期澱熟成; プロセッコ=酒精強化</x:v>
      </x:c>
      <x:c r="Z57" s="53" t="str">
        <x:v>N</x:v>
      </x:c>
      <x:c r="AA57" s="42" t="str"/>
      <x:c r="AB57" s="42" t="str">
        <x:v>オリジナル</x:v>
      </x:c>
      <x:c r="AC57" s="42" t="str">
        <x:v>公式Specificationの範囲＋ユーザー作成コーパスの論点を参考に独自作成</x:v>
      </x:c>
      <x:c r="AD57" s="53" t="str">
        <x:v>未レビュー</x:v>
      </x:c>
      <x:c r="AE57" s="53" t="str"/>
      <x:c r="AF57" s="53" t="str"/>
      <x:c r="AG57" s="43" t="str"/>
    </x:row>
    <x:row r="58" ht="84" customHeight="1">
      <x:c r="A58" s="41" t="str">
        <x:v>LO3-017</x:v>
      </x:c>
      <x:c r="B58" s="53" t="str">
        <x:v>LO3</x:v>
      </x:c>
      <x:c r="C58" s="42" t="str">
        <x:v>世界の主要な発泡性ワイン</x:v>
      </x:c>
      <x:c r="D58" s="42" t="str">
        <x:v>コネリアーノ・ヴァルドッビアーデネ</x:v>
      </x:c>
      <x:c r="E58" s="42" t="str">
        <x:v>コネリアーノ・ヴァルドッビアーデネの上質プロセッコが一般的な平地産より高価格になりやすい主な理由はどれか。</x:v>
      </x:c>
      <x:c r="F58" s="42" t="str">
        <x:v>平坦な畑で機械収穫し、収量を高く保てるから</x:v>
      </x:c>
      <x:c r="G58" s="42" t="str">
        <x:v>急斜面で手作業が多く、収量が制限され、評価の高い産地名への需要があるから</x:v>
      </x:c>
      <x:c r="H58" s="42" t="str">
        <x:v>長期間の瓶内澱熟成を行い、自己分解香を強めるから</x:v>
      </x:c>
      <x:c r="I58" s="42" t="str">
        <x:v>黒ブドウを主体にして長い果皮浸漬を行うから</x:v>
      </x:c>
      <x:c r="J58" s="53" t="str">
        <x:v>B</x:v>
      </x:c>
      <x:c r="K58" s="42" t="str">
        <x:v>急斜面で手作業が多く、収量が制限され、評価の高い産地名への需要があるから</x:v>
      </x:c>
      <x:c r="L58" s="42" t="str">
        <x:v>生産コストと限定供給、産地の名声が価格に反映される。</x:v>
      </x:c>
      <x:c r="M58" s="42" t="str">
        <x:v>誤り。 上質な丘陵地は急斜面が多く、機械化が難しい。</x:v>
      </x:c>
      <x:c r="N58" s="42" t="str">
        <x:v>正しい。 生産コストと限定供給、産地の名声が価格に反映される。</x:v>
      </x:c>
      <x:c r="O58" s="42" t="str">
        <x:v>誤り。 上質プロセッコの価格差は急斜面の労働、収量、産地の評価が主で、長期瓶内熟成が一般条件ではない。</x:v>
      </x:c>
      <x:c r="P58" s="42" t="str">
        <x:v>誤り。 主要品種は白ブドウのグレラで、長い果皮浸漬が価格差の主因ではない。</x:v>
      </x:c>
      <x:c r="Q58" s="42" t="str">
        <x:v>商業面・産地</x:v>
      </x:c>
      <x:c r="R58" s="42" t="str">
        <x:v>斜面・価格</x:v>
      </x:c>
      <x:c r="S58" s="42" t="str">
        <x:v>発泡性ワイン</x:v>
      </x:c>
      <x:c r="T58" s="42" t="str">
        <x:v>イタリア</x:v>
      </x:c>
      <x:c r="U58" s="42" t="str">
        <x:v>コネリアーノ・ヴァルドッビアーデネ</x:v>
      </x:c>
      <x:c r="V58" s="42" t="str">
        <x:v>グレラ</x:v>
      </x:c>
      <x:c r="W58" s="42" t="str">
        <x:v>因果説明</x:v>
      </x:c>
      <x:c r="X58" s="53" t="str">
        <x:v>D3</x:v>
      </x:c>
      <x:c r="Y58" s="42" t="str">
        <x:v>上質プロセッコ=機械化容易; プロセッコ=黒ブドウ</x:v>
      </x:c>
      <x:c r="Z58" s="53" t="str">
        <x:v>N</x:v>
      </x:c>
      <x:c r="AA58" s="42" t="str"/>
      <x:c r="AB58" s="42" t="str">
        <x:v>オリジナル</x:v>
      </x:c>
      <x:c r="AC58" s="42" t="str">
        <x:v>公式Specificationの範囲＋ユーザー作成コーパスの論点を参考に独自作成</x:v>
      </x:c>
      <x:c r="AD58" s="53" t="str">
        <x:v>未レビュー</x:v>
      </x:c>
      <x:c r="AE58" s="53" t="str"/>
      <x:c r="AF58" s="53" t="str"/>
      <x:c r="AG58" s="43" t="str"/>
    </x:row>
    <x:row r="59" ht="84" customHeight="1">
      <x:c r="A59" s="41" t="str">
        <x:v>LO3-018</x:v>
      </x:c>
      <x:c r="B59" s="53" t="str">
        <x:v>LO3</x:v>
      </x:c>
      <x:c r="C59" s="42" t="str">
        <x:v>世界の主要な発泡性ワイン</x:v>
      </x:c>
      <x:c r="D59" s="42" t="str">
        <x:v>クレマン</x:v>
      </x:c>
      <x:c r="E59" s="42" t="str">
        <x:v>クレマンについて最も適切な説明はどれか。</x:v>
      </x:c>
      <x:c r="F59" s="42" t="str">
        <x:v>シャンパーニュ地方でのみ造られる甘口発泡性ワイン</x:v>
      </x:c>
      <x:c r="G59" s="42" t="str">
        <x:v>炭酸ガス注入方式だけで造られる低価格ワイン</x:v>
      </x:c>
      <x:c r="H59" s="42" t="str">
        <x:v>シャンパーニュ以外の指定地域で、伝統的方式を用いて造られる発泡性ワイン</x:v>
      </x:c>
      <x:c r="I59" s="42" t="str">
        <x:v>酒精強化した発泡性ワインの総称</x:v>
      </x:c>
      <x:c r="J59" s="53" t="str">
        <x:v>C</x:v>
      </x:c>
      <x:c r="K59" s="42" t="str">
        <x:v>シャンパーニュ以外の指定地域で、伝統的方式を用いて造られる発泡性ワイン</x:v>
      </x:c>
      <x:c r="L59" s="42" t="str">
        <x:v>アルザス、ブルゴーニュ、ロワールなどで地域品種を用いて造られる。</x:v>
      </x:c>
      <x:c r="M59" s="42" t="str">
        <x:v>誤り。 クレマンはシャンパーニュ以外のフランス各地などで造られ、甘口に限定されない。</x:v>
      </x:c>
      <x:c r="N59" s="42" t="str">
        <x:v>誤り。 クレマンは一般に伝統的方式を用いる。</x:v>
      </x:c>
      <x:c r="O59" s="42" t="str">
        <x:v>正しい。 アルザス、ブルゴーニュ、ロワールなどで地域品種を用いて造られる。</x:v>
      </x:c>
      <x:c r="P59" s="42" t="str">
        <x:v>誤り。 クレマンは酒精強化ワインではない。</x:v>
      </x:c>
      <x:c r="Q59" s="42" t="str">
        <x:v>法律面・産地</x:v>
      </x:c>
      <x:c r="R59" s="42" t="str">
        <x:v>クレマン</x:v>
      </x:c>
      <x:c r="S59" s="42" t="str">
        <x:v>発泡性ワイン</x:v>
      </x:c>
      <x:c r="T59" s="42" t="str">
        <x:v>フランス</x:v>
      </x:c>
      <x:c r="U59" s="42" t="str">
        <x:v>クレマン</x:v>
      </x:c>
      <x:c r="V59" s="42" t="str"/>
      <x:c r="W59" s="42" t="str">
        <x:v>知識確認</x:v>
      </x:c>
      <x:c r="X59" s="53" t="str">
        <x:v>D1</x:v>
      </x:c>
      <x:c r="Y59" s="42" t="str">
        <x:v>クレマン=シャンパーニュ; クレマン=炭酸注入</x:v>
      </x:c>
      <x:c r="Z59" s="53" t="str">
        <x:v>N</x:v>
      </x:c>
      <x:c r="AA59" s="42" t="str"/>
      <x:c r="AB59" s="42" t="str">
        <x:v>オリジナル</x:v>
      </x:c>
      <x:c r="AC59" s="42" t="str">
        <x:v>公式Specificationの範囲＋ユーザー作成コーパスの論点を参考に独自作成</x:v>
      </x:c>
      <x:c r="AD59" s="53" t="str">
        <x:v>未レビュー</x:v>
      </x:c>
      <x:c r="AE59" s="53" t="str"/>
      <x:c r="AF59" s="53" t="str"/>
      <x:c r="AG59" s="43" t="str"/>
    </x:row>
    <x:row r="60" ht="84" customHeight="1">
      <x:c r="A60" s="41" t="str">
        <x:v>LO3-019</x:v>
      </x:c>
      <x:c r="B60" s="53" t="str">
        <x:v>LO3</x:v>
      </x:c>
      <x:c r="C60" s="42" t="str">
        <x:v>世界の主要な発泡性ワイン</x:v>
      </x:c>
      <x:c r="D60" s="42" t="str">
        <x:v>キャップ・クラシック</x:v>
      </x:c>
      <x:c r="E60" s="42" t="str">
        <x:v>南アフリカのキャップ・クラシックの特徴として最も適切なものはどれか。</x:v>
      </x:c>
      <x:c r="F60" s="42" t="str">
        <x:v>アスティ方式で造る甘口マスカット発泡性ワイン</x:v>
      </x:c>
      <x:c r="G60" s="42" t="str">
        <x:v>外部から炭酸ガスを注入するだけのワイン</x:v>
      </x:c>
      <x:c r="H60" s="42" t="str">
        <x:v>フロール下で熟成する酒精強化発泡性ワイン</x:v>
      </x:c>
      <x:c r="I60" s="42" t="str">
        <x:v>瓶内二次発酵を行う伝統的方式の発泡性ワイン</x:v>
      </x:c>
      <x:c r="J60" s="53" t="str">
        <x:v>D</x:v>
      </x:c>
      <x:c r="K60" s="42" t="str">
        <x:v>瓶内二次発酵を行う伝統的方式の発泡性ワイン</x:v>
      </x:c>
      <x:c r="L60" s="42" t="str">
        <x:v>シャルドネやピノ・ノワールなどを用い、澱由来の複雑さを持つことがある。</x:v>
      </x:c>
      <x:c r="M60" s="42" t="str">
        <x:v>誤り。 キャップ・クラシックは通常マスカットのアスティ方式ではない。</x:v>
      </x:c>
      <x:c r="N60" s="42" t="str">
        <x:v>誤り。 伝統的方式を用いるカテゴリーである。</x:v>
      </x:c>
      <x:c r="O60" s="42" t="str">
        <x:v>誤り。 フロールや酒精強化は関係しない。</x:v>
      </x:c>
      <x:c r="P60" s="42" t="str">
        <x:v>正しい。 シャルドネやピノ・ノワールなどを用い、澱由来の複雑さを持つことがある。</x:v>
      </x:c>
      <x:c r="Q60" s="42" t="str">
        <x:v>法律面・産地</x:v>
      </x:c>
      <x:c r="R60" s="42" t="str">
        <x:v>キャップ・クラシック</x:v>
      </x:c>
      <x:c r="S60" s="42" t="str">
        <x:v>発泡性ワイン</x:v>
      </x:c>
      <x:c r="T60" s="42" t="str">
        <x:v>南アフリカ</x:v>
      </x:c>
      <x:c r="U60" s="42" t="str">
        <x:v>キャップ・クラシック</x:v>
      </x:c>
      <x:c r="V60" s="42" t="str">
        <x:v>シャルドネ、ピノ・ノワール</x:v>
      </x:c>
      <x:c r="W60" s="42" t="str">
        <x:v>知識確認</x:v>
      </x:c>
      <x:c r="X60" s="53" t="str">
        <x:v>D1</x:v>
      </x:c>
      <x:c r="Y60" s="42" t="str">
        <x:v>キャップクラシック=炭酸注入; キャップクラシック=酒精強化</x:v>
      </x:c>
      <x:c r="Z60" s="53" t="str">
        <x:v>N</x:v>
      </x:c>
      <x:c r="AA60" s="42" t="str"/>
      <x:c r="AB60" s="42" t="str">
        <x:v>オリジナル</x:v>
      </x:c>
      <x:c r="AC60" s="42" t="str">
        <x:v>公式Specificationの範囲＋ユーザー作成コーパスの論点を参考に独自作成</x:v>
      </x:c>
      <x:c r="AD60" s="53" t="str">
        <x:v>未レビュー</x:v>
      </x:c>
      <x:c r="AE60" s="53" t="str"/>
      <x:c r="AF60" s="53" t="str"/>
      <x:c r="AG60" s="43" t="str"/>
    </x:row>
    <x:row r="61" ht="84" customHeight="1">
      <x:c r="A61" s="41" t="str">
        <x:v>LO3-020</x:v>
      </x:c>
      <x:c r="B61" s="53" t="str">
        <x:v>LO3</x:v>
      </x:c>
      <x:c r="C61" s="42" t="str">
        <x:v>世界の主要な発泡性ワイン</x:v>
      </x:c>
      <x:c r="D61" s="42" t="str">
        <x:v>ニューワールド上質発泡性ワイン</x:v>
      </x:c>
      <x:c r="E61" s="42" t="str">
        <x:v>オーストラリアやニュージーランドの上質な伝統的方式発泡性ワインに、冷涼な地域が選ばれやすい理由はどれか。</x:v>
      </x:c>
      <x:c r="F61" s="42" t="str">
        <x:v>高い酸と低めの糖度を持つ健全なベースワインを得やすいから</x:v>
      </x:c>
      <x:c r="G61" s="42" t="str">
        <x:v>ブドウのタンニンを最大化するため</x:v>
      </x:c>
      <x:c r="H61" s="42" t="str">
        <x:v>湿度を高めて貴腐を発生させ、糖度を濃縮するため</x:v>
      </x:c>
      <x:c r="I61" s="42" t="str">
        <x:v>収穫時の糖度を極端に高くしてベースワインを高アルコールにするため</x:v>
      </x:c>
      <x:c r="J61" s="53" t="str">
        <x:v>A</x:v>
      </x:c>
      <x:c r="K61" s="42" t="str">
        <x:v>高い酸と低めの糖度を持つ健全なベースワインを得やすいから</x:v>
      </x:c>
      <x:c r="L61" s="42" t="str">
        <x:v>冷涼条件では酸が保持され、二次発酵後もバランスを保てる。</x:v>
      </x:c>
      <x:c r="M61" s="42" t="str">
        <x:v>正しい。 冷涼条件では酸が保持され、二次発酵後もバランスを保てる。</x:v>
      </x:c>
      <x:c r="N61" s="42" t="str">
        <x:v>誤り。 白やロゼの発泡性ワインでは高タンニンは一般に望まれない。</x:v>
      </x:c>
      <x:c r="O61" s="42" t="str">
        <x:v>誤り。 発泡性ワイン用ブドウでは健全果が求められ、貴腐は主目的でない。</x:v>
      </x:c>
      <x:c r="P61" s="42" t="str">
        <x:v>誤り。 二次発酵でアルコールが増えるため、ベースワインは高すぎない糖度で収穫される。</x:v>
      </x:c>
      <x:c r="Q61" s="42" t="str">
        <x:v>自然要因・産地</x:v>
      </x:c>
      <x:c r="R61" s="42" t="str">
        <x:v>冷涼地域・ベースワイン</x:v>
      </x:c>
      <x:c r="S61" s="42" t="str">
        <x:v>発泡性ワイン</x:v>
      </x:c>
      <x:c r="T61" s="42" t="str">
        <x:v>オーストラリア／ニュージーランド</x:v>
      </x:c>
      <x:c r="U61" s="42" t="str">
        <x:v>タスマニア、ヤラ・ヴァレー、マールボロ</x:v>
      </x:c>
      <x:c r="V61" s="42" t="str">
        <x:v>シャルドネ、ピノ・ノワール</x:v>
      </x:c>
      <x:c r="W61" s="42" t="str">
        <x:v>因果説明</x:v>
      </x:c>
      <x:c r="X61" s="53" t="str">
        <x:v>D2</x:v>
      </x:c>
      <x:c r="Y61" s="42" t="str">
        <x:v>発泡用=高糖; 発泡用=貴腐</x:v>
      </x:c>
      <x:c r="Z61" s="53" t="str">
        <x:v>N</x:v>
      </x:c>
      <x:c r="AA61" s="42" t="str"/>
      <x:c r="AB61" s="42" t="str">
        <x:v>オリジナル</x:v>
      </x:c>
      <x:c r="AC61" s="42" t="str">
        <x:v>公式Specificationの範囲＋ユーザー作成コーパスの論点を参考に独自作成</x:v>
      </x:c>
      <x:c r="AD61" s="53" t="str">
        <x:v>未レビュー</x:v>
      </x:c>
      <x:c r="AE61" s="53" t="str"/>
      <x:c r="AF61" s="53" t="str"/>
      <x:c r="AG61" s="43" t="str"/>
    </x:row>
    <x:row r="62" ht="84" customHeight="1">
      <x:c r="A62" s="41" t="str">
        <x:v>LO4-001</x:v>
      </x:c>
      <x:c r="B62" s="53" t="str">
        <x:v>LO4</x:v>
      </x:c>
      <x:c r="C62" s="42" t="str">
        <x:v>世界の主要な酒精強化ワイン</x:v>
      </x:c>
      <x:c r="D62" s="42" t="str">
        <x:v>ポートの酒精強化</x:v>
      </x:c>
      <x:c r="E62" s="42" t="str">
        <x:v>甘口のポートで発酵途中に酒精強化を行う主な目的はどれか。</x:v>
      </x:c>
      <x:c r="F62" s="42" t="str">
        <x:v>酵母の活動を止め、未発酵の糖を残しながらアルコール度を高めるため</x:v>
      </x:c>
      <x:c r="G62" s="42" t="str">
        <x:v>酒精強化によって酸を中和し、口当たりを柔らかくするため</x:v>
      </x:c>
      <x:c r="H62" s="42" t="str">
        <x:v>フロールを形成して生物学的熟成を行うため</x:v>
      </x:c>
      <x:c r="I62" s="42" t="str">
        <x:v>瓶内二次発酵を開始して発泡性を得るため</x:v>
      </x:c>
      <x:c r="J62" s="53" t="str">
        <x:v>A</x:v>
      </x:c>
      <x:c r="K62" s="42" t="str">
        <x:v>酵母の活動を止め、未発酵の糖を残しながらアルコール度を高めるため</x:v>
      </x:c>
      <x:c r="L62" s="42" t="str">
        <x:v>高アルコール度により酵母が働けなくなり、残糖を持つ甘口ワインとなる。</x:v>
      </x:c>
      <x:c r="M62" s="42" t="str">
        <x:v>正しい。 高アルコール度により酵母が働けなくなり、残糖を持つ甘口ワインとなる。</x:v>
      </x:c>
      <x:c r="N62" s="42" t="str">
        <x:v>誤り。 酒精強化は酸を中和する工程ではない。</x:v>
      </x:c>
      <x:c r="O62" s="42" t="str">
        <x:v>誤り。 フロールは主にフィノやマンサニーリャに関係する。</x:v>
      </x:c>
      <x:c r="P62" s="42" t="str">
        <x:v>誤り。 ポートは通常発泡性ワインではなく、酒精強化は二次発酵開始のためではない。</x:v>
      </x:c>
      <x:c r="Q62" s="42" t="str">
        <x:v>酒精強化ワイン製法</x:v>
      </x:c>
      <x:c r="R62" s="42" t="str">
        <x:v>発酵中の酒精強化</x:v>
      </x:c>
      <x:c r="S62" s="42" t="str">
        <x:v>酒精強化ワイン</x:v>
      </x:c>
      <x:c r="T62" s="42" t="str">
        <x:v>ポルトガル</x:v>
      </x:c>
      <x:c r="U62" s="42" t="str">
        <x:v>ドウロ／ポート</x:v>
      </x:c>
      <x:c r="V62" s="42" t="str">
        <x:v>ポート主要黒ブドウ</x:v>
      </x:c>
      <x:c r="W62" s="42" t="str">
        <x:v>因果説明</x:v>
      </x:c>
      <x:c r="X62" s="53" t="str">
        <x:v>D1</x:v>
      </x:c>
      <x:c r="Y62" s="42" t="str">
        <x:v>酒精強化=除酸; ポート=瓶内二次発酵</x:v>
      </x:c>
      <x:c r="Z62" s="53" t="str">
        <x:v>N</x:v>
      </x:c>
      <x:c r="AA62" s="42" t="str"/>
      <x:c r="AB62" s="42" t="str">
        <x:v>オリジナル</x:v>
      </x:c>
      <x:c r="AC62" s="42" t="str">
        <x:v>公式Specificationの範囲＋ユーザー作成コーパスの論点を参考に独自作成</x:v>
      </x:c>
      <x:c r="AD62" s="53" t="str">
        <x:v>未レビュー</x:v>
      </x:c>
      <x:c r="AE62" s="53" t="str"/>
      <x:c r="AF62" s="53" t="str"/>
      <x:c r="AG62" s="43" t="str"/>
    </x:row>
    <x:row r="63" ht="84" customHeight="1">
      <x:c r="A63" s="41" t="str">
        <x:v>LO4-002</x:v>
      </x:c>
      <x:c r="B63" s="53" t="str">
        <x:v>LO4</x:v>
      </x:c>
      <x:c r="C63" s="42" t="str">
        <x:v>世界の主要な酒精強化ワイン</x:v>
      </x:c>
      <x:c r="D63" s="42" t="str">
        <x:v>ポートの抽出</x:v>
      </x:c>
      <x:c r="E63" s="42" t="str">
        <x:v>ポート用の赤ワインで短い発酵期間中に強い抽出が必要となる主な理由はどれか。</x:v>
      </x:c>
      <x:c r="F63" s="42" t="str">
        <x:v>酒精強化後に果皮からの抽出が永遠に続くため</x:v>
      </x:c>
      <x:c r="G63" s="42" t="str">
        <x:v>発酵を早期に止める前に、十分な色とタンニンを短時間で得る必要があるため</x:v>
      </x:c>
      <x:c r="H63" s="42" t="str">
        <x:v>白ブドウの果皮から色を得る必要があるため</x:v>
      </x:c>
      <x:c r="I63" s="42" t="str">
        <x:v>抽出によりアルコール度を20％まで上げるため</x:v>
      </x:c>
      <x:c r="J63" s="53" t="str">
        <x:v>B</x:v>
      </x:c>
      <x:c r="K63" s="42" t="str">
        <x:v>発酵を早期に止める前に、十分な色とタンニンを短時間で得る必要があるため</x:v>
      </x:c>
      <x:c r="L63" s="42" t="str">
        <x:v>足踏みや機械的な攪拌により短時間で抽出を進める。</x:v>
      </x:c>
      <x:c r="M63" s="42" t="str">
        <x:v>誤り。 酒精強化後は発酵を止め、果皮との接触も通常終了する。</x:v>
      </x:c>
      <x:c r="N63" s="42" t="str">
        <x:v>正しい。 足踏みや機械的な攪拌により短時間で抽出を進める。</x:v>
      </x:c>
      <x:c r="O63" s="42" t="str">
        <x:v>誤り。 赤ポートは黒ブドウを用い、短時間で色とタンニンを抽出する。</x:v>
      </x:c>
      <x:c r="P63" s="42" t="str">
        <x:v>誤り。 アルコール度は主に酒精強化用スピリッツの添加で上がる。</x:v>
      </x:c>
      <x:c r="Q63" s="42" t="str">
        <x:v>酒精強化ワイン製法</x:v>
      </x:c>
      <x:c r="R63" s="42" t="str">
        <x:v>短期間の抽出</x:v>
      </x:c>
      <x:c r="S63" s="42" t="str">
        <x:v>酒精強化ワイン</x:v>
      </x:c>
      <x:c r="T63" s="42" t="str">
        <x:v>ポルトガル</x:v>
      </x:c>
      <x:c r="U63" s="42" t="str">
        <x:v>ドウロ／ポート</x:v>
      </x:c>
      <x:c r="V63" s="42" t="str">
        <x:v>トゥリガ・ナショナルほか</x:v>
      </x:c>
      <x:c r="W63" s="42" t="str">
        <x:v>因果説明</x:v>
      </x:c>
      <x:c r="X63" s="53" t="str">
        <x:v>D2</x:v>
      </x:c>
      <x:c r="Y63" s="42" t="str">
        <x:v>抽出=アルコール上昇; ポート=白ブドウのみ</x:v>
      </x:c>
      <x:c r="Z63" s="53" t="str">
        <x:v>N</x:v>
      </x:c>
      <x:c r="AA63" s="42" t="str"/>
      <x:c r="AB63" s="42" t="str">
        <x:v>オリジナル</x:v>
      </x:c>
      <x:c r="AC63" s="42" t="str">
        <x:v>公式Specificationの範囲＋ユーザー作成コーパスの論点を参考に独自作成</x:v>
      </x:c>
      <x:c r="AD63" s="53" t="str">
        <x:v>未レビュー</x:v>
      </x:c>
      <x:c r="AE63" s="53" t="str"/>
      <x:c r="AF63" s="53" t="str"/>
      <x:c r="AG63" s="43" t="str"/>
    </x:row>
    <x:row r="64" ht="84" customHeight="1">
      <x:c r="A64" s="41" t="str">
        <x:v>LO4-003</x:v>
      </x:c>
      <x:c r="B64" s="53" t="str">
        <x:v>LO4</x:v>
      </x:c>
      <x:c r="C64" s="42" t="str">
        <x:v>世界の主要な酒精強化ワイン</x:v>
      </x:c>
      <x:c r="D64" s="42" t="str">
        <x:v>ドウロの自然要因</x:v>
      </x:c>
      <x:c r="E64" s="42" t="str">
        <x:v>ドウロ川流域の上質ポート生産で、急斜面と片岩質土壌が重要となる理由として最も適切なものはどれか。</x:v>
      </x:c>
      <x:c r="F64" s="42" t="str">
        <x:v>急斜面が機械化を容易にし、生産コストを下げる</x:v>
      </x:c>
      <x:c r="G64" s="42" t="str">
        <x:v>片岩が豊富な栄養分を供給し、樹勢と収量を高める</x:v>
      </x:c>
      <x:c r="H64" s="42" t="str">
        <x:v>水はけがよく、根が割れ目へ深く伸びて乾燥条件でも水を得やすい</x:v>
      </x:c>
      <x:c r="I64" s="42" t="str">
        <x:v>海洋からの冷たい霧を毎日取り込む</x:v>
      </x:c>
      <x:c r="J64" s="53" t="str">
        <x:v>C</x:v>
      </x:c>
      <x:c r="K64" s="42" t="str">
        <x:v>水はけがよく、根が割れ目へ深く伸びて乾燥条件でも水を得やすい</x:v>
      </x:c>
      <x:c r="L64" s="42" t="str">
        <x:v>乾燥した夏に適応しつつ、急斜面の日照が成熟を助ける。</x:v>
      </x:c>
      <x:c r="M64" s="42" t="str">
        <x:v>誤り。 急斜面は機械化を難しくし、手作業を増やす。</x:v>
      </x:c>
      <x:c r="N64" s="42" t="str">
        <x:v>誤り。 片岩は一般に痩せた土壌で、過剰な樹勢や高収量を促す説明ではない。</x:v>
      </x:c>
      <x:c r="O64" s="42" t="str">
        <x:v>正しい。 乾燥した夏に適応しつつ、急斜面の日照が成熟を助ける。</x:v>
      </x:c>
      <x:c r="P64" s="42" t="str">
        <x:v>誤り。 内陸のドウロは海洋の冷却が山地で遮られ、暑く乾燥しやすい。</x:v>
      </x:c>
      <x:c r="Q64" s="42" t="str">
        <x:v>自然要因・産地</x:v>
      </x:c>
      <x:c r="R64" s="42" t="str">
        <x:v>斜面・片岩</x:v>
      </x:c>
      <x:c r="S64" s="42" t="str">
        <x:v>酒精強化ワイン</x:v>
      </x:c>
      <x:c r="T64" s="42" t="str">
        <x:v>ポルトガル</x:v>
      </x:c>
      <x:c r="U64" s="42" t="str">
        <x:v>ドウロ</x:v>
      </x:c>
      <x:c r="V64" s="42" t="str">
        <x:v>ポート主要黒ブドウ</x:v>
      </x:c>
      <x:c r="W64" s="42" t="str">
        <x:v>因果説明</x:v>
      </x:c>
      <x:c r="X64" s="53" t="str">
        <x:v>D3</x:v>
      </x:c>
      <x:c r="Y64" s="42" t="str">
        <x:v>急斜面=機械化容易; ドウロ=海霧</x:v>
      </x:c>
      <x:c r="Z64" s="53" t="str">
        <x:v>N</x:v>
      </x:c>
      <x:c r="AA64" s="42" t="str"/>
      <x:c r="AB64" s="42" t="str">
        <x:v>オリジナル</x:v>
      </x:c>
      <x:c r="AC64" s="42" t="str">
        <x:v>公式Specificationの範囲＋ユーザー作成コーパスの論点を参考に独自作成</x:v>
      </x:c>
      <x:c r="AD64" s="53" t="str">
        <x:v>未レビュー</x:v>
      </x:c>
      <x:c r="AE64" s="53" t="str"/>
      <x:c r="AF64" s="53" t="str"/>
      <x:c r="AG64" s="43" t="str"/>
    </x:row>
    <x:row r="65" ht="84" customHeight="1">
      <x:c r="A65" s="41" t="str">
        <x:v>LO4-004</x:v>
      </x:c>
      <x:c r="B65" s="53" t="str">
        <x:v>LO4</x:v>
      </x:c>
      <x:c r="C65" s="42" t="str">
        <x:v>世界の主要な酒精強化ワイン</x:v>
      </x:c>
      <x:c r="D65" s="42" t="str">
        <x:v>ルビー・ポート</x:v>
      </x:c>
      <x:c r="E65" s="42" t="str">
        <x:v>ルビー・ポートの若々しい果実味と深い色を保つための熟成方法として最も適切なものはどれか。</x:v>
      </x:c>
      <x:c r="F65" s="42" t="str">
        <x:v>小型の古樽で数十年間酸化熟成する</x:v>
      </x:c>
      <x:c r="G65" s="42" t="str">
        <x:v>フロールの下で生物学的熟成する</x:v>
      </x:c>
      <x:c r="H65" s="42" t="str">
        <x:v>開放容器で激しく酸化させる</x:v>
      </x:c>
      <x:c r="I65" s="42" t="str">
        <x:v>大容量の容器で比較的短期間、酸素接触を抑えて熟成する</x:v>
      </x:c>
      <x:c r="J65" s="53" t="str">
        <x:v>D</x:v>
      </x:c>
      <x:c r="K65" s="42" t="str">
        <x:v>大容量の容器で比較的短期間、酸素接触を抑えて熟成する</x:v>
      </x:c>
      <x:c r="L65" s="42" t="str">
        <x:v>表面積比が小さく酸化が少ないため、濃い色と新鮮な果実風味を保ちやすい。</x:v>
      </x:c>
      <x:c r="M65" s="42" t="str">
        <x:v>誤り。 長い樽熟成は色を淡くし、ナッツやドライフルーツの風味を増やす。</x:v>
      </x:c>
      <x:c r="N65" s="42" t="str">
        <x:v>誤り。 ルビー・ポートはフロール熟成を行わない。</x:v>
      </x:c>
      <x:c r="O65" s="42" t="str">
        <x:v>誤り。 酸化を抑えることで若々しい果実味と色を保持する。</x:v>
      </x:c>
      <x:c r="P65" s="42" t="str">
        <x:v>正しい。 表面積比が小さく酸化が少ないため、濃い色と新鮮な果実風味を保ちやすい。</x:v>
      </x:c>
      <x:c r="Q65" s="42" t="str">
        <x:v>酒精強化ワイン製法</x:v>
      </x:c>
      <x:c r="R65" s="42" t="str">
        <x:v>還元的熟成</x:v>
      </x:c>
      <x:c r="S65" s="42" t="str">
        <x:v>酒精強化ワイン</x:v>
      </x:c>
      <x:c r="T65" s="42" t="str">
        <x:v>ポルトガル</x:v>
      </x:c>
      <x:c r="U65" s="42" t="str">
        <x:v>ポート</x:v>
      </x:c>
      <x:c r="V65" s="42" t="str">
        <x:v>ポート主要黒ブドウ</x:v>
      </x:c>
      <x:c r="W65" s="42" t="str">
        <x:v>因果説明</x:v>
      </x:c>
      <x:c r="X65" s="53" t="str">
        <x:v>D2</x:v>
      </x:c>
      <x:c r="Y65" s="42" t="str">
        <x:v>ルビー=長期酸化; ルビー=フロール</x:v>
      </x:c>
      <x:c r="Z65" s="53" t="str">
        <x:v>N</x:v>
      </x:c>
      <x:c r="AA65" s="42" t="str"/>
      <x:c r="AB65" s="42" t="str">
        <x:v>オリジナル</x:v>
      </x:c>
      <x:c r="AC65" s="42" t="str">
        <x:v>公式Specificationの範囲＋ユーザー作成コーパスの論点を参考に独自作成</x:v>
      </x:c>
      <x:c r="AD65" s="53" t="str">
        <x:v>未レビュー</x:v>
      </x:c>
      <x:c r="AE65" s="53" t="str"/>
      <x:c r="AF65" s="53" t="str"/>
      <x:c r="AG65" s="43" t="str"/>
    </x:row>
    <x:row r="66" ht="84" customHeight="1">
      <x:c r="A66" s="41" t="str">
        <x:v>LO4-005</x:v>
      </x:c>
      <x:c r="B66" s="53" t="str">
        <x:v>LO4</x:v>
      </x:c>
      <x:c r="C66" s="42" t="str">
        <x:v>世界の主要な酒精強化ワイン</x:v>
      </x:c>
      <x:c r="D66" s="42" t="str">
        <x:v>トーニー・ポート</x:v>
      </x:c>
      <x:c r="E66" s="42" t="str">
        <x:v>長期間木樽で熟成したトーニー・ポートに典型的な特徴はどれか。</x:v>
      </x:c>
      <x:c r="F66" s="42" t="str">
        <x:v>色が淡くなり、ナッツ、キャラメル、ドライフルーツの風味が発達する</x:v>
      </x:c>
      <x:c r="G66" s="42" t="str">
        <x:v>色がより濃くなり、第一アロマだけが強くなる</x:v>
      </x:c>
      <x:c r="H66" s="42" t="str">
        <x:v>高い発泡性と低いアルコール度を持つ</x:v>
      </x:c>
      <x:c r="I66" s="42" t="str">
        <x:v>フロール由来のアセトアルデヒド香だけを持つ</x:v>
      </x:c>
      <x:c r="J66" s="53" t="str">
        <x:v>A</x:v>
      </x:c>
      <x:c r="K66" s="42" t="str">
        <x:v>色が淡くなり、ナッツ、キャラメル、ドライフルーツの風味が発達する</x:v>
      </x:c>
      <x:c r="L66" s="42" t="str">
        <x:v>酸素との穏やかな接触により色素が変化し、酸化熟成由来の複雑な風味が生じる。</x:v>
      </x:c>
      <x:c r="M66" s="42" t="str">
        <x:v>正しい。 酸素との穏やかな接触により色素が変化し、酸化熟成由来の複雑な風味が生じる。</x:v>
      </x:c>
      <x:c r="N66" s="42" t="str">
        <x:v>誤り。 長期酸化熟成では色は淡くなり、熟成香が増える。</x:v>
      </x:c>
      <x:c r="O66" s="42" t="str">
        <x:v>誤り。 トーニー・ポートは非発泡性の酒精強化ワインである。</x:v>
      </x:c>
      <x:c r="P66" s="42" t="str">
        <x:v>誤り。 フロール熟成はトーニー・ポートの製法ではない。</x:v>
      </x:c>
      <x:c r="Q66" s="42" t="str">
        <x:v>酒精強化ワイン製法</x:v>
      </x:c>
      <x:c r="R66" s="42" t="str">
        <x:v>酸化熟成</x:v>
      </x:c>
      <x:c r="S66" s="42" t="str">
        <x:v>酒精強化ワイン</x:v>
      </x:c>
      <x:c r="T66" s="42" t="str">
        <x:v>ポルトガル</x:v>
      </x:c>
      <x:c r="U66" s="42" t="str">
        <x:v>ポート</x:v>
      </x:c>
      <x:c r="V66" s="42" t="str">
        <x:v>ポート主要黒ブドウ</x:v>
      </x:c>
      <x:c r="W66" s="42" t="str">
        <x:v>知識確認</x:v>
      </x:c>
      <x:c r="X66" s="53" t="str">
        <x:v>D1</x:v>
      </x:c>
      <x:c r="Y66" s="42" t="str">
        <x:v>トーニー=色濃化; トーニー=発泡</x:v>
      </x:c>
      <x:c r="Z66" s="53" t="str">
        <x:v>N</x:v>
      </x:c>
      <x:c r="AA66" s="42" t="str"/>
      <x:c r="AB66" s="42" t="str">
        <x:v>オリジナル</x:v>
      </x:c>
      <x:c r="AC66" s="42" t="str">
        <x:v>公式Specificationの範囲＋ユーザー作成コーパスの論点を参考に独自作成</x:v>
      </x:c>
      <x:c r="AD66" s="53" t="str">
        <x:v>未レビュー</x:v>
      </x:c>
      <x:c r="AE66" s="53" t="str"/>
      <x:c r="AF66" s="53" t="str"/>
      <x:c r="AG66" s="43" t="str"/>
    </x:row>
    <x:row r="67" ht="84" customHeight="1">
      <x:c r="A67" s="41" t="str">
        <x:v>LO4-006</x:v>
      </x:c>
      <x:c r="B67" s="53" t="str">
        <x:v>LO4</x:v>
      </x:c>
      <x:c r="C67" s="42" t="str">
        <x:v>世界の主要な酒精強化ワイン</x:v>
      </x:c>
      <x:c r="D67" s="42" t="str">
        <x:v>ヴィンテージ・ポート</x:v>
      </x:c>
      <x:c r="E67" s="42" t="str">
        <x:v>ヴィンテージ・ポートが瓶内で長期熟成できる主な理由はどれか。</x:v>
      </x:c>
      <x:c r="F67" s="42" t="str">
        <x:v>長い樽熟成でタンニンを柔らかくしてから瓶詰めされるため</x:v>
      </x:c>
      <x:c r="G67" s="42" t="str">
        <x:v>濃縮した果実味、高いタンニン、高い酸、酒精強化による構造を持つため</x:v>
      </x:c>
      <x:c r="H67" s="42" t="str">
        <x:v>瓶内二次発酵による炭酸ガスが保存するため</x:v>
      </x:c>
      <x:c r="I67" s="42" t="str">
        <x:v>辛口まで発酵し、残糖を持たないため</x:v>
      </x:c>
      <x:c r="J67" s="53" t="str">
        <x:v>B</x:v>
      </x:c>
      <x:c r="K67" s="42" t="str">
        <x:v>濃縮した果実味、高いタンニン、高い酸、酒精強化による構造を持つため</x:v>
      </x:c>
      <x:c r="L67" s="42" t="str">
        <x:v>これらの要素が長期熟成を支え、瓶内で複雑さを発達させる。</x:v>
      </x:c>
      <x:c r="M67" s="42" t="str">
        <x:v>誤り。 ヴィンテージ・ポートは比較的短い樽熟成後に瓶詰めされ、強い構造を保つ。</x:v>
      </x:c>
      <x:c r="N67" s="42" t="str">
        <x:v>正しい。 これらの要素が長期熟成を支え、瓶内で複雑さを発達させる。</x:v>
      </x:c>
      <x:c r="O67" s="42" t="str">
        <x:v>誤り。 ヴィンテージ・ポートは発泡性ワインではない。</x:v>
      </x:c>
      <x:c r="P67" s="42" t="str">
        <x:v>誤り。 ヴィンテージ・ポートは発酵途中で酒精強化される甘口ワインである。</x:v>
      </x:c>
      <x:c r="Q67" s="42" t="str">
        <x:v>スタイル・品質</x:v>
      </x:c>
      <x:c r="R67" s="42" t="str">
        <x:v>熟成能力</x:v>
      </x:c>
      <x:c r="S67" s="42" t="str">
        <x:v>酒精強化ワイン</x:v>
      </x:c>
      <x:c r="T67" s="42" t="str">
        <x:v>ポルトガル</x:v>
      </x:c>
      <x:c r="U67" s="42" t="str">
        <x:v>ポート</x:v>
      </x:c>
      <x:c r="V67" s="42" t="str">
        <x:v>ポート主要黒ブドウ</x:v>
      </x:c>
      <x:c r="W67" s="42" t="str">
        <x:v>因果説明</x:v>
      </x:c>
      <x:c r="X67" s="53" t="str">
        <x:v>D2</x:v>
      </x:c>
      <x:c r="Y67" s="42" t="str">
        <x:v>ヴィンテージポート=長期樽熟成; ヴィンテージポート=辛口</x:v>
      </x:c>
      <x:c r="Z67" s="53" t="str">
        <x:v>N</x:v>
      </x:c>
      <x:c r="AA67" s="42" t="str"/>
      <x:c r="AB67" s="42" t="str">
        <x:v>オリジナル</x:v>
      </x:c>
      <x:c r="AC67" s="42" t="str">
        <x:v>公式Specificationの範囲＋ユーザー作成コーパスの論点を参考に独自作成</x:v>
      </x:c>
      <x:c r="AD67" s="53" t="str">
        <x:v>未レビュー</x:v>
      </x:c>
      <x:c r="AE67" s="53" t="str"/>
      <x:c r="AF67" s="53" t="str"/>
      <x:c r="AG67" s="43" t="str"/>
    </x:row>
    <x:row r="68" ht="84" customHeight="1">
      <x:c r="A68" s="41" t="str">
        <x:v>LO4-007</x:v>
      </x:c>
      <x:c r="B68" s="53" t="str">
        <x:v>LO4</x:v>
      </x:c>
      <x:c r="C68" s="42" t="str">
        <x:v>世界の主要な酒精強化ワイン</x:v>
      </x:c>
      <x:c r="D68" s="42" t="str">
        <x:v>LBVポート</x:v>
      </x:c>
      <x:c r="E68" s="42" t="str">
        <x:v>レイト・ボトルド・ヴィンテージ（LBV）ポートが、一般にヴィンテージ・ポートより早く飲み頃になりやすい理由はどれか。</x:v>
      </x:c>
      <x:c r="F68" s="42" t="str">
        <x:v>酒精強化を行わず、低アルコールだから</x:v>
      </x:c>
      <x:c r="G68" s="42" t="str">
        <x:v>炭酸ガスを加えてタンニンの知覚を弱めるから</x:v>
      </x:c>
      <x:c r="H68" s="42" t="str">
        <x:v>瓶詰め前により長く樽で熟成し、タンニンがある程度柔らかくなるから</x:v>
      </x:c>
      <x:c r="I68" s="42" t="str">
        <x:v>瓶詰め前に甘味成分を除き、辛口に仕上げるから</x:v>
      </x:c>
      <x:c r="J68" s="53" t="str">
        <x:v>C</x:v>
      </x:c>
      <x:c r="K68" s="42" t="str">
        <x:v>瓶詰め前により長く樽で熟成し、タンニンがある程度柔らかくなるから</x:v>
      </x:c>
      <x:c r="L68" s="42" t="str">
        <x:v>樽熟成中の酸素接触と沈殿により、瓶詰め時に比較的飲みやすくなる。</x:v>
      </x:c>
      <x:c r="M68" s="42" t="str">
        <x:v>誤り。 LBVも酒精強化される。</x:v>
      </x:c>
      <x:c r="N68" s="42" t="str">
        <x:v>誤り。 LBVは通常非発泡性で、炭酸ガス注入を行わない。</x:v>
      </x:c>
      <x:c r="O68" s="42" t="str">
        <x:v>正しい。 樽熟成中の酸素接触と沈殿により、瓶詰め時に比較的飲みやすくなる。</x:v>
      </x:c>
      <x:c r="P68" s="42" t="str">
        <x:v>誤り。 LBVは甘口のポートである。</x:v>
      </x:c>
      <x:c r="Q68" s="42" t="str">
        <x:v>法律面・スタイル</x:v>
      </x:c>
      <x:c r="R68" s="42" t="str">
        <x:v>LBV</x:v>
      </x:c>
      <x:c r="S68" s="42" t="str">
        <x:v>酒精強化ワイン</x:v>
      </x:c>
      <x:c r="T68" s="42" t="str">
        <x:v>ポルトガル</x:v>
      </x:c>
      <x:c r="U68" s="42" t="str">
        <x:v>ポート</x:v>
      </x:c>
      <x:c r="V68" s="42" t="str">
        <x:v>ポート主要黒ブドウ</x:v>
      </x:c>
      <x:c r="W68" s="42" t="str">
        <x:v>比較</x:v>
      </x:c>
      <x:c r="X68" s="53" t="str">
        <x:v>D2</x:v>
      </x:c>
      <x:c r="Y68" s="42" t="str">
        <x:v>LBV=非酒精強化; LBV=辛口</x:v>
      </x:c>
      <x:c r="Z68" s="53" t="str">
        <x:v>N</x:v>
      </x:c>
      <x:c r="AA68" s="42" t="str"/>
      <x:c r="AB68" s="42" t="str">
        <x:v>オリジナル</x:v>
      </x:c>
      <x:c r="AC68" s="42" t="str">
        <x:v>公式Specificationの範囲＋ユーザー作成コーパスの論点を参考に独自作成</x:v>
      </x:c>
      <x:c r="AD68" s="53" t="str">
        <x:v>未レビュー</x:v>
      </x:c>
      <x:c r="AE68" s="53" t="str"/>
      <x:c r="AF68" s="53" t="str"/>
      <x:c r="AG68" s="43" t="str"/>
    </x:row>
    <x:row r="69" ht="84" customHeight="1">
      <x:c r="A69" s="41" t="str">
        <x:v>LO4-008</x:v>
      </x:c>
      <x:c r="B69" s="53" t="str">
        <x:v>LO4</x:v>
      </x:c>
      <x:c r="C69" s="42" t="str">
        <x:v>世界の主要な酒精強化ワイン</x:v>
      </x:c>
      <x:c r="D69" s="42" t="str">
        <x:v>年数表記トーニー</x:v>
      </x:c>
      <x:c r="E69" s="42" t="str">
        <x:v>年数表記トーニー・ポートの表示年数が示すものとして最も適切なものはどれか。</x:v>
      </x:c>
      <x:c r="F69" s="42" t="str">
        <x:v>ブレンド中の最も若いワインの正確な年齢</x:v>
      </x:c>
      <x:c r="G69" s="42" t="str">
        <x:v>単一ヴィンテージのワインを、その年数だけ樽熟成したこと</x:v>
      </x:c>
      <x:c r="H69" s="42" t="str">
        <x:v>ボトルに詰めてから熟成させた年数</x:v>
      </x:c>
      <x:c r="I69" s="42" t="str">
        <x:v>ブレンド全体が示す平均的な熟成特性のスタイル</x:v>
      </x:c>
      <x:c r="J69" s="53" t="str">
        <x:v>D</x:v>
      </x:c>
      <x:c r="K69" s="42" t="str">
        <x:v>ブレンド全体が示す平均的な熟成特性のスタイル</x:v>
      </x:c>
      <x:c r="L69" s="42" t="str">
        <x:v>10年、20年などの表示は、官能的に期待される平均的な熟成スタイルを示す。</x:v>
      </x:c>
      <x:c r="M69" s="42" t="str">
        <x:v>誤り。 表示は最若年ワインの年齢を保証するものではない。</x:v>
      </x:c>
      <x:c r="N69" s="42" t="str">
        <x:v>誤り。 通常は複数年のワインをブレンドし、表示年数は単一ヴィンテージや正確な熟成年数を示さない。</x:v>
      </x:c>
      <x:c r="O69" s="42" t="str">
        <x:v>誤り。 主な熟成は木樽で行われ、表示年数は瓶熟成年数ではない。</x:v>
      </x:c>
      <x:c r="P69" s="42" t="str">
        <x:v>正しい。 10年、20年などの表示は、官能的に期待される平均的な熟成スタイルを示す。</x:v>
      </x:c>
      <x:c r="Q69" s="42" t="str">
        <x:v>法律面・表示</x:v>
      </x:c>
      <x:c r="R69" s="42" t="str">
        <x:v>年数表記トーニー</x:v>
      </x:c>
      <x:c r="S69" s="42" t="str">
        <x:v>酒精強化ワイン</x:v>
      </x:c>
      <x:c r="T69" s="42" t="str">
        <x:v>ポルトガル</x:v>
      </x:c>
      <x:c r="U69" s="42" t="str">
        <x:v>ポート</x:v>
      </x:c>
      <x:c r="V69" s="42" t="str"/>
      <x:c r="W69" s="42" t="str">
        <x:v>知識確認</x:v>
      </x:c>
      <x:c r="X69" s="53" t="str">
        <x:v>D3</x:v>
      </x:c>
      <x:c r="Y69" s="42" t="str">
        <x:v>表示年数=最若年; 表示年数=瓶熟成年数</x:v>
      </x:c>
      <x:c r="Z69" s="53" t="str">
        <x:v>Y</x:v>
      </x:c>
      <x:c r="AA69" s="42" t="str">
        <x:v>年数表示の説明表現を日本語教材と照合推奨</x:v>
      </x:c>
      <x:c r="AB69" s="42" t="str">
        <x:v>オリジナル</x:v>
      </x:c>
      <x:c r="AC69" s="42" t="str">
        <x:v>公式Specificationの範囲＋ユーザー作成コーパスの論点を参考に独自作成</x:v>
      </x:c>
      <x:c r="AD69" s="53" t="str">
        <x:v>未レビュー</x:v>
      </x:c>
      <x:c r="AE69" s="53" t="str"/>
      <x:c r="AF69" s="53" t="str"/>
      <x:c r="AG69" s="43" t="str"/>
    </x:row>
    <x:row r="70" ht="84" customHeight="1">
      <x:c r="A70" s="41" t="str">
        <x:v>LO4-009</x:v>
      </x:c>
      <x:c r="B70" s="53" t="str">
        <x:v>LO4</x:v>
      </x:c>
      <x:c r="C70" s="42" t="str">
        <x:v>世界の主要な酒精強化ワイン</x:v>
      </x:c>
      <x:c r="D70" s="42" t="str">
        <x:v>パロミノ</x:v>
      </x:c>
      <x:c r="E70" s="42" t="str">
        <x:v>辛口シェリーの主要品種パロミノがベースワインに適する特徴はどれか。</x:v>
      </x:c>
      <x:c r="F70" s="42" t="str">
        <x:v>比較的中性的な香りと低めの酸を持ち、熟成方法の特徴を表現しやすい</x:v>
      </x:c>
      <x:c r="G70" s="42" t="str">
        <x:v>黒系果実の強い品種香と高いタンニンを持つ</x:v>
      </x:c>
      <x:c r="H70" s="42" t="str">
        <x:v>貴腐化しないと発酵できない</x:v>
      </x:c>
      <x:c r="I70" s="42" t="str">
        <x:v>高い残糖を自然に保持し、酒精強化なしで甘口になる</x:v>
      </x:c>
      <x:c r="J70" s="53" t="str">
        <x:v>A</x:v>
      </x:c>
      <x:c r="K70" s="42" t="str">
        <x:v>比較的中性的な香りと低めの酸を持ち、熟成方法の特徴を表現しやすい</x:v>
      </x:c>
      <x:c r="L70" s="42" t="str">
        <x:v>強い品種香より、フロールや酸化熟成の風味が前面に出やすい。</x:v>
      </x:c>
      <x:c r="M70" s="42" t="str">
        <x:v>正しい。 強い品種香より、フロールや酸化熟成の風味が前面に出やすい。</x:v>
      </x:c>
      <x:c r="N70" s="42" t="str">
        <x:v>誤り。 パロミノは白ブドウで、黒系果実や高タンニンは典型的でない。</x:v>
      </x:c>
      <x:c r="O70" s="42" t="str">
        <x:v>誤り。 通常の辛口シェリー用果実に貴腐は必要ない。</x:v>
      </x:c>
      <x:c r="P70" s="42" t="str">
        <x:v>誤り。 辛口シェリーのベースワインは通常辛口まで発酵する。</x:v>
      </x:c>
      <x:c r="Q70" s="42" t="str">
        <x:v>品種・産地</x:v>
      </x:c>
      <x:c r="R70" s="42" t="str">
        <x:v>パロミノ</x:v>
      </x:c>
      <x:c r="S70" s="42" t="str">
        <x:v>酒精強化ワイン</x:v>
      </x:c>
      <x:c r="T70" s="42" t="str">
        <x:v>スペイン</x:v>
      </x:c>
      <x:c r="U70" s="42" t="str">
        <x:v>ヘレス</x:v>
      </x:c>
      <x:c r="V70" s="42" t="str">
        <x:v>パロミノ</x:v>
      </x:c>
      <x:c r="W70" s="42" t="str">
        <x:v>知識確認</x:v>
      </x:c>
      <x:c r="X70" s="53" t="str">
        <x:v>D1</x:v>
      </x:c>
      <x:c r="Y70" s="42" t="str">
        <x:v>パロミノ=黒ブドウ; 辛口シェリー=貴腐</x:v>
      </x:c>
      <x:c r="Z70" s="53" t="str">
        <x:v>N</x:v>
      </x:c>
      <x:c r="AA70" s="42" t="str"/>
      <x:c r="AB70" s="42" t="str">
        <x:v>オリジナル</x:v>
      </x:c>
      <x:c r="AC70" s="42" t="str">
        <x:v>公式Specificationの範囲＋ユーザー作成コーパスの論点を参考に独自作成</x:v>
      </x:c>
      <x:c r="AD70" s="53" t="str">
        <x:v>未レビュー</x:v>
      </x:c>
      <x:c r="AE70" s="53" t="str"/>
      <x:c r="AF70" s="53" t="str"/>
      <x:c r="AG70" s="43" t="str"/>
    </x:row>
    <x:row r="71" ht="84" customHeight="1">
      <x:c r="A71" s="41" t="str">
        <x:v>LO4-010</x:v>
      </x:c>
      <x:c r="B71" s="53" t="str">
        <x:v>LO4</x:v>
      </x:c>
      <x:c r="C71" s="42" t="str">
        <x:v>世界の主要な酒精強化ワイン</x:v>
      </x:c>
      <x:c r="D71" s="42" t="str">
        <x:v>フィノ</x:v>
      </x:c>
      <x:c r="E71" s="42" t="str">
        <x:v>フィノのベースワインを約15％vol.に酒精強化する主な理由はどれか。</x:v>
      </x:c>
      <x:c r="F71" s="42" t="str">
        <x:v>酵母の活動を抑え、酸素と接触させて酸化熟成を進めるため</x:v>
      </x:c>
      <x:c r="G71" s="42" t="str">
        <x:v>フロールの形成を可能にし、ワインを酸素から保護しながら生物学的熟成させるため</x:v>
      </x:c>
      <x:c r="H71" s="42" t="str">
        <x:v>瓶内二次発酵を開始し、炭酸ガスをワインに保持するため</x:v>
      </x:c>
      <x:c r="I71" s="42" t="str">
        <x:v>発酵途中の糖を残し、甘口のスタイルに仕上げるため</x:v>
      </x:c>
      <x:c r="J71" s="53" t="str">
        <x:v>B</x:v>
      </x:c>
      <x:c r="K71" s="42" t="str">
        <x:v>フロールの形成を可能にし、ワインを酸素から保護しながら生物学的熟成させるため</x:v>
      </x:c>
      <x:c r="L71" s="42" t="str">
        <x:v>フロールは表面を覆い、独特のアセトアルデヒド香と軽快なスタイルを生む。</x:v>
      </x:c>
      <x:c r="M71" s="42" t="str">
        <x:v>誤り。 約15％はフロールが生育できる条件を作り、酸化を抑える。</x:v>
      </x:c>
      <x:c r="N71" s="42" t="str">
        <x:v>正しい。 フロールは表面を覆い、独特のアセトアルデヒド香と軽快なスタイルを生む。</x:v>
      </x:c>
      <x:c r="O71" s="42" t="str">
        <x:v>誤り。 フィノは発泡性ワインではなく、二次発酵を目的としない。</x:v>
      </x:c>
      <x:c r="P71" s="42" t="str">
        <x:v>誤り。 フィノのベースワインは通常辛口まで発酵する。</x:v>
      </x:c>
      <x:c r="Q71" s="42" t="str">
        <x:v>酒精強化ワイン製法</x:v>
      </x:c>
      <x:c r="R71" s="42" t="str">
        <x:v>生物学的熟成</x:v>
      </x:c>
      <x:c r="S71" s="42" t="str">
        <x:v>酒精強化ワイン</x:v>
      </x:c>
      <x:c r="T71" s="42" t="str">
        <x:v>スペイン</x:v>
      </x:c>
      <x:c r="U71" s="42" t="str">
        <x:v>ヘレス</x:v>
      </x:c>
      <x:c r="V71" s="42" t="str">
        <x:v>パロミノ</x:v>
      </x:c>
      <x:c r="W71" s="42" t="str">
        <x:v>因果説明</x:v>
      </x:c>
      <x:c r="X71" s="53" t="str">
        <x:v>D2</x:v>
      </x:c>
      <x:c r="Y71" s="42" t="str">
        <x:v>15%=フロール死滅; フィノ=甘口</x:v>
      </x:c>
      <x:c r="Z71" s="53" t="str">
        <x:v>N</x:v>
      </x:c>
      <x:c r="AA71" s="42" t="str"/>
      <x:c r="AB71" s="42" t="str">
        <x:v>オリジナル</x:v>
      </x:c>
      <x:c r="AC71" s="42" t="str">
        <x:v>公式Specificationの範囲＋ユーザー作成コーパスの論点を参考に独自作成</x:v>
      </x:c>
      <x:c r="AD71" s="53" t="str">
        <x:v>未レビュー</x:v>
      </x:c>
      <x:c r="AE71" s="53" t="str"/>
      <x:c r="AF71" s="53" t="str"/>
      <x:c r="AG71" s="43" t="str"/>
    </x:row>
    <x:row r="72" ht="84" customHeight="1">
      <x:c r="A72" s="41" t="str">
        <x:v>LO4-011</x:v>
      </x:c>
      <x:c r="B72" s="53" t="str">
        <x:v>LO4</x:v>
      </x:c>
      <x:c r="C72" s="42" t="str">
        <x:v>世界の主要な酒精強化ワイン</x:v>
      </x:c>
      <x:c r="D72" s="42" t="str">
        <x:v>オロロソ</x:v>
      </x:c>
      <x:c r="E72" s="42" t="str">
        <x:v>オロロソのベースワインを約17％vol.に酒精強化する主な目的はどれか。</x:v>
      </x:c>
      <x:c r="F72" s="42" t="str">
        <x:v>フロールをより厚く形成するため</x:v>
      </x:c>
      <x:c r="G72" s="42" t="str">
        <x:v>発酵を途中で止めて残糖を残すため</x:v>
      </x:c>
      <x:c r="H72" s="42" t="str">
        <x:v>フロールの形成を防ぎ、酸化熟成を進めるため</x:v>
      </x:c>
      <x:c r="I72" s="42" t="str">
        <x:v>瓶内二次発酵を行うため</x:v>
      </x:c>
      <x:c r="J72" s="53" t="str">
        <x:v>C</x:v>
      </x:c>
      <x:c r="K72" s="42" t="str">
        <x:v>フロールの形成を防ぎ、酸化熟成を進めるため</x:v>
      </x:c>
      <x:c r="L72" s="42" t="str">
        <x:v>酸素との接触により、濃い色、ナッツ、スパイスなどの風味が発達する。</x:v>
      </x:c>
      <x:c r="M72" s="42" t="str">
        <x:v>誤り。 高いアルコール度ではフロールは生育できない。</x:v>
      </x:c>
      <x:c r="N72" s="42" t="str">
        <x:v>誤り。 パロミノのベースワインは通常辛口まで発酵した後に強化される。</x:v>
      </x:c>
      <x:c r="O72" s="42" t="str">
        <x:v>正しい。 酸素との接触により、濃い色、ナッツ、スパイスなどの風味が発達する。</x:v>
      </x:c>
      <x:c r="P72" s="42" t="str">
        <x:v>誤り。 オロロソは非発泡性の酒精強化ワインである。</x:v>
      </x:c>
      <x:c r="Q72" s="42" t="str">
        <x:v>酒精強化ワイン製法</x:v>
      </x:c>
      <x:c r="R72" s="42" t="str">
        <x:v>酸化熟成</x:v>
      </x:c>
      <x:c r="S72" s="42" t="str">
        <x:v>酒精強化ワイン</x:v>
      </x:c>
      <x:c r="T72" s="42" t="str">
        <x:v>スペイン</x:v>
      </x:c>
      <x:c r="U72" s="42" t="str">
        <x:v>ヘレス</x:v>
      </x:c>
      <x:c r="V72" s="42" t="str">
        <x:v>パロミノ</x:v>
      </x:c>
      <x:c r="W72" s="42" t="str">
        <x:v>因果説明</x:v>
      </x:c>
      <x:c r="X72" s="53" t="str">
        <x:v>D2</x:v>
      </x:c>
      <x:c r="Y72" s="42" t="str">
        <x:v>17%=フロール促進; オロロソ=甘口発酵停止</x:v>
      </x:c>
      <x:c r="Z72" s="53" t="str">
        <x:v>N</x:v>
      </x:c>
      <x:c r="AA72" s="42" t="str"/>
      <x:c r="AB72" s="42" t="str">
        <x:v>オリジナル</x:v>
      </x:c>
      <x:c r="AC72" s="42" t="str">
        <x:v>公式Specificationの範囲＋ユーザー作成コーパスの論点を参考に独自作成</x:v>
      </x:c>
      <x:c r="AD72" s="53" t="str">
        <x:v>未レビュー</x:v>
      </x:c>
      <x:c r="AE72" s="53" t="str"/>
      <x:c r="AF72" s="53" t="str"/>
      <x:c r="AG72" s="43" t="str"/>
    </x:row>
    <x:row r="73" ht="84" customHeight="1">
      <x:c r="A73" s="41" t="str">
        <x:v>LO4-012</x:v>
      </x:c>
      <x:c r="B73" s="53" t="str">
        <x:v>LO4</x:v>
      </x:c>
      <x:c r="C73" s="42" t="str">
        <x:v>世界の主要な酒精強化ワイン</x:v>
      </x:c>
      <x:c r="D73" s="42" t="str">
        <x:v>フロール</x:v>
      </x:c>
      <x:c r="E73" s="42" t="str">
        <x:v>フロールがフィノのスタイルに与える影響として最も適切なものはどれか。</x:v>
      </x:c>
      <x:c r="F73" s="42" t="str">
        <x:v>ワインの色を濃くし、強いタンニンを加える</x:v>
      </x:c>
      <x:c r="G73" s="42" t="str">
        <x:v>フロールが糖を生成し、甘口のスタイルに変える</x:v>
      </x:c>
      <x:c r="H73" s="42" t="str">
        <x:v>フロールがアルコールを生成し、度数を20％以上へ高める</x:v>
      </x:c>
      <x:c r="I73" s="42" t="str">
        <x:v>酸化を抑えつつ、アーモンド、パン生地、アセトアルデヒドを思わせる風味を加える</x:v>
      </x:c>
      <x:c r="J73" s="53" t="str">
        <x:v>D</x:v>
      </x:c>
      <x:c r="K73" s="42" t="str">
        <x:v>酸化を抑えつつ、アーモンド、パン生地、アセトアルデヒドを思わせる風味を加える</x:v>
      </x:c>
      <x:c r="L73" s="42" t="str">
        <x:v>フロールが酸素との接触を遮り、酵母代謝由来の特徴を生む。</x:v>
      </x:c>
      <x:c r="M73" s="42" t="str">
        <x:v>誤り。 フロールは色素やタンニンを加えるものではない。</x:v>
      </x:c>
      <x:c r="N73" s="42" t="str">
        <x:v>誤り。 フロールは糖を生成せず、フィノは辛口である。</x:v>
      </x:c>
      <x:c r="O73" s="42" t="str">
        <x:v>誤り。 アルコール度は酒精強化で調整される。</x:v>
      </x:c>
      <x:c r="P73" s="42" t="str">
        <x:v>正しい。 フロールが酸素との接触を遮り、酵母代謝由来の特徴を生む。</x:v>
      </x:c>
      <x:c r="Q73" s="42" t="str">
        <x:v>酒精強化ワイン製法</x:v>
      </x:c>
      <x:c r="R73" s="42" t="str">
        <x:v>フロール</x:v>
      </x:c>
      <x:c r="S73" s="42" t="str">
        <x:v>酒精強化ワイン</x:v>
      </x:c>
      <x:c r="T73" s="42" t="str">
        <x:v>スペイン</x:v>
      </x:c>
      <x:c r="U73" s="42" t="str">
        <x:v>ヘレス</x:v>
      </x:c>
      <x:c r="V73" s="42" t="str">
        <x:v>パロミノ</x:v>
      </x:c>
      <x:c r="W73" s="42" t="str">
        <x:v>因果説明</x:v>
      </x:c>
      <x:c r="X73" s="53" t="str">
        <x:v>D2</x:v>
      </x:c>
      <x:c r="Y73" s="42" t="str">
        <x:v>フロール=甘口化; フロール=タンニン増加</x:v>
      </x:c>
      <x:c r="Z73" s="53" t="str">
        <x:v>N</x:v>
      </x:c>
      <x:c r="AA73" s="42" t="str"/>
      <x:c r="AB73" s="42" t="str">
        <x:v>オリジナル</x:v>
      </x:c>
      <x:c r="AC73" s="42" t="str">
        <x:v>公式Specificationの範囲＋ユーザー作成コーパスの論点を参考に独自作成</x:v>
      </x:c>
      <x:c r="AD73" s="53" t="str">
        <x:v>未レビュー</x:v>
      </x:c>
      <x:c r="AE73" s="53" t="str"/>
      <x:c r="AF73" s="53" t="str"/>
      <x:c r="AG73" s="43" t="str"/>
    </x:row>
    <x:row r="74" ht="84" customHeight="1">
      <x:c r="A74" s="41" t="str">
        <x:v>LO4-013</x:v>
      </x:c>
      <x:c r="B74" s="53" t="str">
        <x:v>LO4</x:v>
      </x:c>
      <x:c r="C74" s="42" t="str">
        <x:v>世界の主要な酒精強化ワイン</x:v>
      </x:c>
      <x:c r="D74" s="42" t="str">
        <x:v>マンサニーリャ</x:v>
      </x:c>
      <x:c r="E74" s="42" t="str">
        <x:v>マンサニーリャがフィノと似た生物学的熟成の特徴を持ちながら、しばしば特に繊細で塩味を思わせると表現される理由はどれか。</x:v>
      </x:c>
      <x:c r="F74" s="42" t="str">
        <x:v>サンルーカル・デ・バラメダの湿潤で温和な海洋環境がフロールを厚く維持しやすいから</x:v>
      </x:c>
      <x:c r="G74" s="42" t="str">
        <x:v>黒ブドウを全房発酵させ、果皮由来のタンニンを加えるから</x:v>
      </x:c>
      <x:c r="H74" s="42" t="str">
        <x:v>ペドロ・ヒメネスを加え、甘味と濃厚さを高めるから</x:v>
      </x:c>
      <x:c r="I74" s="42" t="str">
        <x:v>瓶内二次発酵によって、塩味を生む炭酸ガスを保持するから</x:v>
      </x:c>
      <x:c r="J74" s="53" t="str">
        <x:v>A</x:v>
      </x:c>
      <x:c r="K74" s="42" t="str">
        <x:v>サンルーカル・デ・バラメダの湿潤で温和な海洋環境がフロールを厚く維持しやすいから</x:v>
      </x:c>
      <x:c r="L74" s="42" t="str">
        <x:v>海に近い環境が年間を通じたフロールの活動を支え、軽快で独特の風味を生む。</x:v>
      </x:c>
      <x:c r="M74" s="42" t="str">
        <x:v>正しい。 海に近い環境が年間を通じたフロールの活動を支え、軽快で独特の風味を生む。</x:v>
      </x:c>
      <x:c r="N74" s="42" t="str">
        <x:v>誤り。 マンサニーリャは主に白ブドウのパロミノから造る。</x:v>
      </x:c>
      <x:c r="O74" s="42" t="str">
        <x:v>誤り。 マンサニーリャは辛口で、PX添加が主要なスタイル形成要因ではない。</x:v>
      </x:c>
      <x:c r="P74" s="42" t="str">
        <x:v>誤り。 塩味の印象は製法と環境に関連する官能表現で、瓶内二次発酵によるものではない。</x:v>
      </x:c>
      <x:c r="Q74" s="42" t="str">
        <x:v>自然要因・産地</x:v>
      </x:c>
      <x:c r="R74" s="42" t="str">
        <x:v>サンルーカル・フロール</x:v>
      </x:c>
      <x:c r="S74" s="42" t="str">
        <x:v>酒精強化ワイン</x:v>
      </x:c>
      <x:c r="T74" s="42" t="str">
        <x:v>スペイン</x:v>
      </x:c>
      <x:c r="U74" s="42" t="str">
        <x:v>サンルーカル・デ・バラメダ</x:v>
      </x:c>
      <x:c r="V74" s="42" t="str">
        <x:v>パロミノ</x:v>
      </x:c>
      <x:c r="W74" s="42" t="str">
        <x:v>因果説明</x:v>
      </x:c>
      <x:c r="X74" s="53" t="str">
        <x:v>D3</x:v>
      </x:c>
      <x:c r="Y74" s="42" t="str">
        <x:v>マンサニーリャ=黒ブドウ; 塩味=塩生成</x:v>
      </x:c>
      <x:c r="Z74" s="53" t="str">
        <x:v>Y</x:v>
      </x:c>
      <x:c r="AA74" s="42" t="str">
        <x:v>塩味表現は官能表現として扱い、直接的な塩分説明を避けているか確認推奨</x:v>
      </x:c>
      <x:c r="AB74" s="42" t="str">
        <x:v>オリジナル</x:v>
      </x:c>
      <x:c r="AC74" s="42" t="str">
        <x:v>公式Specificationの範囲＋ユーザー作成コーパスの論点を参考に独自作成</x:v>
      </x:c>
      <x:c r="AD74" s="53" t="str">
        <x:v>未レビュー</x:v>
      </x:c>
      <x:c r="AE74" s="53" t="str"/>
      <x:c r="AF74" s="53" t="str"/>
      <x:c r="AG74" s="43" t="str"/>
    </x:row>
    <x:row r="75" ht="84" customHeight="1">
      <x:c r="A75" s="41" t="str">
        <x:v>LO4-014</x:v>
      </x:c>
      <x:c r="B75" s="53" t="str">
        <x:v>LO4</x:v>
      </x:c>
      <x:c r="C75" s="42" t="str">
        <x:v>世界の主要な酒精強化ワイン</x:v>
      </x:c>
      <x:c r="D75" s="42" t="str">
        <x:v>アモンティリャード</x:v>
      </x:c>
      <x:c r="E75" s="42" t="str">
        <x:v>アモンティリャードの典型的な熟成経路はどれか。</x:v>
      </x:c>
      <x:c r="F75" s="42" t="str">
        <x:v>最初から最後までフロールのみの下で熟成する</x:v>
      </x:c>
      <x:c r="G75" s="42" t="str">
        <x:v>最初にフロール下で生物学的熟成し、その後フロールを失って酸化熟成する</x:v>
      </x:c>
      <x:c r="H75" s="42" t="str">
        <x:v>発酵途中で酒精強化して甘味を残し、酸化させない</x:v>
      </x:c>
      <x:c r="I75" s="42" t="str">
        <x:v>炭酸ガス注入後に瓶内で熟成する</x:v>
      </x:c>
      <x:c r="J75" s="53" t="str">
        <x:v>B</x:v>
      </x:c>
      <x:c r="K75" s="42" t="str">
        <x:v>最初にフロール下で生物学的熟成し、その後フロールを失って酸化熟成する</x:v>
      </x:c>
      <x:c r="L75" s="42" t="str">
        <x:v>両方の熟成に由来するアーモンド、酵母、ナッツなどの複雑な風味を持つ。</x:v>
      </x:c>
      <x:c r="M75" s="42" t="str">
        <x:v>誤り。 これはフィノに近い。</x:v>
      </x:c>
      <x:c r="N75" s="42" t="str">
        <x:v>正しい。 両方の熟成に由来するアーモンド、酵母、ナッツなどの複雑な風味を持つ。</x:v>
      </x:c>
      <x:c r="O75" s="42" t="str">
        <x:v>誤り。 アモンティリャードは通常辛口で、発酵後に強化される。</x:v>
      </x:c>
      <x:c r="P75" s="42" t="str">
        <x:v>誤り。 発泡性ワインの製法ではない。</x:v>
      </x:c>
      <x:c r="Q75" s="42" t="str">
        <x:v>酒精強化ワイン製法</x:v>
      </x:c>
      <x:c r="R75" s="42" t="str">
        <x:v>生物学的＋酸化熟成</x:v>
      </x:c>
      <x:c r="S75" s="42" t="str">
        <x:v>酒精強化ワイン</x:v>
      </x:c>
      <x:c r="T75" s="42" t="str">
        <x:v>スペイン</x:v>
      </x:c>
      <x:c r="U75" s="42" t="str">
        <x:v>ヘレス</x:v>
      </x:c>
      <x:c r="V75" s="42" t="str">
        <x:v>パロミノ</x:v>
      </x:c>
      <x:c r="W75" s="42" t="str">
        <x:v>知識確認</x:v>
      </x:c>
      <x:c r="X75" s="53" t="str">
        <x:v>D2</x:v>
      </x:c>
      <x:c r="Y75" s="42" t="str">
        <x:v>アモンティリャード=生物学的のみ; アモンティリャード=甘口</x:v>
      </x:c>
      <x:c r="Z75" s="53" t="str">
        <x:v>N</x:v>
      </x:c>
      <x:c r="AA75" s="42" t="str"/>
      <x:c r="AB75" s="42" t="str">
        <x:v>オリジナル</x:v>
      </x:c>
      <x:c r="AC75" s="42" t="str">
        <x:v>公式Specificationの範囲＋ユーザー作成コーパスの論点を参考に独自作成</x:v>
      </x:c>
      <x:c r="AD75" s="53" t="str">
        <x:v>未レビュー</x:v>
      </x:c>
      <x:c r="AE75" s="53" t="str"/>
      <x:c r="AF75" s="53" t="str"/>
      <x:c r="AG75" s="43" t="str"/>
    </x:row>
    <x:row r="76" ht="84" customHeight="1">
      <x:c r="A76" s="41" t="str">
        <x:v>LO4-015</x:v>
      </x:c>
      <x:c r="B76" s="53" t="str">
        <x:v>LO4</x:v>
      </x:c>
      <x:c r="C76" s="42" t="str">
        <x:v>世界の主要な酒精強化ワイン</x:v>
      </x:c>
      <x:c r="D76" s="42" t="str">
        <x:v>ソレラ・システム</x:v>
      </x:c>
      <x:c r="E76" s="42" t="str">
        <x:v>ソレラ・システムの主な目的はどれか。</x:v>
      </x:c>
      <x:c r="F76" s="42" t="str">
        <x:v>各樽を単一ヴィンテージとして保持し、年ごとの差を強調すること</x:v>
      </x:c>
      <x:c r="G76" s="42" t="str">
        <x:v>各段階の樽で酵母を加え、二次発酵による炭酸ガスを得ること</x:v>
      </x:c>
      <x:c r="H76" s="42" t="str">
        <x:v>若いワインと古いワインを段階的にブレンドし、品質とスタイルの一貫性を保つこと</x:v>
      </x:c>
      <x:c r="I76" s="42" t="str">
        <x:v>樽間の移し替えでアルコールを蒸発させ、非酒精強化ワインに戻すこと</x:v>
      </x:c>
      <x:c r="J76" s="53" t="str">
        <x:v>C</x:v>
      </x:c>
      <x:c r="K76" s="42" t="str">
        <x:v>若いワインと古いワインを段階的にブレンドし、品質とスタイルの一貫性を保つこと</x:v>
      </x:c>
      <x:c r="L76" s="42" t="str">
        <x:v>各段階から一部を取り出し補充することで、熟成度とハウススタイルを均一化する。</x:v>
      </x:c>
      <x:c r="M76" s="42" t="str">
        <x:v>誤り。 ソレラは異なる年のワインを混合し、年ごとの差をならす。</x:v>
      </x:c>
      <x:c r="N76" s="42" t="str">
        <x:v>誤り。 発泡性ワインの二次発酵とは関係がない。</x:v>
      </x:c>
      <x:c r="O76" s="42" t="str">
        <x:v>正しい。 各段階から一部を取り出し補充することで、熟成度とハウススタイルを均一化する。</x:v>
      </x:c>
      <x:c r="P76" s="42" t="str">
        <x:v>誤り。 アルコールを除去する仕組みではなく、スタイルの一貫性を作る。</x:v>
      </x:c>
      <x:c r="Q76" s="42" t="str">
        <x:v>酒精強化ワイン製法</x:v>
      </x:c>
      <x:c r="R76" s="42" t="str">
        <x:v>ソレラ・システム</x:v>
      </x:c>
      <x:c r="S76" s="42" t="str">
        <x:v>酒精強化ワイン</x:v>
      </x:c>
      <x:c r="T76" s="42" t="str">
        <x:v>スペイン</x:v>
      </x:c>
      <x:c r="U76" s="42" t="str">
        <x:v>ヘレス</x:v>
      </x:c>
      <x:c r="V76" s="42" t="str"/>
      <x:c r="W76" s="42" t="str">
        <x:v>因果説明</x:v>
      </x:c>
      <x:c r="X76" s="53" t="str">
        <x:v>D2</x:v>
      </x:c>
      <x:c r="Y76" s="42" t="str">
        <x:v>ソレラ=単一年; ソレラ=二次発酵</x:v>
      </x:c>
      <x:c r="Z76" s="53" t="str">
        <x:v>N</x:v>
      </x:c>
      <x:c r="AA76" s="42" t="str"/>
      <x:c r="AB76" s="42" t="str">
        <x:v>オリジナル</x:v>
      </x:c>
      <x:c r="AC76" s="42" t="str">
        <x:v>公式Specificationの範囲＋ユーザー作成コーパスの論点を参考に独自作成</x:v>
      </x:c>
      <x:c r="AD76" s="53" t="str">
        <x:v>未レビュー</x:v>
      </x:c>
      <x:c r="AE76" s="53" t="str"/>
      <x:c r="AF76" s="53" t="str"/>
      <x:c r="AG76" s="43" t="str"/>
    </x:row>
    <x:row r="77" ht="84" customHeight="1">
      <x:c r="A77" s="41" t="str">
        <x:v>LO4-016</x:v>
      </x:c>
      <x:c r="B77" s="53" t="str">
        <x:v>LO4</x:v>
      </x:c>
      <x:c r="C77" s="42" t="str">
        <x:v>世界の主要な酒精強化ワイン</x:v>
      </x:c>
      <x:c r="D77" s="42" t="str">
        <x:v>ペドロ・ヒメネス</x:v>
      </x:c>
      <x:c r="E77" s="42" t="str">
        <x:v>ペドロ・ヒメネス（PX）の非常に甘く濃縮したスタイルを生む主要工程はどれか。</x:v>
      </x:c>
      <x:c r="F77" s="42" t="str">
        <x:v>早摘みした果実を辛口まで発酵し、酸の高いスタイルにする</x:v>
      </x:c>
      <x:c r="G77" s="42" t="str">
        <x:v>フロールの下で長期間生物学的熟成する</x:v>
      </x:c>
      <x:c r="H77" s="42" t="str">
        <x:v>炭酸ガス浸漬法で全房発酵する</x:v>
      </x:c>
      <x:c r="I77" s="42" t="str">
        <x:v>収穫後のブドウを天日干しして水分を失わせ、糖分を濃縮する</x:v>
      </x:c>
      <x:c r="J77" s="53" t="str">
        <x:v>D</x:v>
      </x:c>
      <x:c r="K77" s="42" t="str">
        <x:v>収穫後のブドウを天日干しして水分を失わせ、糖分を濃縮する</x:v>
      </x:c>
      <x:c r="L77" s="42" t="str">
        <x:v>干しブドウ状にして非常に糖度の高い果汁を得る。</x:v>
      </x:c>
      <x:c r="M77" s="42" t="str">
        <x:v>誤り。 PXでは十分成熟した果実を天日干しし、糖分を濃縮する。</x:v>
      </x:c>
      <x:c r="N77" s="42" t="str">
        <x:v>誤り。 PXの主要な甘味形成工程ではない。</x:v>
      </x:c>
      <x:c r="O77" s="42" t="str">
        <x:v>誤り。 赤ワインの果実主体スタイルに関係する製法である。</x:v>
      </x:c>
      <x:c r="P77" s="42" t="str">
        <x:v>正しい。 干しブドウ状にして非常に糖度の高い果汁を得る。</x:v>
      </x:c>
      <x:c r="Q77" s="42" t="str">
        <x:v>酒精強化ワイン製法</x:v>
      </x:c>
      <x:c r="R77" s="42" t="str">
        <x:v>天日干し・糖分濃縮</x:v>
      </x:c>
      <x:c r="S77" s="42" t="str">
        <x:v>甘口酒精強化ワイン</x:v>
      </x:c>
      <x:c r="T77" s="42" t="str">
        <x:v>スペイン</x:v>
      </x:c>
      <x:c r="U77" s="42" t="str">
        <x:v>ヘレス</x:v>
      </x:c>
      <x:c r="V77" s="42" t="str">
        <x:v>ペドロ・ヒメネス</x:v>
      </x:c>
      <x:c r="W77" s="42" t="str">
        <x:v>因果説明</x:v>
      </x:c>
      <x:c r="X77" s="53" t="str">
        <x:v>D1</x:v>
      </x:c>
      <x:c r="Y77" s="42" t="str">
        <x:v>PX=早摘み完全発酵; PX=フロール</x:v>
      </x:c>
      <x:c r="Z77" s="53" t="str">
        <x:v>N</x:v>
      </x:c>
      <x:c r="AA77" s="42" t="str"/>
      <x:c r="AB77" s="42" t="str">
        <x:v>オリジナル</x:v>
      </x:c>
      <x:c r="AC77" s="42" t="str">
        <x:v>公式Specificationの範囲＋ユーザー作成コーパスの論点を参考に独自作成</x:v>
      </x:c>
      <x:c r="AD77" s="53" t="str">
        <x:v>未レビュー</x:v>
      </x:c>
      <x:c r="AE77" s="53" t="str"/>
      <x:c r="AF77" s="53" t="str"/>
      <x:c r="AG77" s="43" t="str"/>
    </x:row>
    <x:row r="78" ht="84" customHeight="1">
      <x:c r="A78" s="41" t="str">
        <x:v>LO4-017</x:v>
      </x:c>
      <x:c r="B78" s="53" t="str">
        <x:v>LO4</x:v>
      </x:c>
      <x:c r="C78" s="42" t="str">
        <x:v>世界の主要な酒精強化ワイン</x:v>
      </x:c>
      <x:c r="D78" s="42" t="str">
        <x:v>クリーム・シェリー</x:v>
      </x:c>
      <x:c r="E78" s="42" t="str">
        <x:v>クリーム・シェリーの一般的な造り方として最も適切なものはどれか。</x:v>
      </x:c>
      <x:c r="F78" s="42" t="str">
        <x:v>辛口の酸化熟成シェリーに甘口ワインまたはブドウ由来の甘味成分をブレンドする</x:v>
      </x:c>
      <x:c r="G78" s="42" t="str">
        <x:v>フィノを蒸留し、得られたスピリッツに甘味を加えて瓶詰めする</x:v>
      </x:c>
      <x:c r="H78" s="42" t="str">
        <x:v>辛口ベースワインを瓶内二次発酵させ、残糖を加えて仕上げる</x:v>
      </x:c>
      <x:c r="I78" s="42" t="str">
        <x:v>発酵を途中で冷却停止し、酒精強化せずに甘味を残す</x:v>
      </x:c>
      <x:c r="J78" s="53" t="str">
        <x:v>A</x:v>
      </x:c>
      <x:c r="K78" s="42" t="str">
        <x:v>辛口の酸化熟成シェリーに甘口ワインまたはブドウ由来の甘味成分をブレンドする</x:v>
      </x:c>
      <x:c r="L78" s="42" t="str">
        <x:v>オロロソなどにPX等を加え、甘口でコクのあるスタイルにする。</x:v>
      </x:c>
      <x:c r="M78" s="42" t="str">
        <x:v>正しい。 オロロソなどにPX等を加え、甘口でコクのあるスタイルにする。</x:v>
      </x:c>
      <x:c r="N78" s="42" t="str">
        <x:v>誤り。 クリーム・シェリーは蒸留酒ではなく、甘味を付けた酒精強化ワインである。</x:v>
      </x:c>
      <x:c r="O78" s="42" t="str">
        <x:v>誤り。 発泡性ワインの製法ではなく、辛口シェリーと甘味成分のブレンドが一般的である。</x:v>
      </x:c>
      <x:c r="P78" s="42" t="str">
        <x:v>誤り。 シェリーは酒精強化ワインであり、この説明はアスティ方式に近い。</x:v>
      </x:c>
      <x:c r="Q78" s="42" t="str">
        <x:v>酒精強化ワイン製法</x:v>
      </x:c>
      <x:c r="R78" s="42" t="str">
        <x:v>甘味調整・ブレンド</x:v>
      </x:c>
      <x:c r="S78" s="42" t="str">
        <x:v>甘口酒精強化ワイン</x:v>
      </x:c>
      <x:c r="T78" s="42" t="str">
        <x:v>スペイン</x:v>
      </x:c>
      <x:c r="U78" s="42" t="str">
        <x:v>ヘレス</x:v>
      </x:c>
      <x:c r="V78" s="42" t="str">
        <x:v>パロミノ、ペドロ・ヒメネス</x:v>
      </x:c>
      <x:c r="W78" s="42" t="str">
        <x:v>知識確認</x:v>
      </x:c>
      <x:c r="X78" s="53" t="str">
        <x:v>D2</x:v>
      </x:c>
      <x:c r="Y78" s="42" t="str">
        <x:v>クリームシェリー=蒸留酒; クリームシェリー=非酒精強化</x:v>
      </x:c>
      <x:c r="Z78" s="53" t="str">
        <x:v>N</x:v>
      </x:c>
      <x:c r="AA78" s="42" t="str"/>
      <x:c r="AB78" s="42" t="str">
        <x:v>オリジナル</x:v>
      </x:c>
      <x:c r="AC78" s="42" t="str">
        <x:v>公式Specificationの範囲＋ユーザー作成コーパスの論点を参考に独自作成</x:v>
      </x:c>
      <x:c r="AD78" s="53" t="str">
        <x:v>未レビュー</x:v>
      </x:c>
      <x:c r="AE78" s="53" t="str"/>
      <x:c r="AF78" s="53" t="str"/>
      <x:c r="AG78" s="43" t="str"/>
    </x:row>
    <x:row r="79" ht="84" customHeight="1">
      <x:c r="A79" s="41" t="str">
        <x:v>LO4-018</x:v>
      </x:c>
      <x:c r="B79" s="53" t="str">
        <x:v>LO4</x:v>
      </x:c>
      <x:c r="C79" s="42" t="str">
        <x:v>世界の主要な酒精強化ワイン</x:v>
      </x:c>
      <x:c r="D79" s="42" t="str">
        <x:v>ラザグレン・マスカット</x:v>
      </x:c>
      <x:c r="E79" s="42" t="str">
        <x:v>ラザグレン・マスカットの非常に濃厚な甘味と複雑な熟成香を生む要因として最も適切なものはどれか。</x:v>
      </x:c>
      <x:c r="F79" s="42" t="str">
        <x:v>冷涼な気候で早摘みし、ステンレスで短期熟成すること</x:v>
      </x:c>
      <x:c r="G79" s="42" t="str">
        <x:v>完熟したマスカットを発酵途中で酒精強化し、暖かい環境で酸化熟成すること</x:v>
      </x:c>
      <x:c r="H79" s="42" t="str">
        <x:v>フロールだけで還元的に熟成すること</x:v>
      </x:c>
      <x:c r="I79" s="42" t="str">
        <x:v>炭酸ガスを注入して低アルコールにすること</x:v>
      </x:c>
      <x:c r="J79" s="53" t="str">
        <x:v>B</x:v>
      </x:c>
      <x:c r="K79" s="42" t="str">
        <x:v>完熟したマスカットを発酵途中で酒精強化し、暖かい環境で酸化熟成すること</x:v>
      </x:c>
      <x:c r="L79" s="42" t="str">
        <x:v>高い残糖とアルコールに、レーズン、キャラメル、ナッツなどの風味が加わる。</x:v>
      </x:c>
      <x:c r="M79" s="42" t="str">
        <x:v>誤り。 ラザグレンは温暖で、熟した果実と酸化熟成が特徴である。</x:v>
      </x:c>
      <x:c r="N79" s="42" t="str">
        <x:v>正しい。 高い残糖とアルコールに、レーズン、キャラメル、ナッツなどの風味が加わる。</x:v>
      </x:c>
      <x:c r="O79" s="42" t="str">
        <x:v>誤り。 ラザグレン・マスカットの典型は酸化熟成である。</x:v>
      </x:c>
      <x:c r="P79" s="42" t="str">
        <x:v>誤り。 発泡性ワインではなく、高アルコールの酒精強化ワインである。</x:v>
      </x:c>
      <x:c r="Q79" s="42" t="str">
        <x:v>酒精強化ワイン製法・産地</x:v>
      </x:c>
      <x:c r="R79" s="42" t="str">
        <x:v>マスカット・酸化熟成</x:v>
      </x:c>
      <x:c r="S79" s="42" t="str">
        <x:v>甘口酒精強化ワイン</x:v>
      </x:c>
      <x:c r="T79" s="42" t="str">
        <x:v>オーストラリア</x:v>
      </x:c>
      <x:c r="U79" s="42" t="str">
        <x:v>ラザグレン</x:v>
      </x:c>
      <x:c r="V79" s="42" t="str">
        <x:v>マスカット</x:v>
      </x:c>
      <x:c r="W79" s="42" t="str">
        <x:v>統合判断</x:v>
      </x:c>
      <x:c r="X79" s="53" t="str">
        <x:v>D3</x:v>
      </x:c>
      <x:c r="Y79" s="42" t="str">
        <x:v>ラザグレン=冷涼早摘み; ラザグレン=フロール</x:v>
      </x:c>
      <x:c r="Z79" s="53" t="str">
        <x:v>N</x:v>
      </x:c>
      <x:c r="AA79" s="42" t="str"/>
      <x:c r="AB79" s="42" t="str">
        <x:v>オリジナル</x:v>
      </x:c>
      <x:c r="AC79" s="42" t="str">
        <x:v>公式Specificationの範囲＋ユーザー作成コーパスの論点を参考に独自作成</x:v>
      </x:c>
      <x:c r="AD79" s="53" t="str">
        <x:v>未レビュー</x:v>
      </x:c>
      <x:c r="AE79" s="53" t="str"/>
      <x:c r="AF79" s="53" t="str"/>
      <x:c r="AG79" s="43" t="str"/>
    </x:row>
    <x:row r="80" ht="84" customHeight="1">
      <x:c r="A80" s="41" t="str">
        <x:v>LO4-019</x:v>
      </x:c>
      <x:c r="B80" s="53" t="str">
        <x:v>LO4</x:v>
      </x:c>
      <x:c r="C80" s="42" t="str">
        <x:v>世界の主要な酒精強化ワイン</x:v>
      </x:c>
      <x:c r="D80" s="42" t="str">
        <x:v>ミュスカ・ドゥ・ボーム・ドゥ・ヴニーズ</x:v>
      </x:c>
      <x:c r="E80" s="42" t="str">
        <x:v>ミュスカ・ドゥ・ボーム・ドゥ・ヴニーズの典型的なスタイルはどれか。</x:v>
      </x:c>
      <x:c r="F80" s="42" t="str">
        <x:v>高タンニンで辛口の赤ワインを、長期の果皮浸漬で造る</x:v>
      </x:c>
      <x:c r="G80" s="42" t="str">
        <x:v>長期フロール熟成による辛口で塩味の強いワイン</x:v>
      </x:c>
      <x:c r="H80" s="42" t="str">
        <x:v>香りの強い甘口で、発酵途中の酒精強化によりブドウの糖と芳香を残すワイン</x:v>
      </x:c>
      <x:c r="I80" s="42" t="str">
        <x:v>瓶内二次発酵を行い、甘口の発泡性ワインに仕上げる</x:v>
      </x:c>
      <x:c r="J80" s="53" t="str">
        <x:v>C</x:v>
      </x:c>
      <x:c r="K80" s="42" t="str">
        <x:v>香りの強い甘口で、発酵途中の酒精強化によりブドウの糖と芳香を残すワイン</x:v>
      </x:c>
      <x:c r="L80" s="42" t="str">
        <x:v>マスカットの花やブドウの香りを保ち、甘味と高いアルコールを持つ。</x:v>
      </x:c>
      <x:c r="M80" s="42" t="str">
        <x:v>誤り。 主にマスカットから造る甘口の白系酒精強化ワインである。</x:v>
      </x:c>
      <x:c r="N80" s="42" t="str">
        <x:v>誤り。 フロール熟成のシェリーではない。</x:v>
      </x:c>
      <x:c r="O80" s="42" t="str">
        <x:v>正しい。 マスカットの花やブドウの香りを保ち、甘味と高いアルコールを持つ。</x:v>
      </x:c>
      <x:c r="P80" s="42" t="str">
        <x:v>誤り。 通常は非発泡性の酒精強化ワインである。</x:v>
      </x:c>
      <x:c r="Q80" s="42" t="str">
        <x:v>産地スタイル</x:v>
      </x:c>
      <x:c r="R80" s="42" t="str">
        <x:v>酒精強化マスカット</x:v>
      </x:c>
      <x:c r="S80" s="42" t="str">
        <x:v>甘口酒精強化ワイン</x:v>
      </x:c>
      <x:c r="T80" s="42" t="str">
        <x:v>フランス</x:v>
      </x:c>
      <x:c r="U80" s="42" t="str">
        <x:v>ミュスカ・ドゥ・ボーム・ドゥ・ヴニーズ</x:v>
      </x:c>
      <x:c r="V80" s="42" t="str">
        <x:v>マスカット</x:v>
      </x:c>
      <x:c r="W80" s="42" t="str">
        <x:v>知識確認</x:v>
      </x:c>
      <x:c r="X80" s="53" t="str">
        <x:v>D1</x:v>
      </x:c>
      <x:c r="Y80" s="42" t="str">
        <x:v>酒精強化マスカット=辛口赤; 酒精強化マスカット=発泡</x:v>
      </x:c>
      <x:c r="Z80" s="53" t="str">
        <x:v>N</x:v>
      </x:c>
      <x:c r="AA80" s="42" t="str"/>
      <x:c r="AB80" s="42" t="str">
        <x:v>オリジナル</x:v>
      </x:c>
      <x:c r="AC80" s="42" t="str">
        <x:v>公式Specificationの範囲＋ユーザー作成コーパスの論点を参考に独自作成</x:v>
      </x:c>
      <x:c r="AD80" s="53" t="str">
        <x:v>未レビュー</x:v>
      </x:c>
      <x:c r="AE80" s="53" t="str"/>
      <x:c r="AF80" s="53" t="str"/>
      <x:c r="AG80" s="43" t="str"/>
    </x:row>
    <x:row r="81" ht="84" customHeight="1">
      <x:c r="A81" s="41" t="str">
        <x:v>LO4-020</x:v>
      </x:c>
      <x:c r="B81" s="53" t="str">
        <x:v>LO4</x:v>
      </x:c>
      <x:c r="C81" s="42" t="str">
        <x:v>世界の主要な酒精強化ワイン</x:v>
      </x:c>
      <x:c r="D81" s="42" t="str">
        <x:v>酒精強化時期の比較</x:v>
      </x:c>
      <x:c r="E81" s="42" t="str">
        <x:v>ポートと辛口シェリーの酒精強化時期の違いを最も適切に説明しているものはどれか。</x:v>
      </x:c>
      <x:c r="F81" s="42" t="str">
        <x:v>両方とも発酵前に酒精強化し、酵母を加えない</x:v>
      </x:c>
      <x:c r="G81" s="42" t="str">
        <x:v>ポートは発酵後、辛口シェリーは発酵途中に強化する</x:v>
      </x:c>
      <x:c r="H81" s="42" t="str">
        <x:v>両方とも瓶内二次発酵後に強化する</x:v>
      </x:c>
      <x:c r="I81" s="42" t="str">
        <x:v>ポートは発酵途中に強化して糖を残し、辛口シェリーは発酵完了後に強化する</x:v>
      </x:c>
      <x:c r="J81" s="53" t="str">
        <x:v>D</x:v>
      </x:c>
      <x:c r="K81" s="42" t="str">
        <x:v>ポートは発酵途中に強化して糖を残し、辛口シェリーは発酵完了後に強化する</x:v>
      </x:c>
      <x:c r="L81" s="42" t="str">
        <x:v>この違いがポートの甘味と、フィノやオロロソの辛口ベースを生む。</x:v>
      </x:c>
      <x:c r="M81" s="42" t="str">
        <x:v>誤り。 通常どちらも発酵を行う。</x:v>
      </x:c>
      <x:c r="N81" s="42" t="str">
        <x:v>誤り。 時期が逆である。</x:v>
      </x:c>
      <x:c r="O81" s="42" t="str">
        <x:v>誤り。 瓶内二次発酵は行わない。</x:v>
      </x:c>
      <x:c r="P81" s="42" t="str">
        <x:v>正しい。 この違いがポートの甘味と、フィノやオロロソの辛口ベースを生む。</x:v>
      </x:c>
      <x:c r="Q81" s="42" t="str">
        <x:v>比較・製法</x:v>
      </x:c>
      <x:c r="R81" s="42" t="str">
        <x:v>酒精強化の時期</x:v>
      </x:c>
      <x:c r="S81" s="42" t="str">
        <x:v>酒精強化ワイン</x:v>
      </x:c>
      <x:c r="T81" s="42" t="str">
        <x:v>ポルトガル／スペイン</x:v>
      </x:c>
      <x:c r="U81" s="42" t="str">
        <x:v>ポート／ヘレス</x:v>
      </x:c>
      <x:c r="V81" s="42" t="str"/>
      <x:c r="W81" s="42" t="str">
        <x:v>比較</x:v>
      </x:c>
      <x:c r="X81" s="53" t="str">
        <x:v>D2</x:v>
      </x:c>
      <x:c r="Y81" s="42" t="str">
        <x:v>ポート=発酵後強化; シェリー=発酵途中強化</x:v>
      </x:c>
      <x:c r="Z81" s="53" t="str">
        <x:v>N</x:v>
      </x:c>
      <x:c r="AA81" s="42" t="str"/>
      <x:c r="AB81" s="42" t="str">
        <x:v>オリジナル</x:v>
      </x:c>
      <x:c r="AC81" s="42" t="str">
        <x:v>公式Specificationの範囲＋ユーザー作成コーパスの論点を参考に独自作成</x:v>
      </x:c>
      <x:c r="AD81" s="53" t="str">
        <x:v>未レビュー</x:v>
      </x:c>
      <x:c r="AE81" s="53" t="str"/>
      <x:c r="AF81" s="53" t="str"/>
      <x:c r="AG81" s="43" t="str"/>
    </x:row>
    <x:row r="82" ht="84" customHeight="1">
      <x:c r="A82" s="41" t="str">
        <x:v>LO5-001</x:v>
      </x:c>
      <x:c r="B82" s="53" t="str">
        <x:v>LO5</x:v>
      </x:c>
      <x:c r="C82" s="42" t="str">
        <x:v>情報提供・推奨・保管・サービス</x:v>
      </x:c>
      <x:c r="D82" s="42" t="str">
        <x:v>保管温度</x:v>
      </x:c>
      <x:c r="E82" s="42" t="str">
        <x:v>ワインを長期保管する条件として最も適切なものはどれか。</x:v>
      </x:c>
      <x:c r="F82" s="42" t="str">
        <x:v>涼しく、温度変化が小さく、暗く、振動の少ない場所</x:v>
      </x:c>
      <x:c r="G82" s="42" t="str">
        <x:v>日当たりがよく、昼夜の温度差が大きい場所</x:v>
      </x:c>
      <x:c r="H82" s="42" t="str">
        <x:v>暖房器具の近くで、20℃台後半の温度を保つ場所</x:v>
      </x:c>
      <x:c r="I82" s="42" t="str">
        <x:v>冷凍庫内で凍結させる場所</x:v>
      </x:c>
      <x:c r="J82" s="53" t="str">
        <x:v>A</x:v>
      </x:c>
      <x:c r="K82" s="42" t="str">
        <x:v>涼しく、温度変化が小さく、暗く、振動の少ない場所</x:v>
      </x:c>
      <x:c r="L82" s="42" t="str">
        <x:v>高温や温度変化、光、振動は熟成を速めたり品質を損なったりするため、安定した環境が望ましい。</x:v>
      </x:c>
      <x:c r="M82" s="42" t="str">
        <x:v>正しい。 高温や温度変化、光、振動は熟成を速めたり品質を損なったりするため、安定した環境が望ましい。</x:v>
      </x:c>
      <x:c r="N82" s="42" t="str">
        <x:v>誤り。 光と温度変化はワインを劣化させる。</x:v>
      </x:c>
      <x:c r="O82" s="42" t="str">
        <x:v>誤り。 高温は熟成を過度に速め、酸化や風味劣化のリスクを高める。</x:v>
      </x:c>
      <x:c r="P82" s="42" t="str">
        <x:v>誤り。 凍結すると液体が膨張し、栓や容器を損傷する可能性がある。</x:v>
      </x:c>
      <x:c r="Q82" s="42" t="str">
        <x:v>保管・サービス</x:v>
      </x:c>
      <x:c r="R82" s="42" t="str">
        <x:v>長期保管</x:v>
      </x:c>
      <x:c r="S82" s="42" t="str">
        <x:v>全般</x:v>
      </x:c>
      <x:c r="T82" s="42" t="str"/>
      <x:c r="U82" s="42" t="str"/>
      <x:c r="V82" s="42" t="str"/>
      <x:c r="W82" s="42" t="str">
        <x:v>知識確認</x:v>
      </x:c>
      <x:c r="X82" s="53" t="str">
        <x:v>D1</x:v>
      </x:c>
      <x:c r="Y82" s="42" t="str">
        <x:v>温度変化=熟成促進で有利; 凍結保管</x:v>
      </x:c>
      <x:c r="Z82" s="53" t="str">
        <x:v>N</x:v>
      </x:c>
      <x:c r="AA82" s="42" t="str"/>
      <x:c r="AB82" s="42" t="str">
        <x:v>オリジナル</x:v>
      </x:c>
      <x:c r="AC82" s="42" t="str">
        <x:v>公式Specificationの範囲＋ユーザー作成コーパスの論点を参考に独自作成</x:v>
      </x:c>
      <x:c r="AD82" s="53" t="str">
        <x:v>未レビュー</x:v>
      </x:c>
      <x:c r="AE82" s="53" t="str"/>
      <x:c r="AF82" s="53" t="str"/>
      <x:c r="AG82" s="43" t="str"/>
    </x:row>
    <x:row r="83" ht="84" customHeight="1">
      <x:c r="A83" s="41" t="str">
        <x:v>LO5-002</x:v>
      </x:c>
      <x:c r="B83" s="53" t="str">
        <x:v>LO5</x:v>
      </x:c>
      <x:c r="C83" s="42" t="str">
        <x:v>情報提供・推奨・保管・サービス</x:v>
      </x:c>
      <x:c r="D83" s="42" t="str">
        <x:v>光による劣化</x:v>
      </x:c>
      <x:c r="E83" s="42" t="str">
        <x:v>発泡性ワインや白ワインを強い光から守るべき主な理由はどれか。</x:v>
      </x:c>
      <x:c r="F83" s="42" t="str">
        <x:v>光がアルコール度を急激に上げるため</x:v>
      </x:c>
      <x:c r="G83" s="42" t="str">
        <x:v>光が化学反応を促し、不快な香りを生じさせることがあるため</x:v>
      </x:c>
      <x:c r="H83" s="42" t="str">
        <x:v>光がワイン中の酸を糖へ変え、甘味を強めるため</x:v>
      </x:c>
      <x:c r="I83" s="42" t="str">
        <x:v>光がコルクの密閉性を高め、還元臭を閉じ込めるため</x:v>
      </x:c>
      <x:c r="J83" s="53" t="str">
        <x:v>B</x:v>
      </x:c>
      <x:c r="K83" s="42" t="str">
        <x:v>光が化学反応を促し、不快な香りを生じさせることがあるため</x:v>
      </x:c>
      <x:c r="L83" s="42" t="str">
        <x:v>特に透明・淡色瓶では光による劣化が起こり、風味が損なわれる可能性がある。</x:v>
      </x:c>
      <x:c r="M83" s="42" t="str">
        <x:v>誤り。 光によってアルコールが増えるわけではない。</x:v>
      </x:c>
      <x:c r="N83" s="42" t="str">
        <x:v>正しい。 特に透明・淡色瓶では光による劣化が起こり、風味が損なわれる可能性がある。</x:v>
      </x:c>
      <x:c r="O83" s="42" t="str">
        <x:v>誤り。 光で残糖が増えるわけではない。</x:v>
      </x:c>
      <x:c r="P83" s="42" t="str">
        <x:v>誤り。 光による主要な問題はワインの化学的劣化であり、コルクの密閉性向上ではない。</x:v>
      </x:c>
      <x:c r="Q83" s="42" t="str">
        <x:v>保管・欠陥</x:v>
      </x:c>
      <x:c r="R83" s="42" t="str">
        <x:v>光による劣化</x:v>
      </x:c>
      <x:c r="S83" s="42" t="str">
        <x:v>白・発泡性ワイン</x:v>
      </x:c>
      <x:c r="T83" s="42" t="str"/>
      <x:c r="U83" s="42" t="str"/>
      <x:c r="V83" s="42" t="str"/>
      <x:c r="W83" s="42" t="str">
        <x:v>因果説明</x:v>
      </x:c>
      <x:c r="X83" s="53" t="str">
        <x:v>D2</x:v>
      </x:c>
      <x:c r="Y83" s="42" t="str">
        <x:v>光=アルコール上昇; 光=甘口化</x:v>
      </x:c>
      <x:c r="Z83" s="53" t="str">
        <x:v>N</x:v>
      </x:c>
      <x:c r="AA83" s="42" t="str"/>
      <x:c r="AB83" s="42" t="str">
        <x:v>オリジナル</x:v>
      </x:c>
      <x:c r="AC83" s="42" t="str">
        <x:v>公式Specificationの範囲＋ユーザー作成コーパスの論点を参考に独自作成</x:v>
      </x:c>
      <x:c r="AD83" s="53" t="str">
        <x:v>未レビュー</x:v>
      </x:c>
      <x:c r="AE83" s="53" t="str"/>
      <x:c r="AF83" s="53" t="str"/>
      <x:c r="AG83" s="43" t="str"/>
    </x:row>
    <x:row r="84" ht="84" customHeight="1">
      <x:c r="A84" s="41" t="str">
        <x:v>LO5-003</x:v>
      </x:c>
      <x:c r="B84" s="53" t="str">
        <x:v>LO5</x:v>
      </x:c>
      <x:c r="C84" s="42" t="str">
        <x:v>情報提供・推奨・保管・サービス</x:v>
      </x:c>
      <x:c r="D84" s="42" t="str">
        <x:v>コルク栓の保管</x:v>
      </x:c>
      <x:c r="E84" s="42" t="str">
        <x:v>天然コルク栓のワインを長期保管する際、一般に横置きが推奨される主な理由はどれか。</x:v>
      </x:c>
      <x:c r="F84" s="42" t="str">
        <x:v>ボトル内で二次発酵を起こすため</x:v>
      </x:c>
      <x:c r="G84" s="42" t="str">
        <x:v>酒石酸塩を瓶口へ集めるため</x:v>
      </x:c>
      <x:c r="H84" s="42" t="str">
        <x:v>コルクをワインに触れさせ、乾燥・収縮による空気の侵入を抑えるため</x:v>
      </x:c>
      <x:c r="I84" s="42" t="str">
        <x:v>沈殿をワイン中に再分散させ、熟成を均一にするため</x:v>
      </x:c>
      <x:c r="J84" s="53" t="str">
        <x:v>C</x:v>
      </x:c>
      <x:c r="K84" s="42" t="str">
        <x:v>コルクをワインに触れさせ、乾燥・収縮による空気の侵入を抑えるため</x:v>
      </x:c>
      <x:c r="L84" s="42" t="str">
        <x:v>コルクが乾燥すると密閉性が低下し、酸化や漏れのリスクが高まる。</x:v>
      </x:c>
      <x:c r="M84" s="42" t="str">
        <x:v>誤り。 横置きと二次発酵は関係がない。</x:v>
      </x:c>
      <x:c r="N84" s="42" t="str">
        <x:v>誤り。 酒石酸塩の管理が横置きの主目的ではない。</x:v>
      </x:c>
      <x:c r="O84" s="42" t="str">
        <x:v>正しい。 コルクが乾燥すると密閉性が低下し、酸化や漏れのリスクが高まる。</x:v>
      </x:c>
      <x:c r="P84" s="42" t="str">
        <x:v>誤り。 横置きで沈殿を溶かすことが主目的ではない。</x:v>
      </x:c>
      <x:c r="Q84" s="42" t="str">
        <x:v>保管・サービス</x:v>
      </x:c>
      <x:c r="R84" s="42" t="str">
        <x:v>天然コルク</x:v>
      </x:c>
      <x:c r="S84" s="42" t="str">
        <x:v>全般</x:v>
      </x:c>
      <x:c r="T84" s="42" t="str"/>
      <x:c r="U84" s="42" t="str"/>
      <x:c r="V84" s="42" t="str"/>
      <x:c r="W84" s="42" t="str">
        <x:v>因果説明</x:v>
      </x:c>
      <x:c r="X84" s="53" t="str">
        <x:v>D1</x:v>
      </x:c>
      <x:c r="Y84" s="42" t="str">
        <x:v>横置き=二次発酵; 横置き=沈殿溶解</x:v>
      </x:c>
      <x:c r="Z84" s="53" t="str">
        <x:v>N</x:v>
      </x:c>
      <x:c r="AA84" s="42" t="str"/>
      <x:c r="AB84" s="42" t="str">
        <x:v>オリジナル</x:v>
      </x:c>
      <x:c r="AC84" s="42" t="str">
        <x:v>公式Specificationの範囲＋ユーザー作成コーパスの論点を参考に独自作成</x:v>
      </x:c>
      <x:c r="AD84" s="53" t="str">
        <x:v>未レビュー</x:v>
      </x:c>
      <x:c r="AE84" s="53" t="str"/>
      <x:c r="AF84" s="53" t="str"/>
      <x:c r="AG84" s="43" t="str"/>
    </x:row>
    <x:row r="85" ht="84" customHeight="1">
      <x:c r="A85" s="41" t="str">
        <x:v>LO5-004</x:v>
      </x:c>
      <x:c r="B85" s="53" t="str">
        <x:v>LO5</x:v>
      </x:c>
      <x:c r="C85" s="42" t="str">
        <x:v>情報提供・推奨・保管・サービス</x:v>
      </x:c>
      <x:c r="D85" s="42" t="str">
        <x:v>発泡性ワインのサービス温度</x:v>
      </x:c>
      <x:c r="E85" s="42" t="str">
        <x:v>発泡性ワインをよく冷やしてサービスする利点として最も適切なものはどれか。</x:v>
      </x:c>
      <x:c r="F85" s="42" t="str">
        <x:v>低温で炭酸ガスの溶解度が下がり、泡が早く抜ける</x:v>
      </x:c>
      <x:c r="G85" s="42" t="str">
        <x:v>低温で甘味と酸味の知覚が弱まり、構造を感じなくなる</x:v>
      </x:c>
      <x:c r="H85" s="42" t="str">
        <x:v>低温による揮発でアルコール度を下げ、刺激を減らす</x:v>
      </x:c>
      <x:c r="I85" s="42" t="str">
        <x:v>炭酸ガスを保持しやすく、爽快感を保ちながら開栓時の噴出リスクも抑えられる</x:v>
      </x:c>
      <x:c r="J85" s="53" t="str">
        <x:v>D</x:v>
      </x:c>
      <x:c r="K85" s="42" t="str">
        <x:v>炭酸ガスを保持しやすく、爽快感を保ちながら開栓時の噴出リスクも抑えられる</x:v>
      </x:c>
      <x:c r="L85" s="42" t="str">
        <x:v>冷えたワインは炭酸ガスを保持しやすく、泡立ちが制御しやすい。</x:v>
      </x:c>
      <x:c r="M85" s="42" t="str">
        <x:v>誤り。 低温では炭酸ガスは液体に溶け込みやすく、説明が逆である。</x:v>
      </x:c>
      <x:c r="N85" s="42" t="str">
        <x:v>誤り。 温度は知覚に影響するが、酸味がなくなるわけではなく、冷却は爽快感を保ちやすい。</x:v>
      </x:c>
      <x:c r="O85" s="42" t="str">
        <x:v>誤り。 実際のアルコール度はサービス温度で大きく変化しない。</x:v>
      </x:c>
      <x:c r="P85" s="42" t="str">
        <x:v>正しい。 冷えたワインは炭酸ガスを保持しやすく、泡立ちが制御しやすい。</x:v>
      </x:c>
      <x:c r="Q85" s="42" t="str">
        <x:v>保管・サービス</x:v>
      </x:c>
      <x:c r="R85" s="42" t="str">
        <x:v>サービス温度</x:v>
      </x:c>
      <x:c r="S85" s="42" t="str">
        <x:v>発泡性ワイン</x:v>
      </x:c>
      <x:c r="T85" s="42" t="str"/>
      <x:c r="U85" s="42" t="str"/>
      <x:c r="V85" s="42" t="str"/>
      <x:c r="W85" s="42" t="str">
        <x:v>因果説明</x:v>
      </x:c>
      <x:c r="X85" s="53" t="str">
        <x:v>D2</x:v>
      </x:c>
      <x:c r="Y85" s="42" t="str">
        <x:v>冷却=脱アルコール; 冷却=炭酸消失</x:v>
      </x:c>
      <x:c r="Z85" s="53" t="str">
        <x:v>N</x:v>
      </x:c>
      <x:c r="AA85" s="42" t="str"/>
      <x:c r="AB85" s="42" t="str">
        <x:v>オリジナル</x:v>
      </x:c>
      <x:c r="AC85" s="42" t="str">
        <x:v>公式Specificationの範囲＋ユーザー作成コーパスの論点を参考に独自作成</x:v>
      </x:c>
      <x:c r="AD85" s="53" t="str">
        <x:v>未レビュー</x:v>
      </x:c>
      <x:c r="AE85" s="53" t="str"/>
      <x:c r="AF85" s="53" t="str"/>
      <x:c r="AG85" s="43" t="str"/>
    </x:row>
    <x:row r="86" ht="84" customHeight="1">
      <x:c r="A86" s="41" t="str">
        <x:v>LO5-005</x:v>
      </x:c>
      <x:c r="B86" s="53" t="str">
        <x:v>LO5</x:v>
      </x:c>
      <x:c r="C86" s="42" t="str">
        <x:v>情報提供・推奨・保管・サービス</x:v>
      </x:c>
      <x:c r="D86" s="42" t="str">
        <x:v>赤ワインのサービス温度</x:v>
      </x:c>
      <x:c r="E86" s="42" t="str">
        <x:v>フルボディで高アルコールの赤ワインを過度に高い温度でサービスした場合、最も起こりやすいことはどれか。</x:v>
      </x:c>
      <x:c r="F86" s="42" t="str">
        <x:v>アルコールの刺激が目立ち、ワインが重く締まりなく感じられる</x:v>
      </x:c>
      <x:c r="G86" s="42" t="str">
        <x:v>高温でタンニンが沈殿し、口当たりが軽くなる</x:v>
      </x:c>
      <x:c r="H86" s="42" t="str">
        <x:v>酸の量が増え、実際の総酸度が大きく上昇する</x:v>
      </x:c>
      <x:c r="I86" s="42" t="str">
        <x:v>高温で残糖の発酵が再開し、辛口になる</x:v>
      </x:c>
      <x:c r="J86" s="53" t="str">
        <x:v>A</x:v>
      </x:c>
      <x:c r="K86" s="42" t="str">
        <x:v>アルコールの刺激が目立ち、ワインが重く締まりなく感じられる</x:v>
      </x:c>
      <x:c r="L86" s="42" t="str">
        <x:v>高温ではアルコールの揮発と知覚が強まり、鮮度が弱く感じられる。</x:v>
      </x:c>
      <x:c r="M86" s="42" t="str">
        <x:v>正しい。 高温ではアルコールの揮発と知覚が強まり、鮮度が弱く感じられる。</x:v>
      </x:c>
      <x:c r="N86" s="42" t="str">
        <x:v>誤り。 サービス温度でタンニンが急速に沈殿して消えるわけではない。</x:v>
      </x:c>
      <x:c r="O86" s="42" t="str">
        <x:v>誤り。 温度は知覚を変えるが、酸の量を増加させない。</x:v>
      </x:c>
      <x:c r="P86" s="42" t="str">
        <x:v>誤り。 サービス中に発酵が直ちに再開するわけではなく、主要な影響は知覚上のアルコール感である。</x:v>
      </x:c>
      <x:c r="Q86" s="42" t="str">
        <x:v>保管・サービス</x:v>
      </x:c>
      <x:c r="R86" s="42" t="str">
        <x:v>サービス温度</x:v>
      </x:c>
      <x:c r="S86" s="42" t="str">
        <x:v>赤非発泡性ワイン</x:v>
      </x:c>
      <x:c r="T86" s="42" t="str"/>
      <x:c r="U86" s="42" t="str"/>
      <x:c r="V86" s="42" t="str"/>
      <x:c r="W86" s="42" t="str">
        <x:v>適用</x:v>
      </x:c>
      <x:c r="X86" s="53" t="str">
        <x:v>D2</x:v>
      </x:c>
      <x:c r="Y86" s="42" t="str">
        <x:v>高温=タンニン消失; 高温=酸度増加</x:v>
      </x:c>
      <x:c r="Z86" s="53" t="str">
        <x:v>N</x:v>
      </x:c>
      <x:c r="AA86" s="42" t="str"/>
      <x:c r="AB86" s="42" t="str">
        <x:v>オリジナル</x:v>
      </x:c>
      <x:c r="AC86" s="42" t="str">
        <x:v>公式Specificationの範囲＋ユーザー作成コーパスの論点を参考に独自作成</x:v>
      </x:c>
      <x:c r="AD86" s="53" t="str">
        <x:v>未レビュー</x:v>
      </x:c>
      <x:c r="AE86" s="53" t="str"/>
      <x:c r="AF86" s="53" t="str"/>
      <x:c r="AG86" s="43" t="str"/>
    </x:row>
    <x:row r="87" ht="84" customHeight="1">
      <x:c r="A87" s="41" t="str">
        <x:v>LO5-006</x:v>
      </x:c>
      <x:c r="B87" s="53" t="str">
        <x:v>LO5</x:v>
      </x:c>
      <x:c r="C87" s="42" t="str">
        <x:v>情報提供・推奨・保管・サービス</x:v>
      </x:c>
      <x:c r="D87" s="42" t="str">
        <x:v>若い赤ワインのデカンティング</x:v>
      </x:c>
      <x:c r="E87" s="42" t="str">
        <x:v>若く、タンニンが高く、香りが閉じている赤ワインをデカンティングする主な目的はどれか。</x:v>
      </x:c>
      <x:c r="F87" s="42" t="str">
        <x:v>熟成中に生じる沈殿を増やし、ボトル底へ集めるため</x:v>
      </x:c>
      <x:c r="G87" s="42" t="str">
        <x:v>空気との接触を増やし、香りを開かせ、口当たりをやや柔らかく感じさせるため</x:v>
      </x:c>
      <x:c r="H87" s="42" t="str">
        <x:v>揮発によってアルコール度を大きく下げるため</x:v>
      </x:c>
      <x:c r="I87" s="42" t="str">
        <x:v>炭酸ガスを取り込ませ、発泡性の口当たりに変えるため</x:v>
      </x:c>
      <x:c r="J87" s="53" t="str">
        <x:v>B</x:v>
      </x:c>
      <x:c r="K87" s="42" t="str">
        <x:v>空気との接触を増やし、香りを開かせ、口当たりをやや柔らかく感じさせるため</x:v>
      </x:c>
      <x:c r="L87" s="42" t="str">
        <x:v>酸素接触により香りが表れやすくなり、若い構造が調和して感じられることがある。</x:v>
      </x:c>
      <x:c r="M87" s="42" t="str">
        <x:v>誤り。 若いワインでは沈殿除去より、空気接触による香りの開放が主目的となることが多い。</x:v>
      </x:c>
      <x:c r="N87" s="42" t="str">
        <x:v>正しい。 酸素接触により香りが表れやすくなり、若い構造が調和して感じられることがある。</x:v>
      </x:c>
      <x:c r="O87" s="42" t="str">
        <x:v>誤り。 通常のデカンティングでアルコール度は大きく下がらない。</x:v>
      </x:c>
      <x:c r="P87" s="42" t="str">
        <x:v>誤り。 空気との接触で持続的な発泡性は得られない。</x:v>
      </x:c>
      <x:c r="Q87" s="42" t="str">
        <x:v>保管・サービス</x:v>
      </x:c>
      <x:c r="R87" s="42" t="str">
        <x:v>デカンティング</x:v>
      </x:c>
      <x:c r="S87" s="42" t="str">
        <x:v>赤非発泡性ワイン</x:v>
      </x:c>
      <x:c r="T87" s="42" t="str"/>
      <x:c r="U87" s="42" t="str"/>
      <x:c r="V87" s="42" t="str"/>
      <x:c r="W87" s="42" t="str">
        <x:v>因果説明</x:v>
      </x:c>
      <x:c r="X87" s="53" t="str">
        <x:v>D1</x:v>
      </x:c>
      <x:c r="Y87" s="42" t="str">
        <x:v>若いワインのデカント=沈殿増加; デカント=脱アルコール</x:v>
      </x:c>
      <x:c r="Z87" s="53" t="str">
        <x:v>N</x:v>
      </x:c>
      <x:c r="AA87" s="42" t="str"/>
      <x:c r="AB87" s="42" t="str">
        <x:v>オリジナル</x:v>
      </x:c>
      <x:c r="AC87" s="42" t="str">
        <x:v>公式Specificationの範囲＋ユーザー作成コーパスの論点を参考に独自作成</x:v>
      </x:c>
      <x:c r="AD87" s="53" t="str">
        <x:v>未レビュー</x:v>
      </x:c>
      <x:c r="AE87" s="53" t="str"/>
      <x:c r="AF87" s="53" t="str"/>
      <x:c r="AG87" s="43" t="str"/>
    </x:row>
    <x:row r="88" ht="84" customHeight="1">
      <x:c r="A88" s="41" t="str">
        <x:v>LO5-007</x:v>
      </x:c>
      <x:c r="B88" s="53" t="str">
        <x:v>LO5</x:v>
      </x:c>
      <x:c r="C88" s="42" t="str">
        <x:v>情報提供・推奨・保管・サービス</x:v>
      </x:c>
      <x:c r="D88" s="42" t="str">
        <x:v>熟成ワインのデカンティング</x:v>
      </x:c>
      <x:c r="E88" s="42" t="str">
        <x:v>熟成した赤ワインをデカンティングする際に特に注意すべきことはどれか。</x:v>
      </x:c>
      <x:c r="F88" s="42" t="str">
        <x:v>できるだけ激しく振って空気を多く混ぜる</x:v>
      </x:c>
      <x:c r="G88" s="42" t="str">
        <x:v>ボトルを冷凍し、沈殿を氷とともに瓶口から取り除く</x:v>
      </x:c>
      <x:c r="H88" s="42" t="str">
        <x:v>沈殿をボトルに残しつつ、過度な酸素接触を避けて静かに移す</x:v>
      </x:c>
      <x:c r="I88" s="42" t="str">
        <x:v>発泡性ワイン用の栓を取り付け、沈殿を瓶内圧で押し出す</x:v>
      </x:c>
      <x:c r="J88" s="53" t="str">
        <x:v>C</x:v>
      </x:c>
      <x:c r="K88" s="42" t="str">
        <x:v>沈殿をボトルに残しつつ、過度な酸素接触を避けて静かに移す</x:v>
      </x:c>
      <x:c r="L88" s="42" t="str">
        <x:v>主目的は沈殿分離であり、ワインの繊細さを保つ必要がある。</x:v>
      </x:c>
      <x:c r="M88" s="42" t="str">
        <x:v>誤り。 熟成ワインは酸素に弱く、過度な攪拌で急速に衰える可能性がある。</x:v>
      </x:c>
      <x:c r="N88" s="42" t="str">
        <x:v>誤り。 これは発泡性ワインのデゴルジュマンに近く、熟成赤ワインの沈殿除去には適さない。</x:v>
      </x:c>
      <x:c r="O88" s="42" t="str">
        <x:v>正しい。 主目的は沈殿分離であり、ワインの繊細さを保つ必要がある。</x:v>
      </x:c>
      <x:c r="P88" s="42" t="str">
        <x:v>誤り。 熟成赤ワインのデカンティングとは関係がない。</x:v>
      </x:c>
      <x:c r="Q88" s="42" t="str">
        <x:v>保管・サービス</x:v>
      </x:c>
      <x:c r="R88" s="42" t="str">
        <x:v>熟成ワイン・沈殿</x:v>
      </x:c>
      <x:c r="S88" s="42" t="str">
        <x:v>赤非発泡性ワイン</x:v>
      </x:c>
      <x:c r="T88" s="42" t="str"/>
      <x:c r="U88" s="42" t="str"/>
      <x:c r="V88" s="42" t="str"/>
      <x:c r="W88" s="42" t="str">
        <x:v>適用</x:v>
      </x:c>
      <x:c r="X88" s="53" t="str">
        <x:v>D2</x:v>
      </x:c>
      <x:c r="Y88" s="42" t="str">
        <x:v>熟成ワイン=激しく空気接触; 沈殿=凍結除去</x:v>
      </x:c>
      <x:c r="Z88" s="53" t="str">
        <x:v>N</x:v>
      </x:c>
      <x:c r="AA88" s="42" t="str"/>
      <x:c r="AB88" s="42" t="str">
        <x:v>オリジナル</x:v>
      </x:c>
      <x:c r="AC88" s="42" t="str">
        <x:v>公式Specificationの範囲＋ユーザー作成コーパスの論点を参考に独自作成</x:v>
      </x:c>
      <x:c r="AD88" s="53" t="str">
        <x:v>未レビュー</x:v>
      </x:c>
      <x:c r="AE88" s="53" t="str"/>
      <x:c r="AF88" s="53" t="str"/>
      <x:c r="AG88" s="43" t="str"/>
    </x:row>
    <x:row r="89" ht="84" customHeight="1">
      <x:c r="A89" s="41" t="str">
        <x:v>LO5-008</x:v>
      </x:c>
      <x:c r="B89" s="53" t="str">
        <x:v>LO5</x:v>
      </x:c>
      <x:c r="C89" s="42" t="str">
        <x:v>情報提供・推奨・保管・サービス</x:v>
      </x:c>
      <x:c r="D89" s="42" t="str">
        <x:v>サービス順序</x:v>
      </x:c>
      <x:c r="E89" s="42" t="str">
        <x:v>複数のワインを同じ食事でサービスする一般的な順序として最も適切なものはどれか。</x:v>
      </x:c>
      <x:c r="F89" s="42" t="str">
        <x:v>甘口から辛口、フルボディからライトボディ</x:v>
      </x:c>
      <x:c r="G89" s="42" t="str">
        <x:v>赤ワインを白ワインより先に出し、色の濃い順に進める</x:v>
      </x:c>
      <x:c r="H89" s="42" t="str">
        <x:v>最も高価なワインから安価なワイン</x:v>
      </x:c>
      <x:c r="I89" s="42" t="str">
        <x:v>辛口から甘口、ライトボディからフルボディ、繊細なものから風味の強いもの</x:v>
      </x:c>
      <x:c r="J89" s="53" t="str">
        <x:v>D</x:v>
      </x:c>
      <x:c r="K89" s="42" t="str">
        <x:v>辛口から甘口、ライトボディからフルボディ、繊細なものから風味の強いもの</x:v>
      </x:c>
      <x:c r="L89" s="42" t="str">
        <x:v>後のワインが前のワインを圧倒しにくい順序である。</x:v>
      </x:c>
      <x:c r="M89" s="42" t="str">
        <x:v>誤り。 先に強い甘味やボディを味わうと、その後の繊細なワインが弱く感じられる。</x:v>
      </x:c>
      <x:c r="N89" s="42" t="str">
        <x:v>誤り。 色だけで固定するのではなく、甘味、ボディ、風味の強さも考慮する。</x:v>
      </x:c>
      <x:c r="O89" s="42" t="str">
        <x:v>誤り。 価格は感覚疲労を防ぐ順序の主要基準ではない。</x:v>
      </x:c>
      <x:c r="P89" s="42" t="str">
        <x:v>正しい。 後のワインが前のワインを圧倒しにくい順序である。</x:v>
      </x:c>
      <x:c r="Q89" s="42" t="str">
        <x:v>保管・サービス</x:v>
      </x:c>
      <x:c r="R89" s="42" t="str">
        <x:v>サービス順序</x:v>
      </x:c>
      <x:c r="S89" s="42" t="str">
        <x:v>全般</x:v>
      </x:c>
      <x:c r="T89" s="42" t="str"/>
      <x:c r="U89" s="42" t="str"/>
      <x:c r="V89" s="42" t="str"/>
      <x:c r="W89" s="42" t="str">
        <x:v>判断</x:v>
      </x:c>
      <x:c r="X89" s="53" t="str">
        <x:v>D2</x:v>
      </x:c>
      <x:c r="Y89" s="42" t="str">
        <x:v>色だけで順序固定; 価格順</x:v>
      </x:c>
      <x:c r="Z89" s="53" t="str">
        <x:v>N</x:v>
      </x:c>
      <x:c r="AA89" s="42" t="str"/>
      <x:c r="AB89" s="42" t="str">
        <x:v>オリジナル</x:v>
      </x:c>
      <x:c r="AC89" s="42" t="str">
        <x:v>公式Specificationの範囲＋ユーザー作成コーパスの論点を参考に独自作成</x:v>
      </x:c>
      <x:c r="AD89" s="53" t="str">
        <x:v>未レビュー</x:v>
      </x:c>
      <x:c r="AE89" s="53" t="str"/>
      <x:c r="AF89" s="53" t="str"/>
      <x:c r="AG89" s="43" t="str"/>
    </x:row>
    <x:row r="90" ht="84" customHeight="1">
      <x:c r="A90" s="41" t="str">
        <x:v>LO5-009</x:v>
      </x:c>
      <x:c r="B90" s="53" t="str">
        <x:v>LO5</x:v>
      </x:c>
      <x:c r="C90" s="42" t="str">
        <x:v>情報提供・推奨・保管・サービス</x:v>
      </x:c>
      <x:c r="D90" s="42" t="str">
        <x:v>ワインの推奨</x:v>
      </x:c>
      <x:c r="E90" s="42" t="str">
        <x:v>顧客にワインを推奨する際、最初に確認すべき情報の組み合わせとして最も適切なものはどれか。</x:v>
      </x:c>
      <x:c r="F90" s="42" t="str">
        <x:v>生産者のSNSフォロワー数とボトル重量だけ</x:v>
      </x:c>
      <x:c r="G90" s="42" t="str">
        <x:v>予算、好みのスタイル、料理、オケージョン</x:v>
      </x:c>
      <x:c r="H90" s="42" t="str">
        <x:v>ラベルの色とボトルの形だけ</x:v>
      </x:c>
      <x:c r="I90" s="42" t="str">
        <x:v>アルコール度が最も高いワインかどうかだけ</x:v>
      </x:c>
      <x:c r="J90" s="53" t="str">
        <x:v>B</x:v>
      </x:c>
      <x:c r="K90" s="42" t="str">
        <x:v>予算、好みのスタイル、料理、オケージョン</x:v>
      </x:c>
      <x:c r="L90" s="42" t="str">
        <x:v>価格、味覚、料理との相性、利用目的を確認することで適切な選択肢を絞れる。</x:v>
      </x:c>
      <x:c r="M90" s="42" t="str">
        <x:v>誤り。 顧客の目的や嗜好を把握できない。</x:v>
      </x:c>
      <x:c r="N90" s="42" t="str">
        <x:v>正しい。 価格、味覚、料理との相性、利用目的を確認することで適切な選択肢を絞れる。</x:v>
      </x:c>
      <x:c r="O90" s="42" t="str">
        <x:v>誤り。 外観は中身のスタイルや適合性を十分に示さない。</x:v>
      </x:c>
      <x:c r="P90" s="42" t="str">
        <x:v>誤り。 一つの要素だけでは顧客の要望に合う推奨にならない。</x:v>
      </x:c>
      <x:c r="Q90" s="42" t="str">
        <x:v>情報提供・推奨</x:v>
      </x:c>
      <x:c r="R90" s="42" t="str">
        <x:v>顧客ニーズ</x:v>
      </x:c>
      <x:c r="S90" s="42" t="str">
        <x:v>全般</x:v>
      </x:c>
      <x:c r="T90" s="42" t="str"/>
      <x:c r="U90" s="42" t="str"/>
      <x:c r="V90" s="42" t="str"/>
      <x:c r="W90" s="42" t="str">
        <x:v>判断</x:v>
      </x:c>
      <x:c r="X90" s="53" t="str">
        <x:v>D1</x:v>
      </x:c>
      <x:c r="Y90" s="42" t="str">
        <x:v>推奨=見た目; 推奨=高アルコール優先</x:v>
      </x:c>
      <x:c r="Z90" s="53" t="str">
        <x:v>N</x:v>
      </x:c>
      <x:c r="AA90" s="42" t="str"/>
      <x:c r="AB90" s="42" t="str">
        <x:v>オリジナル</x:v>
      </x:c>
      <x:c r="AC90" s="42" t="str">
        <x:v>公式Specificationの範囲＋ユーザー作成コーパスの論点を参考に独自作成</x:v>
      </x:c>
      <x:c r="AD90" s="53" t="str">
        <x:v>未レビュー</x:v>
      </x:c>
      <x:c r="AE90" s="53" t="str"/>
      <x:c r="AF90" s="53" t="str"/>
      <x:c r="AG90" s="43" t="str"/>
    </x:row>
    <x:row r="91" ht="84" customHeight="1">
      <x:c r="A91" s="41" t="str">
        <x:v>LO5-010</x:v>
      </x:c>
      <x:c r="B91" s="53" t="str">
        <x:v>LO5</x:v>
      </x:c>
      <x:c r="C91" s="42" t="str">
        <x:v>情報提供・推奨・保管・サービス</x:v>
      </x:c>
      <x:c r="D91" s="42" t="str">
        <x:v>コルク汚染</x:v>
      </x:c>
      <x:c r="E91" s="42" t="str">
        <x:v>コルク汚染を受けたワインに最も典型的な特徴はどれか。</x:v>
      </x:c>
      <x:c r="F91" s="42" t="str">
        <x:v>強い酢や除光液のような香り</x:v>
      </x:c>
      <x:c r="G91" s="42" t="str">
        <x:v>ゆで卵や排水口のような香り</x:v>
      </x:c>
      <x:c r="H91" s="42" t="str">
        <x:v>湿った段ボール、かびた布のような香りと、果実香の減少</x:v>
      </x:c>
      <x:c r="I91" s="42" t="str">
        <x:v>シェリーのようなナッツ香と褐色化だけ</x:v>
      </x:c>
      <x:c r="J91" s="53" t="str">
        <x:v>C</x:v>
      </x:c>
      <x:c r="K91" s="42" t="str">
        <x:v>湿った段ボール、かびた布のような香りと、果実香の減少</x:v>
      </x:c>
      <x:c r="L91" s="42" t="str">
        <x:v>TCAなどにより香りが抑えられ、かび臭い特徴が生じる。</x:v>
      </x:c>
      <x:c r="M91" s="42" t="str">
        <x:v>誤り。 これは高い揮発性の酸や酢酸エチルに関連しやすい。</x:v>
      </x:c>
      <x:c r="N91" s="42" t="str">
        <x:v>誤り。 これは還元に関連しやすい。</x:v>
      </x:c>
      <x:c r="O91" s="42" t="str">
        <x:v>正しい。 TCAなどにより香りが抑えられ、かび臭い特徴が生じる。</x:v>
      </x:c>
      <x:c r="P91" s="42" t="str">
        <x:v>誤り。 これは酸化の特徴に近い。</x:v>
      </x:c>
      <x:c r="Q91" s="42" t="str">
        <x:v>欠陥</x:v>
      </x:c>
      <x:c r="R91" s="42" t="str">
        <x:v>コルク汚染</x:v>
      </x:c>
      <x:c r="S91" s="42" t="str">
        <x:v>全般</x:v>
      </x:c>
      <x:c r="T91" s="42" t="str"/>
      <x:c r="U91" s="42" t="str"/>
      <x:c r="V91" s="42" t="str"/>
      <x:c r="W91" s="42" t="str">
        <x:v>知識確認</x:v>
      </x:c>
      <x:c r="X91" s="53" t="str">
        <x:v>D1</x:v>
      </x:c>
      <x:c r="Y91" s="42" t="str">
        <x:v>TCA=揮発酸; TCA=還元</x:v>
      </x:c>
      <x:c r="Z91" s="53" t="str">
        <x:v>N</x:v>
      </x:c>
      <x:c r="AA91" s="42" t="str"/>
      <x:c r="AB91" s="42" t="str">
        <x:v>オリジナル</x:v>
      </x:c>
      <x:c r="AC91" s="42" t="str">
        <x:v>公式Specificationの範囲＋ユーザー作成コーパスの論点を参考に独自作成</x:v>
      </x:c>
      <x:c r="AD91" s="53" t="str">
        <x:v>未レビュー</x:v>
      </x:c>
      <x:c r="AE91" s="53" t="str"/>
      <x:c r="AF91" s="53" t="str"/>
      <x:c r="AG91" s="43" t="str"/>
    </x:row>
    <x:row r="92" ht="84" customHeight="1">
      <x:c r="A92" s="41" t="str">
        <x:v>LO5-011</x:v>
      </x:c>
      <x:c r="B92" s="53" t="str">
        <x:v>LO5</x:v>
      </x:c>
      <x:c r="C92" s="42" t="str">
        <x:v>情報提供・推奨・保管・サービス</x:v>
      </x:c>
      <x:c r="D92" s="42" t="str">
        <x:v>酸化</x:v>
      </x:c>
      <x:c r="E92" s="42" t="str">
        <x:v>本来若々しくフレッシュであるべき白ワインが酸化した場合に最も起こりやすい変化はどれか。</x:v>
      </x:c>
      <x:c r="F92" s="42" t="str">
        <x:v>色が淡くなり、若い柑橘や青リンゴの香りが強まる</x:v>
      </x:c>
      <x:c r="G92" s="42" t="str">
        <x:v>残糖が再発酵し、炭酸ガスによる泡が生じる</x:v>
      </x:c>
      <x:c r="H92" s="42" t="str">
        <x:v>果皮由来のタンニンが増え、渋味が強くなる</x:v>
      </x:c>
      <x:c r="I92" s="42" t="str">
        <x:v>色が褐色方向へ濃くなり、リンゴの傷んだ部分やナッツを思わせる香りが出る</x:v>
      </x:c>
      <x:c r="J92" s="53" t="str">
        <x:v>D</x:v>
      </x:c>
      <x:c r="K92" s="42" t="str">
        <x:v>色が褐色方向へ濃くなり、リンゴの傷んだ部分やナッツを思わせる香りが出る</x:v>
      </x:c>
      <x:c r="L92" s="42" t="str">
        <x:v>酸素により色と香りが変化し、鮮度が失われる。</x:v>
      </x:c>
      <x:c r="M92" s="42" t="str">
        <x:v>誤り。 酸化では一般に色が濃くなり、フレッシュな果実香が失われる。</x:v>
      </x:c>
      <x:c r="N92" s="42" t="str">
        <x:v>誤り。 酸化で二次発酵が起こるわけではない。</x:v>
      </x:c>
      <x:c r="O92" s="42" t="str">
        <x:v>誤り。 白ワインのタンニンが酸化で大量に増えるわけではない。</x:v>
      </x:c>
      <x:c r="P92" s="42" t="str">
        <x:v>正しい。 酸素により色と香りが変化し、鮮度が失われる。</x:v>
      </x:c>
      <x:c r="Q92" s="42" t="str">
        <x:v>欠陥</x:v>
      </x:c>
      <x:c r="R92" s="42" t="str">
        <x:v>酸化</x:v>
      </x:c>
      <x:c r="S92" s="42" t="str">
        <x:v>白非発泡性ワイン</x:v>
      </x:c>
      <x:c r="T92" s="42" t="str"/>
      <x:c r="U92" s="42" t="str"/>
      <x:c r="V92" s="42" t="str"/>
      <x:c r="W92" s="42" t="str">
        <x:v>知識確認</x:v>
      </x:c>
      <x:c r="X92" s="53" t="str">
        <x:v>D1</x:v>
      </x:c>
      <x:c r="Y92" s="42" t="str">
        <x:v>酸化=色淡化; 酸化=発泡</x:v>
      </x:c>
      <x:c r="Z92" s="53" t="str">
        <x:v>N</x:v>
      </x:c>
      <x:c r="AA92" s="42" t="str"/>
      <x:c r="AB92" s="42" t="str">
        <x:v>オリジナル</x:v>
      </x:c>
      <x:c r="AC92" s="42" t="str">
        <x:v>公式Specificationの範囲＋ユーザー作成コーパスの論点を参考に独自作成</x:v>
      </x:c>
      <x:c r="AD92" s="53" t="str">
        <x:v>未レビュー</x:v>
      </x:c>
      <x:c r="AE92" s="53" t="str"/>
      <x:c r="AF92" s="53" t="str"/>
      <x:c r="AG92" s="43" t="str"/>
    </x:row>
    <x:row r="93" ht="84" customHeight="1">
      <x:c r="A93" s="41" t="str">
        <x:v>LO5-012</x:v>
      </x:c>
      <x:c r="B93" s="53" t="str">
        <x:v>LO5</x:v>
      </x:c>
      <x:c r="C93" s="42" t="str">
        <x:v>情報提供・推奨・保管・サービス</x:v>
      </x:c>
      <x:c r="D93" s="42" t="str">
        <x:v>還元</x:v>
      </x:c>
      <x:c r="E93" s="42" t="str">
        <x:v>還元状態のワインに見られることがある香りはどれか。</x:v>
      </x:c>
      <x:c r="F93" s="42" t="str">
        <x:v>硫化水素を思わせるゆで卵や下水のような香り</x:v>
      </x:c>
      <x:c r="G93" s="42" t="str">
        <x:v>新鮮なバラとライチだけ</x:v>
      </x:c>
      <x:c r="H93" s="42" t="str">
        <x:v>バニラとココナッツだけ</x:v>
      </x:c>
      <x:c r="I93" s="42" t="str">
        <x:v>湿った段ボールだけ</x:v>
      </x:c>
      <x:c r="J93" s="53" t="str">
        <x:v>A</x:v>
      </x:c>
      <x:c r="K93" s="42" t="str">
        <x:v>硫化水素を思わせるゆで卵や下水のような香り</x:v>
      </x:c>
      <x:c r="L93" s="42" t="str">
        <x:v>酸素が非常に少ない条件で硫黄化合物が蓄積すると生じることがある。</x:v>
      </x:c>
      <x:c r="M93" s="42" t="str">
        <x:v>正しい。 酸素が非常に少ない条件で硫黄化合物が蓄積すると生じることがある。</x:v>
      </x:c>
      <x:c r="N93" s="42" t="str">
        <x:v>誤り。 これは芳香性品種の品種香として現れることがある。</x:v>
      </x:c>
      <x:c r="O93" s="42" t="str">
        <x:v>誤り。 主にオーク由来の風味である。</x:v>
      </x:c>
      <x:c r="P93" s="42" t="str">
        <x:v>誤り。 主にコルク汚染に関連する。</x:v>
      </x:c>
      <x:c r="Q93" s="42" t="str">
        <x:v>欠陥</x:v>
      </x:c>
      <x:c r="R93" s="42" t="str">
        <x:v>還元</x:v>
      </x:c>
      <x:c r="S93" s="42" t="str">
        <x:v>全般</x:v>
      </x:c>
      <x:c r="T93" s="42" t="str"/>
      <x:c r="U93" s="42" t="str"/>
      <x:c r="V93" s="42" t="str"/>
      <x:c r="W93" s="42" t="str">
        <x:v>知識確認</x:v>
      </x:c>
      <x:c r="X93" s="53" t="str">
        <x:v>D1</x:v>
      </x:c>
      <x:c r="Y93" s="42" t="str">
        <x:v>還元=TCA; 還元=オーク香</x:v>
      </x:c>
      <x:c r="Z93" s="53" t="str">
        <x:v>N</x:v>
      </x:c>
      <x:c r="AA93" s="42" t="str"/>
      <x:c r="AB93" s="42" t="str">
        <x:v>オリジナル</x:v>
      </x:c>
      <x:c r="AC93" s="42" t="str">
        <x:v>公式Specificationの範囲＋ユーザー作成コーパスの論点を参考に独自作成</x:v>
      </x:c>
      <x:c r="AD93" s="53" t="str">
        <x:v>未レビュー</x:v>
      </x:c>
      <x:c r="AE93" s="53" t="str"/>
      <x:c r="AF93" s="53" t="str"/>
      <x:c r="AG93" s="43" t="str"/>
    </x:row>
    <x:row r="94" ht="84" customHeight="1">
      <x:c r="A94" s="41" t="str">
        <x:v>LO5-013</x:v>
      </x:c>
      <x:c r="B94" s="53" t="str">
        <x:v>LO5</x:v>
      </x:c>
      <x:c r="C94" s="42" t="str">
        <x:v>情報提供・推奨・保管・サービス</x:v>
      </x:c>
      <x:c r="D94" s="42" t="str">
        <x:v>揮発性の酸</x:v>
      </x:c>
      <x:c r="E94" s="42" t="str">
        <x:v>高濃度の揮発性の酸が欠陥として認識される場合、最も典型的な香りはどれか。</x:v>
      </x:c>
      <x:c r="F94" s="42" t="str">
        <x:v>バターやクリーム</x:v>
      </x:c>
      <x:c r="G94" s="42" t="str">
        <x:v>酢や除光液を思わせる刺激的な香り</x:v>
      </x:c>
      <x:c r="H94" s="42" t="str">
        <x:v>濡れた羊毛や灯油</x:v>
      </x:c>
      <x:c r="I94" s="42" t="str">
        <x:v>トーストやブリオッシュ</x:v>
      </x:c>
      <x:c r="J94" s="53" t="str">
        <x:v>B</x:v>
      </x:c>
      <x:c r="K94" s="42" t="str">
        <x:v>酢や除光液を思わせる刺激的な香り</x:v>
      </x:c>
      <x:c r="L94" s="42" t="str">
        <x:v>酢酸や酢酸エチルが高濃度になると、ワインの果実味を圧倒する。</x:v>
      </x:c>
      <x:c r="M94" s="42" t="str">
        <x:v>誤り。 ジアセチルやMLFに関連しやすい。</x:v>
      </x:c>
      <x:c r="N94" s="42" t="str">
        <x:v>正しい。 酢酸や酢酸エチルが高濃度になると、ワインの果実味を圧倒する。</x:v>
      </x:c>
      <x:c r="O94" s="42" t="str">
        <x:v>誤り。 品種や熟成に由来する場合があり、揮発性の酸の典型ではない。</x:v>
      </x:c>
      <x:c r="P94" s="42" t="str">
        <x:v>誤り。 澱の自己分解やオークに関連しやすい。</x:v>
      </x:c>
      <x:c r="Q94" s="42" t="str">
        <x:v>欠陥</x:v>
      </x:c>
      <x:c r="R94" s="42" t="str">
        <x:v>揮発性の酸</x:v>
      </x:c>
      <x:c r="S94" s="42" t="str">
        <x:v>全般</x:v>
      </x:c>
      <x:c r="T94" s="42" t="str"/>
      <x:c r="U94" s="42" t="str"/>
      <x:c r="V94" s="42" t="str"/>
      <x:c r="W94" s="42" t="str">
        <x:v>知識確認</x:v>
      </x:c>
      <x:c r="X94" s="53" t="str">
        <x:v>D1</x:v>
      </x:c>
      <x:c r="Y94" s="42" t="str">
        <x:v>揮発酸=MLF香; 揮発酸=自己分解香</x:v>
      </x:c>
      <x:c r="Z94" s="53" t="str">
        <x:v>N</x:v>
      </x:c>
      <x:c r="AA94" s="42" t="str"/>
      <x:c r="AB94" s="42" t="str">
        <x:v>オリジナル</x:v>
      </x:c>
      <x:c r="AC94" s="42" t="str">
        <x:v>公式Specificationの範囲＋ユーザー作成コーパスの論点を参考に独自作成</x:v>
      </x:c>
      <x:c r="AD94" s="53" t="str">
        <x:v>未レビュー</x:v>
      </x:c>
      <x:c r="AE94" s="53" t="str"/>
      <x:c r="AF94" s="53" t="str"/>
      <x:c r="AG94" s="43" t="str"/>
    </x:row>
    <x:row r="95" ht="84" customHeight="1">
      <x:c r="A95" s="41" t="str">
        <x:v>LO5-014</x:v>
      </x:c>
      <x:c r="B95" s="53" t="str">
        <x:v>LO5</x:v>
      </x:c>
      <x:c r="C95" s="42" t="str">
        <x:v>情報提供・推奨・保管・サービス</x:v>
      </x:c>
      <x:c r="D95" s="42" t="str">
        <x:v>ブレタノマイセス</x:v>
      </x:c>
      <x:c r="E95" s="42" t="str">
        <x:v>ブレタノマイセスが高濃度で欠陥とみなされる場合に現れやすい特徴はどれか。</x:v>
      </x:c>
      <x:c r="F95" s="42" t="str">
        <x:v>新鮮な柑橘と花の香り</x:v>
      </x:c>
      <x:c r="G95" s="42" t="str">
        <x:v>高い発泡性と低アルコール</x:v>
      </x:c>
      <x:c r="H95" s="42" t="str">
        <x:v>馬小屋、革、薬品を思わせる香りと果実味の減少</x:v>
      </x:c>
      <x:c r="I95" s="42" t="str">
        <x:v>糖を生成して甘味を増やし、酸味を弱める</x:v>
      </x:c>
      <x:c r="J95" s="53" t="str">
        <x:v>C</x:v>
      </x:c>
      <x:c r="K95" s="42" t="str">
        <x:v>馬小屋、革、薬品を思わせる香りと果実味の減少</x:v>
      </x:c>
      <x:c r="L95" s="42" t="str">
        <x:v>一部では複雑さと感じられても、高濃度では果実味を覆い欠陥となる。</x:v>
      </x:c>
      <x:c r="M95" s="42" t="str">
        <x:v>誤り。 ブレタノマイセスの典型ではない。</x:v>
      </x:c>
      <x:c r="N95" s="42" t="str">
        <x:v>誤り。 発泡性やアルコール度を直接説明しない。</x:v>
      </x:c>
      <x:c r="O95" s="42" t="str">
        <x:v>正しい。 一部では複雑さと感じられても、高濃度では果実味を覆い欠陥となる。</x:v>
      </x:c>
      <x:c r="P95" s="42" t="str">
        <x:v>誤り。 ブレタノマイセスが残糖を増やすわけではなく、高濃度では果実味を覆う香りが問題となる。</x:v>
      </x:c>
      <x:c r="Q95" s="42" t="str">
        <x:v>欠陥</x:v>
      </x:c>
      <x:c r="R95" s="42" t="str">
        <x:v>ブレタノマイセス</x:v>
      </x:c>
      <x:c r="S95" s="42" t="str">
        <x:v>赤非発泡性ワイン</x:v>
      </x:c>
      <x:c r="T95" s="42" t="str"/>
      <x:c r="U95" s="42" t="str"/>
      <x:c r="V95" s="42" t="str"/>
      <x:c r="W95" s="42" t="str">
        <x:v>知識確認</x:v>
      </x:c>
      <x:c r="X95" s="53" t="str">
        <x:v>D2</x:v>
      </x:c>
      <x:c r="Y95" s="42" t="str">
        <x:v>Brett=発泡; Brett=甘味増加</x:v>
      </x:c>
      <x:c r="Z95" s="53" t="str">
        <x:v>N</x:v>
      </x:c>
      <x:c r="AA95" s="42" t="str"/>
      <x:c r="AB95" s="42" t="str">
        <x:v>オリジナル</x:v>
      </x:c>
      <x:c r="AC95" s="42" t="str">
        <x:v>公式Specificationの範囲＋ユーザー作成コーパスの論点を参考に独自作成</x:v>
      </x:c>
      <x:c r="AD95" s="53" t="str">
        <x:v>未レビュー</x:v>
      </x:c>
      <x:c r="AE95" s="53" t="str"/>
      <x:c r="AF95" s="53" t="str"/>
      <x:c r="AG95" s="43" t="str"/>
    </x:row>
    <x:row r="96" ht="84" customHeight="1">
      <x:c r="A96" s="41" t="str">
        <x:v>LO5-015</x:v>
      </x:c>
      <x:c r="B96" s="53" t="str">
        <x:v>LO5</x:v>
      </x:c>
      <x:c r="C96" s="42" t="str">
        <x:v>情報提供・推奨・保管・サービス</x:v>
      </x:c>
      <x:c r="D96" s="42" t="str">
        <x:v>高濃度の亜硫酸</x:v>
      </x:c>
      <x:c r="E96" s="42" t="str">
        <x:v>ワイン中の亜硫酸が過度に高い場合に感じられることがある特徴はどれか。</x:v>
      </x:c>
      <x:c r="F96" s="42" t="str">
        <x:v>黒コショウと燻製肉を思わせるスパイス香</x:v>
      </x:c>
      <x:c r="G96" s="42" t="str">
        <x:v>湿った段ボールやかびた布を思わせる香り</x:v>
      </x:c>
      <x:c r="H96" s="42" t="str">
        <x:v>バニラ、クローブ、トーストを思わせる樽香</x:v>
      </x:c>
      <x:c r="I96" s="42" t="str">
        <x:v>刺激的で鼻を刺すような硫黄系の香り</x:v>
      </x:c>
      <x:c r="J96" s="53" t="str">
        <x:v>D</x:v>
      </x:c>
      <x:c r="K96" s="42" t="str">
        <x:v>刺激的で鼻を刺すような硫黄系の香り</x:v>
      </x:c>
      <x:c r="L96" s="42" t="str">
        <x:v>過剰な遊離亜硫酸は刺激的に感じられ、香りの評価を妨げることがある。</x:v>
      </x:c>
      <x:c r="M96" s="42" t="str">
        <x:v>誤り。 シラーなどの品種・醸造由来の特徴に近い。</x:v>
      </x:c>
      <x:c r="N96" s="42" t="str">
        <x:v>誤り。 コルク汚染に関連する。</x:v>
      </x:c>
      <x:c r="O96" s="42" t="str">
        <x:v>誤り。 オーク由来の特徴に近い。</x:v>
      </x:c>
      <x:c r="P96" s="42" t="str">
        <x:v>正しい。 過剰な遊離亜硫酸は刺激的に感じられ、香りの評価を妨げることがある。</x:v>
      </x:c>
      <x:c r="Q96" s="42" t="str">
        <x:v>欠陥</x:v>
      </x:c>
      <x:c r="R96" s="42" t="str">
        <x:v>高濃度の亜硫酸</x:v>
      </x:c>
      <x:c r="S96" s="42" t="str">
        <x:v>全般</x:v>
      </x:c>
      <x:c r="T96" s="42" t="str"/>
      <x:c r="U96" s="42" t="str"/>
      <x:c r="V96" s="42" t="str"/>
      <x:c r="W96" s="42" t="str">
        <x:v>知識確認</x:v>
      </x:c>
      <x:c r="X96" s="53" t="str">
        <x:v>D2</x:v>
      </x:c>
      <x:c r="Y96" s="42" t="str">
        <x:v>過剰SO2=TCA; 過剰SO2=オーク香</x:v>
      </x:c>
      <x:c r="Z96" s="53" t="str">
        <x:v>N</x:v>
      </x:c>
      <x:c r="AA96" s="42" t="str"/>
      <x:c r="AB96" s="42" t="str">
        <x:v>オリジナル</x:v>
      </x:c>
      <x:c r="AC96" s="42" t="str">
        <x:v>公式Specificationの範囲＋ユーザー作成コーパスの論点を参考に独自作成</x:v>
      </x:c>
      <x:c r="AD96" s="53" t="str">
        <x:v>未レビュー</x:v>
      </x:c>
      <x:c r="AE96" s="53" t="str"/>
      <x:c r="AF96" s="53" t="str"/>
      <x:c r="AG96" s="43" t="str"/>
    </x:row>
    <x:row r="97" ht="84" customHeight="1">
      <x:c r="A97" s="41" t="str">
        <x:v>LO5-016</x:v>
      </x:c>
      <x:c r="B97" s="53" t="str">
        <x:v>LO5</x:v>
      </x:c>
      <x:c r="C97" s="42" t="str">
        <x:v>情報提供・推奨・保管・サービス</x:v>
      </x:c>
      <x:c r="D97" s="42" t="str">
        <x:v>甘い料理との組み合わせ</x:v>
      </x:c>
      <x:c r="E97" s="42" t="str">
        <x:v>甘いデザートに合わせるワインを選ぶ際の基本原則として最も適切なものはどれか。</x:v>
      </x:c>
      <x:c r="F97" s="42" t="str">
        <x:v>ワインは料理と同程度か、それ以上に甘いものを選ぶ</x:v>
      </x:c>
      <x:c r="G97" s="42" t="str">
        <x:v>辛口で高タンニンの赤ワインを選び、料理の甘味を相殺する</x:v>
      </x:c>
      <x:c r="H97" s="42" t="str">
        <x:v>料理より甘味の低いワインを選び、後味を軽くする</x:v>
      </x:c>
      <x:c r="I97" s="42" t="str">
        <x:v>甘味を避けるため、ワインではなく水だけにする</x:v>
      </x:c>
      <x:c r="J97" s="53" t="str">
        <x:v>A</x:v>
      </x:c>
      <x:c r="K97" s="42" t="str">
        <x:v>ワインは料理と同程度か、それ以上に甘いものを選ぶ</x:v>
      </x:c>
      <x:c r="L97" s="42" t="str">
        <x:v>料理の方が甘いとワインが薄く、酸っぱく感じられやすい。</x:v>
      </x:c>
      <x:c r="M97" s="42" t="str">
        <x:v>正しい。 料理の方が甘いとワインが薄く、酸っぱく感じられやすい。</x:v>
      </x:c>
      <x:c r="N97" s="42" t="str">
        <x:v>誤り。 甘い料理はワインのタンニンや酸、アルコールを強く感じさせることがある。</x:v>
      </x:c>
      <x:c r="O97" s="42" t="str">
        <x:v>誤り。 料理の方が甘いとワインが薄く、酸っぱく感じられやすい。</x:v>
      </x:c>
      <x:c r="P97" s="42" t="str">
        <x:v>誤り。 水を選ぶことは可能だが、ワインの組み合わせ原則への回答ではない。</x:v>
      </x:c>
      <x:c r="Q97" s="42" t="str">
        <x:v>料理との組み合わせ</x:v>
      </x:c>
      <x:c r="R97" s="42" t="str">
        <x:v>甘味</x:v>
      </x:c>
      <x:c r="S97" s="42" t="str">
        <x:v>甘口ワイン</x:v>
      </x:c>
      <x:c r="T97" s="42" t="str"/>
      <x:c r="U97" s="42" t="str"/>
      <x:c r="V97" s="42" t="str"/>
      <x:c r="W97" s="42" t="str">
        <x:v>適用</x:v>
      </x:c>
      <x:c r="X97" s="53" t="str">
        <x:v>D1</x:v>
      </x:c>
      <x:c r="Y97" s="42" t="str">
        <x:v>甘い料理=辛口高タンニン; ワインは料理より甘くしない</x:v>
      </x:c>
      <x:c r="Z97" s="53" t="str">
        <x:v>N</x:v>
      </x:c>
      <x:c r="AA97" s="42" t="str"/>
      <x:c r="AB97" s="42" t="str">
        <x:v>オリジナル</x:v>
      </x:c>
      <x:c r="AC97" s="42" t="str">
        <x:v>公式Specificationの範囲＋ユーザー作成コーパスの論点を参考に独自作成</x:v>
      </x:c>
      <x:c r="AD97" s="53" t="str">
        <x:v>未レビュー</x:v>
      </x:c>
      <x:c r="AE97" s="53" t="str"/>
      <x:c r="AF97" s="53" t="str"/>
      <x:c r="AG97" s="43" t="str"/>
    </x:row>
    <x:row r="98" ht="84" customHeight="1">
      <x:c r="A98" s="41" t="str">
        <x:v>LO5-017</x:v>
      </x:c>
      <x:c r="B98" s="53" t="str">
        <x:v>LO5</x:v>
      </x:c>
      <x:c r="C98" s="42" t="str">
        <x:v>情報提供・推奨・保管・サービス</x:v>
      </x:c>
      <x:c r="D98" s="42" t="str">
        <x:v>酸味のある料理</x:v>
      </x:c>
      <x:c r="E98" s="42" t="str">
        <x:v>酸味の強い料理にワインを合わせる場合、高い酸を持つワインが適しやすい理由はどれか。</x:v>
      </x:c>
      <x:c r="F98" s="42" t="str">
        <x:v>料理の酸がワインのアルコールを化学的に除去するため</x:v>
      </x:c>
      <x:c r="G98" s="42" t="str">
        <x:v>料理の酸に負けず、ワインが平坦でぼやけて感じられるのを防ぎやすいため</x:v>
      </x:c>
      <x:c r="H98" s="42" t="str">
        <x:v>高い酸を持つワインは残糖も高く、料理の酸味を甘味で和らげるため</x:v>
      </x:c>
      <x:c r="I98" s="42" t="str">
        <x:v>ワインの酸がタンニンと反応し、苦味を除去するため</x:v>
      </x:c>
      <x:c r="J98" s="53" t="str">
        <x:v>B</x:v>
      </x:c>
      <x:c r="K98" s="42" t="str">
        <x:v>料理の酸に負けず、ワインが平坦でぼやけて感じられるのを防ぎやすいため</x:v>
      </x:c>
      <x:c r="L98" s="42" t="str">
        <x:v>料理の酸はワインの酸を相対的に弱く感じさせるため、十分な酸のあるワインがバランスを保ちやすい。</x:v>
      </x:c>
      <x:c r="M98" s="42" t="str">
        <x:v>誤り。 料理と合わせてもアルコールが化学的に除去されるわけではない。</x:v>
      </x:c>
      <x:c r="N98" s="42" t="str">
        <x:v>正しい。 料理の酸はワインの酸を相対的に弱く感じさせるため、十分な酸のあるワインがバランスを保ちやすい。</x:v>
      </x:c>
      <x:c r="O98" s="42" t="str">
        <x:v>誤り。 高酸でも辛口ワインは多く、相性の主因はワインの酸が料理に負けにくいことである。</x:v>
      </x:c>
      <x:c r="P98" s="42" t="str">
        <x:v>誤り。 酸とタンニンは別の構造要素で、酸味のある料理との相性を説明しない。</x:v>
      </x:c>
      <x:c r="Q98" s="42" t="str">
        <x:v>料理との組み合わせ</x:v>
      </x:c>
      <x:c r="R98" s="42" t="str">
        <x:v>酸味</x:v>
      </x:c>
      <x:c r="S98" s="42" t="str">
        <x:v>全般</x:v>
      </x:c>
      <x:c r="T98" s="42" t="str"/>
      <x:c r="U98" s="42" t="str"/>
      <x:c r="V98" s="42" t="str"/>
      <x:c r="W98" s="42" t="str">
        <x:v>因果説明</x:v>
      </x:c>
      <x:c r="X98" s="53" t="str">
        <x:v>D2</x:v>
      </x:c>
      <x:c r="Y98" s="42" t="str">
        <x:v>料理の酸=脱アルコール; 高酸=甘口</x:v>
      </x:c>
      <x:c r="Z98" s="53" t="str">
        <x:v>N</x:v>
      </x:c>
      <x:c r="AA98" s="42" t="str"/>
      <x:c r="AB98" s="42" t="str">
        <x:v>オリジナル</x:v>
      </x:c>
      <x:c r="AC98" s="42" t="str">
        <x:v>公式Specificationの範囲＋ユーザー作成コーパスの論点を参考に独自作成</x:v>
      </x:c>
      <x:c r="AD98" s="53" t="str">
        <x:v>未レビュー</x:v>
      </x:c>
      <x:c r="AE98" s="53" t="str"/>
      <x:c r="AF98" s="53" t="str"/>
      <x:c r="AG98" s="43" t="str"/>
    </x:row>
    <x:row r="99" ht="84" customHeight="1">
      <x:c r="A99" s="41" t="str">
        <x:v>LO5-018</x:v>
      </x:c>
      <x:c r="B99" s="53" t="str">
        <x:v>LO5</x:v>
      </x:c>
      <x:c r="C99" s="42" t="str">
        <x:v>情報提供・推奨・保管・サービス</x:v>
      </x:c>
      <x:c r="D99" s="42" t="str">
        <x:v>トウガラシの辛味</x:v>
      </x:c>
      <x:c r="E99" s="42" t="str">
        <x:v>トウガラシの辛味が強い料理に、高アルコールで高タンニンの赤ワインを合わせた場合に起こりやすいことはどれか。</x:v>
      </x:c>
      <x:c r="F99" s="42" t="str">
        <x:v>アルコールがカプサイシンを包み込み、辛味を弱める</x:v>
      </x:c>
      <x:c r="G99" s="42" t="str">
        <x:v>料理の刺激によってワイン中で二次発酵が起こり、泡が生じる</x:v>
      </x:c>
      <x:c r="H99" s="42" t="str">
        <x:v>アルコールの熱感とタンニンの苦渋味が強調され、辛味も増して感じられる</x:v>
      </x:c>
      <x:c r="I99" s="42" t="str">
        <x:v>料理の辛味がワインの酸を中和し、酸味を感じなくさせる</x:v>
      </x:c>
      <x:c r="J99" s="53" t="str">
        <x:v>C</x:v>
      </x:c>
      <x:c r="K99" s="42" t="str">
        <x:v>アルコールの熱感とタンニンの苦渋味が強調され、辛味も増して感じられる</x:v>
      </x:c>
      <x:c r="L99" s="42" t="str">
        <x:v>辛味はアルコールの刺激を強め、タンニンもより厳しく感じられやすい。</x:v>
      </x:c>
      <x:c r="M99" s="42" t="str">
        <x:v>誤り。 高アルコールは熱感を強め、辛味を増して感じさせることがある。</x:v>
      </x:c>
      <x:c r="N99" s="42" t="str">
        <x:v>誤り。 料理との組み合わせで発泡性は生じない。</x:v>
      </x:c>
      <x:c r="O99" s="42" t="str">
        <x:v>正しい。 辛味はアルコールの刺激を強め、タンニンもより厳しく感じられやすい。</x:v>
      </x:c>
      <x:c r="P99" s="42" t="str">
        <x:v>誤り。 ワインの酸が化学的に消失するわけではない。</x:v>
      </x:c>
      <x:c r="Q99" s="42" t="str">
        <x:v>料理との組み合わせ</x:v>
      </x:c>
      <x:c r="R99" s="42" t="str">
        <x:v>トウガラシの辛味</x:v>
      </x:c>
      <x:c r="S99" s="42" t="str">
        <x:v>赤非発泡性ワイン</x:v>
      </x:c>
      <x:c r="T99" s="42" t="str"/>
      <x:c r="U99" s="42" t="str"/>
      <x:c r="V99" s="42" t="str"/>
      <x:c r="W99" s="42" t="str">
        <x:v>適用</x:v>
      </x:c>
      <x:c r="X99" s="53" t="str">
        <x:v>D2</x:v>
      </x:c>
      <x:c r="Y99" s="42" t="str">
        <x:v>高アルコール=辛味軽減; 組み合わせ=発泡</x:v>
      </x:c>
      <x:c r="Z99" s="53" t="str">
        <x:v>N</x:v>
      </x:c>
      <x:c r="AA99" s="42" t="str"/>
      <x:c r="AB99" s="42" t="str">
        <x:v>オリジナル</x:v>
      </x:c>
      <x:c r="AC99" s="42" t="str">
        <x:v>公式Specificationの範囲＋ユーザー作成コーパスの論点を参考に独自作成</x:v>
      </x:c>
      <x:c r="AD99" s="53" t="str">
        <x:v>未レビュー</x:v>
      </x:c>
      <x:c r="AE99" s="53" t="str"/>
      <x:c r="AF99" s="53" t="str"/>
      <x:c r="AG99" s="43" t="str"/>
    </x:row>
    <x:row r="100" ht="84" customHeight="1">
      <x:c r="A100" s="41" t="str">
        <x:v>LO5-019</x:v>
      </x:c>
      <x:c r="B100" s="53" t="str">
        <x:v>LO5</x:v>
      </x:c>
      <x:c r="C100" s="42" t="str">
        <x:v>情報提供・推奨・保管・サービス</x:v>
      </x:c>
      <x:c r="D100" s="42" t="str">
        <x:v>うま味</x:v>
      </x:c>
      <x:c r="E100" s="42" t="str">
        <x:v>うま味の強い料理がワインに与えやすい知覚上の影響はどれか。</x:v>
      </x:c>
      <x:c r="F100" s="42" t="str">
        <x:v>ワインをより甘く、果実味豊かに感じさせる</x:v>
      </x:c>
      <x:c r="G100" s="42" t="str">
        <x:v>ワインのアルコール度を実際に下げる</x:v>
      </x:c>
      <x:c r="H100" s="42" t="str">
        <x:v>料理のうま味が酸化やコルク汚染の香りを弱める</x:v>
      </x:c>
      <x:c r="I100" s="42" t="str">
        <x:v>ワインの苦味、酸味、アルコールの刺激を強め、果実味を弱く感じさせることがある</x:v>
      </x:c>
      <x:c r="J100" s="53" t="str">
        <x:v>D</x:v>
      </x:c>
      <x:c r="K100" s="42" t="str">
        <x:v>ワインの苦味、酸味、アルコールの刺激を強め、果実味を弱く感じさせることがある</x:v>
      </x:c>
      <x:c r="L100" s="42" t="str">
        <x:v>うま味の強い料理では、低タンニンで果実味のあるワインなどが合わせやすい場合がある。</x:v>
      </x:c>
      <x:c r="M100" s="42" t="str">
        <x:v>誤り。 うま味は一般にワインの甘味や果実味を弱く感じさせる。</x:v>
      </x:c>
      <x:c r="N100" s="42" t="str">
        <x:v>誤り。 知覚は変化しても実際のアルコール度は変わらない。</x:v>
      </x:c>
      <x:c r="O100" s="42" t="str">
        <x:v>誤り。 料理との組み合わせでワインの欠陥は除去されない。</x:v>
      </x:c>
      <x:c r="P100" s="42" t="str">
        <x:v>正しい。 うま味の強い料理では、低タンニンで果実味のあるワインなどが合わせやすい場合がある。</x:v>
      </x:c>
      <x:c r="Q100" s="42" t="str">
        <x:v>料理との組み合わせ</x:v>
      </x:c>
      <x:c r="R100" s="42" t="str">
        <x:v>うま味</x:v>
      </x:c>
      <x:c r="S100" s="42" t="str">
        <x:v>全般</x:v>
      </x:c>
      <x:c r="T100" s="42" t="str"/>
      <x:c r="U100" s="42" t="str"/>
      <x:c r="V100" s="42" t="str"/>
      <x:c r="W100" s="42" t="str">
        <x:v>因果説明</x:v>
      </x:c>
      <x:c r="X100" s="53" t="str">
        <x:v>D3</x:v>
      </x:c>
      <x:c r="Y100" s="42" t="str">
        <x:v>うま味=果実味増加; うま味=欠陥除去</x:v>
      </x:c>
      <x:c r="Z100" s="53" t="str">
        <x:v>N</x:v>
      </x:c>
      <x:c r="AA100" s="42" t="str"/>
      <x:c r="AB100" s="42" t="str">
        <x:v>オリジナル</x:v>
      </x:c>
      <x:c r="AC100" s="42" t="str">
        <x:v>公式Specificationの範囲＋ユーザー作成コーパスの論点を参考に独自作成</x:v>
      </x:c>
      <x:c r="AD100" s="53" t="str">
        <x:v>未レビュー</x:v>
      </x:c>
      <x:c r="AE100" s="53" t="str"/>
      <x:c r="AF100" s="53" t="str"/>
      <x:c r="AG100" s="43" t="str"/>
    </x:row>
    <x:row r="101" ht="84" customHeight="1">
      <x:c r="A101" s="44" t="str">
        <x:v>LO5-020</x:v>
      </x:c>
      <x:c r="B101" s="54" t="str">
        <x:v>LO5</x:v>
      </x:c>
      <x:c r="C101" s="45" t="str">
        <x:v>情報提供・推奨・保管・サービス</x:v>
      </x:c>
      <x:c r="D101" s="45" t="str">
        <x:v>責任ある飲酒</x:v>
      </x:c>
      <x:c r="E101" s="45" t="str">
        <x:v>ワインの過剰摂取に関する情報提供として最も適切なものはどれか。</x:v>
      </x:c>
      <x:c r="F101" s="45" t="str">
        <x:v>短期的な判断力・協調運動の低下や事故リスク、長期的な健康問題につながり得る</x:v>
      </x:c>
      <x:c r="G101" s="45" t="str">
        <x:v>ワインは食品なので、量に関係なく健康上のリスクはない</x:v>
      </x:c>
      <x:c r="H101" s="45" t="str">
        <x:v>高品質ワインであれば酩酊しない</x:v>
      </x:c>
      <x:c r="I101" s="45" t="str">
        <x:v>水を一緒に飲めば、どれだけ飲んでも安全である</x:v>
      </x:c>
      <x:c r="J101" s="54" t="str">
        <x:v>A</x:v>
      </x:c>
      <x:c r="K101" s="45" t="str">
        <x:v>短期的な判断力・協調運動の低下や事故リスク、長期的な健康問題につながり得る</x:v>
      </x:c>
      <x:c r="L101" s="45" t="str">
        <x:v>過剰摂取には個人の健康だけでなく、事故や社会的影響も伴い得る。</x:v>
      </x:c>
      <x:c r="M101" s="45" t="str">
        <x:v>正しい。 過剰摂取には個人の健康だけでなく、事故や社会的影響も伴い得る。</x:v>
      </x:c>
      <x:c r="N101" s="45" t="str">
        <x:v>誤り。 アルコールの過剰摂取には明確なリスクがある。</x:v>
      </x:c>
      <x:c r="O101" s="45" t="str">
        <x:v>誤り。 品質にかかわらずアルコールを含み、摂取量に応じて影響する。</x:v>
      </x:c>
      <x:c r="P101" s="45" t="str">
        <x:v>誤り。 水分補給は有用でも、摂取アルコール量のリスクをなくさない。</x:v>
      </x:c>
      <x:c r="Q101" s="45" t="str">
        <x:v>社会的・健康上の問題</x:v>
      </x:c>
      <x:c r="R101" s="45" t="str">
        <x:v>過剰摂取</x:v>
      </x:c>
      <x:c r="S101" s="45" t="str">
        <x:v>全般</x:v>
      </x:c>
      <x:c r="T101" s="45" t="str"/>
      <x:c r="U101" s="45" t="str"/>
      <x:c r="V101" s="45" t="str"/>
      <x:c r="W101" s="45" t="str">
        <x:v>知識確認</x:v>
      </x:c>
      <x:c r="X101" s="54" t="str">
        <x:v>D1</x:v>
      </x:c>
      <x:c r="Y101" s="45" t="str">
        <x:v>高品質ワイン=酩酊なし; 水でリスク消失</x:v>
      </x:c>
      <x:c r="Z101" s="54" t="str">
        <x:v>N</x:v>
      </x:c>
      <x:c r="AA101" s="45" t="str"/>
      <x:c r="AB101" s="45" t="str">
        <x:v>オリジナル</x:v>
      </x:c>
      <x:c r="AC101" s="45" t="str">
        <x:v>公式Specificationの範囲＋ユーザー作成コーパスの論点を参考に独自作成</x:v>
      </x:c>
      <x:c r="AD101" s="54" t="str">
        <x:v>未レビュー</x:v>
      </x:c>
      <x:c r="AE101" s="54" t="str"/>
      <x:c r="AF101" s="54" t="str"/>
      <x:c r="AG101" s="46" t="str"/>
    </x:row>
    <x:row r="102" ht="84" customHeight="1">
      <x:c r="A102" s="161" t="str">
        <x:v>LO1-021</x:v>
      </x:c>
      <x:c r="B102" s="170" t="str">
        <x:v>LO1</x:v>
      </x:c>
      <x:c r="C102" s="162" t="str">
        <x:v>ブドウ畑・ワイナリーの自然要因と人的要因</x:v>
      </x:c>
      <x:c r="D102" s="162" t="str">
        <x:v>クローン選択</x:v>
      </x:c>
      <x:c r="E102" s="162" t="str">
        <x:v>特定のブドウ品種から一つのクローンを選んで植える主な利点はどれか。</x:v>
      </x:c>
      <x:c r="F102" s="162" t="str">
        <x:v>成熟時期や収量など、望ましい性質を比較的均一に得やすい</x:v>
      </x:c>
      <x:c r="G102" s="162" t="str">
        <x:v>畑のすべての病害を農薬なしで防げる</x:v>
      </x:c>
      <x:c r="H102" s="162" t="str">
        <x:v>毎年の天候差を受けず、同じ品質のワインになる</x:v>
      </x:c>
      <x:c r="I102" s="162" t="str">
        <x:v>異なる品種を交配せずに、新しい品種を作れる</x:v>
      </x:c>
      <x:c r="J102" s="170" t="str">
        <x:v>A</x:v>
      </x:c>
      <x:c r="K102" s="162" t="str">
        <x:v>成熟時期や収量など、望ましい性質を比較的均一に得やすい</x:v>
      </x:c>
      <x:c r="L102" s="162" t="str">
        <x:v>クローンは一つの母株から栄養繁殖されるため、選択された性質が比較的そろいやすく、栽培管理や収穫判断を行いやすい。</x:v>
      </x:c>
      <x:c r="M102" s="162" t="str">
        <x:v>正しい。 クローンは一つの母株から栄養繁殖されるため、選択された性質が比較的そろいやすく、栽培管理や収穫判断を行いやすい。</x:v>
      </x:c>
      <x:c r="N102" s="162" t="str">
        <x:v>誤り。 クローン選択だけで病害を完全に防ぐことはできず、健全な植栽材料と適切な病害管理が必要である。</x:v>
      </x:c>
      <x:c r="O102" s="162" t="str">
        <x:v>誤り。 クローンが同じでも天候、土壌、収量、栽培・醸造判断により品質とスタイルは変化する。</x:v>
      </x:c>
      <x:c r="P102" s="162" t="str">
        <x:v>誤り。 クローンは同一品種内の栄養繁殖系統であり、新しい品種を生み出す交配とは異なる。</x:v>
      </x:c>
      <x:c r="Q102" s="162" t="str">
        <x:v>自然要因</x:v>
      </x:c>
      <x:c r="R102" s="162" t="str">
        <x:v>ブドウ樹・クローン</x:v>
      </x:c>
      <x:c r="S102" s="162" t="str">
        <x:v>非発泡性ワイン</x:v>
      </x:c>
      <x:c r="T102" s="162"/>
      <x:c r="U102" s="162"/>
      <x:c r="V102" s="162"/>
      <x:c r="W102" s="162" t="str">
        <x:v>知識確認</x:v>
      </x:c>
      <x:c r="X102" s="170" t="str">
        <x:v>D1</x:v>
      </x:c>
      <x:c r="Y102" s="162" t="str">
        <x:v>クローンは新品種; クローンで病害とヴィンテージ差を完全に排除</x:v>
      </x:c>
      <x:c r="Z102" s="170" t="str">
        <x:v>N</x:v>
      </x:c>
      <x:c r="AA102" s="162"/>
      <x:c r="AB102" s="162" t="str">
        <x:v>オリジナル</x:v>
      </x:c>
      <x:c r="AC102" s="162" t="str">
        <x:v>公式Specificationの範囲＋ユーザー作成コーパスの論点と問題設計例を参考に独自作成</x:v>
      </x:c>
      <x:c r="AD102" s="170" t="str">
        <x:v>未レビュー</x:v>
      </x:c>
      <x:c r="AE102" s="170"/>
      <x:c r="AF102" s="170"/>
      <x:c r="AG102" s="163"/>
    </x:row>
    <x:row r="103" ht="84" customHeight="1">
      <x:c r="A103" s="164" t="str">
        <x:v>LO1-022</x:v>
      </x:c>
      <x:c r="B103" s="171" t="str">
        <x:v>LO1</x:v>
      </x:c>
      <x:c r="C103" s="165" t="str">
        <x:v>ブドウ畑・ワイナリーの自然要因と人的要因</x:v>
      </x:c>
      <x:c r="D103" s="165" t="str">
        <x:v>交配品種と交雑種</x:v>
      </x:c>
      <x:c r="E103" s="165" t="str">
        <x:v>交配品種と交雑種の違いを最も適切に説明しているものはどれか。</x:v>
      </x:c>
      <x:c r="F103" s="165" t="str">
        <x:v>交配品種は接ぎ木で作り、交雑種は剪定で作る</x:v>
      </x:c>
      <x:c r="G103" s="165" t="str">
        <x:v>交配品種は同じ種の品種同士、交雑種は異なるブドウ種を含む親同士から生まれる</x:v>
      </x:c>
      <x:c r="H103" s="165" t="str">
        <x:v>交配品種は白ブドウだけ、交雑種は黒ブドウだけである</x:v>
      </x:c>
      <x:c r="I103" s="165" t="str">
        <x:v>交配品種は無性繁殖、交雑種は必ず種子から毎年育てる</x:v>
      </x:c>
      <x:c r="J103" s="171" t="str">
        <x:v>B</x:v>
      </x:c>
      <x:c r="K103" s="165" t="str">
        <x:v>交配品種は同じ種の品種同士、交雑種は異なるブドウ種を含む親同士から生まれる</x:v>
      </x:c>
      <x:c r="L103" s="165" t="str">
        <x:v>一般に交配品種はVitis vinifera同士の交配、交雑種はVitis viniferaと他のブドウ種など、異なる種を含む交配から生まれる。</x:v>
      </x:c>
      <x:c r="M103" s="165" t="str">
        <x:v>誤り。 接ぎ木と剪定は栽培技術であり、品種の遺伝的な成立方法を区別する定義ではない。</x:v>
      </x:c>
      <x:c r="N103" s="165" t="str">
        <x:v>正しい。 一般に交配品種はVitis vinifera同士の交配、交雑種はVitis viniferaと他のブドウ種など、異なる種を含む交配から生まれる。</x:v>
      </x:c>
      <x:c r="O103" s="165" t="str">
        <x:v>誤り。 果皮色は交配品種と交雑種を分ける基準ではなく、どちらにもさまざまな果皮色がある。</x:v>
      </x:c>
      <x:c r="P103" s="165" t="str">
        <x:v>誤り。 成立時には交配を行うが、選抜された品種は通常ほかのブドウ品種と同様に栄養繁殖される。</x:v>
      </x:c>
      <x:c r="Q103" s="165" t="str">
        <x:v>自然要因</x:v>
      </x:c>
      <x:c r="R103" s="165" t="str">
        <x:v>ブドウ樹・品種</x:v>
      </x:c>
      <x:c r="S103" s="165" t="str">
        <x:v>非発泡性ワイン</x:v>
      </x:c>
      <x:c r="T103" s="165"/>
      <x:c r="U103" s="165"/>
      <x:c r="V103" s="165"/>
      <x:c r="W103" s="165" t="str">
        <x:v>知識確認</x:v>
      </x:c>
      <x:c r="X103" s="171" t="str">
        <x:v>D2</x:v>
      </x:c>
      <x:c r="Y103" s="165" t="str">
        <x:v>交配と接ぎ木の混同; 果皮色で分類</x:v>
      </x:c>
      <x:c r="Z103" s="171" t="str">
        <x:v>N</x:v>
      </x:c>
      <x:c r="AA103" s="165"/>
      <x:c r="AB103" s="165" t="str">
        <x:v>オリジナル</x:v>
      </x:c>
      <x:c r="AC103" s="165" t="str">
        <x:v>公式Specificationの範囲＋ユーザー作成コーパスの論点と問題設計例を参考に独自作成</x:v>
      </x:c>
      <x:c r="AD103" s="171" t="str">
        <x:v>未レビュー</x:v>
      </x:c>
      <x:c r="AE103" s="171"/>
      <x:c r="AF103" s="171"/>
      <x:c r="AG103" s="166"/>
    </x:row>
    <x:row r="104" ht="84" customHeight="1">
      <x:c r="A104" s="164" t="str">
        <x:v>LO1-023</x:v>
      </x:c>
      <x:c r="B104" s="171" t="str">
        <x:v>LO1</x:v>
      </x:c>
      <x:c r="C104" s="165" t="str">
        <x:v>ブドウ畑・ワイナリーの自然要因と人的要因</x:v>
      </x:c>
      <x:c r="D104" s="165" t="str">
        <x:v>開花と結実</x:v>
      </x:c>
      <x:c r="E104" s="165" t="str">
        <x:v>開花期に低温と強い雨が続いた場合、収量が低下しやすい主な理由はどれか。</x:v>
      </x:c>
      <x:c r="F104" s="165" t="str">
        <x:v>ブドウの酸がすべて分解され、果粒が落ちるため</x:v>
      </x:c>
      <x:c r="G104" s="165" t="str">
        <x:v>果皮の色素が過剰に生成され、果房が重くなるため</x:v>
      </x:c>
      <x:c r="H104" s="165" t="str">
        <x:v>受粉と結実が妨げられ、果房につく果粒数が減るため</x:v>
      </x:c>
      <x:c r="I104" s="165" t="str">
        <x:v>根が休眠に戻り、翌年まで水を吸収しなくなるため</x:v>
      </x:c>
      <x:c r="J104" s="171" t="str">
        <x:v>C</x:v>
      </x:c>
      <x:c r="K104" s="165" t="str">
        <x:v>受粉と結実が妨げられ、果房につく果粒数が減るため</x:v>
      </x:c>
      <x:c r="L104" s="165" t="str">
        <x:v>開花期の低温、雨、強風は受粉と結実を妨げ、花振るいや不均一な結実を招き、最終的な収量を減らすことがある。</x:v>
      </x:c>
      <x:c r="M104" s="165" t="str">
        <x:v>誤り。 開花期の主な問題は受粉・結実であり、酸の分解が果粒脱落の直接原因ではない。</x:v>
      </x:c>
      <x:c r="N104" s="165" t="str">
        <x:v>誤り。 果皮色素の発達は主に成熟期に進み、開花期の収量低下を説明しない。</x:v>
      </x:c>
      <x:c r="O104" s="165" t="str">
        <x:v>正しい。 開花期の低温、雨、強風は受粉と結実を妨げ、花振るいや不均一な結実を招き、最終的な収量を減らすことがある。</x:v>
      </x:c>
      <x:c r="P104" s="165" t="str">
        <x:v>誤り。 開花期の悪天候で根が完全な休眠状態へ戻るわけではない。</x:v>
      </x:c>
      <x:c r="Q104" s="165" t="str">
        <x:v>自然要因</x:v>
      </x:c>
      <x:c r="R104" s="165" t="str">
        <x:v>生育サイクル・開花結実</x:v>
      </x:c>
      <x:c r="S104" s="165" t="str">
        <x:v>非発泡性ワイン</x:v>
      </x:c>
      <x:c r="T104" s="165"/>
      <x:c r="U104" s="165"/>
      <x:c r="V104" s="165"/>
      <x:c r="W104" s="165" t="str">
        <x:v>因果説明</x:v>
      </x:c>
      <x:c r="X104" s="171" t="str">
        <x:v>D2</x:v>
      </x:c>
      <x:c r="Y104" s="165" t="str">
        <x:v>開花期と成熟期の混同; 酸の減少が結実を決める</x:v>
      </x:c>
      <x:c r="Z104" s="171" t="str">
        <x:v>N</x:v>
      </x:c>
      <x:c r="AA104" s="165"/>
      <x:c r="AB104" s="165" t="str">
        <x:v>オリジナル</x:v>
      </x:c>
      <x:c r="AC104" s="165" t="str">
        <x:v>公式Specificationの範囲＋ユーザー作成コーパスの論点と問題設計例を参考に独自作成</x:v>
      </x:c>
      <x:c r="AD104" s="171" t="str">
        <x:v>未レビュー</x:v>
      </x:c>
      <x:c r="AE104" s="171"/>
      <x:c r="AF104" s="171"/>
      <x:c r="AG104" s="166"/>
    </x:row>
    <x:row r="105" ht="84" customHeight="1">
      <x:c r="A105" s="164" t="str">
        <x:v>LO1-024</x:v>
      </x:c>
      <x:c r="B105" s="171" t="str">
        <x:v>LO1</x:v>
      </x:c>
      <x:c r="C105" s="165" t="str">
        <x:v>ブドウ畑・ワイナリーの自然要因と人的要因</x:v>
      </x:c>
      <x:c r="D105" s="165" t="str">
        <x:v>ヴェレゾン</x:v>
      </x:c>
      <x:c r="E105" s="165" t="str">
        <x:v>ヴェレゾン（着色期）の開始を示す変化として最も適切なものはどれか。</x:v>
      </x:c>
      <x:c r="F105" s="165" t="str">
        <x:v>芽が開き、新梢と最初の葉が伸び始める</x:v>
      </x:c>
      <x:c r="G105" s="165" t="str">
        <x:v>花が咲き、受粉後に小さな果粒が形成される</x:v>
      </x:c>
      <x:c r="H105" s="165" t="str">
        <x:v>葉が落ち、ブドウ樹が冬の休眠へ入る</x:v>
      </x:c>
      <x:c r="I105" s="165" t="str">
        <x:v>果粒が柔らかくなり、糖が増え始め、黒ブドウでは果皮が着色する</x:v>
      </x:c>
      <x:c r="J105" s="171" t="str">
        <x:v>D</x:v>
      </x:c>
      <x:c r="K105" s="165" t="str">
        <x:v>果粒が柔らかくなり、糖が増え始め、黒ブドウでは果皮が着色する</x:v>
      </x:c>
      <x:c r="L105" s="165" t="str">
        <x:v>ヴェレゾンは成熟の開始を示し、果粒の軟化、糖の蓄積、酸の減少、黒ブドウの着色などが進み始める。</x:v>
      </x:c>
      <x:c r="M105" s="165" t="str">
        <x:v>誤り。 これは萌芽の説明であり、ヴェレゾンよりかなり前の生育段階である。</x:v>
      </x:c>
      <x:c r="N105" s="165" t="str">
        <x:v>誤り。 これは開花と結実の段階であり、ヴェレゾンの説明ではない。</x:v>
      </x:c>
      <x:c r="O105" s="165" t="str">
        <x:v>誤り。 これは収穫後から冬に向かう段階であり、成熟開始を示すヴェレゾンとは異なる。</x:v>
      </x:c>
      <x:c r="P105" s="165" t="str">
        <x:v>正しい。 ヴェレゾンは成熟の開始を示し、果粒の軟化、糖の蓄積、酸の減少、黒ブドウの着色などが進み始める。</x:v>
      </x:c>
      <x:c r="Q105" s="165" t="str">
        <x:v>自然要因</x:v>
      </x:c>
      <x:c r="R105" s="165" t="str">
        <x:v>生育サイクル・ヴェレゾン</x:v>
      </x:c>
      <x:c r="S105" s="165" t="str">
        <x:v>非発泡性ワイン</x:v>
      </x:c>
      <x:c r="T105" s="165"/>
      <x:c r="U105" s="165"/>
      <x:c r="V105" s="165"/>
      <x:c r="W105" s="165" t="str">
        <x:v>知識確認</x:v>
      </x:c>
      <x:c r="X105" s="171" t="str">
        <x:v>D1</x:v>
      </x:c>
      <x:c r="Y105" s="165" t="str">
        <x:v>ヴェレゾンと萌芽・開花・休眠の混同</x:v>
      </x:c>
      <x:c r="Z105" s="171" t="str">
        <x:v>N</x:v>
      </x:c>
      <x:c r="AA105" s="165"/>
      <x:c r="AB105" s="165" t="str">
        <x:v>オリジナル</x:v>
      </x:c>
      <x:c r="AC105" s="165" t="str">
        <x:v>公式Specificationの範囲＋ユーザー作成コーパスの論点と問題設計例を参考に独自作成</x:v>
      </x:c>
      <x:c r="AD105" s="171" t="str">
        <x:v>未レビュー</x:v>
      </x:c>
      <x:c r="AE105" s="171"/>
      <x:c r="AF105" s="171"/>
      <x:c r="AG105" s="166"/>
    </x:row>
    <x:row r="106" ht="84" customHeight="1">
      <x:c r="A106" s="164" t="str">
        <x:v>LO1-025</x:v>
      </x:c>
      <x:c r="B106" s="171" t="str">
        <x:v>LO1</x:v>
      </x:c>
      <x:c r="C106" s="165" t="str">
        <x:v>ブドウ畑・ワイナリーの自然要因と人的要因</x:v>
      </x:c>
      <x:c r="D106" s="165" t="str">
        <x:v>大きな水域の影響</x:v>
      </x:c>
      <x:c r="E106" s="165" t="str">
        <x:v>大きな湖が近隣のブドウ畑の気候を穏やかにする仕組みとして最も適切なものはどれか。</x:v>
      </x:c>
      <x:c r="F106" s="165" t="str">
        <x:v>水がゆっくり温まり、ゆっくり冷えるため、周辺の極端な気温変化を和らげる</x:v>
      </x:c>
      <x:c r="G106" s="165" t="str">
        <x:v>湖面が常に太陽光を遮るため、畑の日照がなくなる</x:v>
      </x:c>
      <x:c r="H106" s="165" t="str">
        <x:v>湖水が土壌へ直接糖を供給し、成熟を進める</x:v>
      </x:c>
      <x:c r="I106" s="165" t="str">
        <x:v>湖の存在により、年間降水量と湿度が必ず低下する</x:v>
      </x:c>
      <x:c r="J106" s="171" t="str">
        <x:v>A</x:v>
      </x:c>
      <x:c r="K106" s="165" t="str">
        <x:v>水がゆっくり温まり、ゆっくり冷えるため、周辺の極端な気温変化を和らげる</x:v>
      </x:c>
      <x:c r="L106" s="165" t="str">
        <x:v>大きな水域は熱容量が大きく、季節や昼夜の温度変化を緩和し、春霜や冬の厳寒、夏の過度な高温のリスクを軽減することがある。</x:v>
      </x:c>
      <x:c r="M106" s="165" t="str">
        <x:v>正しい。 大きな水域は熱容量が大きく、季節や昼夜の温度変化を緩和し、春霜や冬の厳寒、夏の過度な高温のリスクを軽減することがある。</x:v>
      </x:c>
      <x:c r="N106" s="165" t="str">
        <x:v>誤り。 湖は日照を常に遮るものではなく、反射光が局地的に日射を補う場合もある。</x:v>
      </x:c>
      <x:c r="O106" s="165" t="str">
        <x:v>誤り。 糖はブドウ樹の光合成で作られ、湖水から土壌を通じて供給されるものではない。</x:v>
      </x:c>
      <x:c r="P106" s="165" t="str">
        <x:v>誤り。 水域は湿度や降雪を増やす場合もあり、降水量が必ず低下するとはいえない。</x:v>
      </x:c>
      <x:c r="Q106" s="165" t="str">
        <x:v>自然要因</x:v>
      </x:c>
      <x:c r="R106" s="165" t="str">
        <x:v>地域気候・水域</x:v>
      </x:c>
      <x:c r="S106" s="165" t="str">
        <x:v>非発泡性ワイン</x:v>
      </x:c>
      <x:c r="T106" s="165"/>
      <x:c r="U106" s="165"/>
      <x:c r="V106" s="165"/>
      <x:c r="W106" s="165" t="str">
        <x:v>因果説明</x:v>
      </x:c>
      <x:c r="X106" s="171" t="str">
        <x:v>D2</x:v>
      </x:c>
      <x:c r="Y106" s="165" t="str">
        <x:v>水域が糖を供給; 水域は常に乾燥化</x:v>
      </x:c>
      <x:c r="Z106" s="171" t="str">
        <x:v>N</x:v>
      </x:c>
      <x:c r="AA106" s="165"/>
      <x:c r="AB106" s="165" t="str">
        <x:v>オリジナル</x:v>
      </x:c>
      <x:c r="AC106" s="165" t="str">
        <x:v>公式Specificationの範囲＋ユーザー作成コーパスの論点と問題設計例を参考に独自作成</x:v>
      </x:c>
      <x:c r="AD106" s="171" t="str">
        <x:v>未レビュー</x:v>
      </x:c>
      <x:c r="AE106" s="171"/>
      <x:c r="AF106" s="171"/>
      <x:c r="AG106" s="166"/>
    </x:row>
    <x:row r="107" ht="84" customHeight="1">
      <x:c r="A107" s="164" t="str">
        <x:v>LO1-026</x:v>
      </x:c>
      <x:c r="B107" s="171" t="str">
        <x:v>LO1</x:v>
      </x:c>
      <x:c r="C107" s="165" t="str">
        <x:v>ブドウ畑・ワイナリーの自然要因と人的要因</x:v>
      </x:c>
      <x:c r="D107" s="165" t="str">
        <x:v>大陸性とヴィンテージ差</x:v>
      </x:c>
      <x:c r="E107" s="165" t="str">
        <x:v>大陸性気候の産地でヴィンテージ差が大きくなりやすい理由として最も適切なものはどれか。</x:v>
      </x:c>
      <x:c r="F107" s="165" t="str">
        <x:v>年間を通じて気温と降水量がほぼ一定だから</x:v>
      </x:c>
      <x:c r="G107" s="165" t="str">
        <x:v>季節間の気温差が大きく、霜、雹、降雨など年ごとの天候変動の影響を受けやすい</x:v>
      </x:c>
      <x:c r="H107" s="165" t="str">
        <x:v>すべての畑が海風を強く受け、成熟が毎年遅れるから</x:v>
      </x:c>
      <x:c r="I107" s="165" t="str">
        <x:v>土壌の種類が毎年変化するから</x:v>
      </x:c>
      <x:c r="J107" s="171" t="str">
        <x:v>B</x:v>
      </x:c>
      <x:c r="K107" s="165" t="str">
        <x:v>季節間の気温差が大きく、霜、雹、降雨など年ごとの天候変動の影響を受けやすい</x:v>
      </x:c>
      <x:c r="L107" s="165" t="str">
        <x:v>海洋による緩和が弱い大陸性地域では、冬と夏の寒暖差が大きく、極端な気象や生育期の天候が年ごとに変化しやすい。</x:v>
      </x:c>
      <x:c r="M107" s="165" t="str">
        <x:v>誤り。 年間変動が小さいという説明は、大陸性気候でヴィンテージ差が大きい理由と逆である。</x:v>
      </x:c>
      <x:c r="N107" s="165" t="str">
        <x:v>正しい。 海洋による緩和が弱い大陸性地域では、冬と夏の寒暖差が大きく、極端な気象や生育期の天候が年ごとに変化しやすい。</x:v>
      </x:c>
      <x:c r="O107" s="165" t="str">
        <x:v>誤り。 大陸性地域は一般に海洋の影響が弱く、すべての畑が強い海風を受けるわけではない。</x:v>
      </x:c>
      <x:c r="P107" s="165" t="str">
        <x:v>誤り。 土壌は通常年ごとに大きく変化せず、ヴィンテージ差の主因は天候である。</x:v>
      </x:c>
      <x:c r="Q107" s="165" t="str">
        <x:v>自然要因</x:v>
      </x:c>
      <x:c r="R107" s="165" t="str">
        <x:v>地域気候・大陸性</x:v>
      </x:c>
      <x:c r="S107" s="165" t="str">
        <x:v>非発泡性ワイン</x:v>
      </x:c>
      <x:c r="T107" s="165"/>
      <x:c r="U107" s="165"/>
      <x:c r="V107" s="165"/>
      <x:c r="W107" s="165" t="str">
        <x:v>因果説明</x:v>
      </x:c>
      <x:c r="X107" s="171" t="str">
        <x:v>D2</x:v>
      </x:c>
      <x:c r="Y107" s="165" t="str">
        <x:v>大陸性は年中一定; 土壌がヴィンテージ差を生む</x:v>
      </x:c>
      <x:c r="Z107" s="171" t="str">
        <x:v>N</x:v>
      </x:c>
      <x:c r="AA107" s="165"/>
      <x:c r="AB107" s="165" t="str">
        <x:v>オリジナル</x:v>
      </x:c>
      <x:c r="AC107" s="165" t="str">
        <x:v>公式Specificationの範囲＋ユーザー作成コーパスの論点と問題設計例を参考に独自作成</x:v>
      </x:c>
      <x:c r="AD107" s="171" t="str">
        <x:v>未レビュー</x:v>
      </x:c>
      <x:c r="AE107" s="171"/>
      <x:c r="AF107" s="171"/>
      <x:c r="AG107" s="166"/>
    </x:row>
    <x:row r="108" ht="84" customHeight="1">
      <x:c r="A108" s="164" t="str">
        <x:v>LO1-027</x:v>
      </x:c>
      <x:c r="B108" s="171" t="str">
        <x:v>LO1</x:v>
      </x:c>
      <x:c r="C108" s="165" t="str">
        <x:v>ブドウ畑・ワイナリーの自然要因と人的要因</x:v>
      </x:c>
      <x:c r="D108" s="165" t="str">
        <x:v>霧の影響</x:v>
      </x:c>
      <x:c r="E108" s="165" t="str">
        <x:v>温暖な地域の沿岸部で朝霧がブドウの成熟を遅らせる主な仕組みはどれか。</x:v>
      </x:c>
      <x:c r="F108" s="165" t="str">
        <x:v>果粒へ糖を付着させ、発酵を早める</x:v>
      </x:c>
      <x:c r="G108" s="165" t="str">
        <x:v>土壌中のすべての水を蒸発させ、樹を休眠させる</x:v>
      </x:c>
      <x:c r="H108" s="165" t="str">
        <x:v>朝の日射と気温上昇を抑え、畑が暖まる時間を短くする</x:v>
      </x:c>
      <x:c r="I108" s="165" t="str">
        <x:v>夜間の呼吸を完全に止め、酸を増加させる</x:v>
      </x:c>
      <x:c r="J108" s="171" t="str">
        <x:v>C</x:v>
      </x:c>
      <x:c r="K108" s="165" t="str">
        <x:v>朝の日射と気温上昇を抑え、畑が暖まる時間を短くする</x:v>
      </x:c>
      <x:c r="L108" s="165" t="str">
        <x:v>霧は日射を遮り、午前中の気温上昇を遅らせるため、日中の有効な成熟時間を短くし、酸の保持に寄与することがある。</x:v>
      </x:c>
      <x:c r="M108" s="165" t="str">
        <x:v>誤り。 霧が果粒へ発酵可能な糖を供給することはない。</x:v>
      </x:c>
      <x:c r="N108" s="165" t="str">
        <x:v>誤り。 霧はむしろ湿度を高めることがあり、土壌水分をすべて蒸発させるものではない。</x:v>
      </x:c>
      <x:c r="O108" s="165" t="str">
        <x:v>正しい。 霧は日射を遮り、午前中の気温上昇を遅らせるため、日中の有効な成熟時間を短くし、酸の保持に寄与することがある。</x:v>
      </x:c>
      <x:c r="P108" s="165" t="str">
        <x:v>誤り。 低温は呼吸を遅らせるが、完全に止めたり酸を新たに増やしたりするわけではない。</x:v>
      </x:c>
      <x:c r="Q108" s="165" t="str">
        <x:v>自然要因</x:v>
      </x:c>
      <x:c r="R108" s="165" t="str">
        <x:v>サイト気候・霧</x:v>
      </x:c>
      <x:c r="S108" s="165" t="str">
        <x:v>非発泡性ワイン</x:v>
      </x:c>
      <x:c r="T108" s="165"/>
      <x:c r="U108" s="165"/>
      <x:c r="V108" s="165"/>
      <x:c r="W108" s="165" t="str">
        <x:v>因果説明</x:v>
      </x:c>
      <x:c r="X108" s="171" t="str">
        <x:v>D2</x:v>
      </x:c>
      <x:c r="Y108" s="165" t="str">
        <x:v>霧が糖を供給; 霧で酸が増える</x:v>
      </x:c>
      <x:c r="Z108" s="171" t="str">
        <x:v>N</x:v>
      </x:c>
      <x:c r="AA108" s="165"/>
      <x:c r="AB108" s="165" t="str">
        <x:v>オリジナル</x:v>
      </x:c>
      <x:c r="AC108" s="165" t="str">
        <x:v>公式Specificationの範囲＋ユーザー作成コーパスの論点と問題設計例を参考に独自作成</x:v>
      </x:c>
      <x:c r="AD108" s="171" t="str">
        <x:v>未レビュー</x:v>
      </x:c>
      <x:c r="AE108" s="171"/>
      <x:c r="AF108" s="171"/>
      <x:c r="AG108" s="166"/>
    </x:row>
    <x:row r="109" ht="84" customHeight="1">
      <x:c r="A109" s="164" t="str">
        <x:v>LO1-028</x:v>
      </x:c>
      <x:c r="B109" s="171" t="str">
        <x:v>LO1</x:v>
      </x:c>
      <x:c r="C109" s="165" t="str">
        <x:v>ブドウ畑・ワイナリーの自然要因と人的要因</x:v>
      </x:c>
      <x:c r="D109" s="165" t="str">
        <x:v>土壌の排水性</x:v>
      </x:c>
      <x:c r="E109" s="165" t="str">
        <x:v>ブドウ畑で水はけの悪い土壌が問題となる主な理由はどれか。</x:v>
      </x:c>
      <x:c r="F109" s="165" t="str">
        <x:v>果粒が必ず小さくなり、糖度が極端に上がる</x:v>
      </x:c>
      <x:c r="G109" s="165" t="str">
        <x:v>土壌温度が必ず高くなり、萌芽が早まる</x:v>
      </x:c>
      <x:c r="H109" s="165" t="str">
        <x:v>フィロキセラが生存できなくなるため、台木が不要になる</x:v>
      </x:c>
      <x:c r="I109" s="165" t="str">
        <x:v>根の周囲の酸素が不足し、根の機能低下や過度な樹勢につながることがある</x:v>
      </x:c>
      <x:c r="J109" s="171" t="str">
        <x:v>D</x:v>
      </x:c>
      <x:c r="K109" s="165" t="str">
        <x:v>根の周囲の酸素が不足し、根の機能低下や過度な樹勢につながることがある</x:v>
      </x:c>
      <x:c r="L109" s="165" t="str">
        <x:v>過剰な水分は根域の空気を減らし、根の活動を妨げるほか、状況によっては過度な栄養成長や病害リスクを高める。</x:v>
      </x:c>
      <x:c r="M109" s="165" t="str">
        <x:v>誤り。 小粒化と高糖度は水不足で起こることがあり、水はけの悪さの典型的な結果ではない。</x:v>
      </x:c>
      <x:c r="N109" s="165" t="str">
        <x:v>誤り。 湿った土壌は暖まりにくい場合があり、排水不良が必ず土壌温度を上げるとはいえない。</x:v>
      </x:c>
      <x:c r="O109" s="165" t="str">
        <x:v>誤り。 排水不良はフィロキセラ対策にならず、多くの地域では抵抗性台木が引き続き必要である。</x:v>
      </x:c>
      <x:c r="P109" s="165" t="str">
        <x:v>正しい。 過剰な水分は根域の空気を減らし、根の活動を妨げるほか、状況によっては過度な栄養成長や病害リスクを高める。</x:v>
      </x:c>
      <x:c r="Q109" s="165" t="str">
        <x:v>自然要因</x:v>
      </x:c>
      <x:c r="R109" s="165" t="str">
        <x:v>土壌・排水</x:v>
      </x:c>
      <x:c r="S109" s="165" t="str">
        <x:v>非発泡性ワイン</x:v>
      </x:c>
      <x:c r="T109" s="165"/>
      <x:c r="U109" s="165"/>
      <x:c r="V109" s="165"/>
      <x:c r="W109" s="165" t="str">
        <x:v>因果説明</x:v>
      </x:c>
      <x:c r="X109" s="171" t="str">
        <x:v>D2</x:v>
      </x:c>
      <x:c r="Y109" s="165" t="str">
        <x:v>排水不良で高糖度; 排水不良がフィロキセラを防ぐ</x:v>
      </x:c>
      <x:c r="Z109" s="171" t="str">
        <x:v>N</x:v>
      </x:c>
      <x:c r="AA109" s="165"/>
      <x:c r="AB109" s="165" t="str">
        <x:v>オリジナル</x:v>
      </x:c>
      <x:c r="AC109" s="165" t="str">
        <x:v>公式Specificationの範囲＋ユーザー作成コーパスの論点と問題設計例を参考に独自作成</x:v>
      </x:c>
      <x:c r="AD109" s="171" t="str">
        <x:v>未レビュー</x:v>
      </x:c>
      <x:c r="AE109" s="171"/>
      <x:c r="AF109" s="171"/>
      <x:c r="AG109" s="166"/>
    </x:row>
    <x:row r="110" ht="84" customHeight="1">
      <x:c r="A110" s="164" t="str">
        <x:v>LO1-029</x:v>
      </x:c>
      <x:c r="B110" s="171" t="str">
        <x:v>LO1</x:v>
      </x:c>
      <x:c r="C110" s="165" t="str">
        <x:v>ブドウ畑・ワイナリーの自然要因と人的要因</x:v>
      </x:c>
      <x:c r="D110" s="165" t="str">
        <x:v>石の多い土壌</x:v>
      </x:c>
      <x:c r="E110" s="165" t="str">
        <x:v>冷涼な畑で表面の石が成熟を助ける場合、その主な効果はどれか。</x:v>
      </x:c>
      <x:c r="F110" s="165" t="str">
        <x:v>日中に熱を吸収し、夜間に放出して果房周辺を暖める</x:v>
      </x:c>
      <x:c r="G110" s="165" t="str">
        <x:v>石が光合成を行い、ブドウ樹へ糖を渡す</x:v>
      </x:c>
      <x:c r="H110" s="165" t="str">
        <x:v>石が土壌中の水分をすべて保持し、排水を止める</x:v>
      </x:c>
      <x:c r="I110" s="165" t="str">
        <x:v>石が酸を化学的に果汁へ加え、酸度を高める</x:v>
      </x:c>
      <x:c r="J110" s="171" t="str">
        <x:v>A</x:v>
      </x:c>
      <x:c r="K110" s="165" t="str">
        <x:v>日中に熱を吸収し、夜間に放出して果房周辺を暖める</x:v>
      </x:c>
      <x:c r="L110" s="165" t="str">
        <x:v>石は熱を蓄えてゆっくり放出できるため、局地的な温度を高め、冷涼な条件で成熟を補助することがある。</x:v>
      </x:c>
      <x:c r="M110" s="165" t="str">
        <x:v>正しい。 石は熱を蓄えてゆっくり放出できるため、局地的な温度を高め、冷涼な条件で成熟を補助することがある。</x:v>
      </x:c>
      <x:c r="N110" s="165" t="str">
        <x:v>誤り。 石は光合成を行わず、糖は葉で作られる。</x:v>
      </x:c>
      <x:c r="O110" s="165" t="str">
        <x:v>誤り。 石の多い土壌はしばしば排水性が高く、水分をすべて保持するという説明は適切でない。</x:v>
      </x:c>
      <x:c r="P110" s="165" t="str">
        <x:v>誤り。 果汁の酸度は主に品種、成熟度、気温などに左右され、石が直接酸を加えるわけではない。</x:v>
      </x:c>
      <x:c r="Q110" s="165" t="str">
        <x:v>自然要因</x:v>
      </x:c>
      <x:c r="R110" s="165" t="str">
        <x:v>土壌・保温</x:v>
      </x:c>
      <x:c r="S110" s="165" t="str">
        <x:v>非発泡性ワイン</x:v>
      </x:c>
      <x:c r="T110" s="165"/>
      <x:c r="U110" s="165"/>
      <x:c r="V110" s="165"/>
      <x:c r="W110" s="165" t="str">
        <x:v>因果説明</x:v>
      </x:c>
      <x:c r="X110" s="171" t="str">
        <x:v>D1</x:v>
      </x:c>
      <x:c r="Y110" s="165" t="str">
        <x:v>石が糖・酸を直接供給; 石で排水停止</x:v>
      </x:c>
      <x:c r="Z110" s="171" t="str">
        <x:v>N</x:v>
      </x:c>
      <x:c r="AA110" s="165"/>
      <x:c r="AB110" s="165" t="str">
        <x:v>オリジナル</x:v>
      </x:c>
      <x:c r="AC110" s="165" t="str">
        <x:v>公式Specificationの範囲＋ユーザー作成コーパスの論点と問題設計例を参考に独自作成</x:v>
      </x:c>
      <x:c r="AD110" s="171" t="str">
        <x:v>未レビュー</x:v>
      </x:c>
      <x:c r="AE110" s="171"/>
      <x:c r="AF110" s="171"/>
      <x:c r="AG110" s="166"/>
    </x:row>
    <x:row r="111" ht="84" customHeight="1">
      <x:c r="A111" s="164" t="str">
        <x:v>LO1-030</x:v>
      </x:c>
      <x:c r="B111" s="171" t="str">
        <x:v>LO1</x:v>
      </x:c>
      <x:c r="C111" s="165" t="str">
        <x:v>ブドウ畑・ワイナリーの自然要因と人的要因</x:v>
      </x:c>
      <x:c r="D111" s="165" t="str">
        <x:v>土壌養分と樹勢</x:v>
      </x:c>
      <x:c r="E111" s="165" t="str">
        <x:v>窒素などの養分が過剰な土壌で生じやすい問題はどれか。</x:v>
      </x:c>
      <x:c r="F111" s="165" t="str">
        <x:v>ブドウ樹が直ちに休眠し、翌年まで芽を出さない</x:v>
      </x:c>
      <x:c r="G111" s="165" t="str">
        <x:v>新梢と葉の成長が過度になり、果房の日照と通風が不足しやすい</x:v>
      </x:c>
      <x:c r="H111" s="165" t="str">
        <x:v>果粒の水分が失われ、自然に干しブドウになる</x:v>
      </x:c>
      <x:c r="I111" s="165" t="str">
        <x:v>土壌の排水性が自動的に改善し、水不足になる</x:v>
      </x:c>
      <x:c r="J111" s="171" t="str">
        <x:v>B</x:v>
      </x:c>
      <x:c r="K111" s="165" t="str">
        <x:v>新梢と葉の成長が過度になり、果房の日照と通風が不足しやすい</x:v>
      </x:c>
      <x:c r="L111" s="165" t="str">
        <x:v>過剰な養分は強い樹勢と密なキャノピーを招き、成熟の遅れ、病害リスク、果実風味の希釈につながることがある。</x:v>
      </x:c>
      <x:c r="M111" s="165" t="str">
        <x:v>誤り。 養分過剰は一般に強い栄養成長を促し、直ちに休眠させるものではない。</x:v>
      </x:c>
      <x:c r="N111" s="165" t="str">
        <x:v>正しい。 過剰な養分は強い樹勢と密なキャノピーを招き、成熟の遅れ、病害リスク、果実風味の希釈につながることがある。</x:v>
      </x:c>
      <x:c r="O111" s="165" t="str">
        <x:v>誤り。 果粒の乾燥は高温、乾燥、病害、意図的な乾燥工程などによるもので、養分過剰の典型ではない。</x:v>
      </x:c>
      <x:c r="P111" s="165" t="str">
        <x:v>誤り。 養分量と物理的な排水性は別の要因であり、養分過剰が排水を自動的に改善するわけではない。</x:v>
      </x:c>
      <x:c r="Q111" s="165" t="str">
        <x:v>自然要因</x:v>
      </x:c>
      <x:c r="R111" s="165" t="str">
        <x:v>土壌・養分</x:v>
      </x:c>
      <x:c r="S111" s="165" t="str">
        <x:v>非発泡性ワイン</x:v>
      </x:c>
      <x:c r="T111" s="165"/>
      <x:c r="U111" s="165"/>
      <x:c r="V111" s="165"/>
      <x:c r="W111" s="165" t="str">
        <x:v>因果説明</x:v>
      </x:c>
      <x:c r="X111" s="171" t="str">
        <x:v>D2</x:v>
      </x:c>
      <x:c r="Y111" s="165" t="str">
        <x:v>養分過剰で休眠・乾燥; 養分と排水の混同</x:v>
      </x:c>
      <x:c r="Z111" s="171" t="str">
        <x:v>N</x:v>
      </x:c>
      <x:c r="AA111" s="165"/>
      <x:c r="AB111" s="165" t="str">
        <x:v>オリジナル</x:v>
      </x:c>
      <x:c r="AC111" s="165" t="str">
        <x:v>公式Specificationの範囲＋ユーザー作成コーパスの論点と問題設計例を参考に独自作成</x:v>
      </x:c>
      <x:c r="AD111" s="171" t="str">
        <x:v>未レビュー</x:v>
      </x:c>
      <x:c r="AE111" s="171"/>
      <x:c r="AF111" s="171"/>
      <x:c r="AG111" s="166"/>
    </x:row>
    <x:row r="112" ht="84" customHeight="1">
      <x:c r="A112" s="164" t="str">
        <x:v>LO1-031</x:v>
      </x:c>
      <x:c r="B112" s="171" t="str">
        <x:v>LO1</x:v>
      </x:c>
      <x:c r="C112" s="165" t="str">
        <x:v>ブドウ畑・ワイナリーの自然要因と人的要因</x:v>
      </x:c>
      <x:c r="D112" s="165" t="str">
        <x:v>植栽密度</x:v>
      </x:c>
      <x:c r="E112" s="165" t="str">
        <x:v>水分と養分が限られる畑で植栽密度を過度に高くした場合に起こり得ることはどれか。</x:v>
      </x:c>
      <x:c r="F112" s="165" t="str">
        <x:v>一株当たりの根域が広がり、競争がなくなる</x:v>
      </x:c>
      <x:c r="G112" s="165" t="str">
        <x:v>すべての果房が日陰にならず、病害が消失する</x:v>
      </x:c>
      <x:c r="H112" s="165" t="str">
        <x:v>ブドウ樹同士の競争が強まり、一株当たりの生育と収量が低下する</x:v>
      </x:c>
      <x:c r="I112" s="165" t="str">
        <x:v>機械作業のための列間が必ず広くなる</x:v>
      </x:c>
      <x:c r="J112" s="171" t="str">
        <x:v>C</x:v>
      </x:c>
      <x:c r="K112" s="165" t="str">
        <x:v>ブドウ樹同士の競争が強まり、一株当たりの生育と収量が低下する</x:v>
      </x:c>
      <x:c r="L112" s="165" t="str">
        <x:v>限られた資源を多くの樹が取り合うため、一株当たりの樹勢と収量が抑えられる一方、過度なら成熟不良や樹の弱体化につながる。</x:v>
      </x:c>
      <x:c r="M112" s="165" t="str">
        <x:v>誤り。 密植では一般に一株が利用できる土壌空間が狭まり、競争は弱まるのではなく強まりやすい。</x:v>
      </x:c>
      <x:c r="N112" s="165" t="str">
        <x:v>誤り。 密植は管理方法によってはキャノピーを密にし、病害リスクを高めることもある。</x:v>
      </x:c>
      <x:c r="O112" s="165" t="str">
        <x:v>正しい。 限られた資源を多くの樹が取り合うため、一株当たりの樹勢と収量が抑えられる一方、過度なら成熟不良や樹の弱体化につながる。</x:v>
      </x:c>
      <x:c r="P112" s="165" t="str">
        <x:v>誤り。 密植では列間が狭くなることが多く、機械化が難しくなる場合がある。</x:v>
      </x:c>
      <x:c r="Q112" s="165" t="str">
        <x:v>人的要因（畑）</x:v>
      </x:c>
      <x:c r="R112" s="165" t="str">
        <x:v>植栽密度</x:v>
      </x:c>
      <x:c r="S112" s="165" t="str">
        <x:v>非発泡性ワイン</x:v>
      </x:c>
      <x:c r="T112" s="165"/>
      <x:c r="U112" s="165"/>
      <x:c r="V112" s="165"/>
      <x:c r="W112" s="165" t="str">
        <x:v>適用</x:v>
      </x:c>
      <x:c r="X112" s="171" t="str">
        <x:v>D3</x:v>
      </x:c>
      <x:c r="Y112" s="165" t="str">
        <x:v>密植で競争消失; 密植で機械化容易</x:v>
      </x:c>
      <x:c r="Z112" s="171" t="str">
        <x:v>N</x:v>
      </x:c>
      <x:c r="AA112" s="165"/>
      <x:c r="AB112" s="165" t="str">
        <x:v>オリジナル</x:v>
      </x:c>
      <x:c r="AC112" s="165" t="str">
        <x:v>公式Specificationの範囲＋ユーザー作成コーパスの論点と問題設計例を参考に独自作成</x:v>
      </x:c>
      <x:c r="AD112" s="171" t="str">
        <x:v>未レビュー</x:v>
      </x:c>
      <x:c r="AE112" s="171"/>
      <x:c r="AF112" s="171"/>
      <x:c r="AG112" s="166"/>
    </x:row>
    <x:row r="113" ht="84" customHeight="1">
      <x:c r="A113" s="164" t="str">
        <x:v>LO1-032</x:v>
      </x:c>
      <x:c r="B113" s="171" t="str">
        <x:v>LO1</x:v>
      </x:c>
      <x:c r="C113" s="165" t="str">
        <x:v>ブドウ畑・ワイナリーの自然要因と人的要因</x:v>
      </x:c>
      <x:c r="D113" s="165" t="str">
        <x:v>仕立て方</x:v>
      </x:c>
      <x:c r="E113" s="165" t="str">
        <x:v>コルドン仕立ての特徴として最も適切なものはどれか。</x:v>
      </x:c>
      <x:c r="F113" s="165" t="str">
        <x:v>毎年すべての幹と根を更新する</x:v>
      </x:c>
      <x:c r="G113" s="165" t="str">
        <x:v>果房を地中で成熟させるため、枝を土に埋める</x:v>
      </x:c>
      <x:c r="H113" s="165" t="str">
        <x:v>必ず支柱を使わず、低い株仕立てにする</x:v>
      </x:c>
      <x:c r="I113" s="165" t="str">
        <x:v>幹から伸びる恒久的な腕を残し、そこに短梢を配置できる</x:v>
      </x:c>
      <x:c r="J113" s="171" t="str">
        <x:v>D</x:v>
      </x:c>
      <x:c r="K113" s="165" t="str">
        <x:v>幹から伸びる恒久的な腕を残し、そこに短梢を配置できる</x:v>
      </x:c>
      <x:c r="L113" s="165" t="str">
        <x:v>コルドン仕立てでは恒久的な水平の腕を形成し、そこから短梢を剪定することが多く、均一な配置と機械化に適する場合がある。</x:v>
      </x:c>
      <x:c r="M113" s="165" t="str">
        <x:v>誤り。 幹や根は恒久器官であり、毎年すべて更新するものではない。</x:v>
      </x:c>
      <x:c r="N113" s="165" t="str">
        <x:v>誤り。 通常のコルドン仕立ては枝を地中で成熟させる方法ではない。</x:v>
      </x:c>
      <x:c r="O113" s="165" t="str">
        <x:v>誤り。 コルドンは棚に誘引する場合が多く、必ず無支柱の低い株仕立てになるわけではない。</x:v>
      </x:c>
      <x:c r="P113" s="165" t="str">
        <x:v>正しい。 コルドン仕立てでは恒久的な水平の腕を形成し、そこから短梢を剪定することが多く、均一な配置と機械化に適する場合がある。</x:v>
      </x:c>
      <x:c r="Q113" s="165" t="str">
        <x:v>人的要因（畑）</x:v>
      </x:c>
      <x:c r="R113" s="165" t="str">
        <x:v>仕立て・コルドン</x:v>
      </x:c>
      <x:c r="S113" s="165" t="str">
        <x:v>非発泡性ワイン</x:v>
      </x:c>
      <x:c r="T113" s="165"/>
      <x:c r="U113" s="165"/>
      <x:c r="V113" s="165"/>
      <x:c r="W113" s="165" t="str">
        <x:v>知識確認</x:v>
      </x:c>
      <x:c r="X113" s="171" t="str">
        <x:v>D1</x:v>
      </x:c>
      <x:c r="Y113" s="165" t="str">
        <x:v>コルドンは毎年更新; コルドンは必ず無支柱</x:v>
      </x:c>
      <x:c r="Z113" s="171" t="str">
        <x:v>N</x:v>
      </x:c>
      <x:c r="AA113" s="165"/>
      <x:c r="AB113" s="165" t="str">
        <x:v>オリジナル</x:v>
      </x:c>
      <x:c r="AC113" s="165" t="str">
        <x:v>公式Specificationの範囲＋ユーザー作成コーパスの論点と問題設計例を参考に独自作成</x:v>
      </x:c>
      <x:c r="AD113" s="171" t="str">
        <x:v>未レビュー</x:v>
      </x:c>
      <x:c r="AE113" s="171"/>
      <x:c r="AF113" s="171"/>
      <x:c r="AG113" s="166"/>
    </x:row>
    <x:row r="114" ht="84" customHeight="1">
      <x:c r="A114" s="164" t="str">
        <x:v>LO1-033</x:v>
      </x:c>
      <x:c r="B114" s="171" t="str">
        <x:v>LO1</x:v>
      </x:c>
      <x:c r="C114" s="165" t="str">
        <x:v>ブドウ畑・ワイナリーの自然要因と人的要因</x:v>
      </x:c>
      <x:c r="D114" s="165" t="str">
        <x:v>剪定方法</x:v>
      </x:c>
      <x:c r="E114" s="165" t="str">
        <x:v>基部の芽の結実性が低い品種で、更新剪定が選ばれやすい理由はどれか。</x:v>
      </x:c>
      <x:c r="F114" s="165" t="str">
        <x:v>基部から離れた結実性の高い芽を含む一年枝を残せるため</x:v>
      </x:c>
      <x:c r="G114" s="165" t="str">
        <x:v>前年のすべての果房を枝に残して再利用できるため</x:v>
      </x:c>
      <x:c r="H114" s="165" t="str">
        <x:v>根を切除して品種を変更できるため</x:v>
      </x:c>
      <x:c r="I114" s="165" t="str">
        <x:v>短梢剪定より必ず機械化しやすいため</x:v>
      </x:c>
      <x:c r="J114" s="171" t="str">
        <x:v>A</x:v>
      </x:c>
      <x:c r="K114" s="165" t="str">
        <x:v>基部から離れた結実性の高い芽を含む一年枝を残せるため</x:v>
      </x:c>
      <x:c r="L114" s="165" t="str">
        <x:v>更新剪定では比較的長い一年枝を残すため、基部の芽が不結実でも、その先にある結実性の高い芽を利用できる。</x:v>
      </x:c>
      <x:c r="M114" s="165" t="str">
        <x:v>正しい。 更新剪定では比較的長い一年枝を残すため、基部の芽が不結実でも、その先にある結実性の高い芽を利用できる。</x:v>
      </x:c>
      <x:c r="N114" s="165" t="str">
        <x:v>誤り。 果房は収穫後に再利用されず、剪定では翌年に必要な芽を持つ枝を選ぶ。</x:v>
      </x:c>
      <x:c r="O114" s="165" t="str">
        <x:v>誤り。 更新剪定は地上部の一年枝を管理する方法であり、根の切除や品種変更ではない。</x:v>
      </x:c>
      <x:c r="P114" s="165" t="str">
        <x:v>誤り。 長い枝の選択と誘引が必要で、短梢剪定より手作業が多くなることがある。</x:v>
      </x:c>
      <x:c r="Q114" s="165" t="str">
        <x:v>人的要因（畑）</x:v>
      </x:c>
      <x:c r="R114" s="165" t="str">
        <x:v>剪定・更新剪定</x:v>
      </x:c>
      <x:c r="S114" s="165" t="str">
        <x:v>非発泡性ワイン</x:v>
      </x:c>
      <x:c r="T114" s="165"/>
      <x:c r="U114" s="165"/>
      <x:c r="V114" s="165"/>
      <x:c r="W114" s="165" t="str">
        <x:v>因果説明</x:v>
      </x:c>
      <x:c r="X114" s="171" t="str">
        <x:v>D2</x:v>
      </x:c>
      <x:c r="Y114" s="165" t="str">
        <x:v>更新剪定で果房再利用; 更新剪定は必ず機械化容易</x:v>
      </x:c>
      <x:c r="Z114" s="171" t="str">
        <x:v>N</x:v>
      </x:c>
      <x:c r="AA114" s="165"/>
      <x:c r="AB114" s="165" t="str">
        <x:v>オリジナル</x:v>
      </x:c>
      <x:c r="AC114" s="165" t="str">
        <x:v>公式Specificationの範囲＋ユーザー作成コーパスの論点と問題設計例を参考に独自作成</x:v>
      </x:c>
      <x:c r="AD114" s="171" t="str">
        <x:v>未レビュー</x:v>
      </x:c>
      <x:c r="AE114" s="171"/>
      <x:c r="AF114" s="171"/>
      <x:c r="AG114" s="166"/>
    </x:row>
    <x:row r="115" ht="84" customHeight="1">
      <x:c r="A115" s="164" t="str">
        <x:v>LO1-034</x:v>
      </x:c>
      <x:c r="B115" s="171" t="str">
        <x:v>LO1</x:v>
      </x:c>
      <x:c r="C115" s="165" t="str">
        <x:v>ブドウ畑・ワイナリーの自然要因と人的要因</x:v>
      </x:c>
      <x:c r="D115" s="165" t="str">
        <x:v>VSP</x:v>
      </x:c>
      <x:c r="E115" s="165" t="str">
        <x:v>垂直シュート・ポジショニング（VSP）が機械作業に適しやすい主な理由はどれか。</x:v>
      </x:c>
      <x:c r="F115" s="165" t="str">
        <x:v>新梢を地面に這わせ、機械から完全に隠す</x:v>
      </x:c>
      <x:c r="G115" s="165" t="str">
        <x:v>新梢と果房が規則的な帯状に配置され、機械が対象部分へアクセスしやすい</x:v>
      </x:c>
      <x:c r="H115" s="165" t="str">
        <x:v>果房が毎年異なる高さに自然移動する</x:v>
      </x:c>
      <x:c r="I115" s="165" t="str">
        <x:v>支柱とワイヤーを使わないため、設置費が不要になる</x:v>
      </x:c>
      <x:c r="J115" s="171" t="str">
        <x:v>B</x:v>
      </x:c>
      <x:c r="K115" s="165" t="str">
        <x:v>新梢と果房が規則的な帯状に配置され、機械が対象部分へアクセスしやすい</x:v>
      </x:c>
      <x:c r="L115" s="165" t="str">
        <x:v>VSPは新梢を垂直に整列させ、果房帯を一定の高さに保ちやすいため、機械収穫や葉除去などを行いやすい。</x:v>
      </x:c>
      <x:c r="M115" s="165" t="str">
        <x:v>誤り。 VSPは新梢を垂直方向へ誘引する方式であり、地面に這わせるものではない。</x:v>
      </x:c>
      <x:c r="N115" s="165" t="str">
        <x:v>正しい。 VSPは新梢を垂直に整列させ、果房帯を一定の高さに保ちやすいため、機械収穫や葉除去などを行いやすい。</x:v>
      </x:c>
      <x:c r="O115" s="165" t="str">
        <x:v>誤り。 VSPの利点は果房帯を比較的一定に管理できることであり、無秩序な移動ではない。</x:v>
      </x:c>
      <x:c r="P115" s="165" t="str">
        <x:v>誤り。 VSPには通常支柱とワイヤーが必要で、初期費用がかかる。</x:v>
      </x:c>
      <x:c r="Q115" s="165" t="str">
        <x:v>人的要因（畑）</x:v>
      </x:c>
      <x:c r="R115" s="165" t="str">
        <x:v>キャノピー・VSP</x:v>
      </x:c>
      <x:c r="S115" s="165" t="str">
        <x:v>非発泡性ワイン</x:v>
      </x:c>
      <x:c r="T115" s="165"/>
      <x:c r="U115" s="165"/>
      <x:c r="V115" s="165"/>
      <x:c r="W115" s="165" t="str">
        <x:v>因果説明</x:v>
      </x:c>
      <x:c r="X115" s="171" t="str">
        <x:v>D2</x:v>
      </x:c>
      <x:c r="Y115" s="165" t="str">
        <x:v>VSPは無支柱; VSPで果房位置が不規則</x:v>
      </x:c>
      <x:c r="Z115" s="171" t="str">
        <x:v>N</x:v>
      </x:c>
      <x:c r="AA115" s="165"/>
      <x:c r="AB115" s="165" t="str">
        <x:v>オリジナル</x:v>
      </x:c>
      <x:c r="AC115" s="165" t="str">
        <x:v>公式Specificationの範囲＋ユーザー作成コーパスの論点と問題設計例を参考に独自作成</x:v>
      </x:c>
      <x:c r="AD115" s="171" t="str">
        <x:v>未レビュー</x:v>
      </x:c>
      <x:c r="AE115" s="171"/>
      <x:c r="AF115" s="171"/>
      <x:c r="AG115" s="166"/>
    </x:row>
    <x:row r="116" ht="84" customHeight="1">
      <x:c r="A116" s="164" t="str">
        <x:v>LO1-035</x:v>
      </x:c>
      <x:c r="B116" s="171" t="str">
        <x:v>LO1</x:v>
      </x:c>
      <x:c r="C116" s="165" t="str">
        <x:v>ブドウ畑・ワイナリーの自然要因と人的要因</x:v>
      </x:c>
      <x:c r="D116" s="165" t="str">
        <x:v>雹対策</x:v>
      </x:c>
      <x:c r="E116" s="165" t="str">
        <x:v>雹害の多い地域で防雹ネットを設置する際の主なトレードオフはどれか。</x:v>
      </x:c>
      <x:c r="F116" s="165" t="str">
        <x:v>雹を完全に止め、地域全体の降水量を減らす</x:v>
      </x:c>
      <x:c r="G116" s="165" t="str">
        <x:v>果粒の糖を増やすため、収穫量と品質が必ず上がる</x:v>
      </x:c>
      <x:c r="H116" s="165" t="str">
        <x:v>果房と新梢を物理的に守れる一方、設置費用がかかり、日照や作業性に影響し得る</x:v>
      </x:c>
      <x:c r="I116" s="165" t="str">
        <x:v>菌類病を治療するため、殺菌剤が不要になる</x:v>
      </x:c>
      <x:c r="J116" s="171" t="str">
        <x:v>C</x:v>
      </x:c>
      <x:c r="K116" s="165" t="str">
        <x:v>果房と新梢を物理的に守れる一方、設置費用がかかり、日照や作業性に影響し得る</x:v>
      </x:c>
      <x:c r="L116" s="165" t="str">
        <x:v>防雹ネットは直接的な被害を減らせるが、資材・設置・保守費用が必要で、設計によっては日射や機械作業を妨げる。</x:v>
      </x:c>
      <x:c r="M116" s="165" t="str">
        <x:v>誤り。 ネットは畑を物理的に保護するだけで、雹の発生や地域の降水量を変えない。</x:v>
      </x:c>
      <x:c r="N116" s="165" t="str">
        <x:v>誤り。 ネットの主目的は被害軽減であり、糖度や品質の上昇を保証しない。</x:v>
      </x:c>
      <x:c r="O116" s="165" t="str">
        <x:v>正しい。 防雹ネットは直接的な被害を減らせるが、資材・設置・保守費用が必要で、設計によっては日射や機械作業を妨げる。</x:v>
      </x:c>
      <x:c r="P116" s="165" t="str">
        <x:v>誤り。 ネットは菌類病の治療手段ではなく、湿度や通風によっては病害管理が引き続き必要である。</x:v>
      </x:c>
      <x:c r="Q116" s="165" t="str">
        <x:v>人的要因（畑）</x:v>
      </x:c>
      <x:c r="R116" s="165" t="str">
        <x:v>気象災害・雹</x:v>
      </x:c>
      <x:c r="S116" s="165" t="str">
        <x:v>非発泡性ワイン</x:v>
      </x:c>
      <x:c r="T116" s="165"/>
      <x:c r="U116" s="165"/>
      <x:c r="V116" s="165"/>
      <x:c r="W116" s="165" t="str">
        <x:v>統合判断</x:v>
      </x:c>
      <x:c r="X116" s="171" t="str">
        <x:v>D3</x:v>
      </x:c>
      <x:c r="Y116" s="165" t="str">
        <x:v>防雹ネットが天候を変える; 防雹ネットで病害治療</x:v>
      </x:c>
      <x:c r="Z116" s="171" t="str">
        <x:v>N</x:v>
      </x:c>
      <x:c r="AA116" s="165"/>
      <x:c r="AB116" s="165" t="str">
        <x:v>オリジナル</x:v>
      </x:c>
      <x:c r="AC116" s="165" t="str">
        <x:v>公式Specificationの範囲＋ユーザー作成コーパスの論点と問題設計例を参考に独自作成</x:v>
      </x:c>
      <x:c r="AD116" s="171" t="str">
        <x:v>未レビュー</x:v>
      </x:c>
      <x:c r="AE116" s="171"/>
      <x:c r="AF116" s="171"/>
      <x:c r="AG116" s="166"/>
    </x:row>
    <x:row r="117" ht="84" customHeight="1">
      <x:c r="A117" s="164" t="str">
        <x:v>LO1-036</x:v>
      </x:c>
      <x:c r="B117" s="171" t="str">
        <x:v>LO1</x:v>
      </x:c>
      <x:c r="C117" s="165" t="str">
        <x:v>ブドウ畑・ワイナリーの自然要因と人的要因</x:v>
      </x:c>
      <x:c r="D117" s="165" t="str">
        <x:v>ウィンドマシーン</x:v>
      </x:c>
      <x:c r="E117" s="165" t="str">
        <x:v>ウィンドマシーンが放射霜への対策として有効になり得る理由はどれか。</x:v>
      </x:c>
      <x:c r="F117" s="165" t="str">
        <x:v>ブドウ樹へ温水を直接散布し、氷を作るため</x:v>
      </x:c>
      <x:c r="G117" s="165" t="str">
        <x:v>土壌を掘り返して根の凍結を防ぐため</x:v>
      </x:c>
      <x:c r="H117" s="165" t="str">
        <x:v>強い寒気が流入する移流霜でも、必ず十分な暖気を作り出すため</x:v>
      </x:c>
      <x:c r="I117" s="165" t="str">
        <x:v>地表近くの冷気と上空の比較的暖かい空気を混ぜるため</x:v>
      </x:c>
      <x:c r="J117" s="171" t="str">
        <x:v>D</x:v>
      </x:c>
      <x:c r="K117" s="165" t="str">
        <x:v>地表近くの冷気と上空の比較的暖かい空気を混ぜるため</x:v>
      </x:c>
      <x:c r="L117" s="165" t="str">
        <x:v>放射霜では温度逆転が生じることがあり、ウィンドマシーンは上空の暖気を地表へ混合して芽の周囲の温度を上げる。</x:v>
      </x:c>
      <x:c r="M117" s="165" t="str">
        <x:v>誤り。 温水散布はウィンドマシーンの作用ではなく、スプリンクラーによる霜対策と混同している。</x:v>
      </x:c>
      <x:c r="N117" s="165" t="str">
        <x:v>誤り。 ウィンドマシーンは空気を動かす装置であり、土壌を耕すものではない。</x:v>
      </x:c>
      <x:c r="O117" s="165" t="str">
        <x:v>誤り。 移流霜では混合できる暖気層がないことが多く、効果は限定的である。</x:v>
      </x:c>
      <x:c r="P117" s="165" t="str">
        <x:v>正しい。 放射霜では温度逆転が生じることがあり、ウィンドマシーンは上空の暖気を地表へ混合して芽の周囲の温度を上げる。</x:v>
      </x:c>
      <x:c r="Q117" s="165" t="str">
        <x:v>人的要因（畑）</x:v>
      </x:c>
      <x:c r="R117" s="165" t="str">
        <x:v>霜害・ウィンドマシーン</x:v>
      </x:c>
      <x:c r="S117" s="165" t="str">
        <x:v>非発泡性ワイン</x:v>
      </x:c>
      <x:c r="T117" s="165"/>
      <x:c r="U117" s="165"/>
      <x:c r="V117" s="165"/>
      <x:c r="W117" s="165" t="str">
        <x:v>因果説明</x:v>
      </x:c>
      <x:c r="X117" s="171" t="str">
        <x:v>D2</x:v>
      </x:c>
      <x:c r="Y117" s="165" t="str">
        <x:v>ウィンドマシーンは散水; 移流霜にも万能</x:v>
      </x:c>
      <x:c r="Z117" s="171" t="str">
        <x:v>N</x:v>
      </x:c>
      <x:c r="AA117" s="165"/>
      <x:c r="AB117" s="165" t="str">
        <x:v>オリジナル</x:v>
      </x:c>
      <x:c r="AC117" s="165" t="str">
        <x:v>公式Specificationの範囲＋ユーザー作成コーパスの論点と問題設計例を参考に独自作成</x:v>
      </x:c>
      <x:c r="AD117" s="171" t="str">
        <x:v>未レビュー</x:v>
      </x:c>
      <x:c r="AE117" s="171"/>
      <x:c r="AF117" s="171"/>
      <x:c r="AG117" s="166"/>
    </x:row>
    <x:row r="118" ht="84" customHeight="1">
      <x:c r="A118" s="164" t="str">
        <x:v>LO1-037</x:v>
      </x:c>
      <x:c r="B118" s="171" t="str">
        <x:v>LO1</x:v>
      </x:c>
      <x:c r="C118" s="165" t="str">
        <x:v>ブドウ畑・ワイナリーの自然要因と人的要因</x:v>
      </x:c>
      <x:c r="D118" s="165" t="str">
        <x:v>冬季凍害対策</x:v>
      </x:c>
      <x:c r="E118" s="165" t="str">
        <x:v>冬に厳しい凍結が起こる地域で、接ぎ木部分の周囲へ土を盛る主な目的はどれか。</x:v>
      </x:c>
      <x:c r="F118" s="165" t="str">
        <x:v>接ぎ木部分を断熱し、凍結による損傷から守る</x:v>
      </x:c>
      <x:c r="G118" s="165" t="str">
        <x:v>果房を日光から遮り、収穫を遅らせる</x:v>
      </x:c>
      <x:c r="H118" s="165" t="str">
        <x:v>土壌中のフィロキセラをすべて窒息させる</x:v>
      </x:c>
      <x:c r="I118" s="165" t="str">
        <x:v>根に酸素を与えないことで、糖度を上げる</x:v>
      </x:c>
      <x:c r="J118" s="171" t="str">
        <x:v>A</x:v>
      </x:c>
      <x:c r="K118" s="165" t="str">
        <x:v>接ぎ木部分を断熱し、凍結による損傷から守る</x:v>
      </x:c>
      <x:c r="L118" s="165" t="str">
        <x:v>土寄せは接ぎ木部分と幹の下部を低温から保護し、地上部が損傷した場合にも穂木側から再生できる可能性を高める。</x:v>
      </x:c>
      <x:c r="M118" s="165" t="str">
        <x:v>正しい。 土寄せは接ぎ木部分と幹の下部を低温から保護し、地上部が損傷した場合にも穂木側から再生できる可能性を高める。</x:v>
      </x:c>
      <x:c r="N118" s="165" t="str">
        <x:v>誤り。 土寄せは冬季の接ぎ木部分を守る対策で、成熟期の果房を遮光する方法ではない。</x:v>
      </x:c>
      <x:c r="O118" s="165" t="str">
        <x:v>誤り。 土寄せでフィロキセラを根絶できず、抵抗性台木が主要対策である。</x:v>
      </x:c>
      <x:c r="P118" s="165" t="str">
        <x:v>誤り。 根の酸素不足は健全な生育を損ない、糖度を高める栽培技術ではない。</x:v>
      </x:c>
      <x:c r="Q118" s="165" t="str">
        <x:v>人的要因（畑）</x:v>
      </x:c>
      <x:c r="R118" s="165" t="str">
        <x:v>冬季凍害・土寄せ</x:v>
      </x:c>
      <x:c r="S118" s="165" t="str">
        <x:v>非発泡性ワイン</x:v>
      </x:c>
      <x:c r="T118" s="165"/>
      <x:c r="U118" s="165"/>
      <x:c r="V118" s="165"/>
      <x:c r="W118" s="165" t="str">
        <x:v>知識確認</x:v>
      </x:c>
      <x:c r="X118" s="171" t="str">
        <x:v>D1</x:v>
      </x:c>
      <x:c r="Y118" s="165" t="str">
        <x:v>土寄せは遮光; 土寄せでフィロキセラ根絶</x:v>
      </x:c>
      <x:c r="Z118" s="171" t="str">
        <x:v>N</x:v>
      </x:c>
      <x:c r="AA118" s="165"/>
      <x:c r="AB118" s="165" t="str">
        <x:v>オリジナル</x:v>
      </x:c>
      <x:c r="AC118" s="165" t="str">
        <x:v>公式Specificationの範囲＋ユーザー作成コーパスの論点と問題設計例を参考に独自作成</x:v>
      </x:c>
      <x:c r="AD118" s="171" t="str">
        <x:v>未レビュー</x:v>
      </x:c>
      <x:c r="AE118" s="171"/>
      <x:c r="AF118" s="171"/>
      <x:c r="AG118" s="166"/>
    </x:row>
    <x:row r="119" ht="84" customHeight="1">
      <x:c r="A119" s="164" t="str">
        <x:v>LO1-038</x:v>
      </x:c>
      <x:c r="B119" s="171" t="str">
        <x:v>LO1</x:v>
      </x:c>
      <x:c r="C119" s="165" t="str">
        <x:v>ブドウ畑・ワイナリーの自然要因と人的要因</x:v>
      </x:c>
      <x:c r="D119" s="165" t="str">
        <x:v>点滴灌漑</x:v>
      </x:c>
      <x:c r="E119" s="165" t="str">
        <x:v>点滴灌漑が乾燥地域で水資源の効率的な利用に適する主な理由はどれか。</x:v>
      </x:c>
      <x:c r="F119" s="165" t="str">
        <x:v>畑全体を深く冠水させ、地下水位を常に上げる</x:v>
      </x:c>
      <x:c r="G119" s="165" t="str">
        <x:v>必要な量の水を根域へゆっくり直接供給し、蒸発と流出を抑えられる</x:v>
      </x:c>
      <x:c r="H119" s="165" t="str">
        <x:v>葉へ大量の水を散布し、蒸発冷却だけを目的とする</x:v>
      </x:c>
      <x:c r="I119" s="165" t="str">
        <x:v>降雨量を増やし、灌漑設備を翌年から不要にする</x:v>
      </x:c>
      <x:c r="J119" s="171" t="str">
        <x:v>B</x:v>
      </x:c>
      <x:c r="K119" s="165" t="str">
        <x:v>必要な量の水を根域へゆっくり直接供給し、蒸発と流出を抑えられる</x:v>
      </x:c>
      <x:c r="L119" s="165" t="str">
        <x:v>点滴灌漑は水量とタイミングを細かく管理でき、葉や列間を広く濡らさず根域へ供給するため、水利用効率が高い。</x:v>
      </x:c>
      <x:c r="M119" s="165" t="str">
        <x:v>誤り。 これは洪水灌漑に近い説明であり、点滴灌漑の方法ではない。</x:v>
      </x:c>
      <x:c r="N119" s="165" t="str">
        <x:v>正しい。 点滴灌漑は水量とタイミングを細かく管理でき、葉や列間を広く濡らさず根域へ供給するため、水利用効率が高い。</x:v>
      </x:c>
      <x:c r="O119" s="165" t="str">
        <x:v>誤り。 これはスプリンクラーの説明で、点滴灌漑は主に根域へ水を供給する。</x:v>
      </x:c>
      <x:c r="P119" s="165" t="str">
        <x:v>誤り。 灌漑は降雨そのものを増やさず、設備の必要性は気候と水管理によって続く。</x:v>
      </x:c>
      <x:c r="Q119" s="165" t="str">
        <x:v>人的要因（畑）</x:v>
      </x:c>
      <x:c r="R119" s="165" t="str">
        <x:v>灌漑・点滴</x:v>
      </x:c>
      <x:c r="S119" s="165" t="str">
        <x:v>非発泡性ワイン</x:v>
      </x:c>
      <x:c r="T119" s="165"/>
      <x:c r="U119" s="165"/>
      <x:c r="V119" s="165"/>
      <x:c r="W119" s="165" t="str">
        <x:v>因果説明</x:v>
      </x:c>
      <x:c r="X119" s="171" t="str">
        <x:v>D1</x:v>
      </x:c>
      <x:c r="Y119" s="165" t="str">
        <x:v>点滴と洪水・散水の混同; 灌漑が降雨を増やす</x:v>
      </x:c>
      <x:c r="Z119" s="171" t="str">
        <x:v>N</x:v>
      </x:c>
      <x:c r="AA119" s="165"/>
      <x:c r="AB119" s="165" t="str">
        <x:v>オリジナル</x:v>
      </x:c>
      <x:c r="AC119" s="165" t="str">
        <x:v>公式Specificationの範囲＋ユーザー作成コーパスの論点と問題設計例を参考に独自作成</x:v>
      </x:c>
      <x:c r="AD119" s="171" t="str">
        <x:v>未レビュー</x:v>
      </x:c>
      <x:c r="AE119" s="171"/>
      <x:c r="AF119" s="171"/>
      <x:c r="AG119" s="166"/>
    </x:row>
    <x:row r="120" ht="84" customHeight="1">
      <x:c r="A120" s="164" t="str">
        <x:v>LO1-039</x:v>
      </x:c>
      <x:c r="B120" s="171" t="str">
        <x:v>LO1</x:v>
      </x:c>
      <x:c r="C120" s="165" t="str">
        <x:v>ブドウ畑・ワイナリーの自然要因と人的要因</x:v>
      </x:c>
      <x:c r="D120" s="165" t="str">
        <x:v>フィロキセラ</x:v>
      </x:c>
      <x:c r="E120" s="165" t="str">
        <x:v>フィロキセラが存在する地域で、Vitis viniferaを抵抗性台木へ接ぎ木する理由はどれか。</x:v>
      </x:c>
      <x:c r="F120" s="165" t="str">
        <x:v>台木が果実を作り、穂木は根だけを供給するため</x:v>
      </x:c>
      <x:c r="G120" s="165" t="str">
        <x:v>接ぎ木によって畑の気温を下げ、害虫を凍らせるため</x:v>
      </x:c>
      <x:c r="H120" s="165" t="str">
        <x:v>台木の根が害虫の被害に耐え、穂木から望む品種の果実を得られるため</x:v>
      </x:c>
      <x:c r="I120" s="165" t="str">
        <x:v>Vitis viniferaの果皮を厚くして、鳥害だけを防ぐため</x:v>
      </x:c>
      <x:c r="J120" s="171" t="str">
        <x:v>C</x:v>
      </x:c>
      <x:c r="K120" s="165" t="str">
        <x:v>台木の根が害虫の被害に耐え、穂木から望む品種の果実を得られるため</x:v>
      </x:c>
      <x:c r="L120" s="165" t="str">
        <x:v>抵抗性を持つアメリカ系ブドウ種由来の台木が根を守り、その上に接いだVitis vinifera品種が目的のワイン用ブドウを生産する。</x:v>
      </x:c>
      <x:c r="M120" s="165" t="str">
        <x:v>誤り。 役割が逆であり、通常は台木が根を、穂木が地上部と果実を担う。</x:v>
      </x:c>
      <x:c r="N120" s="165" t="str">
        <x:v>誤り。 接ぎ木は気温を変える方法ではなく、根の抵抗性を利用する。</x:v>
      </x:c>
      <x:c r="O120" s="165" t="str">
        <x:v>正しい。 抵抗性を持つアメリカ系ブドウ種由来の台木が根を守り、その上に接いだVitis vinifera品種が目的のワイン用ブドウを生産する。</x:v>
      </x:c>
      <x:c r="P120" s="165" t="str">
        <x:v>誤り。 フィロキセラは主に根へ被害を与え、接ぎ木の目的は鳥害対策ではない。</x:v>
      </x:c>
      <x:c r="Q120" s="165" t="str">
        <x:v>人的要因（畑）</x:v>
      </x:c>
      <x:c r="R120" s="165" t="str">
        <x:v>害虫・フィロキセラ</x:v>
      </x:c>
      <x:c r="S120" s="165" t="str">
        <x:v>非発泡性ワイン</x:v>
      </x:c>
      <x:c r="T120" s="165"/>
      <x:c r="U120" s="165"/>
      <x:c r="V120" s="165"/>
      <x:c r="W120" s="165" t="str">
        <x:v>知識確認</x:v>
      </x:c>
      <x:c r="X120" s="171" t="str">
        <x:v>D1</x:v>
      </x:c>
      <x:c r="Y120" s="165" t="str">
        <x:v>台木と穂木の役割逆転; 接ぎ木は鳥害対策</x:v>
      </x:c>
      <x:c r="Z120" s="171" t="str">
        <x:v>N</x:v>
      </x:c>
      <x:c r="AA120" s="165"/>
      <x:c r="AB120" s="165" t="str">
        <x:v>オリジナル</x:v>
      </x:c>
      <x:c r="AC120" s="165" t="str">
        <x:v>公式Specificationの範囲＋ユーザー作成コーパスの論点と問題設計例を参考に独自作成</x:v>
      </x:c>
      <x:c r="AD120" s="171" t="str">
        <x:v>未レビュー</x:v>
      </x:c>
      <x:c r="AE120" s="171"/>
      <x:c r="AF120" s="171"/>
      <x:c r="AG120" s="166"/>
    </x:row>
    <x:row r="121" ht="84" customHeight="1">
      <x:c r="A121" s="164" t="str">
        <x:v>LO1-040</x:v>
      </x:c>
      <x:c r="B121" s="171" t="str">
        <x:v>LO1</x:v>
      </x:c>
      <x:c r="C121" s="165" t="str">
        <x:v>ブドウ畑・ワイナリーの自然要因と人的要因</x:v>
      </x:c>
      <x:c r="D121" s="165" t="str">
        <x:v>菌類病管理</x:v>
      </x:c>
      <x:c r="E121" s="165" t="str">
        <x:v>雨の多い生育期に菌類病を管理する方法の組み合わせとして最も適切なものはどれか。</x:v>
      </x:c>
      <x:c r="F121" s="165" t="str">
        <x:v>灌漑量を増やし、葉を一日中濡らしておく</x:v>
      </x:c>
      <x:c r="G121" s="165" t="str">
        <x:v>樹冠を密にして、日光と風を完全に遮る</x:v>
      </x:c>
      <x:c r="H121" s="165" t="str">
        <x:v>感染した果房を健全な果房へ混ぜ、抵抗性を移す</x:v>
      </x:c>
      <x:c r="I121" s="165" t="str">
        <x:v>キャノピーの通風を改善し、必要に応じて適切な殺菌剤を用いる</x:v>
      </x:c>
      <x:c r="J121" s="171" t="str">
        <x:v>D</x:v>
      </x:c>
      <x:c r="K121" s="165" t="str">
        <x:v>キャノピーの通風を改善し、必要に応じて適切な殺菌剤を用いる</x:v>
      </x:c>
      <x:c r="L121" s="165" t="str">
        <x:v>葉と果房が速く乾くようにキャノピーを管理し、感染リスクに応じた防除を行うことで、べと病やうどんこ病などの被害を抑える。</x:v>
      </x:c>
      <x:c r="M121" s="165" t="str">
        <x:v>誤り。 長時間の湿潤は多くの菌類病の感染を助けるため、一般に逆効果となる。</x:v>
      </x:c>
      <x:c r="N121" s="165" t="str">
        <x:v>誤り。 密な樹冠は湿度を高め、葉や果房が乾きにくくなる。</x:v>
      </x:c>
      <x:c r="O121" s="165" t="str">
        <x:v>誤り。 病害抵抗性は果房を混ぜることで移らず、感染源の除去が必要な場合もある。</x:v>
      </x:c>
      <x:c r="P121" s="165" t="str">
        <x:v>正しい。 葉と果房が速く乾くようにキャノピーを管理し、感染リスクに応じた防除を行うことで、べと病やうどんこ病などの被害を抑える。</x:v>
      </x:c>
      <x:c r="Q121" s="165" t="str">
        <x:v>人的要因（畑）</x:v>
      </x:c>
      <x:c r="R121" s="165" t="str">
        <x:v>病害・菌類病</x:v>
      </x:c>
      <x:c r="S121" s="165" t="str">
        <x:v>非発泡性ワイン</x:v>
      </x:c>
      <x:c r="T121" s="165"/>
      <x:c r="U121" s="165"/>
      <x:c r="V121" s="165"/>
      <x:c r="W121" s="165" t="str">
        <x:v>適用</x:v>
      </x:c>
      <x:c r="X121" s="171" t="str">
        <x:v>D2</x:v>
      </x:c>
      <x:c r="Y121" s="165" t="str">
        <x:v>葉を濡らして菌類病防止; 密な樹冠が病害を抑える</x:v>
      </x:c>
      <x:c r="Z121" s="171" t="str">
        <x:v>N</x:v>
      </x:c>
      <x:c r="AA121" s="165"/>
      <x:c r="AB121" s="165" t="str">
        <x:v>オリジナル</x:v>
      </x:c>
      <x:c r="AC121" s="165" t="str">
        <x:v>公式Specificationの範囲＋ユーザー作成コーパスの論点と問題設計例を参考に独自作成</x:v>
      </x:c>
      <x:c r="AD121" s="171" t="str">
        <x:v>未レビュー</x:v>
      </x:c>
      <x:c r="AE121" s="171"/>
      <x:c r="AF121" s="171"/>
      <x:c r="AG121" s="166"/>
    </x:row>
    <x:row r="122" ht="84" customHeight="1">
      <x:c r="A122" s="164" t="str">
        <x:v>LO1-041</x:v>
      </x:c>
      <x:c r="B122" s="171" t="str">
        <x:v>LO1</x:v>
      </x:c>
      <x:c r="C122" s="165" t="str">
        <x:v>ブドウ畑・ワイナリーの自然要因と人的要因</x:v>
      </x:c>
      <x:c r="D122" s="165" t="str">
        <x:v>ウイルス・細菌病</x:v>
      </x:c>
      <x:c r="E122" s="165" t="str">
        <x:v>ブドウ樹のウイルス病や一部の細菌病が畑で確認された場合の基本的な対応はどれか。</x:v>
      </x:c>
      <x:c r="F122" s="165" t="str">
        <x:v>感染株を除去し、健全な植栽材料と衛生管理で再感染を防ぐ</x:v>
      </x:c>
      <x:c r="G122" s="165" t="str">
        <x:v>収穫後にワインへ糖を加え、樹を治療する</x:v>
      </x:c>
      <x:c r="H122" s="165" t="str">
        <x:v>感染株を剪定せず放置し、自然に免疫がつくのを待つ</x:v>
      </x:c>
      <x:c r="I122" s="165" t="str">
        <x:v>葉を水で洗えば、根や木部の病原体も完全に除去できる</x:v>
      </x:c>
      <x:c r="J122" s="171" t="str">
        <x:v>A</x:v>
      </x:c>
      <x:c r="K122" s="165" t="str">
        <x:v>感染株を除去し、健全な植栽材料と衛生管理で再感染を防ぐ</x:v>
      </x:c>
      <x:c r="L122" s="165" t="str">
        <x:v>ウイルスや一部の細菌病には感染後の有効な治療がないため、感染株の除去、認証苗の利用、媒介者や器具の衛生管理が重要である。</x:v>
      </x:c>
      <x:c r="M122" s="165" t="str">
        <x:v>正しい。 ウイルスや一部の細菌病には感染後の有効な治療がないため、感染株の除去、認証苗の利用、媒介者や器具の衛生管理が重要である。</x:v>
      </x:c>
      <x:c r="N122" s="165" t="str">
        <x:v>誤り。 ワインへの調整は畑の感染株を治療せず、病原体の管理と無関係である。</x:v>
      </x:c>
      <x:c r="O122" s="165" t="str">
        <x:v>誤り。 感染株が感染源となる可能性があり、自然治癒を期待する方法は適切でない。</x:v>
      </x:c>
      <x:c r="P122" s="165" t="str">
        <x:v>誤り。 表面洗浄だけでは植物体内のウイルスや細菌を除去できない。</x:v>
      </x:c>
      <x:c r="Q122" s="165" t="str">
        <x:v>人的要因（畑）</x:v>
      </x:c>
      <x:c r="R122" s="165" t="str">
        <x:v>病害・ウイルス細菌</x:v>
      </x:c>
      <x:c r="S122" s="165" t="str">
        <x:v>非発泡性ワイン</x:v>
      </x:c>
      <x:c r="T122" s="165"/>
      <x:c r="U122" s="165"/>
      <x:c r="V122" s="165"/>
      <x:c r="W122" s="165" t="str">
        <x:v>適用</x:v>
      </x:c>
      <x:c r="X122" s="171" t="str">
        <x:v>D2</x:v>
      </x:c>
      <x:c r="Y122" s="165" t="str">
        <x:v>ウイルス病は糖添加で治療; 洗浄で完全除去</x:v>
      </x:c>
      <x:c r="Z122" s="171" t="str">
        <x:v>N</x:v>
      </x:c>
      <x:c r="AA122" s="165"/>
      <x:c r="AB122" s="165" t="str">
        <x:v>オリジナル</x:v>
      </x:c>
      <x:c r="AC122" s="165" t="str">
        <x:v>公式Specificationの範囲＋ユーザー作成コーパスの論点と問題設計例を参考に独自作成</x:v>
      </x:c>
      <x:c r="AD122" s="171" t="str">
        <x:v>未レビュー</x:v>
      </x:c>
      <x:c r="AE122" s="171"/>
      <x:c r="AF122" s="171"/>
      <x:c r="AG122" s="166"/>
    </x:row>
    <x:row r="123" ht="84" customHeight="1">
      <x:c r="A123" s="164" t="str">
        <x:v>LO1-042</x:v>
      </x:c>
      <x:c r="B123" s="171" t="str">
        <x:v>LO1</x:v>
      </x:c>
      <x:c r="C123" s="165" t="str">
        <x:v>ブドウ畑・ワイナリーの自然要因と人的要因</x:v>
      </x:c>
      <x:c r="D123" s="165" t="str">
        <x:v>有機栽培とビオディナミ</x:v>
      </x:c>
      <x:c r="E123" s="165" t="str">
        <x:v>ビオディナミ農法を有機栽培と比較した説明として最も適切なものはどれか。</x:v>
      </x:c>
      <x:c r="F123" s="165" t="str">
        <x:v>合成除草剤と殺虫剤を必ず多量に使用する方式である</x:v>
      </x:c>
      <x:c r="G123" s="165" t="str">
        <x:v>有機栽培の考え方に加え、農場を一つの生態系として扱い、調合剤や暦を用いることがある</x:v>
      </x:c>
      <x:c r="H123" s="165" t="str">
        <x:v>畑での作業をやめ、自然任せにする方式である</x:v>
      </x:c>
      <x:c r="I123" s="165" t="str">
        <x:v>ワイナリーでの発酵方法だけを定め、畑の管理には関係しない</x:v>
      </x:c>
      <x:c r="J123" s="171" t="str">
        <x:v>B</x:v>
      </x:c>
      <x:c r="K123" s="165" t="str">
        <x:v>有機栽培の考え方に加え、農場を一つの生態系として扱い、調合剤や暦を用いることがある</x:v>
      </x:c>
      <x:c r="L123" s="165" t="str">
        <x:v>ビオディナミは一般に有機栽培の制限を基礎としつつ、農場全体の循環、特定の調合剤、天体暦など独自の実践を加える。</x:v>
      </x:c>
      <x:c r="M123" s="165" t="str">
        <x:v>誤り。 これは有機・ビオディナミの基本的な方向性と逆である。</x:v>
      </x:c>
      <x:c r="N123" s="165" t="str">
        <x:v>正しい。 ビオディナミは一般に有機栽培の制限を基礎としつつ、農場全体の循環、特定の調合剤、天体暦など独自の実践を加える。</x:v>
      </x:c>
      <x:c r="O123" s="165" t="str">
        <x:v>誤り。 ビオディナミでも剪定、病害管理、土壌管理など積極的な作業を行う。</x:v>
      </x:c>
      <x:c r="P123" s="165" t="str">
        <x:v>誤り。 ビオディナミは主に農場・畑の管理体系を含み、醸造だけの分類ではない。</x:v>
      </x:c>
      <x:c r="Q123" s="165" t="str">
        <x:v>人的要因（畑）</x:v>
      </x:c>
      <x:c r="R123" s="165" t="str">
        <x:v>栽培アプローチ・ビオディナミ</x:v>
      </x:c>
      <x:c r="S123" s="165" t="str">
        <x:v>非発泡性ワイン</x:v>
      </x:c>
      <x:c r="T123" s="165"/>
      <x:c r="U123" s="165"/>
      <x:c r="V123" s="165"/>
      <x:c r="W123" s="165" t="str">
        <x:v>比較</x:v>
      </x:c>
      <x:c r="X123" s="171" t="str">
        <x:v>D2</x:v>
      </x:c>
      <x:c r="Y123" s="165" t="str">
        <x:v>ビオディナミは農薬多用; 畑作業をしない</x:v>
      </x:c>
      <x:c r="Z123" s="171" t="str">
        <x:v>Y</x:v>
      </x:c>
      <x:c r="AA123" s="165" t="str">
        <x:v>有機・ビオディナミの認証制度や用語表現は地域差があるため、教材表現との最終照合を推奨</x:v>
      </x:c>
      <x:c r="AB123" s="165" t="str">
        <x:v>オリジナル</x:v>
      </x:c>
      <x:c r="AC123" s="165" t="str">
        <x:v>公式Specificationの範囲＋ユーザー作成コーパスの論点と問題設計例を参考に独自作成</x:v>
      </x:c>
      <x:c r="AD123" s="171" t="str">
        <x:v>未レビュー</x:v>
      </x:c>
      <x:c r="AE123" s="171"/>
      <x:c r="AF123" s="171"/>
      <x:c r="AG123" s="166"/>
    </x:row>
    <x:row r="124" ht="84" customHeight="1">
      <x:c r="A124" s="164" t="str">
        <x:v>LO1-043</x:v>
      </x:c>
      <x:c r="B124" s="171" t="str">
        <x:v>LO1</x:v>
      </x:c>
      <x:c r="C124" s="165" t="str">
        <x:v>ブドウ畑・ワイナリーの自然要因と人的要因</x:v>
      </x:c>
      <x:c r="D124" s="165" t="str">
        <x:v>持続可能な栽培</x:v>
      </x:c>
      <x:c r="E124" s="165" t="str">
        <x:v>持続可能なブドウ栽培の考え方として最も適切なものはどれか。</x:v>
      </x:c>
      <x:c r="F124" s="165" t="str">
        <x:v>収量を最大化することだけを唯一の目標とする</x:v>
      </x:c>
      <x:c r="G124" s="165" t="str">
        <x:v>すべての農薬と機械の使用を世界共通で禁止する</x:v>
      </x:c>
      <x:c r="H124" s="165" t="str">
        <x:v>環境への影響だけでなく、経済的継続性と働く人・地域社会も考慮する</x:v>
      </x:c>
      <x:c r="I124" s="165" t="str">
        <x:v>短期的な利益が出れば、土壌の劣化を考慮しない</x:v>
      </x:c>
      <x:c r="J124" s="171" t="str">
        <x:v>C</x:v>
      </x:c>
      <x:c r="K124" s="165" t="str">
        <x:v>環境への影響だけでなく、経済的継続性と働く人・地域社会も考慮する</x:v>
      </x:c>
      <x:c r="L124" s="165" t="str">
        <x:v>持続可能性は環境、経済、社会のバランスを取り、長期的にブドウ栽培を継続できる仕組みを目指す。</x:v>
      </x:c>
      <x:c r="M124" s="165" t="str">
        <x:v>誤り。 収量だけでなく資源利用、土壌、生物多様性、労働、経済性などを総合的に考える。</x:v>
      </x:c>
      <x:c r="N124" s="165" t="str">
        <x:v>誤り。 持続可能な制度は地域により異なり、一定の資材や機械を条件付きで認める場合がある。</x:v>
      </x:c>
      <x:c r="O124" s="165" t="str">
        <x:v>正しい。 持続可能性は環境、経済、社会のバランスを取り、長期的にブドウ栽培を継続できる仕組みを目指す。</x:v>
      </x:c>
      <x:c r="P124" s="165" t="str">
        <x:v>誤り。 長期的な生産基盤を守ることが持続可能性の中心であり、土壌劣化を無視しない。</x:v>
      </x:c>
      <x:c r="Q124" s="165" t="str">
        <x:v>人的要因（畑）</x:v>
      </x:c>
      <x:c r="R124" s="165" t="str">
        <x:v>栽培アプローチ・持続可能性</x:v>
      </x:c>
      <x:c r="S124" s="165" t="str">
        <x:v>非発泡性ワイン</x:v>
      </x:c>
      <x:c r="T124" s="165"/>
      <x:c r="U124" s="165"/>
      <x:c r="V124" s="165"/>
      <x:c r="W124" s="165" t="str">
        <x:v>統合判断</x:v>
      </x:c>
      <x:c r="X124" s="171" t="str">
        <x:v>D2</x:v>
      </x:c>
      <x:c r="Y124" s="165" t="str">
        <x:v>持続可能性は収量のみ; すべての資材を一律禁止</x:v>
      </x:c>
      <x:c r="Z124" s="171" t="str">
        <x:v>N</x:v>
      </x:c>
      <x:c r="AA124" s="165"/>
      <x:c r="AB124" s="165" t="str">
        <x:v>オリジナル</x:v>
      </x:c>
      <x:c r="AC124" s="165" t="str">
        <x:v>公式Specificationの範囲＋ユーザー作成コーパスの論点と問題設計例を参考に独自作成</x:v>
      </x:c>
      <x:c r="AD124" s="171" t="str">
        <x:v>未レビュー</x:v>
      </x:c>
      <x:c r="AE124" s="171"/>
      <x:c r="AF124" s="171"/>
      <x:c r="AG124" s="166"/>
    </x:row>
    <x:row r="125" ht="84" customHeight="1">
      <x:c r="A125" s="164" t="str">
        <x:v>LO1-044</x:v>
      </x:c>
      <x:c r="B125" s="171" t="str">
        <x:v>LO1</x:v>
      </x:c>
      <x:c r="C125" s="165" t="str">
        <x:v>ブドウ畑・ワイナリーの自然要因と人的要因</x:v>
      </x:c>
      <x:c r="D125" s="165" t="str">
        <x:v>収穫後のブドウ乾燥</x:v>
      </x:c>
      <x:c r="E125" s="165" t="str">
        <x:v>収穫後にブドウを乾燥させてワインを造る場合、品質と価格に生じやすい影響はどれか。</x:v>
      </x:c>
      <x:c r="F125" s="165" t="str">
        <x:v>水分が増え、軽いボディと低いアルコールだけが生まれる</x:v>
      </x:c>
      <x:c r="G125" s="165" t="str">
        <x:v>乾燥によって果汁量が増え、生産コストが必ず下がる</x:v>
      </x:c>
      <x:c r="H125" s="165" t="str">
        <x:v>酸と風味がすべて消え、糖だけが残る</x:v>
      </x:c>
      <x:c r="I125" s="165" t="str">
        <x:v>糖、酸、風味が濃縮し得る一方、得られる果汁量が減り、手間とコストが増える</x:v>
      </x:c>
      <x:c r="J125" s="171" t="str">
        <x:v>D</x:v>
      </x:c>
      <x:c r="K125" s="165" t="str">
        <x:v>糖、酸、風味が濃縮し得る一方、得られる果汁量が減り、手間とコストが増える</x:v>
      </x:c>
      <x:c r="L125" s="165" t="str">
        <x:v>水分が失われることで成分が濃縮するが、腐敗を避けた乾燥管理が必要で、同じ重量のブドウから得られるワイン量も少なくなる。</x:v>
      </x:c>
      <x:c r="M125" s="165" t="str">
        <x:v>誤り。 乾燥では水分が減るため、一般に濃縮した果汁となり、説明が逆である。</x:v>
      </x:c>
      <x:c r="N125" s="165" t="str">
        <x:v>誤り。 果汁量は減り、設備、空間、選別、時間のコストが加わる。</x:v>
      </x:c>
      <x:c r="O125" s="165" t="str">
        <x:v>誤り。 酸や風味成分も濃縮され得るが、乾燥条件によって変化する。</x:v>
      </x:c>
      <x:c r="P125" s="165" t="str">
        <x:v>正しい。 水分が失われることで成分が濃縮するが、腐敗を避けた乾燥管理が必要で、同じ重量のブドウから得られるワイン量も少なくなる。</x:v>
      </x:c>
      <x:c r="Q125" s="165" t="str">
        <x:v>人的要因（畑）</x:v>
      </x:c>
      <x:c r="R125" s="165" t="str">
        <x:v>糖分濃縮・収穫後乾燥</x:v>
      </x:c>
      <x:c r="S125" s="165" t="str">
        <x:v>非発泡性ワイン</x:v>
      </x:c>
      <x:c r="T125" s="165"/>
      <x:c r="U125" s="165"/>
      <x:c r="V125" s="165"/>
      <x:c r="W125" s="165" t="str">
        <x:v>統合判断</x:v>
      </x:c>
      <x:c r="X125" s="171" t="str">
        <x:v>D3</x:v>
      </x:c>
      <x:c r="Y125" s="165" t="str">
        <x:v>乾燥で果汁増加; 乾燥で酸と風味消失</x:v>
      </x:c>
      <x:c r="Z125" s="171" t="str">
        <x:v>N</x:v>
      </x:c>
      <x:c r="AA125" s="165"/>
      <x:c r="AB125" s="165" t="str">
        <x:v>オリジナル</x:v>
      </x:c>
      <x:c r="AC125" s="165" t="str">
        <x:v>公式Specificationの範囲＋ユーザー作成コーパスの論点と問題設計例を参考に独自作成</x:v>
      </x:c>
      <x:c r="AD125" s="171" t="str">
        <x:v>未レビュー</x:v>
      </x:c>
      <x:c r="AE125" s="171"/>
      <x:c r="AF125" s="171"/>
      <x:c r="AG125" s="166"/>
    </x:row>
    <x:row r="126" ht="84" customHeight="1">
      <x:c r="A126" s="164" t="str">
        <x:v>LO1-045</x:v>
      </x:c>
      <x:c r="B126" s="171" t="str">
        <x:v>LO1</x:v>
      </x:c>
      <x:c r="C126" s="165" t="str">
        <x:v>ブドウ畑・ワイナリーの自然要因と人的要因</x:v>
      </x:c>
      <x:c r="D126" s="165" t="str">
        <x:v>凍結ブドウ</x:v>
      </x:c>
      <x:c r="E126" s="165" t="str">
        <x:v>樹上で凍結したブドウを凍ったまま圧搾すると、甘い果汁が得られる主な理由はどれか。</x:v>
      </x:c>
      <x:c r="F126" s="165" t="str">
        <x:v>水の多くが氷として圧搾機に残り、糖と酸を含む濃縮果汁が流れ出る</x:v>
      </x:c>
      <x:c r="G126" s="165" t="str">
        <x:v>氷が糖へ変化し、果汁の量が増える</x:v>
      </x:c>
      <x:c r="H126" s="165" t="str">
        <x:v>凍結により酵母が発酵し、圧搾前にアルコールが増える</x:v>
      </x:c>
      <x:c r="I126" s="165" t="str">
        <x:v>果皮だけが凍り、果汁中の水分はすべて液体のまま残る</x:v>
      </x:c>
      <x:c r="J126" s="171" t="str">
        <x:v>A</x:v>
      </x:c>
      <x:c r="K126" s="165" t="str">
        <x:v>水の多くが氷として圧搾機に残り、糖と酸を含む濃縮果汁が流れ出る</x:v>
      </x:c>
      <x:c r="L126" s="165" t="str">
        <x:v>凍結した水分が氷として分離されるため、少量の高糖度・高酸度の果汁が得られるが、収量は非常に低くなる。</x:v>
      </x:c>
      <x:c r="M126" s="165" t="str">
        <x:v>正しい。 凍結した水分が氷として分離されるため、少量の高糖度・高酸度の果汁が得られるが、収量は非常に低くなる。</x:v>
      </x:c>
      <x:c r="N126" s="165" t="str">
        <x:v>誤り。 凍結で水が糖へ変化することはなく、果汁量はむしろ減る。</x:v>
      </x:c>
      <x:c r="O126" s="165" t="str">
        <x:v>誤り。 低温下の樹上で通常のアルコール発酵が進むわけではない。</x:v>
      </x:c>
      <x:c r="P126" s="165" t="str">
        <x:v>誤り。 果粒内部の水分も凍結し、その氷を圧搾時に分離することが濃縮の鍵である。</x:v>
      </x:c>
      <x:c r="Q126" s="165" t="str">
        <x:v>人的要因（畑）</x:v>
      </x:c>
      <x:c r="R126" s="165" t="str">
        <x:v>糖分濃縮・凍結</x:v>
      </x:c>
      <x:c r="S126" s="165" t="str">
        <x:v>非発泡性ワイン</x:v>
      </x:c>
      <x:c r="T126" s="165"/>
      <x:c r="U126" s="165"/>
      <x:c r="V126" s="165"/>
      <x:c r="W126" s="165" t="str">
        <x:v>因果説明</x:v>
      </x:c>
      <x:c r="X126" s="171" t="str">
        <x:v>D2</x:v>
      </x:c>
      <x:c r="Y126" s="165" t="str">
        <x:v>氷が糖になる; 凍結中に発酵</x:v>
      </x:c>
      <x:c r="Z126" s="171" t="str">
        <x:v>N</x:v>
      </x:c>
      <x:c r="AA126" s="165"/>
      <x:c r="AB126" s="165" t="str">
        <x:v>オリジナル</x:v>
      </x:c>
      <x:c r="AC126" s="165" t="str">
        <x:v>公式Specificationの範囲＋ユーザー作成コーパスの論点と問題設計例を参考に独自作成</x:v>
      </x:c>
      <x:c r="AD126" s="171" t="str">
        <x:v>未レビュー</x:v>
      </x:c>
      <x:c r="AE126" s="171"/>
      <x:c r="AF126" s="171"/>
      <x:c r="AG126" s="166"/>
    </x:row>
    <x:row r="127" ht="84" customHeight="1">
      <x:c r="A127" s="164" t="str">
        <x:v>LO1-046</x:v>
      </x:c>
      <x:c r="B127" s="171" t="str">
        <x:v>LO1</x:v>
      </x:c>
      <x:c r="C127" s="165" t="str">
        <x:v>ブドウ畑・ワイナリーの自然要因と人的要因</x:v>
      </x:c>
      <x:c r="D127" s="165" t="str">
        <x:v>マストの補糖</x:v>
      </x:c>
      <x:c r="E127" s="165" t="str">
        <x:v>補糖（マストの糖分補強）を行う主な目的はどれか。</x:v>
      </x:c>
      <x:c r="F127" s="165" t="str">
        <x:v>完成した辛口ワインを必ず甘口にする</x:v>
      </x:c>
      <x:c r="G127" s="165" t="str">
        <x:v>発酵で生成される最終アルコール度を高める</x:v>
      </x:c>
      <x:c r="H127" s="165" t="str">
        <x:v>酸を増やし、pHを下げる</x:v>
      </x:c>
      <x:c r="I127" s="165" t="str">
        <x:v>タンニンを除去し、色を薄くする</x:v>
      </x:c>
      <x:c r="J127" s="171" t="str">
        <x:v>B</x:v>
      </x:c>
      <x:c r="K127" s="165" t="str">
        <x:v>発酵で生成される最終アルコール度を高める</x:v>
      </x:c>
      <x:c r="L127" s="165" t="str">
        <x:v>成熟不足の果汁へ発酵可能な糖を加え、酵母にアルコールへ変換させる。通常、目的は甘味を残すことではない。</x:v>
      </x:c>
      <x:c r="M127" s="165" t="str">
        <x:v>誤り。 加えた糖が完全に発酵すれば甘味は残らず、目的は主にアルコール度の調整である。</x:v>
      </x:c>
      <x:c r="N127" s="165" t="str">
        <x:v>正しい。 成熟不足の果汁へ発酵可能な糖を加え、酵母にアルコールへ変換させる。通常、目的は甘味を残すことではない。</x:v>
      </x:c>
      <x:c r="O127" s="165" t="str">
        <x:v>誤り。 酸度調整は酸の添加など別の処理であり、糖の添加は酸を直接増やさない。</x:v>
      </x:c>
      <x:c r="P127" s="165" t="str">
        <x:v>誤り。 糖の添加はタンニンや色素を除去する工程ではない。</x:v>
      </x:c>
      <x:c r="Q127" s="165" t="str">
        <x:v>人的要因（ワイナリー）</x:v>
      </x:c>
      <x:c r="R127" s="165" t="str">
        <x:v>マスト調整・補糖</x:v>
      </x:c>
      <x:c r="S127" s="165" t="str">
        <x:v>非発泡性ワイン</x:v>
      </x:c>
      <x:c r="T127" s="165"/>
      <x:c r="U127" s="165"/>
      <x:c r="V127" s="165"/>
      <x:c r="W127" s="165" t="str">
        <x:v>知識確認</x:v>
      </x:c>
      <x:c r="X127" s="171" t="str">
        <x:v>D1</x:v>
      </x:c>
      <x:c r="Y127" s="165" t="str">
        <x:v>補糖は甘口化; 補糖で酸増加</x:v>
      </x:c>
      <x:c r="Z127" s="171" t="str">
        <x:v>N</x:v>
      </x:c>
      <x:c r="AA127" s="165"/>
      <x:c r="AB127" s="165" t="str">
        <x:v>オリジナル</x:v>
      </x:c>
      <x:c r="AC127" s="165" t="str">
        <x:v>公式Specificationの範囲＋ユーザー作成コーパスの論点と問題設計例を参考に独自作成</x:v>
      </x:c>
      <x:c r="AD127" s="171" t="str">
        <x:v>未レビュー</x:v>
      </x:c>
      <x:c r="AE127" s="171"/>
      <x:c r="AF127" s="171"/>
      <x:c r="AG127" s="166"/>
    </x:row>
    <x:row r="128" ht="84" customHeight="1">
      <x:c r="A128" s="164" t="str">
        <x:v>LO1-047</x:v>
      </x:c>
      <x:c r="B128" s="171" t="str">
        <x:v>LO1</x:v>
      </x:c>
      <x:c r="C128" s="165" t="str">
        <x:v>ブドウ畑・ワイナリーの自然要因と人的要因</x:v>
      </x:c>
      <x:c r="D128" s="165" t="str">
        <x:v>酸の添加</x:v>
      </x:c>
      <x:c r="E128" s="165" t="str">
        <x:v>温暖な地域で収穫した成熟度の高いブドウ果汁に酸を加える主な目的はどれか。</x:v>
      </x:c>
      <x:c r="F128" s="165" t="str">
        <x:v>残糖を増やし、甘口にする</x:v>
      </x:c>
      <x:c r="G128" s="165" t="str">
        <x:v>果皮の色素をすべて取り除く</x:v>
      </x:c>
      <x:c r="H128" s="165" t="str">
        <x:v>低下した酸度を補い、ワインのバランスと微生物安定性を改善する</x:v>
      </x:c>
      <x:c r="I128" s="165" t="str">
        <x:v>アルコール発酵を行わずにアルコール度を上げる</x:v>
      </x:c>
      <x:c r="J128" s="171" t="str">
        <x:v>C</x:v>
      </x:c>
      <x:c r="K128" s="165" t="str">
        <x:v>低下した酸度を補い、ワインのバランスと微生物安定性を改善する</x:v>
      </x:c>
      <x:c r="L128" s="165" t="str">
        <x:v>高温下ではブドウの酸が減少しやすく、酸の添加によりフレッシュさを整え、pHを下げて安定性を高められる。</x:v>
      </x:c>
      <x:c r="M128" s="165" t="str">
        <x:v>誤り。 酸の添加は糖分を増やさず、甘味を作る処理ではない。</x:v>
      </x:c>
      <x:c r="N128" s="165" t="str">
        <x:v>誤り。 酸度調整の目的は色素除去ではなく、酸とpHの調整である。</x:v>
      </x:c>
      <x:c r="O128" s="165" t="str">
        <x:v>正しい。 高温下ではブドウの酸が減少しやすく、酸の添加によりフレッシュさを整え、pHを下げて安定性を高められる。</x:v>
      </x:c>
      <x:c r="P128" s="165" t="str">
        <x:v>誤り。 酸を加えてもアルコールは増えず、アルコールは発酵または酒精強化で増える。</x:v>
      </x:c>
      <x:c r="Q128" s="165" t="str">
        <x:v>人的要因（ワイナリー）</x:v>
      </x:c>
      <x:c r="R128" s="165" t="str">
        <x:v>マスト調整・酸添加</x:v>
      </x:c>
      <x:c r="S128" s="165" t="str">
        <x:v>非発泡性ワイン</x:v>
      </x:c>
      <x:c r="T128" s="165"/>
      <x:c r="U128" s="165"/>
      <x:c r="V128" s="165"/>
      <x:c r="W128" s="165" t="str">
        <x:v>適用</x:v>
      </x:c>
      <x:c r="X128" s="171" t="str">
        <x:v>D2</x:v>
      </x:c>
      <x:c r="Y128" s="165" t="str">
        <x:v>酸添加で甘味・アルコール増加; 酸添加で脱色</x:v>
      </x:c>
      <x:c r="Z128" s="171" t="str">
        <x:v>N</x:v>
      </x:c>
      <x:c r="AA128" s="165"/>
      <x:c r="AB128" s="165" t="str">
        <x:v>オリジナル</x:v>
      </x:c>
      <x:c r="AC128" s="165" t="str">
        <x:v>公式Specificationの範囲＋ユーザー作成コーパスの論点と問題設計例を参考に独自作成</x:v>
      </x:c>
      <x:c r="AD128" s="171" t="str">
        <x:v>未レビュー</x:v>
      </x:c>
      <x:c r="AE128" s="171"/>
      <x:c r="AF128" s="171"/>
      <x:c r="AG128" s="166"/>
    </x:row>
    <x:row r="129" ht="84" customHeight="1">
      <x:c r="A129" s="164" t="str">
        <x:v>LO1-048</x:v>
      </x:c>
      <x:c r="B129" s="171" t="str">
        <x:v>LO1</x:v>
      </x:c>
      <x:c r="C129" s="165" t="str">
        <x:v>ブドウ畑・ワイナリーの自然要因と人的要因</x:v>
      </x:c>
      <x:c r="D129" s="165" t="str">
        <x:v>除酸</x:v>
      </x:c>
      <x:c r="E129" s="165" t="str">
        <x:v>非常に冷涼な地域の果汁で除酸を検討する主な理由はどれか。</x:v>
      </x:c>
      <x:c r="F129" s="165" t="str">
        <x:v>除酸によって必ず香りが強まり、品質が最高になるため</x:v>
      </x:c>
      <x:c r="G129" s="165" t="str">
        <x:v>除酸により糖分が増え、発酵前の果汁量が倍になるため</x:v>
      </x:c>
      <x:c r="H129" s="165" t="str">
        <x:v>除酸するとタンニンがすべて除去され、赤ワインが白くなるため</x:v>
      </x:c>
      <x:c r="I129" s="165" t="str">
        <x:v>酸が高すぎるとワインが鋭く不均衡になり、発酵や熟成後も飲みにくい可能性があるため</x:v>
      </x:c>
      <x:c r="J129" s="171" t="str">
        <x:v>D</x:v>
      </x:c>
      <x:c r="K129" s="165" t="str">
        <x:v>酸が高すぎるとワインが鋭く不均衡になり、発酵や熟成後も飲みにくい可能性があるため</x:v>
      </x:c>
      <x:c r="L129" s="165" t="str">
        <x:v>成熟が不十分な年には酸が非常に高くなることがあり、除酸によって酸味を和らげ、スタイルのバランスを整える。</x:v>
      </x:c>
      <x:c r="M129" s="165" t="str">
        <x:v>誤り。 除酸はバランス調整の手段で、香りや最高品質を保証しない。</x:v>
      </x:c>
      <x:c r="N129" s="165" t="str">
        <x:v>誤り。 酸を減らしても糖分や果汁量が自動的に増えるわけではない。</x:v>
      </x:c>
      <x:c r="O129" s="165" t="str">
        <x:v>誤り。 除酸はタンニンや色をすべて取り除く処理ではない。</x:v>
      </x:c>
      <x:c r="P129" s="165" t="str">
        <x:v>正しい。 成熟が不十分な年には酸が非常に高くなることがあり、除酸によって酸味を和らげ、スタイルのバランスを整える。</x:v>
      </x:c>
      <x:c r="Q129" s="165" t="str">
        <x:v>人的要因（ワイナリー）</x:v>
      </x:c>
      <x:c r="R129" s="165" t="str">
        <x:v>マスト調整・除酸</x:v>
      </x:c>
      <x:c r="S129" s="165" t="str">
        <x:v>非発泡性ワイン</x:v>
      </x:c>
      <x:c r="T129" s="165"/>
      <x:c r="U129" s="165"/>
      <x:c r="V129" s="165"/>
      <x:c r="W129" s="165" t="str">
        <x:v>適用</x:v>
      </x:c>
      <x:c r="X129" s="171" t="str">
        <x:v>D2</x:v>
      </x:c>
      <x:c r="Y129" s="165" t="str">
        <x:v>除酸で糖・果汁増加; 除酸で脱色脱タンニン</x:v>
      </x:c>
      <x:c r="Z129" s="171" t="str">
        <x:v>N</x:v>
      </x:c>
      <x:c r="AA129" s="165"/>
      <x:c r="AB129" s="165" t="str">
        <x:v>オリジナル</x:v>
      </x:c>
      <x:c r="AC129" s="165" t="str">
        <x:v>公式Specificationの範囲＋ユーザー作成コーパスの論点と問題設計例を参考に独自作成</x:v>
      </x:c>
      <x:c r="AD129" s="171" t="str">
        <x:v>未レビュー</x:v>
      </x:c>
      <x:c r="AE129" s="171"/>
      <x:c r="AF129" s="171"/>
      <x:c r="AG129" s="166"/>
    </x:row>
    <x:row r="130" ht="84" customHeight="1">
      <x:c r="A130" s="164" t="str">
        <x:v>LO1-049</x:v>
      </x:c>
      <x:c r="B130" s="171" t="str">
        <x:v>LO1</x:v>
      </x:c>
      <x:c r="C130" s="165" t="str">
        <x:v>ブドウ畑・ワイナリーの自然要因と人的要因</x:v>
      </x:c>
      <x:c r="D130" s="165" t="str">
        <x:v>酵母選択</x:v>
      </x:c>
      <x:c r="E130" s="165" t="str">
        <x:v>培養酵母を使用する利点として最も適切なものはどれか。</x:v>
      </x:c>
      <x:c r="F130" s="165" t="str">
        <x:v>発酵の開始と完了を予測しやすく、望む条件に合う酵母株を選べる</x:v>
      </x:c>
      <x:c r="G130" s="165" t="str">
        <x:v>発酵中の温度管理が一切不要になる</x:v>
      </x:c>
      <x:c r="H130" s="165" t="str">
        <x:v>すべてのワインを同じ香りと品質にする</x:v>
      </x:c>
      <x:c r="I130" s="165" t="str">
        <x:v>発酵せずに糖をアルコールへ瞬時に変える</x:v>
      </x:c>
      <x:c r="J130" s="171" t="str">
        <x:v>A</x:v>
      </x:c>
      <x:c r="K130" s="165" t="str">
        <x:v>発酵の開始と完了を予測しやすく、望む条件に合う酵母株を選べる</x:v>
      </x:c>
      <x:c r="L130" s="165" t="str">
        <x:v>培養酵母はアルコール耐性、温度適性、香りへの影響などが把握され、停滞発酵のリスクを管理しやすい。</x:v>
      </x:c>
      <x:c r="M130" s="165" t="str">
        <x:v>正しい。 培養酵母はアルコール耐性、温度適性、香りへの影響などが把握され、停滞発酵のリスクを管理しやすい。</x:v>
      </x:c>
      <x:c r="N130" s="165" t="str">
        <x:v>誤り。 培養酵母を使っても温度、栄養、酸素、衛生などの管理は必要である。</x:v>
      </x:c>
      <x:c r="O130" s="165" t="str">
        <x:v>誤り。 酵母は一要因にすぎず、品種、果実、醸造、熟成によりスタイルは異なる。</x:v>
      </x:c>
      <x:c r="P130" s="165" t="str">
        <x:v>誤り。 アルコール生成には酵母による発酵過程が必要で、瞬時に変換するものではない。</x:v>
      </x:c>
      <x:c r="Q130" s="165" t="str">
        <x:v>人的要因（ワイナリー）</x:v>
      </x:c>
      <x:c r="R130" s="165" t="str">
        <x:v>アルコール発酵・酵母</x:v>
      </x:c>
      <x:c r="S130" s="165" t="str">
        <x:v>非発泡性ワイン</x:v>
      </x:c>
      <x:c r="T130" s="165"/>
      <x:c r="U130" s="165"/>
      <x:c r="V130" s="165"/>
      <x:c r="W130" s="165" t="str">
        <x:v>因果説明</x:v>
      </x:c>
      <x:c r="X130" s="171" t="str">
        <x:v>D2</x:v>
      </x:c>
      <x:c r="Y130" s="165" t="str">
        <x:v>培養酵母で管理不要; 培養酵母は発酵不要</x:v>
      </x:c>
      <x:c r="Z130" s="171" t="str">
        <x:v>N</x:v>
      </x:c>
      <x:c r="AA130" s="165"/>
      <x:c r="AB130" s="165" t="str">
        <x:v>オリジナル</x:v>
      </x:c>
      <x:c r="AC130" s="165" t="str">
        <x:v>公式Specificationの範囲＋ユーザー作成コーパスの論点と問題設計例を参考に独自作成</x:v>
      </x:c>
      <x:c r="AD130" s="171" t="str">
        <x:v>未レビュー</x:v>
      </x:c>
      <x:c r="AE130" s="171"/>
      <x:c r="AF130" s="171"/>
      <x:c r="AG130" s="166"/>
    </x:row>
    <x:row r="131" ht="84" customHeight="1">
      <x:c r="A131" s="164" t="str">
        <x:v>LO1-050</x:v>
      </x:c>
      <x:c r="B131" s="171" t="str">
        <x:v>LO1</x:v>
      </x:c>
      <x:c r="C131" s="165" t="str">
        <x:v>ブドウ畑・ワイナリーの自然要因と人的要因</x:v>
      </x:c>
      <x:c r="D131" s="165" t="str">
        <x:v>白ワインの発酵温度</x:v>
      </x:c>
      <x:c r="E131" s="165" t="str">
        <x:v>アロマティックな白ワインを比較的低温で発酵する主な目的はどれか。</x:v>
      </x:c>
      <x:c r="F131" s="165" t="str">
        <x:v>果皮から最大量のタンニンと濃い色を抽出する</x:v>
      </x:c>
      <x:c r="G131" s="165" t="str">
        <x:v>揮発性の果実香を保持し、フレッシュなスタイルを得る</x:v>
      </x:c>
      <x:c r="H131" s="165" t="str">
        <x:v>ワインを必ず無酸にし、pHを上げる</x:v>
      </x:c>
      <x:c r="I131" s="165" t="str">
        <x:v>発酵を一瞬で完了させ、冷却費をなくす</x:v>
      </x:c>
      <x:c r="J131" s="171" t="str">
        <x:v>B</x:v>
      </x:c>
      <x:c r="K131" s="165" t="str">
        <x:v>揮発性の果実香を保持し、フレッシュなスタイルを得る</x:v>
      </x:c>
      <x:c r="L131" s="165" t="str">
        <x:v>低温発酵は香気成分の揮散を抑え、酵母由来のフルーティーな香りも保ちやすいが、発酵は遅くなり得る。</x:v>
      </x:c>
      <x:c r="M131" s="165" t="str">
        <x:v>誤り。 白ワインの低温発酵の主目的ではなく、抽出は主に果皮接触や温度などで管理する。</x:v>
      </x:c>
      <x:c r="N131" s="165" t="str">
        <x:v>正しい。 低温発酵は香気成分の揮散を抑え、酵母由来のフルーティーな香りも保ちやすいが、発酵は遅くなり得る。</x:v>
      </x:c>
      <x:c r="O131" s="165" t="str">
        <x:v>誤り。 発酵温度が酸を必ず消すわけではなく、酸度は品種、成熟、MLF、調整などにも左右される。</x:v>
      </x:c>
      <x:c r="P131" s="165" t="str">
        <x:v>誤り。 低温では発酵が遅くなることがあり、温度管理の冷却費も必要となる。</x:v>
      </x:c>
      <x:c r="Q131" s="165" t="str">
        <x:v>人的要因（ワイナリー）</x:v>
      </x:c>
      <x:c r="R131" s="165" t="str">
        <x:v>アルコール発酵・温度</x:v>
      </x:c>
      <x:c r="S131" s="165" t="str">
        <x:v>非発泡性ワイン</x:v>
      </x:c>
      <x:c r="T131" s="165"/>
      <x:c r="U131" s="165"/>
      <x:c r="V131" s="165"/>
      <x:c r="W131" s="165" t="str">
        <x:v>因果説明</x:v>
      </x:c>
      <x:c r="X131" s="171" t="str">
        <x:v>D1</x:v>
      </x:c>
      <x:c r="Y131" s="165" t="str">
        <x:v>低温で抽出最大; 低温発酵は瞬時に完了</x:v>
      </x:c>
      <x:c r="Z131" s="171" t="str">
        <x:v>N</x:v>
      </x:c>
      <x:c r="AA131" s="165"/>
      <x:c r="AB131" s="165" t="str">
        <x:v>オリジナル</x:v>
      </x:c>
      <x:c r="AC131" s="165" t="str">
        <x:v>公式Specificationの範囲＋ユーザー作成コーパスの論点と問題設計例を参考に独自作成</x:v>
      </x:c>
      <x:c r="AD131" s="171" t="str">
        <x:v>未レビュー</x:v>
      </x:c>
      <x:c r="AE131" s="171"/>
      <x:c r="AF131" s="171"/>
      <x:c r="AG131" s="166"/>
    </x:row>
    <x:row r="132" ht="84" customHeight="1">
      <x:c r="A132" s="164" t="str">
        <x:v>LO1-051</x:v>
      </x:c>
      <x:c r="B132" s="171" t="str">
        <x:v>LO1</x:v>
      </x:c>
      <x:c r="C132" s="165" t="str">
        <x:v>ブドウ畑・ワイナリーの自然要因と人的要因</x:v>
      </x:c>
      <x:c r="D132" s="165" t="str">
        <x:v>赤ワインの発酵温度</x:v>
      </x:c>
      <x:c r="E132" s="165" t="str">
        <x:v>赤ワインを白ワインより高めの温度で発酵することが多い主な理由はどれか。</x:v>
      </x:c>
      <x:c r="F132" s="165" t="str">
        <x:v>糖を発酵させず、そのまま残すため</x:v>
      </x:c>
      <x:c r="G132" s="165" t="str">
        <x:v>酸素を完全に固体化し、酸化を不可能にするため</x:v>
      </x:c>
      <x:c r="H132" s="165" t="str">
        <x:v>果皮から色素とタンニンを抽出しやすくする</x:v>
      </x:c>
      <x:c r="I132" s="165" t="str">
        <x:v>果皮を使わずに濃い色を得るため</x:v>
      </x:c>
      <x:c r="J132" s="171" t="str">
        <x:v>C</x:v>
      </x:c>
      <x:c r="K132" s="165" t="str">
        <x:v>果皮から色素とタンニンを抽出しやすくする</x:v>
      </x:c>
      <x:c r="L132" s="165" t="str">
        <x:v>高めの温度は果皮成分の抽出を促し、色と構造を得やすい。一方、過度な高温は酵母や香りに悪影響を与える。</x:v>
      </x:c>
      <x:c r="M132" s="165" t="str">
        <x:v>誤り。 高温は発酵を止めるためではなく、酵母が働ける範囲では発酵と抽出を進める。</x:v>
      </x:c>
      <x:c r="N132" s="165" t="str">
        <x:v>誤り。 温度によって酸素が固体化することはなく、酸素管理は別途必要である。</x:v>
      </x:c>
      <x:c r="O132" s="165" t="str">
        <x:v>正しい。 高めの温度は果皮成分の抽出を促し、色と構造を得やすい。一方、過度な高温は酵母や香りに悪影響を与える。</x:v>
      </x:c>
      <x:c r="P132" s="165" t="str">
        <x:v>誤り。 赤ワインの色は主に黒ブドウの果皮から抽出される。</x:v>
      </x:c>
      <x:c r="Q132" s="165" t="str">
        <x:v>人的要因（ワイナリー）</x:v>
      </x:c>
      <x:c r="R132" s="165" t="str">
        <x:v>赤ワイン発酵・温度</x:v>
      </x:c>
      <x:c r="S132" s="165" t="str">
        <x:v>非発泡性ワイン</x:v>
      </x:c>
      <x:c r="T132" s="165"/>
      <x:c r="U132" s="165"/>
      <x:c r="V132" s="165"/>
      <x:c r="W132" s="165" t="str">
        <x:v>因果説明</x:v>
      </x:c>
      <x:c r="X132" s="171" t="str">
        <x:v>D1</x:v>
      </x:c>
      <x:c r="Y132" s="165" t="str">
        <x:v>高温で発酵停止; 果皮なしで赤色</x:v>
      </x:c>
      <x:c r="Z132" s="171" t="str">
        <x:v>N</x:v>
      </x:c>
      <x:c r="AA132" s="165"/>
      <x:c r="AB132" s="165" t="str">
        <x:v>オリジナル</x:v>
      </x:c>
      <x:c r="AC132" s="165" t="str">
        <x:v>公式Specificationの範囲＋ユーザー作成コーパスの論点と問題設計例を参考に独自作成</x:v>
      </x:c>
      <x:c r="AD132" s="171" t="str">
        <x:v>未レビュー</x:v>
      </x:c>
      <x:c r="AE132" s="171"/>
      <x:c r="AF132" s="171"/>
      <x:c r="AG132" s="166"/>
    </x:row>
    <x:row r="133" ht="84" customHeight="1">
      <x:c r="A133" s="164" t="str">
        <x:v>LO1-052</x:v>
      </x:c>
      <x:c r="B133" s="171" t="str">
        <x:v>LO1</x:v>
      </x:c>
      <x:c r="C133" s="165" t="str">
        <x:v>ブドウ畑・ワイナリーの自然要因と人的要因</x:v>
      </x:c>
      <x:c r="D133" s="165" t="str">
        <x:v>キャップ・マネジメント</x:v>
      </x:c>
      <x:c r="E133" s="165" t="str">
        <x:v>赤ワイン発酵中にポンピング・オーバーやパンチング・ダウンを行う主な目的はどれか。</x:v>
      </x:c>
      <x:c r="F133" s="165" t="str">
        <x:v>果汁を凍らせ、糖を氷として除去する</x:v>
      </x:c>
      <x:c r="G133" s="165" t="str">
        <x:v>ワインからすべての色素とタンニンを除去する</x:v>
      </x:c>
      <x:c r="H133" s="165" t="str">
        <x:v>瓶内の澱を口元へ集める</x:v>
      </x:c>
      <x:c r="I133" s="165" t="str">
        <x:v>果皮を果汁と接触させ、色、タンニン、風味の抽出を調整する</x:v>
      </x:c>
      <x:c r="J133" s="171" t="str">
        <x:v>D</x:v>
      </x:c>
      <x:c r="K133" s="165" t="str">
        <x:v>果皮を果汁と接触させ、色、タンニン、風味の抽出を調整する</x:v>
      </x:c>
      <x:c r="L133" s="165" t="str">
        <x:v>発酵で浮き上がる果皮の層を果汁へ戻し、抽出、温度、酸素供給を管理する。頻度と強さでスタイルを調整できる。</x:v>
      </x:c>
      <x:c r="M133" s="165" t="str">
        <x:v>誤り。 キャップ・マネジメントは発酵槽内の果皮を管理する操作で、凍結濃縮ではない。</x:v>
      </x:c>
      <x:c r="N133" s="165" t="str">
        <x:v>誤り。 一般には色素とタンニンの抽出を促す操作であり、除去するものではない。</x:v>
      </x:c>
      <x:c r="O133" s="165" t="str">
        <x:v>誤り。 これは発泡性ワインのルミュアージュに関する説明である。</x:v>
      </x:c>
      <x:c r="P133" s="165" t="str">
        <x:v>正しい。 発酵で浮き上がる果皮の層を果汁へ戻し、抽出、温度、酸素供給を管理する。頻度と強さでスタイルを調整できる。</x:v>
      </x:c>
      <x:c r="Q133" s="165" t="str">
        <x:v>人的要因（ワイナリー）</x:v>
      </x:c>
      <x:c r="R133" s="165" t="str">
        <x:v>赤ワイン発酵・抽出</x:v>
      </x:c>
      <x:c r="S133" s="165" t="str">
        <x:v>非発泡性ワイン</x:v>
      </x:c>
      <x:c r="T133" s="165"/>
      <x:c r="U133" s="165"/>
      <x:c r="V133" s="165"/>
      <x:c r="W133" s="165" t="str">
        <x:v>因果説明</x:v>
      </x:c>
      <x:c r="X133" s="171" t="str">
        <x:v>D2</x:v>
      </x:c>
      <x:c r="Y133" s="165" t="str">
        <x:v>キャップ管理は凍結・除去; ルミュアージュとの混同</x:v>
      </x:c>
      <x:c r="Z133" s="171" t="str">
        <x:v>N</x:v>
      </x:c>
      <x:c r="AA133" s="165"/>
      <x:c r="AB133" s="165" t="str">
        <x:v>オリジナル</x:v>
      </x:c>
      <x:c r="AC133" s="165" t="str">
        <x:v>公式Specificationの範囲＋ユーザー作成コーパスの論点と問題設計例を参考に独自作成</x:v>
      </x:c>
      <x:c r="AD133" s="171" t="str">
        <x:v>未レビュー</x:v>
      </x:c>
      <x:c r="AE133" s="171"/>
      <x:c r="AF133" s="171"/>
      <x:c r="AG133" s="166"/>
    </x:row>
    <x:row r="134" ht="84" customHeight="1">
      <x:c r="A134" s="164" t="str">
        <x:v>LO1-053</x:v>
      </x:c>
      <x:c r="B134" s="171" t="str">
        <x:v>LO1</x:v>
      </x:c>
      <x:c r="C134" s="165" t="str">
        <x:v>ブドウ畑・ワイナリーの自然要因と人的要因</x:v>
      </x:c>
      <x:c r="D134" s="165" t="str">
        <x:v>全房発酵</x:v>
      </x:c>
      <x:c r="E134" s="165" t="str">
        <x:v>熟した梗を含む全房を赤ワイン発酵に用いた場合に起こり得る影響はどれか。</x:v>
      </x:c>
      <x:c r="F134" s="165" t="str">
        <x:v>香りの複雑性とタンニンが増す一方、未熟な梗なら青い風味が出る可能性がある</x:v>
      </x:c>
      <x:c r="G134" s="165" t="str">
        <x:v>果皮と梗が発酵槽に入らないため、色が必ず無色になる</x:v>
      </x:c>
      <x:c r="H134" s="165" t="str">
        <x:v>糖がなくなるため、アルコール発酵が起こらない</x:v>
      </x:c>
      <x:c r="I134" s="165" t="str">
        <x:v>梗がワインの酸をすべて増やし、pHを必ず下げる</x:v>
      </x:c>
      <x:c r="J134" s="171" t="str">
        <x:v>A</x:v>
      </x:c>
      <x:c r="K134" s="165" t="str">
        <x:v>香りの複雑性とタンニンが増す一方、未熟な梗なら青い風味が出る可能性がある</x:v>
      </x:c>
      <x:c r="L134" s="165" t="str">
        <x:v>全房はスパイスや花の香り、構造、果粒内発酵の特徴を加え得るが、梗の成熟度が低いと青臭さや粗いタンニンが出る。</x:v>
      </x:c>
      <x:c r="M134" s="165" t="str">
        <x:v>正しい。 全房はスパイスや花の香り、構造、果粒内発酵の特徴を加え得るが、梗の成熟度が低いと青臭さや粗いタンニンが出る。</x:v>
      </x:c>
      <x:c r="N134" s="165" t="str">
        <x:v>誤り。 全房は果皮と梗を含めて発酵槽へ入れる方法であり、説明が逆である。</x:v>
      </x:c>
      <x:c r="O134" s="165" t="str">
        <x:v>誤り。 果粒には糖があり、破砕果汁や果粒内で発酵が進む。</x:v>
      </x:c>
      <x:c r="P134" s="165" t="str">
        <x:v>誤り。 梗はカリウムを含み、条件によってはpHを上げることもあり、酸を必ず増やすわけではない。</x:v>
      </x:c>
      <x:c r="Q134" s="165" t="str">
        <x:v>人的要因（ワイナリー）</x:v>
      </x:c>
      <x:c r="R134" s="165" t="str">
        <x:v>赤ワイン・全房発酵</x:v>
      </x:c>
      <x:c r="S134" s="165" t="str">
        <x:v>非発泡性ワイン</x:v>
      </x:c>
      <x:c r="T134" s="165"/>
      <x:c r="U134" s="165"/>
      <x:c r="V134" s="165"/>
      <x:c r="W134" s="165" t="str">
        <x:v>統合判断</x:v>
      </x:c>
      <x:c r="X134" s="171" t="str">
        <x:v>D3</x:v>
      </x:c>
      <x:c r="Y134" s="165" t="str">
        <x:v>全房発酵は果皮なし; 梗で酸が必ず増える</x:v>
      </x:c>
      <x:c r="Z134" s="171" t="str">
        <x:v>N</x:v>
      </x:c>
      <x:c r="AA134" s="165"/>
      <x:c r="AB134" s="165" t="str">
        <x:v>オリジナル</x:v>
      </x:c>
      <x:c r="AC134" s="165" t="str">
        <x:v>公式Specificationの範囲＋ユーザー作成コーパスの論点と問題設計例を参考に独自作成</x:v>
      </x:c>
      <x:c r="AD134" s="171" t="str">
        <x:v>未レビュー</x:v>
      </x:c>
      <x:c r="AE134" s="171"/>
      <x:c r="AF134" s="171"/>
      <x:c r="AG134" s="166"/>
    </x:row>
    <x:row r="135" ht="84" customHeight="1">
      <x:c r="A135" s="164" t="str">
        <x:v>LO1-054</x:v>
      </x:c>
      <x:c r="B135" s="171" t="str">
        <x:v>LO1</x:v>
      </x:c>
      <x:c r="C135" s="165" t="str">
        <x:v>ブドウ畑・ワイナリーの自然要因と人的要因</x:v>
      </x:c>
      <x:c r="D135" s="165" t="str">
        <x:v>除梗</x:v>
      </x:c>
      <x:c r="E135" s="165" t="str">
        <x:v>赤ワイン醸造で除梗を行う主な理由として最も適切なものはどれか。</x:v>
      </x:c>
      <x:c r="F135" s="165" t="str">
        <x:v>果汁中の糖をすべて除去し、低アルコールにする</x:v>
      </x:c>
      <x:c r="G135" s="165" t="str">
        <x:v>未熟な梗由来の青い風味や粗いタンニンを避け、抽出を果皮中心に管理する</x:v>
      </x:c>
      <x:c r="H135" s="165" t="str">
        <x:v>発酵後の澱を瓶口へ集める</x:v>
      </x:c>
      <x:c r="I135" s="165" t="str">
        <x:v>ブドウ品種を別の品種へ変える</x:v>
      </x:c>
      <x:c r="J135" s="171" t="str">
        <x:v>B</x:v>
      </x:c>
      <x:c r="K135" s="165" t="str">
        <x:v>未熟な梗由来の青い風味や粗いタンニンを避け、抽出を果皮中心に管理する</x:v>
      </x:c>
      <x:c r="L135" s="165" t="str">
        <x:v>梗を取り除くことで、梗由来の草本的風味やタンニンの影響を減らし、果皮と種子からの抽出を調整しやすくする。</x:v>
      </x:c>
      <x:c r="M135" s="165" t="str">
        <x:v>誤り。 除梗は梗を取り除く工程であり、果汁の糖を除去しない。</x:v>
      </x:c>
      <x:c r="N135" s="165" t="str">
        <x:v>正しい。 梗を取り除くことで、梗由来の草本的風味やタンニンの影響を減らし、果皮と種子からの抽出を調整しやすくする。</x:v>
      </x:c>
      <x:c r="O135" s="165" t="str">
        <x:v>誤り。 これは発泡性ワインの動瓶工程であり、除梗とは異なる。</x:v>
      </x:c>
      <x:c r="P135" s="165" t="str">
        <x:v>誤り。 除梗でブドウの遺伝的な品種が変わることはない。</x:v>
      </x:c>
      <x:c r="Q135" s="165" t="str">
        <x:v>人的要因（ワイナリー）</x:v>
      </x:c>
      <x:c r="R135" s="165" t="str">
        <x:v>ブドウ受入・除梗</x:v>
      </x:c>
      <x:c r="S135" s="165" t="str">
        <x:v>非発泡性ワイン</x:v>
      </x:c>
      <x:c r="T135" s="165"/>
      <x:c r="U135" s="165"/>
      <x:c r="V135" s="165"/>
      <x:c r="W135" s="165" t="str">
        <x:v>因果説明</x:v>
      </x:c>
      <x:c r="X135" s="171" t="str">
        <x:v>D1</x:v>
      </x:c>
      <x:c r="Y135" s="165" t="str">
        <x:v>除梗で糖除去; 除梗と動瓶の混同</x:v>
      </x:c>
      <x:c r="Z135" s="171" t="str">
        <x:v>N</x:v>
      </x:c>
      <x:c r="AA135" s="165"/>
      <x:c r="AB135" s="165" t="str">
        <x:v>オリジナル</x:v>
      </x:c>
      <x:c r="AC135" s="165" t="str">
        <x:v>公式Specificationの範囲＋ユーザー作成コーパスの論点と問題設計例を参考に独自作成</x:v>
      </x:c>
      <x:c r="AD135" s="171" t="str">
        <x:v>未レビュー</x:v>
      </x:c>
      <x:c r="AE135" s="171"/>
      <x:c r="AF135" s="171"/>
      <x:c r="AG135" s="166"/>
    </x:row>
    <x:row r="136" ht="84" customHeight="1">
      <x:c r="A136" s="164" t="str">
        <x:v>LO1-055</x:v>
      </x:c>
      <x:c r="B136" s="171" t="str">
        <x:v>LO1</x:v>
      </x:c>
      <x:c r="C136" s="165" t="str">
        <x:v>ブドウ畑・ワイナリーの自然要因と人的要因</x:v>
      </x:c>
      <x:c r="D136" s="165" t="str">
        <x:v>白ワインの果皮接触</x:v>
      </x:c>
      <x:c r="E136" s="165" t="str">
        <x:v>芳香性白ブドウで発酵前に短時間の果皮接触を行う際の主な利点とリスクはどれか。</x:v>
      </x:c>
      <x:c r="F136" s="165" t="str">
        <x:v>香りをすべて除去できる一方、糖度が必ず上がる</x:v>
      </x:c>
      <x:c r="G136" s="165" t="str">
        <x:v>色とタンニンが完全になくなる一方、果汁量が倍になる</x:v>
      </x:c>
      <x:c r="H136" s="165" t="str">
        <x:v>香り成分を抽出できる一方、過度なら苦味、フェノール、酸化のリスクが増す</x:v>
      </x:c>
      <x:c r="I136" s="165" t="str">
        <x:v>発酵が不要になる一方、アルコール度が自然に上がる</x:v>
      </x:c>
      <x:c r="J136" s="171" t="str">
        <x:v>C</x:v>
      </x:c>
      <x:c r="K136" s="165" t="str">
        <x:v>香り成分を抽出できる一方、過度なら苦味、フェノール、酸化のリスクが増す</x:v>
      </x:c>
      <x:c r="L136" s="165" t="str">
        <x:v>多くの香気前駆体は果皮周辺にあるため抽出が増えるが、長すぎる接触は望ましくないフェノールや酸化も招き得る。</x:v>
      </x:c>
      <x:c r="M136" s="165" t="str">
        <x:v>誤り。 果皮接触は香り抽出を目的とすることがあり、香りをすべて除去したり糖度を必ず上げたりしない。</x:v>
      </x:c>
      <x:c r="N136" s="165" t="str">
        <x:v>誤り。 果皮接触はフェノールを増やす可能性があり、果汁量を倍にするものではない。</x:v>
      </x:c>
      <x:c r="O136" s="165" t="str">
        <x:v>正しい。 多くの香気前駆体は果皮周辺にあるため抽出が増えるが、長すぎる接触は望ましくないフェノールや酸化も招き得る。</x:v>
      </x:c>
      <x:c r="P136" s="165" t="str">
        <x:v>誤り。 アルコール生成には発酵が必要で、果皮接触だけではアルコールは生じない。</x:v>
      </x:c>
      <x:c r="Q136" s="165" t="str">
        <x:v>人的要因（ワイナリー）</x:v>
      </x:c>
      <x:c r="R136" s="165" t="str">
        <x:v>白ワイン・果皮接触</x:v>
      </x:c>
      <x:c r="S136" s="165" t="str">
        <x:v>非発泡性ワイン</x:v>
      </x:c>
      <x:c r="T136" s="165"/>
      <x:c r="U136" s="165"/>
      <x:c r="V136" s="165"/>
      <x:c r="W136" s="165" t="str">
        <x:v>統合判断</x:v>
      </x:c>
      <x:c r="X136" s="171" t="str">
        <x:v>D3</x:v>
      </x:c>
      <x:c r="Y136" s="165" t="str">
        <x:v>果皮接触で香り除去・糖増加; 発酵不要</x:v>
      </x:c>
      <x:c r="Z136" s="171" t="str">
        <x:v>N</x:v>
      </x:c>
      <x:c r="AA136" s="165"/>
      <x:c r="AB136" s="165" t="str">
        <x:v>オリジナル</x:v>
      </x:c>
      <x:c r="AC136" s="165" t="str">
        <x:v>公式Specificationの範囲＋ユーザー作成コーパスの論点と問題設計例を参考に独自作成</x:v>
      </x:c>
      <x:c r="AD136" s="171" t="str">
        <x:v>未レビュー</x:v>
      </x:c>
      <x:c r="AE136" s="171"/>
      <x:c r="AF136" s="171"/>
      <x:c r="AG136" s="166"/>
    </x:row>
    <x:row r="137" ht="84" customHeight="1">
      <x:c r="A137" s="164" t="str">
        <x:v>LO1-056</x:v>
      </x:c>
      <x:c r="B137" s="171" t="str">
        <x:v>LO1</x:v>
      </x:c>
      <x:c r="C137" s="165" t="str">
        <x:v>ブドウ畑・ワイナリーの自然要因と人的要因</x:v>
      </x:c>
      <x:c r="D137" s="165" t="str">
        <x:v>セニエ法</x:v>
      </x:c>
      <x:c r="E137" s="165" t="str">
        <x:v>セニエ法でロゼワインを造る方法として最も適切なものはどれか。</x:v>
      </x:c>
      <x:c r="F137" s="165" t="str">
        <x:v>完成した赤ワインへ水を加え、色を薄める</x:v>
      </x:c>
      <x:c r="G137" s="165" t="str">
        <x:v>白ブドウを長期間果皮と発酵させ、黒くする</x:v>
      </x:c>
      <x:c r="H137" s="165" t="str">
        <x:v>瓶内二次発酵後に澱を抜き、色を付ける</x:v>
      </x:c>
      <x:c r="I137" s="165" t="str">
        <x:v>黒ブドウを短時間醸した後、着色した果汁の一部を抜き取り、別に発酵させる</x:v>
      </x:c>
      <x:c r="J137" s="171" t="str">
        <x:v>D</x:v>
      </x:c>
      <x:c r="K137" s="165" t="str">
        <x:v>黒ブドウを短時間醸した後、着色した果汁の一部を抜き取り、別に発酵させる</x:v>
      </x:c>
      <x:c r="L137" s="165" t="str">
        <x:v>セニエでは赤ワイン用の果皮と果汁を接触させたタンクから淡く着色した果汁を抜き、ロゼとして発酵する。残る赤ワインの果皮比率も高まる。</x:v>
      </x:c>
      <x:c r="M137" s="165" t="str">
        <x:v>誤り。 水で希釈する方法ではなく、発酵前または初期の果汁を抜き取る。</x:v>
      </x:c>
      <x:c r="N137" s="165" t="str">
        <x:v>誤り。 セニエは通常黒ブドウを用いるロゼ製法であり、白ブドウを黒くする方法ではない。</x:v>
      </x:c>
      <x:c r="O137" s="165" t="str">
        <x:v>誤り。 澱抜きは発泡性ワインの工程で、セニエの着色方法ではない。</x:v>
      </x:c>
      <x:c r="P137" s="165" t="str">
        <x:v>正しい。 セニエでは赤ワイン用の果皮と果汁を接触させたタンクから淡く着色した果汁を抜き、ロゼとして発酵する。残る赤ワインの果皮比率も高まる。</x:v>
      </x:c>
      <x:c r="Q137" s="165" t="str">
        <x:v>人的要因（ワイナリー）</x:v>
      </x:c>
      <x:c r="R137" s="165" t="str">
        <x:v>ロゼ・セニエ</x:v>
      </x:c>
      <x:c r="S137" s="165" t="str">
        <x:v>非発泡性ロゼ</x:v>
      </x:c>
      <x:c r="T137" s="165"/>
      <x:c r="U137" s="165"/>
      <x:c r="V137" s="165"/>
      <x:c r="W137" s="165" t="str">
        <x:v>知識確認</x:v>
      </x:c>
      <x:c r="X137" s="171" t="str">
        <x:v>D1</x:v>
      </x:c>
      <x:c r="Y137" s="165" t="str">
        <x:v>セニエは希釈; セニエと澱抜きの混同</x:v>
      </x:c>
      <x:c r="Z137" s="171" t="str">
        <x:v>N</x:v>
      </x:c>
      <x:c r="AA137" s="165"/>
      <x:c r="AB137" s="165" t="str">
        <x:v>オリジナル</x:v>
      </x:c>
      <x:c r="AC137" s="165" t="str">
        <x:v>公式Specificationの範囲＋ユーザー作成コーパスの論点と問題設計例を参考に独自作成</x:v>
      </x:c>
      <x:c r="AD137" s="171" t="str">
        <x:v>未レビュー</x:v>
      </x:c>
      <x:c r="AE137" s="171"/>
      <x:c r="AF137" s="171"/>
      <x:c r="AG137" s="166"/>
    </x:row>
    <x:row r="138" ht="84" customHeight="1">
      <x:c r="A138" s="164" t="str">
        <x:v>LO1-057</x:v>
      </x:c>
      <x:c r="B138" s="171" t="str">
        <x:v>LO1</x:v>
      </x:c>
      <x:c r="C138" s="165" t="str">
        <x:v>ブドウ畑・ワイナリーの自然要因と人的要因</x:v>
      </x:c>
      <x:c r="D138" s="165" t="str">
        <x:v>直接圧搾ロゼ</x:v>
      </x:c>
      <x:c r="E138" s="165" t="str">
        <x:v>黒ブドウを直接圧搾して造るロゼが淡い色になりやすい主な理由はどれか。</x:v>
      </x:c>
      <x:c r="F138" s="165" t="str">
        <x:v>果汁と果皮の接触時間が短く、色素の抽出が少ないため</x:v>
      </x:c>
      <x:c r="G138" s="165" t="str">
        <x:v>黒ブドウの果肉に色素がなく、果皮も一切圧搾機に入らないため</x:v>
      </x:c>
      <x:c r="H138" s="165" t="str">
        <x:v>発酵後にすべての色素を濾過で取り除くため</x:v>
      </x:c>
      <x:c r="I138" s="165" t="str">
        <x:v>白ワインと必ず半量ずつブレンドするため</x:v>
      </x:c>
      <x:c r="J138" s="171" t="str">
        <x:v>A</x:v>
      </x:c>
      <x:c r="K138" s="165" t="str">
        <x:v>果汁と果皮の接触時間が短く、色素の抽出が少ないため</x:v>
      </x:c>
      <x:c r="L138" s="165" t="str">
        <x:v>黒ブドウの果肉は通常無色で、色素は果皮にある。早く圧搾して接触を最小限にすると淡いロゼになる。</x:v>
      </x:c>
      <x:c r="M138" s="165" t="str">
        <x:v>正しい。 黒ブドウの果肉は通常無色で、色素は果皮にある。早く圧搾して接触を最小限にすると淡いロゼになる。</x:v>
      </x:c>
      <x:c r="N138" s="165" t="str">
        <x:v>誤り。 果皮は圧搾機に入るが、接触時間と抽出が少ないことがポイントである。</x:v>
      </x:c>
      <x:c r="O138" s="165" t="str">
        <x:v>誤り。 通常は発酵前の短い接触で淡色を得るのであり、色素をすべて濾過する方法ではない。</x:v>
      </x:c>
      <x:c r="P138" s="165" t="str">
        <x:v>誤り。 非発泡性ロゼは通常、白と赤を必ず半量ずつ混ぜるわけではない。</x:v>
      </x:c>
      <x:c r="Q138" s="165" t="str">
        <x:v>人的要因（ワイナリー）</x:v>
      </x:c>
      <x:c r="R138" s="165" t="str">
        <x:v>ロゼ・直接圧搾</x:v>
      </x:c>
      <x:c r="S138" s="165" t="str">
        <x:v>非発泡性ロゼ</x:v>
      </x:c>
      <x:c r="T138" s="165"/>
      <x:c r="U138" s="165"/>
      <x:c r="V138" s="165"/>
      <x:c r="W138" s="165" t="str">
        <x:v>因果説明</x:v>
      </x:c>
      <x:c r="X138" s="171" t="str">
        <x:v>D2</x:v>
      </x:c>
      <x:c r="Y138" s="165" t="str">
        <x:v>直接圧搾で果皮不使用; ロゼは必ず白赤ブレンド</x:v>
      </x:c>
      <x:c r="Z138" s="171" t="str">
        <x:v>N</x:v>
      </x:c>
      <x:c r="AA138" s="165"/>
      <x:c r="AB138" s="165" t="str">
        <x:v>オリジナル</x:v>
      </x:c>
      <x:c r="AC138" s="165" t="str">
        <x:v>公式Specificationの範囲＋ユーザー作成コーパスの論点と問題設計例を参考に独自作成</x:v>
      </x:c>
      <x:c r="AD138" s="171" t="str">
        <x:v>未レビュー</x:v>
      </x:c>
      <x:c r="AE138" s="171"/>
      <x:c r="AF138" s="171"/>
      <x:c r="AG138" s="166"/>
    </x:row>
    <x:row r="139" ht="84" customHeight="1">
      <x:c r="A139" s="164" t="str">
        <x:v>LO1-058</x:v>
      </x:c>
      <x:c r="B139" s="171" t="str">
        <x:v>LO1</x:v>
      </x:c>
      <x:c r="C139" s="165" t="str">
        <x:v>ブドウ畑・ワイナリーの自然要因と人的要因</x:v>
      </x:c>
      <x:c r="D139" s="165" t="str">
        <x:v>不活性ガス</x:v>
      </x:c>
      <x:c r="E139" s="165" t="str">
        <x:v>ワイナリーで窒素や二酸化炭素などの不活性ガスを使用する主な目的はどれか。</x:v>
      </x:c>
      <x:c r="F139" s="165" t="str">
        <x:v>果汁へ糖と酸を同時に加える</x:v>
      </x:c>
      <x:c r="G139" s="165" t="str">
        <x:v>タンクや配管内の酸素を置き換え、酸化を抑える</x:v>
      </x:c>
      <x:c r="H139" s="165" t="str">
        <x:v>タンニンを固めて濾過せずに除去する</x:v>
      </x:c>
      <x:c r="I139" s="165" t="str">
        <x:v>アルコール発酵を行わずにワインを造る</x:v>
      </x:c>
      <x:c r="J139" s="171" t="str">
        <x:v>B</x:v>
      </x:c>
      <x:c r="K139" s="165" t="str">
        <x:v>タンクや配管内の酸素を置き換え、酸化を抑える</x:v>
      </x:c>
      <x:c r="L139" s="165" t="str">
        <x:v>不活性ガスでワインや果汁の表面を覆うと、酸素との接触を減らし、褐変や果実香の損失を抑えられる。</x:v>
      </x:c>
      <x:c r="M139" s="165" t="str">
        <x:v>誤り。 不活性ガスは糖分や酸度を直接増やす添加物ではない。</x:v>
      </x:c>
      <x:c r="N139" s="165" t="str">
        <x:v>正しい。 不活性ガスでワインや果汁の表面を覆うと、酸素との接触を減らし、褐変や果実香の損失を抑えられる。</x:v>
      </x:c>
      <x:c r="O139" s="165" t="str">
        <x:v>誤り。 不活性ガスはタンニン除去の清澄剤ではない。</x:v>
      </x:c>
      <x:c r="P139" s="165" t="str">
        <x:v>誤り。 酸化防止に使われるが、アルコール生成には発酵が必要である。</x:v>
      </x:c>
      <x:c r="Q139" s="165" t="str">
        <x:v>人的要因（ワイナリー）</x:v>
      </x:c>
      <x:c r="R139" s="165" t="str">
        <x:v>酸素管理・不活性ガス</x:v>
      </x:c>
      <x:c r="S139" s="165" t="str">
        <x:v>非発泡性ワイン</x:v>
      </x:c>
      <x:c r="T139" s="165"/>
      <x:c r="U139" s="165"/>
      <x:c r="V139" s="165"/>
      <x:c r="W139" s="165" t="str">
        <x:v>知識確認</x:v>
      </x:c>
      <x:c r="X139" s="171" t="str">
        <x:v>D1</x:v>
      </x:c>
      <x:c r="Y139" s="165" t="str">
        <x:v>不活性ガスで糖酸追加; 発酵不要</x:v>
      </x:c>
      <x:c r="Z139" s="171" t="str">
        <x:v>N</x:v>
      </x:c>
      <x:c r="AA139" s="165"/>
      <x:c r="AB139" s="165" t="str">
        <x:v>オリジナル</x:v>
      </x:c>
      <x:c r="AC139" s="165" t="str">
        <x:v>公式Specificationの範囲＋ユーザー作成コーパスの論点と問題設計例を参考に独自作成</x:v>
      </x:c>
      <x:c r="AD139" s="171" t="str">
        <x:v>未レビュー</x:v>
      </x:c>
      <x:c r="AE139" s="171"/>
      <x:c r="AF139" s="171"/>
      <x:c r="AG139" s="166"/>
    </x:row>
    <x:row r="140" ht="84" customHeight="1">
      <x:c r="A140" s="164" t="str">
        <x:v>LO1-059</x:v>
      </x:c>
      <x:c r="B140" s="171" t="str">
        <x:v>LO1</x:v>
      </x:c>
      <x:c r="C140" s="165" t="str">
        <x:v>ブドウ畑・ワイナリーの自然要因と人的要因</x:v>
      </x:c>
      <x:c r="D140" s="165" t="str">
        <x:v>アメリカンオーク</x:v>
      </x:c>
      <x:c r="E140" s="165" t="str">
        <x:v>新しいアメリカンオーク樽がワインへ与えやすい特徴はどれか。</x:v>
      </x:c>
      <x:c r="F140" s="165" t="str">
        <x:v>塩味と海藻の香りだけを与え、タンニンは加えない</x:v>
      </x:c>
      <x:c r="G140" s="165" t="str">
        <x:v>ワインのアルコールをすべて除去する</x:v>
      </x:c>
      <x:c r="H140" s="165" t="str">
        <x:v>比較的強いバニラやココナッツ、甘いスパイスを思わせる風味</x:v>
      </x:c>
      <x:c r="I140" s="165" t="str">
        <x:v>果実香を必ず完全に消し、無香にする</x:v>
      </x:c>
      <x:c r="J140" s="171" t="str">
        <x:v>C</x:v>
      </x:c>
      <x:c r="K140" s="165" t="str">
        <x:v>比較的強いバニラやココナッツ、甘いスパイスを思わせる風味</x:v>
      </x:c>
      <x:c r="L140" s="165" t="str">
        <x:v>アメリカンオークは一般に香りの影響が明確で、バニラ、ココナッツ、ディル、甘いスパイスなどを与えやすい。</x:v>
      </x:c>
      <x:c r="M140" s="165" t="str">
        <x:v>誤り。 オークは塩分を加えるものではなく、香りやタンニン、酸素透過の影響を与える。</x:v>
      </x:c>
      <x:c r="N140" s="165" t="str">
        <x:v>誤り。 樽熟成でアルコールがすべて除去されることはない。</x:v>
      </x:c>
      <x:c r="O140" s="165" t="str">
        <x:v>正しい。 アメリカンオークは一般に香りの影響が明確で、バニラ、ココナッツ、ディル、甘いスパイスなどを与えやすい。</x:v>
      </x:c>
      <x:c r="P140" s="165" t="str">
        <x:v>誤り。 樽香が果実を覆うことはあるが、果実香を必ず完全に消すわけではない。</x:v>
      </x:c>
      <x:c r="Q140" s="165" t="str">
        <x:v>人的要因（ワイナリー）</x:v>
      </x:c>
      <x:c r="R140" s="165" t="str">
        <x:v>熟成・オーク種</x:v>
      </x:c>
      <x:c r="S140" s="165" t="str">
        <x:v>非発泡性ワイン</x:v>
      </x:c>
      <x:c r="T140" s="165"/>
      <x:c r="U140" s="165"/>
      <x:c r="V140" s="165"/>
      <x:c r="W140" s="165" t="str">
        <x:v>知識確認</x:v>
      </x:c>
      <x:c r="X140" s="171" t="str">
        <x:v>D1</x:v>
      </x:c>
      <x:c r="Y140" s="165" t="str">
        <x:v>オークが塩分・脱アルコール; 樽で果実香完全消失</x:v>
      </x:c>
      <x:c r="Z140" s="171" t="str">
        <x:v>N</x:v>
      </x:c>
      <x:c r="AA140" s="165"/>
      <x:c r="AB140" s="165" t="str">
        <x:v>オリジナル</x:v>
      </x:c>
      <x:c r="AC140" s="165" t="str">
        <x:v>公式Specificationの範囲＋ユーザー作成コーパスの論点と問題設計例を参考に独自作成</x:v>
      </x:c>
      <x:c r="AD140" s="171" t="str">
        <x:v>未レビュー</x:v>
      </x:c>
      <x:c r="AE140" s="171"/>
      <x:c r="AF140" s="171"/>
      <x:c r="AG140" s="166"/>
    </x:row>
    <x:row r="141" ht="84" customHeight="1">
      <x:c r="A141" s="164" t="str">
        <x:v>LO1-060</x:v>
      </x:c>
      <x:c r="B141" s="171" t="str">
        <x:v>LO1</x:v>
      </x:c>
      <x:c r="C141" s="165" t="str">
        <x:v>ブドウ畑・ワイナリーの自然要因と人的要因</x:v>
      </x:c>
      <x:c r="D141" s="165" t="str">
        <x:v>スクリューキャップ</x:v>
      </x:c>
      <x:c r="E141" s="165" t="str">
        <x:v>スクリューキャップを天然コルクと比較した利点として最も適切なものはどれか。</x:v>
      </x:c>
      <x:c r="F141" s="165" t="str">
        <x:v>すべてのワインを開栓後も永久に酸化させない</x:v>
      </x:c>
      <x:c r="G141" s="165" t="str">
        <x:v>瓶内熟成を完全に止め、香りを一切変化させない</x:v>
      </x:c>
      <x:c r="H141" s="165" t="str">
        <x:v>天然コルクより必ず多量の酸素を通す</x:v>
      </x:c>
      <x:c r="I141" s="165" t="str">
        <x:v>コルク汚染のリスクがなく、比較的一貫した酸素透過を得やすい</x:v>
      </x:c>
      <x:c r="J141" s="171" t="str">
        <x:v>D</x:v>
      </x:c>
      <x:c r="K141" s="165" t="str">
        <x:v>コルク汚染のリスクがなく、比較的一貫した酸素透過を得やすい</x:v>
      </x:c>
      <x:c r="L141" s="165" t="str">
        <x:v>スクリューキャップはTCA由来のコルク汚染を避けられ、製品仕様に応じて密閉性が比較的均一で、フレッシュなスタイルに適する。</x:v>
      </x:c>
      <x:c r="M141" s="165" t="str">
        <x:v>誤り。 開栓後は酸素に触れ、スクリューキャップでも永久保存できない。</x:v>
      </x:c>
      <x:c r="N141" s="165" t="str">
        <x:v>誤り。 酸素が少なくても化学反応は進み、熟成が完全に止まるわけではない。</x:v>
      </x:c>
      <x:c r="O141" s="165" t="str">
        <x:v>誤り。 酸素透過は製品設計で異なり、必ず天然コルクより多いとはいえない。</x:v>
      </x:c>
      <x:c r="P141" s="165" t="str">
        <x:v>正しい。 スクリューキャップはTCA由来のコルク汚染を避けられ、製品仕様に応じて密閉性が比較的均一で、フレッシュなスタイルに適する。</x:v>
      </x:c>
      <x:c r="Q141" s="165" t="str">
        <x:v>人的要因（ワイナリー）</x:v>
      </x:c>
      <x:c r="R141" s="165" t="str">
        <x:v>栓・スクリューキャップ</x:v>
      </x:c>
      <x:c r="S141" s="165" t="str">
        <x:v>非発泡性ワイン</x:v>
      </x:c>
      <x:c r="T141" s="165"/>
      <x:c r="U141" s="165"/>
      <x:c r="V141" s="165"/>
      <x:c r="W141" s="165" t="str">
        <x:v>比較</x:v>
      </x:c>
      <x:c r="X141" s="171" t="str">
        <x:v>D2</x:v>
      </x:c>
      <x:c r="Y141" s="165" t="str">
        <x:v>スクリューキャップで永久保存; 熟成完全停止; 酸素透過は必ず多い</x:v>
      </x:c>
      <x:c r="Z141" s="171" t="str">
        <x:v>N</x:v>
      </x:c>
      <x:c r="AA141" s="165"/>
      <x:c r="AB141" s="165" t="str">
        <x:v>オリジナル</x:v>
      </x:c>
      <x:c r="AC141" s="165" t="str">
        <x:v>公式Specificationの範囲＋ユーザー作成コーパスの論点と問題設計例を参考に独自作成</x:v>
      </x:c>
      <x:c r="AD141" s="171" t="str">
        <x:v>未レビュー</x:v>
      </x:c>
      <x:c r="AE141" s="171"/>
      <x:c r="AF141" s="171"/>
      <x:c r="AG141" s="166"/>
    </x:row>
    <x:row r="142" ht="84" customHeight="1">
      <x:c r="A142" s="164" t="str">
        <x:v>LO2-021</x:v>
      </x:c>
      <x:c r="B142" s="171" t="str">
        <x:v>LO2</x:v>
      </x:c>
      <x:c r="C142" s="165" t="str">
        <x:v>世界の主要な非発泡性ワイン</x:v>
      </x:c>
      <x:c r="D142" s="165" t="str">
        <x:v>ペサック・レオニャン</x:v>
      </x:c>
      <x:c r="E142" s="165" t="str">
        <x:v>ペサック・レオニャンの上質な辛口白ワインに、複雑さと熟成能力を与える組み合わせとして最も適切なものはどれか。</x:v>
      </x:c>
      <x:c r="F142" s="165" t="str">
        <x:v>ソーヴィニヨン・ブランとセミヨンを用い、樽発酵または樽熟成を取り入れる</x:v>
      </x:c>
      <x:c r="G142" s="165" t="str">
        <x:v>ガメイを炭酸ガス浸漬法で発酵し、早期瓶詰めする</x:v>
      </x:c>
      <x:c r="H142" s="165" t="str">
        <x:v>マスカットを発酵途中で酒精強化し、甘味を残す</x:v>
      </x:c>
      <x:c r="I142" s="165" t="str">
        <x:v>ネッビオーロを長期の果皮浸漬後、大樽で熟成する</x:v>
      </x:c>
      <x:c r="J142" s="171" t="str">
        <x:v>A</x:v>
      </x:c>
      <x:c r="K142" s="165" t="str">
        <x:v>ソーヴィニヨン・ブランとセミヨンを用い、樽発酵または樽熟成を取り入れる</x:v>
      </x:c>
      <x:c r="L142" s="165" t="str">
        <x:v>ソーヴィニヨン・ブランの酸と香りに、セミヨンのボディと熟成能力を組み合わせ、オークや澱との接触で複雑性を高めることがある。</x:v>
      </x:c>
      <x:c r="M142" s="165" t="str">
        <x:v>正しい。 ソーヴィニヨン・ブランの酸と香りに、セミヨンのボディと熟成能力を組み合わせ、オークや澱との接触で複雑性を高めることがある。</x:v>
      </x:c>
      <x:c r="N142" s="165" t="str">
        <x:v>誤り。 これはボージョレの若飲み赤ワインに近い組み合わせで、ペサック・レオニャンの辛口白とは異なる。</x:v>
      </x:c>
      <x:c r="O142" s="165" t="str">
        <x:v>誤り。 これは酒精強化マスカットの製法であり、辛口白ワインの説明ではない。</x:v>
      </x:c>
      <x:c r="P142" s="165" t="str">
        <x:v>誤り。 これはピエモンテの赤ワインに関連する方法で、ボルドー白の品種と製法ではない。</x:v>
      </x:c>
      <x:c r="Q142" s="165" t="str">
        <x:v>醸造・産地</x:v>
      </x:c>
      <x:c r="R142" s="165" t="str">
        <x:v>白ワイン・樽発酵熟成</x:v>
      </x:c>
      <x:c r="S142" s="165" t="str">
        <x:v>非発泡性白ワイン</x:v>
      </x:c>
      <x:c r="T142" s="165" t="str">
        <x:v>フランス</x:v>
      </x:c>
      <x:c r="U142" s="165" t="str">
        <x:v>ボルドー／ペサック・レオニャン</x:v>
      </x:c>
      <x:c r="V142" s="165" t="str">
        <x:v>ソーヴィニヨン・ブラン、セミヨン</x:v>
      </x:c>
      <x:c r="W142" s="165" t="str">
        <x:v>統合判断</x:v>
      </x:c>
      <x:c r="X142" s="171" t="str">
        <x:v>D3</x:v>
      </x:c>
      <x:c r="Y142" s="165" t="str">
        <x:v>ペサック白をガメイ・酒精強化・ネッビオーロと混同</x:v>
      </x:c>
      <x:c r="Z142" s="171" t="str">
        <x:v>N</x:v>
      </x:c>
      <x:c r="AA142" s="165"/>
      <x:c r="AB142" s="165" t="str">
        <x:v>オリジナル</x:v>
      </x:c>
      <x:c r="AC142" s="165" t="str">
        <x:v>公式Specificationの範囲＋ユーザー作成コーパスの論点と問題設計例を参考に独自作成</x:v>
      </x:c>
      <x:c r="AD142" s="171" t="str">
        <x:v>未レビュー</x:v>
      </x:c>
      <x:c r="AE142" s="171"/>
      <x:c r="AF142" s="171"/>
      <x:c r="AG142" s="166"/>
    </x:row>
    <x:row r="143" ht="84" customHeight="1">
      <x:c r="A143" s="164" t="str">
        <x:v>LO2-022</x:v>
      </x:c>
      <x:c r="B143" s="171" t="str">
        <x:v>LO2</x:v>
      </x:c>
      <x:c r="C143" s="165" t="str">
        <x:v>世界の主要な非発泡性ワイン</x:v>
      </x:c>
      <x:c r="D143" s="165" t="str">
        <x:v>サンテミリオン</x:v>
      </x:c>
      <x:c r="E143" s="165" t="str">
        <x:v>サンテミリオンでメルロとカベルネ・フランが重要となる理由として最も適切なものはどれか。</x:v>
      </x:c>
      <x:c r="F143" s="165" t="str">
        <x:v>両品種は非常に晩熟で、最も暑い砂漠だけに適する</x:v>
      </x:c>
      <x:c r="G143" s="165" t="str">
        <x:v>粘土や石灰岩を含む比較的冷涼な右岸の条件で、カベルネ・ソーヴィニヨンより成熟しやすい</x:v>
      </x:c>
      <x:c r="H143" s="165" t="str">
        <x:v>両品種は白ブドウで、高い酸の辛口白を造る</x:v>
      </x:c>
      <x:c r="I143" s="165" t="str">
        <x:v>海霧が一年中畑を覆い、光合成を完全に止める</x:v>
      </x:c>
      <x:c r="J143" s="171" t="str">
        <x:v>B</x:v>
      </x:c>
      <x:c r="K143" s="165" t="str">
        <x:v>粘土や石灰岩を含む比較的冷涼な右岸の条件で、カベルネ・ソーヴィニヨンより成熟しやすい</x:v>
      </x:c>
      <x:c r="L143" s="165" t="str">
        <x:v>メルロは早熟で粘土質土壌に適し、カベルネ・フランも比較的早く成熟するため、右岸の気候と土壌で安定した成熟を得やすい。</x:v>
      </x:c>
      <x:c r="M143" s="165" t="str">
        <x:v>誤り。 メルロはカベルネ・ソーヴィニヨンより早熟で、砂漠だけに適する品種ではない。</x:v>
      </x:c>
      <x:c r="N143" s="165" t="str">
        <x:v>正しい。 メルロは早熟で粘土質土壌に適し、カベルネ・フランも比較的早く成熟するため、右岸の気候と土壌で安定した成熟を得やすい。</x:v>
      </x:c>
      <x:c r="O143" s="165" t="str">
        <x:v>誤り。 メルロとカベルネ・フランは黒ブドウで、サンテミリオンでは主に赤ワインを造る。</x:v>
      </x:c>
      <x:c r="P143" s="165" t="str">
        <x:v>誤り。 海洋性の影響はあるが、光合成を一年中止めるような恒常的な海霧が理由ではない。</x:v>
      </x:c>
      <x:c r="Q143" s="165" t="str">
        <x:v>自然要因・産地</x:v>
      </x:c>
      <x:c r="R143" s="165" t="str">
        <x:v>土壌・品種適性</x:v>
      </x:c>
      <x:c r="S143" s="165" t="str">
        <x:v>非発泡性赤ワイン</x:v>
      </x:c>
      <x:c r="T143" s="165" t="str">
        <x:v>フランス</x:v>
      </x:c>
      <x:c r="U143" s="165" t="str">
        <x:v>ボルドー／サンテミリオン</x:v>
      </x:c>
      <x:c r="V143" s="165" t="str">
        <x:v>メルロ、カベルネ・フラン</x:v>
      </x:c>
      <x:c r="W143" s="165" t="str">
        <x:v>因果説明</x:v>
      </x:c>
      <x:c r="X143" s="171" t="str">
        <x:v>D2</x:v>
      </x:c>
      <x:c r="Y143" s="165" t="str">
        <x:v>右岸品種は晩熟; メルロとカベルネ・フランは白品種</x:v>
      </x:c>
      <x:c r="Z143" s="171" t="str">
        <x:v>N</x:v>
      </x:c>
      <x:c r="AA143" s="165"/>
      <x:c r="AB143" s="165" t="str">
        <x:v>オリジナル</x:v>
      </x:c>
      <x:c r="AC143" s="165" t="str">
        <x:v>公式Specificationの範囲＋ユーザー作成コーパスの論点と問題設計例を参考に独自作成</x:v>
      </x:c>
      <x:c r="AD143" s="171" t="str">
        <x:v>未レビュー</x:v>
      </x:c>
      <x:c r="AE143" s="171"/>
      <x:c r="AF143" s="171"/>
      <x:c r="AG143" s="166"/>
    </x:row>
    <x:row r="144" ht="84" customHeight="1">
      <x:c r="A144" s="164" t="str">
        <x:v>LO2-023</x:v>
      </x:c>
      <x:c r="B144" s="171" t="str">
        <x:v>LO2</x:v>
      </x:c>
      <x:c r="C144" s="165" t="str">
        <x:v>世界の主要な非発泡性ワイン</x:v>
      </x:c>
      <x:c r="D144" s="165" t="str">
        <x:v>クリュ・ボージョレ</x:v>
      </x:c>
      <x:c r="E144" s="165" t="str">
        <x:v>クリュ・ボージョレが一般的なボージョレより高い品質と熟成能力を持ちやすい理由はどれか。</x:v>
      </x:c>
      <x:c r="F144" s="165" t="str">
        <x:v>白ブドウだけを使い、瓶内二次発酵を義務付けられている</x:v>
      </x:c>
      <x:c r="G144" s="165" t="str">
        <x:v>収穫後に必ずブドウを凍結し、甘口にする</x:v>
      </x:c>
      <x:c r="H144" s="165" t="str">
        <x:v>北部の花崗岩質丘陵など、ガメイに適した特定区画から低めの収量で造られることが多い</x:v>
      </x:c>
      <x:c r="I144" s="165" t="str">
        <x:v>平坦な高収量畑だけから造られ、早飲みを唯一の目的とする</x:v>
      </x:c>
      <x:c r="J144" s="171" t="str">
        <x:v>C</x:v>
      </x:c>
      <x:c r="K144" s="165" t="str">
        <x:v>北部の花崗岩質丘陵など、ガメイに適した特定区画から低めの収量で造られることが多い</x:v>
      </x:c>
      <x:c r="L144" s="165" t="str">
        <x:v>クリュの多くは北部の丘陵に位置し、排水性と日照に恵まれ、より凝縮したガメイを得やすく、生産者が構造を意識した醸造を行うこともある。</x:v>
      </x:c>
      <x:c r="M144" s="165" t="str">
        <x:v>誤り。 クリュ・ボージョレは主にガメイの赤ワインで、発泡性ワインの区分ではない。</x:v>
      </x:c>
      <x:c r="N144" s="165" t="str">
        <x:v>誤り。 凍結濃縮はクリュ・ボージョレの標準的な製法ではない。</x:v>
      </x:c>
      <x:c r="O144" s="165" t="str">
        <x:v>正しい。 クリュの多くは北部の丘陵に位置し、排水性と日照に恵まれ、より凝縮したガメイを得やすく、生産者が構造を意識した醸造を行うこともある。</x:v>
      </x:c>
      <x:c r="P144" s="165" t="str">
        <x:v>誤り。 クリュは丘陵の特定産地で、一般的なボージョレより凝縮度と熟成能力を持つものが多い。</x:v>
      </x:c>
      <x:c r="Q144" s="165" t="str">
        <x:v>自然・人的要因</x:v>
      </x:c>
      <x:c r="R144" s="165" t="str">
        <x:v>クリュ・品質</x:v>
      </x:c>
      <x:c r="S144" s="165" t="str">
        <x:v>非発泡性赤ワイン</x:v>
      </x:c>
      <x:c r="T144" s="165" t="str">
        <x:v>フランス</x:v>
      </x:c>
      <x:c r="U144" s="165" t="str">
        <x:v>ボージョレ</x:v>
      </x:c>
      <x:c r="V144" s="165" t="str">
        <x:v>ガメイ</x:v>
      </x:c>
      <x:c r="W144" s="165" t="str">
        <x:v>統合判断</x:v>
      </x:c>
      <x:c r="X144" s="171" t="str">
        <x:v>D3</x:v>
      </x:c>
      <x:c r="Y144" s="165" t="str">
        <x:v>クリュは白発泡; クリュは凍結甘口; クリュは平地高収量のみ</x:v>
      </x:c>
      <x:c r="Z144" s="171" t="str">
        <x:v>N</x:v>
      </x:c>
      <x:c r="AA144" s="165"/>
      <x:c r="AB144" s="165" t="str">
        <x:v>オリジナル</x:v>
      </x:c>
      <x:c r="AC144" s="165" t="str">
        <x:v>公式Specificationの範囲＋ユーザー作成コーパスの論点と問題設計例を参考に独自作成</x:v>
      </x:c>
      <x:c r="AD144" s="171" t="str">
        <x:v>未レビュー</x:v>
      </x:c>
      <x:c r="AE144" s="171"/>
      <x:c r="AF144" s="171"/>
      <x:c r="AG144" s="166"/>
    </x:row>
    <x:row r="145" ht="84" customHeight="1">
      <x:c r="A145" s="164" t="str">
        <x:v>LO2-024</x:v>
      </x:c>
      <x:c r="B145" s="171" t="str">
        <x:v>LO2</x:v>
      </x:c>
      <x:c r="C145" s="165" t="str">
        <x:v>世界の主要な非発泡性ワイン</x:v>
      </x:c>
      <x:c r="D145" s="165" t="str">
        <x:v>シャブリの霜害</x:v>
      </x:c>
      <x:c r="E145" s="165" t="str">
        <x:v>シャブリで春霜が収量に大きな影響を与え得る主な理由はどれか。</x:v>
      </x:c>
      <x:c r="F145" s="165" t="str">
        <x:v>成熟期の高温で果粒がすべて乾燥し、貴腐になる</x:v>
      </x:c>
      <x:c r="G145" s="165" t="str">
        <x:v>海洋性気候のため冬と春の気温が常に一定である</x:v>
      </x:c>
      <x:c r="H145" s="165" t="str">
        <x:v>シャルドネは萌芽せず、前年の果房を再利用する</x:v>
      </x:c>
      <x:c r="I145" s="165" t="str">
        <x:v>冷涼な大陸性気候で、萌芽後の若い芽が氷点下の気温にさらされることがある</x:v>
      </x:c>
      <x:c r="J145" s="171" t="str">
        <x:v>D</x:v>
      </x:c>
      <x:c r="K145" s="165" t="str">
        <x:v>冷涼な大陸性気候で、萌芽後の若い芽が氷点下の気温にさらされることがある</x:v>
      </x:c>
      <x:c r="L145" s="165" t="str">
        <x:v>シャブリでは春に気温が急低下することがあり、萌芽した若い組織が損傷すると、その年の花と果房が失われて収量が下がる。</x:v>
      </x:c>
      <x:c r="M145" s="165" t="str">
        <x:v>誤り。 春霜は萌芽期の低温被害であり、成熟期の乾燥や貴腐とは異なる。</x:v>
      </x:c>
      <x:c r="N145" s="165" t="str">
        <x:v>誤り。 シャブリは大陸性の影響を受け、春の気温変動と霜のリスクがある。</x:v>
      </x:c>
      <x:c r="O145" s="165" t="str">
        <x:v>誤り。 ブドウ樹は毎年新しい芽から花と果房を形成する。</x:v>
      </x:c>
      <x:c r="P145" s="165" t="str">
        <x:v>正しい。 シャブリでは春に気温が急低下することがあり、萌芽した若い組織が損傷すると、その年の花と果房が失われて収量が下がる。</x:v>
      </x:c>
      <x:c r="Q145" s="165" t="str">
        <x:v>自然要因・産地</x:v>
      </x:c>
      <x:c r="R145" s="165" t="str">
        <x:v>春霜・収量</x:v>
      </x:c>
      <x:c r="S145" s="165" t="str">
        <x:v>非発泡性白ワイン</x:v>
      </x:c>
      <x:c r="T145" s="165" t="str">
        <x:v>フランス</x:v>
      </x:c>
      <x:c r="U145" s="165" t="str">
        <x:v>ブルゴーニュ／シャブリ</x:v>
      </x:c>
      <x:c r="V145" s="165" t="str">
        <x:v>シャルドネ</x:v>
      </x:c>
      <x:c r="W145" s="165" t="str">
        <x:v>因果説明</x:v>
      </x:c>
      <x:c r="X145" s="171" t="str">
        <x:v>D2</x:v>
      </x:c>
      <x:c r="Y145" s="165" t="str">
        <x:v>春霜と貴腐の混同; シャブリは温度一定</x:v>
      </x:c>
      <x:c r="Z145" s="171" t="str">
        <x:v>N</x:v>
      </x:c>
      <x:c r="AA145" s="165"/>
      <x:c r="AB145" s="165" t="str">
        <x:v>オリジナル</x:v>
      </x:c>
      <x:c r="AC145" s="165" t="str">
        <x:v>公式Specificationの範囲＋ユーザー作成コーパスの論点と問題設計例を参考に独自作成</x:v>
      </x:c>
      <x:c r="AD145" s="171" t="str">
        <x:v>未レビュー</x:v>
      </x:c>
      <x:c r="AE145" s="171"/>
      <x:c r="AF145" s="171"/>
      <x:c r="AG145" s="166"/>
    </x:row>
    <x:row r="146" ht="84" customHeight="1">
      <x:c r="A146" s="164" t="str">
        <x:v>LO2-025</x:v>
      </x:c>
      <x:c r="B146" s="171" t="str">
        <x:v>LO2</x:v>
      </x:c>
      <x:c r="C146" s="165" t="str">
        <x:v>世界の主要な非発泡性ワイン</x:v>
      </x:c>
      <x:c r="D146" s="165" t="str">
        <x:v>マコネ</x:v>
      </x:c>
      <x:c r="E146" s="165" t="str">
        <x:v>マコネのシャルドネがシャブリより熟した果実味と豊かなボディを持ちやすい主な理由はどれか。</x:v>
      </x:c>
      <x:c r="F146" s="165" t="str">
        <x:v>より南に位置し、一般に温暖で成熟が進みやすい</x:v>
      </x:c>
      <x:c r="G146" s="165" t="str">
        <x:v>標高が常に海面下で、昼夜とも極端に低温だから</x:v>
      </x:c>
      <x:c r="H146" s="165" t="str">
        <x:v>すべてのワインが発酵途中で酒精強化されるから</x:v>
      </x:c>
      <x:c r="I146" s="165" t="str">
        <x:v>シャルドネを乾燥させ、必ず甘口にするから</x:v>
      </x:c>
      <x:c r="J146" s="171" t="str">
        <x:v>A</x:v>
      </x:c>
      <x:c r="K146" s="165" t="str">
        <x:v>より南に位置し、一般に温暖で成熟が進みやすい</x:v>
      </x:c>
      <x:c r="L146" s="165" t="str">
        <x:v>マコネはブルゴーニュ南部に位置し、シャブリより温暖なため、シャルドネが高い糖度と熟した果実風味を得やすい。</x:v>
      </x:c>
      <x:c r="M146" s="165" t="str">
        <x:v>正しい。 マコネはブルゴーニュ南部に位置し、シャブリより温暖なため、シャルドネが高い糖度と熟した果実風味を得やすい。</x:v>
      </x:c>
      <x:c r="N146" s="165" t="str">
        <x:v>誤り。 マコネが熟したスタイルになる理由は低温ではなく、比較的温暖な立地である。</x:v>
      </x:c>
      <x:c r="O146" s="165" t="str">
        <x:v>誤り。 マコネのシャルドネは通常の非発泡性白ワインで、酒精強化が標準ではない。</x:v>
      </x:c>
      <x:c r="P146" s="165" t="str">
        <x:v>誤り。 収穫後乾燥はマコネの典型的な製法ではなく、多くは辛口である。</x:v>
      </x:c>
      <x:c r="Q146" s="165" t="str">
        <x:v>自然要因・産地</x:v>
      </x:c>
      <x:c r="R146" s="165" t="str">
        <x:v>緯度・成熟</x:v>
      </x:c>
      <x:c r="S146" s="165" t="str">
        <x:v>非発泡性白ワイン</x:v>
      </x:c>
      <x:c r="T146" s="165" t="str">
        <x:v>フランス</x:v>
      </x:c>
      <x:c r="U146" s="165" t="str">
        <x:v>ブルゴーニュ／マコネ</x:v>
      </x:c>
      <x:c r="V146" s="165" t="str">
        <x:v>シャルドネ</x:v>
      </x:c>
      <x:c r="W146" s="165" t="str">
        <x:v>因果説明</x:v>
      </x:c>
      <x:c r="X146" s="171" t="str">
        <x:v>D1</x:v>
      </x:c>
      <x:c r="Y146" s="165" t="str">
        <x:v>マコネは低温; 酒精強化・乾燥甘口</x:v>
      </x:c>
      <x:c r="Z146" s="171" t="str">
        <x:v>N</x:v>
      </x:c>
      <x:c r="AA146" s="165"/>
      <x:c r="AB146" s="165" t="str">
        <x:v>オリジナル</x:v>
      </x:c>
      <x:c r="AC146" s="165" t="str">
        <x:v>公式Specificationの範囲＋ユーザー作成コーパスの論点と問題設計例を参考に独自作成</x:v>
      </x:c>
      <x:c r="AD146" s="171" t="str">
        <x:v>未レビュー</x:v>
      </x:c>
      <x:c r="AE146" s="171"/>
      <x:c r="AF146" s="171"/>
      <x:c r="AG146" s="166"/>
    </x:row>
    <x:row r="147" ht="84" customHeight="1">
      <x:c r="A147" s="164" t="str">
        <x:v>LO2-026</x:v>
      </x:c>
      <x:c r="B147" s="171" t="str">
        <x:v>LO2</x:v>
      </x:c>
      <x:c r="C147" s="165" t="str">
        <x:v>世界の主要な非発泡性ワイン</x:v>
      </x:c>
      <x:c r="D147" s="165" t="str">
        <x:v>サンセールとプイィ・フュメ</x:v>
      </x:c>
      <x:c r="E147" s="165" t="str">
        <x:v>サンセールとプイィ・フュメの典型的な辛口白ワインに共通する特徴はどれか。</x:v>
      </x:c>
      <x:c r="F147" s="165" t="str">
        <x:v>ネッビオーロ由来の高いタンニンとバラの香り</x:v>
      </x:c>
      <x:c r="G147" s="165" t="str">
        <x:v>ソーヴィニヨン・ブラン由来の高い酸と、柑橘・青い果実・草本系の香り</x:v>
      </x:c>
      <x:c r="H147" s="165" t="str">
        <x:v>グルナッシュ由来の高アルコールとジャム状の赤果実</x:v>
      </x:c>
      <x:c r="I147" s="165" t="str">
        <x:v>パロミノ由来のフロール熟成香と高い酒精</x:v>
      </x:c>
      <x:c r="J147" s="171" t="str">
        <x:v>B</x:v>
      </x:c>
      <x:c r="K147" s="165" t="str">
        <x:v>ソーヴィニヨン・ブラン由来の高い酸と、柑橘・青い果実・草本系の香り</x:v>
      </x:c>
      <x:c r="L147" s="165" t="str">
        <x:v>ロワール上流の比較的冷涼な大陸性条件でソーヴィニヨン・ブランが酸を保持し、柑橘、青リンゴ、草本、時に火打石を思わせる香りを示す。</x:v>
      </x:c>
      <x:c r="M147" s="165" t="str">
        <x:v>誤り。 ネッビオーロはイタリアの黒ブドウで、これらのロワール白ワインには用いない。</x:v>
      </x:c>
      <x:c r="N147" s="165" t="str">
        <x:v>正しい。 ロワール上流の比較的冷涼な大陸性条件でソーヴィニヨン・ブランが酸を保持し、柑橘、青リンゴ、草本、時に火打石を思わせる香りを示す。</x:v>
      </x:c>
      <x:c r="O147" s="165" t="str">
        <x:v>誤り。 グルナッシュは主に温暖地域の赤・ロゼに用いられ、サンセール白の典型ではない。</x:v>
      </x:c>
      <x:c r="P147" s="165" t="str">
        <x:v>誤り。 これはフィノなどのシェリーに関連する特徴である。</x:v>
      </x:c>
      <x:c r="Q147" s="165" t="str">
        <x:v>品種・産地</x:v>
      </x:c>
      <x:c r="R147" s="165" t="str">
        <x:v>ソーヴィニヨン・ブラン</x:v>
      </x:c>
      <x:c r="S147" s="165" t="str">
        <x:v>非発泡性白ワイン</x:v>
      </x:c>
      <x:c r="T147" s="165" t="str">
        <x:v>フランス</x:v>
      </x:c>
      <x:c r="U147" s="165" t="str">
        <x:v>ロワール／サンセール・プイィ・フュメ</x:v>
      </x:c>
      <x:c r="V147" s="165" t="str">
        <x:v>ソーヴィニヨン・ブラン</x:v>
      </x:c>
      <x:c r="W147" s="165" t="str">
        <x:v>知識確認</x:v>
      </x:c>
      <x:c r="X147" s="171" t="str">
        <x:v>D1</x:v>
      </x:c>
      <x:c r="Y147" s="165" t="str">
        <x:v>ロワール白とネッビオーロ・グルナッシュ・シェリーの混同</x:v>
      </x:c>
      <x:c r="Z147" s="171" t="str">
        <x:v>N</x:v>
      </x:c>
      <x:c r="AA147" s="165"/>
      <x:c r="AB147" s="165" t="str">
        <x:v>オリジナル</x:v>
      </x:c>
      <x:c r="AC147" s="165" t="str">
        <x:v>公式Specificationの範囲＋ユーザー作成コーパスの論点と問題設計例を参考に独自作成</x:v>
      </x:c>
      <x:c r="AD147" s="171" t="str">
        <x:v>未レビュー</x:v>
      </x:c>
      <x:c r="AE147" s="171"/>
      <x:c r="AF147" s="171"/>
      <x:c r="AG147" s="166"/>
    </x:row>
    <x:row r="148" ht="84" customHeight="1">
      <x:c r="A148" s="164" t="str">
        <x:v>LO2-027</x:v>
      </x:c>
      <x:c r="B148" s="171" t="str">
        <x:v>LO2</x:v>
      </x:c>
      <x:c r="C148" s="165" t="str">
        <x:v>世界の主要な非発泡性ワイン</x:v>
      </x:c>
      <x:c r="D148" s="165" t="str">
        <x:v>ヴーヴレ</x:v>
      </x:c>
      <x:c r="E148" s="165" t="str">
        <x:v>ヴーヴレで辛口から甘口、さらに発泡性まで多様なスタイルを造れる主な理由はどれか。</x:v>
      </x:c>
      <x:c r="F148" s="165" t="str">
        <x:v>主要品種が低酸のグルナッシュだけで、すべて高アルコールになる</x:v>
      </x:c>
      <x:c r="G148" s="165" t="str">
        <x:v>すべてのワインを酒精強化し、糖度を同じにする</x:v>
      </x:c>
      <x:c r="H148" s="165" t="str">
        <x:v>シュナン・ブランが高い酸を保ち、成熟度や貴腐、発酵停止などに応じて多様なスタイルに対応できる</x:v>
      </x:c>
      <x:c r="I148" s="165" t="str">
        <x:v>海面下の砂漠で年間の天候差がない</x:v>
      </x:c>
      <x:c r="J148" s="171" t="str">
        <x:v>C</x:v>
      </x:c>
      <x:c r="K148" s="165" t="str">
        <x:v>シュナン・ブランが高い酸を保ち、成熟度や貴腐、発酵停止などに応じて多様なスタイルに対応できる</x:v>
      </x:c>
      <x:c r="L148" s="165" t="str">
        <x:v>シュナン・ブランは高い酸と幅広い成熟度を持ち、辛口、残糖を残した甘口、貴腐ワイン、発泡性ワインに適応できる。</x:v>
      </x:c>
      <x:c r="M148" s="165" t="str">
        <x:v>誤り。 ヴーヴレの主要品種はシュナン・ブランで、高い酸が重要である。</x:v>
      </x:c>
      <x:c r="N148" s="165" t="str">
        <x:v>誤り。 ヴーヴレの多様性は酒精強化によるものではない。</x:v>
      </x:c>
      <x:c r="O148" s="165" t="str">
        <x:v>正しい。 シュナン・ブランは高い酸と幅広い成熟度を持ち、辛口、残糖を残した甘口、貴腐ワイン、発泡性ワインに適応できる。</x:v>
      </x:c>
      <x:c r="P148" s="165" t="str">
        <x:v>誤り。 ヴーヴレはロワールに位置し、砂漠でも海面下でもなく、ヴィンテージの影響を受ける。</x:v>
      </x:c>
      <x:c r="Q148" s="165" t="str">
        <x:v>自然・人的要因</x:v>
      </x:c>
      <x:c r="R148" s="165" t="str">
        <x:v>品種特性・多様なスタイル</x:v>
      </x:c>
      <x:c r="S148" s="165" t="str">
        <x:v>非発泡性白ワイン</x:v>
      </x:c>
      <x:c r="T148" s="165" t="str">
        <x:v>フランス</x:v>
      </x:c>
      <x:c r="U148" s="165" t="str">
        <x:v>ロワール／ヴーヴレ</x:v>
      </x:c>
      <x:c r="V148" s="165" t="str">
        <x:v>シュナン・ブラン</x:v>
      </x:c>
      <x:c r="W148" s="165" t="str">
        <x:v>統合判断</x:v>
      </x:c>
      <x:c r="X148" s="171" t="str">
        <x:v>D3</x:v>
      </x:c>
      <x:c r="Y148" s="165" t="str">
        <x:v>ヴーヴレはグルナッシュ; すべて酒精強化</x:v>
      </x:c>
      <x:c r="Z148" s="171" t="str">
        <x:v>N</x:v>
      </x:c>
      <x:c r="AA148" s="165"/>
      <x:c r="AB148" s="165" t="str">
        <x:v>オリジナル</x:v>
      </x:c>
      <x:c r="AC148" s="165" t="str">
        <x:v>公式Specificationの範囲＋ユーザー作成コーパスの論点と問題設計例を参考に独自作成</x:v>
      </x:c>
      <x:c r="AD148" s="171" t="str">
        <x:v>未レビュー</x:v>
      </x:c>
      <x:c r="AE148" s="171"/>
      <x:c r="AF148" s="171"/>
      <x:c r="AG148" s="166"/>
    </x:row>
    <x:row r="149" ht="84" customHeight="1">
      <x:c r="A149" s="164" t="str">
        <x:v>LO2-028</x:v>
      </x:c>
      <x:c r="B149" s="171" t="str">
        <x:v>LO2</x:v>
      </x:c>
      <x:c r="C149" s="165" t="str">
        <x:v>世界の主要な非発泡性ワイン</x:v>
      </x:c>
      <x:c r="D149" s="165" t="str">
        <x:v>コンドリュー</x:v>
      </x:c>
      <x:c r="E149" s="165" t="str">
        <x:v>コンドリューのヴィオニエが高価格になりやすい要因として最も適切なものはどれか。</x:v>
      </x:c>
      <x:c r="F149" s="165" t="str">
        <x:v>広大な平地で機械化しやすく、極めて高収量だから</x:v>
      </x:c>
      <x:c r="G149" s="165" t="str">
        <x:v>瓶内二次発酵を長期間行うことが法律で義務付けられるから</x:v>
      </x:c>
      <x:c r="H149" s="165" t="str">
        <x:v>ブドウを凍結して少量の甘い果汁だけを得るから</x:v>
      </x:c>
      <x:c r="I149" s="165" t="str">
        <x:v>急斜面で機械化が難しく、収量が低い上、十分な成熟を得る必要がある</x:v>
      </x:c>
      <x:c r="J149" s="171" t="str">
        <x:v>D</x:v>
      </x:c>
      <x:c r="K149" s="165" t="str">
        <x:v>急斜面で機械化が難しく、収量が低い上、十分な成熟を得る必要がある</x:v>
      </x:c>
      <x:c r="L149" s="165" t="str">
        <x:v>北部ローヌの急斜面では手作業が多く、ヴィオニエは低収量になりやすい。適切な成熟で香りとボディを得るため、ブドウと生産のコストが高い。</x:v>
      </x:c>
      <x:c r="M149" s="165" t="str">
        <x:v>誤り。 コンドリューは急斜面の小さな産地で、平地の大量生産とは逆である。</x:v>
      </x:c>
      <x:c r="N149" s="165" t="str">
        <x:v>誤り。 コンドリューは主に非発泡性白ワインで、瓶内二次発酵は標準ではない。</x:v>
      </x:c>
      <x:c r="O149" s="165" t="str">
        <x:v>誤り。 コンドリューの典型は辛口ヴィオニエで、凍結ブドウによる甘口ではない。</x:v>
      </x:c>
      <x:c r="P149" s="165" t="str">
        <x:v>正しい。 北部ローヌの急斜面では手作業が多く、ヴィオニエは低収量になりやすい。適切な成熟で香りとボディを得るため、ブドウと生産のコストが高い。</x:v>
      </x:c>
      <x:c r="Q149" s="165" t="str">
        <x:v>商業面・産地</x:v>
      </x:c>
      <x:c r="R149" s="165" t="str">
        <x:v>急斜面・低収量・価格</x:v>
      </x:c>
      <x:c r="S149" s="165" t="str">
        <x:v>非発泡性白ワイン</x:v>
      </x:c>
      <x:c r="T149" s="165" t="str">
        <x:v>フランス</x:v>
      </x:c>
      <x:c r="U149" s="165" t="str">
        <x:v>北部ローヌ／コンドリュー</x:v>
      </x:c>
      <x:c r="V149" s="165" t="str">
        <x:v>ヴィオニエ</x:v>
      </x:c>
      <x:c r="W149" s="165" t="str">
        <x:v>統合判断</x:v>
      </x:c>
      <x:c r="X149" s="171" t="str">
        <x:v>D3</x:v>
      </x:c>
      <x:c r="Y149" s="165" t="str">
        <x:v>コンドリューは平地高収量; 発泡・凍結甘口</x:v>
      </x:c>
      <x:c r="Z149" s="171" t="str">
        <x:v>N</x:v>
      </x:c>
      <x:c r="AA149" s="165"/>
      <x:c r="AB149" s="165" t="str">
        <x:v>オリジナル</x:v>
      </x:c>
      <x:c r="AC149" s="165" t="str">
        <x:v>公式Specificationの範囲＋ユーザー作成コーパスの論点と問題設計例を参考に独自作成</x:v>
      </x:c>
      <x:c r="AD149" s="171" t="str">
        <x:v>未レビュー</x:v>
      </x:c>
      <x:c r="AE149" s="171"/>
      <x:c r="AF149" s="171"/>
      <x:c r="AG149" s="166"/>
    </x:row>
    <x:row r="150" ht="84" customHeight="1">
      <x:c r="A150" s="164" t="str">
        <x:v>LO2-029</x:v>
      </x:c>
      <x:c r="B150" s="171" t="str">
        <x:v>LO2</x:v>
      </x:c>
      <x:c r="C150" s="165" t="str">
        <x:v>世界の主要な非発泡性ワイン</x:v>
      </x:c>
      <x:c r="D150" s="165" t="str">
        <x:v>バンドール</x:v>
      </x:c>
      <x:c r="E150" s="165" t="str">
        <x:v>バンドールの赤ワインでムールヴェードルが重要となる主な理由はどれか。</x:v>
      </x:c>
      <x:c r="F150" s="165" t="str">
        <x:v>温暖で日照の多い地中海性気候が、晩熟な品種を十分に成熟させる</x:v>
      </x:c>
      <x:c r="G150" s="165" t="str">
        <x:v>ムールヴェードルは早熟で、極寒の短い夏だけに適する</x:v>
      </x:c>
      <x:c r="H150" s="165" t="str">
        <x:v>バンドールは冷涼な大陸性気候で、毎年アイスワインを造る</x:v>
      </x:c>
      <x:c r="I150" s="165" t="str">
        <x:v>ムールヴェードルは白ブドウで、軽い低タンニン白を造る</x:v>
      </x:c>
      <x:c r="J150" s="171" t="str">
        <x:v>A</x:v>
      </x:c>
      <x:c r="K150" s="165" t="str">
        <x:v>温暖で日照の多い地中海性気候が、晩熟な品種を十分に成熟させる</x:v>
      </x:c>
      <x:c r="L150" s="165" t="str">
        <x:v>ムールヴェードルは晩熟で高い熱量を必要とし、バンドールの暖かく乾燥した条件で、濃い果実味、高いタンニン、熟成能力を得やすい。</x:v>
      </x:c>
      <x:c r="M150" s="165" t="str">
        <x:v>正しい。 ムールヴェードルは晩熟で高い熱量を必要とし、バンドールの暖かく乾燥した条件で、濃い果実味、高いタンニン、熟成能力を得やすい。</x:v>
      </x:c>
      <x:c r="N150" s="165" t="str">
        <x:v>誤り。 ムールヴェードルは晩熟で、十分な暖かさを必要とする。</x:v>
      </x:c>
      <x:c r="O150" s="165" t="str">
        <x:v>誤り。 バンドールは地中海沿岸の温暖な地域で、アイスワイン産地ではない。</x:v>
      </x:c>
      <x:c r="P150" s="165" t="str">
        <x:v>誤り。 ムールヴェードルは黒ブドウで、構造のある赤ワインを生む。</x:v>
      </x:c>
      <x:c r="Q150" s="165" t="str">
        <x:v>自然要因・産地</x:v>
      </x:c>
      <x:c r="R150" s="165" t="str">
        <x:v>晩熟品種・地中海性気候</x:v>
      </x:c>
      <x:c r="S150" s="165" t="str">
        <x:v>非発泡性赤ワイン</x:v>
      </x:c>
      <x:c r="T150" s="165" t="str">
        <x:v>フランス</x:v>
      </x:c>
      <x:c r="U150" s="165" t="str">
        <x:v>プロヴァンス／バンドール</x:v>
      </x:c>
      <x:c r="V150" s="165" t="str">
        <x:v>ムールヴェードル</x:v>
      </x:c>
      <x:c r="W150" s="165" t="str">
        <x:v>因果説明</x:v>
      </x:c>
      <x:c r="X150" s="171" t="str">
        <x:v>D2</x:v>
      </x:c>
      <x:c r="Y150" s="165" t="str">
        <x:v>ムールヴェードルは早熟白品種; バンドールは寒冷</x:v>
      </x:c>
      <x:c r="Z150" s="171" t="str">
        <x:v>N</x:v>
      </x:c>
      <x:c r="AA150" s="165"/>
      <x:c r="AB150" s="165" t="str">
        <x:v>オリジナル</x:v>
      </x:c>
      <x:c r="AC150" s="165" t="str">
        <x:v>公式Specificationの範囲＋ユーザー作成コーパスの論点と問題設計例を参考に独自作成</x:v>
      </x:c>
      <x:c r="AD150" s="171" t="str">
        <x:v>未レビュー</x:v>
      </x:c>
      <x:c r="AE150" s="171"/>
      <x:c r="AF150" s="171"/>
      <x:c r="AG150" s="166"/>
    </x:row>
    <x:row r="151" ht="84" customHeight="1">
      <x:c r="A151" s="164" t="str">
        <x:v>LO2-030</x:v>
      </x:c>
      <x:c r="B151" s="171" t="str">
        <x:v>LO2</x:v>
      </x:c>
      <x:c r="C151" s="165" t="str">
        <x:v>世界の主要な非発泡性ワイン</x:v>
      </x:c>
      <x:c r="D151" s="165" t="str">
        <x:v>ラインガウ</x:v>
      </x:c>
      <x:c r="E151" s="165" t="str">
        <x:v>ラインガウのリースリング畑で南向き斜面とライン川が成熟を助ける仕組みはどれか。</x:v>
      </x:c>
      <x:c r="F151" s="165" t="str">
        <x:v>川が果汁へ糖を直接加え、発酵を不要にする</x:v>
      </x:c>
      <x:c r="G151" s="165" t="str">
        <x:v>南向き斜面が日射を受け、川が気温を緩和し、光を反射する</x:v>
      </x:c>
      <x:c r="H151" s="165" t="str">
        <x:v>北向き斜面が日射を遮り、成熟を完全に止める</x:v>
      </x:c>
      <x:c r="I151" s="165" t="str">
        <x:v>川の塩分が土壌へ入り、ワインを酒精強化する</x:v>
      </x:c>
      <x:c r="J151" s="171" t="str">
        <x:v>B</x:v>
      </x:c>
      <x:c r="K151" s="165" t="str">
        <x:v>南向き斜面が日射を受け、川が気温を緩和し、光を反射する</x:v>
      </x:c>
      <x:c r="L151" s="165" t="str">
        <x:v>高緯度の冷涼な地域で、南向き斜面と大きな川の緩和・反射効果が、リースリングの長い成熟を支える。</x:v>
      </x:c>
      <x:c r="M151" s="165" t="str">
        <x:v>誤り。 糖は光合成で蓄積し、川が果汁へ直接加えるものではない。</x:v>
      </x:c>
      <x:c r="N151" s="165" t="str">
        <x:v>正しい。 高緯度の冷涼な地域で、南向き斜面と大きな川の緩和・反射効果が、リースリングの長い成熟を支える。</x:v>
      </x:c>
      <x:c r="O151" s="165" t="str">
        <x:v>誤り。 上質畑では日射を得やすい向きが重視され、成熟を止めることが目的ではない。</x:v>
      </x:c>
      <x:c r="P151" s="165" t="str">
        <x:v>誤り。 ライン川の水が酒精強化を行うことはなく、酒精強化は蒸留酒の添加で行う。</x:v>
      </x:c>
      <x:c r="Q151" s="165" t="str">
        <x:v>自然要因・産地</x:v>
      </x:c>
      <x:c r="R151" s="165" t="str">
        <x:v>方角・水域</x:v>
      </x:c>
      <x:c r="S151" s="165" t="str">
        <x:v>非発泡性白ワイン</x:v>
      </x:c>
      <x:c r="T151" s="165" t="str">
        <x:v>ドイツ</x:v>
      </x:c>
      <x:c r="U151" s="165" t="str">
        <x:v>ラインガウ</x:v>
      </x:c>
      <x:c r="V151" s="165" t="str">
        <x:v>リースリング</x:v>
      </x:c>
      <x:c r="W151" s="165" t="str">
        <x:v>因果説明</x:v>
      </x:c>
      <x:c r="X151" s="171" t="str">
        <x:v>D2</x:v>
      </x:c>
      <x:c r="Y151" s="165" t="str">
        <x:v>川が糖・酒精を供給; 北向きで成熟停止</x:v>
      </x:c>
      <x:c r="Z151" s="171" t="str">
        <x:v>N</x:v>
      </x:c>
      <x:c r="AA151" s="165"/>
      <x:c r="AB151" s="165" t="str">
        <x:v>オリジナル</x:v>
      </x:c>
      <x:c r="AC151" s="165" t="str">
        <x:v>公式Specificationの範囲＋ユーザー作成コーパスの論点と問題設計例を参考に独自作成</x:v>
      </x:c>
      <x:c r="AD151" s="171" t="str">
        <x:v>未レビュー</x:v>
      </x:c>
      <x:c r="AE151" s="171"/>
      <x:c r="AF151" s="171"/>
      <x:c r="AG151" s="166"/>
    </x:row>
    <x:row r="152" ht="84" customHeight="1">
      <x:c r="A152" s="164" t="str">
        <x:v>LO2-031</x:v>
      </x:c>
      <x:c r="B152" s="171" t="str">
        <x:v>LO2</x:v>
      </x:c>
      <x:c r="C152" s="165" t="str">
        <x:v>世界の主要な非発泡性ワイン</x:v>
      </x:c>
      <x:c r="D152" s="165" t="str">
        <x:v>ファルツ</x:v>
      </x:c>
      <x:c r="E152" s="165" t="str">
        <x:v>ファルツがモーゼルより豊かで辛口のリースリングを造りやすい主な理由はどれか。</x:v>
      </x:c>
      <x:c r="F152" s="165" t="str">
        <x:v>モーゼルより北に位置し、日照がほとんどないから</x:v>
      </x:c>
      <x:c r="G152" s="165" t="str">
        <x:v>すべてのリースリングを発酵前に酒精強化するから</x:v>
      </x:c>
      <x:c r="H152" s="165" t="str">
        <x:v>ハールト山地の雨陰で比較的温暖かつ乾燥し、ブドウが高い成熟度に達しやすい</x:v>
      </x:c>
      <x:c r="I152" s="165" t="str">
        <x:v>海洋からの年間降雨が極端に多く、果汁が希釈されるから</x:v>
      </x:c>
      <x:c r="J152" s="171" t="str">
        <x:v>C</x:v>
      </x:c>
      <x:c r="K152" s="165" t="str">
        <x:v>ハールト山地の雨陰で比較的温暖かつ乾燥し、ブドウが高い成熟度に達しやすい</x:v>
      </x:c>
      <x:c r="L152" s="165" t="str">
        <x:v>ファルツはドイツの中でも日照と暖かさに恵まれ、雨が少ないため、よりボディと熟した果実味のある辛口リースリングを造りやすい。</x:v>
      </x:c>
      <x:c r="M152" s="165" t="str">
        <x:v>誤り。 ファルツの豊かなスタイルは、より暖かく日照に恵まれることと関係する。</x:v>
      </x:c>
      <x:c r="N152" s="165" t="str">
        <x:v>誤り。 ドイツの辛口リースリングは通常酒精強化しない。</x:v>
      </x:c>
      <x:c r="O152" s="165" t="str">
        <x:v>正しい。 ファルツはドイツの中でも日照と暖かさに恵まれ、雨が少ないため、よりボディと熟した果実味のある辛口リースリングを造りやすい。</x:v>
      </x:c>
      <x:c r="P152" s="165" t="str">
        <x:v>誤り。 ファルツは山地の雨陰で比較的乾燥しており、説明が逆である。</x:v>
      </x:c>
      <x:c r="Q152" s="165" t="str">
        <x:v>自然要因・産地</x:v>
      </x:c>
      <x:c r="R152" s="165" t="str">
        <x:v>雨陰・成熟</x:v>
      </x:c>
      <x:c r="S152" s="165" t="str">
        <x:v>非発泡性白ワイン</x:v>
      </x:c>
      <x:c r="T152" s="165" t="str">
        <x:v>ドイツ</x:v>
      </x:c>
      <x:c r="U152" s="165" t="str">
        <x:v>ファルツ</x:v>
      </x:c>
      <x:c r="V152" s="165" t="str">
        <x:v>リースリング</x:v>
      </x:c>
      <x:c r="W152" s="165" t="str">
        <x:v>因果説明</x:v>
      </x:c>
      <x:c r="X152" s="171" t="str">
        <x:v>D2</x:v>
      </x:c>
      <x:c r="Y152" s="165" t="str">
        <x:v>ファルツは寒冷多雨; ドイツリースリングは酒精強化</x:v>
      </x:c>
      <x:c r="Z152" s="171" t="str">
        <x:v>N</x:v>
      </x:c>
      <x:c r="AA152" s="165"/>
      <x:c r="AB152" s="165" t="str">
        <x:v>オリジナル</x:v>
      </x:c>
      <x:c r="AC152" s="165" t="str">
        <x:v>公式Specificationの範囲＋ユーザー作成コーパスの論点と問題設計例を参考に独自作成</x:v>
      </x:c>
      <x:c r="AD152" s="171" t="str">
        <x:v>未レビュー</x:v>
      </x:c>
      <x:c r="AE152" s="171"/>
      <x:c r="AF152" s="171"/>
      <x:c r="AG152" s="166"/>
    </x:row>
    <x:row r="153" ht="84" customHeight="1">
      <x:c r="A153" s="164" t="str">
        <x:v>LO2-032</x:v>
      </x:c>
      <x:c r="B153" s="171" t="str">
        <x:v>LO2</x:v>
      </x:c>
      <x:c r="C153" s="165" t="str">
        <x:v>世界の主要な非発泡性ワイン</x:v>
      </x:c>
      <x:c r="D153" s="165" t="str">
        <x:v>ブルゲンラント</x:v>
      </x:c>
      <x:c r="E153" s="165" t="str">
        <x:v>ブルゲンラントで貴腐の影響を受けた甘口ワインを造りやすい主な自然要因はどれか。</x:v>
      </x:c>
      <x:c r="F153" s="165" t="str">
        <x:v>一年を通じた完全な乾燥で、菌類が全く存在しないこと</x:v>
      </x:c>
      <x:c r="G153" s="165" t="str">
        <x:v>海抜の低さにより、果粒が自然に凍結すること</x:v>
      </x:c>
      <x:c r="H153" s="165" t="str">
        <x:v>強い塩水を果房へ散布し、糖を加えること</x:v>
      </x:c>
      <x:c r="I153" s="165" t="str">
        <x:v>ノイジードラー湖周辺の朝霧と、その後の暖かく乾いた条件</x:v>
      </x:c>
      <x:c r="J153" s="171" t="str">
        <x:v>D</x:v>
      </x:c>
      <x:c r="K153" s="165" t="str">
        <x:v>ノイジードラー湖周辺の朝霧と、その後の暖かく乾いた条件</x:v>
      </x:c>
      <x:c r="L153" s="165" t="str">
        <x:v>湖からの湿気が朝に貴腐菌の発生を促し、午後の乾燥が果粒の水分蒸発と健全な濃縮を助ける。</x:v>
      </x:c>
      <x:c r="M153" s="165" t="str">
        <x:v>誤り。 貴腐には一定の湿気が必要で、完全な乾燥では発生しにくい。</x:v>
      </x:c>
      <x:c r="N153" s="165" t="str">
        <x:v>誤り。 ブルゲンラントの貴腐は湖の湿気と乾燥の組み合わせが中心で、凍結濃縮とは異なる。</x:v>
      </x:c>
      <x:c r="O153" s="165" t="str">
        <x:v>誤り。 塩水散布は貴腐や糖分濃縮の方法ではない。</x:v>
      </x:c>
      <x:c r="P153" s="165" t="str">
        <x:v>正しい。 湖からの湿気が朝に貴腐菌の発生を促し、午後の乾燥が果粒の水分蒸発と健全な濃縮を助ける。</x:v>
      </x:c>
      <x:c r="Q153" s="165" t="str">
        <x:v>自然要因・産地</x:v>
      </x:c>
      <x:c r="R153" s="165" t="str">
        <x:v>貴腐・湖</x:v>
      </x:c>
      <x:c r="S153" s="165" t="str">
        <x:v>非発泡性甘口白ワイン</x:v>
      </x:c>
      <x:c r="T153" s="165" t="str">
        <x:v>オーストリア</x:v>
      </x:c>
      <x:c r="U153" s="165" t="str">
        <x:v>ブルゲンラント</x:v>
      </x:c>
      <x:c r="V153" s="165" t="str">
        <x:v>ヴェルシュリースリング等</x:v>
      </x:c>
      <x:c r="W153" s="165" t="str">
        <x:v>因果説明</x:v>
      </x:c>
      <x:c r="X153" s="171" t="str">
        <x:v>D2</x:v>
      </x:c>
      <x:c r="Y153" s="165" t="str">
        <x:v>貴腐は完全乾燥; 貴腐と凍結濃縮の混同</x:v>
      </x:c>
      <x:c r="Z153" s="171" t="str">
        <x:v>N</x:v>
      </x:c>
      <x:c r="AA153" s="165"/>
      <x:c r="AB153" s="165" t="str">
        <x:v>オリジナル</x:v>
      </x:c>
      <x:c r="AC153" s="165" t="str">
        <x:v>公式Specificationの範囲＋ユーザー作成コーパスの論点と問題設計例を参考に独自作成</x:v>
      </x:c>
      <x:c r="AD153" s="171" t="str">
        <x:v>未レビュー</x:v>
      </x:c>
      <x:c r="AE153" s="171"/>
      <x:c r="AF153" s="171"/>
      <x:c r="AG153" s="166"/>
    </x:row>
    <x:row r="154" ht="84" customHeight="1">
      <x:c r="A154" s="164" t="str">
        <x:v>LO2-033</x:v>
      </x:c>
      <x:c r="B154" s="171" t="str">
        <x:v>LO2</x:v>
      </x:c>
      <x:c r="C154" s="165" t="str">
        <x:v>世界の主要な非発泡性ワイン</x:v>
      </x:c>
      <x:c r="D154" s="165" t="str">
        <x:v>サントリーニ</x:v>
      </x:c>
      <x:c r="E154" s="165" t="str">
        <x:v>サントリーニでブドウ樹を低い籠状に仕立てる主な目的はどれか。</x:v>
      </x:c>
      <x:c r="F154" s="165" t="str">
        <x:v>強風と乾燥から新梢や果房を守り、地面近くの湿気を利用する</x:v>
      </x:c>
      <x:c r="G154" s="165" t="str">
        <x:v>積雪の上へ果房を持ち上げ、凍結を促す</x:v>
      </x:c>
      <x:c r="H154" s="165" t="str">
        <x:v>機械収穫の速度を最大化する</x:v>
      </x:c>
      <x:c r="I154" s="165" t="str">
        <x:v>果房を水中へ沈め、塩味を加える</x:v>
      </x:c>
      <x:c r="J154" s="171" t="str">
        <x:v>A</x:v>
      </x:c>
      <x:c r="K154" s="165" t="str">
        <x:v>強風と乾燥から新梢や果房を守り、地面近くの湿気を利用する</x:v>
      </x:c>
      <x:c r="L154" s="165" t="str">
        <x:v>籠状の仕立ては果房を風と砂から守り、島の極端な乾燥条件で樹の周囲に湿気を保ちやすくする。</x:v>
      </x:c>
      <x:c r="M154" s="165" t="str">
        <x:v>正しい。 籠状の仕立ては果房を風と砂から守り、島の極端な乾燥条件で樹の周囲に湿気を保ちやすくする。</x:v>
      </x:c>
      <x:c r="N154" s="165" t="str">
        <x:v>誤り。 サントリーニは温暖で乾燥した島で、積雪と凍結を利用する仕立てではない。</x:v>
      </x:c>
      <x:c r="O154" s="165" t="str">
        <x:v>誤り。 低い籠状仕立ては手作業が多く、機械収穫の効率化が主目的ではない。</x:v>
      </x:c>
      <x:c r="P154" s="165" t="str">
        <x:v>誤り。 果房を海水へ沈める方法ではなく、風と乾燥への適応である。</x:v>
      </x:c>
      <x:c r="Q154" s="165" t="str">
        <x:v>人的要因（畑）</x:v>
      </x:c>
      <x:c r="R154" s="165" t="str">
        <x:v>仕立て・風害乾燥</x:v>
      </x:c>
      <x:c r="S154" s="165" t="str">
        <x:v>非発泡性白ワイン</x:v>
      </x:c>
      <x:c r="T154" s="165" t="str">
        <x:v>ギリシャ</x:v>
      </x:c>
      <x:c r="U154" s="165" t="str">
        <x:v>サントリーニ</x:v>
      </x:c>
      <x:c r="V154" s="165" t="str">
        <x:v>アシルティコ</x:v>
      </x:c>
      <x:c r="W154" s="165" t="str">
        <x:v>因果説明</x:v>
      </x:c>
      <x:c r="X154" s="171" t="str">
        <x:v>D2</x:v>
      </x:c>
      <x:c r="Y154" s="165" t="str">
        <x:v>籠仕立ては凍結・機械化・海水利用</x:v>
      </x:c>
      <x:c r="Z154" s="171" t="str">
        <x:v>N</x:v>
      </x:c>
      <x:c r="AA154" s="165"/>
      <x:c r="AB154" s="165" t="str">
        <x:v>オリジナル</x:v>
      </x:c>
      <x:c r="AC154" s="165" t="str">
        <x:v>公式Specificationの範囲＋ユーザー作成コーパスの論点と問題設計例を参考に独自作成</x:v>
      </x:c>
      <x:c r="AD154" s="171" t="str">
        <x:v>未レビュー</x:v>
      </x:c>
      <x:c r="AE154" s="171"/>
      <x:c r="AF154" s="171"/>
      <x:c r="AG154" s="166"/>
    </x:row>
    <x:row r="155" ht="84" customHeight="1">
      <x:c r="A155" s="164" t="str">
        <x:v>LO2-034</x:v>
      </x:c>
      <x:c r="B155" s="171" t="str">
        <x:v>LO2</x:v>
      </x:c>
      <x:c r="C155" s="165" t="str">
        <x:v>世界の主要な非発泡性ワイン</x:v>
      </x:c>
      <x:c r="D155" s="165" t="str">
        <x:v>ナウサ</x:v>
      </x:c>
      <x:c r="E155" s="165" t="str">
        <x:v>ナウサのクシノマヴロから造られる赤ワインの典型的な構造はどれか。</x:v>
      </x:c>
      <x:c r="F155" s="165" t="str">
        <x:v>低い酸と低いタンニンで、バナナ香だけを持つ</x:v>
      </x:c>
      <x:c r="G155" s="165" t="str">
        <x:v>高い酸と高いタンニンを持ち、赤い果実やトマト、オリーブを思わせる風味を示す</x:v>
      </x:c>
      <x:c r="H155" s="165" t="str">
        <x:v>無色で甘い発泡性ワインだけになる</x:v>
      </x:c>
      <x:c r="I155" s="165" t="str">
        <x:v>高い残糖とフロール由来のアーモンド香を持つ</x:v>
      </x:c>
      <x:c r="J155" s="171" t="str">
        <x:v>B</x:v>
      </x:c>
      <x:c r="K155" s="165" t="str">
        <x:v>高い酸と高いタンニンを持ち、赤い果実やトマト、オリーブを思わせる風味を示す</x:v>
      </x:c>
      <x:c r="L155" s="165" t="str">
        <x:v>クシノマヴロは高い酸とタンニンを持つ晩熟品種で、ナウサでは構造があり、瓶熟成に向く赤ワインとなる。</x:v>
      </x:c>
      <x:c r="M155" s="165" t="str">
        <x:v>誤り。 これはナウサの典型的な構造ではなく、クシノマヴロは酸とタンニンが高い。</x:v>
      </x:c>
      <x:c r="N155" s="165" t="str">
        <x:v>正しい。 クシノマヴロは高い酸とタンニンを持つ晩熟品種で、ナウサでは構造があり、瓶熟成に向く赤ワインとなる。</x:v>
      </x:c>
      <x:c r="O155" s="165" t="str">
        <x:v>誤り。 クシノマヴロは黒ブドウで、ナウサは主に非発泡性赤ワインで知られる。</x:v>
      </x:c>
      <x:c r="P155" s="165" t="str">
        <x:v>誤り。 フロール熟成は主にフィノなどのシェリーに関連し、ナウサの典型ではない。</x:v>
      </x:c>
      <x:c r="Q155" s="165" t="str">
        <x:v>産地スタイル</x:v>
      </x:c>
      <x:c r="R155" s="165" t="str">
        <x:v>品種構造・熟成能力</x:v>
      </x:c>
      <x:c r="S155" s="165" t="str">
        <x:v>非発泡性赤ワイン</x:v>
      </x:c>
      <x:c r="T155" s="165" t="str">
        <x:v>ギリシャ</x:v>
      </x:c>
      <x:c r="U155" s="165" t="str">
        <x:v>ナウサ</x:v>
      </x:c>
      <x:c r="V155" s="165" t="str">
        <x:v>クシノマヴロ</x:v>
      </x:c>
      <x:c r="W155" s="165" t="str">
        <x:v>知識確認</x:v>
      </x:c>
      <x:c r="X155" s="171" t="str">
        <x:v>D1</x:v>
      </x:c>
      <x:c r="Y155" s="165" t="str">
        <x:v>クシノマヴロは低酸低タンニン; 発泡・フロール</x:v>
      </x:c>
      <x:c r="Z155" s="171" t="str">
        <x:v>N</x:v>
      </x:c>
      <x:c r="AA155" s="165"/>
      <x:c r="AB155" s="165" t="str">
        <x:v>オリジナル</x:v>
      </x:c>
      <x:c r="AC155" s="165" t="str">
        <x:v>公式Specificationの範囲＋ユーザー作成コーパスの論点と問題設計例を参考に独自作成</x:v>
      </x:c>
      <x:c r="AD155" s="171" t="str">
        <x:v>未レビュー</x:v>
      </x:c>
      <x:c r="AE155" s="171"/>
      <x:c r="AF155" s="171"/>
      <x:c r="AG155" s="166"/>
    </x:row>
    <x:row r="156" ht="84" customHeight="1">
      <x:c r="A156" s="164" t="str">
        <x:v>LO2-035</x:v>
      </x:c>
      <x:c r="B156" s="171" t="str">
        <x:v>LO2</x:v>
      </x:c>
      <x:c r="C156" s="165" t="str">
        <x:v>世界の主要な非発泡性ワイン</x:v>
      </x:c>
      <x:c r="D156" s="165" t="str">
        <x:v>ソアーヴェ・クラッシコ</x:v>
      </x:c>
      <x:c r="E156" s="165" t="str">
        <x:v>ソアーヴェ・クラッシコが一般的な平地産ソアーヴェより高い品質を持ちやすい理由はどれか。</x:v>
      </x:c>
      <x:c r="F156" s="165" t="str">
        <x:v>黒ブドウだけを使い、長期果皮浸漬で高タンニン赤を造る</x:v>
      </x:c>
      <x:c r="G156" s="165" t="str">
        <x:v>すべてのブドウを凍結し、甘口にする</x:v>
      </x:c>
      <x:c r="H156" s="165" t="str">
        <x:v>歴史的な丘陵地帯で、排水と日照に恵まれ、収量を抑えたガルガーネガを得やすい</x:v>
      </x:c>
      <x:c r="I156" s="165" t="str">
        <x:v>平地の肥沃な畑で最大収量を得ることが、クラッシコ表示の条件である</x:v>
      </x:c>
      <x:c r="J156" s="171" t="str">
        <x:v>C</x:v>
      </x:c>
      <x:c r="K156" s="165" t="str">
        <x:v>歴史的な丘陵地帯で、排水と日照に恵まれ、収量を抑えたガルガーネガを得やすい</x:v>
      </x:c>
      <x:c r="L156" s="165" t="str">
        <x:v>クラッシコ地区の丘陵畑は平地より排水性と日照に恵まれ、凝縮したガルガーネガから、より風味と酸のあるワインを造りやすい。</x:v>
      </x:c>
      <x:c r="M156" s="165" t="str">
        <x:v>誤り。 ソアーヴェは主にガルガーネガから造る白ワインである。</x:v>
      </x:c>
      <x:c r="N156" s="165" t="str">
        <x:v>誤り。 凍結濃縮はソアーヴェ・クラッシコの標準的な製法ではない。</x:v>
      </x:c>
      <x:c r="O156" s="165" t="str">
        <x:v>正しい。 クラッシコ地区の丘陵畑は平地より排水性と日照に恵まれ、凝縮したガルガーネガから、より風味と酸のあるワインを造りやすい。</x:v>
      </x:c>
      <x:c r="P156" s="165" t="str">
        <x:v>誤り。 クラッシコは歴史的な中核地区を示し、丘陵地が中心である。</x:v>
      </x:c>
      <x:c r="Q156" s="165" t="str">
        <x:v>法律面・自然要因</x:v>
      </x:c>
      <x:c r="R156" s="165" t="str">
        <x:v>クラッシコ・丘陵</x:v>
      </x:c>
      <x:c r="S156" s="165" t="str">
        <x:v>非発泡性白ワイン</x:v>
      </x:c>
      <x:c r="T156" s="165" t="str">
        <x:v>イタリア</x:v>
      </x:c>
      <x:c r="U156" s="165" t="str">
        <x:v>ヴェネト／ソアーヴェ・クラッシコ</x:v>
      </x:c>
      <x:c r="V156" s="165" t="str">
        <x:v>ガルガーネガ</x:v>
      </x:c>
      <x:c r="W156" s="165" t="str">
        <x:v>統合判断</x:v>
      </x:c>
      <x:c r="X156" s="171" t="str">
        <x:v>D3</x:v>
      </x:c>
      <x:c r="Y156" s="165" t="str">
        <x:v>ソアーヴェは赤・凍結甘口; Classicoは平地高収量</x:v>
      </x:c>
      <x:c r="Z156" s="171" t="str">
        <x:v>Y</x:v>
      </x:c>
      <x:c r="AA156" s="165" t="str">
        <x:v>Classico表示の説明は現行の産地規定と日本語教材表現の最終照合を推奨</x:v>
      </x:c>
      <x:c r="AB156" s="165" t="str">
        <x:v>オリジナル</x:v>
      </x:c>
      <x:c r="AC156" s="165" t="str">
        <x:v>公式Specificationの範囲＋ユーザー作成コーパスの論点と問題設計例を参考に独自作成</x:v>
      </x:c>
      <x:c r="AD156" s="171" t="str">
        <x:v>未レビュー</x:v>
      </x:c>
      <x:c r="AE156" s="171"/>
      <x:c r="AF156" s="171"/>
      <x:c r="AG156" s="166"/>
    </x:row>
    <x:row r="157" ht="84" customHeight="1">
      <x:c r="A157" s="164" t="str">
        <x:v>LO2-036</x:v>
      </x:c>
      <x:c r="B157" s="171" t="str">
        <x:v>LO2</x:v>
      </x:c>
      <x:c r="C157" s="165" t="str">
        <x:v>世界の主要な非発泡性ワイン</x:v>
      </x:c>
      <x:c r="D157" s="165" t="str">
        <x:v>アマローネ</x:v>
      </x:c>
      <x:c r="E157" s="165" t="str">
        <x:v>アマローネ・デッラ・ヴァルポリチェッラが高アルコールで濃厚な辛口になりやすい主な理由はどれか。</x:v>
      </x:c>
      <x:c r="F157" s="165" t="str">
        <x:v>発酵を早期に止めて、低アルコールの甘口にする</x:v>
      </x:c>
      <x:c r="G157" s="165" t="str">
        <x:v>収穫前にブドウを水へ浸し、果汁を希釈する</x:v>
      </x:c>
      <x:c r="H157" s="165" t="str">
        <x:v>白ブドウを炭酸ガス注入して発泡性にする</x:v>
      </x:c>
      <x:c r="I157" s="165" t="str">
        <x:v>収穫後にブドウを乾燥させて糖と風味を濃縮し、その糖の多くを発酵させる</x:v>
      </x:c>
      <x:c r="J157" s="171" t="str">
        <x:v>D</x:v>
      </x:c>
      <x:c r="K157" s="165" t="str">
        <x:v>収穫後にブドウを乾燥させて糖と風味を濃縮し、その糖の多くを発酵させる</x:v>
      </x:c>
      <x:c r="L157" s="165" t="str">
        <x:v>アパッシメントで水分を減らした高糖度果汁を発酵するため、高いアルコール、豊かなボディ、乾燥果実風味を持つ辛口になりやすい。</x:v>
      </x:c>
      <x:c r="M157" s="165" t="str">
        <x:v>誤り。 これはレチョートなど甘口スタイルに近く、アマローネの典型ではない。</x:v>
      </x:c>
      <x:c r="N157" s="165" t="str">
        <x:v>誤り。 アパッシメントは水分を減らす工程で、希釈とは逆である。</x:v>
      </x:c>
      <x:c r="O157" s="165" t="str">
        <x:v>誤り。 アマローネは黒ブドウの非発泡性赤ワインである。</x:v>
      </x:c>
      <x:c r="P157" s="165" t="str">
        <x:v>正しい。 アパッシメントで水分を減らした高糖度果汁を発酵するため、高いアルコール、豊かなボディ、乾燥果実風味を持つ辛口になりやすい。</x:v>
      </x:c>
      <x:c r="Q157" s="165" t="str">
        <x:v>醸造・産地</x:v>
      </x:c>
      <x:c r="R157" s="165" t="str">
        <x:v>アパッシメント・辛口発酵</x:v>
      </x:c>
      <x:c r="S157" s="165" t="str">
        <x:v>非発泡性赤ワイン</x:v>
      </x:c>
      <x:c r="T157" s="165" t="str">
        <x:v>イタリア</x:v>
      </x:c>
      <x:c r="U157" s="165" t="str">
        <x:v>ヴェネト／ヴァルポリチェッラ</x:v>
      </x:c>
      <x:c r="V157" s="165" t="str">
        <x:v>コルヴィーナ等</x:v>
      </x:c>
      <x:c r="W157" s="165" t="str">
        <x:v>因果説明</x:v>
      </x:c>
      <x:c r="X157" s="171" t="str">
        <x:v>D2</x:v>
      </x:c>
      <x:c r="Y157" s="165" t="str">
        <x:v>アマローネは低アルコール甘口; 乾燥と希釈の逆転</x:v>
      </x:c>
      <x:c r="Z157" s="171" t="str">
        <x:v>N</x:v>
      </x:c>
      <x:c r="AA157" s="165"/>
      <x:c r="AB157" s="165" t="str">
        <x:v>オリジナル</x:v>
      </x:c>
      <x:c r="AC157" s="165" t="str">
        <x:v>公式Specificationの範囲＋ユーザー作成コーパスの論点と問題設計例を参考に独自作成</x:v>
      </x:c>
      <x:c r="AD157" s="171" t="str">
        <x:v>未レビュー</x:v>
      </x:c>
      <x:c r="AE157" s="171"/>
      <x:c r="AF157" s="171"/>
      <x:c r="AG157" s="166"/>
    </x:row>
    <x:row r="158" ht="84" customHeight="1">
      <x:c r="A158" s="164" t="str">
        <x:v>LO2-037</x:v>
      </x:c>
      <x:c r="B158" s="171" t="str">
        <x:v>LO2</x:v>
      </x:c>
      <x:c r="C158" s="165" t="str">
        <x:v>世界の主要な非発泡性ワイン</x:v>
      </x:c>
      <x:c r="D158" s="165" t="str">
        <x:v>キアンティ・クラッシコ</x:v>
      </x:c>
      <x:c r="E158" s="165" t="str">
        <x:v>キアンティ・クラッシコのサンジョヴェーゼに典型的な特徴はどれか。</x:v>
      </x:c>
      <x:c r="F158" s="165" t="str">
        <x:v>高い酸、目立つタンニン、サワーチェリーと乾燥ハーブを思わせる風味</x:v>
      </x:c>
      <x:c r="G158" s="165" t="str">
        <x:v>低い酸と低いタンニン、強いバナナ香</x:v>
      </x:c>
      <x:c r="H158" s="165" t="str">
        <x:v>極めて淡い甘口白で、マスカット香を持つ</x:v>
      </x:c>
      <x:c r="I158" s="165" t="str">
        <x:v>フロール熟成によるアセトアルデヒド香と塩味</x:v>
      </x:c>
      <x:c r="J158" s="171" t="str">
        <x:v>A</x:v>
      </x:c>
      <x:c r="K158" s="165" t="str">
        <x:v>高い酸、目立つタンニン、サワーチェリーと乾燥ハーブを思わせる風味</x:v>
      </x:c>
      <x:c r="L158" s="165" t="str">
        <x:v>サンジョヴェーゼは高い酸と中程度以上のタンニンを持ち、クラッシコの丘陵条件で赤い果実、ハーブ、土を思わせる複雑な赤ワインとなる。</x:v>
      </x:c>
      <x:c r="M158" s="165" t="str">
        <x:v>正しい。 サンジョヴェーゼは高い酸と中程度以上のタンニンを持ち、クラッシコの丘陵条件で赤い果実、ハーブ、土を思わせる複雑な赤ワインとなる。</x:v>
      </x:c>
      <x:c r="N158" s="165" t="str">
        <x:v>誤り。 サンジョヴェーゼは一般に高い酸を持ち、バナナ香が主要な品種特徴ではない。</x:v>
      </x:c>
      <x:c r="O158" s="165" t="str">
        <x:v>誤り。 キアンティ・クラッシコは主にサンジョヴェーゼの赤ワインである。</x:v>
      </x:c>
      <x:c r="P158" s="165" t="str">
        <x:v>誤り。 これはフィノやマンサニーリャに関連し、キアンティ・クラッシコの典型ではない。</x:v>
      </x:c>
      <x:c r="Q158" s="165" t="str">
        <x:v>品種・産地</x:v>
      </x:c>
      <x:c r="R158" s="165" t="str">
        <x:v>サンジョヴェーゼ・スタイル</x:v>
      </x:c>
      <x:c r="S158" s="165" t="str">
        <x:v>非発泡性赤ワイン</x:v>
      </x:c>
      <x:c r="T158" s="165" t="str">
        <x:v>イタリア</x:v>
      </x:c>
      <x:c r="U158" s="165" t="str">
        <x:v>トスカーナ／キアンティ・クラッシコ</x:v>
      </x:c>
      <x:c r="V158" s="165" t="str">
        <x:v>サンジョヴェーゼ</x:v>
      </x:c>
      <x:c r="W158" s="165" t="str">
        <x:v>知識確認</x:v>
      </x:c>
      <x:c r="X158" s="171" t="str">
        <x:v>D1</x:v>
      </x:c>
      <x:c r="Y158" s="165" t="str">
        <x:v>サンジョヴェーゼは低酸; キアンティは白・フロール</x:v>
      </x:c>
      <x:c r="Z158" s="171" t="str">
        <x:v>N</x:v>
      </x:c>
      <x:c r="AA158" s="165"/>
      <x:c r="AB158" s="165" t="str">
        <x:v>オリジナル</x:v>
      </x:c>
      <x:c r="AC158" s="165" t="str">
        <x:v>公式Specificationの範囲＋ユーザー作成コーパスの論点と問題設計例を参考に独自作成</x:v>
      </x:c>
      <x:c r="AD158" s="171" t="str">
        <x:v>未レビュー</x:v>
      </x:c>
      <x:c r="AE158" s="171"/>
      <x:c r="AF158" s="171"/>
      <x:c r="AG158" s="166"/>
    </x:row>
    <x:row r="159" ht="84" customHeight="1">
      <x:c r="A159" s="164" t="str">
        <x:v>LO2-038</x:v>
      </x:c>
      <x:c r="B159" s="171" t="str">
        <x:v>LO2</x:v>
      </x:c>
      <x:c r="C159" s="165" t="str">
        <x:v>世界の主要な非発泡性ワイン</x:v>
      </x:c>
      <x:c r="D159" s="165" t="str">
        <x:v>リベラ・デル・ドゥエロ</x:v>
      </x:c>
      <x:c r="E159" s="165" t="str">
        <x:v>リベラ・デル・ドゥエロでテンプラニーリョが高い酸を保ちながら十分に成熟できる主な理由はどれか。</x:v>
      </x:c>
      <x:c r="F159" s="165" t="str">
        <x:v>海面近くの熱帯雨林で、昼夜とも高温多湿だから</x:v>
      </x:c>
      <x:c r="G159" s="165" t="str">
        <x:v>高標高の大陸性気候で、強い日照と暖かい昼、涼しい夜が組み合わさる</x:v>
      </x:c>
      <x:c r="H159" s="165" t="str">
        <x:v>テンプラニーリョを凍結し、糖を除去するから</x:v>
      </x:c>
      <x:c r="I159" s="165" t="str">
        <x:v>フロールの下で生物学的熟成を行うから</x:v>
      </x:c>
      <x:c r="J159" s="171" t="str">
        <x:v>B</x:v>
      </x:c>
      <x:c r="K159" s="165" t="str">
        <x:v>高標高の大陸性気候で、強い日照と暖かい昼、涼しい夜が組み合わさる</x:v>
      </x:c>
      <x:c r="L159" s="165" t="str">
        <x:v>高標高では日射が強く成熟を促す一方、夜間の低温が呼吸による酸の減少を抑え、凝縮した構造のある赤ワインを生む。</x:v>
      </x:c>
      <x:c r="M159" s="165" t="str">
        <x:v>誤り。 リベラ・デル・ドゥエロは内陸の高標高地域で、熱帯雨林ではない。</x:v>
      </x:c>
      <x:c r="N159" s="165" t="str">
        <x:v>正しい。 高標高では日射が強く成熟を促す一方、夜間の低温が呼吸による酸の減少を抑え、凝縮した構造のある赤ワインを生む。</x:v>
      </x:c>
      <x:c r="O159" s="165" t="str">
        <x:v>誤り。 凍結による糖除去は行わず、成熟した黒ブドウを発酵する。</x:v>
      </x:c>
      <x:c r="P159" s="165" t="str">
        <x:v>誤り。 フロール熟成はシェリーの製法であり、リベラの赤ワインの酸保持理由ではない。</x:v>
      </x:c>
      <x:c r="Q159" s="165" t="str">
        <x:v>自然要因・産地</x:v>
      </x:c>
      <x:c r="R159" s="165" t="str">
        <x:v>高標高・日較差</x:v>
      </x:c>
      <x:c r="S159" s="165" t="str">
        <x:v>非発泡性赤ワイン</x:v>
      </x:c>
      <x:c r="T159" s="165" t="str">
        <x:v>スペイン</x:v>
      </x:c>
      <x:c r="U159" s="165" t="str">
        <x:v>リベラ・デル・ドゥエロ</x:v>
      </x:c>
      <x:c r="V159" s="165" t="str">
        <x:v>テンプラニーリョ</x:v>
      </x:c>
      <x:c r="W159" s="165" t="str">
        <x:v>因果説明</x:v>
      </x:c>
      <x:c r="X159" s="171" t="str">
        <x:v>D2</x:v>
      </x:c>
      <x:c r="Y159" s="165" t="str">
        <x:v>リベラは熱帯; 凍結・フロール</x:v>
      </x:c>
      <x:c r="Z159" s="171" t="str">
        <x:v>N</x:v>
      </x:c>
      <x:c r="AA159" s="165"/>
      <x:c r="AB159" s="165" t="str">
        <x:v>オリジナル</x:v>
      </x:c>
      <x:c r="AC159" s="165" t="str">
        <x:v>公式Specificationの範囲＋ユーザー作成コーパスの論点と問題設計例を参考に独自作成</x:v>
      </x:c>
      <x:c r="AD159" s="171" t="str">
        <x:v>未レビュー</x:v>
      </x:c>
      <x:c r="AE159" s="171"/>
      <x:c r="AF159" s="171"/>
      <x:c r="AG159" s="166"/>
    </x:row>
    <x:row r="160" ht="84" customHeight="1">
      <x:c r="A160" s="164" t="str">
        <x:v>LO2-039</x:v>
      </x:c>
      <x:c r="B160" s="171" t="str">
        <x:v>LO2</x:v>
      </x:c>
      <x:c r="C160" s="165" t="str">
        <x:v>世界の主要な非発泡性ワイン</x:v>
      </x:c>
      <x:c r="D160" s="165" t="str">
        <x:v>プリオラート</x:v>
      </x:c>
      <x:c r="E160" s="165" t="str">
        <x:v>プリオラートの上質赤ワインが高価格になりやすい要因の組み合わせはどれか。</x:v>
      </x:c>
      <x:c r="F160" s="165" t="str">
        <x:v>平坦で肥沃な灌漑畑、極めて高収量、完全機械化</x:v>
      </x:c>
      <x:c r="G160" s="165" t="str">
        <x:v>冷凍果汁を輸入し、炭酸ガスを注入する</x:v>
      </x:c>
      <x:c r="H160" s="165" t="str">
        <x:v>急斜面のリコレリャ土壌、古木、低収量、手作業による生産</x:v>
      </x:c>
      <x:c r="I160" s="165" t="str">
        <x:v>長期間のフロール熟成を行い、淡い辛口にする</x:v>
      </x:c>
      <x:c r="J160" s="171" t="str">
        <x:v>C</x:v>
      </x:c>
      <x:c r="K160" s="165" t="str">
        <x:v>急斜面のリコレリャ土壌、古木、低収量、手作業による生産</x:v>
      </x:c>
      <x:c r="L160" s="165" t="str">
        <x:v>痩せた粘板岩質土壌と急斜面は低収量で凝縮したガルナッチャやカリニェナを生むが、機械化が難しく、ブドウ量も少ないためコストが高い。</x:v>
      </x:c>
      <x:c r="M160" s="165" t="str">
        <x:v>誤り。 これは大量生産向きの条件で、プリオラートの高価格要因と逆である。</x:v>
      </x:c>
      <x:c r="N160" s="165" t="str">
        <x:v>誤り。 プリオラートは地元の黒ブドウから造る非発泡性赤ワインである。</x:v>
      </x:c>
      <x:c r="O160" s="165" t="str">
        <x:v>正しい。 痩せた粘板岩質土壌と急斜面は低収量で凝縮したガルナッチャやカリニェナを生むが、機械化が難しく、ブドウ量も少ないためコストが高い。</x:v>
      </x:c>
      <x:c r="P160" s="165" t="str">
        <x:v>誤り。 フロール熟成はシェリーの工程で、プリオラートの典型ではない。</x:v>
      </x:c>
      <x:c r="Q160" s="165" t="str">
        <x:v>自然・人的・商業要因</x:v>
      </x:c>
      <x:c r="R160" s="165" t="str">
        <x:v>急斜面・低収量・価格</x:v>
      </x:c>
      <x:c r="S160" s="165" t="str">
        <x:v>非発泡性赤ワイン</x:v>
      </x:c>
      <x:c r="T160" s="165" t="str">
        <x:v>スペイン</x:v>
      </x:c>
      <x:c r="U160" s="165" t="str">
        <x:v>カタルーニャ／プリオラート</x:v>
      </x:c>
      <x:c r="V160" s="165" t="str">
        <x:v>ガルナッチャ、カリニェナ</x:v>
      </x:c>
      <x:c r="W160" s="165" t="str">
        <x:v>統合判断</x:v>
      </x:c>
      <x:c r="X160" s="171" t="str">
        <x:v>D3</x:v>
      </x:c>
      <x:c r="Y160" s="165" t="str">
        <x:v>プリオラートは平地高収量; 発泡・フロール</x:v>
      </x:c>
      <x:c r="Z160" s="171" t="str">
        <x:v>N</x:v>
      </x:c>
      <x:c r="AA160" s="165"/>
      <x:c r="AB160" s="165" t="str">
        <x:v>オリジナル</x:v>
      </x:c>
      <x:c r="AC160" s="165" t="str">
        <x:v>公式Specificationの範囲＋ユーザー作成コーパスの論点と問題設計例を参考に独自作成</x:v>
      </x:c>
      <x:c r="AD160" s="171" t="str">
        <x:v>未レビュー</x:v>
      </x:c>
      <x:c r="AE160" s="171"/>
      <x:c r="AF160" s="171"/>
      <x:c r="AG160" s="166"/>
    </x:row>
    <x:row r="161" ht="84" customHeight="1">
      <x:c r="A161" s="164" t="str">
        <x:v>LO2-040</x:v>
      </x:c>
      <x:c r="B161" s="171" t="str">
        <x:v>LO2</x:v>
      </x:c>
      <x:c r="C161" s="165" t="str">
        <x:v>世界の主要な非発泡性ワイン</x:v>
      </x:c>
      <x:c r="D161" s="165" t="str">
        <x:v>ヴィーニョ・ヴェルデ</x:v>
      </x:c>
      <x:c r="E161" s="165" t="str">
        <x:v>ヴィーニョ・ヴェルデの白ワインが軽快で高い酸を持ちやすい主な理由はどれか。</x:v>
      </x:c>
      <x:c r="F161" s="165" t="str">
        <x:v>非常に高温乾燥した砂漠で、ブドウを長期間乾燥させるから</x:v>
      </x:c>
      <x:c r="G161" s="165" t="str">
        <x:v>すべてのワインを発酵途中で酒精強化するから</x:v>
      </x:c>
      <x:c r="H161" s="165" t="str">
        <x:v>黒ブドウの果皮を長期浸漬し、高タンニンにするから</x:v>
      </x:c>
      <x:c r="I161" s="165" t="str">
        <x:v>大西洋の影響を受ける比較的冷涼で雨の多い気候で、早めに収穫されることが多い</x:v>
      </x:c>
      <x:c r="J161" s="171" t="str">
        <x:v>D</x:v>
      </x:c>
      <x:c r="K161" s="165" t="str">
        <x:v>大西洋の影響を受ける比較的冷涼で雨の多い気候で、早めに収穫されることが多い</x:v>
      </x:c>
      <x:c r="L161" s="165" t="str">
        <x:v>ポルトガル北西部の海洋性気候ではブドウの酸が保持され、軽いアルコールと柑橘・青リンゴの風味を持つスタイルになりやすい。</x:v>
      </x:c>
      <x:c r="M161" s="165" t="str">
        <x:v>誤り。 ヴィーニョ・ヴェルデは湿潤な大西洋性地域で、乾燥ブドウの濃厚ワインが典型ではない。</x:v>
      </x:c>
      <x:c r="N161" s="165" t="str">
        <x:v>誤り。 ヴィーニョ・ヴェルデは通常酒精強化しない。</x:v>
      </x:c>
      <x:c r="O161" s="165" t="str">
        <x:v>誤り。 代表的なスタイルは白で、長期果皮浸漬による高タンニンは典型ではない。</x:v>
      </x:c>
      <x:c r="P161" s="165" t="str">
        <x:v>正しい。 ポルトガル北西部の海洋性気候ではブドウの酸が保持され、軽いアルコールと柑橘・青リンゴの風味を持つスタイルになりやすい。</x:v>
      </x:c>
      <x:c r="Q161" s="165" t="str">
        <x:v>自然要因・産地</x:v>
      </x:c>
      <x:c r="R161" s="165" t="str">
        <x:v>海洋性気候・酸</x:v>
      </x:c>
      <x:c r="S161" s="165" t="str">
        <x:v>非発泡性白ワイン</x:v>
      </x:c>
      <x:c r="T161" s="165" t="str">
        <x:v>ポルトガル</x:v>
      </x:c>
      <x:c r="U161" s="165" t="str">
        <x:v>ヴィーニョ・ヴェルデ</x:v>
      </x:c>
      <x:c r="V161" s="165" t="str">
        <x:v>アルヴァリーニョ、ロウレイロ等</x:v>
      </x:c>
      <x:c r="W161" s="165" t="str">
        <x:v>因果説明</x:v>
      </x:c>
      <x:c r="X161" s="171" t="str">
        <x:v>D2</x:v>
      </x:c>
      <x:c r="Y161" s="165" t="str">
        <x:v>ヴィーニョ・ヴェルデは砂漠乾燥; 酒精強化・高タンニン</x:v>
      </x:c>
      <x:c r="Z161" s="171" t="str">
        <x:v>N</x:v>
      </x:c>
      <x:c r="AA161" s="165"/>
      <x:c r="AB161" s="165" t="str">
        <x:v>オリジナル</x:v>
      </x:c>
      <x:c r="AC161" s="165" t="str">
        <x:v>公式Specificationの範囲＋ユーザー作成コーパスの論点と問題設計例を参考に独自作成</x:v>
      </x:c>
      <x:c r="AD161" s="171" t="str">
        <x:v>未レビュー</x:v>
      </x:c>
      <x:c r="AE161" s="171"/>
      <x:c r="AF161" s="171"/>
      <x:c r="AG161" s="166"/>
    </x:row>
    <x:row r="162" ht="84" customHeight="1">
      <x:c r="A162" s="164" t="str">
        <x:v>LO2-041</x:v>
      </x:c>
      <x:c r="B162" s="171" t="str">
        <x:v>LO2</x:v>
      </x:c>
      <x:c r="C162" s="165" t="str">
        <x:v>世界の主要な非発泡性ワイン</x:v>
      </x:c>
      <x:c r="D162" s="165" t="str">
        <x:v>ロシアン・リヴァー・ヴァレー</x:v>
      </x:c>
      <x:c r="E162" s="165" t="str">
        <x:v>ロシアン・リヴァー・ヴァレーがピノ・ノワールとシャルドネに適する主な理由はどれか。</x:v>
      </x:c>
      <x:c r="F162" s="165" t="str">
        <x:v>太平洋から入る霧と冷たい空気が日中の気温を下げ、成熟期間を延ばす</x:v>
      </x:c>
      <x:c r="G162" s="165" t="str">
        <x:v>砂漠の熱風が昼夜を通じて畑を高温に保つ</x:v>
      </x:c>
      <x:c r="H162" s="165" t="str">
        <x:v>果房を海水へ浸し、塩味を付ける</x:v>
      </x:c>
      <x:c r="I162" s="165" t="str">
        <x:v>すべてのブドウを発酵前に凍結して甘口にする</x:v>
      </x:c>
      <x:c r="J162" s="171" t="str">
        <x:v>A</x:v>
      </x:c>
      <x:c r="K162" s="165" t="str">
        <x:v>太平洋から入る霧と冷たい空気が日中の気温を下げ、成熟期間を延ばす</x:v>
      </x:c>
      <x:c r="L162" s="165" t="str">
        <x:v>沿岸からの霧と風がソノマ内陸へ入り、暖かい日中を冷却するため、酸を保ちながら風味をゆっくり成熟させられる。</x:v>
      </x:c>
      <x:c r="M162" s="165" t="str">
        <x:v>正しい。 沿岸からの霧と風がソノマ内陸へ入り、暖かい日中を冷却するため、酸を保ちながら風味をゆっくり成熟させられる。</x:v>
      </x:c>
      <x:c r="N162" s="165" t="str">
        <x:v>誤り。 ロシアン・リヴァーの重要な特徴は海洋冷却であり、持続的な砂漠熱風ではない。</x:v>
      </x:c>
      <x:c r="O162" s="165" t="str">
        <x:v>誤り。 海洋の影響は気温への作用で、果房を海水に浸すことではない。</x:v>
      </x:c>
      <x:c r="P162" s="165" t="str">
        <x:v>誤り。 代表的なスタイルは辛口の非発泡性ワインで、凍結濃縮が標準ではない。</x:v>
      </x:c>
      <x:c r="Q162" s="165" t="str">
        <x:v>自然要因・産地</x:v>
      </x:c>
      <x:c r="R162" s="165" t="str">
        <x:v>霧・海洋冷却</x:v>
      </x:c>
      <x:c r="S162" s="165" t="str">
        <x:v>非発泡性ワイン</x:v>
      </x:c>
      <x:c r="T162" s="165" t="str">
        <x:v>米国</x:v>
      </x:c>
      <x:c r="U162" s="165" t="str">
        <x:v>ソノマ／ロシアン・リヴァー・ヴァレー</x:v>
      </x:c>
      <x:c r="V162" s="165" t="str">
        <x:v>ピノ・ノワール、シャルドネ</x:v>
      </x:c>
      <x:c r="W162" s="165" t="str">
        <x:v>因果説明</x:v>
      </x:c>
      <x:c r="X162" s="171" t="str">
        <x:v>D2</x:v>
      </x:c>
      <x:c r="Y162" s="165" t="str">
        <x:v>ロシアン・リヴァーは砂漠; 海水処理・凍結甘口</x:v>
      </x:c>
      <x:c r="Z162" s="171" t="str">
        <x:v>N</x:v>
      </x:c>
      <x:c r="AA162" s="165"/>
      <x:c r="AB162" s="165" t="str">
        <x:v>オリジナル</x:v>
      </x:c>
      <x:c r="AC162" s="165" t="str">
        <x:v>公式Specificationの範囲＋ユーザー作成コーパスの論点と問題設計例を参考に独自作成</x:v>
      </x:c>
      <x:c r="AD162" s="171" t="str">
        <x:v>未レビュー</x:v>
      </x:c>
      <x:c r="AE162" s="171"/>
      <x:c r="AF162" s="171"/>
      <x:c r="AG162" s="166"/>
    </x:row>
    <x:row r="163" ht="84" customHeight="1">
      <x:c r="A163" s="164" t="str">
        <x:v>LO2-042</x:v>
      </x:c>
      <x:c r="B163" s="171" t="str">
        <x:v>LO2</x:v>
      </x:c>
      <x:c r="C163" s="165" t="str">
        <x:v>世界の主要な非発泡性ワイン</x:v>
      </x:c>
      <x:c r="D163" s="165" t="str">
        <x:v>ドライ・クリーク・ヴァレー</x:v>
      </x:c>
      <x:c r="E163" s="165" t="str">
        <x:v>ドライ・クリーク・ヴァレーのジンファンデルに典型的な特徴はどれか。</x:v>
      </x:c>
      <x:c r="F163" s="165" t="str">
        <x:v>低アルコールで高い酸の淡い白、青リンゴだけの香り</x:v>
      </x:c>
      <x:c r="G163" s="165" t="str">
        <x:v>熟したブラックベリーやプラム、高めのアルコール、豊かなボディ</x:v>
      </x:c>
      <x:c r="H163" s="165" t="str">
        <x:v>フロール熟成によるアーモンド香の酒精強化ワイン</x:v>
      </x:c>
      <x:c r="I163" s="165" t="str">
        <x:v>極めて甘い貴腐白ワイン</x:v>
      </x:c>
      <x:c r="J163" s="171" t="str">
        <x:v>B</x:v>
      </x:c>
      <x:c r="K163" s="165" t="str">
        <x:v>熟したブラックベリーやプラム、高めのアルコール、豊かなボディ</x:v>
      </x:c>
      <x:c r="L163" s="165" t="str">
        <x:v>温暖で日照の多い条件によりジンファンデルが高い糖度に達し、凝縮した黒系果実とスパイスを持つ力強い赤ワインになりやすい。</x:v>
      </x:c>
      <x:c r="M163" s="165" t="str">
        <x:v>誤り。 ジンファンデルは黒ブドウで、ドライ・クリークでは一般に熟した力強い赤となる。</x:v>
      </x:c>
      <x:c r="N163" s="165" t="str">
        <x:v>正しい。 温暖で日照の多い条件によりジンファンデルが高い糖度に達し、凝縮した黒系果実とスパイスを持つ力強い赤ワインになりやすい。</x:v>
      </x:c>
      <x:c r="O163" s="165" t="str">
        <x:v>誤り。 これはフィノなどのシェリーの特徴である。</x:v>
      </x:c>
      <x:c r="P163" s="165" t="str">
        <x:v>誤り。 ジンファンデルの典型的なドライ・クリーク赤とは異なる。</x:v>
      </x:c>
      <x:c r="Q163" s="165" t="str">
        <x:v>産地スタイル</x:v>
      </x:c>
      <x:c r="R163" s="165" t="str">
        <x:v>温暖気候・ジンファンデル</x:v>
      </x:c>
      <x:c r="S163" s="165" t="str">
        <x:v>非発泡性赤ワイン</x:v>
      </x:c>
      <x:c r="T163" s="165" t="str">
        <x:v>米国</x:v>
      </x:c>
      <x:c r="U163" s="165" t="str">
        <x:v>ソノマ／ドライ・クリーク・ヴァレー</x:v>
      </x:c>
      <x:c r="V163" s="165" t="str">
        <x:v>ジンファンデル</x:v>
      </x:c>
      <x:c r="W163" s="165" t="str">
        <x:v>知識確認</x:v>
      </x:c>
      <x:c r="X163" s="171" t="str">
        <x:v>D1</x:v>
      </x:c>
      <x:c r="Y163" s="165" t="str">
        <x:v>ジンファンデルは白・シェリー・貴腐</x:v>
      </x:c>
      <x:c r="Z163" s="171" t="str">
        <x:v>N</x:v>
      </x:c>
      <x:c r="AA163" s="165"/>
      <x:c r="AB163" s="165" t="str">
        <x:v>オリジナル</x:v>
      </x:c>
      <x:c r="AC163" s="165" t="str">
        <x:v>公式Specificationの範囲＋ユーザー作成コーパスの論点と問題設計例を参考に独自作成</x:v>
      </x:c>
      <x:c r="AD163" s="171" t="str">
        <x:v>未レビュー</x:v>
      </x:c>
      <x:c r="AE163" s="171"/>
      <x:c r="AF163" s="171"/>
      <x:c r="AG163" s="166"/>
    </x:row>
    <x:row r="164" ht="84" customHeight="1">
      <x:c r="A164" s="164" t="str">
        <x:v>LO2-043</x:v>
      </x:c>
      <x:c r="B164" s="171" t="str">
        <x:v>LO2</x:v>
      </x:c>
      <x:c r="C164" s="165" t="str">
        <x:v>世界の主要な非発泡性ワイン</x:v>
      </x:c>
      <x:c r="D164" s="165" t="str">
        <x:v>コロンビア・ヴァレー</x:v>
      </x:c>
      <x:c r="E164" s="165" t="str">
        <x:v>ワシントン州コロンビア・ヴァレーで灌漑が重要となる主な理由はどれか。</x:v>
      </x:c>
      <x:c r="F164" s="165" t="str">
        <x:v>熱帯モンスーンで毎日豪雨があり、余分な水を加える必要がある</x:v>
      </x:c>
      <x:c r="G164" s="165" t="str">
        <x:v>海面下にあり、塩水だけが根へ供給される</x:v>
      </x:c>
      <x:c r="H164" s="165" t="str">
        <x:v>カスケード山脈の雨陰で生育期が乾燥し、自然降水だけでは不足しやすい</x:v>
      </x:c>
      <x:c r="I164" s="165" t="str">
        <x:v>灌漑によって日照時間を増やし、山脈を低くする</x:v>
      </x:c>
      <x:c r="J164" s="171" t="str">
        <x:v>C</x:v>
      </x:c>
      <x:c r="K164" s="165" t="str">
        <x:v>カスケード山脈の雨陰で生育期が乾燥し、自然降水だけでは不足しやすい</x:v>
      </x:c>
      <x:c r="L164" s="165" t="str">
        <x:v>西からの湿った空気が山脈で雨を落とすため、東側のコロンビア・ヴァレーは乾燥し、河川水を利用した灌漑で樹勢と成熟を管理する。</x:v>
      </x:c>
      <x:c r="M164" s="165" t="str">
        <x:v>誤り。 コロンビア・ヴァレーは雨陰で乾燥しており、説明が逆である。</x:v>
      </x:c>
      <x:c r="N164" s="165" t="str">
        <x:v>誤り。 海面下の塩水灌漑地域ではなく、淡水を管理して利用する。</x:v>
      </x:c>
      <x:c r="O164" s="165" t="str">
        <x:v>正しい。 西からの湿った空気が山脈で雨を落とすため、東側のコロンビア・ヴァレーは乾燥し、河川水を利用した灌漑で樹勢と成熟を管理する。</x:v>
      </x:c>
      <x:c r="P164" s="165" t="str">
        <x:v>誤り。 灌漑は水分を供給する手段で、日照時間や地形を変えない。</x:v>
      </x:c>
      <x:c r="Q164" s="165" t="str">
        <x:v>自然・人的要因</x:v>
      </x:c>
      <x:c r="R164" s="165" t="str">
        <x:v>雨陰・灌漑</x:v>
      </x:c>
      <x:c r="S164" s="165" t="str">
        <x:v>非発泡性ワイン</x:v>
      </x:c>
      <x:c r="T164" s="165" t="str">
        <x:v>米国</x:v>
      </x:c>
      <x:c r="U164" s="165" t="str">
        <x:v>ワシントン／コロンビア・ヴァレー</x:v>
      </x:c>
      <x:c r="V164" s="165" t="str">
        <x:v>カベルネ・ソーヴィニヨン、メルロ、リースリング等</x:v>
      </x:c>
      <x:c r="W164" s="165" t="str">
        <x:v>因果説明</x:v>
      </x:c>
      <x:c r="X164" s="171" t="str">
        <x:v>D2</x:v>
      </x:c>
      <x:c r="Y164" s="165" t="str">
        <x:v>コロンビアは多雨; 灌漑で日照・地形変更</x:v>
      </x:c>
      <x:c r="Z164" s="171" t="str">
        <x:v>N</x:v>
      </x:c>
      <x:c r="AA164" s="165"/>
      <x:c r="AB164" s="165" t="str">
        <x:v>オリジナル</x:v>
      </x:c>
      <x:c r="AC164" s="165" t="str">
        <x:v>公式Specificationの範囲＋ユーザー作成コーパスの論点と問題設計例を参考に独自作成</x:v>
      </x:c>
      <x:c r="AD164" s="171" t="str">
        <x:v>未レビュー</x:v>
      </x:c>
      <x:c r="AE164" s="171"/>
      <x:c r="AF164" s="171"/>
      <x:c r="AG164" s="166"/>
    </x:row>
    <x:row r="165" ht="84" customHeight="1">
      <x:c r="A165" s="164" t="str">
        <x:v>LO2-044</x:v>
      </x:c>
      <x:c r="B165" s="171" t="str">
        <x:v>LO2</x:v>
      </x:c>
      <x:c r="C165" s="165" t="str">
        <x:v>世界の主要な非発泡性ワイン</x:v>
      </x:c>
      <x:c r="D165" s="165" t="str">
        <x:v>フィンガー・レイクス</x:v>
      </x:c>
      <x:c r="E165" s="165" t="str">
        <x:v>フィンガー・レイクスでリースリングの栽培が可能となる重要な要因はどれか。</x:v>
      </x:c>
      <x:c r="F165" s="165" t="str">
        <x:v>湖が果汁へ糖を直接供給し、光合成を不要にする</x:v>
      </x:c>
      <x:c r="G165" s="165" t="str">
        <x:v>一年中熱帯の高温を保ち、酸を完全に失わせる</x:v>
      </x:c>
      <x:c r="H165" s="165" t="str">
        <x:v>湖水の塩分でブドウを酒精強化する</x:v>
      </x:c>
      <x:c r="I165" s="165" t="str">
        <x:v>深い湖が冬の厳寒と春秋の気温変化を緩和する</x:v>
      </x:c>
      <x:c r="J165" s="171" t="str">
        <x:v>D</x:v>
      </x:c>
      <x:c r="K165" s="165" t="str">
        <x:v>深い湖が冬の厳寒と春秋の気温変化を緩和する</x:v>
      </x:c>
      <x:c r="L165" s="165" t="str">
        <x:v>湖は熱を蓄えて放出し、周辺斜面の冬の低温や春霜を和らげ、生育期を延ばすため、冷涼気候品種の成熟を支える。</x:v>
      </x:c>
      <x:c r="M165" s="165" t="str">
        <x:v>誤り。 湖は気候を緩和するが、糖を果汁へ直接供給しない。</x:v>
      </x:c>
      <x:c r="N165" s="165" t="str">
        <x:v>誤り。 フィンガー・レイクスは冷涼な地域で、高い酸を持つリースリングが特徴である。</x:v>
      </x:c>
      <x:c r="O165" s="165" t="str">
        <x:v>誤り。 酒精強化は蒸留酒の添加であり、湖の塩分とは関係しない。</x:v>
      </x:c>
      <x:c r="P165" s="165" t="str">
        <x:v>正しい。 湖は熱を蓄えて放出し、周辺斜面の冬の低温や春霜を和らげ、生育期を延ばすため、冷涼気候品種の成熟を支える。</x:v>
      </x:c>
      <x:c r="Q165" s="165" t="str">
        <x:v>自然要因・産地</x:v>
      </x:c>
      <x:c r="R165" s="165" t="str">
        <x:v>湖・気候緩和</x:v>
      </x:c>
      <x:c r="S165" s="165" t="str">
        <x:v>非発泡性白ワイン</x:v>
      </x:c>
      <x:c r="T165" s="165" t="str">
        <x:v>米国</x:v>
      </x:c>
      <x:c r="U165" s="165" t="str">
        <x:v>ニューヨーク／フィンガー・レイクス</x:v>
      </x:c>
      <x:c r="V165" s="165" t="str">
        <x:v>リースリング</x:v>
      </x:c>
      <x:c r="W165" s="165" t="str">
        <x:v>因果説明</x:v>
      </x:c>
      <x:c r="X165" s="171" t="str">
        <x:v>D2</x:v>
      </x:c>
      <x:c r="Y165" s="165" t="str">
        <x:v>湖が糖・酒精を供給; 熱帯高温</x:v>
      </x:c>
      <x:c r="Z165" s="171" t="str">
        <x:v>N</x:v>
      </x:c>
      <x:c r="AA165" s="165"/>
      <x:c r="AB165" s="165" t="str">
        <x:v>オリジナル</x:v>
      </x:c>
      <x:c r="AC165" s="165" t="str">
        <x:v>公式Specificationの範囲＋ユーザー作成コーパスの論点と問題設計例を参考に独自作成</x:v>
      </x:c>
      <x:c r="AD165" s="171" t="str">
        <x:v>未レビュー</x:v>
      </x:c>
      <x:c r="AE165" s="171"/>
      <x:c r="AF165" s="171"/>
      <x:c r="AG165" s="166"/>
    </x:row>
    <x:row r="166" ht="84" customHeight="1">
      <x:c r="A166" s="164" t="str">
        <x:v>LO2-045</x:v>
      </x:c>
      <x:c r="B166" s="171" t="str">
        <x:v>LO2</x:v>
      </x:c>
      <x:c r="C166" s="165" t="str">
        <x:v>世界の主要な非発泡性ワイン</x:v>
      </x:c>
      <x:c r="D166" s="165" t="str">
        <x:v>ナイアガラのアイスワイン</x:v>
      </x:c>
      <x:c r="E166" s="165" t="str">
        <x:v>ナイアガラ半島のアイスワインが非常に甘い一方で酸を保ちやすい理由はどれか。</x:v>
      </x:c>
      <x:c r="F166" s="165" t="str">
        <x:v>冷涼気候で酸を保持したブドウを樹上で凍結させ、水分を氷として分離する</x:v>
      </x:c>
      <x:c r="G166" s="165" t="str">
        <x:v>温暖な砂漠でブドウを水へ浸し、果汁を薄める</x:v>
      </x:c>
      <x:c r="H166" s="165" t="str">
        <x:v>発酵後に大量の水と糖を加え、酸を除去する</x:v>
      </x:c>
      <x:c r="I166" s="165" t="str">
        <x:v>フロールの下で完全に辛口になるまで熟成する</x:v>
      </x:c>
      <x:c r="J166" s="171" t="str">
        <x:v>A</x:v>
      </x:c>
      <x:c r="K166" s="165" t="str">
        <x:v>冷涼気候で酸を保持したブドウを樹上で凍結させ、水分を氷として分離する</x:v>
      </x:c>
      <x:c r="L166" s="165" t="str">
        <x:v>リースリングやヴィダルが高い酸を保ち、凍結したまま圧搾することで糖と酸の両方が濃縮した少量の果汁を得る。</x:v>
      </x:c>
      <x:c r="M166" s="165" t="str">
        <x:v>正しい。 リースリングやヴィダルが高い酸を保ち、凍結したまま圧搾することで糖と酸の両方が濃縮した少量の果汁を得る。</x:v>
      </x:c>
      <x:c r="N166" s="165" t="str">
        <x:v>誤り。 アイスワインは冷涼な凍結条件を利用し、希釈ではなく濃縮する。</x:v>
      </x:c>
      <x:c r="O166" s="165" t="str">
        <x:v>誤り。 凍結ブドウ由来の濃縮果汁が基礎で、発酵後の希釈が特徴ではない。</x:v>
      </x:c>
      <x:c r="P166" s="165" t="str">
        <x:v>誤り。 フロール熟成はシェリーの製法で、アイスワインは残糖の高い甘口である。</x:v>
      </x:c>
      <x:c r="Q166" s="165" t="str">
        <x:v>自然・人的要因</x:v>
      </x:c>
      <x:c r="R166" s="165" t="str">
        <x:v>凍結濃縮・酸</x:v>
      </x:c>
      <x:c r="S166" s="165" t="str">
        <x:v>非発泡性甘口白ワイン</x:v>
      </x:c>
      <x:c r="T166" s="165" t="str">
        <x:v>カナダ</x:v>
      </x:c>
      <x:c r="U166" s="165" t="str">
        <x:v>オンタリオ／ナイアガラ半島</x:v>
      </x:c>
      <x:c r="V166" s="165" t="str">
        <x:v>ヴィダル、リースリング</x:v>
      </x:c>
      <x:c r="W166" s="165" t="str">
        <x:v>統合判断</x:v>
      </x:c>
      <x:c r="X166" s="171" t="str">
        <x:v>D3</x:v>
      </x:c>
      <x:c r="Y166" s="165" t="str">
        <x:v>アイスワインは希釈・フロール辛口</x:v>
      </x:c>
      <x:c r="Z166" s="171" t="str">
        <x:v>N</x:v>
      </x:c>
      <x:c r="AA166" s="165"/>
      <x:c r="AB166" s="165" t="str">
        <x:v>オリジナル</x:v>
      </x:c>
      <x:c r="AC166" s="165" t="str">
        <x:v>公式Specificationの範囲＋ユーザー作成コーパスの論点と問題設計例を参考に独自作成</x:v>
      </x:c>
      <x:c r="AD166" s="171" t="str">
        <x:v>未レビュー</x:v>
      </x:c>
      <x:c r="AE166" s="171"/>
      <x:c r="AF166" s="171"/>
      <x:c r="AG166" s="166"/>
    </x:row>
    <x:row r="167" ht="84" customHeight="1">
      <x:c r="A167" s="164" t="str">
        <x:v>LO2-046</x:v>
      </x:c>
      <x:c r="B167" s="171" t="str">
        <x:v>LO2</x:v>
      </x:c>
      <x:c r="C167" s="165" t="str">
        <x:v>世界の主要な非発泡性ワイン</x:v>
      </x:c>
      <x:c r="D167" s="165" t="str">
        <x:v>オカナガン・ヴァレー</x:v>
      </x:c>
      <x:c r="E167" s="165" t="str">
        <x:v>オカナガン・ヴァレーで熟した果実味と高い酸を両立しやすい条件はどれか。</x:v>
      </x:c>
      <x:c r="F167" s="165" t="str">
        <x:v>一年中高温多湿で、昼夜の気温差がほとんどない</x:v>
      </x:c>
      <x:c r="G167" s="165" t="str">
        <x:v>北緯が高い一方で日照時間が長く、乾燥した夏と大きな日較差がある</x:v>
      </x:c>
      <x:c r="H167" s="165" t="str">
        <x:v>海洋性の霧が一日中日照を完全に遮る</x:v>
      </x:c>
      <x:c r="I167" s="165" t="str">
        <x:v>ブドウを必ず乾燥させ、酒精強化する</x:v>
      </x:c>
      <x:c r="J167" s="171" t="str">
        <x:v>B</x:v>
      </x:c>
      <x:c r="K167" s="165" t="str">
        <x:v>北緯が高い一方で日照時間が長く、乾燥した夏と大きな日較差がある</x:v>
      </x:c>
      <x:c r="L167" s="165" t="str">
        <x:v>長い夏の日照が成熟を促し、夜間の低温が酸を保持する。乾燥条件では灌漑により水分を管理できる。</x:v>
      </x:c>
      <x:c r="M167" s="165" t="str">
        <x:v>誤り。 オカナガンは比較的乾燥し、日較差が重要である。</x:v>
      </x:c>
      <x:c r="N167" s="165" t="str">
        <x:v>正しい。 長い夏の日照が成熟を促し、夜間の低温が酸を保持する。乾燥条件では灌漑により水分を管理できる。</x:v>
      </x:c>
      <x:c r="O167" s="165" t="str">
        <x:v>誤り。 内陸に位置し、持続的な沿岸霧が主な条件ではない。</x:v>
      </x:c>
      <x:c r="P167" s="165" t="str">
        <x:v>誤り。 多様な非発泡性ワインを造り、乾燥・酒精強化が必須ではない。</x:v>
      </x:c>
      <x:c r="Q167" s="165" t="str">
        <x:v>自然要因・産地</x:v>
      </x:c>
      <x:c r="R167" s="165" t="str">
        <x:v>高緯度・日較差</x:v>
      </x:c>
      <x:c r="S167" s="165" t="str">
        <x:v>非発泡性ワイン</x:v>
      </x:c>
      <x:c r="T167" s="165" t="str">
        <x:v>カナダ</x:v>
      </x:c>
      <x:c r="U167" s="165" t="str">
        <x:v>ブリティッシュ・コロンビア／オカナガン・ヴァレー</x:v>
      </x:c>
      <x:c r="V167" s="165" t="str">
        <x:v>リースリング、ピノ・ノワール等</x:v>
      </x:c>
      <x:c r="W167" s="165" t="str">
        <x:v>因果説明</x:v>
      </x:c>
      <x:c r="X167" s="171" t="str">
        <x:v>D2</x:v>
      </x:c>
      <x:c r="Y167" s="165" t="str">
        <x:v>オカナガンは高温多湿; 沿岸霧; 乾燥酒精強化必須</x:v>
      </x:c>
      <x:c r="Z167" s="171" t="str">
        <x:v>N</x:v>
      </x:c>
      <x:c r="AA167" s="165"/>
      <x:c r="AB167" s="165" t="str">
        <x:v>オリジナル</x:v>
      </x:c>
      <x:c r="AC167" s="165" t="str">
        <x:v>公式Specificationの範囲＋ユーザー作成コーパスの論点と問題設計例を参考に独自作成</x:v>
      </x:c>
      <x:c r="AD167" s="171" t="str">
        <x:v>未レビュー</x:v>
      </x:c>
      <x:c r="AE167" s="171"/>
      <x:c r="AF167" s="171"/>
      <x:c r="AG167" s="166"/>
    </x:row>
    <x:row r="168" ht="84" customHeight="1">
      <x:c r="A168" s="164" t="str">
        <x:v>LO2-047</x:v>
      </x:c>
      <x:c r="B168" s="171" t="str">
        <x:v>LO2</x:v>
      </x:c>
      <x:c r="C168" s="165" t="str">
        <x:v>世界の主要な非発泡性ワイン</x:v>
      </x:c>
      <x:c r="D168" s="165" t="str">
        <x:v>マイポ・ヴァレー</x:v>
      </x:c>
      <x:c r="E168" s="165" t="str">
        <x:v>マイポ・ヴァレーの上質カベルネ・ソーヴィニヨンに典型的な特徴はどれか。</x:v>
      </x:c>
      <x:c r="F168" s="165" t="str">
        <x:v>低いタンニンの甘い白ワインで、マスカット香だけを持つ</x:v>
      </x:c>
      <x:c r="G168" s="165" t="str">
        <x:v>フロール熟成した淡い酒精強化ワイン</x:v>
      </x:c>
      <x:c r="H168" s="165" t="str">
        <x:v>熟した黒系果実、しっかりしたタンニン、ミントやハーブを思わせる香り</x:v>
      </x:c>
      <x:c r="I168" s="165" t="str">
        <x:v>極めて低い酸と無色の発泡性ワイン</x:v>
      </x:c>
      <x:c r="J168" s="171" t="str">
        <x:v>C</x:v>
      </x:c>
      <x:c r="K168" s="165" t="str">
        <x:v>熟した黒系果実、しっかりしたタンニン、ミントやハーブを思わせる香り</x:v>
      </x:c>
      <x:c r="L168" s="165" t="str">
        <x:v>温暖で乾燥した条件とアンデス由来の冷気・沖積土壌により、成熟した果実と構造、フレッシュさを併せ持つカベルネを造りやすい。</x:v>
      </x:c>
      <x:c r="M168" s="165" t="str">
        <x:v>誤り。 カベルネ・ソーヴィニヨンは黒ブドウで、マイポでは構造のある赤が典型である。</x:v>
      </x:c>
      <x:c r="N168" s="165" t="str">
        <x:v>誤り。 これはフィノなどのシェリーの特徴である。</x:v>
      </x:c>
      <x:c r="O168" s="165" t="str">
        <x:v>正しい。 温暖で乾燥した条件とアンデス由来の冷気・沖積土壌により、成熟した果実と構造、フレッシュさを併せ持つカベルネを造りやすい。</x:v>
      </x:c>
      <x:c r="P168" s="165" t="str">
        <x:v>誤り。 マイポのカベルネは非発泡性赤ワインで、色とタンニンを持つ。</x:v>
      </x:c>
      <x:c r="Q168" s="165" t="str">
        <x:v>産地スタイル</x:v>
      </x:c>
      <x:c r="R168" s="165" t="str">
        <x:v>カベルネ・ソーヴィニヨン</x:v>
      </x:c>
      <x:c r="S168" s="165" t="str">
        <x:v>非発泡性赤ワイン</x:v>
      </x:c>
      <x:c r="T168" s="165" t="str">
        <x:v>チリ</x:v>
      </x:c>
      <x:c r="U168" s="165" t="str">
        <x:v>マイポ・ヴァレー</x:v>
      </x:c>
      <x:c r="V168" s="165" t="str">
        <x:v>カベルネ・ソーヴィニヨン</x:v>
      </x:c>
      <x:c r="W168" s="165" t="str">
        <x:v>知識確認</x:v>
      </x:c>
      <x:c r="X168" s="171" t="str">
        <x:v>D1</x:v>
      </x:c>
      <x:c r="Y168" s="165" t="str">
        <x:v>マイポ・カベルネは白・シェリー・無色発泡</x:v>
      </x:c>
      <x:c r="Z168" s="171" t="str">
        <x:v>N</x:v>
      </x:c>
      <x:c r="AA168" s="165"/>
      <x:c r="AB168" s="165" t="str">
        <x:v>オリジナル</x:v>
      </x:c>
      <x:c r="AC168" s="165" t="str">
        <x:v>公式Specificationの範囲＋ユーザー作成コーパスの論点と問題設計例を参考に独自作成</x:v>
      </x:c>
      <x:c r="AD168" s="171" t="str">
        <x:v>未レビュー</x:v>
      </x:c>
      <x:c r="AE168" s="171"/>
      <x:c r="AF168" s="171"/>
      <x:c r="AG168" s="166"/>
    </x:row>
    <x:row r="169" ht="84" customHeight="1">
      <x:c r="A169" s="164" t="str">
        <x:v>LO2-048</x:v>
      </x:c>
      <x:c r="B169" s="171" t="str">
        <x:v>LO2</x:v>
      </x:c>
      <x:c r="C169" s="165" t="str">
        <x:v>世界の主要な非発泡性ワイン</x:v>
      </x:c>
      <x:c r="D169" s="165" t="str">
        <x:v>コルチャグア・ヴァレー</x:v>
      </x:c>
      <x:c r="E169" s="165" t="str">
        <x:v>コルチャグア・ヴァレーがカルメネールの完熟に適する主な理由はどれか。</x:v>
      </x:c>
      <x:c r="F169" s="165" t="str">
        <x:v>冷涼な短い夏で、未熟な青い風味を最大化する</x:v>
      </x:c>
      <x:c r="G169" s="165" t="str">
        <x:v>ブドウを凍結し、糖を氷として捨てる</x:v>
      </x:c>
      <x:c r="H169" s="165" t="str">
        <x:v>海水を灌漑に使い、塩味を付ける</x:v>
      </x:c>
      <x:c r="I169" s="165" t="str">
        <x:v>温暖で日照が多く、生育期間が長いため、晩熟な品種の青い風味を減らしやすい</x:v>
      </x:c>
      <x:c r="J169" s="171" t="str">
        <x:v>D</x:v>
      </x:c>
      <x:c r="K169" s="165" t="str">
        <x:v>温暖で日照が多く、生育期間が長いため、晩熟な品種の青い風味を減らしやすい</x:v>
      </x:c>
      <x:c r="L169" s="165" t="str">
        <x:v>カルメネールは晩熟で、十分な熱と長い秋がないと青いピラジン香が残りやすい。コルチャグアの暖かさが果実とタンニンの成熟を支える。</x:v>
      </x:c>
      <x:c r="M169" s="165" t="str">
        <x:v>誤り。 高品質では未熟な青い風味を避けるため、十分な成熟が必要である。</x:v>
      </x:c>
      <x:c r="N169" s="165" t="str">
        <x:v>誤り。 カルメネールの成熟に凍結処理は用いず、糖を捨てる工程でもない。</x:v>
      </x:c>
      <x:c r="O169" s="165" t="str">
        <x:v>誤り。 塩水灌漑は品種成熟の理由ではなく、塩害を引き起こし得る。</x:v>
      </x:c>
      <x:c r="P169" s="165" t="str">
        <x:v>正しい。 カルメネールは晩熟で、十分な熱と長い秋がないと青いピラジン香が残りやすい。コルチャグアの暖かさが果実とタンニンの成熟を支える。</x:v>
      </x:c>
      <x:c r="Q169" s="165" t="str">
        <x:v>自然要因・産地</x:v>
      </x:c>
      <x:c r="R169" s="165" t="str">
        <x:v>晩熟品種・温暖気候</x:v>
      </x:c>
      <x:c r="S169" s="165" t="str">
        <x:v>非発泡性赤ワイン</x:v>
      </x:c>
      <x:c r="T169" s="165" t="str">
        <x:v>チリ</x:v>
      </x:c>
      <x:c r="U169" s="165" t="str">
        <x:v>コルチャグア・ヴァレー</x:v>
      </x:c>
      <x:c r="V169" s="165" t="str">
        <x:v>カルメネール</x:v>
      </x:c>
      <x:c r="W169" s="165" t="str">
        <x:v>因果説明</x:v>
      </x:c>
      <x:c r="X169" s="171" t="str">
        <x:v>D2</x:v>
      </x:c>
      <x:c r="Y169" s="165" t="str">
        <x:v>未熟風味が高品質; 凍結・塩水灌漑</x:v>
      </x:c>
      <x:c r="Z169" s="171" t="str">
        <x:v>N</x:v>
      </x:c>
      <x:c r="AA169" s="165"/>
      <x:c r="AB169" s="165" t="str">
        <x:v>オリジナル</x:v>
      </x:c>
      <x:c r="AC169" s="165" t="str">
        <x:v>公式Specificationの範囲＋ユーザー作成コーパスの論点と問題設計例を参考に独自作成</x:v>
      </x:c>
      <x:c r="AD169" s="171" t="str">
        <x:v>未レビュー</x:v>
      </x:c>
      <x:c r="AE169" s="171"/>
      <x:c r="AF169" s="171"/>
      <x:c r="AG169" s="166"/>
    </x:row>
    <x:row r="170" ht="84" customHeight="1">
      <x:c r="A170" s="164" t="str">
        <x:v>LO2-049</x:v>
      </x:c>
      <x:c r="B170" s="171" t="str">
        <x:v>LO2</x:v>
      </x:c>
      <x:c r="C170" s="165" t="str">
        <x:v>世界の主要な非発泡性ワイン</x:v>
      </x:c>
      <x:c r="D170" s="165" t="str">
        <x:v>サン・アントニオ・ヴァレー</x:v>
      </x:c>
      <x:c r="E170" s="165" t="str">
        <x:v>サン・アントニオ・ヴァレーのソーヴィニヨン・ブランやシャルドネが高い酸を持ちやすい主な理由はどれか。</x:v>
      </x:c>
      <x:c r="F170" s="165" t="str">
        <x:v>冷たい太平洋と沿岸風・霧の影響を強く受ける</x:v>
      </x:c>
      <x:c r="G170" s="165" t="str">
        <x:v>アンデス東側の砂漠熱風だけを受ける</x:v>
      </x:c>
      <x:c r="H170" s="165" t="str">
        <x:v>ブドウを収穫後に長期間乾燥させる</x:v>
      </x:c>
      <x:c r="I170" s="165" t="str">
        <x:v>発酵後に酸をすべて除去する</x:v>
      </x:c>
      <x:c r="J170" s="171" t="str">
        <x:v>A</x:v>
      </x:c>
      <x:c r="K170" s="165" t="str">
        <x:v>冷たい太平洋と沿岸風・霧の影響を強く受ける</x:v>
      </x:c>
      <x:c r="L170" s="165" t="str">
        <x:v>海に近く、フンボルト海流に冷却された空気と霧が気温を下げるため、成熟が緩やかで酸を保持しやすい。</x:v>
      </x:c>
      <x:c r="M170" s="165" t="str">
        <x:v>正しい。 海に近く、フンボルト海流に冷却された空気と霧が気温を下げるため、成熟が緩やかで酸を保持しやすい。</x:v>
      </x:c>
      <x:c r="N170" s="165" t="str">
        <x:v>誤り。 サン・アントニオは太平洋沿岸の冷却が重要で、東側の砂漠熱風が主因ではない。</x:v>
      </x:c>
      <x:c r="O170" s="165" t="str">
        <x:v>誤り。 代表的な辛口白の酸は冷涼な生育条件によるもので、乾燥濃縮が標準ではない。</x:v>
      </x:c>
      <x:c r="P170" s="165" t="str">
        <x:v>誤り。 高い酸を持つスタイルと、酸をすべて除去する説明は矛盾する。</x:v>
      </x:c>
      <x:c r="Q170" s="165" t="str">
        <x:v>自然要因・産地</x:v>
      </x:c>
      <x:c r="R170" s="165" t="str">
        <x:v>海洋冷却・霧</x:v>
      </x:c>
      <x:c r="S170" s="165" t="str">
        <x:v>非発泡性白ワイン</x:v>
      </x:c>
      <x:c r="T170" s="165" t="str">
        <x:v>チリ</x:v>
      </x:c>
      <x:c r="U170" s="165" t="str">
        <x:v>サン・アントニオ・ヴァレー</x:v>
      </x:c>
      <x:c r="V170" s="165" t="str">
        <x:v>ソーヴィニヨン・ブラン、シャルドネ</x:v>
      </x:c>
      <x:c r="W170" s="165" t="str">
        <x:v>因果説明</x:v>
      </x:c>
      <x:c r="X170" s="171" t="str">
        <x:v>D2</x:v>
      </x:c>
      <x:c r="Y170" s="165" t="str">
        <x:v>サンアントニオは砂漠熱風; 乾燥濃縮; 酸除去</x:v>
      </x:c>
      <x:c r="Z170" s="171" t="str">
        <x:v>N</x:v>
      </x:c>
      <x:c r="AA170" s="165"/>
      <x:c r="AB170" s="165" t="str">
        <x:v>オリジナル</x:v>
      </x:c>
      <x:c r="AC170" s="165" t="str">
        <x:v>公式Specificationの範囲＋ユーザー作成コーパスの論点と問題設計例を参考に独自作成</x:v>
      </x:c>
      <x:c r="AD170" s="171" t="str">
        <x:v>未レビュー</x:v>
      </x:c>
      <x:c r="AE170" s="171"/>
      <x:c r="AF170" s="171"/>
      <x:c r="AG170" s="166"/>
    </x:row>
    <x:row r="171" ht="84" customHeight="1">
      <x:c r="A171" s="164" t="str">
        <x:v>LO2-050</x:v>
      </x:c>
      <x:c r="B171" s="171" t="str">
        <x:v>LO2</x:v>
      </x:c>
      <x:c r="C171" s="165" t="str">
        <x:v>世界の主要な非発泡性ワイン</x:v>
      </x:c>
      <x:c r="D171" s="165" t="str">
        <x:v>カファジャテ</x:v>
      </x:c>
      <x:c r="E171" s="165" t="str">
        <x:v>カファジャテのトロンテスが強い芳香と酸を持ちやすい条件はどれか。</x:v>
      </x:c>
      <x:c r="F171" s="165" t="str">
        <x:v>海面近くの高温多湿な熱帯気候</x:v>
      </x:c>
      <x:c r="G171" s="165" t="str">
        <x:v>非常に高い標高で、強い日射と涼しい夜が組み合わさる</x:v>
      </x:c>
      <x:c r="H171" s="165" t="str">
        <x:v>一年中日照がなく、成熟が起こらない条件</x:v>
      </x:c>
      <x:c r="I171" s="165" t="str">
        <x:v>フロール熟成で香りを作る</x:v>
      </x:c>
      <x:c r="J171" s="171" t="str">
        <x:v>B</x:v>
      </x:c>
      <x:c r="K171" s="165" t="str">
        <x:v>非常に高い標高で、強い日射と涼しい夜が組み合わさる</x:v>
      </x:c>
      <x:c r="L171" s="165" t="str">
        <x:v>強い日射が香りと糖の成熟を促し、夜間の低温が酸と香りを保持するため、花やブドウ、柑橘を思わせる芳香性白になる。</x:v>
      </x:c>
      <x:c r="M171" s="165" t="str">
        <x:v>誤り。 カファジャテは内陸の高標高で乾燥した地域である。</x:v>
      </x:c>
      <x:c r="N171" s="165" t="str">
        <x:v>正しい。 強い日射が香りと糖の成熟を促し、夜間の低温が酸と香りを保持するため、花やブドウ、柑橘を思わせる芳香性白になる。</x:v>
      </x:c>
      <x:c r="O171" s="165" t="str">
        <x:v>誤り。 強い日射が品種の芳香と成熟に重要である。</x:v>
      </x:c>
      <x:c r="P171" s="165" t="str">
        <x:v>誤り。 トロンテスの主要な香りは品種由来で、フロール熟成ではない。</x:v>
      </x:c>
      <x:c r="Q171" s="165" t="str">
        <x:v>自然要因・産地</x:v>
      </x:c>
      <x:c r="R171" s="165" t="str">
        <x:v>高標高・芳香性品種</x:v>
      </x:c>
      <x:c r="S171" s="165" t="str">
        <x:v>非発泡性白ワイン</x:v>
      </x:c>
      <x:c r="T171" s="165" t="str">
        <x:v>アルゼンチン</x:v>
      </x:c>
      <x:c r="U171" s="165" t="str">
        <x:v>サルタ／カファジャテ</x:v>
      </x:c>
      <x:c r="V171" s="165" t="str">
        <x:v>トロンテス</x:v>
      </x:c>
      <x:c r="W171" s="165" t="str">
        <x:v>因果説明</x:v>
      </x:c>
      <x:c r="X171" s="171" t="str">
        <x:v>D2</x:v>
      </x:c>
      <x:c r="Y171" s="165" t="str">
        <x:v>カファジャテは熱帯低地; トロンテス香はフロール</x:v>
      </x:c>
      <x:c r="Z171" s="171" t="str">
        <x:v>N</x:v>
      </x:c>
      <x:c r="AA171" s="165"/>
      <x:c r="AB171" s="165" t="str">
        <x:v>オリジナル</x:v>
      </x:c>
      <x:c r="AC171" s="165" t="str">
        <x:v>公式Specificationの範囲＋ユーザー作成コーパスの論点と問題設計例を参考に独自作成</x:v>
      </x:c>
      <x:c r="AD171" s="171" t="str">
        <x:v>未レビュー</x:v>
      </x:c>
      <x:c r="AE171" s="171"/>
      <x:c r="AF171" s="171"/>
      <x:c r="AG171" s="166"/>
    </x:row>
    <x:row r="172" ht="84" customHeight="1">
      <x:c r="A172" s="164" t="str">
        <x:v>LO2-051</x:v>
      </x:c>
      <x:c r="B172" s="171" t="str">
        <x:v>LO2</x:v>
      </x:c>
      <x:c r="C172" s="165" t="str">
        <x:v>世界の主要な非発泡性ワイン</x:v>
      </x:c>
      <x:c r="D172" s="165" t="str">
        <x:v>ルハン・デ・クージョ</x:v>
      </x:c>
      <x:c r="E172" s="165" t="str">
        <x:v>ルハン・デ・クージョの上質マルベックに、凝縮した果実味と柔らかく熟したタンニンをもたらす要因はどれか。</x:v>
      </x:c>
      <x:c r="F172" s="165" t="str">
        <x:v>冷涼多雨で日照が少なく、果皮が成熟しない</x:v>
      </x:c>
      <x:c r="G172" s="165" t="str">
        <x:v>海水による洪水灌漑で塩分を加える</x:v>
      </x:c>
      <x:c r="H172" s="165" t="str">
        <x:v>標高のある乾燥した畑で、強い日射と灌漑を管理し、十分に成熟させる</x:v>
      </x:c>
      <x:c r="I172" s="165" t="str">
        <x:v>発酵を行わず、ブドウジュースのまま瓶詰めする</x:v>
      </x:c>
      <x:c r="J172" s="171" t="str">
        <x:v>C</x:v>
      </x:c>
      <x:c r="K172" s="165" t="str">
        <x:v>標高のある乾燥した畑で、強い日射と灌漑を管理し、十分に成熟させる</x:v>
      </x:c>
      <x:c r="L172" s="165" t="str">
        <x:v>標高による涼しい夜で酸を保ちつつ、強い日射と乾燥条件で色と果実を成熟させ、灌漑により適度な水分ストレスを管理できる。</x:v>
      </x:c>
      <x:c r="M172" s="165" t="str">
        <x:v>誤り。 上質マルベックには十分な日射と成熟が必要で、説明が逆である。</x:v>
      </x:c>
      <x:c r="N172" s="165" t="str">
        <x:v>誤り。 使用するのは山岳由来の淡水で、海水による塩分付与ではない。</x:v>
      </x:c>
      <x:c r="O172" s="165" t="str">
        <x:v>正しい。 標高による涼しい夜で酸を保ちつつ、強い日射と乾燥条件で色と果実を成熟させ、灌漑により適度な水分ストレスを管理できる。</x:v>
      </x:c>
      <x:c r="P172" s="165" t="str">
        <x:v>誤り。 ワインにはアルコール発酵が必要である。</x:v>
      </x:c>
      <x:c r="Q172" s="165" t="str">
        <x:v>自然・人的要因</x:v>
      </x:c>
      <x:c r="R172" s="165" t="str">
        <x:v>標高・灌漑・成熟</x:v>
      </x:c>
      <x:c r="S172" s="165" t="str">
        <x:v>非発泡性赤ワイン</x:v>
      </x:c>
      <x:c r="T172" s="165" t="str">
        <x:v>アルゼンチン</x:v>
      </x:c>
      <x:c r="U172" s="165" t="str">
        <x:v>メンドーサ／ルハン・デ・クージョ</x:v>
      </x:c>
      <x:c r="V172" s="165" t="str">
        <x:v>マルベック</x:v>
      </x:c>
      <x:c r="W172" s="165" t="str">
        <x:v>統合判断</x:v>
      </x:c>
      <x:c r="X172" s="171" t="str">
        <x:v>D3</x:v>
      </x:c>
      <x:c r="Y172" s="165" t="str">
        <x:v>ルハンは冷涼多雨; 海水灌漑; 無発酵</x:v>
      </x:c>
      <x:c r="Z172" s="171" t="str">
        <x:v>N</x:v>
      </x:c>
      <x:c r="AA172" s="165"/>
      <x:c r="AB172" s="165" t="str">
        <x:v>オリジナル</x:v>
      </x:c>
      <x:c r="AC172" s="165" t="str">
        <x:v>公式Specificationの範囲＋ユーザー作成コーパスの論点と問題設計例を参考に独自作成</x:v>
      </x:c>
      <x:c r="AD172" s="171" t="str">
        <x:v>未レビュー</x:v>
      </x:c>
      <x:c r="AE172" s="171"/>
      <x:c r="AF172" s="171"/>
      <x:c r="AG172" s="166"/>
    </x:row>
    <x:row r="173" ht="84" customHeight="1">
      <x:c r="A173" s="164" t="str">
        <x:v>LO2-052</x:v>
      </x:c>
      <x:c r="B173" s="171" t="str">
        <x:v>LO2</x:v>
      </x:c>
      <x:c r="C173" s="165" t="str">
        <x:v>世界の主要な非発泡性ワイン</x:v>
      </x:c>
      <x:c r="D173" s="165" t="str">
        <x:v>パタゴニア</x:v>
      </x:c>
      <x:c r="E173" s="165" t="str">
        <x:v>パタゴニアがピノ・ノワールなどの冷涼気候品種に適する主な理由はどれか。</x:v>
      </x:c>
      <x:c r="F173" s="165" t="str">
        <x:v>赤道直下の熱帯雨林で、昼夜とも高温だから</x:v>
      </x:c>
      <x:c r="G173" s="165" t="str">
        <x:v>ブドウを必ず貴腐させ、甘口だけを造るから</x:v>
      </x:c>
      <x:c r="H173" s="165" t="str">
        <x:v>フロールが一年中厚く育つ海岸の酒精強化産地だから</x:v>
      </x:c>
      <x:c r="I173" s="165" t="str">
        <x:v>南緯が高く、乾燥した気候と強い風、涼しい夜が成熟を緩やかにする</x:v>
      </x:c>
      <x:c r="J173" s="171" t="str">
        <x:v>D</x:v>
      </x:c>
      <x:c r="K173" s="165" t="str">
        <x:v>南緯が高く、乾燥した気候と強い風、涼しい夜が成熟を緩やかにする</x:v>
      </x:c>
      <x:c r="L173" s="165" t="str">
        <x:v>メンドーサより南に位置し、冷涼で日較差が大きい。乾燥により病害圧力が比較的低く、灌漑で水分を管理できる。</x:v>
      </x:c>
      <x:c r="M173" s="165" t="str">
        <x:v>誤り。 パタゴニアは南部の冷涼な地域で、熱帯雨林ではない。</x:v>
      </x:c>
      <x:c r="N173" s="165" t="str">
        <x:v>誤り。 ピノ・ノワールなどの辛口ワインが重要で、貴腐甘口だけではない。</x:v>
      </x:c>
      <x:c r="O173" s="165" t="str">
        <x:v>誤り。 パタゴニアの非発泡性ワインにフロール熟成は用いない。</x:v>
      </x:c>
      <x:c r="P173" s="165" t="str">
        <x:v>正しい。 メンドーサより南に位置し、冷涼で日較差が大きい。乾燥により病害圧力が比較的低く、灌漑で水分を管理できる。</x:v>
      </x:c>
      <x:c r="Q173" s="165" t="str">
        <x:v>自然要因・産地</x:v>
      </x:c>
      <x:c r="R173" s="165" t="str">
        <x:v>高緯度・風・日較差</x:v>
      </x:c>
      <x:c r="S173" s="165" t="str">
        <x:v>非発泡性ワイン</x:v>
      </x:c>
      <x:c r="T173" s="165" t="str">
        <x:v>アルゼンチン</x:v>
      </x:c>
      <x:c r="U173" s="165" t="str">
        <x:v>パタゴニア</x:v>
      </x:c>
      <x:c r="V173" s="165" t="str">
        <x:v>ピノ・ノワール、シャルドネ等</x:v>
      </x:c>
      <x:c r="W173" s="165" t="str">
        <x:v>因果説明</x:v>
      </x:c>
      <x:c r="X173" s="171" t="str">
        <x:v>D2</x:v>
      </x:c>
      <x:c r="Y173" s="165" t="str">
        <x:v>パタゴニアは熱帯; 貴腐のみ; フロール酒精強化</x:v>
      </x:c>
      <x:c r="Z173" s="171" t="str">
        <x:v>N</x:v>
      </x:c>
      <x:c r="AA173" s="165"/>
      <x:c r="AB173" s="165" t="str">
        <x:v>オリジナル</x:v>
      </x:c>
      <x:c r="AC173" s="165" t="str">
        <x:v>公式Specificationの範囲＋ユーザー作成コーパスの論点と問題設計例を参考に独自作成</x:v>
      </x:c>
      <x:c r="AD173" s="171" t="str">
        <x:v>未レビュー</x:v>
      </x:c>
      <x:c r="AE173" s="171"/>
      <x:c r="AF173" s="171"/>
      <x:c r="AG173" s="166"/>
    </x:row>
    <x:row r="174" ht="84" customHeight="1">
      <x:c r="A174" s="164" t="str">
        <x:v>LO2-053</x:v>
      </x:c>
      <x:c r="B174" s="171" t="str">
        <x:v>LO2</x:v>
      </x:c>
      <x:c r="C174" s="165" t="str">
        <x:v>世界の主要な非発泡性ワイン</x:v>
      </x:c>
      <x:c r="D174" s="165" t="str">
        <x:v>ステレンボッシュ</x:v>
      </x:c>
      <x:c r="E174" s="165" t="str">
        <x:v>ステレンボッシュの上質カベルネ・ソーヴィニヨンに、成熟とフレッシュさを両立させる要因はどれか。</x:v>
      </x:c>
      <x:c r="F174" s="165" t="str">
        <x:v>暖かい日照に加え、フォールス湾からの冷却風と山地の標高差がある</x:v>
      </x:c>
      <x:c r="G174" s="165" t="str">
        <x:v>一年中極寒で、ブドウがヴェレゾンに達しない</x:v>
      </x:c>
      <x:c r="H174" s="165" t="str">
        <x:v>海水を果汁へ加え、酸を作る</x:v>
      </x:c>
      <x:c r="I174" s="165" t="str">
        <x:v>すべてのワインを炭酸ガス注入方式で発泡性にする</x:v>
      </x:c>
      <x:c r="J174" s="171" t="str">
        <x:v>A</x:v>
      </x:c>
      <x:c r="K174" s="165" t="str">
        <x:v>暖かい日照に加え、フォールス湾からの冷却風と山地の標高差がある</x:v>
      </x:c>
      <x:c r="L174" s="165" t="str">
        <x:v>日中の暖かさで黒系果実とタンニンが成熟し、海風と高い場所の低温が酸を保ち、生育期間を緩やかにする。</x:v>
      </x:c>
      <x:c r="M174" s="165" t="str">
        <x:v>正しい。 日中の暖かさで黒系果実とタンニンが成熟し、海風と高い場所の低温が酸を保ち、生育期間を緩やかにする。</x:v>
      </x:c>
      <x:c r="N174" s="165" t="str">
        <x:v>誤り。 ステレンボッシュは温暖で、カベルネが成熟できる。</x:v>
      </x:c>
      <x:c r="O174" s="165" t="str">
        <x:v>誤り。 海洋の影響は冷却風であり、海水を果汁へ加えない。</x:v>
      </x:c>
      <x:c r="P174" s="165" t="str">
        <x:v>誤り。 ステレンボッシュのカベルネは主に非発泡性赤ワインである。</x:v>
      </x:c>
      <x:c r="Q174" s="165" t="str">
        <x:v>自然要因・産地</x:v>
      </x:c>
      <x:c r="R174" s="165" t="str">
        <x:v>海風・標高</x:v>
      </x:c>
      <x:c r="S174" s="165" t="str">
        <x:v>非発泡性赤ワイン</x:v>
      </x:c>
      <x:c r="T174" s="165" t="str">
        <x:v>南アフリカ</x:v>
      </x:c>
      <x:c r="U174" s="165" t="str">
        <x:v>ステレンボッシュ</x:v>
      </x:c>
      <x:c r="V174" s="165" t="str">
        <x:v>カベルネ・ソーヴィニヨン</x:v>
      </x:c>
      <x:c r="W174" s="165" t="str">
        <x:v>因果説明</x:v>
      </x:c>
      <x:c r="X174" s="171" t="str">
        <x:v>D2</x:v>
      </x:c>
      <x:c r="Y174" s="165" t="str">
        <x:v>ステレンボッシュは極寒; 海水添加; 発泡性のみ</x:v>
      </x:c>
      <x:c r="Z174" s="171" t="str">
        <x:v>N</x:v>
      </x:c>
      <x:c r="AA174" s="165"/>
      <x:c r="AB174" s="165" t="str">
        <x:v>オリジナル</x:v>
      </x:c>
      <x:c r="AC174" s="165" t="str">
        <x:v>公式Specificationの範囲＋ユーザー作成コーパスの論点と問題設計例を参考に独自作成</x:v>
      </x:c>
      <x:c r="AD174" s="171" t="str">
        <x:v>未レビュー</x:v>
      </x:c>
      <x:c r="AE174" s="171"/>
      <x:c r="AF174" s="171"/>
      <x:c r="AG174" s="166"/>
    </x:row>
    <x:row r="175" ht="84" customHeight="1">
      <x:c r="A175" s="164" t="str">
        <x:v>LO2-054</x:v>
      </x:c>
      <x:c r="B175" s="171" t="str">
        <x:v>LO2</x:v>
      </x:c>
      <x:c r="C175" s="165" t="str">
        <x:v>世界の主要な非発泡性ワイン</x:v>
      </x:c>
      <x:c r="D175" s="165" t="str">
        <x:v>スワートランド</x:v>
      </x:c>
      <x:c r="E175" s="165" t="str">
        <x:v>スワートランドの古木シュナン・ブランが凝縮したワインを生みやすい理由はどれか。</x:v>
      </x:c>
      <x:c r="F175" s="165" t="str">
        <x:v>高収量の若木だけを灌水し、果汁を希釈する</x:v>
      </x:c>
      <x:c r="G175" s="165" t="str">
        <x:v>乾燥した条件と低収量の古木が、小粒で風味の強いブドウを生みやすい</x:v>
      </x:c>
      <x:c r="H175" s="165" t="str">
        <x:v>ブドウを凍結してアイスワインだけを造る</x:v>
      </x:c>
      <x:c r="I175" s="165" t="str">
        <x:v>フロール熟成によりアーモンド香を作る</x:v>
      </x:c>
      <x:c r="J175" s="171" t="str">
        <x:v>B</x:v>
      </x:c>
      <x:c r="K175" s="165" t="str">
        <x:v>乾燥した条件と低収量の古木が、小粒で風味の強いブドウを生みやすい</x:v>
      </x:c>
      <x:c r="L175" s="165" t="str">
        <x:v>乾燥した地中海性気候と深く根を張る古木により収量が抑えられ、熟した果実、酸、質感を持つ凝縮したシュナンを得やすい。</x:v>
      </x:c>
      <x:c r="M175" s="165" t="str">
        <x:v>誤り。 古木と低収量が凝縮度に寄与するので、説明が逆である。</x:v>
      </x:c>
      <x:c r="N175" s="165" t="str">
        <x:v>正しい。 乾燥した地中海性気候と深く根を張る古木により収量が抑えられ、熟した果実、酸、質感を持つ凝縮したシュナンを得やすい。</x:v>
      </x:c>
      <x:c r="O175" s="165" t="str">
        <x:v>誤り。 スワートランドは温暖で乾燥し、アイスワインが典型ではない。</x:v>
      </x:c>
      <x:c r="P175" s="165" t="str">
        <x:v>誤り。 主に非発泡性白ワインで、フロール熟成は標準ではない。</x:v>
      </x:c>
      <x:c r="Q175" s="165" t="str">
        <x:v>自然・人的要因</x:v>
      </x:c>
      <x:c r="R175" s="165" t="str">
        <x:v>古木・低収量</x:v>
      </x:c>
      <x:c r="S175" s="165" t="str">
        <x:v>非発泡性白ワイン</x:v>
      </x:c>
      <x:c r="T175" s="165" t="str">
        <x:v>南アフリカ</x:v>
      </x:c>
      <x:c r="U175" s="165" t="str">
        <x:v>スワートランド</x:v>
      </x:c>
      <x:c r="V175" s="165" t="str">
        <x:v>シュナン・ブラン</x:v>
      </x:c>
      <x:c r="W175" s="165" t="str">
        <x:v>因果説明</x:v>
      </x:c>
      <x:c r="X175" s="171" t="str">
        <x:v>D2</x:v>
      </x:c>
      <x:c r="Y175" s="165" t="str">
        <x:v>古木は高収量希釈; アイスワイン・フロール</x:v>
      </x:c>
      <x:c r="Z175" s="171" t="str">
        <x:v>N</x:v>
      </x:c>
      <x:c r="AA175" s="165"/>
      <x:c r="AB175" s="165" t="str">
        <x:v>オリジナル</x:v>
      </x:c>
      <x:c r="AC175" s="165" t="str">
        <x:v>公式Specificationの範囲＋ユーザー作成コーパスの論点と問題設計例を参考に独自作成</x:v>
      </x:c>
      <x:c r="AD175" s="171" t="str">
        <x:v>未レビュー</x:v>
      </x:c>
      <x:c r="AE175" s="171"/>
      <x:c r="AF175" s="171"/>
      <x:c r="AG175" s="166"/>
    </x:row>
    <x:row r="176" ht="84" customHeight="1">
      <x:c r="A176" s="164" t="str">
        <x:v>LO2-055</x:v>
      </x:c>
      <x:c r="B176" s="171" t="str">
        <x:v>LO2</x:v>
      </x:c>
      <x:c r="C176" s="165" t="str">
        <x:v>世界の主要な非発泡性ワイン</x:v>
      </x:c>
      <x:c r="D176" s="165" t="str">
        <x:v>ウォーカー・ベイ</x:v>
      </x:c>
      <x:c r="E176" s="165" t="str">
        <x:v>ウォーカー・ベイとヘメル・アン・アードがピノ・ノワールとシャルドネに適する主な理由はどれか。</x:v>
      </x:c>
      <x:c r="F176" s="165" t="str">
        <x:v>内陸砂漠の熱風だけを受け、夜も高温だから</x:v>
      </x:c>
      <x:c r="G176" s="165" t="str">
        <x:v>ブドウを収穫後に長期間乾燥させるから</x:v>
      </x:c>
      <x:c r="H176" s="165" t="str">
        <x:v>南大西洋からの冷たい海風が気温を下げ、成熟を長くする</x:v>
      </x:c>
      <x:c r="I176" s="165" t="str">
        <x:v>酒精強化して発酵を止めるから</x:v>
      </x:c>
      <x:c r="J176" s="171" t="str">
        <x:v>C</x:v>
      </x:c>
      <x:c r="K176" s="165" t="str">
        <x:v>南大西洋からの冷たい海風が気温を下げ、成熟を長くする</x:v>
      </x:c>
      <x:c r="L176" s="165" t="str">
        <x:v>海に近く冷却効果が強いため、南アフリカの中では冷涼で、酸を保持しながら繊細な果実風味を成熟させやすい。</x:v>
      </x:c>
      <x:c r="M176" s="165" t="str">
        <x:v>誤り。 ウォーカー・ベイは海洋の冷却が重要で、内陸砂漠の高温が主因ではない。</x:v>
      </x:c>
      <x:c r="N176" s="165" t="str">
        <x:v>誤り。 代表的なスタイルは冷涼気候の辛口で、乾燥濃縮が標準ではない。</x:v>
      </x:c>
      <x:c r="O176" s="165" t="str">
        <x:v>正しい。 海に近く冷却効果が強いため、南アフリカの中では冷涼で、酸を保持しながら繊細な果実風味を成熟させやすい。</x:v>
      </x:c>
      <x:c r="P176" s="165" t="str">
        <x:v>誤り。 ピノ・ノワールとシャルドネの非発泡性ワインは通常酒精強化しない。</x:v>
      </x:c>
      <x:c r="Q176" s="165" t="str">
        <x:v>自然要因・産地</x:v>
      </x:c>
      <x:c r="R176" s="165" t="str">
        <x:v>海洋冷却</x:v>
      </x:c>
      <x:c r="S176" s="165" t="str">
        <x:v>非発泡性ワイン</x:v>
      </x:c>
      <x:c r="T176" s="165" t="str">
        <x:v>南アフリカ</x:v>
      </x:c>
      <x:c r="U176" s="165" t="str">
        <x:v>ウォーカー・ベイ／ヘメル・アン・アード</x:v>
      </x:c>
      <x:c r="V176" s="165" t="str">
        <x:v>ピノ・ノワール、シャルドネ</x:v>
      </x:c>
      <x:c r="W176" s="165" t="str">
        <x:v>因果説明</x:v>
      </x:c>
      <x:c r="X176" s="171" t="str">
        <x:v>D2</x:v>
      </x:c>
      <x:c r="Y176" s="165" t="str">
        <x:v>ウォーカー・ベイは砂漠; 乾燥・酒精強化</x:v>
      </x:c>
      <x:c r="Z176" s="171" t="str">
        <x:v>N</x:v>
      </x:c>
      <x:c r="AA176" s="165"/>
      <x:c r="AB176" s="165" t="str">
        <x:v>オリジナル</x:v>
      </x:c>
      <x:c r="AC176" s="165" t="str">
        <x:v>公式Specificationの範囲＋ユーザー作成コーパスの論点と問題設計例を参考に独自作成</x:v>
      </x:c>
      <x:c r="AD176" s="171" t="str">
        <x:v>未レビュー</x:v>
      </x:c>
      <x:c r="AE176" s="171"/>
      <x:c r="AF176" s="171"/>
      <x:c r="AG176" s="166"/>
    </x:row>
    <x:row r="177" ht="84" customHeight="1">
      <x:c r="A177" s="164" t="str">
        <x:v>LO2-056</x:v>
      </x:c>
      <x:c r="B177" s="171" t="str">
        <x:v>LO2</x:v>
      </x:c>
      <x:c r="C177" s="165" t="str">
        <x:v>世界の主要な非発泡性ワイン</x:v>
      </x:c>
      <x:c r="D177" s="165" t="str">
        <x:v>バロッサ・ヴァレー</x:v>
      </x:c>
      <x:c r="E177" s="165" t="str">
        <x:v>バロッサ・ヴァレーのシラーズに典型的な特徴はどれか。</x:v>
      </x:c>
      <x:c r="F177" s="165" t="str">
        <x:v>ライトボディ、低アルコール、未熟な青いリンゴだけの風味</x:v>
      </x:c>
      <x:c r="G177" s="165" t="str">
        <x:v>無色の甘口白ワインで、マスカット香を持つ</x:v>
      </x:c>
      <x:c r="H177" s="165" t="str">
        <x:v>フロール熟成した辛口酒精強化ワイン</x:v>
      </x:c>
      <x:c r="I177" s="165" t="str">
        <x:v>フルボディ、高いアルコール、熟した黒系果実、甘いスパイス</x:v>
      </x:c>
      <x:c r="J177" s="171" t="str">
        <x:v>D</x:v>
      </x:c>
      <x:c r="K177" s="165" t="str">
        <x:v>フルボディ、高いアルコール、熟した黒系果実、甘いスパイス</x:v>
      </x:c>
      <x:c r="L177" s="165" t="str">
        <x:v>温暖で日照の多い条件によりシラーズが高い糖度とフェノール成熟に達し、濃厚で力強いスタイルになりやすい。</x:v>
      </x:c>
      <x:c r="M177" s="165" t="str">
        <x:v>誤り。 温暖なバロッサのシラーズは一般に熟した黒系果実と豊かなボディを持つ。</x:v>
      </x:c>
      <x:c r="N177" s="165" t="str">
        <x:v>誤り。 シラーズは黒ブドウで、バロッサでは主に赤ワインを造る。</x:v>
      </x:c>
      <x:c r="O177" s="165" t="str">
        <x:v>誤り。 これはシェリーの特徴で、バロッサ・シラーズとは異なる。</x:v>
      </x:c>
      <x:c r="P177" s="165" t="str">
        <x:v>正しい。 温暖で日照の多い条件によりシラーズが高い糖度とフェノール成熟に達し、濃厚で力強いスタイルになりやすい。</x:v>
      </x:c>
      <x:c r="Q177" s="165" t="str">
        <x:v>産地スタイル</x:v>
      </x:c>
      <x:c r="R177" s="165" t="str">
        <x:v>温暖気候・シラーズ</x:v>
      </x:c>
      <x:c r="S177" s="165" t="str">
        <x:v>非発泡性赤ワイン</x:v>
      </x:c>
      <x:c r="T177" s="165" t="str">
        <x:v>オーストラリア</x:v>
      </x:c>
      <x:c r="U177" s="165" t="str">
        <x:v>バロッサ・ヴァレー</x:v>
      </x:c>
      <x:c r="V177" s="165" t="str">
        <x:v>シラーズ</x:v>
      </x:c>
      <x:c r="W177" s="165" t="str">
        <x:v>知識確認</x:v>
      </x:c>
      <x:c r="X177" s="171" t="str">
        <x:v>D1</x:v>
      </x:c>
      <x:c r="Y177" s="165" t="str">
        <x:v>バロッサは低アルコール白; フロール酒精強化</x:v>
      </x:c>
      <x:c r="Z177" s="171" t="str">
        <x:v>N</x:v>
      </x:c>
      <x:c r="AA177" s="165"/>
      <x:c r="AB177" s="165" t="str">
        <x:v>オリジナル</x:v>
      </x:c>
      <x:c r="AC177" s="165" t="str">
        <x:v>公式Specificationの範囲＋ユーザー作成コーパスの論点と問題設計例を参考に独自作成</x:v>
      </x:c>
      <x:c r="AD177" s="171" t="str">
        <x:v>未レビュー</x:v>
      </x:c>
      <x:c r="AE177" s="171"/>
      <x:c r="AF177" s="171"/>
      <x:c r="AG177" s="166"/>
    </x:row>
    <x:row r="178" ht="84" customHeight="1">
      <x:c r="A178" s="164" t="str">
        <x:v>LO2-057</x:v>
      </x:c>
      <x:c r="B178" s="171" t="str">
        <x:v>LO2</x:v>
      </x:c>
      <x:c r="C178" s="165" t="str">
        <x:v>世界の主要な非発泡性ワイン</x:v>
      </x:c>
      <x:c r="D178" s="165" t="str">
        <x:v>クナワラ</x:v>
      </x:c>
      <x:c r="E178" s="165" t="str">
        <x:v>クナワラのカベルネ・ソーヴィニヨンが酸と構造を保ちやすい主な理由はどれか。</x:v>
      </x:c>
      <x:c r="F178" s="165" t="str">
        <x:v>南極海の影響を受ける比較的冷涼な海洋性気候で、成熟が緩やかに進む</x:v>
      </x:c>
      <x:c r="G178" s="165" t="str">
        <x:v>赤道に近い熱帯気候で、一年中夜も高温だから</x:v>
      </x:c>
      <x:c r="H178" s="165" t="str">
        <x:v>果汁へ石灰を大量に加え、酸を完全に除去するから</x:v>
      </x:c>
      <x:c r="I178" s="165" t="str">
        <x:v>カベルネを凍結して糖を捨てるから</x:v>
      </x:c>
      <x:c r="J178" s="171" t="str">
        <x:v>A</x:v>
      </x:c>
      <x:c r="K178" s="165" t="str">
        <x:v>南極海の影響を受ける比較的冷涼な海洋性気候で、成熟が緩やかに進む</x:v>
      </x:c>
      <x:c r="L178" s="165" t="str">
        <x:v>南オーストラリアの中では海洋の冷却が強く、長い成熟期により黒系果実とタンニンを成熟させながら酸を保持しやすい。</x:v>
      </x:c>
      <x:c r="M178" s="165" t="str">
        <x:v>正しい。 南オーストラリアの中では海洋の冷却が強く、長い成熟期により黒系果実とタンニンを成熟させながら酸を保持しやすい。</x:v>
      </x:c>
      <x:c r="N178" s="165" t="str">
        <x:v>誤り。 クナワラは南部の比較的冷涼な地域で、熱帯ではない。</x:v>
      </x:c>
      <x:c r="O178" s="165" t="str">
        <x:v>誤り。 酸の保持は気候と成熟によるもので、酸を完全に除去する説明は逆である。</x:v>
      </x:c>
      <x:c r="P178" s="165" t="str">
        <x:v>誤り。 凍結処理はクナワラの典型的な赤ワイン製法ではない。</x:v>
      </x:c>
      <x:c r="Q178" s="165" t="str">
        <x:v>自然要因・産地</x:v>
      </x:c>
      <x:c r="R178" s="165" t="str">
        <x:v>海洋性気候・成熟</x:v>
      </x:c>
      <x:c r="S178" s="165" t="str">
        <x:v>非発泡性赤ワイン</x:v>
      </x:c>
      <x:c r="T178" s="165" t="str">
        <x:v>オーストラリア</x:v>
      </x:c>
      <x:c r="U178" s="165" t="str">
        <x:v>クナワラ</x:v>
      </x:c>
      <x:c r="V178" s="165" t="str">
        <x:v>カベルネ・ソーヴィニヨン</x:v>
      </x:c>
      <x:c r="W178" s="165" t="str">
        <x:v>因果説明</x:v>
      </x:c>
      <x:c r="X178" s="171" t="str">
        <x:v>D2</x:v>
      </x:c>
      <x:c r="Y178" s="165" t="str">
        <x:v>クナワラは熱帯; 酸除去・凍結</x:v>
      </x:c>
      <x:c r="Z178" s="171" t="str">
        <x:v>N</x:v>
      </x:c>
      <x:c r="AA178" s="165"/>
      <x:c r="AB178" s="165" t="str">
        <x:v>オリジナル</x:v>
      </x:c>
      <x:c r="AC178" s="165" t="str">
        <x:v>公式Specificationの範囲＋ユーザー作成コーパスの論点と問題設計例を参考に独自作成</x:v>
      </x:c>
      <x:c r="AD178" s="171" t="str">
        <x:v>未レビュー</x:v>
      </x:c>
      <x:c r="AE178" s="171"/>
      <x:c r="AF178" s="171"/>
      <x:c r="AG178" s="166"/>
    </x:row>
    <x:row r="179" ht="84" customHeight="1">
      <x:c r="A179" s="164" t="str">
        <x:v>LO2-058</x:v>
      </x:c>
      <x:c r="B179" s="171" t="str">
        <x:v>LO2</x:v>
      </x:c>
      <x:c r="C179" s="165" t="str">
        <x:v>世界の主要な非発泡性ワイン</x:v>
      </x:c>
      <x:c r="D179" s="165" t="str">
        <x:v>ハンター・ヴァレー・セミヨン</x:v>
      </x:c>
      <x:c r="E179" s="165" t="str">
        <x:v>若いハンター・ヴァレー・セミヨンの典型的なスタイルはどれか。</x:v>
      </x:c>
      <x:c r="F179" s="165" t="str">
        <x:v>若いうちから高アルコールで強い新樽香を持ち、熟成しない</x:v>
      </x:c>
      <x:c r="G179" s="165" t="str">
        <x:v>低めのアルコール、高い酸、軽いボディで、瓶熟成によりトーストや蜂蜜の香りが発達する</x:v>
      </x:c>
      <x:c r="H179" s="165" t="str">
        <x:v>甘口の酒精強化赤ワイン</x:v>
      </x:c>
      <x:c r="I179" s="165" t="str">
        <x:v>フロールの下で生物学的熟成したシェリー</x:v>
      </x:c>
      <x:c r="J179" s="171" t="str">
        <x:v>B</x:v>
      </x:c>
      <x:c r="K179" s="165" t="str">
        <x:v>低めのアルコール、高い酸、軽いボディで、瓶熟成によりトーストや蜂蜜の香りが発達する</x:v>
      </x:c>
      <x:c r="L179" s="165" t="str">
        <x:v>暑い地域だが早めに収穫し、通常オークやMLFを避けて軽快に造る。高い酸を保つため、瓶熟成で複雑な香りを発達させられる。</x:v>
      </x:c>
      <x:c r="M179" s="165" t="str">
        <x:v>誤り。 典型的なハンター・セミヨンは低アルコールでオーク香が目立たず、熟成能力がある。</x:v>
      </x:c>
      <x:c r="N179" s="165" t="str">
        <x:v>正しい。 暑い地域だが早めに収穫し、通常オークやMLFを避けて軽快に造る。高い酸を保つため、瓶熟成で複雑な香りを発達させられる。</x:v>
      </x:c>
      <x:c r="O179" s="165" t="str">
        <x:v>誤り。 セミヨンは白ブドウで、典型は辛口の非発泡性白である。</x:v>
      </x:c>
      <x:c r="P179" s="165" t="str">
        <x:v>誤り。 ハンター・セミヨンにフロール熟成は用いない。</x:v>
      </x:c>
      <x:c r="Q179" s="165" t="str">
        <x:v>醸造・産地</x:v>
      </x:c>
      <x:c r="R179" s="165" t="str">
        <x:v>早期収穫・瓶熟成</x:v>
      </x:c>
      <x:c r="S179" s="165" t="str">
        <x:v>非発泡性白ワイン</x:v>
      </x:c>
      <x:c r="T179" s="165" t="str">
        <x:v>オーストラリア</x:v>
      </x:c>
      <x:c r="U179" s="165" t="str">
        <x:v>ハンター・ヴァレー</x:v>
      </x:c>
      <x:c r="V179" s="165" t="str">
        <x:v>セミヨン</x:v>
      </x:c>
      <x:c r="W179" s="165" t="str">
        <x:v>統合判断</x:v>
      </x:c>
      <x:c r="X179" s="171" t="str">
        <x:v>D3</x:v>
      </x:c>
      <x:c r="Y179" s="165" t="str">
        <x:v>ハンター・セミヨンは高アルコール新樽; 酒精強化・フロール</x:v>
      </x:c>
      <x:c r="Z179" s="171" t="str">
        <x:v>N</x:v>
      </x:c>
      <x:c r="AA179" s="165"/>
      <x:c r="AB179" s="165" t="str">
        <x:v>オリジナル</x:v>
      </x:c>
      <x:c r="AC179" s="165" t="str">
        <x:v>公式Specificationの範囲＋ユーザー作成コーパスの論点と問題設計例を参考に独自作成</x:v>
      </x:c>
      <x:c r="AD179" s="171" t="str">
        <x:v>未レビュー</x:v>
      </x:c>
      <x:c r="AE179" s="171"/>
      <x:c r="AF179" s="171"/>
      <x:c r="AG179" s="166"/>
    </x:row>
    <x:row r="180" ht="84" customHeight="1">
      <x:c r="A180" s="164" t="str">
        <x:v>LO2-059</x:v>
      </x:c>
      <x:c r="B180" s="171" t="str">
        <x:v>LO2</x:v>
      </x:c>
      <x:c r="C180" s="165" t="str">
        <x:v>世界の主要な非発泡性ワイン</x:v>
      </x:c>
      <x:c r="D180" s="165" t="str">
        <x:v>クレア／イーデン・ヴァレー</x:v>
      </x:c>
      <x:c r="E180" s="165" t="str">
        <x:v>クレア・ヴァレーやイーデン・ヴァレーのリースリングに典型的な特徴はどれか。</x:v>
      </x:c>
      <x:c r="F180" s="165" t="str">
        <x:v>低い酸の甘口赤で、黒コショウだけの香り</x:v>
      </x:c>
      <x:c r="G180" s="165" t="str">
        <x:v>フロール熟成によるアーモンド香の酒精強化ワイン</x:v>
      </x:c>
      <x:c r="H180" s="165" t="str">
        <x:v>辛口、高い酸、ライムや柑橘の風味を持ち、瓶熟成でトースト香が発達する</x:v>
      </x:c>
      <x:c r="I180" s="165" t="str">
        <x:v>高温の平地で酸を完全に失い、熟成できない</x:v>
      </x:c>
      <x:c r="J180" s="171" t="str">
        <x:v>C</x:v>
      </x:c>
      <x:c r="K180" s="165" t="str">
        <x:v>辛口、高い酸、ライムや柑橘の風味を持ち、瓶熟成でトースト香が発達する</x:v>
      </x:c>
      <x:c r="L180" s="165" t="str">
        <x:v>標高と冷涼な夜により酸を保持し、オーストラリアの強い日射で柑橘風味が成熟する。高品質例は長期熟成できる。</x:v>
      </x:c>
      <x:c r="M180" s="165" t="str">
        <x:v>誤り。 リースリングは白ブドウで、これらの地域では高い酸の辛口白が代表的である。</x:v>
      </x:c>
      <x:c r="N180" s="165" t="str">
        <x:v>誤り。 フロール熟成はシェリーに関連し、リースリングの典型ではない。</x:v>
      </x:c>
      <x:c r="O180" s="165" t="str">
        <x:v>正しい。 標高と冷涼な夜により酸を保持し、オーストラリアの強い日射で柑橘風味が成熟する。高品質例は長期熟成できる。</x:v>
      </x:c>
      <x:c r="P180" s="165" t="str">
        <x:v>誤り。 標高や夜間冷却が酸を支え、熟成能力を持つ。</x:v>
      </x:c>
      <x:c r="Q180" s="165" t="str">
        <x:v>産地スタイル</x:v>
      </x:c>
      <x:c r="R180" s="165" t="str">
        <x:v>標高・リースリング</x:v>
      </x:c>
      <x:c r="S180" s="165" t="str">
        <x:v>非発泡性白ワイン</x:v>
      </x:c>
      <x:c r="T180" s="165" t="str">
        <x:v>オーストラリア</x:v>
      </x:c>
      <x:c r="U180" s="165" t="str">
        <x:v>クレア・ヴァレー／イーデン・ヴァレー</x:v>
      </x:c>
      <x:c r="V180" s="165" t="str">
        <x:v>リースリング</x:v>
      </x:c>
      <x:c r="W180" s="165" t="str">
        <x:v>知識確認</x:v>
      </x:c>
      <x:c r="X180" s="171" t="str">
        <x:v>D2</x:v>
      </x:c>
      <x:c r="Y180" s="165" t="str">
        <x:v>リースリングは赤・酒精強化; 酸なし熟成不能</x:v>
      </x:c>
      <x:c r="Z180" s="171" t="str">
        <x:v>N</x:v>
      </x:c>
      <x:c r="AA180" s="165"/>
      <x:c r="AB180" s="165" t="str">
        <x:v>オリジナル</x:v>
      </x:c>
      <x:c r="AC180" s="165" t="str">
        <x:v>公式Specificationの範囲＋ユーザー作成コーパスの論点と問題設計例を参考に独自作成</x:v>
      </x:c>
      <x:c r="AD180" s="171" t="str">
        <x:v>未レビュー</x:v>
      </x:c>
      <x:c r="AE180" s="171"/>
      <x:c r="AF180" s="171"/>
      <x:c r="AG180" s="166"/>
    </x:row>
    <x:row r="181" ht="84" customHeight="1">
      <x:c r="A181" s="164" t="str">
        <x:v>LO2-060</x:v>
      </x:c>
      <x:c r="B181" s="171" t="str">
        <x:v>LO2</x:v>
      </x:c>
      <x:c r="C181" s="165" t="str">
        <x:v>世界の主要な非発泡性ワイン</x:v>
      </x:c>
      <x:c r="D181" s="165" t="str">
        <x:v>セントラル・オタゴ</x:v>
      </x:c>
      <x:c r="E181" s="165" t="str">
        <x:v>セントラル・オタゴのピノ・ノワールが熟した果実味と高い酸を両立しやすい理由はどれか。</x:v>
      </x:c>
      <x:c r="F181" s="165" t="str">
        <x:v>一年中高温多湿で、昼夜の気温が同じだから</x:v>
      </x:c>
      <x:c r="G181" s="165" t="str">
        <x:v>海水を果汁へ加え、酸と色を作るから</x:v>
      </x:c>
      <x:c r="H181" s="165" t="str">
        <x:v>ピノ・ノワールを酒精強化し、発酵を止めるから</x:v>
      </x:c>
      <x:c r="I181" s="165" t="str">
        <x:v>内陸性の強い日照と大きな日較差があり、昼に成熟し夜に酸を保持する</x:v>
      </x:c>
      <x:c r="J181" s="171" t="str">
        <x:v>D</x:v>
      </x:c>
      <x:c r="K181" s="165" t="str">
        <x:v>内陸性の強い日照と大きな日較差があり、昼に成熟し夜に酸を保持する</x:v>
      </x:c>
      <x:c r="L181" s="165" t="str">
        <x:v>ニュージーランドの多くの産地より大陸性が強く、乾燥した晴天と涼しい夜により、濃い赤果実・黒果実とフレッシュな酸を得やすい。</x:v>
      </x:c>
      <x:c r="M181" s="165" t="str">
        <x:v>誤り。 セントラル・オタゴは内陸で日較差が大きく、説明が逆である。</x:v>
      </x:c>
      <x:c r="N181" s="165" t="str">
        <x:v>誤り。 酸と色は品種と成熟・醸造に由来し、海水を加えない。</x:v>
      </x:c>
      <x:c r="O181" s="165" t="str">
        <x:v>誤り。 代表的なスタイルは辛口の非発泡性赤で、酒精強化しない。</x:v>
      </x:c>
      <x:c r="P181" s="165" t="str">
        <x:v>正しい。 ニュージーランドの多くの産地より大陸性が強く、乾燥した晴天と涼しい夜により、濃い赤果実・黒果実とフレッシュな酸を得やすい。</x:v>
      </x:c>
      <x:c r="Q181" s="165" t="str">
        <x:v>自然要因・産地</x:v>
      </x:c>
      <x:c r="R181" s="165" t="str">
        <x:v>大陸性・日較差</x:v>
      </x:c>
      <x:c r="S181" s="165" t="str">
        <x:v>非発泡性赤ワイン</x:v>
      </x:c>
      <x:c r="T181" s="165" t="str">
        <x:v>ニュージーランド</x:v>
      </x:c>
      <x:c r="U181" s="165" t="str">
        <x:v>セントラル・オタゴ</x:v>
      </x:c>
      <x:c r="V181" s="165" t="str">
        <x:v>ピノ・ノワール</x:v>
      </x:c>
      <x:c r="W181" s="165" t="str">
        <x:v>因果説明</x:v>
      </x:c>
      <x:c r="X181" s="171" t="str">
        <x:v>D2</x:v>
      </x:c>
      <x:c r="Y181" s="165" t="str">
        <x:v>セントラルオタゴは高温多湿; 海水添加; 酒精強化</x:v>
      </x:c>
      <x:c r="Z181" s="171" t="str">
        <x:v>N</x:v>
      </x:c>
      <x:c r="AA181" s="165"/>
      <x:c r="AB181" s="165" t="str">
        <x:v>オリジナル</x:v>
      </x:c>
      <x:c r="AC181" s="165" t="str">
        <x:v>公式Specificationの範囲＋ユーザー作成コーパスの論点と問題設計例を参考に独自作成</x:v>
      </x:c>
      <x:c r="AD181" s="171" t="str">
        <x:v>未レビュー</x:v>
      </x:c>
      <x:c r="AE181" s="171"/>
      <x:c r="AF181" s="171"/>
      <x:c r="AG181" s="166"/>
    </x:row>
    <x:row r="182" ht="84" customHeight="1">
      <x:c r="A182" s="164" t="str">
        <x:v>LO3-021</x:v>
      </x:c>
      <x:c r="B182" s="171" t="str">
        <x:v>LO3</x:v>
      </x:c>
      <x:c r="C182" s="165" t="str">
        <x:v>世界の主要な発泡性ワイン</x:v>
      </x:c>
      <x:c r="D182" s="165" t="str">
        <x:v>全房圧搾</x:v>
      </x:c>
      <x:c r="E182" s="165" t="str">
        <x:v>上質な伝統的方式発泡性ワインのベースワインで、全房を穏やかに圧搾する主な目的はどれか。</x:v>
      </x:c>
      <x:c r="F182" s="165" t="str">
        <x:v>果皮や種子からの色とフェノールの抽出を抑え、繊細な果汁を得る</x:v>
      </x:c>
      <x:c r="G182" s="165" t="str">
        <x:v>果皮から最大限のタンニンを抽出し、濃い赤色にする</x:v>
      </x:c>
      <x:c r="H182" s="165" t="str">
        <x:v>圧搾前に糖をすべて発酵させる</x:v>
      </x:c>
      <x:c r="I182" s="165" t="str">
        <x:v>ブドウを乾燥させ、甘口酒精強化ワインにする</x:v>
      </x:c>
      <x:c r="J182" s="171" t="str">
        <x:v>A</x:v>
      </x:c>
      <x:c r="K182" s="165" t="str">
        <x:v>果皮や種子からの色とフェノールの抽出を抑え、繊細な果汁を得る</x:v>
      </x:c>
      <x:c r="L182" s="165" t="str">
        <x:v>黒ブドウを含む場合でも、穏やかな全房圧搾により色素と粗いフェノールの抽出を抑え、高い酸を持つ清潔な果汁を得やすい。</x:v>
      </x:c>
      <x:c r="M182" s="165" t="str">
        <x:v>正しい。 黒ブドウを含む場合でも、穏やかな全房圧搾により色素と粗いフェノールの抽出を抑え、高い酸を持つ清潔な果汁を得やすい。</x:v>
      </x:c>
      <x:c r="N182" s="165" t="str">
        <x:v>誤り。 発泡性ベースワインでは一般に過度な色とタンニンを避ける。</x:v>
      </x:c>
      <x:c r="O182" s="165" t="str">
        <x:v>誤り。 圧搾は最初のアルコール発酵より前に行われる。</x:v>
      </x:c>
      <x:c r="P182" s="165" t="str">
        <x:v>誤り。 全房圧搾の目的は繊細なベースワイン用果汁で、乾燥や酒精強化ではない。</x:v>
      </x:c>
      <x:c r="Q182" s="165" t="str">
        <x:v>発泡性ワイン製法</x:v>
      </x:c>
      <x:c r="R182" s="165" t="str">
        <x:v>圧搾・フェノール管理</x:v>
      </x:c>
      <x:c r="S182" s="165" t="str">
        <x:v>発泡性ワイン</x:v>
      </x:c>
      <x:c r="T182" s="165"/>
      <x:c r="U182" s="165"/>
      <x:c r="V182" s="165"/>
      <x:c r="W182" s="165" t="str">
        <x:v>因果説明</x:v>
      </x:c>
      <x:c r="X182" s="171" t="str">
        <x:v>D2</x:v>
      </x:c>
      <x:c r="Y182" s="165" t="str">
        <x:v>発泡ベースで強抽出; 圧搾前発酵; 乾燥酒精強化</x:v>
      </x:c>
      <x:c r="Z182" s="171" t="str">
        <x:v>N</x:v>
      </x:c>
      <x:c r="AA182" s="165"/>
      <x:c r="AB182" s="165" t="str">
        <x:v>オリジナル</x:v>
      </x:c>
      <x:c r="AC182" s="165" t="str">
        <x:v>公式Specificationの範囲＋ユーザー作成コーパスの論点と問題設計例を参考に独自作成</x:v>
      </x:c>
      <x:c r="AD182" s="171" t="str">
        <x:v>未レビュー</x:v>
      </x:c>
      <x:c r="AE182" s="171"/>
      <x:c r="AF182" s="171"/>
      <x:c r="AG182" s="166"/>
    </x:row>
    <x:row r="183" ht="84" customHeight="1">
      <x:c r="A183" s="164" t="str">
        <x:v>LO3-022</x:v>
      </x:c>
      <x:c r="B183" s="171" t="str">
        <x:v>LO3</x:v>
      </x:c>
      <x:c r="C183" s="165" t="str">
        <x:v>世界の主要な発泡性ワイン</x:v>
      </x:c>
      <x:c r="D183" s="165" t="str">
        <x:v>早期収穫</x:v>
      </x:c>
      <x:c r="E183" s="165" t="str">
        <x:v>発泡性ワイン用ブドウを非発泡性ワイン用より早めに収穫することが多い主な理由はどれか。</x:v>
      </x:c>
      <x:c r="F183" s="165" t="str">
        <x:v>果皮のタンニンを最大化し、重い赤ワインにする</x:v>
      </x:c>
      <x:c r="G183" s="165" t="str">
        <x:v>高い酸と低めの糖度を保ち、二次発酵後もバランスを得る</x:v>
      </x:c>
      <x:c r="H183" s="165" t="str">
        <x:v>貴腐を必ず発生させ、糖を濃縮する</x:v>
      </x:c>
      <x:c r="I183" s="165" t="str">
        <x:v>二次発酵を不要にするほど高いアルコールを得る</x:v>
      </x:c>
      <x:c r="J183" s="171" t="str">
        <x:v>B</x:v>
      </x:c>
      <x:c r="K183" s="165" t="str">
        <x:v>高い酸と低めの糖度を保ち、二次発酵後もバランスを得る</x:v>
      </x:c>
      <x:c r="L183" s="165" t="str">
        <x:v>早期収穫は酸を保持し、ベースワインのアルコールを低く抑える。二次発酵でアルコールが増え、酸は最終ワインのフレッシュさを支える。</x:v>
      </x:c>
      <x:c r="M183" s="165" t="str">
        <x:v>誤り。 多くの発泡性ワインでは強いタンニンを避ける。</x:v>
      </x:c>
      <x:c r="N183" s="165" t="str">
        <x:v>正しい。 早期収穫は酸を保持し、ベースワインのアルコールを低く抑える。二次発酵でアルコールが増え、酸は最終ワインのフレッシュさを支える。</x:v>
      </x:c>
      <x:c r="O183" s="165" t="str">
        <x:v>誤り。 健全で高酸のブドウが一般に求められ、貴腐は標準的な目的ではない。</x:v>
      </x:c>
      <x:c r="P183" s="165" t="str">
        <x:v>誤り。 早期収穫では糖が低く、ベースワインのアルコールも低めになる。</x:v>
      </x:c>
      <x:c r="Q183" s="165" t="str">
        <x:v>自然・人的要因</x:v>
      </x:c>
      <x:c r="R183" s="165" t="str">
        <x:v>収穫時期・酸</x:v>
      </x:c>
      <x:c r="S183" s="165" t="str">
        <x:v>発泡性ワイン</x:v>
      </x:c>
      <x:c r="T183" s="165"/>
      <x:c r="U183" s="165"/>
      <x:c r="V183" s="165"/>
      <x:c r="W183" s="165" t="str">
        <x:v>因果説明</x:v>
      </x:c>
      <x:c r="X183" s="171" t="str">
        <x:v>D1</x:v>
      </x:c>
      <x:c r="Y183" s="165" t="str">
        <x:v>発泡用は高糖・貴腐; 早期収穫で高アルコール</x:v>
      </x:c>
      <x:c r="Z183" s="171" t="str">
        <x:v>N</x:v>
      </x:c>
      <x:c r="AA183" s="165"/>
      <x:c r="AB183" s="165" t="str">
        <x:v>オリジナル</x:v>
      </x:c>
      <x:c r="AC183" s="165" t="str">
        <x:v>公式Specificationの範囲＋ユーザー作成コーパスの論点と問題設計例を参考に独自作成</x:v>
      </x:c>
      <x:c r="AD183" s="171" t="str">
        <x:v>未レビュー</x:v>
      </x:c>
      <x:c r="AE183" s="171"/>
      <x:c r="AF183" s="171"/>
      <x:c r="AG183" s="166"/>
    </x:row>
    <x:row r="184" ht="84" customHeight="1">
      <x:c r="A184" s="164" t="str">
        <x:v>LO3-023</x:v>
      </x:c>
      <x:c r="B184" s="171" t="str">
        <x:v>LO3</x:v>
      </x:c>
      <x:c r="C184" s="165" t="str">
        <x:v>世界の主要な発泡性ワイン</x:v>
      </x:c>
      <x:c r="D184" s="165" t="str">
        <x:v>ベースワインの清澄</x:v>
      </x:c>
      <x:c r="E184" s="165" t="str">
        <x:v>発泡性ワインのベースワインを二次発酵前に清澄する主な利点はどれか。</x:v>
      </x:c>
      <x:c r="F184" s="165" t="str">
        <x:v>糖をすべて除去し、二次発酵を不可能にする</x:v>
      </x:c>
      <x:c r="G184" s="165" t="str">
        <x:v>ワインを濃い赤色にし、タンニンを増やす</x:v>
      </x:c>
      <x:c r="H184" s="165" t="str">
        <x:v>粗い固形物や望ましくない微生物を減らし、発酵と最終的な清澄を管理しやすくする</x:v>
      </x:c>
      <x:c r="I184" s="165" t="str">
        <x:v>瓶内の圧力を物理的にゼロにする</x:v>
      </x:c>
      <x:c r="J184" s="171" t="str">
        <x:v>C</x:v>
      </x:c>
      <x:c r="K184" s="165" t="str">
        <x:v>粗い固形物や望ましくない微生物を減らし、発酵と最終的な清澄を管理しやすくする</x:v>
      </x:c>
      <x:c r="L184" s="165" t="str">
        <x:v>清潔で安定したベースワインは、酵母添加後の二次発酵を予測しやすくし、不要な香味や濁りのリスクを抑える。</x:v>
      </x:c>
      <x:c r="M184" s="165" t="str">
        <x:v>誤り。 二次発酵に必要な糖はリクール・ドゥ・ティラージュで加えられる。</x:v>
      </x:c>
      <x:c r="N184" s="165" t="str">
        <x:v>誤り。 清澄は色とタンニンを増やす工程ではない。</x:v>
      </x:c>
      <x:c r="O184" s="165" t="str">
        <x:v>正しい。 清潔で安定したベースワインは、酵母添加後の二次発酵を予測しやすくし、不要な香味や濁りのリスクを抑える。</x:v>
      </x:c>
      <x:c r="P184" s="165" t="str">
        <x:v>誤り。 圧力は二次発酵で生じ、清澄自体が圧力をゼロにするわけではない。</x:v>
      </x:c>
      <x:c r="Q184" s="165" t="str">
        <x:v>発泡性ワイン製法</x:v>
      </x:c>
      <x:c r="R184" s="165" t="str">
        <x:v>ベースワイン・清澄</x:v>
      </x:c>
      <x:c r="S184" s="165" t="str">
        <x:v>発泡性ワイン</x:v>
      </x:c>
      <x:c r="T184" s="165"/>
      <x:c r="U184" s="165"/>
      <x:c r="V184" s="165"/>
      <x:c r="W184" s="165" t="str">
        <x:v>因果説明</x:v>
      </x:c>
      <x:c r="X184" s="171" t="str">
        <x:v>D2</x:v>
      </x:c>
      <x:c r="Y184" s="165" t="str">
        <x:v>清澄で糖除去・二次発酵不能; 清澄で色タンニン増加</x:v>
      </x:c>
      <x:c r="Z184" s="171" t="str">
        <x:v>N</x:v>
      </x:c>
      <x:c r="AA184" s="165"/>
      <x:c r="AB184" s="165" t="str">
        <x:v>オリジナル</x:v>
      </x:c>
      <x:c r="AC184" s="165" t="str">
        <x:v>公式Specificationの範囲＋ユーザー作成コーパスの論点と問題設計例を参考に独自作成</x:v>
      </x:c>
      <x:c r="AD184" s="171" t="str">
        <x:v>未レビュー</x:v>
      </x:c>
      <x:c r="AE184" s="171"/>
      <x:c r="AF184" s="171"/>
      <x:c r="AG184" s="166"/>
    </x:row>
    <x:row r="185" ht="84" customHeight="1">
      <x:c r="A185" s="164" t="str">
        <x:v>LO3-024</x:v>
      </x:c>
      <x:c r="B185" s="171" t="str">
        <x:v>LO3</x:v>
      </x:c>
      <x:c r="C185" s="165" t="str">
        <x:v>世界の主要な発泡性ワイン</x:v>
      </x:c>
      <x:c r="D185" s="165" t="str">
        <x:v>ベースワインのブレンド</x:v>
      </x:c>
      <x:c r="E185" s="165" t="str">
        <x:v>発泡性ワインの生産者が異なる品種、畑、ロットのベースワインをブレンドする主な目的はどれか。</x:v>
      </x:c>
      <x:c r="F185" s="165" t="str">
        <x:v>すべてのロットを同じ品種へ遺伝的に変える</x:v>
      </x:c>
      <x:c r="G185" s="165" t="str">
        <x:v>二次発酵で生じた炭酸ガスを完全に除去する</x:v>
      </x:c>
      <x:c r="H185" s="165" t="str">
        <x:v>ワインを必ず甘口にし、酸をなくす</x:v>
      </x:c>
      <x:c r="I185" s="165" t="str">
        <x:v>酸、果実味、ボディ、熟成香のバランスを整え、狙うスタイルを作る</x:v>
      </x:c>
      <x:c r="J185" s="171" t="str">
        <x:v>D</x:v>
      </x:c>
      <x:c r="K185" s="165" t="str">
        <x:v>酸、果実味、ボディ、熟成香のバランスを整え、狙うスタイルを作る</x:v>
      </x:c>
      <x:c r="L185" s="165" t="str">
        <x:v>各ロットの特性を組み合わせることで、複雑性とバランスを高め、ノン・ヴィンテージでは年ごとの一貫性も得られる。</x:v>
      </x:c>
      <x:c r="M185" s="165" t="str">
        <x:v>誤り。 ブレンドで品種の遺伝的性質が変わることはない。</x:v>
      </x:c>
      <x:c r="N185" s="165" t="str">
        <x:v>誤り。 ブレンドは通常二次発酵前に行い、炭酸ガスを除去する目的ではない。</x:v>
      </x:c>
      <x:c r="O185" s="165" t="str">
        <x:v>誤り。 ブレンドは甘味だけでなく、酸、果実、構造、複雑性を調整する。</x:v>
      </x:c>
      <x:c r="P185" s="165" t="str">
        <x:v>正しい。 各ロットの特性を組み合わせることで、複雑性とバランスを高め、ノン・ヴィンテージでは年ごとの一貫性も得られる。</x:v>
      </x:c>
      <x:c r="Q185" s="165" t="str">
        <x:v>発泡性ワイン製法</x:v>
      </x:c>
      <x:c r="R185" s="165" t="str">
        <x:v>ブレンド・スタイル</x:v>
      </x:c>
      <x:c r="S185" s="165" t="str">
        <x:v>発泡性ワイン</x:v>
      </x:c>
      <x:c r="T185" s="165"/>
      <x:c r="U185" s="165"/>
      <x:c r="V185" s="165"/>
      <x:c r="W185" s="165" t="str">
        <x:v>統合判断</x:v>
      </x:c>
      <x:c r="X185" s="171" t="str">
        <x:v>D2</x:v>
      </x:c>
      <x:c r="Y185" s="165" t="str">
        <x:v>ブレンドで品種変更; 炭酸除去; 必ず甘口</x:v>
      </x:c>
      <x:c r="Z185" s="171" t="str">
        <x:v>N</x:v>
      </x:c>
      <x:c r="AA185" s="165"/>
      <x:c r="AB185" s="165" t="str">
        <x:v>オリジナル</x:v>
      </x:c>
      <x:c r="AC185" s="165" t="str">
        <x:v>公式Specificationの範囲＋ユーザー作成コーパスの論点と問題設計例を参考に独自作成</x:v>
      </x:c>
      <x:c r="AD185" s="171" t="str">
        <x:v>未レビュー</x:v>
      </x:c>
      <x:c r="AE185" s="171"/>
      <x:c r="AF185" s="171"/>
      <x:c r="AG185" s="166"/>
    </x:row>
    <x:row r="186" ht="84" customHeight="1">
      <x:c r="A186" s="164" t="str">
        <x:v>LO3-025</x:v>
      </x:c>
      <x:c r="B186" s="171" t="str">
        <x:v>LO3</x:v>
      </x:c>
      <x:c r="C186" s="165" t="str">
        <x:v>世界の主要な発泡性ワイン</x:v>
      </x:c>
      <x:c r="D186" s="165" t="str">
        <x:v>瓶内二次発酵と炭酸ガス</x:v>
      </x:c>
      <x:c r="E186" s="165" t="str">
        <x:v>伝統的方式の瓶内二次発酵で泡が生まれる仕組みはどれか。</x:v>
      </x:c>
      <x:c r="F186" s="165" t="str">
        <x:v>密閉した瓶内で酵母が糖をアルコールと二酸化炭素へ変え、二酸化炭素がワインに溶け込む</x:v>
      </x:c>
      <x:c r="G186" s="165" t="str">
        <x:v>瓶を振ることで空気がワインへ入り、自然に炭酸へ変わる</x:v>
      </x:c>
      <x:c r="H186" s="165" t="str">
        <x:v>澱が溶けて酸素になり、圧力を作る</x:v>
      </x:c>
      <x:c r="I186" s="165" t="str">
        <x:v>ドザージュの糖が発酵せず、その体積だけで圧力を作る</x:v>
      </x:c>
      <x:c r="J186" s="171" t="str">
        <x:v>A</x:v>
      </x:c>
      <x:c r="K186" s="165" t="str">
        <x:v>密閉した瓶内で酵母が糖をアルコールと二酸化炭素へ変え、二酸化炭素がワインに溶け込む</x:v>
      </x:c>
      <x:c r="L186" s="165" t="str">
        <x:v>瓶が密閉されているため、発酵で生じた二酸化炭素が逃げずにワインへ溶解し、開栓時に泡となる。</x:v>
      </x:c>
      <x:c r="M186" s="165" t="str">
        <x:v>正しい。 瓶が密閉されているため、発酵で生じた二酸化炭素が逃げずにワインへ溶解し、開栓時に泡となる。</x:v>
      </x:c>
      <x:c r="N186" s="165" t="str">
        <x:v>誤り。 泡は空気の混入ではなく、二次発酵で生じた二酸化炭素による。</x:v>
      </x:c>
      <x:c r="O186" s="165" t="str">
        <x:v>誤り。 澱は酵母由来で、酸素へ変わって圧力を作るわけではない。</x:v>
      </x:c>
      <x:c r="P186" s="165" t="str">
        <x:v>誤り。 圧力の主因はティラージュ後の二次発酵であり、通常のドザージュは澱抜き後に加える。</x:v>
      </x:c>
      <x:c r="Q186" s="165" t="str">
        <x:v>発泡性ワイン製法</x:v>
      </x:c>
      <x:c r="R186" s="165" t="str">
        <x:v>二次発酵・炭酸ガス</x:v>
      </x:c>
      <x:c r="S186" s="165" t="str">
        <x:v>発泡性ワイン</x:v>
      </x:c>
      <x:c r="T186" s="165"/>
      <x:c r="U186" s="165"/>
      <x:c r="V186" s="165"/>
      <x:c r="W186" s="165" t="str">
        <x:v>因果説明</x:v>
      </x:c>
      <x:c r="X186" s="171" t="str">
        <x:v>D1</x:v>
      </x:c>
      <x:c r="Y186" s="165" t="str">
        <x:v>振動で炭酸生成; 澱が酸素化; ドザージュが主圧力源</x:v>
      </x:c>
      <x:c r="Z186" s="171" t="str">
        <x:v>N</x:v>
      </x:c>
      <x:c r="AA186" s="165"/>
      <x:c r="AB186" s="165" t="str">
        <x:v>オリジナル</x:v>
      </x:c>
      <x:c r="AC186" s="165" t="str">
        <x:v>公式Specificationの範囲＋ユーザー作成コーパスの論点と問題設計例を参考に独自作成</x:v>
      </x:c>
      <x:c r="AD186" s="171" t="str">
        <x:v>未レビュー</x:v>
      </x:c>
      <x:c r="AE186" s="171"/>
      <x:c r="AF186" s="171"/>
      <x:c r="AG186" s="166"/>
    </x:row>
    <x:row r="187" ht="84" customHeight="1">
      <x:c r="A187" s="164" t="str">
        <x:v>LO3-026</x:v>
      </x:c>
      <x:c r="B187" s="171" t="str">
        <x:v>LO3</x:v>
      </x:c>
      <x:c r="C187" s="165" t="str">
        <x:v>世界の主要な発泡性ワイン</x:v>
      </x:c>
      <x:c r="D187" s="165" t="str">
        <x:v>瓶内圧力</x:v>
      </x:c>
      <x:c r="E187" s="165" t="str">
        <x:v>伝統的方式で最終的な瓶内圧力を主に決める要因はどれか。</x:v>
      </x:c>
      <x:c r="F187" s="165" t="str">
        <x:v>ベースワインの色の濃さ</x:v>
      </x:c>
      <x:c r="G187" s="165" t="str">
        <x:v>リクール・ドゥ・ティラージュに含まれる発酵可能な糖の量</x:v>
      </x:c>
      <x:c r="H187" s="165" t="str">
        <x:v>ルミュアージュの回転回数だけ</x:v>
      </x:c>
      <x:c r="I187" s="165" t="str">
        <x:v>ラベルに使われる紙の厚さ</x:v>
      </x:c>
      <x:c r="J187" s="171" t="str">
        <x:v>B</x:v>
      </x:c>
      <x:c r="K187" s="165" t="str">
        <x:v>リクール・ドゥ・ティラージュに含まれる発酵可能な糖の量</x:v>
      </x:c>
      <x:c r="L187" s="165" t="str">
        <x:v>酵母が糖を発酵して二酸化炭素を生むため、密閉された容器内で発酵させる糖量が圧力を大きく左右する。</x:v>
      </x:c>
      <x:c r="M187" s="165" t="str">
        <x:v>誤り。 色素量は二酸化炭素生成量を決めない。</x:v>
      </x:c>
      <x:c r="N187" s="165" t="str">
        <x:v>正しい。 酵母が糖を発酵して二酸化炭素を生むため、密閉された容器内で発酵させる糖量が圧力を大きく左右する。</x:v>
      </x:c>
      <x:c r="O187" s="165" t="str">
        <x:v>誤り。 動瓶は澱を集める工程で、発生する二酸化炭素量の主因ではない。</x:v>
      </x:c>
      <x:c r="P187" s="165" t="str">
        <x:v>誤り。 ラベルの材質は瓶内圧力に影響しない。</x:v>
      </x:c>
      <x:c r="Q187" s="165" t="str">
        <x:v>発泡性ワイン製法</x:v>
      </x:c>
      <x:c r="R187" s="165" t="str">
        <x:v>ティラージュ・圧力</x:v>
      </x:c>
      <x:c r="S187" s="165" t="str">
        <x:v>発泡性ワイン</x:v>
      </x:c>
      <x:c r="T187" s="165"/>
      <x:c r="U187" s="165"/>
      <x:c r="V187" s="165"/>
      <x:c r="W187" s="165" t="str">
        <x:v>知識確認</x:v>
      </x:c>
      <x:c r="X187" s="171" t="str">
        <x:v>D1</x:v>
      </x:c>
      <x:c r="Y187" s="165" t="str">
        <x:v>圧力は色・動瓶・ラベルで決まる</x:v>
      </x:c>
      <x:c r="Z187" s="171" t="str">
        <x:v>N</x:v>
      </x:c>
      <x:c r="AA187" s="165"/>
      <x:c r="AB187" s="165" t="str">
        <x:v>オリジナル</x:v>
      </x:c>
      <x:c r="AC187" s="165" t="str">
        <x:v>公式Specificationの範囲＋ユーザー作成コーパスの論点と問題設計例を参考に独自作成</x:v>
      </x:c>
      <x:c r="AD187" s="171" t="str">
        <x:v>未レビュー</x:v>
      </x:c>
      <x:c r="AE187" s="171"/>
      <x:c r="AF187" s="171"/>
      <x:c r="AG187" s="166"/>
    </x:row>
    <x:row r="188" ht="84" customHeight="1">
      <x:c r="A188" s="164" t="str">
        <x:v>LO3-027</x:v>
      </x:c>
      <x:c r="B188" s="171" t="str">
        <x:v>LO3</x:v>
      </x:c>
      <x:c r="C188" s="165" t="str">
        <x:v>世界の主要な発泡性ワイン</x:v>
      </x:c>
      <x:c r="D188" s="165" t="str">
        <x:v>酵母の自己分解</x:v>
      </x:c>
      <x:c r="E188" s="165" t="str">
        <x:v>発泡性ワインの澱熟成中に酵母の自己分解が進むと、どのような香りが発達しやすいか。</x:v>
      </x:c>
      <x:c r="F188" s="165" t="str">
        <x:v>強い青ピーマンと未熟な草だけの香り</x:v>
      </x:c>
      <x:c r="G188" s="165" t="str">
        <x:v>海水を加えたような塩味だけ</x:v>
      </x:c>
      <x:c r="H188" s="165" t="str">
        <x:v>パン生地、ビスケット、トーストを思わせる香り</x:v>
      </x:c>
      <x:c r="I188" s="165" t="str">
        <x:v>コルク汚染による湿った段ボールの香り</x:v>
      </x:c>
      <x:c r="J188" s="171" t="str">
        <x:v>C</x:v>
      </x:c>
      <x:c r="K188" s="165" t="str">
        <x:v>パン生地、ビスケット、トーストを思わせる香り</x:v>
      </x:c>
      <x:c r="L188" s="165" t="str">
        <x:v>死滅した酵母細胞が分解されることで、パン、ブリオッシュ、ビスケット、トーストなどの自己分解由来の香りが発達する。</x:v>
      </x:c>
      <x:c r="M188" s="165" t="str">
        <x:v>誤り。 これは品種や未熟さに関連し、酵母自己分解の典型ではない。</x:v>
      </x:c>
      <x:c r="N188" s="165" t="str">
        <x:v>誤り。 自己分解が塩分を加えるわけではない。</x:v>
      </x:c>
      <x:c r="O188" s="165" t="str">
        <x:v>正しい。 死滅した酵母細胞が分解されることで、パン、ブリオッシュ、ビスケット、トーストなどの自己分解由来の香りが発達する。</x:v>
      </x:c>
      <x:c r="P188" s="165" t="str">
        <x:v>誤り。 湿った段ボールはコルク汚染の兆候で、望ましい自己分解香ではない。</x:v>
      </x:c>
      <x:c r="Q188" s="165" t="str">
        <x:v>発泡性ワイン製法</x:v>
      </x:c>
      <x:c r="R188" s="165" t="str">
        <x:v>澱熟成・自己分解香</x:v>
      </x:c>
      <x:c r="S188" s="165" t="str">
        <x:v>発泡性ワイン</x:v>
      </x:c>
      <x:c r="T188" s="165"/>
      <x:c r="U188" s="165"/>
      <x:c r="V188" s="165"/>
      <x:c r="W188" s="165" t="str">
        <x:v>知識確認</x:v>
      </x:c>
      <x:c r="X188" s="171" t="str">
        <x:v>D1</x:v>
      </x:c>
      <x:c r="Y188" s="165" t="str">
        <x:v>自己分解は青臭さ・塩分・コルク汚染</x:v>
      </x:c>
      <x:c r="Z188" s="171" t="str">
        <x:v>N</x:v>
      </x:c>
      <x:c r="AA188" s="165"/>
      <x:c r="AB188" s="165" t="str">
        <x:v>オリジナル</x:v>
      </x:c>
      <x:c r="AC188" s="165" t="str">
        <x:v>公式Specificationの範囲＋ユーザー作成コーパスの論点と問題設計例を参考に独自作成</x:v>
      </x:c>
      <x:c r="AD188" s="171" t="str">
        <x:v>未レビュー</x:v>
      </x:c>
      <x:c r="AE188" s="171"/>
      <x:c r="AF188" s="171"/>
      <x:c r="AG188" s="166"/>
    </x:row>
    <x:row r="189" ht="84" customHeight="1">
      <x:c r="A189" s="164" t="str">
        <x:v>LO3-028</x:v>
      </x:c>
      <x:c r="B189" s="171" t="str">
        <x:v>LO3</x:v>
      </x:c>
      <x:c r="C189" s="165" t="str">
        <x:v>世界の主要な発泡性ワイン</x:v>
      </x:c>
      <x:c r="D189" s="165" t="str">
        <x:v>澱熟成と泡の質</x:v>
      </x:c>
      <x:c r="E189" s="165" t="str">
        <x:v>長い澱熟成が上質発泡性ワインの口当たりに与えやすい影響はどれか。</x:v>
      </x:c>
      <x:c r="F189" s="165" t="str">
        <x:v>炭酸ガスがすべて消え、完全な非発泡性になる</x:v>
      </x:c>
      <x:c r="G189" s="165" t="str">
        <x:v>タンニンが必ず極端に増え、口が乾く</x:v>
      </x:c>
      <x:c r="H189" s="165" t="str">
        <x:v>甘味が自動的に増え、必ずデミ・セックになる</x:v>
      </x:c>
      <x:c r="I189" s="165" t="str">
        <x:v>泡がよりきめ細かくクリーミーに感じられ、質感が豊かになる</x:v>
      </x:c>
      <x:c r="J189" s="171" t="str">
        <x:v>D</x:v>
      </x:c>
      <x:c r="K189" s="165" t="str">
        <x:v>泡がよりきめ細かくクリーミーに感じられ、質感が豊かになる</x:v>
      </x:c>
      <x:c r="L189" s="165" t="str">
        <x:v>酵母由来の成分がワインへ溶け込み、泡の安定性と口当たりを改善し、複雑な質感を与えることがある。</x:v>
      </x:c>
      <x:c r="M189" s="165" t="str">
        <x:v>誤り。 密閉中の二酸化炭素は保持され、長い澱熟成だけで完全に消えるわけではない。</x:v>
      </x:c>
      <x:c r="N189" s="165" t="str">
        <x:v>誤り。 澱熟成の主な効果は自己分解香と質感で、タンニンの極端な増加ではない。</x:v>
      </x:c>
      <x:c r="O189" s="165" t="str">
        <x:v>誤り。 最終甘味は主にドザージュで調整し、澱熟成だけで甘くならない。</x:v>
      </x:c>
      <x:c r="P189" s="165" t="str">
        <x:v>正しい。 酵母由来の成分がワインへ溶け込み、泡の安定性と口当たりを改善し、複雑な質感を与えることがある。</x:v>
      </x:c>
      <x:c r="Q189" s="165" t="str">
        <x:v>発泡性ワイン製法</x:v>
      </x:c>
      <x:c r="R189" s="165" t="str">
        <x:v>澱熟成・質感</x:v>
      </x:c>
      <x:c r="S189" s="165" t="str">
        <x:v>発泡性ワイン</x:v>
      </x:c>
      <x:c r="T189" s="165"/>
      <x:c r="U189" s="165"/>
      <x:c r="V189" s="165"/>
      <x:c r="W189" s="165" t="str">
        <x:v>因果説明</x:v>
      </x:c>
      <x:c r="X189" s="171" t="str">
        <x:v>D2</x:v>
      </x:c>
      <x:c r="Y189" s="165" t="str">
        <x:v>澱熟成で炭酸消失・タンニン増加・甘口化</x:v>
      </x:c>
      <x:c r="Z189" s="171" t="str">
        <x:v>N</x:v>
      </x:c>
      <x:c r="AA189" s="165"/>
      <x:c r="AB189" s="165" t="str">
        <x:v>オリジナル</x:v>
      </x:c>
      <x:c r="AC189" s="165" t="str">
        <x:v>公式Specificationの範囲＋ユーザー作成コーパスの論点と問題設計例を参考に独自作成</x:v>
      </x:c>
      <x:c r="AD189" s="171" t="str">
        <x:v>未レビュー</x:v>
      </x:c>
      <x:c r="AE189" s="171"/>
      <x:c r="AF189" s="171"/>
      <x:c r="AG189" s="166"/>
    </x:row>
    <x:row r="190" ht="84" customHeight="1">
      <x:c r="A190" s="164" t="str">
        <x:v>LO3-029</x:v>
      </x:c>
      <x:c r="B190" s="171" t="str">
        <x:v>LO3</x:v>
      </x:c>
      <x:c r="C190" s="165" t="str">
        <x:v>世界の主要な発泡性ワイン</x:v>
      </x:c>
      <x:c r="D190" s="165" t="str">
        <x:v>ジャイロパレット</x:v>
      </x:c>
      <x:c r="E190" s="165" t="str">
        <x:v>ジャイロパレットを用いる主な利点はどれか。</x:v>
      </x:c>
      <x:c r="F190" s="165" t="str">
        <x:v>多数の瓶を機械で同時に動瓶し、時間と人件費を減らせる</x:v>
      </x:c>
      <x:c r="G190" s="165" t="str">
        <x:v>瓶内二次発酵を行わず、炭酸ガスを直接注入する</x:v>
      </x:c>
      <x:c r="H190" s="165" t="str">
        <x:v>ブドウを機械収穫し、圧搾する</x:v>
      </x:c>
      <x:c r="I190" s="165" t="str">
        <x:v>ドザージュの糖度を測定し、甘味を自動的に決める</x:v>
      </x:c>
      <x:c r="J190" s="171" t="str">
        <x:v>A</x:v>
      </x:c>
      <x:c r="K190" s="165" t="str">
        <x:v>多数の瓶を機械で同時に動瓶し、時間と人件費を減らせる</x:v>
      </x:c>
      <x:c r="L190" s="165" t="str">
        <x:v>ジャイロパレットはケージ内の瓶を自動で回転・傾斜させ、澱を瓶口へ集めるため、手動ルミュアージュより効率的である。</x:v>
      </x:c>
      <x:c r="M190" s="165" t="str">
        <x:v>正しい。 ジャイロパレットはケージ内の瓶を自動で回転・傾斜させ、澱を瓶口へ集めるため、手動ルミュアージュより効率的である。</x:v>
      </x:c>
      <x:c r="N190" s="165" t="str">
        <x:v>誤り。 ジャイロパレットは動瓶装置で、炭酸ガス注入方式へ変えるものではない。</x:v>
      </x:c>
      <x:c r="O190" s="165" t="str">
        <x:v>誤り。 使用するのは醸造後の瓶で、畑の収穫機ではない。</x:v>
      </x:c>
      <x:c r="P190" s="165" t="str">
        <x:v>誤り。 動瓶は澱の移動が目的で、ドザージュ量を決める装置ではない。</x:v>
      </x:c>
      <x:c r="Q190" s="165" t="str">
        <x:v>発泡性ワイン製法</x:v>
      </x:c>
      <x:c r="R190" s="165" t="str">
        <x:v>ルミュアージュ・機械化</x:v>
      </x:c>
      <x:c r="S190" s="165" t="str">
        <x:v>発泡性ワイン</x:v>
      </x:c>
      <x:c r="T190" s="165"/>
      <x:c r="U190" s="165"/>
      <x:c r="V190" s="165"/>
      <x:c r="W190" s="165" t="str">
        <x:v>因果説明</x:v>
      </x:c>
      <x:c r="X190" s="171" t="str">
        <x:v>D1</x:v>
      </x:c>
      <x:c r="Y190" s="165" t="str">
        <x:v>ジャイロパレットは炭酸注入・収穫・甘味決定</x:v>
      </x:c>
      <x:c r="Z190" s="171" t="str">
        <x:v>N</x:v>
      </x:c>
      <x:c r="AA190" s="165"/>
      <x:c r="AB190" s="165" t="str">
        <x:v>オリジナル</x:v>
      </x:c>
      <x:c r="AC190" s="165" t="str">
        <x:v>公式Specificationの範囲＋ユーザー作成コーパスの論点と問題設計例を参考に独自作成</x:v>
      </x:c>
      <x:c r="AD190" s="171" t="str">
        <x:v>未レビュー</x:v>
      </x:c>
      <x:c r="AE190" s="171"/>
      <x:c r="AF190" s="171"/>
      <x:c r="AG190" s="166"/>
    </x:row>
    <x:row r="191" ht="84" customHeight="1">
      <x:c r="A191" s="164" t="str">
        <x:v>LO3-030</x:v>
      </x:c>
      <x:c r="B191" s="171" t="str">
        <x:v>LO3</x:v>
      </x:c>
      <x:c r="C191" s="165" t="str">
        <x:v>世界の主要な発泡性ワイン</x:v>
      </x:c>
      <x:c r="D191" s="165" t="str">
        <x:v>デゴルジュマン</x:v>
      </x:c>
      <x:c r="E191" s="165" t="str">
        <x:v>デゴルジュマン（澱抜き）直後にリクール・デクスペディシオンを加える理由はどれか。</x:v>
      </x:c>
      <x:c r="F191" s="165" t="str">
        <x:v>二次発酵を瓶内で最初から開始する</x:v>
      </x:c>
      <x:c r="G191" s="165" t="str">
        <x:v>失われたワインを補い、必要に応じて最終的な甘味とスタイルを調整する</x:v>
      </x:c>
      <x:c r="H191" s="165" t="str">
        <x:v>果皮から色素とタンニンを抽出する</x:v>
      </x:c>
      <x:c r="I191" s="165" t="str">
        <x:v>フロールを成長させ、生物学的熟成を始める</x:v>
      </x:c>
      <x:c r="J191" s="171" t="str">
        <x:v>B</x:v>
      </x:c>
      <x:c r="K191" s="165" t="str">
        <x:v>失われたワインを補い、必要に応じて最終的な甘味とスタイルを調整する</x:v>
      </x:c>
      <x:c r="L191" s="165" t="str">
        <x:v>澱抜きで少量のワインが失われるため補充し、ワインと糖の混合液で最終甘味の区分とバランスを整える。</x:v>
      </x:c>
      <x:c r="M191" s="165" t="str">
        <x:v>誤り。 二次発酵はティラージュ添加後、澱抜きより前に行われる。</x:v>
      </x:c>
      <x:c r="N191" s="165" t="str">
        <x:v>正しい。 澱抜きで少量のワインが失われるため補充し、ワインと糖の混合液で最終甘味の区分とバランスを整える。</x:v>
      </x:c>
      <x:c r="O191" s="165" t="str">
        <x:v>誤り。 瓶詰め後の工程であり、果皮抽出とは関係しない。</x:v>
      </x:c>
      <x:c r="P191" s="165" t="str">
        <x:v>誤り。 フロール熟成はシェリーの工程で、発泡性ワインの澱抜き後には行わない。</x:v>
      </x:c>
      <x:c r="Q191" s="165" t="str">
        <x:v>発泡性ワイン製法</x:v>
      </x:c>
      <x:c r="R191" s="165" t="str">
        <x:v>澱抜き・ドザージュ</x:v>
      </x:c>
      <x:c r="S191" s="165" t="str">
        <x:v>発泡性ワイン</x:v>
      </x:c>
      <x:c r="T191" s="165"/>
      <x:c r="U191" s="165"/>
      <x:c r="V191" s="165"/>
      <x:c r="W191" s="165" t="str">
        <x:v>因果説明</x:v>
      </x:c>
      <x:c r="X191" s="171" t="str">
        <x:v>D2</x:v>
      </x:c>
      <x:c r="Y191" s="165" t="str">
        <x:v>ドザージュで二次発酵開始; 果皮抽出; フロール</x:v>
      </x:c>
      <x:c r="Z191" s="171" t="str">
        <x:v>N</x:v>
      </x:c>
      <x:c r="AA191" s="165"/>
      <x:c r="AB191" s="165" t="str">
        <x:v>オリジナル</x:v>
      </x:c>
      <x:c r="AC191" s="165" t="str">
        <x:v>公式Specificationの範囲＋ユーザー作成コーパスの論点と問題設計例を参考に独自作成</x:v>
      </x:c>
      <x:c r="AD191" s="171" t="str">
        <x:v>未レビュー</x:v>
      </x:c>
      <x:c r="AE191" s="171"/>
      <x:c r="AF191" s="171"/>
      <x:c r="AG191" s="166"/>
    </x:row>
    <x:row r="192" ht="84" customHeight="1">
      <x:c r="A192" s="164" t="str">
        <x:v>LO3-031</x:v>
      </x:c>
      <x:c r="B192" s="171" t="str">
        <x:v>LO3</x:v>
      </x:c>
      <x:c r="C192" s="165" t="str">
        <x:v>世界の主要な発泡性ワイン</x:v>
      </x:c>
      <x:c r="D192" s="165" t="str">
        <x:v>甘味表示</x:v>
      </x:c>
      <x:c r="E192" s="165" t="str">
        <x:v>EUの発泡性ワインの甘味表示で、一般に最も辛口の区分はどれか。</x:v>
      </x:c>
      <x:c r="F192" s="165" t="str">
        <x:v>デミ・セック</x:v>
      </x:c>
      <x:c r="G192" s="165" t="str">
        <x:v>ドゥー</x:v>
      </x:c>
      <x:c r="H192" s="165" t="str">
        <x:v>ブリュット・ナチュール</x:v>
      </x:c>
      <x:c r="I192" s="165" t="str">
        <x:v>クリーム</x:v>
      </x:c>
      <x:c r="J192" s="171" t="str">
        <x:v>C</x:v>
      </x:c>
      <x:c r="K192" s="165" t="str">
        <x:v>ブリュット・ナチュール</x:v>
      </x:c>
      <x:c r="L192" s="165" t="str">
        <x:v>ブリュット・ナチュールはドザージュが非常に少ない、または行われない最辛口区分で、ブリュットやデミ・セックより残糖が低い。</x:v>
      </x:c>
      <x:c r="M192" s="165" t="str">
        <x:v>誤り。 デミ・セックはブリュットより甘い区分である。</x:v>
      </x:c>
      <x:c r="N192" s="165" t="str">
        <x:v>誤り。 ドゥーは甘口の発泡性ワイン区分で、最辛口ではない。</x:v>
      </x:c>
      <x:c r="O192" s="165" t="str">
        <x:v>正しい。 ブリュット・ナチュールはドザージュが非常に少ない、または行われない最辛口区分で、ブリュットやデミ・セックより残糖が低い。</x:v>
      </x:c>
      <x:c r="P192" s="165" t="str">
        <x:v>誤り。 クリームは主に甘口シェリーの表示で、発泡性ワインの辛口区分ではない。</x:v>
      </x:c>
      <x:c r="Q192" s="165" t="str">
        <x:v>法律面・発泡性ワイン</x:v>
      </x:c>
      <x:c r="R192" s="165" t="str">
        <x:v>甘味表示</x:v>
      </x:c>
      <x:c r="S192" s="165" t="str">
        <x:v>発泡性ワイン</x:v>
      </x:c>
      <x:c r="T192" s="165"/>
      <x:c r="U192" s="165"/>
      <x:c r="V192" s="165"/>
      <x:c r="W192" s="165" t="str">
        <x:v>知識確認</x:v>
      </x:c>
      <x:c r="X192" s="171" t="str">
        <x:v>D1</x:v>
      </x:c>
      <x:c r="Y192" s="165" t="str">
        <x:v>デミセック・ドゥーを辛口; シェリー表示と混同</x:v>
      </x:c>
      <x:c r="Z192" s="171" t="str">
        <x:v>Y</x:v>
      </x:c>
      <x:c r="AA192" s="165" t="str">
        <x:v>甘味区分の残糖範囲は最新EU規定および日本語教材との最終照合を推奨</x:v>
      </x:c>
      <x:c r="AB192" s="165" t="str">
        <x:v>オリジナル</x:v>
      </x:c>
      <x:c r="AC192" s="165" t="str">
        <x:v>公式Specificationの範囲＋ユーザー作成コーパスの論点と問題設計例を参考に独自作成</x:v>
      </x:c>
      <x:c r="AD192" s="171" t="str">
        <x:v>未レビュー</x:v>
      </x:c>
      <x:c r="AE192" s="171"/>
      <x:c r="AF192" s="171"/>
      <x:c r="AG192" s="166"/>
    </x:row>
    <x:row r="193" ht="84" customHeight="1">
      <x:c r="A193" s="164" t="str">
        <x:v>LO3-032</x:v>
      </x:c>
      <x:c r="B193" s="171" t="str">
        <x:v>LO3</x:v>
      </x:c>
      <x:c r="C193" s="165" t="str">
        <x:v>世界の主要な発泡性ワイン</x:v>
      </x:c>
      <x:c r="D193" s="165" t="str">
        <x:v>アンセストラル方式</x:v>
      </x:c>
      <x:c r="E193" s="165" t="str">
        <x:v>アンセストラル方式を伝統的方式と区別する特徴はどれか。</x:v>
      </x:c>
      <x:c r="F193" s="165" t="str">
        <x:v>完成した非発泡性ワインへ二酸化炭素を注入する</x:v>
      </x:c>
      <x:c r="G193" s="165" t="str">
        <x:v>発酵済みベースワインへティラージュを加え、必ず二回目の発酵を行う</x:v>
      </x:c>
      <x:c r="H193" s="165" t="str">
        <x:v>フロールの下で酸化を防ぎ、酒精強化する</x:v>
      </x:c>
      <x:c r="I193" s="165" t="str">
        <x:v>最初のアルコール発酵を途中で瓶内へ移し、その発酵を瓶内で完了させる</x:v>
      </x:c>
      <x:c r="J193" s="171" t="str">
        <x:v>D</x:v>
      </x:c>
      <x:c r="K193" s="165" t="str">
        <x:v>最初のアルコール発酵を途中で瓶内へ移し、その発酵を瓶内で完了させる</x:v>
      </x:c>
      <x:c r="L193" s="165" t="str">
        <x:v>アンセストラル方式では一回の発酵の途中で瓶詰めし、残った糖の発酵で二酸化炭素を得る。澱抜きを行うかどうかは生産者により異なる。</x:v>
      </x:c>
      <x:c r="M193" s="165" t="str">
        <x:v>誤り。 これは炭酸ガス注入方式であり、アンセストラル方式では発酵由来の二酸化炭素を利用する。</x:v>
      </x:c>
      <x:c r="N193" s="165" t="str">
        <x:v>誤り。 これは伝統的方式またはタンク方式の二次発酵に近い。</x:v>
      </x:c>
      <x:c r="O193" s="165" t="str">
        <x:v>誤り。 これはシェリーの生物学的熟成である。</x:v>
      </x:c>
      <x:c r="P193" s="165" t="str">
        <x:v>正しい。 アンセストラル方式では一回の発酵の途中で瓶詰めし、残った糖の発酵で二酸化炭素を得る。澱抜きを行うかどうかは生産者により異なる。</x:v>
      </x:c>
      <x:c r="Q193" s="165" t="str">
        <x:v>発泡性ワイン製法</x:v>
      </x:c>
      <x:c r="R193" s="165" t="str">
        <x:v>アンセストラル方式</x:v>
      </x:c>
      <x:c r="S193" s="165" t="str">
        <x:v>発泡性ワイン</x:v>
      </x:c>
      <x:c r="T193" s="165"/>
      <x:c r="U193" s="165"/>
      <x:c r="V193" s="165"/>
      <x:c r="W193" s="165" t="str">
        <x:v>比較</x:v>
      </x:c>
      <x:c r="X193" s="171" t="str">
        <x:v>D2</x:v>
      </x:c>
      <x:c r="Y193" s="165" t="str">
        <x:v>アンセストラルは炭酸注入・二次発酵・フロール</x:v>
      </x:c>
      <x:c r="Z193" s="171" t="str">
        <x:v>N</x:v>
      </x:c>
      <x:c r="AA193" s="165"/>
      <x:c r="AB193" s="165" t="str">
        <x:v>オリジナル</x:v>
      </x:c>
      <x:c r="AC193" s="165" t="str">
        <x:v>公式Specificationの範囲＋ユーザー作成コーパスの論点と問題設計例を参考に独自作成</x:v>
      </x:c>
      <x:c r="AD193" s="171" t="str">
        <x:v>未レビュー</x:v>
      </x:c>
      <x:c r="AE193" s="171"/>
      <x:c r="AF193" s="171"/>
      <x:c r="AG193" s="166"/>
    </x:row>
    <x:row r="194" ht="84" customHeight="1">
      <x:c r="A194" s="164" t="str">
        <x:v>LO3-033</x:v>
      </x:c>
      <x:c r="B194" s="171" t="str">
        <x:v>LO3</x:v>
      </x:c>
      <x:c r="C194" s="165" t="str">
        <x:v>世界の主要な発泡性ワイン</x:v>
      </x:c>
      <x:c r="D194" s="165" t="str">
        <x:v>トランスファー方式の均一性</x:v>
      </x:c>
      <x:c r="E194" s="165" t="str">
        <x:v>トランスファー方式が、複雑な形状や小容量の瓶を用いる商品に適する理由はどれか。</x:v>
      </x:c>
      <x:c r="F194" s="165" t="str">
        <x:v>二次発酵後にワインをタンクへ集めて濾過し、別の瓶へ均一に再充填できる</x:v>
      </x:c>
      <x:c r="G194" s="165" t="str">
        <x:v>ブドウを畑で凍らせ、圧搾せず瓶へ入れる</x:v>
      </x:c>
      <x:c r="H194" s="165" t="str">
        <x:v>二次発酵を行わず、瓶を振って泡を作る</x:v>
      </x:c>
      <x:c r="I194" s="165" t="str">
        <x:v>ドザージュを禁止し、必ず甘口にする</x:v>
      </x:c>
      <x:c r="J194" s="171" t="str">
        <x:v>A</x:v>
      </x:c>
      <x:c r="K194" s="165" t="str">
        <x:v>二次発酵後にワインをタンクへ集めて濾過し、別の瓶へ均一に再充填できる</x:v>
      </x:c>
      <x:c r="L194" s="165" t="str">
        <x:v>各販売瓶で動瓶と澱抜きを行う必要がなく、タンクで澱を除去してから希望する形状の瓶へ圧力下で詰められる。</x:v>
      </x:c>
      <x:c r="M194" s="165" t="str">
        <x:v>正しい。 各販売瓶で動瓶と澱抜きを行う必要がなく、タンクで澱を除去してから希望する形状の瓶へ圧力下で詰められる。</x:v>
      </x:c>
      <x:c r="N194" s="165" t="str">
        <x:v>誤り。 トランスファー方式は醸造後の澱除去と再瓶詰めの方法で、凍結ブドウではない。</x:v>
      </x:c>
      <x:c r="O194" s="165" t="str">
        <x:v>誤り。 瓶内で二次発酵を行った後にタンクへ移す方式である。</x:v>
      </x:c>
      <x:c r="P194" s="165" t="str">
        <x:v>誤り。 ドザージュは可能で、甘味を必ず固定する方式ではない。</x:v>
      </x:c>
      <x:c r="Q194" s="165" t="str">
        <x:v>発泡性ワイン製法</x:v>
      </x:c>
      <x:c r="R194" s="165" t="str">
        <x:v>トランスファー方式・再瓶詰め</x:v>
      </x:c>
      <x:c r="S194" s="165" t="str">
        <x:v>発泡性ワイン</x:v>
      </x:c>
      <x:c r="T194" s="165"/>
      <x:c r="U194" s="165"/>
      <x:c r="V194" s="165"/>
      <x:c r="W194" s="165" t="str">
        <x:v>因果説明</x:v>
      </x:c>
      <x:c r="X194" s="171" t="str">
        <x:v>D2</x:v>
      </x:c>
      <x:c r="Y194" s="165" t="str">
        <x:v>トランスファーは凍結・振動で発泡; ドザージュ禁止</x:v>
      </x:c>
      <x:c r="Z194" s="171" t="str">
        <x:v>N</x:v>
      </x:c>
      <x:c r="AA194" s="165"/>
      <x:c r="AB194" s="165" t="str">
        <x:v>オリジナル</x:v>
      </x:c>
      <x:c r="AC194" s="165" t="str">
        <x:v>公式Specificationの範囲＋ユーザー作成コーパスの論点と問題設計例を参考に独自作成</x:v>
      </x:c>
      <x:c r="AD194" s="171" t="str">
        <x:v>未レビュー</x:v>
      </x:c>
      <x:c r="AE194" s="171"/>
      <x:c r="AF194" s="171"/>
      <x:c r="AG194" s="166"/>
    </x:row>
    <x:row r="195" ht="84" customHeight="1">
      <x:c r="A195" s="164" t="str">
        <x:v>LO3-034</x:v>
      </x:c>
      <x:c r="B195" s="171" t="str">
        <x:v>LO3</x:v>
      </x:c>
      <x:c r="C195" s="165" t="str">
        <x:v>世界の主要な発泡性ワイン</x:v>
      </x:c>
      <x:c r="D195" s="165" t="str">
        <x:v>伝統的方式の販売瓶</x:v>
      </x:c>
      <x:c r="E195" s="165" t="str">
        <x:v>伝統的方式で「二次発酵を販売する瓶の中で行う」ことの意義はどれか。</x:v>
      </x:c>
      <x:c r="F195" s="165" t="str">
        <x:v>瓶内発酵後に必ず全量を開放タンクへ移す</x:v>
      </x:c>
      <x:c r="G195" s="165" t="str">
        <x:v>澱との接触から澱抜きまでを同じ瓶で行い、再瓶詰めを避けられる</x:v>
      </x:c>
      <x:c r="H195" s="165" t="str">
        <x:v>瓶の外側で発酵し、炭酸ガスだけを注入する</x:v>
      </x:c>
      <x:c r="I195" s="165" t="str">
        <x:v>販売瓶へブドウ果皮を残し、色を抽出し続ける</x:v>
      </x:c>
      <x:c r="J195" s="171" t="str">
        <x:v>B</x:v>
      </x:c>
      <x:c r="K195" s="165" t="str">
        <x:v>澱との接触から澱抜きまでを同じ瓶で行い、再瓶詰めを避けられる</x:v>
      </x:c>
      <x:c r="L195" s="165" t="str">
        <x:v>販売瓶内で二次発酵と澱熟成を行い、動瓶・澱抜き・ドザージュ後に栓をするため、ワインをタンクへ移す必要がない。</x:v>
      </x:c>
      <x:c r="M195" s="165" t="str">
        <x:v>誤り。 全量をタンクへ移すのはトランスファー方式の特徴である。</x:v>
      </x:c>
      <x:c r="N195" s="165" t="str">
        <x:v>正しい。 販売瓶内で二次発酵と澱熟成を行い、動瓶・澱抜き・ドザージュ後に栓をするため、ワインをタンクへ移す必要がない。</x:v>
      </x:c>
      <x:c r="O195" s="165" t="str">
        <x:v>誤り。 二次発酵は密閉した瓶の内部で行う。</x:v>
      </x:c>
      <x:c r="P195" s="165" t="str">
        <x:v>誤り。 発泡性ワインの販売瓶に果皮を残して抽出する方法ではない。</x:v>
      </x:c>
      <x:c r="Q195" s="165" t="str">
        <x:v>発泡性ワイン製法</x:v>
      </x:c>
      <x:c r="R195" s="165" t="str">
        <x:v>伝統的方式・販売瓶</x:v>
      </x:c>
      <x:c r="S195" s="165" t="str">
        <x:v>発泡性ワイン</x:v>
      </x:c>
      <x:c r="T195" s="165"/>
      <x:c r="U195" s="165"/>
      <x:c r="V195" s="165"/>
      <x:c r="W195" s="165" t="str">
        <x:v>比較</x:v>
      </x:c>
      <x:c r="X195" s="171" t="str">
        <x:v>D2</x:v>
      </x:c>
      <x:c r="Y195" s="165" t="str">
        <x:v>伝統方式とトランスファー混同; 瓶外発酵; 果皮残置</x:v>
      </x:c>
      <x:c r="Z195" s="171" t="str">
        <x:v>N</x:v>
      </x:c>
      <x:c r="AA195" s="165"/>
      <x:c r="AB195" s="165" t="str">
        <x:v>オリジナル</x:v>
      </x:c>
      <x:c r="AC195" s="165" t="str">
        <x:v>公式Specificationの範囲＋ユーザー作成コーパスの論点と問題設計例を参考に独自作成</x:v>
      </x:c>
      <x:c r="AD195" s="171" t="str">
        <x:v>未レビュー</x:v>
      </x:c>
      <x:c r="AE195" s="171"/>
      <x:c r="AF195" s="171"/>
      <x:c r="AG195" s="166"/>
    </x:row>
    <x:row r="196" ht="84" customHeight="1">
      <x:c r="A196" s="164" t="str">
        <x:v>LO3-035</x:v>
      </x:c>
      <x:c r="B196" s="171" t="str">
        <x:v>LO3</x:v>
      </x:c>
      <x:c r="C196" s="165" t="str">
        <x:v>世界の主要な発泡性ワイン</x:v>
      </x:c>
      <x:c r="D196" s="165" t="str">
        <x:v>タンク方式と果実香</x:v>
      </x:c>
      <x:c r="E196" s="165" t="str">
        <x:v>タンク方式の発泡性ワインが一次的な果実香を保ちやすい理由はどれか。</x:v>
      </x:c>
      <x:c r="F196" s="165" t="str">
        <x:v>果皮を数年間浸漬し、タンニンを最大化する</x:v>
      </x:c>
      <x:c r="G196" s="165" t="str">
        <x:v>酸化的な小樽熟成を必ず長期間行う</x:v>
      </x:c>
      <x:c r="H196" s="165" t="str">
        <x:v>一般に澱との接触が短く、密閉タンクで比較的迅速に造られる</x:v>
      </x:c>
      <x:c r="I196" s="165" t="str">
        <x:v>フロールを育て、アセトアルデヒド香を作る</x:v>
      </x:c>
      <x:c r="J196" s="171" t="str">
        <x:v>C</x:v>
      </x:c>
      <x:c r="K196" s="165" t="str">
        <x:v>一般に澱との接触が短く、密閉タンクで比較的迅速に造られる</x:v>
      </x:c>
      <x:c r="L196" s="165" t="str">
        <x:v>長い瓶内澱熟成による自己分解香を抑え、品種由来の花や果実の香りを前面に保ちやすい。</x:v>
      </x:c>
      <x:c r="M196" s="165" t="str">
        <x:v>誤り。 タンク方式の目的は一般にフレッシュな果実香で、長期果皮浸漬ではない。</x:v>
      </x:c>
      <x:c r="N196" s="165" t="str">
        <x:v>誤り。 密閉タンクでの二次発酵と短い熟成が中心で、長期小樽熟成は典型ではない。</x:v>
      </x:c>
      <x:c r="O196" s="165" t="str">
        <x:v>正しい。 長い瓶内澱熟成による自己分解香を抑え、品種由来の花や果実の香りを前面に保ちやすい。</x:v>
      </x:c>
      <x:c r="P196" s="165" t="str">
        <x:v>誤り。 フロール熟成はシェリーに関連し、タンク方式発泡性ワインの一般的製法ではない。</x:v>
      </x:c>
      <x:c r="Q196" s="165" t="str">
        <x:v>発泡性ワイン製法</x:v>
      </x:c>
      <x:c r="R196" s="165" t="str">
        <x:v>タンク方式・香り保持</x:v>
      </x:c>
      <x:c r="S196" s="165" t="str">
        <x:v>発泡性ワイン</x:v>
      </x:c>
      <x:c r="T196" s="165"/>
      <x:c r="U196" s="165"/>
      <x:c r="V196" s="165"/>
      <x:c r="W196" s="165" t="str">
        <x:v>因果説明</x:v>
      </x:c>
      <x:c r="X196" s="171" t="str">
        <x:v>D2</x:v>
      </x:c>
      <x:c r="Y196" s="165" t="str">
        <x:v>タンク方式は長期果皮・樽・フロール</x:v>
      </x:c>
      <x:c r="Z196" s="171" t="str">
        <x:v>N</x:v>
      </x:c>
      <x:c r="AA196" s="165"/>
      <x:c r="AB196" s="165" t="str">
        <x:v>オリジナル</x:v>
      </x:c>
      <x:c r="AC196" s="165" t="str">
        <x:v>公式Specificationの範囲＋ユーザー作成コーパスの論点と問題設計例を参考に独自作成</x:v>
      </x:c>
      <x:c r="AD196" s="171" t="str">
        <x:v>未レビュー</x:v>
      </x:c>
      <x:c r="AE196" s="171"/>
      <x:c r="AF196" s="171"/>
      <x:c r="AG196" s="166"/>
    </x:row>
    <x:row r="197" ht="84" customHeight="1">
      <x:c r="A197" s="164" t="str">
        <x:v>LO3-036</x:v>
      </x:c>
      <x:c r="B197" s="171" t="str">
        <x:v>LO3</x:v>
      </x:c>
      <x:c r="C197" s="165" t="str">
        <x:v>世界の主要な発泡性ワイン</x:v>
      </x:c>
      <x:c r="D197" s="165" t="str">
        <x:v>炭酸ガス注入方式の泡</x:v>
      </x:c>
      <x:c r="E197" s="165" t="str">
        <x:v>炭酸ガス注入方式の発泡性ワインが、発酵由来の発泡性ワインより泡が粗く感じられることがある理由はどれか。</x:v>
      </x:c>
      <x:c r="F197" s="165" t="str">
        <x:v>二酸化炭素を全く含まないため</x:v>
      </x:c>
      <x:c r="G197" s="165" t="str">
        <x:v>必ず瓶内で10年以上澱熟成するため</x:v>
      </x:c>
      <x:c r="H197" s="165" t="str">
        <x:v>黒ブドウのタンニンが二酸化炭素へ変わるため</x:v>
      </x:c>
      <x:c r="I197" s="165" t="str">
        <x:v>二酸化炭素を短時間で外部から溶かし込み、長い発酵・澱熟成を行わないため</x:v>
      </x:c>
      <x:c r="J197" s="171" t="str">
        <x:v>D</x:v>
      </x:c>
      <x:c r="K197" s="165" t="str">
        <x:v>二酸化炭素を短時間で外部から溶かし込み、長い発酵・澱熟成を行わないため</x:v>
      </x:c>
      <x:c r="L197" s="165" t="str">
        <x:v>注入方式は低コストで迅速だが、発酵中にゆっくり溶け込む二酸化炭素や澱熟成による質感の発達が少ない。</x:v>
      </x:c>
      <x:c r="M197" s="165" t="str">
        <x:v>誤り。 注入方式でも二酸化炭素を含み、泡が生じる。</x:v>
      </x:c>
      <x:c r="N197" s="165" t="str">
        <x:v>誤り。 長い瓶内澱熟成を行わないことが一般的である。</x:v>
      </x:c>
      <x:c r="O197" s="165" t="str">
        <x:v>誤り。 タンニンが二酸化炭素へ変化することはない。</x:v>
      </x:c>
      <x:c r="P197" s="165" t="str">
        <x:v>正しい。 注入方式は低コストで迅速だが、発酵中にゆっくり溶け込む二酸化炭素や澱熟成による質感の発達が少ない。</x:v>
      </x:c>
      <x:c r="Q197" s="165" t="str">
        <x:v>発泡性ワイン製法</x:v>
      </x:c>
      <x:c r="R197" s="165" t="str">
        <x:v>炭酸ガス注入・質感</x:v>
      </x:c>
      <x:c r="S197" s="165" t="str">
        <x:v>発泡性ワイン</x:v>
      </x:c>
      <x:c r="T197" s="165"/>
      <x:c r="U197" s="165"/>
      <x:c r="V197" s="165"/>
      <x:c r="W197" s="165" t="str">
        <x:v>因果説明</x:v>
      </x:c>
      <x:c r="X197" s="171" t="str">
        <x:v>D2</x:v>
      </x:c>
      <x:c r="Y197" s="165" t="str">
        <x:v>注入ワインはCO2なし; 長期澱熟成; タンニンがCO2化</x:v>
      </x:c>
      <x:c r="Z197" s="171" t="str">
        <x:v>N</x:v>
      </x:c>
      <x:c r="AA197" s="165"/>
      <x:c r="AB197" s="165" t="str">
        <x:v>オリジナル</x:v>
      </x:c>
      <x:c r="AC197" s="165" t="str">
        <x:v>公式Specificationの範囲＋ユーザー作成コーパスの論点と問題設計例を参考に独自作成</x:v>
      </x:c>
      <x:c r="AD197" s="171" t="str">
        <x:v>未レビュー</x:v>
      </x:c>
      <x:c r="AE197" s="171"/>
      <x:c r="AF197" s="171"/>
      <x:c r="AG197" s="166"/>
    </x:row>
    <x:row r="198" ht="84" customHeight="1">
      <x:c r="A198" s="164" t="str">
        <x:v>LO3-037</x:v>
      </x:c>
      <x:c r="B198" s="171" t="str">
        <x:v>LO3</x:v>
      </x:c>
      <x:c r="C198" s="165" t="str">
        <x:v>世界の主要な発泡性ワイン</x:v>
      </x:c>
      <x:c r="D198" s="165" t="str">
        <x:v>ロゼ・シャンパーニュ</x:v>
      </x:c>
      <x:c r="E198" s="165" t="str">
        <x:v>ロゼ・シャンパーニュの色を得る方法として認められる代表的な方法はどれか。</x:v>
      </x:c>
      <x:c r="F198" s="165" t="str">
        <x:v>白ワインに少量の赤ワインをブレンドする、または黒ブドウを短時間醸す</x:v>
      </x:c>
      <x:c r="G198" s="165" t="str">
        <x:v>完成した白シャンパーニュへ人工着色料を加える</x:v>
      </x:c>
      <x:c r="H198" s="165" t="str">
        <x:v>白ブドウを海水へ浸し、サーモン色にする</x:v>
      </x:c>
      <x:c r="I198" s="165" t="str">
        <x:v>瓶内の澱を長く残すだけで、必ずピンク色になる</x:v>
      </x:c>
      <x:c r="J198" s="171" t="str">
        <x:v>A</x:v>
      </x:c>
      <x:c r="K198" s="165" t="str">
        <x:v>白ワインに少量の赤ワインをブレンドする、または黒ブドウを短時間醸す</x:v>
      </x:c>
      <x:c r="L198" s="165" t="str">
        <x:v>シャンパーニュでは赤の非発泡性ワインを白ベースへブレンドする方法と、セニエなど短い果皮接触で色を得る方法が用いられる。</x:v>
      </x:c>
      <x:c r="M198" s="165" t="str">
        <x:v>正しい。 シャンパーニュでは赤の非発泡性ワインを白ベースへブレンドする方法と、セニエなど短い果皮接触で色を得る方法が用いられる。</x:v>
      </x:c>
      <x:c r="N198" s="165" t="str">
        <x:v>誤り。 色はブドウ由来の赤ワインまたは果皮接触で得る。</x:v>
      </x:c>
      <x:c r="O198" s="165" t="str">
        <x:v>誤り。 海水で着色する方法ではない。</x:v>
      </x:c>
      <x:c r="P198" s="165" t="str">
        <x:v>誤り。 澱熟成は自己分解香と質感を与えるが、ピンク色の主因ではない。</x:v>
      </x:c>
      <x:c r="Q198" s="165" t="str">
        <x:v>発泡性ワイン製法・法律</x:v>
      </x:c>
      <x:c r="R198" s="165" t="str">
        <x:v>ロゼ・ブレンド／セニエ</x:v>
      </x:c>
      <x:c r="S198" s="165" t="str">
        <x:v>ロゼ発泡性ワイン</x:v>
      </x:c>
      <x:c r="T198" s="165" t="str">
        <x:v>フランス</x:v>
      </x:c>
      <x:c r="U198" s="165" t="str">
        <x:v>シャンパーニュ</x:v>
      </x:c>
      <x:c r="V198" s="165" t="str">
        <x:v>シャルドネ、ピノ・ノワール、ムーニエ</x:v>
      </x:c>
      <x:c r="W198" s="165" t="str">
        <x:v>知識確認</x:v>
      </x:c>
      <x:c r="X198" s="171" t="str">
        <x:v>D2</x:v>
      </x:c>
      <x:c r="Y198" s="165" t="str">
        <x:v>人工着色・海水・澱で着色</x:v>
      </x:c>
      <x:c r="Z198" s="171" t="str">
        <x:v>Y</x:v>
      </x:c>
      <x:c r="AA198" s="165" t="str">
        <x:v>ロゼ・シャンパーニュの許容製法に関する表現を最新規定と教材で最終照合推奨</x:v>
      </x:c>
      <x:c r="AB198" s="165" t="str">
        <x:v>オリジナル</x:v>
      </x:c>
      <x:c r="AC198" s="165" t="str">
        <x:v>公式Specificationの範囲＋ユーザー作成コーパスの論点と問題設計例を参考に独自作成</x:v>
      </x:c>
      <x:c r="AD198" s="171" t="str">
        <x:v>未レビュー</x:v>
      </x:c>
      <x:c r="AE198" s="171"/>
      <x:c r="AF198" s="171"/>
      <x:c r="AG198" s="166"/>
    </x:row>
    <x:row r="199" ht="84" customHeight="1">
      <x:c r="A199" s="164" t="str">
        <x:v>LO3-038</x:v>
      </x:c>
      <x:c r="B199" s="171" t="str">
        <x:v>LO3</x:v>
      </x:c>
      <x:c r="C199" s="165" t="str">
        <x:v>世界の主要な発泡性ワイン</x:v>
      </x:c>
      <x:c r="D199" s="165" t="str">
        <x:v>ブラン・ドゥ・ノワール</x:v>
      </x:c>
      <x:c r="E199" s="165" t="str">
        <x:v>ブラン・ドゥ・ノワールが黒ブドウから白く造れる主な理由はどれか。</x:v>
      </x:c>
      <x:c r="F199" s="165" t="str">
        <x:v>黒ブドウの色素を発酵で糖へ変えるため</x:v>
      </x:c>
      <x:c r="G199" s="165" t="str">
        <x:v>果肉と果汁は通常ほぼ無色で、穏やかに圧搾して果皮との接触を抑えるため</x:v>
      </x:c>
      <x:c r="H199" s="165" t="str">
        <x:v>完成した赤ワインを水で薄めるため</x:v>
      </x:c>
      <x:c r="I199" s="165" t="str">
        <x:v>長い果皮浸漬で色をすべて沈殿させるため</x:v>
      </x:c>
      <x:c r="J199" s="171" t="str">
        <x:v>B</x:v>
      </x:c>
      <x:c r="K199" s="165" t="str">
        <x:v>果肉と果汁は通常ほぼ無色で、穏やかに圧搾して果皮との接触を抑えるため</x:v>
      </x:c>
      <x:c r="L199" s="165" t="str">
        <x:v>ピノ・ノワールやムーニエの色素は果皮にあるため、果皮からの抽出を避ければ淡色の果汁を得られる。</x:v>
      </x:c>
      <x:c r="M199" s="165" t="str">
        <x:v>誤り。 色素は発酵で糖へ変わらない。</x:v>
      </x:c>
      <x:c r="N199" s="165" t="str">
        <x:v>正しい。 ピノ・ノワールやムーニエの色素は果皮にあるため、果皮からの抽出を避ければ淡色の果汁を得られる。</x:v>
      </x:c>
      <x:c r="O199" s="165" t="str">
        <x:v>誤り。 希釈ではなく、圧搾時の抽出管理で白い果汁を得る。</x:v>
      </x:c>
      <x:c r="P199" s="165" t="str">
        <x:v>誤り。 長い果皮接触は色を増やす方向に働く。</x:v>
      </x:c>
      <x:c r="Q199" s="165" t="str">
        <x:v>発泡性ワイン製法</x:v>
      </x:c>
      <x:c r="R199" s="165" t="str">
        <x:v>黒ブドウ・圧搾</x:v>
      </x:c>
      <x:c r="S199" s="165" t="str">
        <x:v>白発泡性ワイン</x:v>
      </x:c>
      <x:c r="T199" s="165" t="str">
        <x:v>フランス</x:v>
      </x:c>
      <x:c r="U199" s="165" t="str">
        <x:v>シャンパーニュ</x:v>
      </x:c>
      <x:c r="V199" s="165" t="str">
        <x:v>ピノ・ノワール、ムーニエ</x:v>
      </x:c>
      <x:c r="W199" s="165" t="str">
        <x:v>因果説明</x:v>
      </x:c>
      <x:c r="X199" s="171" t="str">
        <x:v>D1</x:v>
      </x:c>
      <x:c r="Y199" s="165" t="str">
        <x:v>色素が糖化; 希釈; 長期浸漬で脱色</x:v>
      </x:c>
      <x:c r="Z199" s="171" t="str">
        <x:v>N</x:v>
      </x:c>
      <x:c r="AA199" s="165"/>
      <x:c r="AB199" s="165" t="str">
        <x:v>オリジナル</x:v>
      </x:c>
      <x:c r="AC199" s="165" t="str">
        <x:v>公式Specificationの範囲＋ユーザー作成コーパスの論点と問題設計例を参考に独自作成</x:v>
      </x:c>
      <x:c r="AD199" s="171" t="str">
        <x:v>未レビュー</x:v>
      </x:c>
      <x:c r="AE199" s="171"/>
      <x:c r="AF199" s="171"/>
      <x:c r="AG199" s="166"/>
    </x:row>
    <x:row r="200" ht="84" customHeight="1">
      <x:c r="A200" s="164" t="str">
        <x:v>LO3-039</x:v>
      </x:c>
      <x:c r="B200" s="171" t="str">
        <x:v>LO3</x:v>
      </x:c>
      <x:c r="C200" s="165" t="str">
        <x:v>世界の主要な発泡性ワイン</x:v>
      </x:c>
      <x:c r="D200" s="165" t="str">
        <x:v>モンターニュ・ド・ランス</x:v>
      </x:c>
      <x:c r="E200" s="165" t="str">
        <x:v>モンターニュ・ド・ランスでピノ・ノワールが重要となる主な理由はどれか。</x:v>
      </x:c>
      <x:c r="F200" s="165" t="str">
        <x:v>熱帯の平地で、ピノ・ノワールを過熟させる</x:v>
      </x:c>
      <x:c r="G200" s="165" t="str">
        <x:v>ピノ・ノワールを酒精強化し、甘味を残す</x:v>
      </x:c>
      <x:c r="H200" s="165" t="str">
        <x:v>日照を受ける斜面と白亜質土壌が、黒ブドウの成熟と酸の保持を支える</x:v>
      </x:c>
      <x:c r="I200" s="165" t="str">
        <x:v>フロールの下で酸化を防ぐ</x:v>
      </x:c>
      <x:c r="J200" s="171" t="str">
        <x:v>C</x:v>
      </x:c>
      <x:c r="K200" s="165" t="str">
        <x:v>日照を受ける斜面と白亜質土壌が、黒ブドウの成熟と酸の保持を支える</x:v>
      </x:c>
      <x:c r="L200" s="165" t="str">
        <x:v>斜面の向きと排水性のある白亜質土壌により、冷涼なシャンパーニュでもピノ・ノワールが成熟し、ブレンドへボディと構造を与える。</x:v>
      </x:c>
      <x:c r="M200" s="165" t="str">
        <x:v>誤り。 シャンパーニュは冷涼で、熱帯平地ではない。</x:v>
      </x:c>
      <x:c r="N200" s="165" t="str">
        <x:v>誤り。 シャンパーニュでは通常酒精強化しない。</x:v>
      </x:c>
      <x:c r="O200" s="165" t="str">
        <x:v>正しい。 斜面の向きと排水性のある白亜質土壌により、冷涼なシャンパーニュでもピノ・ノワールが成熟し、ブレンドへボディと構造を与える。</x:v>
      </x:c>
      <x:c r="P200" s="165" t="str">
        <x:v>誤り。 フロール熟成はシェリーの工程である。</x:v>
      </x:c>
      <x:c r="Q200" s="165" t="str">
        <x:v>自然要因・産地</x:v>
      </x:c>
      <x:c r="R200" s="165" t="str">
        <x:v>斜面・品種適性</x:v>
      </x:c>
      <x:c r="S200" s="165" t="str">
        <x:v>発泡性ワイン</x:v>
      </x:c>
      <x:c r="T200" s="165" t="str">
        <x:v>フランス</x:v>
      </x:c>
      <x:c r="U200" s="165" t="str">
        <x:v>シャンパーニュ／モンターニュ・ド・ランス</x:v>
      </x:c>
      <x:c r="V200" s="165" t="str">
        <x:v>ピノ・ノワール</x:v>
      </x:c>
      <x:c r="W200" s="165" t="str">
        <x:v>因果説明</x:v>
      </x:c>
      <x:c r="X200" s="171" t="str">
        <x:v>D2</x:v>
      </x:c>
      <x:c r="Y200" s="165" t="str">
        <x:v>モンターニュは熱帯; 酒精強化; フロール</x:v>
      </x:c>
      <x:c r="Z200" s="171" t="str">
        <x:v>N</x:v>
      </x:c>
      <x:c r="AA200" s="165"/>
      <x:c r="AB200" s="165" t="str">
        <x:v>オリジナル</x:v>
      </x:c>
      <x:c r="AC200" s="165" t="str">
        <x:v>公式Specificationの範囲＋ユーザー作成コーパスの論点と問題設計例を参考に独自作成</x:v>
      </x:c>
      <x:c r="AD200" s="171" t="str">
        <x:v>未レビュー</x:v>
      </x:c>
      <x:c r="AE200" s="171"/>
      <x:c r="AF200" s="171"/>
      <x:c r="AG200" s="166"/>
    </x:row>
    <x:row r="201" ht="84" customHeight="1">
      <x:c r="A201" s="164" t="str">
        <x:v>LO3-040</x:v>
      </x:c>
      <x:c r="B201" s="171" t="str">
        <x:v>LO3</x:v>
      </x:c>
      <x:c r="C201" s="165" t="str">
        <x:v>世界の主要な発泡性ワイン</x:v>
      </x:c>
      <x:c r="D201" s="165" t="str">
        <x:v>コート・デ・バール</x:v>
      </x:c>
      <x:c r="E201" s="165" t="str">
        <x:v>コート・デ・バールのシャンパーニュでピノ・ノワールが重要な理由として最も適切なものはどれか。</x:v>
      </x:c>
      <x:c r="F201" s="165" t="str">
        <x:v>最北端の極寒地域で、白ブドウだけが育つ</x:v>
      </x:c>
      <x:c r="G201" s="165" t="str">
        <x:v>アスティ方式でマスカットだけを発酵する</x:v>
      </x:c>
      <x:c r="H201" s="165" t="str">
        <x:v>炭酸ガス注入方式しか認められない</x:v>
      </x:c>
      <x:c r="I201" s="165" t="str">
        <x:v>シャンパーニュ南部の比較的温暖な条件で、ピノ・ノワールが十分に成熟しやすい</x:v>
      </x:c>
      <x:c r="J201" s="171" t="str">
        <x:v>D</x:v>
      </x:c>
      <x:c r="K201" s="165" t="str">
        <x:v>シャンパーニュ南部の比較的温暖な条件で、ピノ・ノワールが十分に成熟しやすい</x:v>
      </x:c>
      <x:c r="L201" s="165" t="str">
        <x:v>コート・デ・バールは南に位置し、キンメリジャン系土壌も見られ、ピノ・ノワールから熟した果実味と構造を得やすい。</x:v>
      </x:c>
      <x:c r="M201" s="165" t="str">
        <x:v>誤り。 コート・デ・バールは南部に位置し、ピノ・ノワールが主要である。</x:v>
      </x:c>
      <x:c r="N201" s="165" t="str">
        <x:v>誤り。 これはアスティの品種と方式で、シャンパーニュとは異なる。</x:v>
      </x:c>
      <x:c r="O201" s="165" t="str">
        <x:v>誤り。 シャンパーニュは瓶内二次発酵の伝統的方式で造られる。</x:v>
      </x:c>
      <x:c r="P201" s="165" t="str">
        <x:v>正しい。 コート・デ・バールは南に位置し、キンメリジャン系土壌も見られ、ピノ・ノワールから熟した果実味と構造を得やすい。</x:v>
      </x:c>
      <x:c r="Q201" s="165" t="str">
        <x:v>自然要因・産地</x:v>
      </x:c>
      <x:c r="R201" s="165" t="str">
        <x:v>南部・ピノ・ノワール</x:v>
      </x:c>
      <x:c r="S201" s="165" t="str">
        <x:v>発泡性ワイン</x:v>
      </x:c>
      <x:c r="T201" s="165" t="str">
        <x:v>フランス</x:v>
      </x:c>
      <x:c r="U201" s="165" t="str">
        <x:v>シャンパーニュ／コート・デ・バール</x:v>
      </x:c>
      <x:c r="V201" s="165" t="str">
        <x:v>ピノ・ノワール</x:v>
      </x:c>
      <x:c r="W201" s="165" t="str">
        <x:v>因果説明</x:v>
      </x:c>
      <x:c r="X201" s="171" t="str">
        <x:v>D2</x:v>
      </x:c>
      <x:c r="Y201" s="165" t="str">
        <x:v>コートデバールは最北端; アスティ方式; 炭酸注入のみ</x:v>
      </x:c>
      <x:c r="Z201" s="171" t="str">
        <x:v>N</x:v>
      </x:c>
      <x:c r="AA201" s="165"/>
      <x:c r="AB201" s="165" t="str">
        <x:v>オリジナル</x:v>
      </x:c>
      <x:c r="AC201" s="165" t="str">
        <x:v>公式Specificationの範囲＋ユーザー作成コーパスの論点と問題設計例を参考に独自作成</x:v>
      </x:c>
      <x:c r="AD201" s="171" t="str">
        <x:v>未レビュー</x:v>
      </x:c>
      <x:c r="AE201" s="171"/>
      <x:c r="AF201" s="171"/>
      <x:c r="AG201" s="166"/>
    </x:row>
    <x:row r="202" ht="84" customHeight="1">
      <x:c r="A202" s="164" t="str">
        <x:v>LO3-041</x:v>
      </x:c>
      <x:c r="B202" s="171" t="str">
        <x:v>LO3</x:v>
      </x:c>
      <x:c r="C202" s="165" t="str">
        <x:v>世界の主要な発泡性ワイン</x:v>
      </x:c>
      <x:c r="D202" s="165" t="str">
        <x:v>シャンパーニュの冷涼気候</x:v>
      </x:c>
      <x:c r="E202" s="165" t="str">
        <x:v>シャンパーニュの冷涼な気候が発泡性ワインのベースに有利な点はどれか。</x:v>
      </x:c>
      <x:c r="F202" s="165" t="str">
        <x:v>ブドウが高い酸と低めの糖度を保ち、繊細な香りのベースワインになる</x:v>
      </x:c>
      <x:c r="G202" s="165" t="str">
        <x:v>糖度が極端に高くなり、二次発酵前から高アルコールになる</x:v>
      </x:c>
      <x:c r="H202" s="165" t="str">
        <x:v>酸が完全に失われ、ドザージュが不要になる</x:v>
      </x:c>
      <x:c r="I202" s="165" t="str">
        <x:v>ブドウが自然に酒精強化される</x:v>
      </x:c>
      <x:c r="J202" s="171" t="str">
        <x:v>A</x:v>
      </x:c>
      <x:c r="K202" s="165" t="str">
        <x:v>ブドウが高い酸と低めの糖度を保ち、繊細な香りのベースワインになる</x:v>
      </x:c>
      <x:c r="L202" s="165" t="str">
        <x:v>冷涼条件では成熟がゆっくりで、酸が高くアルコールが低いベースワインを得やすく、二次発酵と熟成後もフレッシュさを保てる。</x:v>
      </x:c>
      <x:c r="M202" s="165" t="str">
        <x:v>正しい。 冷涼条件では成熟がゆっくりで、酸が高くアルコールが低いベースワインを得やすく、二次発酵と熟成後もフレッシュさを保てる。</x:v>
      </x:c>
      <x:c r="N202" s="165" t="str">
        <x:v>誤り。 冷涼気候では糖の蓄積が緩やかで、ベースワインは低アルコールになりやすい。</x:v>
      </x:c>
      <x:c r="O202" s="165" t="str">
        <x:v>誤り。 シャンパーニュの重要な特徴は高い酸である。</x:v>
      </x:c>
      <x:c r="P202" s="165" t="str">
        <x:v>誤り。 酒精強化は蒸留酒の添加で、気候により自然に起こらない。</x:v>
      </x:c>
      <x:c r="Q202" s="165" t="str">
        <x:v>自然要因・産地</x:v>
      </x:c>
      <x:c r="R202" s="165" t="str">
        <x:v>冷涼気候・ベースワイン</x:v>
      </x:c>
      <x:c r="S202" s="165" t="str">
        <x:v>発泡性ワイン</x:v>
      </x:c>
      <x:c r="T202" s="165" t="str">
        <x:v>フランス</x:v>
      </x:c>
      <x:c r="U202" s="165" t="str">
        <x:v>シャンパーニュ</x:v>
      </x:c>
      <x:c r="V202" s="165" t="str">
        <x:v>シャルドネ、ピノ・ノワール、ムーニエ</x:v>
      </x:c>
      <x:c r="W202" s="165" t="str">
        <x:v>因果説明</x:v>
      </x:c>
      <x:c r="X202" s="171" t="str">
        <x:v>D1</x:v>
      </x:c>
      <x:c r="Y202" s="165" t="str">
        <x:v>冷涼気候で高糖低酸; 自然酒精強化</x:v>
      </x:c>
      <x:c r="Z202" s="171" t="str">
        <x:v>N</x:v>
      </x:c>
      <x:c r="AA202" s="165"/>
      <x:c r="AB202" s="165" t="str">
        <x:v>オリジナル</x:v>
      </x:c>
      <x:c r="AC202" s="165" t="str">
        <x:v>公式Specificationの範囲＋ユーザー作成コーパスの論点と問題設計例を参考に独自作成</x:v>
      </x:c>
      <x:c r="AD202" s="171" t="str">
        <x:v>未レビュー</x:v>
      </x:c>
      <x:c r="AE202" s="171"/>
      <x:c r="AF202" s="171"/>
      <x:c r="AG202" s="166"/>
    </x:row>
    <x:row r="203" ht="84" customHeight="1">
      <x:c r="A203" s="164" t="str">
        <x:v>LO3-042</x:v>
      </x:c>
      <x:c r="B203" s="171" t="str">
        <x:v>LO3</x:v>
      </x:c>
      <x:c r="C203" s="165" t="str">
        <x:v>世界の主要な発泡性ワイン</x:v>
      </x:c>
      <x:c r="D203" s="165" t="str">
        <x:v>リザーヴワインとヴィンテージ差</x:v>
      </x:c>
      <x:c r="E203" s="165" t="str">
        <x:v>ノン・ヴィンテージ・シャンパーニュで複数年のリザーヴワインを用いることが、ヴィンテージ差への対策となる理由はどれか。</x:v>
      </x:c>
      <x:c r="F203" s="165" t="str">
        <x:v>すべての年の天候を物理的に同じにする</x:v>
      </x:c>
      <x:c r="G203" s="165" t="str">
        <x:v>不足する酸、果実味、熟成香を他年のワインで補い、ハウス・スタイルを維持できる</x:v>
      </x:c>
      <x:c r="H203" s="165" t="str">
        <x:v>二次発酵を行わずに泡を作る</x:v>
      </x:c>
      <x:c r="I203" s="165" t="str">
        <x:v>ブドウ品種を一つへ遺伝的に統一する</x:v>
      </x:c>
      <x:c r="J203" s="171" t="str">
        <x:v>B</x:v>
      </x:c>
      <x:c r="K203" s="165" t="str">
        <x:v>不足する酸、果実味、熟成香を他年のワインで補い、ハウス・スタイルを維持できる</x:v>
      </x:c>
      <x:c r="L203" s="165" t="str">
        <x:v>冷涼地域では年ごとの成熟度が変わるため、複数年をブレンドすることで品質と味わいの変動を平準化できる。</x:v>
      </x:c>
      <x:c r="M203" s="165" t="str">
        <x:v>誤り。 ブレンドはワインの構成を調整するが、過去の天候を変えない。</x:v>
      </x:c>
      <x:c r="N203" s="165" t="str">
        <x:v>正しい。 冷涼地域では年ごとの成熟度が変わるため、複数年をブレンドすることで品質と味わいの変動を平準化できる。</x:v>
      </x:c>
      <x:c r="O203" s="165" t="str">
        <x:v>誤り。 ノン・ヴィンテージでも伝統的方式の二次発酵を行う。</x:v>
      </x:c>
      <x:c r="P203" s="165" t="str">
        <x:v>誤り。 ブレンドしても品種の遺伝的性質は変わらない。</x:v>
      </x:c>
      <x:c r="Q203" s="165" t="str">
        <x:v>ブレンド・商業</x:v>
      </x:c>
      <x:c r="R203" s="165" t="str">
        <x:v>ヴィンテージ差・一貫性</x:v>
      </x:c>
      <x:c r="S203" s="165" t="str">
        <x:v>発泡性ワイン</x:v>
      </x:c>
      <x:c r="T203" s="165" t="str">
        <x:v>フランス</x:v>
      </x:c>
      <x:c r="U203" s="165" t="str">
        <x:v>シャンパーニュ</x:v>
      </x:c>
      <x:c r="V203" s="165"/>
      <x:c r="W203" s="165" t="str">
        <x:v>統合判断</x:v>
      </x:c>
      <x:c r="X203" s="171" t="str">
        <x:v>D3</x:v>
      </x:c>
      <x:c r="Y203" s="165" t="str">
        <x:v>ブレンドが天候を変更; 二次発酵不要; 品種遺伝統一</x:v>
      </x:c>
      <x:c r="Z203" s="171" t="str">
        <x:v>N</x:v>
      </x:c>
      <x:c r="AA203" s="165"/>
      <x:c r="AB203" s="165" t="str">
        <x:v>オリジナル</x:v>
      </x:c>
      <x:c r="AC203" s="165" t="str">
        <x:v>公式Specificationの範囲＋ユーザー作成コーパスの論点と問題設計例を参考に独自作成</x:v>
      </x:c>
      <x:c r="AD203" s="171" t="str">
        <x:v>未レビュー</x:v>
      </x:c>
      <x:c r="AE203" s="171"/>
      <x:c r="AF203" s="171"/>
      <x:c r="AG203" s="166"/>
    </x:row>
    <x:row r="204" ht="84" customHeight="1">
      <x:c r="A204" s="164" t="str">
        <x:v>LO3-043</x:v>
      </x:c>
      <x:c r="B204" s="171" t="str">
        <x:v>LO3</x:v>
      </x:c>
      <x:c r="C204" s="165" t="str">
        <x:v>世界の主要な発泡性ワイン</x:v>
      </x:c>
      <x:c r="D204" s="165" t="str">
        <x:v>カバの高標高畑</x:v>
      </x:c>
      <x:c r="E204" s="165" t="str">
        <x:v>温暖なスペインで、カバ用ブドウを高標高の畑から得る利点はどれか。</x:v>
      </x:c>
      <x:c r="F204" s="165" t="str">
        <x:v>標高が高いほど夜も必ず高温になり、酸が減る</x:v>
      </x:c>
      <x:c r="G204" s="165" t="str">
        <x:v>海水が畑へ入り、二酸化炭素を供給する</x:v>
      </x:c>
      <x:c r="H204" s="165" t="str">
        <x:v>低い気温と涼しい夜により、ベースワインに必要な酸を保持しやすい</x:v>
      </x:c>
      <x:c r="I204" s="165" t="str">
        <x:v>ブドウが自然に乾燥し、甘口酒精強化ワインになる</x:v>
      </x:c>
      <x:c r="J204" s="171" t="str">
        <x:v>C</x:v>
      </x:c>
      <x:c r="K204" s="165" t="str">
        <x:v>低い気温と涼しい夜により、ベースワインに必要な酸を保持しやすい</x:v>
      </x:c>
      <x:c r="L204" s="165" t="str">
        <x:v>標高が上がると気温が低下し、成熟が緩やかになるため、温暖地域でも高い酸と適度な糖度のブドウを収穫できる。</x:v>
      </x:c>
      <x:c r="M204" s="165" t="str">
        <x:v>誤り。 一般に標高が高いほど夜間は冷涼で、酸を保持しやすい。</x:v>
      </x:c>
      <x:c r="N204" s="165" t="str">
        <x:v>誤り。 高標高の利点は気温で、海水や炭酸ガス供給ではない。</x:v>
      </x:c>
      <x:c r="O204" s="165" t="str">
        <x:v>正しい。 標高が上がると気温が低下し、成熟が緩やかになるため、温暖地域でも高い酸と適度な糖度のブドウを収穫できる。</x:v>
      </x:c>
      <x:c r="P204" s="165" t="str">
        <x:v>誤り。 カバは発泡性ワインで、乾燥・酒精強化が標準ではない。</x:v>
      </x:c>
      <x:c r="Q204" s="165" t="str">
        <x:v>自然要因・産地</x:v>
      </x:c>
      <x:c r="R204" s="165" t="str">
        <x:v>標高・酸</x:v>
      </x:c>
      <x:c r="S204" s="165" t="str">
        <x:v>発泡性ワイン</x:v>
      </x:c>
      <x:c r="T204" s="165" t="str">
        <x:v>スペイン</x:v>
      </x:c>
      <x:c r="U204" s="165" t="str">
        <x:v>カバ</x:v>
      </x:c>
      <x:c r="V204" s="165" t="str">
        <x:v>マカベオ、チャレッロ、パレリャーダ</x:v>
      </x:c>
      <x:c r="W204" s="165" t="str">
        <x:v>因果説明</x:v>
      </x:c>
      <x:c r="X204" s="171" t="str">
        <x:v>D2</x:v>
      </x:c>
      <x:c r="Y204" s="165" t="str">
        <x:v>高標高で夜高温; 海水CO2; 乾燥酒精強化</x:v>
      </x:c>
      <x:c r="Z204" s="171" t="str">
        <x:v>N</x:v>
      </x:c>
      <x:c r="AA204" s="165"/>
      <x:c r="AB204" s="165" t="str">
        <x:v>オリジナル</x:v>
      </x:c>
      <x:c r="AC204" s="165" t="str">
        <x:v>公式Specificationの範囲＋ユーザー作成コーパスの論点と問題設計例を参考に独自作成</x:v>
      </x:c>
      <x:c r="AD204" s="171" t="str">
        <x:v>未レビュー</x:v>
      </x:c>
      <x:c r="AE204" s="171"/>
      <x:c r="AF204" s="171"/>
      <x:c r="AG204" s="166"/>
    </x:row>
    <x:row r="205" ht="84" customHeight="1">
      <x:c r="A205" s="164" t="str">
        <x:v>LO3-044</x:v>
      </x:c>
      <x:c r="B205" s="171" t="str">
        <x:v>LO3</x:v>
      </x:c>
      <x:c r="C205" s="165" t="str">
        <x:v>世界の主要な発泡性ワイン</x:v>
      </x:c>
      <x:c r="D205" s="165" t="str">
        <x:v>チャレッロ</x:v>
      </x:c>
      <x:c r="E205" s="165" t="str">
        <x:v>カバのブレンドでチャレッロが貢献しやすい特徴はどれか。</x:v>
      </x:c>
      <x:c r="F205" s="165" t="str">
        <x:v>非常に低い酸と強いマスカット香だけを与える</x:v>
      </x:c>
      <x:c r="G205" s="165" t="str">
        <x:v>黒い色と高いタンニンを与える黒ブドウである</x:v>
      </x:c>
      <x:c r="H205" s="165" t="str">
        <x:v>フロールを形成し、酒精強化ワインにする</x:v>
      </x:c>
      <x:c r="I205" s="165" t="str">
        <x:v>酸、ボディ、構造を与え、熟成に耐える骨格を作る</x:v>
      </x:c>
      <x:c r="J205" s="171" t="str">
        <x:v>D</x:v>
      </x:c>
      <x:c r="K205" s="165" t="str">
        <x:v>酸、ボディ、構造を与え、熟成に耐える骨格を作る</x:v>
      </x:c>
      <x:c r="L205" s="165" t="str">
        <x:v>チャレッロは酸と比較的しっかりした構造を持ち、マカベオの果実味やパレリャーダの繊細さを補う。</x:v>
      </x:c>
      <x:c r="M205" s="165" t="str">
        <x:v>誤り。 強いマスカット香はマスカット系品種に関連し、チャレッロの主要な役割ではない。</x:v>
      </x:c>
      <x:c r="N205" s="165" t="str">
        <x:v>誤り。 チャレッロは白ブドウである。</x:v>
      </x:c>
      <x:c r="O205" s="165" t="str">
        <x:v>誤り。 カバのブレンド品種で、フロール熟成や酒精強化を目的としない。</x:v>
      </x:c>
      <x:c r="P205" s="165" t="str">
        <x:v>正しい。 チャレッロは酸と比較的しっかりした構造を持ち、マカベオの果実味やパレリャーダの繊細さを補う。</x:v>
      </x:c>
      <x:c r="Q205" s="165" t="str">
        <x:v>品種・産地</x:v>
      </x:c>
      <x:c r="R205" s="165" t="str">
        <x:v>カバ・品種役割</x:v>
      </x:c>
      <x:c r="S205" s="165" t="str">
        <x:v>発泡性ワイン</x:v>
      </x:c>
      <x:c r="T205" s="165" t="str">
        <x:v>スペイン</x:v>
      </x:c>
      <x:c r="U205" s="165" t="str">
        <x:v>カバ</x:v>
      </x:c>
      <x:c r="V205" s="165" t="str">
        <x:v>チャレッロ</x:v>
      </x:c>
      <x:c r="W205" s="165" t="str">
        <x:v>知識確認</x:v>
      </x:c>
      <x:c r="X205" s="171" t="str">
        <x:v>D2</x:v>
      </x:c>
      <x:c r="Y205" s="165" t="str">
        <x:v>チャレッロはマスカット・黒品種・フロール</x:v>
      </x:c>
      <x:c r="Z205" s="171" t="str">
        <x:v>N</x:v>
      </x:c>
      <x:c r="AA205" s="165"/>
      <x:c r="AB205" s="165" t="str">
        <x:v>オリジナル</x:v>
      </x:c>
      <x:c r="AC205" s="165" t="str">
        <x:v>公式Specificationの範囲＋ユーザー作成コーパスの論点と問題設計例を参考に独自作成</x:v>
      </x:c>
      <x:c r="AD205" s="171" t="str">
        <x:v>未レビュー</x:v>
      </x:c>
      <x:c r="AE205" s="171"/>
      <x:c r="AF205" s="171"/>
      <x:c r="AG205" s="166"/>
    </x:row>
    <x:row r="206" ht="84" customHeight="1">
      <x:c r="A206" s="164" t="str">
        <x:v>LO3-045</x:v>
      </x:c>
      <x:c r="B206" s="171" t="str">
        <x:v>LO3</x:v>
      </x:c>
      <x:c r="C206" s="165" t="str">
        <x:v>世界の主要な発泡性ワイン</x:v>
      </x:c>
      <x:c r="D206" s="165" t="str">
        <x:v>グレーラ</x:v>
      </x:c>
      <x:c r="E206" s="165" t="str">
        <x:v>プロセッコの主要品種グレーラに典型的な香りはどれか。</x:v>
      </x:c>
      <x:c r="F206" s="165" t="str">
        <x:v>洋梨、青リンゴ、白い花を思わせる繊細な香り</x:v>
      </x:c>
      <x:c r="G206" s="165" t="str">
        <x:v>黒コショウ、燻製肉、濃い黒果実だけ</x:v>
      </x:c>
      <x:c r="H206" s="165" t="str">
        <x:v>クルミ、ランシオ、強い酸化香だけ</x:v>
      </x:c>
      <x:c r="I206" s="165" t="str">
        <x:v>湿った段ボールとカビの香り</x:v>
      </x:c>
      <x:c r="J206" s="171" t="str">
        <x:v>A</x:v>
      </x:c>
      <x:c r="K206" s="165" t="str">
        <x:v>洋梨、青リンゴ、白い花を思わせる繊細な香り</x:v>
      </x:c>
      <x:c r="L206" s="165" t="str">
        <x:v>グレーラは比較的軽いボディと高めの酸を持ち、洋梨、リンゴ、メロン、花などのフレッシュな香りを示す。</x:v>
      </x:c>
      <x:c r="M206" s="165" t="str">
        <x:v>正しい。 グレーラは比較的軽いボディと高めの酸を持ち、洋梨、リンゴ、メロン、花などのフレッシュな香りを示す。</x:v>
      </x:c>
      <x:c r="N206" s="165" t="str">
        <x:v>誤り。 これはシラーなど黒ブドウの赤ワインに関連する。</x:v>
      </x:c>
      <x:c r="O206" s="165" t="str">
        <x:v>誤り。 長期酸化熟成の酒精強化ワインに近い特徴で、若いプロセッコの典型ではない。</x:v>
      </x:c>
      <x:c r="P206" s="165" t="str">
        <x:v>誤り。 これはコルク汚染を示す可能性があり、望ましい品種香ではない。</x:v>
      </x:c>
      <x:c r="Q206" s="165" t="str">
        <x:v>品種・産地</x:v>
      </x:c>
      <x:c r="R206" s="165" t="str">
        <x:v>グレーラ・香り</x:v>
      </x:c>
      <x:c r="S206" s="165" t="str">
        <x:v>発泡性ワイン</x:v>
      </x:c>
      <x:c r="T206" s="165" t="str">
        <x:v>イタリア</x:v>
      </x:c>
      <x:c r="U206" s="165" t="str">
        <x:v>プロセッコ</x:v>
      </x:c>
      <x:c r="V206" s="165" t="str">
        <x:v>グレーラ</x:v>
      </x:c>
      <x:c r="W206" s="165" t="str">
        <x:v>知識確認</x:v>
      </x:c>
      <x:c r="X206" s="171" t="str">
        <x:v>D1</x:v>
      </x:c>
      <x:c r="Y206" s="165" t="str">
        <x:v>グレーラはシラー・酸化酒・コルク汚染</x:v>
      </x:c>
      <x:c r="Z206" s="171" t="str">
        <x:v>N</x:v>
      </x:c>
      <x:c r="AA206" s="165"/>
      <x:c r="AB206" s="165" t="str">
        <x:v>オリジナル</x:v>
      </x:c>
      <x:c r="AC206" s="165" t="str">
        <x:v>公式Specificationの範囲＋ユーザー作成コーパスの論点と問題設計例を参考に独自作成</x:v>
      </x:c>
      <x:c r="AD206" s="171" t="str">
        <x:v>未レビュー</x:v>
      </x:c>
      <x:c r="AE206" s="171"/>
      <x:c r="AF206" s="171"/>
      <x:c r="AG206" s="166"/>
    </x:row>
    <x:row r="207" ht="84" customHeight="1">
      <x:c r="A207" s="164" t="str">
        <x:v>LO3-046</x:v>
      </x:c>
      <x:c r="B207" s="171" t="str">
        <x:v>LO3</x:v>
      </x:c>
      <x:c r="C207" s="165" t="str">
        <x:v>世界の主要な発泡性ワイン</x:v>
      </x:c>
      <x:c r="D207" s="165" t="str">
        <x:v>プロセッコの迅速な瓶詰め</x:v>
      </x:c>
      <x:c r="E207" s="165" t="str">
        <x:v>プロセッコを二次発酵後に比較的早く濾過・瓶詰めする主な理由はどれか。</x:v>
      </x:c>
      <x:c r="F207" s="165" t="str">
        <x:v>長期間の自己分解香を最大化する</x:v>
      </x:c>
      <x:c r="G207" s="165" t="str">
        <x:v>グレーラのフレッシュな果実香と花の香りを保持する</x:v>
      </x:c>
      <x:c r="H207" s="165" t="str">
        <x:v>タンニンを強く抽出し、長期熟成赤ワインにする</x:v>
      </x:c>
      <x:c r="I207" s="165" t="str">
        <x:v>フロールを成長させ、酸化を防ぐ</x:v>
      </x:c>
      <x:c r="J207" s="171" t="str">
        <x:v>B</x:v>
      </x:c>
      <x:c r="K207" s="165" t="str">
        <x:v>グレーラのフレッシュな果実香と花の香りを保持する</x:v>
      </x:c>
      <x:c r="L207" s="165" t="str">
        <x:v>長い澱熟成や酸化を避け、タンク方式で得た若々しい芳香性を市場へ届けることがプロセッコのスタイルに合う。</x:v>
      </x:c>
      <x:c r="M207" s="165" t="str">
        <x:v>誤り。 長い自己分解香より、一次的な果実香を重視する。</x:v>
      </x:c>
      <x:c r="N207" s="165" t="str">
        <x:v>正しい。 長い澱熟成や酸化を避け、タンク方式で得た若々しい芳香性を市場へ届けることがプロセッコのスタイルに合う。</x:v>
      </x:c>
      <x:c r="O207" s="165" t="str">
        <x:v>誤り。 グレーラの白発泡性ワインで、タンニン抽出が目的ではない。</x:v>
      </x:c>
      <x:c r="P207" s="165" t="str">
        <x:v>誤り。 プロセッコの標準的な製法にフロールは用いない。</x:v>
      </x:c>
      <x:c r="Q207" s="165" t="str">
        <x:v>発泡性ワイン製法・産地</x:v>
      </x:c>
      <x:c r="R207" s="165" t="str">
        <x:v>タンク方式・早期瓶詰め</x:v>
      </x:c>
      <x:c r="S207" s="165" t="str">
        <x:v>発泡性ワイン</x:v>
      </x:c>
      <x:c r="T207" s="165" t="str">
        <x:v>イタリア</x:v>
      </x:c>
      <x:c r="U207" s="165" t="str">
        <x:v>プロセッコ</x:v>
      </x:c>
      <x:c r="V207" s="165" t="str">
        <x:v>グレーラ</x:v>
      </x:c>
      <x:c r="W207" s="165" t="str">
        <x:v>因果説明</x:v>
      </x:c>
      <x:c r="X207" s="171" t="str">
        <x:v>D2</x:v>
      </x:c>
      <x:c r="Y207" s="165" t="str">
        <x:v>プロセッコは長期自己分解・高タンニン・フロール</x:v>
      </x:c>
      <x:c r="Z207" s="171" t="str">
        <x:v>N</x:v>
      </x:c>
      <x:c r="AA207" s="165"/>
      <x:c r="AB207" s="165" t="str">
        <x:v>オリジナル</x:v>
      </x:c>
      <x:c r="AC207" s="165" t="str">
        <x:v>公式Specificationの範囲＋ユーザー作成コーパスの論点と問題設計例を参考に独自作成</x:v>
      </x:c>
      <x:c r="AD207" s="171" t="str">
        <x:v>未レビュー</x:v>
      </x:c>
      <x:c r="AE207" s="171"/>
      <x:c r="AF207" s="171"/>
      <x:c r="AG207" s="166"/>
    </x:row>
    <x:row r="208" ht="84" customHeight="1">
      <x:c r="A208" s="164" t="str">
        <x:v>LO3-047</x:v>
      </x:c>
      <x:c r="B208" s="171" t="str">
        <x:v>LO3</x:v>
      </x:c>
      <x:c r="C208" s="165" t="str">
        <x:v>世界の主要な発泡性ワイン</x:v>
      </x:c>
      <x:c r="D208" s="165" t="str">
        <x:v>アスティの果汁保存</x:v>
      </x:c>
      <x:c r="E208" s="165" t="str">
        <x:v>アスティの生産で、未発酵のマスカット果汁を冷却保存する利点はどれか。</x:v>
      </x:c>
      <x:c r="F208" s="165" t="str">
        <x:v>果汁を酸化させ、クルミ香を最大化する</x:v>
      </x:c>
      <x:c r="G208" s="165" t="str">
        <x:v>果汁を凍結乾燥し、タンニンを増やす</x:v>
      </x:c>
      <x:c r="H208" s="165" t="str">
        <x:v>需要に応じて年間を通じて発酵し、フレッシュなブドウと花の香りを保てる</x:v>
      </x:c>
      <x:c r="I208" s="165" t="str">
        <x:v>フロールを一年中育てる</x:v>
      </x:c>
      <x:c r="J208" s="171" t="str">
        <x:v>C</x:v>
      </x:c>
      <x:c r="K208" s="165" t="str">
        <x:v>需要に応じて年間を通じて発酵し、フレッシュなブドウと花の香りを保てる</x:v>
      </x:c>
      <x:c r="L208" s="165" t="str">
        <x:v>果汁を低温で保存して発酵を抑え、必要な時に密閉タンクで発酵を開始することで、若々しい芳香性を保った商品を供給できる。</x:v>
      </x:c>
      <x:c r="M208" s="165" t="str">
        <x:v>誤り。 アスティはフレッシュなマスカット香を重視し、酸化香が目的ではない。</x:v>
      </x:c>
      <x:c r="N208" s="165" t="str">
        <x:v>誤り。 マスカット果汁の冷却保存は凍結乾燥やタンニン抽出ではない。</x:v>
      </x:c>
      <x:c r="O208" s="165" t="str">
        <x:v>正しい。 果汁を低温で保存して発酵を抑え、必要な時に密閉タンクで発酵を開始することで、若々しい芳香性を保った商品を供給できる。</x:v>
      </x:c>
      <x:c r="P208" s="165" t="str">
        <x:v>誤り。 アスティ方式にフロール熟成は用いない。</x:v>
      </x:c>
      <x:c r="Q208" s="165" t="str">
        <x:v>発泡性ワイン製法・産地</x:v>
      </x:c>
      <x:c r="R208" s="165" t="str">
        <x:v>アスティ方式・果汁保存</x:v>
      </x:c>
      <x:c r="S208" s="165" t="str">
        <x:v>甘口発泡性ワイン</x:v>
      </x:c>
      <x:c r="T208" s="165" t="str">
        <x:v>イタリア</x:v>
      </x:c>
      <x:c r="U208" s="165" t="str">
        <x:v>アスティ</x:v>
      </x:c>
      <x:c r="V208" s="165" t="str">
        <x:v>モスカート・ビアンコ</x:v>
      </x:c>
      <x:c r="W208" s="165" t="str">
        <x:v>因果説明</x:v>
      </x:c>
      <x:c r="X208" s="171" t="str">
        <x:v>D2</x:v>
      </x:c>
      <x:c r="Y208" s="165" t="str">
        <x:v>アスティは酸化・乾燥・フロール</x:v>
      </x:c>
      <x:c r="Z208" s="171" t="str">
        <x:v>N</x:v>
      </x:c>
      <x:c r="AA208" s="165"/>
      <x:c r="AB208" s="165" t="str">
        <x:v>オリジナル</x:v>
      </x:c>
      <x:c r="AC208" s="165" t="str">
        <x:v>公式Specificationの範囲＋ユーザー作成コーパスの論点と問題設計例を参考に独自作成</x:v>
      </x:c>
      <x:c r="AD208" s="171" t="str">
        <x:v>未レビュー</x:v>
      </x:c>
      <x:c r="AE208" s="171"/>
      <x:c r="AF208" s="171"/>
      <x:c r="AG208" s="166"/>
    </x:row>
    <x:row r="209" ht="84" customHeight="1">
      <x:c r="A209" s="164" t="str">
        <x:v>LO3-048</x:v>
      </x:c>
      <x:c r="B209" s="171" t="str">
        <x:v>LO3</x:v>
      </x:c>
      <x:c r="C209" s="165" t="str">
        <x:v>世界の主要な発泡性ワイン</x:v>
      </x:c>
      <x:c r="D209" s="165" t="str">
        <x:v>ロワールの発泡性シュナン</x:v>
      </x:c>
      <x:c r="E209" s="165" t="str">
        <x:v>ヴーヴレやソーミュールでシュナン・ブランが発泡性ワインに適する主な理由はどれか。</x:v>
      </x:c>
      <x:c r="F209" s="165" t="str">
        <x:v>酸が非常に低く、必ず高アルコールになる</x:v>
      </x:c>
      <x:c r="G209" s="165" t="str">
        <x:v>黒ブドウで、深い色と高タンニンだけを与える</x:v>
      </x:c>
      <x:c r="H209" s="165" t="str">
        <x:v>フロール熟成と酒精強化が必須である</x:v>
      </x:c>
      <x:c r="I209" s="165" t="str">
        <x:v>高い酸を保ち、リンゴや柑橘の風味と熟成能力を持つ</x:v>
      </x:c>
      <x:c r="J209" s="171" t="str">
        <x:v>D</x:v>
      </x:c>
      <x:c r="K209" s="165" t="str">
        <x:v>高い酸を保ち、リンゴや柑橘の風味と熟成能力を持つ</x:v>
      </x:c>
      <x:c r="L209" s="165" t="str">
        <x:v>シュナン・ブランの高い酸は発泡性ワインのフレッシュさを支え、伝統的方式の澱熟成にも耐え、蜂蜜やトーストの複雑さを発達させ得る。</x:v>
      </x:c>
      <x:c r="M209" s="165" t="str">
        <x:v>誤り。 シュナン・ブランは高い酸が重要な品種である。</x:v>
      </x:c>
      <x:c r="N209" s="165" t="str">
        <x:v>誤り。 シュナン・ブランは白ブドウである。</x:v>
      </x:c>
      <x:c r="O209" s="165" t="str">
        <x:v>誤り。 ロワールの発泡性ワインにフロールと酒精強化は必須ではない。</x:v>
      </x:c>
      <x:c r="P209" s="165" t="str">
        <x:v>正しい。 シュナン・ブランの高い酸は発泡性ワインのフレッシュさを支え、伝統的方式の澱熟成にも耐え、蜂蜜やトーストの複雑さを発達させ得る。</x:v>
      </x:c>
      <x:c r="Q209" s="165" t="str">
        <x:v>品種・産地</x:v>
      </x:c>
      <x:c r="R209" s="165" t="str">
        <x:v>シュナン・ブラン・酸</x:v>
      </x:c>
      <x:c r="S209" s="165" t="str">
        <x:v>発泡性ワイン</x:v>
      </x:c>
      <x:c r="T209" s="165" t="str">
        <x:v>フランス</x:v>
      </x:c>
      <x:c r="U209" s="165" t="str">
        <x:v>ロワール／ヴーヴレ・ソーミュール</x:v>
      </x:c>
      <x:c r="V209" s="165" t="str">
        <x:v>シュナン・ブラン</x:v>
      </x:c>
      <x:c r="W209" s="165" t="str">
        <x:v>因果説明</x:v>
      </x:c>
      <x:c r="X209" s="171" t="str">
        <x:v>D2</x:v>
      </x:c>
      <x:c r="Y209" s="165" t="str">
        <x:v>シュナンは低酸黒品種; フロール酒精強化必須</x:v>
      </x:c>
      <x:c r="Z209" s="171" t="str">
        <x:v>N</x:v>
      </x:c>
      <x:c r="AA209" s="165"/>
      <x:c r="AB209" s="165" t="str">
        <x:v>オリジナル</x:v>
      </x:c>
      <x:c r="AC209" s="165" t="str">
        <x:v>公式Specificationの範囲＋ユーザー作成コーパスの論点と問題設計例を参考に独自作成</x:v>
      </x:c>
      <x:c r="AD209" s="171" t="str">
        <x:v>未レビュー</x:v>
      </x:c>
      <x:c r="AE209" s="171"/>
      <x:c r="AF209" s="171"/>
      <x:c r="AG209" s="166"/>
    </x:row>
    <x:row r="210" ht="84" customHeight="1">
      <x:c r="A210" s="164" t="str">
        <x:v>LO3-049</x:v>
      </x:c>
      <x:c r="B210" s="171" t="str">
        <x:v>LO3</x:v>
      </x:c>
      <x:c r="C210" s="165" t="str">
        <x:v>世界の主要な発泡性ワイン</x:v>
      </x:c>
      <x:c r="D210" s="165" t="str">
        <x:v>ドイチャー・ゼクト</x:v>
      </x:c>
      <x:c r="E210" s="165" t="str">
        <x:v>ドイチャー・ゼクト（Deutscher Sekt）の表示が示すものとして最も適切なものはどれか。</x:v>
      </x:c>
      <x:c r="F210" s="165" t="str">
        <x:v>ベースとなるブドウがドイツ産である発泡性ワイン</x:v>
      </x:c>
      <x:c r="G210" s="165" t="str">
        <x:v>シャンパーニュ地方で造られたドイツ向けワイン</x:v>
      </x:c>
      <x:c r="H210" s="165" t="str">
        <x:v>必ず伝統的方式で10年以上熟成した最高格付け</x:v>
      </x:c>
      <x:c r="I210" s="165" t="str">
        <x:v>発酵途中で酒精強化した甘口ワイン</x:v>
      </x:c>
      <x:c r="J210" s="171" t="str">
        <x:v>A</x:v>
      </x:c>
      <x:c r="K210" s="165" t="str">
        <x:v>ベースとなるブドウがドイツ産である発泡性ワイン</x:v>
      </x:c>
      <x:c r="L210" s="165" t="str">
        <x:v>Deutscher Sektはドイツ産ブドウを用いることを示し、単にドイツで発泡化した輸入ベースワインのSektと区別される。</x:v>
      </x:c>
      <x:c r="M210" s="165" t="str">
        <x:v>正しい。 Deutscher Sektはドイツ産ブドウを用いることを示し、単にドイツで発泡化した輸入ベースワインのSektと区別される。</x:v>
      </x:c>
      <x:c r="N210" s="165" t="str">
        <x:v>誤り。 シャンパーニュはフランスの原産地名称であり、ドイチャー・ゼクトではない。</x:v>
      </x:c>
      <x:c r="O210" s="165" t="str">
        <x:v>誤り。 表示はブドウの原産国に関するもので、方式や品質最高位を自動的に保証しない。</x:v>
      </x:c>
      <x:c r="P210" s="165" t="str">
        <x:v>誤り。 ゼクトは発泡性ワインで、酒精強化ワインの区分ではない。</x:v>
      </x:c>
      <x:c r="Q210" s="165" t="str">
        <x:v>法律面・産地</x:v>
      </x:c>
      <x:c r="R210" s="165" t="str">
        <x:v>ゼクト・原産地表示</x:v>
      </x:c>
      <x:c r="S210" s="165" t="str">
        <x:v>発泡性ワイン</x:v>
      </x:c>
      <x:c r="T210" s="165" t="str">
        <x:v>ドイツ</x:v>
      </x:c>
      <x:c r="U210" s="165" t="str">
        <x:v>ドイツ</x:v>
      </x:c>
      <x:c r="V210" s="165"/>
      <x:c r="W210" s="165" t="str">
        <x:v>知識確認</x:v>
      </x:c>
      <x:c r="X210" s="171" t="str">
        <x:v>D2</x:v>
      </x:c>
      <x:c r="Y210" s="165" t="str">
        <x:v>Deutscher SektはChampagne・最高格付け・酒精強化</x:v>
      </x:c>
      <x:c r="Z210" s="171" t="str">
        <x:v>Y</x:v>
      </x:c>
      <x:c r="AA210" s="165" t="str">
        <x:v>SektおよびDeutscher Sektの現行表示規定を最新教材と照合推奨</x:v>
      </x:c>
      <x:c r="AB210" s="165" t="str">
        <x:v>オリジナル</x:v>
      </x:c>
      <x:c r="AC210" s="165" t="str">
        <x:v>公式Specificationの範囲＋ユーザー作成コーパスの論点と問題設計例を参考に独自作成</x:v>
      </x:c>
      <x:c r="AD210" s="171" t="str">
        <x:v>未レビュー</x:v>
      </x:c>
      <x:c r="AE210" s="171"/>
      <x:c r="AF210" s="171"/>
      <x:c r="AG210" s="166"/>
    </x:row>
    <x:row r="211" ht="84" customHeight="1">
      <x:c r="A211" s="164" t="str">
        <x:v>LO3-050</x:v>
      </x:c>
      <x:c r="B211" s="171" t="str">
        <x:v>LO3</x:v>
      </x:c>
      <x:c r="C211" s="165" t="str">
        <x:v>世界の主要な発泡性ワイン</x:v>
      </x:c>
      <x:c r="D211" s="165" t="str">
        <x:v>キャップ・クラシックの品種</x:v>
      </x:c>
      <x:c r="E211" s="165" t="str">
        <x:v>上質なキャップ・クラシックでシャルドネとピノ・ノワールがよく用いられる理由はどれか。</x:v>
      </x:c>
      <x:c r="F211" s="165" t="str">
        <x:v>両品種が非常に甘く、酒精強化せずに高アルコールになる</x:v>
      </x:c>
      <x:c r="G211" s="165" t="str">
        <x:v>冷涼な地区で高い酸を保ち、伝統的方式の澱熟成に適した構造と繊細さを与える</x:v>
      </x:c>
      <x:c r="H211" s="165" t="str">
        <x:v>両品種がフロールを形成し、シェリー香を作る</x:v>
      </x:c>
      <x:c r="I211" s="165" t="str">
        <x:v>両品種が黒い色を最大限抽出するため</x:v>
      </x:c>
      <x:c r="J211" s="171" t="str">
        <x:v>B</x:v>
      </x:c>
      <x:c r="K211" s="165" t="str">
        <x:v>冷涼な地区で高い酸を保ち、伝統的方式の澱熟成に適した構造と繊細さを与える</x:v>
      </x:c>
      <x:c r="L211" s="165" t="str">
        <x:v>両品種は高品質な伝統的方式発泡性ワインに適し、シャルドネが酸と繊細さ、ピノ・ノワールがボディと果実味を与える。</x:v>
      </x:c>
      <x:c r="M211" s="165" t="str">
        <x:v>誤り。 発泡性用では早めに収穫し、高い酸と低めの糖度を得る。</x:v>
      </x:c>
      <x:c r="N211" s="165" t="str">
        <x:v>正しい。 両品種は高品質な伝統的方式発泡性ワインに適し、シャルドネが酸と繊細さ、ピノ・ノワールがボディと果実味を与える。</x:v>
      </x:c>
      <x:c r="O211" s="165" t="str">
        <x:v>誤り。 フロールは品種ではなく酵母膜で、キャップ・クラシックの製法ではない。</x:v>
      </x:c>
      <x:c r="P211" s="165" t="str">
        <x:v>誤り。 シャルドネは白品種で、発泡性ワインでは色素抽出を抑える。</x:v>
      </x:c>
      <x:c r="Q211" s="165" t="str">
        <x:v>品種・産地</x:v>
      </x:c>
      <x:c r="R211" s="165" t="str">
        <x:v>キャップ・クラシック・品種</x:v>
      </x:c>
      <x:c r="S211" s="165" t="str">
        <x:v>発泡性ワイン</x:v>
      </x:c>
      <x:c r="T211" s="165" t="str">
        <x:v>南アフリカ</x:v>
      </x:c>
      <x:c r="U211" s="165" t="str">
        <x:v>キャップ・クラシック</x:v>
      </x:c>
      <x:c r="V211" s="165" t="str">
        <x:v>シャルドネ、ピノ・ノワール</x:v>
      </x:c>
      <x:c r="W211" s="165" t="str">
        <x:v>統合判断</x:v>
      </x:c>
      <x:c r="X211" s="171" t="str">
        <x:v>D2</x:v>
      </x:c>
      <x:c r="Y211" s="165" t="str">
        <x:v>発泡用は高糖; フロール; 色抽出最大</x:v>
      </x:c>
      <x:c r="Z211" s="171" t="str">
        <x:v>N</x:v>
      </x:c>
      <x:c r="AA211" s="165"/>
      <x:c r="AB211" s="165" t="str">
        <x:v>オリジナル</x:v>
      </x:c>
      <x:c r="AC211" s="165" t="str">
        <x:v>公式Specificationの範囲＋ユーザー作成コーパスの論点と問題設計例を参考に独自作成</x:v>
      </x:c>
      <x:c r="AD211" s="171" t="str">
        <x:v>未レビュー</x:v>
      </x:c>
      <x:c r="AE211" s="171"/>
      <x:c r="AF211" s="171"/>
      <x:c r="AG211" s="166"/>
    </x:row>
    <x:row r="212" ht="84" customHeight="1">
      <x:c r="A212" s="164" t="str">
        <x:v>LO3-051</x:v>
      </x:c>
      <x:c r="B212" s="171" t="str">
        <x:v>LO3</x:v>
      </x:c>
      <x:c r="C212" s="165" t="str">
        <x:v>世界の主要な発泡性ワイン</x:v>
      </x:c>
      <x:c r="D212" s="165" t="str">
        <x:v>タスマニアの発泡性ワイン</x:v>
      </x:c>
      <x:c r="E212" s="165" t="str">
        <x:v>タスマニアがオーストラリアの上質発泡性ワイン産地として評価される主な理由はどれか。</x:v>
      </x:c>
      <x:c r="F212" s="165" t="str">
        <x:v>オーストラリアで最も暑い内陸砂漠だから</x:v>
      </x:c>
      <x:c r="G212" s="165" t="str">
        <x:v>ブドウを自然凍結させ、甘いアイスワインだけを造る</x:v>
      </x:c>
      <x:c r="H212" s="165" t="str">
        <x:v>南方の冷涼な海洋性気候により、シャルドネとピノ・ノワールが酸を保って成熟する</x:v>
      </x:c>
      <x:c r="I212" s="165" t="str">
        <x:v>フロールの下で酒精強化する</x:v>
      </x:c>
      <x:c r="J212" s="171" t="str">
        <x:v>C</x:v>
      </x:c>
      <x:c r="K212" s="165" t="str">
        <x:v>南方の冷涼な海洋性気候により、シャルドネとピノ・ノワールが酸を保って成熟する</x:v>
      </x:c>
      <x:c r="L212" s="165" t="str">
        <x:v>低い気温と長い生育期間が、発泡性ワインに必要な高い酸と繊細な風味をもたらし、伝統的方式の熟成に適する。</x:v>
      </x:c>
      <x:c r="M212" s="165" t="str">
        <x:v>誤り。 タスマニアは南方の島で、冷涼な海洋性気候である。</x:v>
      </x:c>
      <x:c r="N212" s="165" t="str">
        <x:v>誤り。 上質発泡性ワインの産地で、自然凍結が主因ではない。</x:v>
      </x:c>
      <x:c r="O212" s="165" t="str">
        <x:v>正しい。 低い気温と長い生育期間が、発泡性ワインに必要な高い酸と繊細な風味をもたらし、伝統的方式の熟成に適する。</x:v>
      </x:c>
      <x:c r="P212" s="165" t="str">
        <x:v>誤り。 発泡性ワインにフロール熟成や酒精強化は用いない。</x:v>
      </x:c>
      <x:c r="Q212" s="165" t="str">
        <x:v>自然要因・産地</x:v>
      </x:c>
      <x:c r="R212" s="165" t="str">
        <x:v>冷涼海洋性・品種</x:v>
      </x:c>
      <x:c r="S212" s="165" t="str">
        <x:v>発泡性ワイン</x:v>
      </x:c>
      <x:c r="T212" s="165" t="str">
        <x:v>オーストラリア</x:v>
      </x:c>
      <x:c r="U212" s="165" t="str">
        <x:v>タスマニア</x:v>
      </x:c>
      <x:c r="V212" s="165" t="str">
        <x:v>シャルドネ、ピノ・ノワール</x:v>
      </x:c>
      <x:c r="W212" s="165" t="str">
        <x:v>因果説明</x:v>
      </x:c>
      <x:c r="X212" s="171" t="str">
        <x:v>D2</x:v>
      </x:c>
      <x:c r="Y212" s="165" t="str">
        <x:v>タスマニアは砂漠; アイスワインのみ; フロール酒精強化</x:v>
      </x:c>
      <x:c r="Z212" s="171" t="str">
        <x:v>N</x:v>
      </x:c>
      <x:c r="AA212" s="165"/>
      <x:c r="AB212" s="165" t="str">
        <x:v>オリジナル</x:v>
      </x:c>
      <x:c r="AC212" s="165" t="str">
        <x:v>公式Specificationの範囲＋ユーザー作成コーパスの論点と問題設計例を参考に独自作成</x:v>
      </x:c>
      <x:c r="AD212" s="171" t="str">
        <x:v>未レビュー</x:v>
      </x:c>
      <x:c r="AE212" s="171"/>
      <x:c r="AF212" s="171"/>
      <x:c r="AG212" s="166"/>
    </x:row>
    <x:row r="213" ht="84" customHeight="1">
      <x:c r="A213" s="164" t="str">
        <x:v>LO3-052</x:v>
      </x:c>
      <x:c r="B213" s="171" t="str">
        <x:v>LO3</x:v>
      </x:c>
      <x:c r="C213" s="165" t="str">
        <x:v>世界の主要な発泡性ワイン</x:v>
      </x:c>
      <x:c r="D213" s="165" t="str">
        <x:v>アデレード・ヒルズ</x:v>
      </x:c>
      <x:c r="E213" s="165" t="str">
        <x:v>アデレード・ヒルズで発泡性ワイン用ブドウが栽培される主な理由はどれか。</x:v>
      </x:c>
      <x:c r="F213" s="165" t="str">
        <x:v>標高が高いほど夜が高温になり、酸が減る</x:v>
      </x:c>
      <x:c r="G213" s="165" t="str">
        <x:v>海水による洪水灌漑で塩味を付ける</x:v>
      </x:c>
      <x:c r="H213" s="165" t="str">
        <x:v>ブドウを乾燥させ、発泡前に酒精強化する</x:v>
      </x:c>
      <x:c r="I213" s="165" t="str">
        <x:v>標高による低い気温が、温暖な南オーストラリア内で酸の保持を助ける</x:v>
      </x:c>
      <x:c r="J213" s="171" t="str">
        <x:v>D</x:v>
      </x:c>
      <x:c r="K213" s="165" t="str">
        <x:v>標高による低い気温が、温暖な南オーストラリア内で酸の保持を助ける</x:v>
      </x:c>
      <x:c r="L213" s="165" t="str">
        <x:v>周辺の低地より冷涼で、生育期間が長く、シャルドネとピノ・ノワールを発泡性用の適度な糖度と高い酸で収穫しやすい。</x:v>
      </x:c>
      <x:c r="M213" s="165" t="str">
        <x:v>誤り。 一般に標高が上がると気温は下がり、夜間の冷却も強まる。</x:v>
      </x:c>
      <x:c r="N213" s="165" t="str">
        <x:v>誤り。 標高と気温が重要で、海水を利用するものではない。</x:v>
      </x:c>
      <x:c r="O213" s="165" t="str">
        <x:v>誤り。 上質発泡性用には健全で高酸のブドウを用い、乾燥・酒精強化は標準ではない。</x:v>
      </x:c>
      <x:c r="P213" s="165" t="str">
        <x:v>正しい。 周辺の低地より冷涼で、生育期間が長く、シャルドネとピノ・ノワールを発泡性用の適度な糖度と高い酸で収穫しやすい。</x:v>
      </x:c>
      <x:c r="Q213" s="165" t="str">
        <x:v>自然要因・産地</x:v>
      </x:c>
      <x:c r="R213" s="165" t="str">
        <x:v>標高・酸</x:v>
      </x:c>
      <x:c r="S213" s="165" t="str">
        <x:v>発泡性ワイン</x:v>
      </x:c>
      <x:c r="T213" s="165" t="str">
        <x:v>オーストラリア</x:v>
      </x:c>
      <x:c r="U213" s="165" t="str">
        <x:v>アデレード・ヒルズ</x:v>
      </x:c>
      <x:c r="V213" s="165" t="str">
        <x:v>シャルドネ、ピノ・ノワール</x:v>
      </x:c>
      <x:c r="W213" s="165" t="str">
        <x:v>因果説明</x:v>
      </x:c>
      <x:c r="X213" s="171" t="str">
        <x:v>D2</x:v>
      </x:c>
      <x:c r="Y213" s="165" t="str">
        <x:v>標高で夜高温; 海水; 乾燥酒精強化</x:v>
      </x:c>
      <x:c r="Z213" s="171" t="str">
        <x:v>N</x:v>
      </x:c>
      <x:c r="AA213" s="165"/>
      <x:c r="AB213" s="165" t="str">
        <x:v>オリジナル</x:v>
      </x:c>
      <x:c r="AC213" s="165" t="str">
        <x:v>公式Specificationの範囲＋ユーザー作成コーパスの論点と問題設計例を参考に独自作成</x:v>
      </x:c>
      <x:c r="AD213" s="171" t="str">
        <x:v>未レビュー</x:v>
      </x:c>
      <x:c r="AE213" s="171"/>
      <x:c r="AF213" s="171"/>
      <x:c r="AG213" s="166"/>
    </x:row>
    <x:row r="214" ht="84" customHeight="1">
      <x:c r="A214" s="164" t="str">
        <x:v>LO3-053</x:v>
      </x:c>
      <x:c r="B214" s="171" t="str">
        <x:v>LO3</x:v>
      </x:c>
      <x:c r="C214" s="165" t="str">
        <x:v>世界の主要な発泡性ワイン</x:v>
      </x:c>
      <x:c r="D214" s="165" t="str">
        <x:v>マールボロの発泡性ワイン</x:v>
      </x:c>
      <x:c r="E214" s="165" t="str">
        <x:v>マールボロの伝統的方式発泡性ワインに適する自然条件はどれか。</x:v>
      </x:c>
      <x:c r="F214" s="165" t="str">
        <x:v>強い日照と涼しい夜、海洋の影響が、果実の成熟と酸の保持を両立させる</x:v>
      </x:c>
      <x:c r="G214" s="165" t="str">
        <x:v>一年中高温で夜間の冷却がない</x:v>
      </x:c>
      <x:c r="H214" s="165" t="str">
        <x:v>ブドウを収穫前に貴腐させることが必須</x:v>
      </x:c>
      <x:c r="I214" s="165" t="str">
        <x:v>フロールを育てる湿潤な酒精強化産地である</x:v>
      </x:c>
      <x:c r="J214" s="171" t="str">
        <x:v>A</x:v>
      </x:c>
      <x:c r="K214" s="165" t="str">
        <x:v>強い日照と涼しい夜、海洋の影響が、果実の成熟と酸の保持を両立させる</x:v>
      </x:c>
      <x:c r="L214" s="165" t="str">
        <x:v>日中の日射で風味が成熟し、夜間と海洋冷却で酸を保つため、シャルドネとピノ・ノワールのベースワインに適する。</x:v>
      </x:c>
      <x:c r="M214" s="165" t="str">
        <x:v>正しい。 日中の日射で風味が成熟し、夜間と海洋冷却で酸を保つため、シャルドネとピノ・ノワールのベースワインに適する。</x:v>
      </x:c>
      <x:c r="N214" s="165" t="str">
        <x:v>誤り。 マールボロは大きな日較差と冷涼な夜が重要である。</x:v>
      </x:c>
      <x:c r="O214" s="165" t="str">
        <x:v>誤り。 発泡性用には健全で高酸のブドウが一般に求められる。</x:v>
      </x:c>
      <x:c r="P214" s="165" t="str">
        <x:v>誤り。 マールボロの発泡性ワインにフロールや酒精強化は用いない。</x:v>
      </x:c>
      <x:c r="Q214" s="165" t="str">
        <x:v>自然要因・産地</x:v>
      </x:c>
      <x:c r="R214" s="165" t="str">
        <x:v>日照・夜間冷却</x:v>
      </x:c>
      <x:c r="S214" s="165" t="str">
        <x:v>発泡性ワイン</x:v>
      </x:c>
      <x:c r="T214" s="165" t="str">
        <x:v>ニュージーランド</x:v>
      </x:c>
      <x:c r="U214" s="165" t="str">
        <x:v>マールボロ</x:v>
      </x:c>
      <x:c r="V214" s="165" t="str">
        <x:v>シャルドネ、ピノ・ノワール</x:v>
      </x:c>
      <x:c r="W214" s="165" t="str">
        <x:v>因果説明</x:v>
      </x:c>
      <x:c r="X214" s="171" t="str">
        <x:v>D2</x:v>
      </x:c>
      <x:c r="Y214" s="165" t="str">
        <x:v>マールボロは夜も高温; 貴腐必須; フロール酒精強化</x:v>
      </x:c>
      <x:c r="Z214" s="171" t="str">
        <x:v>N</x:v>
      </x:c>
      <x:c r="AA214" s="165"/>
      <x:c r="AB214" s="165" t="str">
        <x:v>オリジナル</x:v>
      </x:c>
      <x:c r="AC214" s="165" t="str">
        <x:v>公式Specificationの範囲＋ユーザー作成コーパスの論点と問題設計例を参考に独自作成</x:v>
      </x:c>
      <x:c r="AD214" s="171" t="str">
        <x:v>未レビュー</x:v>
      </x:c>
      <x:c r="AE214" s="171"/>
      <x:c r="AF214" s="171"/>
      <x:c r="AG214" s="166"/>
    </x:row>
    <x:row r="215" ht="84" customHeight="1">
      <x:c r="A215" s="164" t="str">
        <x:v>LO3-054</x:v>
      </x:c>
      <x:c r="B215" s="171" t="str">
        <x:v>LO3</x:v>
      </x:c>
      <x:c r="C215" s="165" t="str">
        <x:v>世界の主要な発泡性ワイン</x:v>
      </x:c>
      <x:c r="D215" s="165" t="str">
        <x:v>アンダーソン・ヴァレー</x:v>
      </x:c>
      <x:c r="E215" s="165" t="str">
        <x:v>アンダーソン・ヴァレーがカリフォルニアの発泡性ワイン用ブドウに適する主な理由はどれか。</x:v>
      </x:c>
      <x:c r="F215" s="165" t="str">
        <x:v>内陸砂漠の熱風が一日中吹き、酸を減らす</x:v>
      </x:c>
      <x:c r="G215" s="165" t="str">
        <x:v>太平洋からの冷たい霧と風が谷へ入り、成熟を遅らせる</x:v>
      </x:c>
      <x:c r="H215" s="165" t="str">
        <x:v>果汁へ炭酸ガスを注入しなくても、霧が泡を作る</x:v>
      </x:c>
      <x:c r="I215" s="165" t="str">
        <x:v>ブドウを酒精強化してから圧搾する</x:v>
      </x:c>
      <x:c r="J215" s="171" t="str">
        <x:v>B</x:v>
      </x:c>
      <x:c r="K215" s="165" t="str">
        <x:v>太平洋からの冷たい霧と風が谷へ入り、成熟を遅らせる</x:v>
      </x:c>
      <x:c r="L215" s="165" t="str">
        <x:v>沿岸の冷却により温暖なカリフォルニアでもシャルドネとピノ・ノワールの酸を保持し、繊細なベースワインを得やすい。</x:v>
      </x:c>
      <x:c r="M215" s="165" t="str">
        <x:v>誤り。 発泡性ワインへの適性は太平洋の冷却による。</x:v>
      </x:c>
      <x:c r="N215" s="165" t="str">
        <x:v>正しい。 沿岸の冷却により温暖なカリフォルニアでもシャルドネとピノ・ノワールの酸を保持し、繊細なベースワインを得やすい。</x:v>
      </x:c>
      <x:c r="O215" s="165" t="str">
        <x:v>誤り。 霧は気温に影響するが、泡は発酵または炭酸ガス注入で生じる。</x:v>
      </x:c>
      <x:c r="P215" s="165" t="str">
        <x:v>誤り。 発泡性ベースワインで酒精強化は行わない。</x:v>
      </x:c>
      <x:c r="Q215" s="165" t="str">
        <x:v>自然要因・産地</x:v>
      </x:c>
      <x:c r="R215" s="165" t="str">
        <x:v>霧・海洋冷却</x:v>
      </x:c>
      <x:c r="S215" s="165" t="str">
        <x:v>発泡性ワイン</x:v>
      </x:c>
      <x:c r="T215" s="165" t="str">
        <x:v>米国</x:v>
      </x:c>
      <x:c r="U215" s="165" t="str">
        <x:v>カリフォルニア／アンダーソン・ヴァレー</x:v>
      </x:c>
      <x:c r="V215" s="165" t="str">
        <x:v>シャルドネ、ピノ・ノワール</x:v>
      </x:c>
      <x:c r="W215" s="165" t="str">
        <x:v>因果説明</x:v>
      </x:c>
      <x:c r="X215" s="171" t="str">
        <x:v>D2</x:v>
      </x:c>
      <x:c r="Y215" s="165" t="str">
        <x:v>アンダーソンは砂漠; 霧が泡を作る; 酒精強化</x:v>
      </x:c>
      <x:c r="Z215" s="171" t="str">
        <x:v>N</x:v>
      </x:c>
      <x:c r="AA215" s="165"/>
      <x:c r="AB215" s="165" t="str">
        <x:v>オリジナル</x:v>
      </x:c>
      <x:c r="AC215" s="165" t="str">
        <x:v>公式Specificationの範囲＋ユーザー作成コーパスの論点と問題設計例を参考に独自作成</x:v>
      </x:c>
      <x:c r="AD215" s="171" t="str">
        <x:v>未レビュー</x:v>
      </x:c>
      <x:c r="AE215" s="171"/>
      <x:c r="AF215" s="171"/>
      <x:c r="AG215" s="166"/>
    </x:row>
    <x:row r="216" ht="84" customHeight="1">
      <x:c r="A216" s="164" t="str">
        <x:v>LO3-055</x:v>
      </x:c>
      <x:c r="B216" s="171" t="str">
        <x:v>LO3</x:v>
      </x:c>
      <x:c r="C216" s="165" t="str">
        <x:v>世界の主要な発泡性ワイン</x:v>
      </x:c>
      <x:c r="D216" s="165" t="str">
        <x:v>ロス・カーネロス</x:v>
      </x:c>
      <x:c r="E216" s="165" t="str">
        <x:v>ロス・カーネロスがナパとソノマの他の多くの地区より冷涼な主な理由はどれか。</x:v>
      </x:c>
      <x:c r="F216" s="165" t="str">
        <x:v>最も内陸にあり、海洋の影響を完全に受けない</x:v>
      </x:c>
      <x:c r="G216" s="165" t="str">
        <x:v>標高が世界で最も高く、ブドウが凍結する</x:v>
      </x:c>
      <x:c r="H216" s="165" t="str">
        <x:v>サン・パブロ湾からの冷たい風と霧を受ける</x:v>
      </x:c>
      <x:c r="I216" s="165" t="str">
        <x:v>果房を海水へ浸し、温度を下げる</x:v>
      </x:c>
      <x:c r="J216" s="171" t="str">
        <x:v>C</x:v>
      </x:c>
      <x:c r="K216" s="165" t="str">
        <x:v>サン・パブロ湾からの冷たい風と霧を受ける</x:v>
      </x:c>
      <x:c r="L216" s="165" t="str">
        <x:v>湾に近いため海洋の冷却が強く、シャルドネとピノ・ノワールを高い酸で収穫でき、発泡性ワインに適する。</x:v>
      </x:c>
      <x:c r="M216" s="165" t="str">
        <x:v>誤り。 ロス・カーネロスは湾に近く、海洋冷却が重要である。</x:v>
      </x:c>
      <x:c r="N216" s="165" t="str">
        <x:v>誤り。 冷却の主因は湾からの風と霧で、極端な高標高ではない。</x:v>
      </x:c>
      <x:c r="O216" s="165" t="str">
        <x:v>正しい。 湾に近いため海洋の冷却が強く、シャルドネとピノ・ノワールを高い酸で収穫でき、発泡性ワインに適する。</x:v>
      </x:c>
      <x:c r="P216" s="165" t="str">
        <x:v>誤り。 海洋の影響は空気の冷却で、果房を海水へ浸さない。</x:v>
      </x:c>
      <x:c r="Q216" s="165" t="str">
        <x:v>自然要因・産地</x:v>
      </x:c>
      <x:c r="R216" s="165" t="str">
        <x:v>湾・霧・風</x:v>
      </x:c>
      <x:c r="S216" s="165" t="str">
        <x:v>発泡性ワイン</x:v>
      </x:c>
      <x:c r="T216" s="165" t="str">
        <x:v>米国</x:v>
      </x:c>
      <x:c r="U216" s="165" t="str">
        <x:v>カリフォルニア／ロス・カーネロス</x:v>
      </x:c>
      <x:c r="V216" s="165" t="str">
        <x:v>シャルドネ、ピノ・ノワール</x:v>
      </x:c>
      <x:c r="W216" s="165" t="str">
        <x:v>因果説明</x:v>
      </x:c>
      <x:c r="X216" s="171" t="str">
        <x:v>D1</x:v>
      </x:c>
      <x:c r="Y216" s="165" t="str">
        <x:v>カーネロスは内陸・極端高標高・海水浸漬</x:v>
      </x:c>
      <x:c r="Z216" s="171" t="str">
        <x:v>N</x:v>
      </x:c>
      <x:c r="AA216" s="165"/>
      <x:c r="AB216" s="165" t="str">
        <x:v>オリジナル</x:v>
      </x:c>
      <x:c r="AC216" s="165" t="str">
        <x:v>公式Specificationの範囲＋ユーザー作成コーパスの論点と問題設計例を参考に独自作成</x:v>
      </x:c>
      <x:c r="AD216" s="171" t="str">
        <x:v>未レビュー</x:v>
      </x:c>
      <x:c r="AE216" s="171"/>
      <x:c r="AF216" s="171"/>
      <x:c r="AG216" s="166"/>
    </x:row>
    <x:row r="217" ht="84" customHeight="1">
      <x:c r="A217" s="164" t="str">
        <x:v>LO3-056</x:v>
      </x:c>
      <x:c r="B217" s="171" t="str">
        <x:v>LO3</x:v>
      </x:c>
      <x:c r="C217" s="165" t="str">
        <x:v>世界の主要な発泡性ワイン</x:v>
      </x:c>
      <x:c r="D217" s="165" t="str">
        <x:v>手摘みと生産コスト</x:v>
      </x:c>
      <x:c r="E217" s="165" t="str">
        <x:v>上質な伝統的方式発泡性ワインで手摘みが生産コストを高める一方、品質に寄与する理由はどれか。</x:v>
      </x:c>
      <x:c r="F217" s="165" t="str">
        <x:v>機械収穫より必ず速く、労働者が不要になる</x:v>
      </x:c>
      <x:c r="G217" s="165" t="str">
        <x:v>果房を強く破砕し、タンニンを最大化する</x:v>
      </x:c>
      <x:c r="H217" s="165" t="str">
        <x:v>収穫時点で二次発酵と澱抜きを完了できる</x:v>
      </x:c>
      <x:c r="I217" s="165" t="str">
        <x:v>健全な房を選び、果皮を傷めず全房のまま穏やかに圧搾しやすい</x:v>
      </x:c>
      <x:c r="J217" s="171" t="str">
        <x:v>D</x:v>
      </x:c>
      <x:c r="K217" s="165" t="str">
        <x:v>健全な房を選び、果皮を傷めず全房のまま穏やかに圧搾しやすい</x:v>
      </x:c>
      <x:c r="L217" s="165" t="str">
        <x:v>手摘みは労働費が高いが、腐敗果を除き、酸化や色素抽出を抑えた繊細な果汁を得るのに適する。</x:v>
      </x:c>
      <x:c r="M217" s="165" t="str">
        <x:v>誤り。 手摘みは人手と時間を要し、一般にコストが高い。</x:v>
      </x:c>
      <x:c r="N217" s="165" t="str">
        <x:v>誤り。 発泡性用では果皮損傷と過度な抽出を避けることが多い。</x:v>
      </x:c>
      <x:c r="O217" s="165" t="str">
        <x:v>誤り。 二次発酵と澱抜きはワイナリーで後に行う。</x:v>
      </x:c>
      <x:c r="P217" s="165" t="str">
        <x:v>正しい。 手摘みは労働費が高いが、腐敗果を除き、酸化や色素抽出を抑えた繊細な果汁を得るのに適する。</x:v>
      </x:c>
      <x:c r="Q217" s="165" t="str">
        <x:v>人的要因・商業</x:v>
      </x:c>
      <x:c r="R217" s="165" t="str">
        <x:v>手摘み・品質・価格</x:v>
      </x:c>
      <x:c r="S217" s="165" t="str">
        <x:v>発泡性ワイン</x:v>
      </x:c>
      <x:c r="T217" s="165"/>
      <x:c r="U217" s="165"/>
      <x:c r="V217" s="165"/>
      <x:c r="W217" s="165" t="str">
        <x:v>統合判断</x:v>
      </x:c>
      <x:c r="X217" s="171" t="str">
        <x:v>D3</x:v>
      </x:c>
      <x:c r="Y217" s="165" t="str">
        <x:v>手摘みは人手不要; 強破砕; 収穫時に二次発酵</x:v>
      </x:c>
      <x:c r="Z217" s="171" t="str">
        <x:v>N</x:v>
      </x:c>
      <x:c r="AA217" s="165"/>
      <x:c r="AB217" s="165" t="str">
        <x:v>オリジナル</x:v>
      </x:c>
      <x:c r="AC217" s="165" t="str">
        <x:v>公式Specificationの範囲＋ユーザー作成コーパスの論点と問題設計例を参考に独自作成</x:v>
      </x:c>
      <x:c r="AD217" s="171" t="str">
        <x:v>未レビュー</x:v>
      </x:c>
      <x:c r="AE217" s="171"/>
      <x:c r="AF217" s="171"/>
      <x:c r="AG217" s="166"/>
    </x:row>
    <x:row r="218" ht="84" customHeight="1">
      <x:c r="A218" s="164" t="str">
        <x:v>LO3-057</x:v>
      </x:c>
      <x:c r="B218" s="171" t="str">
        <x:v>LO3</x:v>
      </x:c>
      <x:c r="C218" s="165" t="str">
        <x:v>世界の主要な発泡性ワイン</x:v>
      </x:c>
      <x:c r="D218" s="165" t="str">
        <x:v>長期澱熟成と価格</x:v>
      </x:c>
      <x:c r="E218" s="165" t="str">
        <x:v>長期間の瓶内澱熟成が発泡性ワインの価格を上げる主な理由はどれか。</x:v>
      </x:c>
      <x:c r="F218" s="165" t="str">
        <x:v>在庫を長く保管する資金、貯蔵空間、瓶の取り扱いが必要になる</x:v>
      </x:c>
      <x:c r="G218" s="165" t="str">
        <x:v>熟成中にワイン量が必ず倍になり、税金が倍になる</x:v>
      </x:c>
      <x:c r="H218" s="165" t="str">
        <x:v>澱が金へ変化し、原材料費が上がる</x:v>
      </x:c>
      <x:c r="I218" s="165" t="str">
        <x:v>瓶内圧力がゼロになり、再び炭酸ガスを注入する必要がある</x:v>
      </x:c>
      <x:c r="J218" s="171" t="str">
        <x:v>A</x:v>
      </x:c>
      <x:c r="K218" s="165" t="str">
        <x:v>在庫を長く保管する資金、貯蔵空間、瓶の取り扱いが必要になる</x:v>
      </x:c>
      <x:c r="L218" s="165" t="str">
        <x:v>販売まで資金が回収できず、温度管理された貯蔵スペースと作業が必要な一方、自己分解香と質感が発達する。</x:v>
      </x:c>
      <x:c r="M218" s="165" t="str">
        <x:v>正しい。 販売まで資金が回収できず、温度管理された貯蔵スペースと作業が必要な一方、自己分解香と質感が発達する。</x:v>
      </x:c>
      <x:c r="N218" s="165" t="str">
        <x:v>誤り。 熟成でワイン量が倍になることはない。</x:v>
      </x:c>
      <x:c r="O218" s="165" t="str">
        <x:v>誤り。 澱は酵母由来で、金へ変わらない。</x:v>
      </x:c>
      <x:c r="P218" s="165" t="str">
        <x:v>誤り。 適切な密閉下では二酸化炭素を保持し、長期澱熟成だけで圧力がゼロにならない。</x:v>
      </x:c>
      <x:c r="Q218" s="165" t="str">
        <x:v>商業面・製法</x:v>
      </x:c>
      <x:c r="R218" s="165" t="str">
        <x:v>在庫・熟成コスト</x:v>
      </x:c>
      <x:c r="S218" s="165" t="str">
        <x:v>発泡性ワイン</x:v>
      </x:c>
      <x:c r="T218" s="165"/>
      <x:c r="U218" s="165"/>
      <x:c r="V218" s="165"/>
      <x:c r="W218" s="165" t="str">
        <x:v>統合判断</x:v>
      </x:c>
      <x:c r="X218" s="171" t="str">
        <x:v>D3</x:v>
      </x:c>
      <x:c r="Y218" s="165" t="str">
        <x:v>熟成で量倍増; 澱が金; 圧力ゼロ</x:v>
      </x:c>
      <x:c r="Z218" s="171" t="str">
        <x:v>N</x:v>
      </x:c>
      <x:c r="AA218" s="165"/>
      <x:c r="AB218" s="165" t="str">
        <x:v>オリジナル</x:v>
      </x:c>
      <x:c r="AC218" s="165" t="str">
        <x:v>公式Specificationの範囲＋ユーザー作成コーパスの論点と問題設計例を参考に独自作成</x:v>
      </x:c>
      <x:c r="AD218" s="171" t="str">
        <x:v>未レビュー</x:v>
      </x:c>
      <x:c r="AE218" s="171"/>
      <x:c r="AF218" s="171"/>
      <x:c r="AG218" s="166"/>
    </x:row>
    <x:row r="219" ht="84" customHeight="1">
      <x:c r="A219" s="164" t="str">
        <x:v>LO3-058</x:v>
      </x:c>
      <x:c r="B219" s="171" t="str">
        <x:v>LO3</x:v>
      </x:c>
      <x:c r="C219" s="165" t="str">
        <x:v>世界の主要な発泡性ワイン</x:v>
      </x:c>
      <x:c r="D219" s="165" t="str">
        <x:v>ドザージュと酸のバランス</x:v>
      </x:c>
      <x:c r="E219" s="165" t="str">
        <x:v>高い酸を持つ発泡性ワインに少量のドザージュを行う効果として最も適切なものはどれか。</x:v>
      </x:c>
      <x:c r="F219" s="165" t="str">
        <x:v>酸を化学的にすべて除去し、pHを中性にする</x:v>
      </x:c>
      <x:c r="G219" s="165" t="str">
        <x:v>酸味を和らげ、果実味と全体のバランスを整える</x:v>
      </x:c>
      <x:c r="H219" s="165" t="str">
        <x:v>タンニンと色を最大限抽出する</x:v>
      </x:c>
      <x:c r="I219" s="165" t="str">
        <x:v>二次発酵前のブドウを成熟させる</x:v>
      </x:c>
      <x:c r="J219" s="171" t="str">
        <x:v>B</x:v>
      </x:c>
      <x:c r="K219" s="165" t="str">
        <x:v>酸味を和らげ、果実味と全体のバランスを整える</x:v>
      </x:c>
      <x:c r="L219" s="165" t="str">
        <x:v>残糖が少量でも高い酸の鋭さを和らげ、ワインを調和させることがある。目的は単に甘口にすることだけではない。</x:v>
      </x:c>
      <x:c r="M219" s="165" t="str">
        <x:v>誤り。 ドザージュは知覚上のバランスを変えるが、酸をすべて除去しない。</x:v>
      </x:c>
      <x:c r="N219" s="165" t="str">
        <x:v>正しい。 残糖が少量でも高い酸の鋭さを和らげ、ワインを調和させることがある。目的は単に甘口にすることだけではない。</x:v>
      </x:c>
      <x:c r="O219" s="165" t="str">
        <x:v>誤り。 瓶詰め後の甘味調整で、果皮抽出とは関係しない。</x:v>
      </x:c>
      <x:c r="P219" s="165" t="str">
        <x:v>誤り。 ドザージュは澱抜き後に行われ、畑の成熟には影響しない。</x:v>
      </x:c>
      <x:c r="Q219" s="165" t="str">
        <x:v>発泡性ワイン製法</x:v>
      </x:c>
      <x:c r="R219" s="165" t="str">
        <x:v>ドザージュ・バランス</x:v>
      </x:c>
      <x:c r="S219" s="165" t="str">
        <x:v>発泡性ワイン</x:v>
      </x:c>
      <x:c r="T219" s="165"/>
      <x:c r="U219" s="165"/>
      <x:c r="V219" s="165"/>
      <x:c r="W219" s="165" t="str">
        <x:v>因果説明</x:v>
      </x:c>
      <x:c r="X219" s="171" t="str">
        <x:v>D2</x:v>
      </x:c>
      <x:c r="Y219" s="165" t="str">
        <x:v>ドザージュで酸全除去; 色タンニン抽出; 畑の成熟</x:v>
      </x:c>
      <x:c r="Z219" s="171" t="str">
        <x:v>N</x:v>
      </x:c>
      <x:c r="AA219" s="165"/>
      <x:c r="AB219" s="165" t="str">
        <x:v>オリジナル</x:v>
      </x:c>
      <x:c r="AC219" s="165" t="str">
        <x:v>公式Specificationの範囲＋ユーザー作成コーパスの論点と問題設計例を参考に独自作成</x:v>
      </x:c>
      <x:c r="AD219" s="171" t="str">
        <x:v>未レビュー</x:v>
      </x:c>
      <x:c r="AE219" s="171"/>
      <x:c r="AF219" s="171"/>
      <x:c r="AG219" s="166"/>
    </x:row>
    <x:row r="220" ht="84" customHeight="1">
      <x:c r="A220" s="164" t="str">
        <x:v>LO3-059</x:v>
      </x:c>
      <x:c r="B220" s="171" t="str">
        <x:v>LO3</x:v>
      </x:c>
      <x:c r="C220" s="165" t="str">
        <x:v>世界の主要な発泡性ワイン</x:v>
      </x:c>
      <x:c r="D220" s="165" t="str">
        <x:v>発泡性ワインの栓とミュズレ</x:v>
      </x:c>
      <x:c r="E220" s="165" t="str">
        <x:v>発泡性ワインのコルク栓をミュズレ（ワイヤー留め）で固定する主な理由はどれか。</x:v>
      </x:c>
      <x:c r="F220" s="165" t="str">
        <x:v>ワイヤーが二次発酵の糖を供給する</x:v>
      </x:c>
      <x:c r="G220" s="165" t="str">
        <x:v>ワイヤーからオーク香を抽出する</x:v>
      </x:c>
      <x:c r="H220" s="165" t="str">
        <x:v>高い瓶内圧力で栓が飛び出すのを防ぐ</x:v>
      </x:c>
      <x:c r="I220" s="165" t="str">
        <x:v>栓を外した後に圧力を増やす</x:v>
      </x:c>
      <x:c r="J220" s="171" t="str">
        <x:v>C</x:v>
      </x:c>
      <x:c r="K220" s="165" t="str">
        <x:v>高い瓶内圧力で栓が飛び出すのを防ぐ</x:v>
      </x:c>
      <x:c r="L220" s="165" t="str">
        <x:v>発泡性ワインは数気圧の圧力を持つため、圧縮した栓をワイヤーで固定して輸送・保管中の安全と密閉性を保つ。</x:v>
      </x:c>
      <x:c r="M220" s="165" t="str">
        <x:v>誤り。 糖はティラージュで加え、ワイヤーは栓の固定具である。</x:v>
      </x:c>
      <x:c r="N220" s="165" t="str">
        <x:v>誤り。 ミュズレは香味付与のためではない。</x:v>
      </x:c>
      <x:c r="O220" s="165" t="str">
        <x:v>正しい。 発泡性ワインは数気圧の圧力を持つため、圧縮した栓をワイヤーで固定して輸送・保管中の安全と密閉性を保つ。</x:v>
      </x:c>
      <x:c r="P220" s="165" t="str">
        <x:v>誤り。 目的は開栓前に栓を保持することで、開栓後に圧力を増やさない。</x:v>
      </x:c>
      <x:c r="Q220" s="165" t="str">
        <x:v>包装・サービス</x:v>
      </x:c>
      <x:c r="R220" s="165" t="str">
        <x:v>栓・圧力</x:v>
      </x:c>
      <x:c r="S220" s="165" t="str">
        <x:v>発泡性ワイン</x:v>
      </x:c>
      <x:c r="T220" s="165"/>
      <x:c r="U220" s="165"/>
      <x:c r="V220" s="165"/>
      <x:c r="W220" s="165" t="str">
        <x:v>知識確認</x:v>
      </x:c>
      <x:c r="X220" s="171" t="str">
        <x:v>D1</x:v>
      </x:c>
      <x:c r="Y220" s="165" t="str">
        <x:v>ミュズレが糖・オーク香・開栓後圧力を供給</x:v>
      </x:c>
      <x:c r="Z220" s="171" t="str">
        <x:v>N</x:v>
      </x:c>
      <x:c r="AA220" s="165"/>
      <x:c r="AB220" s="165" t="str">
        <x:v>オリジナル</x:v>
      </x:c>
      <x:c r="AC220" s="165" t="str">
        <x:v>公式Specificationの範囲＋ユーザー作成コーパスの論点と問題設計例を参考に独自作成</x:v>
      </x:c>
      <x:c r="AD220" s="171" t="str">
        <x:v>未レビュー</x:v>
      </x:c>
      <x:c r="AE220" s="171"/>
      <x:c r="AF220" s="171"/>
      <x:c r="AG220" s="166"/>
    </x:row>
    <x:row r="221" ht="84" customHeight="1">
      <x:c r="A221" s="164" t="str">
        <x:v>LO3-060</x:v>
      </x:c>
      <x:c r="B221" s="171" t="str">
        <x:v>LO3</x:v>
      </x:c>
      <x:c r="C221" s="165" t="str">
        <x:v>世界の主要な発泡性ワイン</x:v>
      </x:c>
      <x:c r="D221" s="165" t="str">
        <x:v>シャンパーニュの品種ブレンド</x:v>
      </x:c>
      <x:c r="E221" s="165" t="str">
        <x:v>シャンパーニュのブレンドにおける三品種の役割を最も適切に説明しているものはどれか。</x:v>
      </x:c>
      <x:c r="F221" s="165" t="str">
        <x:v>三品種はすべて同一の香りと構造を持ち、ブレンドの意味はない</x:v>
      </x:c>
      <x:c r="G221" s="165" t="str">
        <x:v>シャルドネは黒い色、ピノ・ノワールはマスカット香、ムーニエはフロールを与える</x:v>
      </x:c>
      <x:c r="H221" s="165" t="str">
        <x:v>三品種は発酵途中で酒精強化しなければ泡を作れない</x:v>
      </x:c>
      <x:c r="I221" s="165" t="str">
        <x:v>シャルドネは酸と繊細さ、ピノ・ノワールはボディと構造、ムーニエは果実味と早い親しみやすさを与えやすい</x:v>
      </x:c>
      <x:c r="J221" s="171" t="str">
        <x:v>D</x:v>
      </x:c>
      <x:c r="K221" s="165" t="str">
        <x:v>シャルドネは酸と繊細さ、ピノ・ノワールはボディと構造、ムーニエは果実味と早い親しみやすさを与えやすい</x:v>
      </x:c>
      <x:c r="L221" s="165" t="str">
        <x:v>三品種の異なる性質を組み合わせることで、フレッシュさ、構造、果実味、熟成能力のバランスを調整できる。</x:v>
      </x:c>
      <x:c r="M221" s="165" t="str">
        <x:v>誤り。 品種ごとに成熟特性とワインへの寄与が異なるため、ブレンドには明確な意味がある。</x:v>
      </x:c>
      <x:c r="N221" s="165" t="str">
        <x:v>誤り。 シャルドネは白品種で、マスカット香やフロールはこれらの役割ではない。</x:v>
      </x:c>
      <x:c r="O221" s="165" t="str">
        <x:v>誤り。 シャンパーニュは酒精強化せず、瓶内二次発酵で泡を得る。</x:v>
      </x:c>
      <x:c r="P221" s="165" t="str">
        <x:v>正しい。 三品種の異なる性質を組み合わせることで、フレッシュさ、構造、果実味、熟成能力のバランスを調整できる。</x:v>
      </x:c>
      <x:c r="Q221" s="165" t="str">
        <x:v>品種・ブレンド</x:v>
      </x:c>
      <x:c r="R221" s="165" t="str">
        <x:v>シャンパーニュ・品種役割</x:v>
      </x:c>
      <x:c r="S221" s="165" t="str">
        <x:v>発泡性ワイン</x:v>
      </x:c>
      <x:c r="T221" s="165" t="str">
        <x:v>フランス</x:v>
      </x:c>
      <x:c r="U221" s="165" t="str">
        <x:v>シャンパーニュ</x:v>
      </x:c>
      <x:c r="V221" s="165" t="str">
        <x:v>シャルドネ、ピノ・ノワール、ムーニエ</x:v>
      </x:c>
      <x:c r="W221" s="165" t="str">
        <x:v>統合判断</x:v>
      </x:c>
      <x:c r="X221" s="171" t="str">
        <x:v>D3</x:v>
      </x:c>
      <x:c r="Y221" s="165" t="str">
        <x:v>三品種は同一; 色・マスカット・フロールの役割混同; 酒精強化必須</x:v>
      </x:c>
      <x:c r="Z221" s="171" t="str">
        <x:v>N</x:v>
      </x:c>
      <x:c r="AA221" s="165"/>
      <x:c r="AB221" s="165" t="str">
        <x:v>オリジナル</x:v>
      </x:c>
      <x:c r="AC221" s="165" t="str">
        <x:v>公式Specificationの範囲＋ユーザー作成コーパスの論点と問題設計例を参考に独自作成</x:v>
      </x:c>
      <x:c r="AD221" s="171" t="str">
        <x:v>未レビュー</x:v>
      </x:c>
      <x:c r="AE221" s="171"/>
      <x:c r="AF221" s="171"/>
      <x:c r="AG221" s="166"/>
    </x:row>
    <x:row r="222" ht="84" customHeight="1">
      <x:c r="A222" s="164" t="str">
        <x:v>LO4-021</x:v>
      </x:c>
      <x:c r="B222" s="171" t="str">
        <x:v>LO4</x:v>
      </x:c>
      <x:c r="C222" s="165" t="str">
        <x:v>世界の主要な酒精強化ワイン</x:v>
      </x:c>
      <x:c r="D222" s="165" t="str">
        <x:v>トウリガ・ナシオナル</x:v>
      </x:c>
      <x:c r="E222" s="165" t="str">
        <x:v>ポートのブレンドでトウリガ・ナシオナルが貢献しやすい特徴はどれか。</x:v>
      </x:c>
      <x:c r="F222" s="165" t="str">
        <x:v>深い色、高いタンニン、凝縮した黒系果実と花の香り</x:v>
      </x:c>
      <x:c r="G222" s="165" t="str">
        <x:v>非常に淡い色、低いタンニン、青リンゴの香り</x:v>
      </x:c>
      <x:c r="H222" s="165" t="str">
        <x:v>フロールを形成し、アーモンド香だけを与える</x:v>
      </x:c>
      <x:c r="I222" s="165" t="str">
        <x:v>白ブドウとして高い酸の辛口白だけを造る</x:v>
      </x:c>
      <x:c r="J222" s="171" t="str">
        <x:v>A</x:v>
      </x:c>
      <x:c r="K222" s="165" t="str">
        <x:v>深い色、高いタンニン、凝縮した黒系果実と花の香り</x:v>
      </x:c>
      <x:c r="L222" s="165" t="str">
        <x:v>トウリガ・ナシオナルは低収量になりやすい一方、色、構造、香り、熟成能力を与える高品質な黒ブドウである。</x:v>
      </x:c>
      <x:c r="M222" s="165" t="str">
        <x:v>正しい。 トウリガ・ナシオナルは低収量になりやすい一方、色、構造、香り、熟成能力を与える高品質な黒ブドウである。</x:v>
      </x:c>
      <x:c r="N222" s="165" t="str">
        <x:v>誤り。 これは黒ブドウのトウリガ・ナシオナルの典型ではない。</x:v>
      </x:c>
      <x:c r="O222" s="165" t="str">
        <x:v>誤り。 フロールは酵母膜であり、品種が直接形成するものではない。</x:v>
      </x:c>
      <x:c r="P222" s="165" t="str">
        <x:v>誤り。 トウリガ・ナシオナルは黒ブドウで、ポートの赤いブレンドに用いられる。</x:v>
      </x:c>
      <x:c r="Q222" s="165" t="str">
        <x:v>品種・産地</x:v>
      </x:c>
      <x:c r="R222" s="165" t="str">
        <x:v>ポート主要品種</x:v>
      </x:c>
      <x:c r="S222" s="165" t="str">
        <x:v>酒精強化ワイン</x:v>
      </x:c>
      <x:c r="T222" s="165" t="str">
        <x:v>ポルトガル</x:v>
      </x:c>
      <x:c r="U222" s="165" t="str">
        <x:v>ドウロ</x:v>
      </x:c>
      <x:c r="V222" s="165" t="str">
        <x:v>トウリガ・ナシオナル</x:v>
      </x:c>
      <x:c r="W222" s="165" t="str">
        <x:v>知識確認</x:v>
      </x:c>
      <x:c r="X222" s="171" t="str">
        <x:v>D1</x:v>
      </x:c>
      <x:c r="Y222" s="165" t="str">
        <x:v>トウリガは淡色白品種; 品種がフロール形成</x:v>
      </x:c>
      <x:c r="Z222" s="171" t="str">
        <x:v>N</x:v>
      </x:c>
      <x:c r="AA222" s="165"/>
      <x:c r="AB222" s="165" t="str">
        <x:v>オリジナル</x:v>
      </x:c>
      <x:c r="AC222" s="165" t="str">
        <x:v>公式Specificationの範囲＋ユーザー作成コーパスの論点と問題設計例を参考に独自作成</x:v>
      </x:c>
      <x:c r="AD222" s="171" t="str">
        <x:v>未レビュー</x:v>
      </x:c>
      <x:c r="AE222" s="171"/>
      <x:c r="AF222" s="171"/>
      <x:c r="AG222" s="166"/>
    </x:row>
    <x:row r="223" ht="84" customHeight="1">
      <x:c r="A223" s="164" t="str">
        <x:v>LO4-022</x:v>
      </x:c>
      <x:c r="B223" s="171" t="str">
        <x:v>LO4</x:v>
      </x:c>
      <x:c r="C223" s="165" t="str">
        <x:v>世界の主要な酒精強化ワイン</x:v>
      </x:c>
      <x:c r="D223" s="165" t="str">
        <x:v>トウリガ・フランカ</x:v>
      </x:c>
      <x:c r="E223" s="165" t="str">
        <x:v>ポートのブレンドでトウリガ・フランカが重要となる理由として最も適切なものはどれか。</x:v>
      </x:c>
      <x:c r="F223" s="165" t="str">
        <x:v>冷涼多雨でしか成熟せず、酸のない白ワインだけを造る</x:v>
      </x:c>
      <x:c r="G223" s="165" t="str">
        <x:v>暑く乾燥した条件で比較的安定して成熟し、色と芳香をブレンドへ与える</x:v>
      </x:c>
      <x:c r="H223" s="165" t="str">
        <x:v>果皮がなく、色とタンニンを全く与えない</x:v>
      </x:c>
      <x:c r="I223" s="165" t="str">
        <x:v>瓶内二次発酵により泡を作るためだけに用いる</x:v>
      </x:c>
      <x:c r="J223" s="171" t="str">
        <x:v>B</x:v>
      </x:c>
      <x:c r="K223" s="165" t="str">
        <x:v>暑く乾燥した条件で比較的安定して成熟し、色と芳香をブレンドへ与える</x:v>
      </x:c>
      <x:c r="L223" s="165" t="str">
        <x:v>トウリガ・フランカはドウロの条件に適応し、花や黒系果実の香り、色、タンニンを与えるため、広く植えられている。</x:v>
      </x:c>
      <x:c r="M223" s="165" t="str">
        <x:v>誤り。 ドウロの温暖で乾燥した条件に適し、黒ブドウとして赤ポートに用いられる。</x:v>
      </x:c>
      <x:c r="N223" s="165" t="str">
        <x:v>正しい。 トウリガ・フランカはドウロの条件に適応し、花や黒系果実の香り、色、タンニンを与えるため、広く植えられている。</x:v>
      </x:c>
      <x:c r="O223" s="165" t="str">
        <x:v>誤り。 黒ブドウの果皮から色とフェノールを与える。</x:v>
      </x:c>
      <x:c r="P223" s="165" t="str">
        <x:v>誤り。 ポートは酒精強化ワインで、発泡性ワイン用の品種ではない。</x:v>
      </x:c>
      <x:c r="Q223" s="165" t="str">
        <x:v>品種・産地</x:v>
      </x:c>
      <x:c r="R223" s="165" t="str">
        <x:v>ポート主要品種</x:v>
      </x:c>
      <x:c r="S223" s="165" t="str">
        <x:v>酒精強化ワイン</x:v>
      </x:c>
      <x:c r="T223" s="165" t="str">
        <x:v>ポルトガル</x:v>
      </x:c>
      <x:c r="U223" s="165" t="str">
        <x:v>ドウロ</x:v>
      </x:c>
      <x:c r="V223" s="165" t="str">
        <x:v>トウリガ・フランカ</x:v>
      </x:c>
      <x:c r="W223" s="165" t="str">
        <x:v>因果説明</x:v>
      </x:c>
      <x:c r="X223" s="171" t="str">
        <x:v>D2</x:v>
      </x:c>
      <x:c r="Y223" s="165" t="str">
        <x:v>トウリガフランカは白・無色; 発泡専用品種</x:v>
      </x:c>
      <x:c r="Z223" s="171" t="str">
        <x:v>N</x:v>
      </x:c>
      <x:c r="AA223" s="165"/>
      <x:c r="AB223" s="165" t="str">
        <x:v>オリジナル</x:v>
      </x:c>
      <x:c r="AC223" s="165" t="str">
        <x:v>公式Specificationの範囲＋ユーザー作成コーパスの論点と問題設計例を参考に独自作成</x:v>
      </x:c>
      <x:c r="AD223" s="171" t="str">
        <x:v>未レビュー</x:v>
      </x:c>
      <x:c r="AE223" s="171"/>
      <x:c r="AF223" s="171"/>
      <x:c r="AG223" s="166"/>
    </x:row>
    <x:row r="224" ht="84" customHeight="1">
      <x:c r="A224" s="164" t="str">
        <x:v>LO4-023</x:v>
      </x:c>
      <x:c r="B224" s="171" t="str">
        <x:v>LO4</x:v>
      </x:c>
      <x:c r="C224" s="165" t="str">
        <x:v>世界の主要な酒精強化ワイン</x:v>
      </x:c>
      <x:c r="D224" s="165" t="str">
        <x:v>ティンタ・ロリス</x:v>
      </x:c>
      <x:c r="E224" s="165" t="str">
        <x:v>ティンタ・ロリスがポートのブレンドに与えやすい特徴はどれか。</x:v>
      </x:c>
      <x:c r="F224" s="165" t="str">
        <x:v>強いマスカット香と低いアルコールの白い泡</x:v>
      </x:c>
      <x:c r="G224" s="165" t="str">
        <x:v>フロール由来のアセトアルデヒド香だけ</x:v>
      </x:c>
      <x:c r="H224" s="165" t="str">
        <x:v>熟した赤・黒系果実、ボディ、タンニンによる構造</x:v>
      </x:c>
      <x:c r="I224" s="165" t="str">
        <x:v>酸をすべて除去し、無色にする</x:v>
      </x:c>
      <x:c r="J224" s="171" t="str">
        <x:v>C</x:v>
      </x:c>
      <x:c r="K224" s="165" t="str">
        <x:v>熟した赤・黒系果実、ボディ、タンニンによる構造</x:v>
      </x:c>
      <x:c r="L224" s="165" t="str">
        <x:v>ティンタ・ロリスはテンプラニーリョと同じ品種で、ドウロでは果実味と構造をブレンドへ与える。</x:v>
      </x:c>
      <x:c r="M224" s="165" t="str">
        <x:v>誤り。 ティンタ・ロリスは黒ブドウで、マスカット系白品種ではない。</x:v>
      </x:c>
      <x:c r="N224" s="165" t="str">
        <x:v>誤り。 フロールはシェリーの熟成に関連し、品種の主要な役割ではない。</x:v>
      </x:c>
      <x:c r="O224" s="165" t="str">
        <x:v>正しい。 ティンタ・ロリスはテンプラニーリョと同じ品種で、ドウロでは果実味と構造をブレンドへ与える。</x:v>
      </x:c>
      <x:c r="P224" s="165" t="str">
        <x:v>誤り。 品種が酸をすべて除去したり、ワインを無色にしたりするものではない。</x:v>
      </x:c>
      <x:c r="Q224" s="165" t="str">
        <x:v>品種・産地</x:v>
      </x:c>
      <x:c r="R224" s="165" t="str">
        <x:v>ポート主要品種</x:v>
      </x:c>
      <x:c r="S224" s="165" t="str">
        <x:v>酒精強化ワイン</x:v>
      </x:c>
      <x:c r="T224" s="165" t="str">
        <x:v>ポルトガル</x:v>
      </x:c>
      <x:c r="U224" s="165" t="str">
        <x:v>ドウロ</x:v>
      </x:c>
      <x:c r="V224" s="165" t="str">
        <x:v>ティンタ・ロリス</x:v>
      </x:c>
      <x:c r="W224" s="165" t="str">
        <x:v>知識確認</x:v>
      </x:c>
      <x:c r="X224" s="171" t="str">
        <x:v>D1</x:v>
      </x:c>
      <x:c r="Y224" s="165" t="str">
        <x:v>ティンタロリスは白泡・フロール・脱色</x:v>
      </x:c>
      <x:c r="Z224" s="171" t="str">
        <x:v>N</x:v>
      </x:c>
      <x:c r="AA224" s="165"/>
      <x:c r="AB224" s="165" t="str">
        <x:v>オリジナル</x:v>
      </x:c>
      <x:c r="AC224" s="165" t="str">
        <x:v>公式Specificationの範囲＋ユーザー作成コーパスの論点と問題設計例を参考に独自作成</x:v>
      </x:c>
      <x:c r="AD224" s="171" t="str">
        <x:v>未レビュー</x:v>
      </x:c>
      <x:c r="AE224" s="171"/>
      <x:c r="AF224" s="171"/>
      <x:c r="AG224" s="166"/>
    </x:row>
    <x:row r="225" ht="84" customHeight="1">
      <x:c r="A225" s="164" t="str">
        <x:v>LO4-024</x:v>
      </x:c>
      <x:c r="B225" s="171" t="str">
        <x:v>LO4</x:v>
      </x:c>
      <x:c r="C225" s="165" t="str">
        <x:v>世界の主要な酒精強化ワイン</x:v>
      </x:c>
      <x:c r="D225" s="165" t="str">
        <x:v>ポートの品種ブレンド</x:v>
      </x:c>
      <x:c r="E225" s="165" t="str">
        <x:v>複数のポート用黒ブドウ品種をブレンドする主な利点はどれか。</x:v>
      </x:c>
      <x:c r="F225" s="165" t="str">
        <x:v>ブレンドすると全品種が同じ遺伝子へ変わる</x:v>
      </x:c>
      <x:c r="G225" s="165" t="str">
        <x:v>酒精強化を行わなくても、自然にアルコール20％になる</x:v>
      </x:c>
      <x:c r="H225" s="165" t="str">
        <x:v>色とタンニンをすべて取り除き、白くする</x:v>
      </x:c>
      <x:c r="I225" s="165" t="str">
        <x:v>色、香り、酸、タンニン、成熟時期の違いを組み合わせ、バランスとヴィンテージへの対応力を高める</x:v>
      </x:c>
      <x:c r="J225" s="171" t="str">
        <x:v>D</x:v>
      </x:c>
      <x:c r="K225" s="165" t="str">
        <x:v>色、香り、酸、タンニン、成熟時期の違いを組み合わせ、バランスとヴィンテージへの対応力を高める</x:v>
      </x:c>
      <x:c r="L225" s="165" t="str">
        <x:v>品種ごとに強みと成熟特性が異なるため、複数品種を使うことで複雑性、構造、安定した品質を得やすい。</x:v>
      </x:c>
      <x:c r="M225" s="165" t="str">
        <x:v>誤り。 ブレンドはワインを混ぜる工程で、品種の遺伝子を変えない。</x:v>
      </x:c>
      <x:c r="N225" s="165" t="str">
        <x:v>誤り。 高いアルコールは蒸留酒の添加による酒精強化で得る。</x:v>
      </x:c>
      <x:c r="O225" s="165" t="str">
        <x:v>誤り。 多くのポートでは色と構造を得るために黒ブドウを用いる。</x:v>
      </x:c>
      <x:c r="P225" s="165" t="str">
        <x:v>正しい。 品種ごとに強みと成熟特性が異なるため、複数品種を使うことで複雑性、構造、安定した品質を得やすい。</x:v>
      </x:c>
      <x:c r="Q225" s="165" t="str">
        <x:v>品種・ブレンド</x:v>
      </x:c>
      <x:c r="R225" s="165" t="str">
        <x:v>複数品種・バランス</x:v>
      </x:c>
      <x:c r="S225" s="165" t="str">
        <x:v>酒精強化ワイン</x:v>
      </x:c>
      <x:c r="T225" s="165" t="str">
        <x:v>ポルトガル</x:v>
      </x:c>
      <x:c r="U225" s="165" t="str">
        <x:v>ドウロ</x:v>
      </x:c>
      <x:c r="V225" s="165"/>
      <x:c r="W225" s="165" t="str">
        <x:v>統合判断</x:v>
      </x:c>
      <x:c r="X225" s="171" t="str">
        <x:v>D2</x:v>
      </x:c>
      <x:c r="Y225" s="165" t="str">
        <x:v>ブレンドで遺伝子変更; 自然に高アルコール; 脱色</x:v>
      </x:c>
      <x:c r="Z225" s="171" t="str">
        <x:v>N</x:v>
      </x:c>
      <x:c r="AA225" s="165"/>
      <x:c r="AB225" s="165" t="str">
        <x:v>オリジナル</x:v>
      </x:c>
      <x:c r="AC225" s="165" t="str">
        <x:v>公式Specificationの範囲＋ユーザー作成コーパスの論点と問題設計例を参考に独自作成</x:v>
      </x:c>
      <x:c r="AD225" s="171" t="str">
        <x:v>未レビュー</x:v>
      </x:c>
      <x:c r="AE225" s="171"/>
      <x:c r="AF225" s="171"/>
      <x:c r="AG225" s="166"/>
    </x:row>
    <x:row r="226" ht="84" customHeight="1">
      <x:c r="A226" s="164" t="str">
        <x:v>LO4-025</x:v>
      </x:c>
      <x:c r="B226" s="171" t="str">
        <x:v>LO4</x:v>
      </x:c>
      <x:c r="C226" s="165" t="str">
        <x:v>世界の主要な酒精強化ワイン</x:v>
      </x:c>
      <x:c r="D226" s="165" t="str">
        <x:v>バイショ・コルゴ</x:v>
      </x:c>
      <x:c r="E226" s="165" t="str">
        <x:v>バイショ・コルゴの気候をドウロ・スペリオールと比較した説明として最も適切なものはどれか。</x:v>
      </x:c>
      <x:c r="F226" s="165" t="str">
        <x:v>大西洋に近く、比較的冷涼で雨が多いため、一般に収量が高く軽めのワインになりやすい</x:v>
      </x:c>
      <x:c r="G226" s="165" t="str">
        <x:v>最も東に位置し、最も暑く乾燥している</x:v>
      </x:c>
      <x:c r="H226" s="165" t="str">
        <x:v>一年中凍結し、アイスワインだけを造る</x:v>
      </x:c>
      <x:c r="I226" s="165" t="str">
        <x:v>海面下の熱帯雨林で、日照がない</x:v>
      </x:c>
      <x:c r="J226" s="171" t="str">
        <x:v>A</x:v>
      </x:c>
      <x:c r="K226" s="165" t="str">
        <x:v>大西洋に近く、比較的冷涼で雨が多いため、一般に収量が高く軽めのワインになりやすい</x:v>
      </x:c>
      <x:c r="L226" s="165" t="str">
        <x:v>バイショ・コルゴはドウロ西部で海洋の影響が強く、東部より湿潤で、ブドウの成熟度と凝縮度は低くなりやすい。</x:v>
      </x:c>
      <x:c r="M226" s="165" t="str">
        <x:v>正しい。 バイショ・コルゴはドウロ西部で海洋の影響が強く、東部より湿潤で、ブドウの成熟度と凝縮度は低くなりやすい。</x:v>
      </x:c>
      <x:c r="N226" s="165" t="str">
        <x:v>誤り。 これはドウロ・スペリオールに近い説明である。</x:v>
      </x:c>
      <x:c r="O226" s="165" t="str">
        <x:v>誤り。 ドウロは温暖な地域で、アイスワイン産地ではない。</x:v>
      </x:c>
      <x:c r="P226" s="165" t="str">
        <x:v>誤り。 バイショ・コルゴは熱帯雨林でも海面下でもない。</x:v>
      </x:c>
      <x:c r="Q226" s="165" t="str">
        <x:v>自然要因・産地</x:v>
      </x:c>
      <x:c r="R226" s="165" t="str">
        <x:v>ドウロ小地域・気候</x:v>
      </x:c>
      <x:c r="S226" s="165" t="str">
        <x:v>酒精強化ワイン</x:v>
      </x:c>
      <x:c r="T226" s="165" t="str">
        <x:v>ポルトガル</x:v>
      </x:c>
      <x:c r="U226" s="165" t="str">
        <x:v>ドウロ／バイショ・コルゴ</x:v>
      </x:c>
      <x:c r="V226" s="165"/>
      <x:c r="W226" s="165" t="str">
        <x:v>比較</x:v>
      </x:c>
      <x:c r="X226" s="171" t="str">
        <x:v>D2</x:v>
      </x:c>
      <x:c r="Y226" s="165" t="str">
        <x:v>バイショは東部最乾燥; 凍結・熱帯</x:v>
      </x:c>
      <x:c r="Z226" s="171" t="str">
        <x:v>N</x:v>
      </x:c>
      <x:c r="AA226" s="165"/>
      <x:c r="AB226" s="165" t="str">
        <x:v>オリジナル</x:v>
      </x:c>
      <x:c r="AC226" s="165" t="str">
        <x:v>公式Specificationの範囲＋ユーザー作成コーパスの論点と問題設計例を参考に独自作成</x:v>
      </x:c>
      <x:c r="AD226" s="171" t="str">
        <x:v>未レビュー</x:v>
      </x:c>
      <x:c r="AE226" s="171"/>
      <x:c r="AF226" s="171"/>
      <x:c r="AG226" s="166"/>
    </x:row>
    <x:row r="227" ht="84" customHeight="1">
      <x:c r="A227" s="164" t="str">
        <x:v>LO4-026</x:v>
      </x:c>
      <x:c r="B227" s="171" t="str">
        <x:v>LO4</x:v>
      </x:c>
      <x:c r="C227" s="165" t="str">
        <x:v>世界の主要な酒精強化ワイン</x:v>
      </x:c>
      <x:c r="D227" s="165" t="str">
        <x:v>シマ・コルゴ</x:v>
      </x:c>
      <x:c r="E227" s="165" t="str">
        <x:v>シマ・コルゴが上質なヴィンテージ・ポートの重要な供給地となる理由はどれか。</x:v>
      </x:c>
      <x:c r="F227" s="165" t="str">
        <x:v>最も湿潤な平地で、極端な高収量だけを目的とする</x:v>
      </x:c>
      <x:c r="G227" s="165" t="str">
        <x:v>十分に温暖で乾燥しながら、極端な暑さがやや緩和され、凝縮した成熟ブドウを得やすい</x:v>
      </x:c>
      <x:c r="H227" s="165" t="str">
        <x:v>果房を海水へ浸して糖を加える</x:v>
      </x:c>
      <x:c r="I227" s="165" t="str">
        <x:v>発泡性ワイン用の低糖度ブドウだけを収穫する</x:v>
      </x:c>
      <x:c r="J227" s="171" t="str">
        <x:v>B</x:v>
      </x:c>
      <x:c r="K227" s="165" t="str">
        <x:v>十分に温暖で乾燥しながら、極端な暑さがやや緩和され、凝縮した成熟ブドウを得やすい</x:v>
      </x:c>
      <x:c r="L227" s="165" t="str">
        <x:v>シマ・コルゴはドウロ中央部に位置し、成熟と酸のバランスを得やすい急斜面の畑が多く、上質ポートの中心地となる。</x:v>
      </x:c>
      <x:c r="M227" s="165" t="str">
        <x:v>誤り。 急斜面と比較的乾燥した条件で、凝縮度が重要である。</x:v>
      </x:c>
      <x:c r="N227" s="165" t="str">
        <x:v>正しい。 シマ・コルゴはドウロ中央部に位置し、成熟と酸のバランスを得やすい急斜面の畑が多く、上質ポートの中心地となる。</x:v>
      </x:c>
      <x:c r="O227" s="165" t="str">
        <x:v>誤り。 糖はブドウの成熟で蓄積し、海水へ浸さない。</x:v>
      </x:c>
      <x:c r="P227" s="165" t="str">
        <x:v>誤り。 ポートには高い成熟度と濃い果実が求められる。</x:v>
      </x:c>
      <x:c r="Q227" s="165" t="str">
        <x:v>自然要因・産地</x:v>
      </x:c>
      <x:c r="R227" s="165" t="str">
        <x:v>ドウロ小地域・品質</x:v>
      </x:c>
      <x:c r="S227" s="165" t="str">
        <x:v>酒精強化ワイン</x:v>
      </x:c>
      <x:c r="T227" s="165" t="str">
        <x:v>ポルトガル</x:v>
      </x:c>
      <x:c r="U227" s="165" t="str">
        <x:v>ドウロ／シマ・コルゴ</x:v>
      </x:c>
      <x:c r="V227" s="165"/>
      <x:c r="W227" s="165" t="str">
        <x:v>統合判断</x:v>
      </x:c>
      <x:c r="X227" s="171" t="str">
        <x:v>D3</x:v>
      </x:c>
      <x:c r="Y227" s="165" t="str">
        <x:v>シマコルゴは湿潤平地高収量; 海水糖添加; 発泡用低糖</x:v>
      </x:c>
      <x:c r="Z227" s="171" t="str">
        <x:v>N</x:v>
      </x:c>
      <x:c r="AA227" s="165"/>
      <x:c r="AB227" s="165" t="str">
        <x:v>オリジナル</x:v>
      </x:c>
      <x:c r="AC227" s="165" t="str">
        <x:v>公式Specificationの範囲＋ユーザー作成コーパスの論点と問題設計例を参考に独自作成</x:v>
      </x:c>
      <x:c r="AD227" s="171" t="str">
        <x:v>未レビュー</x:v>
      </x:c>
      <x:c r="AE227" s="171"/>
      <x:c r="AF227" s="171"/>
      <x:c r="AG227" s="166"/>
    </x:row>
    <x:row r="228" ht="84" customHeight="1">
      <x:c r="A228" s="164" t="str">
        <x:v>LO4-027</x:v>
      </x:c>
      <x:c r="B228" s="171" t="str">
        <x:v>LO4</x:v>
      </x:c>
      <x:c r="C228" s="165" t="str">
        <x:v>世界の主要な酒精強化ワイン</x:v>
      </x:c>
      <x:c r="D228" s="165" t="str">
        <x:v>ドウロ・スペリオール</x:v>
      </x:c>
      <x:c r="E228" s="165" t="str">
        <x:v>ドウロ・スペリオールでブドウ栽培の水分管理が難しくなりやすい主な理由はどれか。</x:v>
      </x:c>
      <x:c r="F228" s="165" t="str">
        <x:v>一年中豪雨で土壌が常に冠水する</x:v>
      </x:c>
      <x:c r="G228" s="165" t="str">
        <x:v>氷河に覆われ、根が水を吸えない</x:v>
      </x:c>
      <x:c r="H228" s="165" t="str">
        <x:v>最も東に位置して暑く乾燥し、降雨が少なく蒸発量が大きい</x:v>
      </x:c>
      <x:c r="I228" s="165" t="str">
        <x:v>大西洋の冷たい霧が一日中畑を覆う</x:v>
      </x:c>
      <x:c r="J228" s="171" t="str">
        <x:v>C</x:v>
      </x:c>
      <x:c r="K228" s="165" t="str">
        <x:v>最も東に位置して暑く乾燥し、降雨が少なく蒸発量が大きい</x:v>
      </x:c>
      <x:c r="L228" s="165" t="str">
        <x:v>スペイン国境に近い東部は海洋の影響が弱く、極端な高温と乾燥が水不足を招きやすいため、若木などでは灌漑が重要になることがある。</x:v>
      </x:c>
      <x:c r="M228" s="165" t="str">
        <x:v>誤り。 ドウロ・スペリオールは最も乾燥した小地域である。</x:v>
      </x:c>
      <x:c r="N228" s="165" t="str">
        <x:v>誤り。 温暖で乾燥した地域で、氷河に覆われていない。</x:v>
      </x:c>
      <x:c r="O228" s="165" t="str">
        <x:v>正しい。 スペイン国境に近い東部は海洋の影響が弱く、極端な高温と乾燥が水不足を招きやすいため、若木などでは灌漑が重要になることがある。</x:v>
      </x:c>
      <x:c r="P228" s="165" t="str">
        <x:v>誤り。 東部は大西洋の影響が弱く、霧が主な問題ではない。</x:v>
      </x:c>
      <x:c r="Q228" s="165" t="str">
        <x:v>自然・人的要因</x:v>
      </x:c>
      <x:c r="R228" s="165" t="str">
        <x:v>乾燥・灌漑</x:v>
      </x:c>
      <x:c r="S228" s="165" t="str">
        <x:v>酒精強化ワイン</x:v>
      </x:c>
      <x:c r="T228" s="165" t="str">
        <x:v>ポルトガル</x:v>
      </x:c>
      <x:c r="U228" s="165" t="str">
        <x:v>ドウロ／ドウロ・スペリオール</x:v>
      </x:c>
      <x:c r="V228" s="165"/>
      <x:c r="W228" s="165" t="str">
        <x:v>因果説明</x:v>
      </x:c>
      <x:c r="X228" s="171" t="str">
        <x:v>D2</x:v>
      </x:c>
      <x:c r="Y228" s="165" t="str">
        <x:v>ドウロスペリオールは豪雨・氷河・沿岸霧</x:v>
      </x:c>
      <x:c r="Z228" s="171" t="str">
        <x:v>N</x:v>
      </x:c>
      <x:c r="AA228" s="165"/>
      <x:c r="AB228" s="165" t="str">
        <x:v>オリジナル</x:v>
      </x:c>
      <x:c r="AC228" s="165" t="str">
        <x:v>公式Specificationの範囲＋ユーザー作成コーパスの論点と問題設計例を参考に独自作成</x:v>
      </x:c>
      <x:c r="AD228" s="171" t="str">
        <x:v>未レビュー</x:v>
      </x:c>
      <x:c r="AE228" s="171"/>
      <x:c r="AF228" s="171"/>
      <x:c r="AG228" s="166"/>
    </x:row>
    <x:row r="229" ht="84" customHeight="1">
      <x:c r="A229" s="164" t="str">
        <x:v>LO4-028</x:v>
      </x:c>
      <x:c r="B229" s="171" t="str">
        <x:v>LO4</x:v>
      </x:c>
      <x:c r="C229" s="165" t="str">
        <x:v>世界の主要な酒精強化ワイン</x:v>
      </x:c>
      <x:c r="D229" s="165" t="str">
        <x:v>段々畑</x:v>
      </x:c>
      <x:c r="E229" s="165" t="str">
        <x:v>ドウロの急斜面を段々畑にする主な利点と欠点はどれか。</x:v>
      </x:c>
      <x:c r="F229" s="165" t="str">
        <x:v>斜面を完全に平地へ変え、すべての費用をなくす</x:v>
      </x:c>
      <x:c r="G229" s="165" t="str">
        <x:v>降雨を増やし、水不足を永久に解消する</x:v>
      </x:c>
      <x:c r="H229" s="165" t="str">
        <x:v>ブドウを酒精強化し、発酵を止める</x:v>
      </x:c>
      <x:c r="I229" s="165" t="str">
        <x:v>植栽と作業を可能にする一方、造成・維持費が高く、機械化が制限される</x:v>
      </x:c>
      <x:c r="J229" s="171" t="str">
        <x:v>D</x:v>
      </x:c>
      <x:c r="K229" s="165" t="str">
        <x:v>植栽と作業を可能にする一方、造成・維持費が高く、機械化が制限される</x:v>
      </x:c>
      <x:c r="L229" s="165" t="str">
        <x:v>斜面を整えることで土壌を保持しアクセスを改善するが、石壁やテラスの建設・補修、手作業が生産コストを押し上げる。</x:v>
      </x:c>
      <x:c r="M229" s="165" t="str">
        <x:v>誤り。 段々畑でも斜面は残り、造成と維持に大きな費用がかかる。</x:v>
      </x:c>
      <x:c r="N229" s="165" t="str">
        <x:v>誤り。 テラスは降雨量を変えず、水分管理が引き続き必要である。</x:v>
      </x:c>
      <x:c r="O229" s="165" t="str">
        <x:v>誤り。 酒精強化はワイナリーの工程で、段々畑の機能ではない。</x:v>
      </x:c>
      <x:c r="P229" s="165" t="str">
        <x:v>正しい。 斜面を整えることで土壌を保持しアクセスを改善するが、石壁やテラスの建設・補修、手作業が生産コストを押し上げる。</x:v>
      </x:c>
      <x:c r="Q229" s="165" t="str">
        <x:v>人的要因（畑）・商業</x:v>
      </x:c>
      <x:c r="R229" s="165" t="str">
        <x:v>段々畑・生産コスト</x:v>
      </x:c>
      <x:c r="S229" s="165" t="str">
        <x:v>酒精強化ワイン</x:v>
      </x:c>
      <x:c r="T229" s="165" t="str">
        <x:v>ポルトガル</x:v>
      </x:c>
      <x:c r="U229" s="165" t="str">
        <x:v>ドウロ</x:v>
      </x:c>
      <x:c r="V229" s="165"/>
      <x:c r="W229" s="165" t="str">
        <x:v>統合判断</x:v>
      </x:c>
      <x:c r="X229" s="171" t="str">
        <x:v>D3</x:v>
      </x:c>
      <x:c r="Y229" s="165" t="str">
        <x:v>テラスで費用ゼロ・降雨増加・酒精強化</x:v>
      </x:c>
      <x:c r="Z229" s="171" t="str">
        <x:v>N</x:v>
      </x:c>
      <x:c r="AA229" s="165"/>
      <x:c r="AB229" s="165" t="str">
        <x:v>オリジナル</x:v>
      </x:c>
      <x:c r="AC229" s="165" t="str">
        <x:v>公式Specificationの範囲＋ユーザー作成コーパスの論点と問題設計例を参考に独自作成</x:v>
      </x:c>
      <x:c r="AD229" s="171" t="str">
        <x:v>未レビュー</x:v>
      </x:c>
      <x:c r="AE229" s="171"/>
      <x:c r="AF229" s="171"/>
      <x:c r="AG229" s="166"/>
    </x:row>
    <x:row r="230" ht="84" customHeight="1">
      <x:c r="A230" s="164" t="str">
        <x:v>LO4-029</x:v>
      </x:c>
      <x:c r="B230" s="171" t="str">
        <x:v>LO4</x:v>
      </x:c>
      <x:c r="C230" s="165" t="str">
        <x:v>世界の主要な酒精強化ワイン</x:v>
      </x:c>
      <x:c r="D230" s="165" t="str">
        <x:v>ラガール</x:v>
      </x:c>
      <x:c r="E230" s="165" t="str">
        <x:v>伝統的なラガールで足踏みを行う利点として最も適切なものはどれか。</x:v>
      </x:c>
      <x:c r="F230" s="165" t="str">
        <x:v>短い発酵時間で、種を過度に砕かずに果皮から色とタンニンを効率よく抽出できる</x:v>
      </x:c>
      <x:c r="G230" s="165" t="str">
        <x:v>果汁を凍結し、水分を氷として除く</x:v>
      </x:c>
      <x:c r="H230" s="165" t="str">
        <x:v>フロールを育て、生物学的熟成を始める</x:v>
      </x:c>
      <x:c r="I230" s="165" t="str">
        <x:v>色とタンニンをすべて除去する</x:v>
      </x:c>
      <x:c r="J230" s="171" t="str">
        <x:v>A</x:v>
      </x:c>
      <x:c r="K230" s="165" t="str">
        <x:v>短い発酵時間で、種を過度に砕かずに果皮から色とタンニンを効率よく抽出できる</x:v>
      </x:c>
      <x:c r="L230" s="165" t="str">
        <x:v>人の足は果皮を押しつぶしながら種子を比較的壊しにくく、酒精強化までの短期間に均一な抽出を得やすい。</x:v>
      </x:c>
      <x:c r="M230" s="165" t="str">
        <x:v>正しい。 人の足は果皮を押しつぶしながら種子を比較的壊しにくく、酒精強化までの短期間に均一な抽出を得やすい。</x:v>
      </x:c>
      <x:c r="N230" s="165" t="str">
        <x:v>誤り。 足踏みは抽出のためで、凍結濃縮ではない。</x:v>
      </x:c>
      <x:c r="O230" s="165" t="str">
        <x:v>誤り。 フロール熟成はシェリーの工程である。</x:v>
      </x:c>
      <x:c r="P230" s="165" t="str">
        <x:v>誤り。 目的は短期間で色とタンニンを抽出することである。</x:v>
      </x:c>
      <x:c r="Q230" s="165" t="str">
        <x:v>酒精強化ワイン製法</x:v>
      </x:c>
      <x:c r="R230" s="165" t="str">
        <x:v>ポート・抽出・ラガール</x:v>
      </x:c>
      <x:c r="S230" s="165" t="str">
        <x:v>酒精強化ワイン</x:v>
      </x:c>
      <x:c r="T230" s="165" t="str">
        <x:v>ポルトガル</x:v>
      </x:c>
      <x:c r="U230" s="165" t="str">
        <x:v>ドウロ</x:v>
      </x:c>
      <x:c r="V230" s="165"/>
      <x:c r="W230" s="165" t="str">
        <x:v>因果説明</x:v>
      </x:c>
      <x:c r="X230" s="171" t="str">
        <x:v>D2</x:v>
      </x:c>
      <x:c r="Y230" s="165" t="str">
        <x:v>ラガールは凍結・フロール・脱色</x:v>
      </x:c>
      <x:c r="Z230" s="171" t="str">
        <x:v>N</x:v>
      </x:c>
      <x:c r="AA230" s="165"/>
      <x:c r="AB230" s="165" t="str">
        <x:v>オリジナル</x:v>
      </x:c>
      <x:c r="AC230" s="165" t="str">
        <x:v>公式Specificationの範囲＋ユーザー作成コーパスの論点と問題設計例を参考に独自作成</x:v>
      </x:c>
      <x:c r="AD230" s="171" t="str">
        <x:v>未レビュー</x:v>
      </x:c>
      <x:c r="AE230" s="171"/>
      <x:c r="AF230" s="171"/>
      <x:c r="AG230" s="166"/>
    </x:row>
    <x:row r="231" ht="84" customHeight="1">
      <x:c r="A231" s="164" t="str">
        <x:v>LO4-030</x:v>
      </x:c>
      <x:c r="B231" s="171" t="str">
        <x:v>LO4</x:v>
      </x:c>
      <x:c r="C231" s="165" t="str">
        <x:v>世界の主要な酒精強化ワイン</x:v>
      </x:c>
      <x:c r="D231" s="165" t="str">
        <x:v>オートヴィニファイアー</x:v>
      </x:c>
      <x:c r="E231" s="165" t="str">
        <x:v>オートヴィニファイアーがポート生産で抽出を促す仕組みはどれか。</x:v>
      </x:c>
      <x:c r="F231" s="165" t="str">
        <x:v>外部から酸素を固体として加え、種を凍結する</x:v>
      </x:c>
      <x:c r="G231" s="165" t="str">
        <x:v>発酵で生じる二酸化炭素の圧力を利用し、果汁を果皮の層へ循環させる</x:v>
      </x:c>
      <x:c r="H231" s="165" t="str">
        <x:v>瓶内の澱を口元へ集める</x:v>
      </x:c>
      <x:c r="I231" s="165" t="str">
        <x:v>酒精強化後のポートからアルコールを除去する</x:v>
      </x:c>
      <x:c r="J231" s="171" t="str">
        <x:v>B</x:v>
      </x:c>
      <x:c r="K231" s="165" t="str">
        <x:v>発酵で生じる二酸化炭素の圧力を利用し、果汁を果皮の層へ循環させる</x:v>
      </x:c>
      <x:c r="L231" s="165" t="str">
        <x:v>発酵ガスを利用して自動的に液体を上から散布し、短い発酵期間に効率よく色とタンニンを抽出する。</x:v>
      </x:c>
      <x:c r="M231" s="165" t="str">
        <x:v>誤り。 二酸化炭素の圧力と果汁循環を利用する装置で、酸素の固体化や凍結ではない。</x:v>
      </x:c>
      <x:c r="N231" s="165" t="str">
        <x:v>正しい。 発酵ガスを利用して自動的に液体を上から散布し、短い発酵期間に効率よく色とタンニンを抽出する。</x:v>
      </x:c>
      <x:c r="O231" s="165" t="str">
        <x:v>誤り。 これは発泡性ワインのルミュアージュである。</x:v>
      </x:c>
      <x:c r="P231" s="165" t="str">
        <x:v>誤り。 抽出装置であり、脱アルコール設備ではない。</x:v>
      </x:c>
      <x:c r="Q231" s="165" t="str">
        <x:v>酒精強化ワイン製法</x:v>
      </x:c>
      <x:c r="R231" s="165" t="str">
        <x:v>ポート・抽出・機械化</x:v>
      </x:c>
      <x:c r="S231" s="165" t="str">
        <x:v>酒精強化ワイン</x:v>
      </x:c>
      <x:c r="T231" s="165" t="str">
        <x:v>ポルトガル</x:v>
      </x:c>
      <x:c r="U231" s="165" t="str">
        <x:v>ドウロ</x:v>
      </x:c>
      <x:c r="V231" s="165"/>
      <x:c r="W231" s="165" t="str">
        <x:v>因果説明</x:v>
      </x:c>
      <x:c r="X231" s="171" t="str">
        <x:v>D2</x:v>
      </x:c>
      <x:c r="Y231" s="165" t="str">
        <x:v>オートヴィニファイアーは凍結・動瓶・脱アルコール</x:v>
      </x:c>
      <x:c r="Z231" s="171" t="str">
        <x:v>N</x:v>
      </x:c>
      <x:c r="AA231" s="165"/>
      <x:c r="AB231" s="165" t="str">
        <x:v>オリジナル</x:v>
      </x:c>
      <x:c r="AC231" s="165" t="str">
        <x:v>公式Specificationの範囲＋ユーザー作成コーパスの論点と問題設計例を参考に独自作成</x:v>
      </x:c>
      <x:c r="AD231" s="171" t="str">
        <x:v>未レビュー</x:v>
      </x:c>
      <x:c r="AE231" s="171"/>
      <x:c r="AF231" s="171"/>
      <x:c r="AG231" s="166"/>
    </x:row>
    <x:row r="232" ht="84" customHeight="1">
      <x:c r="A232" s="164" t="str">
        <x:v>LO4-031</x:v>
      </x:c>
      <x:c r="B232" s="171" t="str">
        <x:v>LO4</x:v>
      </x:c>
      <x:c r="C232" s="165" t="str">
        <x:v>世界の主要な酒精強化ワイン</x:v>
      </x:c>
      <x:c r="D232" s="165" t="str">
        <x:v>酒精強化のタイミング</x:v>
      </x:c>
      <x:c r="E232" s="165" t="str">
        <x:v>同じブドウ果汁から、より甘いポートを造るために最も直接的に調整するものはどれか。</x:v>
      </x:c>
      <x:c r="F232" s="165" t="str">
        <x:v>発酵を完全に終えてから、糖をすべて除去する</x:v>
      </x:c>
      <x:c r="G232" s="165" t="str">
        <x:v>果皮接触を短くし、色だけを減らす</x:v>
      </x:c>
      <x:c r="H232" s="165" t="str">
        <x:v>発酵のより早い段階で酒精強化し、残る糖を多くする</x:v>
      </x:c>
      <x:c r="I232" s="165" t="str">
        <x:v>澱熟成を長くし、糖を新たに作る</x:v>
      </x:c>
      <x:c r="J232" s="171" t="str">
        <x:v>C</x:v>
      </x:c>
      <x:c r="K232" s="165" t="str">
        <x:v>発酵のより早い段階で酒精強化し、残る糖を多くする</x:v>
      </x:c>
      <x:c r="L232" s="165" t="str">
        <x:v>蒸留酒を加えると酵母の働きが止まるため、早く酒精強化するほど発酵されずに残る糖が多くなる。</x:v>
      </x:c>
      <x:c r="M232" s="165" t="str">
        <x:v>誤り。 完全発酵後は残糖が少なくなり、より甘いスタイルにはならない。</x:v>
      </x:c>
      <x:c r="N232" s="165" t="str">
        <x:v>誤り。 果皮接触は色とタンニンに影響するが、甘味を直接決めない。</x:v>
      </x:c>
      <x:c r="O232" s="165" t="str">
        <x:v>正しい。 蒸留酒を加えると酵母の働きが止まるため、早く酒精強化するほど発酵されずに残る糖が多くなる。</x:v>
      </x:c>
      <x:c r="P232" s="165" t="str">
        <x:v>誤り。 澱は糖を作らず、甘味は主に発酵停止時点の残糖で決まる。</x:v>
      </x:c>
      <x:c r="Q232" s="165" t="str">
        <x:v>酒精強化ワイン製法</x:v>
      </x:c>
      <x:c r="R232" s="165" t="str">
        <x:v>発酵停止・残糖</x:v>
      </x:c>
      <x:c r="S232" s="165" t="str">
        <x:v>酒精強化ワイン</x:v>
      </x:c>
      <x:c r="T232" s="165" t="str">
        <x:v>ポルトガル</x:v>
      </x:c>
      <x:c r="U232" s="165" t="str">
        <x:v>ドウロ</x:v>
      </x:c>
      <x:c r="V232" s="165"/>
      <x:c r="W232" s="165" t="str">
        <x:v>適用</x:v>
      </x:c>
      <x:c r="X232" s="171" t="str">
        <x:v>D2</x:v>
      </x:c>
      <x:c r="Y232" s="165" t="str">
        <x:v>完全発酵で甘口; 果皮接触・澱が糖を作る</x:v>
      </x:c>
      <x:c r="Z232" s="171" t="str">
        <x:v>N</x:v>
      </x:c>
      <x:c r="AA232" s="165"/>
      <x:c r="AB232" s="165" t="str">
        <x:v>オリジナル</x:v>
      </x:c>
      <x:c r="AC232" s="165" t="str">
        <x:v>公式Specificationの範囲＋ユーザー作成コーパスの論点と問題設計例を参考に独自作成</x:v>
      </x:c>
      <x:c r="AD232" s="171" t="str">
        <x:v>未レビュー</x:v>
      </x:c>
      <x:c r="AE232" s="171"/>
      <x:c r="AF232" s="171"/>
      <x:c r="AG232" s="166"/>
    </x:row>
    <x:row r="233" ht="84" customHeight="1">
      <x:c r="A233" s="164" t="str">
        <x:v>LO4-032</x:v>
      </x:c>
      <x:c r="B233" s="171" t="str">
        <x:v>LO4</x:v>
      </x:c>
      <x:c r="C233" s="165" t="str">
        <x:v>世界の主要な酒精強化ワイン</x:v>
      </x:c>
      <x:c r="D233" s="165" t="str">
        <x:v>ポートの酒精</x:v>
      </x:c>
      <x:c r="E233" s="165" t="str">
        <x:v>ポートの酒精強化に用いる蒸留酒に求められる性質として最も適切なものはどれか。</x:v>
      </x:c>
      <x:c r="F233" s="165" t="str">
        <x:v>強い泥炭香を持ち、ポートの果実香を完全に隠す</x:v>
      </x:c>
      <x:c r="G233" s="165" t="str">
        <x:v>アルコールを含まず、糖だけを加える</x:v>
      </x:c>
      <x:c r="H233" s="165" t="str">
        <x:v>二酸化炭素だけでできており、泡を作る</x:v>
      </x:c>
      <x:c r="I233" s="165" t="str">
        <x:v>高いアルコール度を持ち、ブドウ果実の香りを過度に覆わない比較的ニュートラルな性質</x:v>
      </x:c>
      <x:c r="J233" s="171" t="str">
        <x:v>D</x:v>
      </x:c>
      <x:c r="K233" s="165" t="str">
        <x:v>高いアルコール度を持ち、ブドウ果実の香りを過度に覆わない比較的ニュートラルな性質</x:v>
      </x:c>
      <x:c r="L233" s="165" t="str">
        <x:v>少量で発酵を止め、最終アルコール度を上げる必要があるため、高濃度で清潔、ニュートラルなブドウ由来の蒸留酒が適する。</x:v>
      </x:c>
      <x:c r="M233" s="165" t="str">
        <x:v>誤り。 酒精はポートの果実と品種香を支える必要があり、過度に強い香りは望ましくない。</x:v>
      </x:c>
      <x:c r="N233" s="165" t="str">
        <x:v>誤り。 酒精強化にはアルコールを含む蒸留酒が必要である。</x:v>
      </x:c>
      <x:c r="O233" s="165" t="str">
        <x:v>誤り。 酒精強化はアルコール添加で、炭酸ガス注入ではない。</x:v>
      </x:c>
      <x:c r="P233" s="165" t="str">
        <x:v>正しい。 少量で発酵を止め、最終アルコール度を上げる必要があるため、高濃度で清潔、ニュートラルなブドウ由来の蒸留酒が適する。</x:v>
      </x:c>
      <x:c r="Q233" s="165" t="str">
        <x:v>酒精強化ワイン製法</x:v>
      </x:c>
      <x:c r="R233" s="165" t="str">
        <x:v>酒精・ニュートラル性</x:v>
      </x:c>
      <x:c r="S233" s="165" t="str">
        <x:v>酒精強化ワイン</x:v>
      </x:c>
      <x:c r="T233" s="165" t="str">
        <x:v>ポルトガル</x:v>
      </x:c>
      <x:c r="U233" s="165" t="str">
        <x:v>ドウロ</x:v>
      </x:c>
      <x:c r="V233" s="165"/>
      <x:c r="W233" s="165" t="str">
        <x:v>知識確認</x:v>
      </x:c>
      <x:c r="X233" s="171" t="str">
        <x:v>D1</x:v>
      </x:c>
      <x:c r="Y233" s="165" t="str">
        <x:v>酒精は強い泥炭香・無アルコール・CO2</x:v>
      </x:c>
      <x:c r="Z233" s="171" t="str">
        <x:v>N</x:v>
      </x:c>
      <x:c r="AA233" s="165"/>
      <x:c r="AB233" s="165" t="str">
        <x:v>オリジナル</x:v>
      </x:c>
      <x:c r="AC233" s="165" t="str">
        <x:v>公式Specificationの範囲＋ユーザー作成コーパスの論点と問題設計例を参考に独自作成</x:v>
      </x:c>
      <x:c r="AD233" s="171" t="str">
        <x:v>未レビュー</x:v>
      </x:c>
      <x:c r="AE233" s="171"/>
      <x:c r="AF233" s="171"/>
      <x:c r="AG233" s="166"/>
    </x:row>
    <x:row r="234" ht="84" customHeight="1">
      <x:c r="A234" s="164" t="str">
        <x:v>LO4-033</x:v>
      </x:c>
      <x:c r="B234" s="171" t="str">
        <x:v>LO4</x:v>
      </x:c>
      <x:c r="C234" s="165" t="str">
        <x:v>世界の主要な酒精強化ワイン</x:v>
      </x:c>
      <x:c r="D234" s="165" t="str">
        <x:v>ルビー・リザーヴ</x:v>
      </x:c>
      <x:c r="E234" s="165" t="str">
        <x:v>ルビー・リザーヴが基本的なルビー・ポートより豊かなスタイルになりやすい理由はどれか。</x:v>
      </x:c>
      <x:c r="F234" s="165" t="str">
        <x:v>より品質の高い、色と果実味の強い複数ロットを選んでブレンドする</x:v>
      </x:c>
      <x:c r="G234" s="165" t="str">
        <x:v>数十年の小樽酸化熟成で色を褐色にする</x:v>
      </x:c>
      <x:c r="H234" s="165" t="str">
        <x:v>フロールの下で生物学的熟成する</x:v>
      </x:c>
      <x:c r="I234" s="165" t="str">
        <x:v>発酵を完全に辛口まで進め、酒精強化しない</x:v>
      </x:c>
      <x:c r="J234" s="171" t="str">
        <x:v>A</x:v>
      </x:c>
      <x:c r="K234" s="165" t="str">
        <x:v>より品質の高い、色と果実味の強い複数ロットを選んでブレンドする</x:v>
      </x:c>
      <x:c r="L234" s="165" t="str">
        <x:v>ルビー・リザーヴは果実味を保つ比較的短い熟成を行いながら、より凝縮したワインを選別してブレンドするため、豊かなスタイルになる。</x:v>
      </x:c>
      <x:c r="M234" s="165" t="str">
        <x:v>正しい。 ルビー・リザーヴは果実味を保つ比較的短い熟成を行いながら、より凝縮したワインを選別してブレンドするため、豊かなスタイルになる。</x:v>
      </x:c>
      <x:c r="N234" s="165" t="str">
        <x:v>誤り。 これは年数表記トーニーなどのスタイルに近い。</x:v>
      </x:c>
      <x:c r="O234" s="165" t="str">
        <x:v>誤り。 ポートでフロール熟成は行わない。</x:v>
      </x:c>
      <x:c r="P234" s="165" t="str">
        <x:v>誤り。 ルビー・ポートは甘口の酒精強化ワインである。</x:v>
      </x:c>
      <x:c r="Q234" s="165" t="str">
        <x:v>法律面・スタイル</x:v>
      </x:c>
      <x:c r="R234" s="165" t="str">
        <x:v>ルビー・リザーヴ</x:v>
      </x:c>
      <x:c r="S234" s="165" t="str">
        <x:v>酒精強化ワイン</x:v>
      </x:c>
      <x:c r="T234" s="165" t="str">
        <x:v>ポルトガル</x:v>
      </x:c>
      <x:c r="U234" s="165" t="str">
        <x:v>ポート</x:v>
      </x:c>
      <x:c r="V234" s="165"/>
      <x:c r="W234" s="165" t="str">
        <x:v>比較</x:v>
      </x:c>
      <x:c r="X234" s="171" t="str">
        <x:v>D2</x:v>
      </x:c>
      <x:c r="Y234" s="165" t="str">
        <x:v>ルビーリザーヴは長期酸化・フロール・非酒精強化</x:v>
      </x:c>
      <x:c r="Z234" s="171" t="str">
        <x:v>Y</x:v>
      </x:c>
      <x:c r="AA234" s="165" t="str">
        <x:v>Reserve表示の現行要件と日本語教材での名称表記を最終照合推奨</x:v>
      </x:c>
      <x:c r="AB234" s="165" t="str">
        <x:v>オリジナル</x:v>
      </x:c>
      <x:c r="AC234" s="165" t="str">
        <x:v>公式Specificationの範囲＋ユーザー作成コーパスの論点と問題設計例を参考に独自作成</x:v>
      </x:c>
      <x:c r="AD234" s="171" t="str">
        <x:v>未レビュー</x:v>
      </x:c>
      <x:c r="AE234" s="171"/>
      <x:c r="AF234" s="171"/>
      <x:c r="AG234" s="166"/>
    </x:row>
    <x:row r="235" ht="84" customHeight="1">
      <x:c r="A235" s="164" t="str">
        <x:v>LO4-034</x:v>
      </x:c>
      <x:c r="B235" s="171" t="str">
        <x:v>LO4</x:v>
      </x:c>
      <x:c r="C235" s="165" t="str">
        <x:v>世界の主要な酒精強化ワイン</x:v>
      </x:c>
      <x:c r="D235" s="165" t="str">
        <x:v>トーニー・リザーヴ</x:v>
      </x:c>
      <x:c r="E235" s="165" t="str">
        <x:v>トーニー・リザーヴをルビー・リザーヴと比較した場合に期待される特徴はどれか。</x:v>
      </x:c>
      <x:c r="F235" s="165" t="str">
        <x:v>より深い紫色と一次的な黒果実だけを持つ</x:v>
      </x:c>
      <x:c r="G235" s="165" t="str">
        <x:v>より酸化熟成の影響があり、乾燥果実、ナッツ、キャラメルを思わせる風味</x:v>
      </x:c>
      <x:c r="H235" s="165" t="str">
        <x:v>フロールによるアーモンド香と完全な辛口</x:v>
      </x:c>
      <x:c r="I235" s="165" t="str">
        <x:v>瓶内二次発酵による強い泡を持つ</x:v>
      </x:c>
      <x:c r="J235" s="171" t="str">
        <x:v>B</x:v>
      </x:c>
      <x:c r="K235" s="165" t="str">
        <x:v>より酸化熟成の影響があり、乾燥果実、ナッツ、キャラメルを思わせる風味</x:v>
      </x:c>
      <x:c r="L235" s="165" t="str">
        <x:v>木樽での酸素接触が色を淡い褐色へ変え、一次的な黒果実よりナッツや乾燥果実の熟成香を発達させる。</x:v>
      </x:c>
      <x:c r="M235" s="165" t="str">
        <x:v>誤り。 これは還元的に熟成した若いルビー系に近い。</x:v>
      </x:c>
      <x:c r="N235" s="165" t="str">
        <x:v>正しい。 木樽での酸素接触が色を淡い褐色へ変え、一次的な黒果実よりナッツや乾燥果実の熟成香を発達させる。</x:v>
      </x:c>
      <x:c r="O235" s="165" t="str">
        <x:v>誤り。 トーニーは甘口ポートで、フロール熟成ではない。</x:v>
      </x:c>
      <x:c r="P235" s="165" t="str">
        <x:v>誤り。 トーニーは非発泡性の酒精強化ワインである。</x:v>
      </x:c>
      <x:c r="Q235" s="165" t="str">
        <x:v>スタイル・熟成</x:v>
      </x:c>
      <x:c r="R235" s="165" t="str">
        <x:v>トーニー・リザーヴ</x:v>
      </x:c>
      <x:c r="S235" s="165" t="str">
        <x:v>酒精強化ワイン</x:v>
      </x:c>
      <x:c r="T235" s="165" t="str">
        <x:v>ポルトガル</x:v>
      </x:c>
      <x:c r="U235" s="165" t="str">
        <x:v>ポート</x:v>
      </x:c>
      <x:c r="V235" s="165"/>
      <x:c r="W235" s="165" t="str">
        <x:v>比較</x:v>
      </x:c>
      <x:c r="X235" s="171" t="str">
        <x:v>D2</x:v>
      </x:c>
      <x:c r="Y235" s="165" t="str">
        <x:v>トーニーは紫色若果実; フロール辛口; 発泡</x:v>
      </x:c>
      <x:c r="Z235" s="171" t="str">
        <x:v>N</x:v>
      </x:c>
      <x:c r="AA235" s="165"/>
      <x:c r="AB235" s="165" t="str">
        <x:v>オリジナル</x:v>
      </x:c>
      <x:c r="AC235" s="165" t="str">
        <x:v>公式Specificationの範囲＋ユーザー作成コーパスの論点と問題設計例を参考に独自作成</x:v>
      </x:c>
      <x:c r="AD235" s="171" t="str">
        <x:v>未レビュー</x:v>
      </x:c>
      <x:c r="AE235" s="171"/>
      <x:c r="AF235" s="171"/>
      <x:c r="AG235" s="166"/>
    </x:row>
    <x:row r="236" ht="84" customHeight="1">
      <x:c r="A236" s="164" t="str">
        <x:v>LO4-035</x:v>
      </x:c>
      <x:c r="B236" s="171" t="str">
        <x:v>LO4</x:v>
      </x:c>
      <x:c r="C236" s="165" t="str">
        <x:v>世界の主要な酒精強化ワイン</x:v>
      </x:c>
      <x:c r="D236" s="165" t="str">
        <x:v>無濾過LBV</x:v>
      </x:c>
      <x:c r="E236" s="165" t="str">
        <x:v>無濾過のLBVポートをサービスする際に、濾過済みLBVより注意が必要な点はどれか。</x:v>
      </x:c>
      <x:c r="F236" s="165" t="str">
        <x:v>炭酸ガスが強いため、ミュズレを外さず開ける</x:v>
      </x:c>
      <x:c r="G236" s="165" t="str">
        <x:v>フロールを壊さないよう、樽から直接注ぐ</x:v>
      </x:c>
      <x:c r="H236" s="165" t="str">
        <x:v>瓶内で沈殿が生じ得るため、必要に応じてデカンティングする</x:v>
      </x:c>
      <x:c r="I236" s="165" t="str">
        <x:v>酸が高すぎるため、水で必ず希釈する</x:v>
      </x:c>
      <x:c r="J236" s="171" t="str">
        <x:v>C</x:v>
      </x:c>
      <x:c r="K236" s="165" t="str">
        <x:v>瓶内で沈殿が生じ得るため、必要に応じてデカンティングする</x:v>
      </x:c>
      <x:c r="L236" s="165" t="str">
        <x:v>無濾過LBVは瓶内で熟成を続け、色素やタンニンが沈殿することがあるため、静置して澱を分けて注ぐ場合がある。</x:v>
      </x:c>
      <x:c r="M236" s="165" t="str">
        <x:v>誤り。 LBVは非発泡性で、発泡性ワインの開栓手順は不要である。</x:v>
      </x:c>
      <x:c r="N236" s="165" t="str">
        <x:v>誤り。 瓶詰めされたポートで、フロール熟成ではない。</x:v>
      </x:c>
      <x:c r="O236" s="165" t="str">
        <x:v>正しい。 無濾過LBVは瓶内で熟成を続け、色素やタンニンが沈殿することがあるため、静置して澱を分けて注ぐ場合がある。</x:v>
      </x:c>
      <x:c r="P236" s="165" t="str">
        <x:v>誤り。 水で希釈するサービスは行わず、問題は沈殿である。</x:v>
      </x:c>
      <x:c r="Q236" s="165" t="str">
        <x:v>法律面・サービス</x:v>
      </x:c>
      <x:c r="R236" s="165" t="str">
        <x:v>LBV・濾過・沈殿</x:v>
      </x:c>
      <x:c r="S236" s="165" t="str">
        <x:v>酒精強化ワイン</x:v>
      </x:c>
      <x:c r="T236" s="165" t="str">
        <x:v>ポルトガル</x:v>
      </x:c>
      <x:c r="U236" s="165" t="str">
        <x:v>ポート</x:v>
      </x:c>
      <x:c r="V236" s="165"/>
      <x:c r="W236" s="165" t="str">
        <x:v>適用</x:v>
      </x:c>
      <x:c r="X236" s="171" t="str">
        <x:v>D2</x:v>
      </x:c>
      <x:c r="Y236" s="165" t="str">
        <x:v>LBVは発泡・フロール・希釈</x:v>
      </x:c>
      <x:c r="Z236" s="171" t="str">
        <x:v>Y</x:v>
      </x:c>
      <x:c r="AA236" s="165" t="str">
        <x:v>濾過済み／無濾過LBVの表示とサービス説明を最新教材で最終照合推奨</x:v>
      </x:c>
      <x:c r="AB236" s="165" t="str">
        <x:v>オリジナル</x:v>
      </x:c>
      <x:c r="AC236" s="165" t="str">
        <x:v>公式Specificationの範囲＋ユーザー作成コーパスの論点と問題設計例を参考に独自作成</x:v>
      </x:c>
      <x:c r="AD236" s="171" t="str">
        <x:v>未レビュー</x:v>
      </x:c>
      <x:c r="AE236" s="171"/>
      <x:c r="AF236" s="171"/>
      <x:c r="AG236" s="166"/>
    </x:row>
    <x:row r="237" ht="84" customHeight="1">
      <x:c r="A237" s="164" t="str">
        <x:v>LO4-036</x:v>
      </x:c>
      <x:c r="B237" s="171" t="str">
        <x:v>LO4</x:v>
      </x:c>
      <x:c r="C237" s="165" t="str">
        <x:v>世界の主要な酒精強化ワイン</x:v>
      </x:c>
      <x:c r="D237" s="165" t="str">
        <x:v>ヴィンテージ宣言</x:v>
      </x:c>
      <x:c r="E237" s="165" t="str">
        <x:v>ヴィンテージ・ポートが毎年大量に造られるわけではない主な理由はどれか。</x:v>
      </x:c>
      <x:c r="F237" s="165" t="str">
        <x:v>法律でポートの生産が10年に一度だけ許可される</x:v>
      </x:c>
      <x:c r="G237" s="165" t="str">
        <x:v>ブドウが毎年一粒しか実らない</x:v>
      </x:c>
      <x:c r="H237" s="165" t="str">
        <x:v>ヴィンテージ・ポートは発泡性で、瓶が不足する</x:v>
      </x:c>
      <x:c r="I237" s="165" t="str">
        <x:v>長期瓶熟成に耐える特に高品質な年とロットだけが選ばれ、宣言されるため</x:v>
      </x:c>
      <x:c r="J237" s="171" t="str">
        <x:v>D</x:v>
      </x:c>
      <x:c r="K237" s="165" t="str">
        <x:v>長期瓶熟成に耐える特に高品質な年とロットだけが選ばれ、宣言されるため</x:v>
      </x:c>
      <x:c r="L237" s="165" t="str">
        <x:v>優れた成熟度、濃縮度、酸、タンニンを持つ年に、生産者が少量の最上ロットをヴィンテージとして瓶詰めする。</x:v>
      </x:c>
      <x:c r="M237" s="165" t="str">
        <x:v>誤り。 固定された周期ではなく、年の品質と生産者の判断による。</x:v>
      </x:c>
      <x:c r="N237" s="165" t="str">
        <x:v>誤り。 収量は年により変わるが、一粒しか実らないわけではない。</x:v>
      </x:c>
      <x:c r="O237" s="165" t="str">
        <x:v>誤り。 非発泡性の酒精強化ワインで、発泡性であることが生産制限理由ではない。</x:v>
      </x:c>
      <x:c r="P237" s="165" t="str">
        <x:v>正しい。 優れた成熟度、濃縮度、酸、タンニンを持つ年に、生産者が少量の最上ロットをヴィンテージとして瓶詰めする。</x:v>
      </x:c>
      <x:c r="Q237" s="165" t="str">
        <x:v>商業面・品質</x:v>
      </x:c>
      <x:c r="R237" s="165" t="str">
        <x:v>ヴィンテージ宣言・選別</x:v>
      </x:c>
      <x:c r="S237" s="165" t="str">
        <x:v>酒精強化ワイン</x:v>
      </x:c>
      <x:c r="T237" s="165" t="str">
        <x:v>ポルトガル</x:v>
      </x:c>
      <x:c r="U237" s="165" t="str">
        <x:v>ポート</x:v>
      </x:c>
      <x:c r="V237" s="165"/>
      <x:c r="W237" s="165" t="str">
        <x:v>統合判断</x:v>
      </x:c>
      <x:c r="X237" s="171" t="str">
        <x:v>D3</x:v>
      </x:c>
      <x:c r="Y237" s="165" t="str">
        <x:v>固定10年周期; 一粒収量; 発泡で瓶不足</x:v>
      </x:c>
      <x:c r="Z237" s="171" t="str">
        <x:v>N</x:v>
      </x:c>
      <x:c r="AA237" s="165"/>
      <x:c r="AB237" s="165" t="str">
        <x:v>オリジナル</x:v>
      </x:c>
      <x:c r="AC237" s="165" t="str">
        <x:v>公式Specificationの範囲＋ユーザー作成コーパスの論点と問題設計例を参考に独自作成</x:v>
      </x:c>
      <x:c r="AD237" s="171" t="str">
        <x:v>未レビュー</x:v>
      </x:c>
      <x:c r="AE237" s="171"/>
      <x:c r="AF237" s="171"/>
      <x:c r="AG237" s="166"/>
    </x:row>
    <x:row r="238" ht="84" customHeight="1">
      <x:c r="A238" s="164" t="str">
        <x:v>LO4-037</x:v>
      </x:c>
      <x:c r="B238" s="171" t="str">
        <x:v>LO4</x:v>
      </x:c>
      <x:c r="C238" s="165" t="str">
        <x:v>世界の主要な酒精強化ワイン</x:v>
      </x:c>
      <x:c r="D238" s="165" t="str">
        <x:v>アルバリサ土壌</x:v>
      </x:c>
      <x:c r="E238" s="165" t="str">
        <x:v>ヘレスのアルバリサ土壌が乾燥した夏のブドウ栽培に適する主な理由はどれか。</x:v>
      </x:c>
      <x:c r="F238" s="165" t="str">
        <x:v>冬の雨を多孔質の白亜質土壌に蓄え、表面を固めて蒸発を抑えられる</x:v>
      </x:c>
      <x:c r="G238" s="165" t="str">
        <x:v>海水を大量に蓄え、根へ塩分を供給する</x:v>
      </x:c>
      <x:c r="H238" s="165" t="str">
        <x:v>水を全く保持せず、根を毎日乾燥させる</x:v>
      </x:c>
      <x:c r="I238" s="165" t="str">
        <x:v>土壌自体が糖を作り、果汁へ直接移す</x:v>
      </x:c>
      <x:c r="J238" s="171" t="str">
        <x:v>A</x:v>
      </x:c>
      <x:c r="K238" s="165" t="str">
        <x:v>冬の雨を多孔質の白亜質土壌に蓄え、表面を固めて蒸発を抑えられる</x:v>
      </x:c>
      <x:c r="L238" s="165" t="str">
        <x:v>アルバリサは白亜を多く含み、雨季の水を保持して乾季に根へ供給する。表面を耕して土壌に膜を作り、水分損失を減らすこともある。</x:v>
      </x:c>
      <x:c r="M238" s="165" t="str">
        <x:v>正しい。 アルバリサは白亜を多く含み、雨季の水を保持して乾季に根へ供給する。表面を耕して土壌に膜を作り、水分損失を減らすこともある。</x:v>
      </x:c>
      <x:c r="N238" s="165" t="str">
        <x:v>誤り。 アルバリサの利点は淡水の保持で、塩水供給ではない。</x:v>
      </x:c>
      <x:c r="O238" s="165" t="str">
        <x:v>誤り。 多孔質構造で水を蓄えることが重要である。</x:v>
      </x:c>
      <x:c r="P238" s="165" t="str">
        <x:v>誤り。 糖は葉の光合成で作られ、土壌が直接作るものではない。</x:v>
      </x:c>
      <x:c r="Q238" s="165" t="str">
        <x:v>自然要因・産地</x:v>
      </x:c>
      <x:c r="R238" s="165" t="str">
        <x:v>土壌・水分保持</x:v>
      </x:c>
      <x:c r="S238" s="165" t="str">
        <x:v>酒精強化ワイン</x:v>
      </x:c>
      <x:c r="T238" s="165" t="str">
        <x:v>スペイン</x:v>
      </x:c>
      <x:c r="U238" s="165" t="str">
        <x:v>ヘレス</x:v>
      </x:c>
      <x:c r="V238" s="165" t="str">
        <x:v>パロミノ</x:v>
      </x:c>
      <x:c r="W238" s="165" t="str">
        <x:v>因果説明</x:v>
      </x:c>
      <x:c r="X238" s="171" t="str">
        <x:v>D2</x:v>
      </x:c>
      <x:c r="Y238" s="165" t="str">
        <x:v>アルバリサは塩水・無保水・糖生産</x:v>
      </x:c>
      <x:c r="Z238" s="171" t="str">
        <x:v>N</x:v>
      </x:c>
      <x:c r="AA238" s="165"/>
      <x:c r="AB238" s="165" t="str">
        <x:v>オリジナル</x:v>
      </x:c>
      <x:c r="AC238" s="165" t="str">
        <x:v>公式Specificationの範囲＋ユーザー作成コーパスの論点と問題設計例を参考に独自作成</x:v>
      </x:c>
      <x:c r="AD238" s="171" t="str">
        <x:v>未レビュー</x:v>
      </x:c>
      <x:c r="AE238" s="171"/>
      <x:c r="AF238" s="171"/>
      <x:c r="AG238" s="166"/>
    </x:row>
    <x:row r="239" ht="84" customHeight="1">
      <x:c r="A239" s="164" t="str">
        <x:v>LO4-038</x:v>
      </x:c>
      <x:c r="B239" s="171" t="str">
        <x:v>LO4</x:v>
      </x:c>
      <x:c r="C239" s="165" t="str">
        <x:v>世界の主要な酒精強化ワイン</x:v>
      </x:c>
      <x:c r="D239" s="165" t="str">
        <x:v>ヘレスの海洋影響</x:v>
      </x:c>
      <x:c r="E239" s="165" t="str">
        <x:v>ヘレス地域で大西洋からの風がブドウ栽培と熟成に与える重要な影響はどれか。</x:v>
      </x:c>
      <x:c r="F239" s="165" t="str">
        <x:v>畑を一年中凍結させ、アイスワインを造る</x:v>
      </x:c>
      <x:c r="G239" s="165" t="str">
        <x:v>暑さを和らげ、沿岸部の湿度を高め、フロールの活動を支える</x:v>
      </x:c>
      <x:c r="H239" s="165" t="str">
        <x:v>海水を樽へ入れ、塩味を直接加える</x:v>
      </x:c>
      <x:c r="I239" s="165" t="str">
        <x:v>湿度を完全にゼロにし、フロールを消す</x:v>
      </x:c>
      <x:c r="J239" s="171" t="str">
        <x:v>B</x:v>
      </x:c>
      <x:c r="K239" s="165" t="str">
        <x:v>暑さを和らげ、沿岸部の湿度を高め、フロールの活動を支える</x:v>
      </x:c>
      <x:c r="L239" s="165" t="str">
        <x:v>海洋からの涼しく湿った空気は畑の極端な高温を緩和し、サンルーカルなどではボデガ内のフロール維持にも有利に働く。</x:v>
      </x:c>
      <x:c r="M239" s="165" t="str">
        <x:v>誤り。 ヘレスは温暖な南スペインで、凍結が主な要因ではない。</x:v>
      </x:c>
      <x:c r="N239" s="165" t="str">
        <x:v>正しい。 海洋からの涼しく湿った空気は畑の極端な高温を緩和し、サンルーカルなどではボデガ内のフロール維持にも有利に働く。</x:v>
      </x:c>
      <x:c r="O239" s="165" t="str">
        <x:v>誤り。 海洋の影響は気候と湿度で、海水をワインへ加えない。</x:v>
      </x:c>
      <x:c r="P239" s="165" t="str">
        <x:v>誤り。 沿岸の湿度はフロールを支える方向に働く。</x:v>
      </x:c>
      <x:c r="Q239" s="165" t="str">
        <x:v>自然要因・産地</x:v>
      </x:c>
      <x:c r="R239" s="165" t="str">
        <x:v>海洋影響・湿度</x:v>
      </x:c>
      <x:c r="S239" s="165" t="str">
        <x:v>酒精強化ワイン</x:v>
      </x:c>
      <x:c r="T239" s="165" t="str">
        <x:v>スペイン</x:v>
      </x:c>
      <x:c r="U239" s="165" t="str">
        <x:v>ヘレス</x:v>
      </x:c>
      <x:c r="V239" s="165"/>
      <x:c r="W239" s="165" t="str">
        <x:v>因果説明</x:v>
      </x:c>
      <x:c r="X239" s="171" t="str">
        <x:v>D2</x:v>
      </x:c>
      <x:c r="Y239" s="165" t="str">
        <x:v>ヘレスは凍結; 海水添加; 海風で湿度ゼロ</x:v>
      </x:c>
      <x:c r="Z239" s="171" t="str">
        <x:v>N</x:v>
      </x:c>
      <x:c r="AA239" s="165"/>
      <x:c r="AB239" s="165" t="str">
        <x:v>オリジナル</x:v>
      </x:c>
      <x:c r="AC239" s="165" t="str">
        <x:v>公式Specificationの範囲＋ユーザー作成コーパスの論点と問題設計例を参考に独自作成</x:v>
      </x:c>
      <x:c r="AD239" s="171" t="str">
        <x:v>未レビュー</x:v>
      </x:c>
      <x:c r="AE239" s="171"/>
      <x:c r="AF239" s="171"/>
      <x:c r="AG239" s="166"/>
    </x:row>
    <x:row r="240" ht="84" customHeight="1">
      <x:c r="A240" s="164" t="str">
        <x:v>LO4-039</x:v>
      </x:c>
      <x:c r="B240" s="171" t="str">
        <x:v>LO4</x:v>
      </x:c>
      <x:c r="C240" s="165" t="str">
        <x:v>世界の主要な酒精強化ワイン</x:v>
      </x:c>
      <x:c r="D240" s="165" t="str">
        <x:v>パロミノの適性</x:v>
      </x:c>
      <x:c r="E240" s="165" t="str">
        <x:v>パロミノの比較的ニュートラルな香りが辛口シェリーに適する理由はどれか。</x:v>
      </x:c>
      <x:c r="F240" s="165" t="str">
        <x:v>品種香が強すぎて、熟成香を完全に隠す</x:v>
      </x:c>
      <x:c r="G240" s="165" t="str">
        <x:v>高いタンニンと濃い色が、赤シェリーを作る</x:v>
      </x:c>
      <x:c r="H240" s="165" t="str">
        <x:v>フロールや酸化熟成、ソレラによる熟成香を明確に表現できる</x:v>
      </x:c>
      <x:c r="I240" s="165" t="str">
        <x:v>果汁に自然な炭酸ガスが多く、発泡性になる</x:v>
      </x:c>
      <x:c r="J240" s="171" t="str">
        <x:v>C</x:v>
      </x:c>
      <x:c r="K240" s="165" t="str">
        <x:v>フロールや酸化熟成、ソレラによる熟成香を明確に表現できる</x:v>
      </x:c>
      <x:c r="L240" s="165" t="str">
        <x:v>強い品種香が少ないため、生物学的熟成のアセトアルデヒド香や酸化熟成のナッツ香がワインの中心になりやすい。</x:v>
      </x:c>
      <x:c r="M240" s="165" t="str">
        <x:v>誤り。 パロミノは比較的ニュートラルで、説明が逆である。</x:v>
      </x:c>
      <x:c r="N240" s="165" t="str">
        <x:v>誤り。 パロミノは白ブドウで、辛口シェリーは淡色から褐色の白系酒精強化ワインである。</x:v>
      </x:c>
      <x:c r="O240" s="165" t="str">
        <x:v>正しい。 強い品種香が少ないため、生物学的熟成のアセトアルデヒド香や酸化熟成のナッツ香がワインの中心になりやすい。</x:v>
      </x:c>
      <x:c r="P240" s="165" t="str">
        <x:v>誤り。 パロミノの適性は炭酸ガスではなく、熟成に対する中立的な風味にある。</x:v>
      </x:c>
      <x:c r="Q240" s="165" t="str">
        <x:v>品種・産地</x:v>
      </x:c>
      <x:c r="R240" s="165" t="str">
        <x:v>パロミノ・熟成表現</x:v>
      </x:c>
      <x:c r="S240" s="165" t="str">
        <x:v>酒精強化ワイン</x:v>
      </x:c>
      <x:c r="T240" s="165" t="str">
        <x:v>スペイン</x:v>
      </x:c>
      <x:c r="U240" s="165" t="str">
        <x:v>ヘレス</x:v>
      </x:c>
      <x:c r="V240" s="165" t="str">
        <x:v>パロミノ</x:v>
      </x:c>
      <x:c r="W240" s="165" t="str">
        <x:v>因果説明</x:v>
      </x:c>
      <x:c r="X240" s="171" t="str">
        <x:v>D2</x:v>
      </x:c>
      <x:c r="Y240" s="165" t="str">
        <x:v>パロミノは強芳香・高タンニン黒品種・発泡</x:v>
      </x:c>
      <x:c r="Z240" s="171" t="str">
        <x:v>N</x:v>
      </x:c>
      <x:c r="AA240" s="165"/>
      <x:c r="AB240" s="165" t="str">
        <x:v>オリジナル</x:v>
      </x:c>
      <x:c r="AC240" s="165" t="str">
        <x:v>公式Specificationの範囲＋ユーザー作成コーパスの論点と問題設計例を参考に独自作成</x:v>
      </x:c>
      <x:c r="AD240" s="171" t="str">
        <x:v>未レビュー</x:v>
      </x:c>
      <x:c r="AE240" s="171"/>
      <x:c r="AF240" s="171"/>
      <x:c r="AG240" s="166"/>
    </x:row>
    <x:row r="241" ht="84" customHeight="1">
      <x:c r="A241" s="164" t="str">
        <x:v>LO4-040</x:v>
      </x:c>
      <x:c r="B241" s="171" t="str">
        <x:v>LO4</x:v>
      </x:c>
      <x:c r="C241" s="165" t="str">
        <x:v>世界の主要な酒精強化ワイン</x:v>
      </x:c>
      <x:c r="D241" s="165" t="str">
        <x:v>ベースワインの分類</x:v>
      </x:c>
      <x:c r="E241" s="165" t="str">
        <x:v>辛口シェリーの発酵後に行うベースワインの分類が重要な理由はどれか。</x:v>
      </x:c>
      <x:c r="F241" s="165" t="str">
        <x:v>白ワインを黒ブドウ品種へ変える</x:v>
      </x:c>
      <x:c r="G241" s="165" t="str">
        <x:v>二酸化炭素を注入して発泡性にする</x:v>
      </x:c>
      <x:c r="H241" s="165" t="str">
        <x:v>糖をすべて加え、必ず甘口にする</x:v>
      </x:c>
      <x:c r="I241" s="165" t="str">
        <x:v>繊細なワインをフロール熟成へ、より力強いワインを酸化熟成へ振り分ける</x:v>
      </x:c>
      <x:c r="J241" s="171" t="str">
        <x:v>D</x:v>
      </x:c>
      <x:c r="K241" s="165" t="str">
        <x:v>繊細なワインをフロール熟成へ、より力強いワインを酸化熟成へ振り分ける</x:v>
      </x:c>
      <x:c r="L241" s="165" t="str">
        <x:v>発酵後の香り、ボディ、品質を評価し、約15％vol.でフロールを育てるか、約17％vol.へ強化して酸化熟成するかを決める。</x:v>
      </x:c>
      <x:c r="M241" s="165" t="str">
        <x:v>誤り。 分類は熟成経路を決める工程で、品種を変えない。</x:v>
      </x:c>
      <x:c r="N241" s="165" t="str">
        <x:v>誤り。 辛口シェリーは非発泡性で、分類は炭酸注入ではない。</x:v>
      </x:c>
      <x:c r="O241" s="165" t="str">
        <x:v>誤り。 辛口シェリーの分類であり、甘味添加が目的ではない。</x:v>
      </x:c>
      <x:c r="P241" s="165" t="str">
        <x:v>正しい。 発酵後の香り、ボディ、品質を評価し、約15％vol.でフロールを育てるか、約17％vol.へ強化して酸化熟成するかを決める。</x:v>
      </x:c>
      <x:c r="Q241" s="165" t="str">
        <x:v>酒精強化ワイン製法</x:v>
      </x:c>
      <x:c r="R241" s="165" t="str">
        <x:v>シェリー・分類</x:v>
      </x:c>
      <x:c r="S241" s="165" t="str">
        <x:v>酒精強化ワイン</x:v>
      </x:c>
      <x:c r="T241" s="165" t="str">
        <x:v>スペイン</x:v>
      </x:c>
      <x:c r="U241" s="165" t="str">
        <x:v>ヘレス</x:v>
      </x:c>
      <x:c r="V241" s="165"/>
      <x:c r="W241" s="165" t="str">
        <x:v>統合判断</x:v>
      </x:c>
      <x:c r="X241" s="171" t="str">
        <x:v>D3</x:v>
      </x:c>
      <x:c r="Y241" s="165" t="str">
        <x:v>分類で品種変更・発泡・必ず甘口</x:v>
      </x:c>
      <x:c r="Z241" s="171" t="str">
        <x:v>N</x:v>
      </x:c>
      <x:c r="AA241" s="165"/>
      <x:c r="AB241" s="165" t="str">
        <x:v>オリジナル</x:v>
      </x:c>
      <x:c r="AC241" s="165" t="str">
        <x:v>公式Specificationの範囲＋ユーザー作成コーパスの論点と問題設計例を参考に独自作成</x:v>
      </x:c>
      <x:c r="AD241" s="171" t="str">
        <x:v>未レビュー</x:v>
      </x:c>
      <x:c r="AE241" s="171"/>
      <x:c r="AF241" s="171"/>
      <x:c r="AG241" s="166"/>
    </x:row>
    <x:row r="242" ht="84" customHeight="1">
      <x:c r="A242" s="164" t="str">
        <x:v>LO4-041</x:v>
      </x:c>
      <x:c r="B242" s="171" t="str">
        <x:v>LO4</x:v>
      </x:c>
      <x:c r="C242" s="165" t="str">
        <x:v>世界の主要な酒精強化ワイン</x:v>
      </x:c>
      <x:c r="D242" s="165" t="str">
        <x:v>フロールと樽の空間</x:v>
      </x:c>
      <x:c r="E242" s="165" t="str">
        <x:v>フィノ用の樽を完全に満たさず、上部に空間を残す主な理由はどれか。</x:v>
      </x:c>
      <x:c r="F242" s="165" t="str">
        <x:v>フロールが液面で酸素に触れて成長できるようにする</x:v>
      </x:c>
      <x:c r="G242" s="165" t="str">
        <x:v>ワインを蒸発させ、すべてなくすため</x:v>
      </x:c>
      <x:c r="H242" s="165" t="str">
        <x:v>二次発酵の炭酸ガスを閉じ込め、泡を作るため</x:v>
      </x:c>
      <x:c r="I242" s="165" t="str">
        <x:v>果皮を浮かせ、色を抽出するため</x:v>
      </x:c>
      <x:c r="J242" s="171" t="str">
        <x:v>A</x:v>
      </x:c>
      <x:c r="K242" s="165" t="str">
        <x:v>フロールが液面で酸素に触れて成長できるようにする</x:v>
      </x:c>
      <x:c r="L242" s="165" t="str">
        <x:v>フロール酵母はワイン表面で酸素を利用するため、樽に空間を残し、比較的通気性のある熟成環境を作る。</x:v>
      </x:c>
      <x:c r="M242" s="165" t="str">
        <x:v>正しい。 フロール酵母はワイン表面で酸素を利用するため、樽に空間を残し、比較的通気性のある熟成環境を作る。</x:v>
      </x:c>
      <x:c r="N242" s="165" t="str">
        <x:v>誤り。 一定の蒸発はあるが、目的はフロールの成長で、全量を失うことではない。</x:v>
      </x:c>
      <x:c r="O242" s="165" t="str">
        <x:v>誤り。 樽は密閉せず、フィノは非発泡性である。</x:v>
      </x:c>
      <x:c r="P242" s="165" t="str">
        <x:v>誤り。 発酵後の白ワイン熟成で、果皮抽出は行わない。</x:v>
      </x:c>
      <x:c r="Q242" s="165" t="str">
        <x:v>酒精強化ワイン製法</x:v>
      </x:c>
      <x:c r="R242" s="165" t="str">
        <x:v>フロール・酸素</x:v>
      </x:c>
      <x:c r="S242" s="165" t="str">
        <x:v>酒精強化ワイン</x:v>
      </x:c>
      <x:c r="T242" s="165" t="str">
        <x:v>スペイン</x:v>
      </x:c>
      <x:c r="U242" s="165" t="str">
        <x:v>ヘレス</x:v>
      </x:c>
      <x:c r="V242" s="165"/>
      <x:c r="W242" s="165" t="str">
        <x:v>因果説明</x:v>
      </x:c>
      <x:c r="X242" s="171" t="str">
        <x:v>D1</x:v>
      </x:c>
      <x:c r="Y242" s="165" t="str">
        <x:v>樽空間は全蒸発・発泡・果皮抽出</x:v>
      </x:c>
      <x:c r="Z242" s="171" t="str">
        <x:v>N</x:v>
      </x:c>
      <x:c r="AA242" s="165"/>
      <x:c r="AB242" s="165" t="str">
        <x:v>オリジナル</x:v>
      </x:c>
      <x:c r="AC242" s="165" t="str">
        <x:v>公式Specificationの範囲＋ユーザー作成コーパスの論点と問題設計例を参考に独自作成</x:v>
      </x:c>
      <x:c r="AD242" s="171" t="str">
        <x:v>未レビュー</x:v>
      </x:c>
      <x:c r="AE242" s="171"/>
      <x:c r="AF242" s="171"/>
      <x:c r="AG242" s="166"/>
    </x:row>
    <x:row r="243" ht="84" customHeight="1">
      <x:c r="A243" s="164" t="str">
        <x:v>LO4-042</x:v>
      </x:c>
      <x:c r="B243" s="171" t="str">
        <x:v>LO4</x:v>
      </x:c>
      <x:c r="C243" s="165" t="str">
        <x:v>世界の主要な酒精強化ワイン</x:v>
      </x:c>
      <x:c r="D243" s="165" t="str">
        <x:v>フロールとアセトアルデヒド</x:v>
      </x:c>
      <x:c r="E243" s="165" t="str">
        <x:v>フロール熟成によってフィノに生じやすい香りはどれか。</x:v>
      </x:c>
      <x:c r="F243" s="165" t="str">
        <x:v>濃いジャム、チョコレート、高いタンニンだけ</x:v>
      </x:c>
      <x:c r="G243" s="165" t="str">
        <x:v>青リンゴ、アーモンド、パン生地を思わせるアセトアルデヒド由来の香り</x:v>
      </x:c>
      <x:c r="H243" s="165" t="str">
        <x:v>湿った段ボールとカビだけ</x:v>
      </x:c>
      <x:c r="I243" s="165" t="str">
        <x:v>強い炭酸と泡だけ</x:v>
      </x:c>
      <x:c r="J243" s="171" t="str">
        <x:v>B</x:v>
      </x:c>
      <x:c r="K243" s="165" t="str">
        <x:v>青リンゴ、アーモンド、パン生地を思わせるアセトアルデヒド由来の香り</x:v>
      </x:c>
      <x:c r="L243" s="165" t="str">
        <x:v>フロールの代謝によりアセトアルデヒドが増え、フィノ特有の刺激的で新鮮なリンゴ、アーモンド、酵母系の香りが生まれる。</x:v>
      </x:c>
      <x:c r="M243" s="165" t="str">
        <x:v>誤り。 これは温暖地域の濃厚赤ワインに近く、フィノの典型ではない。</x:v>
      </x:c>
      <x:c r="N243" s="165" t="str">
        <x:v>正しい。 フロールの代謝によりアセトアルデヒドが増え、フィノ特有の刺激的で新鮮なリンゴ、アーモンド、酵母系の香りが生まれる。</x:v>
      </x:c>
      <x:c r="O243" s="165" t="str">
        <x:v>誤り。 これはコルク汚染の兆候で、望ましいフロール香ではない。</x:v>
      </x:c>
      <x:c r="P243" s="165" t="str">
        <x:v>誤り。 フィノは非発泡性で、フロールが炭酸ガスを保持して泡を作るわけではない。</x:v>
      </x:c>
      <x:c r="Q243" s="165" t="str">
        <x:v>酒精強化ワイン製法</x:v>
      </x:c>
      <x:c r="R243" s="165" t="str">
        <x:v>フロール・香り</x:v>
      </x:c>
      <x:c r="S243" s="165" t="str">
        <x:v>酒精強化ワイン</x:v>
      </x:c>
      <x:c r="T243" s="165" t="str">
        <x:v>スペイン</x:v>
      </x:c>
      <x:c r="U243" s="165" t="str">
        <x:v>ヘレス</x:v>
      </x:c>
      <x:c r="V243" s="165"/>
      <x:c r="W243" s="165" t="str">
        <x:v>知識確認</x:v>
      </x:c>
      <x:c r="X243" s="171" t="str">
        <x:v>D1</x:v>
      </x:c>
      <x:c r="Y243" s="165" t="str">
        <x:v>フロール香は濃厚赤・コルク汚染・発泡</x:v>
      </x:c>
      <x:c r="Z243" s="171" t="str">
        <x:v>N</x:v>
      </x:c>
      <x:c r="AA243" s="165"/>
      <x:c r="AB243" s="165" t="str">
        <x:v>オリジナル</x:v>
      </x:c>
      <x:c r="AC243" s="165" t="str">
        <x:v>公式Specificationの範囲＋ユーザー作成コーパスの論点と問題設計例を参考に独自作成</x:v>
      </x:c>
      <x:c r="AD243" s="171" t="str">
        <x:v>未レビュー</x:v>
      </x:c>
      <x:c r="AE243" s="171"/>
      <x:c r="AF243" s="171"/>
      <x:c r="AG243" s="166"/>
    </x:row>
    <x:row r="244" ht="84" customHeight="1">
      <x:c r="A244" s="164" t="str">
        <x:v>LO4-043</x:v>
      </x:c>
      <x:c r="B244" s="171" t="str">
        <x:v>LO4</x:v>
      </x:c>
      <x:c r="C244" s="165" t="str">
        <x:v>世界の主要な酒精強化ワイン</x:v>
      </x:c>
      <x:c r="D244" s="165" t="str">
        <x:v>生物学的熟成とグリセロール</x:v>
      </x:c>
      <x:c r="E244" s="165" t="str">
        <x:v>長い生物学的熟成がフィノの口当たりを軽く感じさせる理由の一つはどれか。</x:v>
      </x:c>
      <x:c r="F244" s="165" t="str">
        <x:v>フロールが糖を大量に作り、甘味と粘性を増やす</x:v>
      </x:c>
      <x:c r="G244" s="165" t="str">
        <x:v>果皮からタンニンを抽出し、重い赤ワインにする</x:v>
      </x:c>
      <x:c r="H244" s="165" t="str">
        <x:v>フロールがグリセロールなどを消費し、丸みが減るため</x:v>
      </x:c>
      <x:c r="I244" s="165" t="str">
        <x:v>瓶内二次発酵により泡が口当たりを軽くする</x:v>
      </x:c>
      <x:c r="J244" s="171" t="str">
        <x:v>C</x:v>
      </x:c>
      <x:c r="K244" s="165" t="str">
        <x:v>フロールがグリセロールなどを消費し、丸みが減るため</x:v>
      </x:c>
      <x:c r="L244" s="165" t="str">
        <x:v>フロールの代謝によりグリセロールが減少し、非常に辛口で軽く、鋭い口当たりになりやすい。</x:v>
      </x:c>
      <x:c r="M244" s="165" t="str">
        <x:v>誤り。 フロール熟成のフィノは非常に辛口で、糖と粘性を増やす説明は逆である。</x:v>
      </x:c>
      <x:c r="N244" s="165" t="str">
        <x:v>誤り。 白ワインの熟成で、果皮抽出は行わない。</x:v>
      </x:c>
      <x:c r="O244" s="165" t="str">
        <x:v>正しい。 フロールの代謝によりグリセロールが減少し、非常に辛口で軽く、鋭い口当たりになりやすい。</x:v>
      </x:c>
      <x:c r="P244" s="165" t="str">
        <x:v>誤り。 フィノは非発泡性で、瓶内二次発酵を行わない。</x:v>
      </x:c>
      <x:c r="Q244" s="165" t="str">
        <x:v>酒精強化ワイン製法</x:v>
      </x:c>
      <x:c r="R244" s="165" t="str">
        <x:v>フロール・口当たり</x:v>
      </x:c>
      <x:c r="S244" s="165" t="str">
        <x:v>酒精強化ワイン</x:v>
      </x:c>
      <x:c r="T244" s="165" t="str">
        <x:v>スペイン</x:v>
      </x:c>
      <x:c r="U244" s="165" t="str">
        <x:v>ヘレス</x:v>
      </x:c>
      <x:c r="V244" s="165"/>
      <x:c r="W244" s="165" t="str">
        <x:v>因果説明</x:v>
      </x:c>
      <x:c r="X244" s="171" t="str">
        <x:v>D2</x:v>
      </x:c>
      <x:c r="Y244" s="165" t="str">
        <x:v>フロールで甘味粘性増加; 果皮抽出; 発泡</x:v>
      </x:c>
      <x:c r="Z244" s="171" t="str">
        <x:v>N</x:v>
      </x:c>
      <x:c r="AA244" s="165"/>
      <x:c r="AB244" s="165" t="str">
        <x:v>オリジナル</x:v>
      </x:c>
      <x:c r="AC244" s="165" t="str">
        <x:v>公式Specificationの範囲＋ユーザー作成コーパスの論点と問題設計例を参考に独自作成</x:v>
      </x:c>
      <x:c r="AD244" s="171" t="str">
        <x:v>未レビュー</x:v>
      </x:c>
      <x:c r="AE244" s="171"/>
      <x:c r="AF244" s="171"/>
      <x:c r="AG244" s="166"/>
    </x:row>
    <x:row r="245" ht="84" customHeight="1">
      <x:c r="A245" s="164" t="str">
        <x:v>LO4-044</x:v>
      </x:c>
      <x:c r="B245" s="171" t="str">
        <x:v>LO4</x:v>
      </x:c>
      <x:c r="C245" s="165" t="str">
        <x:v>世界の主要な酒精強化ワイン</x:v>
      </x:c>
      <x:c r="D245" s="165" t="str">
        <x:v>フィノのスタイル</x:v>
      </x:c>
      <x:c r="E245" s="165" t="str">
        <x:v>若いフィノの典型的な外観と味わいはどれか。</x:v>
      </x:c>
      <x:c r="F245" s="165" t="str">
        <x:v>濃い褐色で非常に甘く、レーズンと糖蜜の風味</x:v>
      </x:c>
      <x:c r="G245" s="165" t="str">
        <x:v>深い紫色で高タンニンの赤ワイン</x:v>
      </x:c>
      <x:c r="H245" s="165" t="str">
        <x:v>強い泡と低アルコールの発泡性ワイン</x:v>
      </x:c>
      <x:c r="I245" s="165" t="str">
        <x:v>淡いレモン色で非常に辛口、軽いボディ、アーモンドやパン生地の風味</x:v>
      </x:c>
      <x:c r="J245" s="171" t="str">
        <x:v>D</x:v>
      </x:c>
      <x:c r="K245" s="165" t="str">
        <x:v>淡いレモン色で非常に辛口、軽いボディ、アーモンドやパン生地の風味</x:v>
      </x:c>
      <x:c r="L245" s="165" t="str">
        <x:v>フロールが酸化を抑え、生物学的熟成香を与えるため、色は淡く、辛口で繊細なスタイルとなる。</x:v>
      </x:c>
      <x:c r="M245" s="165" t="str">
        <x:v>誤り。 これはPXなど濃厚甘口シェリーに近い。</x:v>
      </x:c>
      <x:c r="N245" s="165" t="str">
        <x:v>誤り。 フィノはパロミノから造る白系の酒精強化ワインである。</x:v>
      </x:c>
      <x:c r="O245" s="165" t="str">
        <x:v>誤り。 フィノは酒精強化された非発泡性ワインである。</x:v>
      </x:c>
      <x:c r="P245" s="165" t="str">
        <x:v>正しい。 フロールが酸化を抑え、生物学的熟成香を与えるため、色は淡く、辛口で繊細なスタイルとなる。</x:v>
      </x:c>
      <x:c r="Q245" s="165" t="str">
        <x:v>産地スタイル</x:v>
      </x:c>
      <x:c r="R245" s="165" t="str">
        <x:v>フィノ・官能特徴</x:v>
      </x:c>
      <x:c r="S245" s="165" t="str">
        <x:v>酒精強化ワイン</x:v>
      </x:c>
      <x:c r="T245" s="165" t="str">
        <x:v>スペイン</x:v>
      </x:c>
      <x:c r="U245" s="165" t="str">
        <x:v>ヘレス</x:v>
      </x:c>
      <x:c r="V245" s="165" t="str">
        <x:v>パロミノ</x:v>
      </x:c>
      <x:c r="W245" s="165" t="str">
        <x:v>知識確認</x:v>
      </x:c>
      <x:c r="X245" s="171" t="str">
        <x:v>D1</x:v>
      </x:c>
      <x:c r="Y245" s="165" t="str">
        <x:v>フィノは甘い褐色・赤高タンニン・発泡</x:v>
      </x:c>
      <x:c r="Z245" s="171" t="str">
        <x:v>N</x:v>
      </x:c>
      <x:c r="AA245" s="165"/>
      <x:c r="AB245" s="165" t="str">
        <x:v>オリジナル</x:v>
      </x:c>
      <x:c r="AC245" s="165" t="str">
        <x:v>公式Specificationの範囲＋ユーザー作成コーパスの論点と問題設計例を参考に独自作成</x:v>
      </x:c>
      <x:c r="AD245" s="171" t="str">
        <x:v>未レビュー</x:v>
      </x:c>
      <x:c r="AE245" s="171"/>
      <x:c r="AF245" s="171"/>
      <x:c r="AG245" s="166"/>
    </x:row>
    <x:row r="246" ht="84" customHeight="1">
      <x:c r="A246" s="164" t="str">
        <x:v>LO4-045</x:v>
      </x:c>
      <x:c r="B246" s="171" t="str">
        <x:v>LO4</x:v>
      </x:c>
      <x:c r="C246" s="165" t="str">
        <x:v>世界の主要な酒精強化ワイン</x:v>
      </x:c>
      <x:c r="D246" s="165" t="str">
        <x:v>オロロソのスタイル</x:v>
      </x:c>
      <x:c r="E246" s="165" t="str">
        <x:v>オロロソがフィノより濃い色と豊かなボディを持つ主な理由はどれか。</x:v>
      </x:c>
      <x:c r="F246" s="165" t="str">
        <x:v>フロールを形成させず、長期間酸素に触れて酸化熟成する</x:v>
      </x:c>
      <x:c r="G246" s="165" t="str">
        <x:v>瓶内二次発酵で炭酸ガスを得る</x:v>
      </x:c>
      <x:c r="H246" s="165" t="str">
        <x:v>フロールが厚くワインを完全に保護する</x:v>
      </x:c>
      <x:c r="I246" s="165" t="str">
        <x:v>ブドウを凍結し、氷を分離する</x:v>
      </x:c>
      <x:c r="J246" s="171" t="str">
        <x:v>A</x:v>
      </x:c>
      <x:c r="K246" s="165" t="str">
        <x:v>フロールを形成させず、長期間酸素に触れて酸化熟成する</x:v>
      </x:c>
      <x:c r="L246" s="165" t="str">
        <x:v>高めの酒精強化でフロールを抑え、樽内で酸化と蒸発が進むため、褐色、ナッツ、皮革、豊かなボディが発達する。</x:v>
      </x:c>
      <x:c r="M246" s="165" t="str">
        <x:v>正しい。 高めの酒精強化でフロールを抑え、樽内で酸化と蒸発が進むため、褐色、ナッツ、皮革、豊かなボディが発達する。</x:v>
      </x:c>
      <x:c r="N246" s="165" t="str">
        <x:v>誤り。 オロロソは非発泡性で、瓶内二次発酵を行わない。</x:v>
      </x:c>
      <x:c r="O246" s="165" t="str">
        <x:v>誤り。 これはフィノの生物学的熟成に近く、オロロソではフロールを抑える。</x:v>
      </x:c>
      <x:c r="P246" s="165" t="str">
        <x:v>誤り。 凍結濃縮はオロロソの製法ではない。</x:v>
      </x:c>
      <x:c r="Q246" s="165" t="str">
        <x:v>酒精強化ワイン製法</x:v>
      </x:c>
      <x:c r="R246" s="165" t="str">
        <x:v>オロロソ・酸化熟成</x:v>
      </x:c>
      <x:c r="S246" s="165" t="str">
        <x:v>酒精強化ワイン</x:v>
      </x:c>
      <x:c r="T246" s="165" t="str">
        <x:v>スペイン</x:v>
      </x:c>
      <x:c r="U246" s="165" t="str">
        <x:v>ヘレス</x:v>
      </x:c>
      <x:c r="V246" s="165"/>
      <x:c r="W246" s="165" t="str">
        <x:v>因果説明</x:v>
      </x:c>
      <x:c r="X246" s="171" t="str">
        <x:v>D2</x:v>
      </x:c>
      <x:c r="Y246" s="165" t="str">
        <x:v>オロロソは瓶内発泡・厚いフロール・凍結</x:v>
      </x:c>
      <x:c r="Z246" s="171" t="str">
        <x:v>N</x:v>
      </x:c>
      <x:c r="AA246" s="165"/>
      <x:c r="AB246" s="165" t="str">
        <x:v>オリジナル</x:v>
      </x:c>
      <x:c r="AC246" s="165" t="str">
        <x:v>公式Specificationの範囲＋ユーザー作成コーパスの論点と問題設計例を参考に独自作成</x:v>
      </x:c>
      <x:c r="AD246" s="171" t="str">
        <x:v>未レビュー</x:v>
      </x:c>
      <x:c r="AE246" s="171"/>
      <x:c r="AF246" s="171"/>
      <x:c r="AG246" s="166"/>
    </x:row>
    <x:row r="247" ht="84" customHeight="1">
      <x:c r="A247" s="164" t="str">
        <x:v>LO4-046</x:v>
      </x:c>
      <x:c r="B247" s="171" t="str">
        <x:v>LO4</x:v>
      </x:c>
      <x:c r="C247" s="165" t="str">
        <x:v>世界の主要な酒精強化ワイン</x:v>
      </x:c>
      <x:c r="D247" s="165" t="str">
        <x:v>アモンティリャードの複雑性</x:v>
      </x:c>
      <x:c r="E247" s="165" t="str">
        <x:v>アモンティリャードがフィノとオロロソの両方に似た香りを持ち得る理由はどれか。</x:v>
      </x:c>
      <x:c r="F247" s="165" t="str">
        <x:v>赤ワインと白ワインを必ず半量ずつ混ぜる</x:v>
      </x:c>
      <x:c r="G247" s="165" t="str">
        <x:v>最初にフロール下で熟成し、その後フロールを失って酸化熟成する</x:v>
      </x:c>
      <x:c r="H247" s="165" t="str">
        <x:v>瓶内二次発酵と炭酸ガス注入を連続して行う</x:v>
      </x:c>
      <x:c r="I247" s="165" t="str">
        <x:v>糖を大量に加え、甘味だけで複雑にする</x:v>
      </x:c>
      <x:c r="J247" s="171" t="str">
        <x:v>B</x:v>
      </x:c>
      <x:c r="K247" s="165" t="str">
        <x:v>最初にフロール下で熟成し、その後フロールを失って酸化熟成する</x:v>
      </x:c>
      <x:c r="L247" s="165" t="str">
        <x:v>生物学的熟成のアーモンドやアセトアルデヒド香に、酸化熟成のナッツ、乾燥果実、濃い色が重なる。</x:v>
      </x:c>
      <x:c r="M247" s="165" t="str">
        <x:v>誤り。 複雑性は熟成経路によるもので、赤白の固定ブレンドではない。</x:v>
      </x:c>
      <x:c r="N247" s="165" t="str">
        <x:v>正しい。 生物学的熟成のアーモンドやアセトアルデヒド香に、酸化熟成のナッツ、乾燥果実、濃い色が重なる。</x:v>
      </x:c>
      <x:c r="O247" s="165" t="str">
        <x:v>誤り。 アモンティリャードは非発泡性である。</x:v>
      </x:c>
      <x:c r="P247" s="165" t="str">
        <x:v>誤り。 アモンティリャードは通常辛口で、複雑性は二段階の熟成から生じる。</x:v>
      </x:c>
      <x:c r="Q247" s="165" t="str">
        <x:v>酒精強化ワイン製法</x:v>
      </x:c>
      <x:c r="R247" s="165" t="str">
        <x:v>アモンティリャード・二段階熟成</x:v>
      </x:c>
      <x:c r="S247" s="165" t="str">
        <x:v>酒精強化ワイン</x:v>
      </x:c>
      <x:c r="T247" s="165" t="str">
        <x:v>スペイン</x:v>
      </x:c>
      <x:c r="U247" s="165" t="str">
        <x:v>ヘレス</x:v>
      </x:c>
      <x:c r="V247" s="165"/>
      <x:c r="W247" s="165" t="str">
        <x:v>因果説明</x:v>
      </x:c>
      <x:c r="X247" s="171" t="str">
        <x:v>D2</x:v>
      </x:c>
      <x:c r="Y247" s="165" t="str">
        <x:v>赤白固定ブレンド; 発泡工程; 糖だけで複雑性</x:v>
      </x:c>
      <x:c r="Z247" s="171" t="str">
        <x:v>N</x:v>
      </x:c>
      <x:c r="AA247" s="165"/>
      <x:c r="AB247" s="165" t="str">
        <x:v>オリジナル</x:v>
      </x:c>
      <x:c r="AC247" s="165" t="str">
        <x:v>公式Specificationの範囲＋ユーザー作成コーパスの論点と問題設計例を参考に独自作成</x:v>
      </x:c>
      <x:c r="AD247" s="171" t="str">
        <x:v>未レビュー</x:v>
      </x:c>
      <x:c r="AE247" s="171"/>
      <x:c r="AF247" s="171"/>
      <x:c r="AG247" s="166"/>
    </x:row>
    <x:row r="248" ht="84" customHeight="1">
      <x:c r="A248" s="164" t="str">
        <x:v>LO4-047</x:v>
      </x:c>
      <x:c r="B248" s="171" t="str">
        <x:v>LO4</x:v>
      </x:c>
      <x:c r="C248" s="165" t="str">
        <x:v>世界の主要な酒精強化ワイン</x:v>
      </x:c>
      <x:c r="D248" s="165" t="str">
        <x:v>パロ・コルタド</x:v>
      </x:c>
      <x:c r="E248" s="165" t="str">
        <x:v>パロ・コルタドの一般的なスタイルを最も適切に説明しているものはどれか。</x:v>
      </x:c>
      <x:c r="F248" s="165" t="str">
        <x:v>非常に甘く濃厚なPXだけを指す</x:v>
      </x:c>
      <x:c r="G248" s="165" t="str">
        <x:v>強い泡を持つ低アルコール発泡性ワイン</x:v>
      </x:c>
      <x:c r="H248" s="165" t="str">
        <x:v>アモンティリャードを思わせる繊細な香りと、オロロソのような豊かなボディを併せ持つ辛口</x:v>
      </x:c>
      <x:c r="I248" s="165" t="str">
        <x:v>若い紫色の高タンニン赤ワイン</x:v>
      </x:c>
      <x:c r="J248" s="171" t="str">
        <x:v>C</x:v>
      </x:c>
      <x:c r="K248" s="165" t="str">
        <x:v>アモンティリャードを思わせる繊細な香りと、オロロソのような豊かなボディを併せ持つ辛口</x:v>
      </x:c>
      <x:c r="L248" s="165" t="str">
        <x:v>パロ・コルタドは香りの繊細さと酸化熟成による豊かさを併せ持つ希少な辛口シェリーとして説明される。</x:v>
      </x:c>
      <x:c r="M248" s="165" t="str">
        <x:v>誤り。 PXは天日乾燥したペドロ・ヒメネスの甘口で、パロ・コルタドとは異なる。</x:v>
      </x:c>
      <x:c r="N248" s="165" t="str">
        <x:v>誤り。 パロ・コルタドは非発泡性の酒精強化ワインである。</x:v>
      </x:c>
      <x:c r="O248" s="165" t="str">
        <x:v>正しい。 パロ・コルタドは香りの繊細さと酸化熟成による豊かさを併せ持つ希少な辛口シェリーとして説明される。</x:v>
      </x:c>
      <x:c r="P248" s="165" t="str">
        <x:v>誤り。 白ブドウパロミノ由来の酸化熟成シェリーで、赤ワインではない。</x:v>
      </x:c>
      <x:c r="Q248" s="165" t="str">
        <x:v>法律面・スタイル</x:v>
      </x:c>
      <x:c r="R248" s="165" t="str">
        <x:v>パロ・コルタド</x:v>
      </x:c>
      <x:c r="S248" s="165" t="str">
        <x:v>酒精強化ワイン</x:v>
      </x:c>
      <x:c r="T248" s="165" t="str">
        <x:v>スペイン</x:v>
      </x:c>
      <x:c r="U248" s="165" t="str">
        <x:v>ヘレス</x:v>
      </x:c>
      <x:c r="V248" s="165"/>
      <x:c r="W248" s="165" t="str">
        <x:v>知識確認</x:v>
      </x:c>
      <x:c r="X248" s="171" t="str">
        <x:v>D2</x:v>
      </x:c>
      <x:c r="Y248" s="165" t="str">
        <x:v>パロコルタドはPX・発泡・赤</x:v>
      </x:c>
      <x:c r="Z248" s="171" t="str">
        <x:v>Y</x:v>
      </x:c>
      <x:c r="AA248" s="165" t="str">
        <x:v>パロ・コルタドの生産経路は生産者差が大きいため、スタイル中心の表現を教材と最終照合推奨</x:v>
      </x:c>
      <x:c r="AB248" s="165" t="str">
        <x:v>オリジナル</x:v>
      </x:c>
      <x:c r="AC248" s="165" t="str">
        <x:v>公式Specificationの範囲＋ユーザー作成コーパスの論点と問題設計例を参考に独自作成</x:v>
      </x:c>
      <x:c r="AD248" s="171" t="str">
        <x:v>未レビュー</x:v>
      </x:c>
      <x:c r="AE248" s="171"/>
      <x:c r="AF248" s="171"/>
      <x:c r="AG248" s="166"/>
    </x:row>
    <x:row r="249" ht="84" customHeight="1">
      <x:c r="A249" s="164" t="str">
        <x:v>LO4-048</x:v>
      </x:c>
      <x:c r="B249" s="171" t="str">
        <x:v>LO4</x:v>
      </x:c>
      <x:c r="C249" s="165" t="str">
        <x:v>世界の主要な酒精強化ワイン</x:v>
      </x:c>
      <x:c r="D249" s="165" t="str">
        <x:v>ソレラの平均年齢</x:v>
      </x:c>
      <x:c r="E249" s="165" t="str">
        <x:v>ソレラ・システムで、瓶詰めワインの年齢が単一の収穫年として示されにくい理由はどれか。</x:v>
      </x:c>
      <x:c r="F249" s="165" t="str">
        <x:v>毎年すべての樽を空にして同じ年のワインだけを入れる</x:v>
      </x:c>
      <x:c r="G249" s="165" t="str">
        <x:v>ブドウの収穫年を記録しないことが法律で義務付けられる</x:v>
      </x:c>
      <x:c r="H249" s="165" t="str">
        <x:v>瓶内二次発酵で年号が消える</x:v>
      </x:c>
      <x:c r="I249" s="165" t="str">
        <x:v>異なる年齢のワインを段階的に混ぜ、各樽に複数年のワインが含まれるため</x:v>
      </x:c>
      <x:c r="J249" s="171" t="str">
        <x:v>D</x:v>
      </x:c>
      <x:c r="K249" s="165" t="str">
        <x:v>異なる年齢のワインを段階的に混ぜ、各樽に複数年のワインが含まれるため</x:v>
      </x:c>
      <x:c r="L249" s="165" t="str">
        <x:v>古いワインを一部取り出し、若いワインで補充する分別ブレンドを繰り返すため、最終ワインは多くの年の混合となる。</x:v>
      </x:c>
      <x:c r="M249" s="165" t="str">
        <x:v>誤り。 ソレラでは通常一部だけを移し、古いワインを残す。</x:v>
      </x:c>
      <x:c r="N249" s="165" t="str">
        <x:v>誤り。 本質は分別ブレンドで複数年が混ざることである。</x:v>
      </x:c>
      <x:c r="O249" s="165" t="str">
        <x:v>誤り。 シェリーは非発泡性で、年号が物理的に消えるわけではない。</x:v>
      </x:c>
      <x:c r="P249" s="165" t="str">
        <x:v>正しい。 古いワインを一部取り出し、若いワインで補充する分別ブレンドを繰り返すため、最終ワインは多くの年の混合となる。</x:v>
      </x:c>
      <x:c r="Q249" s="165" t="str">
        <x:v>酒精強化ワイン製法</x:v>
      </x:c>
      <x:c r="R249" s="165" t="str">
        <x:v>ソレラ・年齢</x:v>
      </x:c>
      <x:c r="S249" s="165" t="str">
        <x:v>酒精強化ワイン</x:v>
      </x:c>
      <x:c r="T249" s="165" t="str">
        <x:v>スペイン</x:v>
      </x:c>
      <x:c r="U249" s="165" t="str">
        <x:v>ヘレス</x:v>
      </x:c>
      <x:c r="V249" s="165"/>
      <x:c r="W249" s="165" t="str">
        <x:v>因果説明</x:v>
      </x:c>
      <x:c r="X249" s="171" t="str">
        <x:v>D2</x:v>
      </x:c>
      <x:c r="Y249" s="165" t="str">
        <x:v>ソレラは毎年全樽交換; 年号記録禁止; 発泡で年号消失</x:v>
      </x:c>
      <x:c r="Z249" s="171" t="str">
        <x:v>N</x:v>
      </x:c>
      <x:c r="AA249" s="165"/>
      <x:c r="AB249" s="165" t="str">
        <x:v>オリジナル</x:v>
      </x:c>
      <x:c r="AC249" s="165" t="str">
        <x:v>公式Specificationの範囲＋ユーザー作成コーパスの論点と問題設計例を参考に独自作成</x:v>
      </x:c>
      <x:c r="AD249" s="171" t="str">
        <x:v>未レビュー</x:v>
      </x:c>
      <x:c r="AE249" s="171"/>
      <x:c r="AF249" s="171"/>
      <x:c r="AG249" s="166"/>
    </x:row>
    <x:row r="250" ht="84" customHeight="1">
      <x:c r="A250" s="164" t="str">
        <x:v>LO4-049</x:v>
      </x:c>
      <x:c r="B250" s="171" t="str">
        <x:v>LO4</x:v>
      </x:c>
      <x:c r="C250" s="165" t="str">
        <x:v>世界の主要な酒精強化ワイン</x:v>
      </x:c>
      <x:c r="D250" s="165" t="str">
        <x:v>クリアデラ</x:v>
      </x:c>
      <x:c r="E250" s="165" t="str">
        <x:v>ソレラ・システムでクリアデラの若いワインを段階的に加える効果はどれか。</x:v>
      </x:c>
      <x:c r="F250" s="165" t="str">
        <x:v>古いワインの量を補い、フロールへ栄養を供給しながらスタイルを維持する</x:v>
      </x:c>
      <x:c r="G250" s="165" t="str">
        <x:v>古いワインをすべて捨て、毎年完全に若返らせる</x:v>
      </x:c>
      <x:c r="H250" s="165" t="str">
        <x:v>二酸化炭素を注入し、泡を作る</x:v>
      </x:c>
      <x:c r="I250" s="165" t="str">
        <x:v>果皮を加えて色とタンニンを抽出する</x:v>
      </x:c>
      <x:c r="J250" s="171" t="str">
        <x:v>A</x:v>
      </x:c>
      <x:c r="K250" s="165" t="str">
        <x:v>古いワインの量を補い、フロールへ栄養を供給しながらスタイルを維持する</x:v>
      </x:c>
      <x:c r="L250" s="165" t="str">
        <x:v>若いワインは取り出した量を補い、フィノ系では新しいアルコールや栄養をフロールへ与え、継続的な熟成を支える。</x:v>
      </x:c>
      <x:c r="M250" s="165" t="str">
        <x:v>正しい。 若いワインは取り出した量を補い、フィノ系では新しいアルコールや栄養をフロールへ与え、継続的な熟成を支える。</x:v>
      </x:c>
      <x:c r="N250" s="165" t="str">
        <x:v>誤り。 一部の古いワインを残しながら補充することがソレラの特徴である。</x:v>
      </x:c>
      <x:c r="O250" s="165" t="str">
        <x:v>誤り。 クリアデラは熟成・ブレンド段階で、発泡化ではない。</x:v>
      </x:c>
      <x:c r="P250" s="165" t="str">
        <x:v>誤り。 発酵後のワインを移す仕組みで、果皮抽出を行わない。</x:v>
      </x:c>
      <x:c r="Q250" s="165" t="str">
        <x:v>酒精強化ワイン製法</x:v>
      </x:c>
      <x:c r="R250" s="165" t="str">
        <x:v>ソレラ・クリアデラ</x:v>
      </x:c>
      <x:c r="S250" s="165" t="str">
        <x:v>酒精強化ワイン</x:v>
      </x:c>
      <x:c r="T250" s="165" t="str">
        <x:v>スペイン</x:v>
      </x:c>
      <x:c r="U250" s="165" t="str">
        <x:v>ヘレス</x:v>
      </x:c>
      <x:c r="V250" s="165"/>
      <x:c r="W250" s="165" t="str">
        <x:v>因果説明</x:v>
      </x:c>
      <x:c r="X250" s="171" t="str">
        <x:v>D2</x:v>
      </x:c>
      <x:c r="Y250" s="165" t="str">
        <x:v>クリアデラで古酒全廃; 発泡; 果皮抽出</x:v>
      </x:c>
      <x:c r="Z250" s="171" t="str">
        <x:v>N</x:v>
      </x:c>
      <x:c r="AA250" s="165"/>
      <x:c r="AB250" s="165" t="str">
        <x:v>オリジナル</x:v>
      </x:c>
      <x:c r="AC250" s="165" t="str">
        <x:v>公式Specificationの範囲＋ユーザー作成コーパスの論点と問題設計例を参考に独自作成</x:v>
      </x:c>
      <x:c r="AD250" s="171" t="str">
        <x:v>未レビュー</x:v>
      </x:c>
      <x:c r="AE250" s="171"/>
      <x:c r="AF250" s="171"/>
      <x:c r="AG250" s="166"/>
    </x:row>
    <x:row r="251" ht="84" customHeight="1">
      <x:c r="A251" s="164" t="str">
        <x:v>LO4-050</x:v>
      </x:c>
      <x:c r="B251" s="171" t="str">
        <x:v>LO4</x:v>
      </x:c>
      <x:c r="C251" s="165" t="str">
        <x:v>世界の主要な酒精強化ワイン</x:v>
      </x:c>
      <x:c r="D251" s="165" t="str">
        <x:v>PXの圧搾</x:v>
      </x:c>
      <x:c r="E251" s="165" t="str">
        <x:v>天日乾燥したペドロ・ヒメネスを圧搾する際に生じやすい課題はどれか。</x:v>
      </x:c>
      <x:c r="F251" s="165" t="str">
        <x:v>果汁が水のように薄く、糖度が低すぎる</x:v>
      </x:c>
      <x:c r="G251" s="165" t="str">
        <x:v>果汁が非常に粘性が高く量も少ないため、圧搾と発酵が難しい</x:v>
      </x:c>
      <x:c r="H251" s="165" t="str">
        <x:v>果皮がなくなり、圧搾機が不要になる</x:v>
      </x:c>
      <x:c r="I251" s="165" t="str">
        <x:v>二次発酵が自然に起こり、強い泡が生じる</x:v>
      </x:c>
      <x:c r="J251" s="171" t="str">
        <x:v>B</x:v>
      </x:c>
      <x:c r="K251" s="165" t="str">
        <x:v>果汁が非常に粘性が高く量も少ないため、圧搾と発酵が難しい</x:v>
      </x:c>
      <x:c r="L251" s="165" t="str">
        <x:v>水分を失った果粒は糖度が極めて高く、濃い果汁が少量しか得られず、酵母も高糖度環境で働きにくい。</x:v>
      </x:c>
      <x:c r="M251" s="165" t="str">
        <x:v>誤り。 天日乾燥で糖と風味が濃縮し、説明が逆である。</x:v>
      </x:c>
      <x:c r="N251" s="165" t="str">
        <x:v>正しい。 水分を失った果粒は糖度が極めて高く、濃い果汁が少量しか得られず、酵母も高糖度環境で働きにくい。</x:v>
      </x:c>
      <x:c r="O251" s="165" t="str">
        <x:v>誤り。 乾燥後も果皮と固形物があり、圧搾が必要である。</x:v>
      </x:c>
      <x:c r="P251" s="165" t="str">
        <x:v>誤り。 PXは濃厚な非発泡性甘口シェリーである。</x:v>
      </x:c>
      <x:c r="Q251" s="165" t="str">
        <x:v>酒精強化ワイン製法</x:v>
      </x:c>
      <x:c r="R251" s="165" t="str">
        <x:v>PX・乾燥・圧搾</x:v>
      </x:c>
      <x:c r="S251" s="165" t="str">
        <x:v>酒精強化ワイン</x:v>
      </x:c>
      <x:c r="T251" s="165" t="str">
        <x:v>スペイン</x:v>
      </x:c>
      <x:c r="U251" s="165" t="str">
        <x:v>ヘレス</x:v>
      </x:c>
      <x:c r="V251" s="165" t="str">
        <x:v>ペドロ・ヒメネス</x:v>
      </x:c>
      <x:c r="W251" s="165" t="str">
        <x:v>因果説明</x:v>
      </x:c>
      <x:c r="X251" s="171" t="str">
        <x:v>D2</x:v>
      </x:c>
      <x:c r="Y251" s="165" t="str">
        <x:v>乾燥果汁は希薄; 圧搾不要; 発泡</x:v>
      </x:c>
      <x:c r="Z251" s="171" t="str">
        <x:v>N</x:v>
      </x:c>
      <x:c r="AA251" s="165"/>
      <x:c r="AB251" s="165" t="str">
        <x:v>オリジナル</x:v>
      </x:c>
      <x:c r="AC251" s="165" t="str">
        <x:v>公式Specificationの範囲＋ユーザー作成コーパスの論点と問題設計例を参考に独自作成</x:v>
      </x:c>
      <x:c r="AD251" s="171" t="str">
        <x:v>未レビュー</x:v>
      </x:c>
      <x:c r="AE251" s="171"/>
      <x:c r="AF251" s="171"/>
      <x:c r="AG251" s="166"/>
    </x:row>
    <x:row r="252" ht="84" customHeight="1">
      <x:c r="A252" s="164" t="str">
        <x:v>LO4-051</x:v>
      </x:c>
      <x:c r="B252" s="171" t="str">
        <x:v>LO4</x:v>
      </x:c>
      <x:c r="C252" s="165" t="str">
        <x:v>世界の主要な酒精強化ワイン</x:v>
      </x:c>
      <x:c r="D252" s="165" t="str">
        <x:v>ミディアムとクリーム</x:v>
      </x:c>
      <x:c r="E252" s="165" t="str">
        <x:v>ミディアム・シェリーとクリーム・シェリーの一般的な違いとして最も適切なものはどれか。</x:v>
      </x:c>
      <x:c r="F252" s="165" t="str">
        <x:v>ミディアムは必ず発泡性、クリームは必ず非発泡性</x:v>
      </x:c>
      <x:c r="G252" s="165" t="str">
        <x:v>ミディアムは黒ブドウ、クリームは白ブドウからしか造れない</x:v>
      </x:c>
      <x:c r="H252" s="165" t="str">
        <x:v>ミディアムはアモンティリャード系、クリームはオロロソ系の辛口シェリーを甘味調整することが多い</x:v>
      </x:c>
      <x:c r="I252" s="165" t="str">
        <x:v>どちらも糖を加えず、完全な辛口だけを指す</x:v>
      </x:c>
      <x:c r="J252" s="171" t="str">
        <x:v>C</x:v>
      </x:c>
      <x:c r="K252" s="165" t="str">
        <x:v>ミディアムはアモンティリャード系、クリームはオロロソ系の辛口シェリーを甘味調整することが多い</x:v>
      </x:c>
      <x:c r="L252" s="165" t="str">
        <x:v>いずれも辛口シェリーへPXなどの甘味成分をブレンドして造るが、基礎となる辛口スタイルの違いが香りとボディに影響する。</x:v>
      </x:c>
      <x:c r="M252" s="165" t="str">
        <x:v>誤り。 どちらも通常非発泡性の酒精強化ワインである。</x:v>
      </x:c>
      <x:c r="N252" s="165" t="str">
        <x:v>誤り。 いずれもパロミノ主体の辛口シェリーを基礎とすることが多い。</x:v>
      </x:c>
      <x:c r="O252" s="165" t="str">
        <x:v>正しい。 いずれも辛口シェリーへPXなどの甘味成分をブレンドして造るが、基礎となる辛口スタイルの違いが香りとボディに影響する。</x:v>
      </x:c>
      <x:c r="P252" s="165" t="str">
        <x:v>誤り。 甘味調整されたカテゴリーである。</x:v>
      </x:c>
      <x:c r="Q252" s="165" t="str">
        <x:v>法律面・スタイル</x:v>
      </x:c>
      <x:c r="R252" s="165" t="str">
        <x:v>甘口調整シェリー</x:v>
      </x:c>
      <x:c r="S252" s="165" t="str">
        <x:v>酒精強化ワイン</x:v>
      </x:c>
      <x:c r="T252" s="165" t="str">
        <x:v>スペイン</x:v>
      </x:c>
      <x:c r="U252" s="165" t="str">
        <x:v>ヘレス</x:v>
      </x:c>
      <x:c r="V252" s="165"/>
      <x:c r="W252" s="165" t="str">
        <x:v>比較</x:v>
      </x:c>
      <x:c r="X252" s="171" t="str">
        <x:v>D3</x:v>
      </x:c>
      <x:c r="Y252" s="165" t="str">
        <x:v>Mediumは発泡; 黒白品種区分; 完全辛口</x:v>
      </x:c>
      <x:c r="Z252" s="171" t="str">
        <x:v>Y</x:v>
      </x:c>
      <x:c r="AA252" s="165" t="str">
        <x:v>Medium／Creamの甘味調整方法と表示区分を最新教材・規定と照合推奨</x:v>
      </x:c>
      <x:c r="AB252" s="165" t="str">
        <x:v>オリジナル</x:v>
      </x:c>
      <x:c r="AC252" s="165" t="str">
        <x:v>公式Specificationの範囲＋ユーザー作成コーパスの論点と問題設計例を参考に独自作成</x:v>
      </x:c>
      <x:c r="AD252" s="171" t="str">
        <x:v>未レビュー</x:v>
      </x:c>
      <x:c r="AE252" s="171"/>
      <x:c r="AF252" s="171"/>
      <x:c r="AG252" s="166"/>
    </x:row>
    <x:row r="253" ht="84" customHeight="1">
      <x:c r="A253" s="164" t="str">
        <x:v>LO4-052</x:v>
      </x:c>
      <x:c r="B253" s="171" t="str">
        <x:v>LO4</x:v>
      </x:c>
      <x:c r="C253" s="165" t="str">
        <x:v>世界の主要な酒精強化ワイン</x:v>
      </x:c>
      <x:c r="D253" s="165" t="str">
        <x:v>マンサニーリャの原産地</x:v>
      </x:c>
      <x:c r="E253" s="165" t="str">
        <x:v>マンサニーリャの名称を使用できる辛口シェリーが熟成される場所はどこか。</x:v>
      </x:c>
      <x:c r="F253" s="165" t="str">
        <x:v>ドウロ・スペリオール</x:v>
      </x:c>
      <x:c r="G253" s="165" t="str">
        <x:v>ラザグレン</x:v>
      </x:c>
      <x:c r="H253" s="165" t="str">
        <x:v>シャンパーニュ</x:v>
      </x:c>
      <x:c r="I253" s="165" t="str">
        <x:v>サンルーカル・デ・バラメダ</x:v>
      </x:c>
      <x:c r="J253" s="171" t="str">
        <x:v>D</x:v>
      </x:c>
      <x:c r="K253" s="165" t="str">
        <x:v>サンルーカル・デ・バラメダ</x:v>
      </x:c>
      <x:c r="L253" s="165" t="str">
        <x:v>マンサニーリャはサンルーカル・デ・バラメダでフロール下に熟成される生物学的熟成の辛口シェリーである。</x:v>
      </x:c>
      <x:c r="M253" s="165" t="str">
        <x:v>誤り。 ドウロはポートの産地で、マンサニーリャの熟成地ではない。</x:v>
      </x:c>
      <x:c r="N253" s="165" t="str">
        <x:v>誤り。 ラザグレンはオーストラリアの酒精強化マスカットで知られる。</x:v>
      </x:c>
      <x:c r="O253" s="165" t="str">
        <x:v>誤り。 シャンパーニュはフランスの発泡性ワイン産地である。</x:v>
      </x:c>
      <x:c r="P253" s="165" t="str">
        <x:v>正しい。 マンサニーリャはサンルーカル・デ・バラメダでフロール下に熟成される生物学的熟成の辛口シェリーである。</x:v>
      </x:c>
      <x:c r="Q253" s="165" t="str">
        <x:v>法律面・産地</x:v>
      </x:c>
      <x:c r="R253" s="165" t="str">
        <x:v>マンサニーリャ・原産地</x:v>
      </x:c>
      <x:c r="S253" s="165" t="str">
        <x:v>酒精強化ワイン</x:v>
      </x:c>
      <x:c r="T253" s="165" t="str">
        <x:v>スペイン</x:v>
      </x:c>
      <x:c r="U253" s="165" t="str">
        <x:v>サンルーカル・デ・バラメダ</x:v>
      </x:c>
      <x:c r="V253" s="165" t="str">
        <x:v>パロミノ</x:v>
      </x:c>
      <x:c r="W253" s="165" t="str">
        <x:v>知識確認</x:v>
      </x:c>
      <x:c r="X253" s="171" t="str">
        <x:v>D1</x:v>
      </x:c>
      <x:c r="Y253" s="165" t="str">
        <x:v>マンサニーリャをポート・ラザグレン・シャンパーニュと混同</x:v>
      </x:c>
      <x:c r="Z253" s="171" t="str">
        <x:v>Y</x:v>
      </x:c>
      <x:c r="AA253" s="165" t="str">
        <x:v>Manzanillaの原産地表示に関する現行規定を最終照合推奨</x:v>
      </x:c>
      <x:c r="AB253" s="165" t="str">
        <x:v>オリジナル</x:v>
      </x:c>
      <x:c r="AC253" s="165" t="str">
        <x:v>公式Specificationの範囲＋ユーザー作成コーパスの論点と問題設計例を参考に独自作成</x:v>
      </x:c>
      <x:c r="AD253" s="171" t="str">
        <x:v>未レビュー</x:v>
      </x:c>
      <x:c r="AE253" s="171"/>
      <x:c r="AF253" s="171"/>
      <x:c r="AG253" s="166"/>
    </x:row>
    <x:row r="254" ht="84" customHeight="1">
      <x:c r="A254" s="164" t="str">
        <x:v>LO4-053</x:v>
      </x:c>
      <x:c r="B254" s="171" t="str">
        <x:v>LO4</x:v>
      </x:c>
      <x:c r="C254" s="165" t="str">
        <x:v>世界の主要な酒精強化ワイン</x:v>
      </x:c>
      <x:c r="D254" s="165" t="str">
        <x:v>マスカットの品種香</x:v>
      </x:c>
      <x:c r="E254" s="165" t="str">
        <x:v>酒精強化マスカットに、ブドウ、花、オレンジの皮を思わせる強い香りが残りやすい理由はどれか。</x:v>
      </x:c>
      <x:c r="F254" s="165" t="str">
        <x:v>マスカット自体が強い一次香を持ち、早期の酒精強化でその香りを保てる</x:v>
      </x:c>
      <x:c r="G254" s="165" t="str">
        <x:v>フロールがマスカット香を作る</x:v>
      </x:c>
      <x:c r="H254" s="165" t="str">
        <x:v>長い果皮浸漬で黒い色とタンニンを抽出する</x:v>
      </x:c>
      <x:c r="I254" s="165" t="str">
        <x:v>炭酸ガス注入で花の香りを作る</x:v>
      </x:c>
      <x:c r="J254" s="171" t="str">
        <x:v>A</x:v>
      </x:c>
      <x:c r="K254" s="165" t="str">
        <x:v>マスカット自体が強い一次香を持ち、早期の酒精強化でその香りを保てる</x:v>
      </x:c>
      <x:c r="L254" s="165" t="str">
        <x:v>マスカットはテルペン系の強い品種香を持ち、発酵を早く止めることで残糖と新鮮な芳香を保持しやすい。</x:v>
      </x:c>
      <x:c r="M254" s="165" t="str">
        <x:v>正しい。 マスカットはテルペン系の強い品種香を持ち、発酵を早く止めることで残糖と新鮮な芳香を保持しやすい。</x:v>
      </x:c>
      <x:c r="N254" s="165" t="str">
        <x:v>誤り。 マスカット香は主にブドウ由来で、フロールによるものではない。</x:v>
      </x:c>
      <x:c r="O254" s="165" t="str">
        <x:v>誤り。 多くの酒精強化マスカットは白系または褐色で、強いタンニン抽出が目的ではない。</x:v>
      </x:c>
      <x:c r="P254" s="165" t="str">
        <x:v>誤り。 炭酸ガスは泡を与えるが、品種香を作るものではない。</x:v>
      </x:c>
      <x:c r="Q254" s="165" t="str">
        <x:v>品種・製法</x:v>
      </x:c>
      <x:c r="R254" s="165" t="str">
        <x:v>マスカット・一次香</x:v>
      </x:c>
      <x:c r="S254" s="165" t="str">
        <x:v>酒精強化ワイン</x:v>
      </x:c>
      <x:c r="T254" s="165"/>
      <x:c r="U254" s="165"/>
      <x:c r="V254" s="165" t="str">
        <x:v>マスカット</x:v>
      </x:c>
      <x:c r="W254" s="165" t="str">
        <x:v>因果説明</x:v>
      </x:c>
      <x:c r="X254" s="171" t="str">
        <x:v>D2</x:v>
      </x:c>
      <x:c r="Y254" s="165" t="str">
        <x:v>マスカット香はフロール・果皮抽出・炭酸注入</x:v>
      </x:c>
      <x:c r="Z254" s="171" t="str">
        <x:v>N</x:v>
      </x:c>
      <x:c r="AA254" s="165"/>
      <x:c r="AB254" s="165" t="str">
        <x:v>オリジナル</x:v>
      </x:c>
      <x:c r="AC254" s="165" t="str">
        <x:v>公式Specificationの範囲＋ユーザー作成コーパスの論点と問題設計例を参考に独自作成</x:v>
      </x:c>
      <x:c r="AD254" s="171" t="str">
        <x:v>未レビュー</x:v>
      </x:c>
      <x:c r="AE254" s="171"/>
      <x:c r="AF254" s="171"/>
      <x:c r="AG254" s="166"/>
    </x:row>
    <x:row r="255" ht="84" customHeight="1">
      <x:c r="A255" s="164" t="str">
        <x:v>LO4-054</x:v>
      </x:c>
      <x:c r="B255" s="171" t="str">
        <x:v>LO4</x:v>
      </x:c>
      <x:c r="C255" s="165" t="str">
        <x:v>世界の主要な酒精強化ワイン</x:v>
      </x:c>
      <x:c r="D255" s="165" t="str">
        <x:v>早期酒精強化とマスカット</x:v>
      </x:c>
      <x:c r="E255" s="165" t="str">
        <x:v>酒精強化マスカットで発酵を早い段階で止める主な効果はどれか。</x:v>
      </x:c>
      <x:c r="F255" s="165" t="str">
        <x:v>完全な辛口になり、香りがすべて消える</x:v>
      </x:c>
      <x:c r="G255" s="165" t="str">
        <x:v>高い残糖と低めの発酵由来アルコールを残し、品種香を保持する</x:v>
      </x:c>
      <x:c r="H255" s="165" t="str">
        <x:v>二次発酵が始まり、強い泡が生まれる</x:v>
      </x:c>
      <x:c r="I255" s="165" t="str">
        <x:v>タンニンが最大化し、濃い赤色になる</x:v>
      </x:c>
      <x:c r="J255" s="171" t="str">
        <x:v>B</x:v>
      </x:c>
      <x:c r="K255" s="165" t="str">
        <x:v>高い残糖と低めの発酵由来アルコールを残し、品種香を保持する</x:v>
      </x:c>
      <x:c r="L255" s="165" t="str">
        <x:v>発酵される糖が少ないうちに蒸留酒を加えるため、甘味が多く残り、マスカットのフレッシュな香りが前面に出る。</x:v>
      </x:c>
      <x:c r="M255" s="165" t="str">
        <x:v>誤り。 早期停止では残糖が多く、強い品種香を保つ。</x:v>
      </x:c>
      <x:c r="N255" s="165" t="str">
        <x:v>正しい。 発酵される糖が少ないうちに蒸留酒を加えるため、甘味が多く残り、マスカットのフレッシュな香りが前面に出る。</x:v>
      </x:c>
      <x:c r="O255" s="165" t="str">
        <x:v>誤り。 酒精強化で酵母の働きを止めるため、発泡化が目的ではない。</x:v>
      </x:c>
      <x:c r="P255" s="165" t="str">
        <x:v>誤り。 甘味と香りの保持が中心で、タンニン抽出が主目的ではない。</x:v>
      </x:c>
      <x:c r="Q255" s="165" t="str">
        <x:v>酒精強化ワイン製法</x:v>
      </x:c>
      <x:c r="R255" s="165" t="str">
        <x:v>マスカット・発酵停止</x:v>
      </x:c>
      <x:c r="S255" s="165" t="str">
        <x:v>酒精強化ワイン</x:v>
      </x:c>
      <x:c r="T255" s="165"/>
      <x:c r="U255" s="165"/>
      <x:c r="V255" s="165" t="str">
        <x:v>マスカット</x:v>
      </x:c>
      <x:c r="W255" s="165" t="str">
        <x:v>因果説明</x:v>
      </x:c>
      <x:c r="X255" s="171" t="str">
        <x:v>D2</x:v>
      </x:c>
      <x:c r="Y255" s="165" t="str">
        <x:v>早期強化で辛口・発泡・高タンニン</x:v>
      </x:c>
      <x:c r="Z255" s="171" t="str">
        <x:v>N</x:v>
      </x:c>
      <x:c r="AA255" s="165"/>
      <x:c r="AB255" s="165" t="str">
        <x:v>オリジナル</x:v>
      </x:c>
      <x:c r="AC255" s="165" t="str">
        <x:v>公式Specificationの範囲＋ユーザー作成コーパスの論点と問題設計例を参考に独自作成</x:v>
      </x:c>
      <x:c r="AD255" s="171" t="str">
        <x:v>未レビュー</x:v>
      </x:c>
      <x:c r="AE255" s="171"/>
      <x:c r="AF255" s="171"/>
      <x:c r="AG255" s="166"/>
    </x:row>
    <x:row r="256" ht="84" customHeight="1">
      <x:c r="A256" s="164" t="str">
        <x:v>LO4-055</x:v>
      </x:c>
      <x:c r="B256" s="171" t="str">
        <x:v>LO4</x:v>
      </x:c>
      <x:c r="C256" s="165" t="str">
        <x:v>世界の主要な酒精強化ワイン</x:v>
      </x:c>
      <x:c r="D256" s="165" t="str">
        <x:v>ボーム・ド・ヴニーズの気候</x:v>
      </x:c>
      <x:c r="E256" s="165" t="str">
        <x:v>ミュスカ・ド・ボーム・ド・ヴニーズで熟したマスカットの香りと高い糖度を得やすい主な理由はどれか。</x:v>
      </x:c>
      <x:c r="F256" s="165" t="str">
        <x:v>北極圏の短い夏と永久凍土</x:v>
      </x:c>
      <x:c r="G256" s="165" t="str">
        <x:v>一年中厚い海霧で日照がない</x:v>
      </x:c>
      <x:c r="H256" s="165" t="str">
        <x:v>南ローヌの温暖で日照の多い地中海性気候</x:v>
      </x:c>
      <x:c r="I256" s="165" t="str">
        <x:v>ブドウを海水へ浸して糖を加える</x:v>
      </x:c>
      <x:c r="J256" s="171" t="str">
        <x:v>C</x:v>
      </x:c>
      <x:c r="K256" s="165" t="str">
        <x:v>南ローヌの温暖で日照の多い地中海性気候</x:v>
      </x:c>
      <x:c r="L256" s="165" t="str">
        <x:v>暖かく乾燥した生育期によりマスカットが十分に成熟し、ブドウと花の強い香り、高い糖度を得やすい。</x:v>
      </x:c>
      <x:c r="M256" s="165" t="str">
        <x:v>誤り。 南ローヌの温暖な産地で、極寒ではない。</x:v>
      </x:c>
      <x:c r="N256" s="165" t="str">
        <x:v>誤り。 豊富な日照が成熟を支える。</x:v>
      </x:c>
      <x:c r="O256" s="165" t="str">
        <x:v>正しい。 暖かく乾燥した生育期によりマスカットが十分に成熟し、ブドウと花の強い香り、高い糖度を得やすい。</x:v>
      </x:c>
      <x:c r="P256" s="165" t="str">
        <x:v>誤り。 糖は成熟で蓄積し、海水を用いない。</x:v>
      </x:c>
      <x:c r="Q256" s="165" t="str">
        <x:v>自然要因・産地</x:v>
      </x:c>
      <x:c r="R256" s="165" t="str">
        <x:v>地中海性気候・成熟</x:v>
      </x:c>
      <x:c r="S256" s="165" t="str">
        <x:v>酒精強化ワイン</x:v>
      </x:c>
      <x:c r="T256" s="165" t="str">
        <x:v>フランス</x:v>
      </x:c>
      <x:c r="U256" s="165" t="str">
        <x:v>ミュスカ・ド・ボーム・ド・ヴニーズ</x:v>
      </x:c>
      <x:c r="V256" s="165" t="str">
        <x:v>マスカット</x:v>
      </x:c>
      <x:c r="W256" s="165" t="str">
        <x:v>因果説明</x:v>
      </x:c>
      <x:c r="X256" s="171" t="str">
        <x:v>D1</x:v>
      </x:c>
      <x:c r="Y256" s="165" t="str">
        <x:v>ボームは極寒・無日照・海水糖添加</x:v>
      </x:c>
      <x:c r="Z256" s="171" t="str">
        <x:v>N</x:v>
      </x:c>
      <x:c r="AA256" s="165"/>
      <x:c r="AB256" s="165" t="str">
        <x:v>オリジナル</x:v>
      </x:c>
      <x:c r="AC256" s="165" t="str">
        <x:v>公式Specificationの範囲＋ユーザー作成コーパスの論点と問題設計例を参考に独自作成</x:v>
      </x:c>
      <x:c r="AD256" s="171" t="str">
        <x:v>未レビュー</x:v>
      </x:c>
      <x:c r="AE256" s="171"/>
      <x:c r="AF256" s="171"/>
      <x:c r="AG256" s="166"/>
    </x:row>
    <x:row r="257" ht="84" customHeight="1">
      <x:c r="A257" s="164" t="str">
        <x:v>LO4-056</x:v>
      </x:c>
      <x:c r="B257" s="171" t="str">
        <x:v>LO4</x:v>
      </x:c>
      <x:c r="C257" s="165" t="str">
        <x:v>世界の主要な酒精強化ワイン</x:v>
      </x:c>
      <x:c r="D257" s="165" t="str">
        <x:v>ボーム・ド・ヴニーズの熟成</x:v>
      </x:c>
      <x:c r="E257" s="165" t="str">
        <x:v>若々しいミュスカ・ド・ボーム・ド・ヴニーズで不活性容器が選ばれやすい理由はどれか。</x:v>
      </x:c>
      <x:c r="F257" s="165" t="str">
        <x:v>強いナッツとランシオ香を最大化する</x:v>
      </x:c>
      <x:c r="G257" s="165" t="str">
        <x:v>フロールを厚く育て、辛口にする</x:v>
      </x:c>
      <x:c r="H257" s="165" t="str">
        <x:v>瓶内二次発酵で泡を作る</x:v>
      </x:c>
      <x:c r="I257" s="165" t="str">
        <x:v>酸化を抑え、ブドウ、花、柑橘の新鮮な香りを保つ</x:v>
      </x:c>
      <x:c r="J257" s="171" t="str">
        <x:v>D</x:v>
      </x:c>
      <x:c r="K257" s="165" t="str">
        <x:v>酸化を抑え、ブドウ、花、柑橘の新鮮な香りを保つ</x:v>
      </x:c>
      <x:c r="L257" s="165" t="str">
        <x:v>ステンレスなどで酸素接触を減らし、マスカットの一次香と明るい色を中心としたスタイルを維持する。</x:v>
      </x:c>
      <x:c r="M257" s="165" t="str">
        <x:v>誤り。 これは長期酸化熟成したラザグレンなどに近い。</x:v>
      </x:c>
      <x:c r="N257" s="165" t="str">
        <x:v>誤り。 酒精強化マスカットは甘口で、フロール熟成は標準ではない。</x:v>
      </x:c>
      <x:c r="O257" s="165" t="str">
        <x:v>誤り。 非発泡性の酒精強化ワインである。</x:v>
      </x:c>
      <x:c r="P257" s="165" t="str">
        <x:v>正しい。 ステンレスなどで酸素接触を減らし、マスカットの一次香と明るい色を中心としたスタイルを維持する。</x:v>
      </x:c>
      <x:c r="Q257" s="165" t="str">
        <x:v>酒精強化ワイン製法・産地</x:v>
      </x:c>
      <x:c r="R257" s="165" t="str">
        <x:v>不活性熟成・香り保持</x:v>
      </x:c>
      <x:c r="S257" s="165" t="str">
        <x:v>酒精強化ワイン</x:v>
      </x:c>
      <x:c r="T257" s="165" t="str">
        <x:v>フランス</x:v>
      </x:c>
      <x:c r="U257" s="165" t="str">
        <x:v>ミュスカ・ド・ボーム・ド・ヴニーズ</x:v>
      </x:c>
      <x:c r="V257" s="165" t="str">
        <x:v>マスカット</x:v>
      </x:c>
      <x:c r="W257" s="165" t="str">
        <x:v>因果説明</x:v>
      </x:c>
      <x:c r="X257" s="171" t="str">
        <x:v>D2</x:v>
      </x:c>
      <x:c r="Y257" s="165" t="str">
        <x:v>ボームは酸化ランシオ・フロール辛口・発泡</x:v>
      </x:c>
      <x:c r="Z257" s="171" t="str">
        <x:v>N</x:v>
      </x:c>
      <x:c r="AA257" s="165"/>
      <x:c r="AB257" s="165" t="str">
        <x:v>オリジナル</x:v>
      </x:c>
      <x:c r="AC257" s="165" t="str">
        <x:v>公式Specificationの範囲＋ユーザー作成コーパスの論点と問題設計例を参考に独自作成</x:v>
      </x:c>
      <x:c r="AD257" s="171" t="str">
        <x:v>未レビュー</x:v>
      </x:c>
      <x:c r="AE257" s="171"/>
      <x:c r="AF257" s="171"/>
      <x:c r="AG257" s="166"/>
    </x:row>
    <x:row r="258" ht="84" customHeight="1">
      <x:c r="A258" s="164" t="str">
        <x:v>LO4-057</x:v>
      </x:c>
      <x:c r="B258" s="171" t="str">
        <x:v>LO4</x:v>
      </x:c>
      <x:c r="C258" s="165" t="str">
        <x:v>世界の主要な酒精強化ワイン</x:v>
      </x:c>
      <x:c r="D258" s="165" t="str">
        <x:v>ラザグレンの気候</x:v>
      </x:c>
      <x:c r="E258" s="165" t="str">
        <x:v>ラザグレンで非常に熟したマスカットを得やすい主な自然条件はどれか。</x:v>
      </x:c>
      <x:c r="F258" s="165" t="str">
        <x:v>暑く乾燥した大陸性の影響が強い気候と長い生育期間</x:v>
      </x:c>
      <x:c r="G258" s="165" t="str">
        <x:v>一年中冷涼で日照が少なく、成熟しない</x:v>
      </x:c>
      <x:c r="H258" s="165" t="str">
        <x:v>毎年自然凍結する極寒の谷</x:v>
      </x:c>
      <x:c r="I258" s="165" t="str">
        <x:v>大西洋の冷たい海霧が一日中覆う</x:v>
      </x:c>
      <x:c r="J258" s="171" t="str">
        <x:v>A</x:v>
      </x:c>
      <x:c r="K258" s="165" t="str">
        <x:v>暑く乾燥した大陸性の影響が強い気候と長い生育期間</x:v>
      </x:c>
      <x:c r="L258" s="165" t="str">
        <x:v>高温と日照によりマスカットが高糖度まで成熟し、濃厚な甘口酒精強化ワインの基礎となる。</x:v>
      </x:c>
      <x:c r="M258" s="165" t="str">
        <x:v>正しい。 高温と日照によりマスカットが高糖度まで成熟し、濃厚な甘口酒精強化ワインの基礎となる。</x:v>
      </x:c>
      <x:c r="N258" s="165" t="str">
        <x:v>誤り。 ラザグレンはオーストラリア内陸の暑い地域である。</x:v>
      </x:c>
      <x:c r="O258" s="165" t="str">
        <x:v>誤り。 凍結ではなく高温と過熟を利用する。</x:v>
      </x:c>
      <x:c r="P258" s="165" t="str">
        <x:v>誤り。 内陸に位置し、海霧が主な条件ではない。</x:v>
      </x:c>
      <x:c r="Q258" s="165" t="str">
        <x:v>自然要因・産地</x:v>
      </x:c>
      <x:c r="R258" s="165" t="str">
        <x:v>高温・過熟</x:v>
      </x:c>
      <x:c r="S258" s="165" t="str">
        <x:v>酒精強化ワイン</x:v>
      </x:c>
      <x:c r="T258" s="165" t="str">
        <x:v>オーストラリア</x:v>
      </x:c>
      <x:c r="U258" s="165" t="str">
        <x:v>ラザグレン</x:v>
      </x:c>
      <x:c r="V258" s="165" t="str">
        <x:v>マスカット</x:v>
      </x:c>
      <x:c r="W258" s="165" t="str">
        <x:v>因果説明</x:v>
      </x:c>
      <x:c r="X258" s="171" t="str">
        <x:v>D1</x:v>
      </x:c>
      <x:c r="Y258" s="165" t="str">
        <x:v>ラザグレンは冷涼凍結・沿岸霧</x:v>
      </x:c>
      <x:c r="Z258" s="171" t="str">
        <x:v>N</x:v>
      </x:c>
      <x:c r="AA258" s="165"/>
      <x:c r="AB258" s="165" t="str">
        <x:v>オリジナル</x:v>
      </x:c>
      <x:c r="AC258" s="165" t="str">
        <x:v>公式Specificationの範囲＋ユーザー作成コーパスの論点と問題設計例を参考に独自作成</x:v>
      </x:c>
      <x:c r="AD258" s="171" t="str">
        <x:v>未レビュー</x:v>
      </x:c>
      <x:c r="AE258" s="171"/>
      <x:c r="AF258" s="171"/>
      <x:c r="AG258" s="166"/>
    </x:row>
    <x:row r="259" ht="84" customHeight="1">
      <x:c r="A259" s="164" t="str">
        <x:v>LO4-058</x:v>
      </x:c>
      <x:c r="B259" s="171" t="str">
        <x:v>LO4</x:v>
      </x:c>
      <x:c r="C259" s="165" t="str">
        <x:v>世界の主要な酒精強化ワイン</x:v>
      </x:c>
      <x:c r="D259" s="165" t="str">
        <x:v>ラザグレンの酸化熟成</x:v>
      </x:c>
      <x:c r="E259" s="165" t="str">
        <x:v>長期酸化熟成したラザグレン・マスカットに典型的な風味はどれか。</x:v>
      </x:c>
      <x:c r="F259" s="165" t="str">
        <x:v>青リンゴと草だけの軽い辛口</x:v>
      </x:c>
      <x:c r="G259" s="165" t="str">
        <x:v>レーズン、糖蜜、キャラメル、コーヒー、ナッツを思わせる濃厚な風味</x:v>
      </x:c>
      <x:c r="H259" s="165" t="str">
        <x:v>強い泡とパン生地だけの発泡性ワイン</x:v>
      </x:c>
      <x:c r="I259" s="165" t="str">
        <x:v>湿った段ボールとカビだけ</x:v>
      </x:c>
      <x:c r="J259" s="171" t="str">
        <x:v>B</x:v>
      </x:c>
      <x:c r="K259" s="165" t="str">
        <x:v>レーズン、糖蜜、キャラメル、コーヒー、ナッツを思わせる濃厚な風味</x:v>
      </x:c>
      <x:c r="L259" s="165" t="str">
        <x:v>温暖な環境で樽熟成と蒸発が進み、色が濃くなり、乾燥果実、キャラメル、ランシオなどの複雑な酸化熟成香が発達する。</x:v>
      </x:c>
      <x:c r="M259" s="165" t="str">
        <x:v>誤り。 ラザグレンの熟成マスカットは濃厚で甘く、酸化熟成香を持つ。</x:v>
      </x:c>
      <x:c r="N259" s="165" t="str">
        <x:v>正しい。 温暖な環境で樽熟成と蒸発が進み、色が濃くなり、乾燥果実、キャラメル、ランシオなどの複雑な酸化熟成香が発達する。</x:v>
      </x:c>
      <x:c r="O259" s="165" t="str">
        <x:v>誤り。 非発泡性の酒精強化ワインである。</x:v>
      </x:c>
      <x:c r="P259" s="165" t="str">
        <x:v>誤り。 これはコルク汚染の可能性があり、望ましい酸化熟成香ではない。</x:v>
      </x:c>
      <x:c r="Q259" s="165" t="str">
        <x:v>産地スタイル</x:v>
      </x:c>
      <x:c r="R259" s="165" t="str">
        <x:v>酸化熟成・ランシオ</x:v>
      </x:c>
      <x:c r="S259" s="165" t="str">
        <x:v>酒精強化ワイン</x:v>
      </x:c>
      <x:c r="T259" s="165" t="str">
        <x:v>オーストラリア</x:v>
      </x:c>
      <x:c r="U259" s="165" t="str">
        <x:v>ラザグレン</x:v>
      </x:c>
      <x:c r="V259" s="165" t="str">
        <x:v>マスカット</x:v>
      </x:c>
      <x:c r="W259" s="165" t="str">
        <x:v>知識確認</x:v>
      </x:c>
      <x:c r="X259" s="171" t="str">
        <x:v>D1</x:v>
      </x:c>
      <x:c r="Y259" s="165" t="str">
        <x:v>ラザグレンは軽い辛口・発泡・コルク汚染</x:v>
      </x:c>
      <x:c r="Z259" s="171" t="str">
        <x:v>N</x:v>
      </x:c>
      <x:c r="AA259" s="165"/>
      <x:c r="AB259" s="165" t="str">
        <x:v>オリジナル</x:v>
      </x:c>
      <x:c r="AC259" s="165" t="str">
        <x:v>公式Specificationの範囲＋ユーザー作成コーパスの論点と問題設計例を参考に独自作成</x:v>
      </x:c>
      <x:c r="AD259" s="171" t="str">
        <x:v>未レビュー</x:v>
      </x:c>
      <x:c r="AE259" s="171"/>
      <x:c r="AF259" s="171"/>
      <x:c r="AG259" s="166"/>
    </x:row>
    <x:row r="260" ht="84" customHeight="1">
      <x:c r="A260" s="164" t="str">
        <x:v>LO4-059</x:v>
      </x:c>
      <x:c r="B260" s="171" t="str">
        <x:v>LO4</x:v>
      </x:c>
      <x:c r="C260" s="165" t="str">
        <x:v>世界の主要な酒精強化ワイン</x:v>
      </x:c>
      <x:c r="D260" s="165" t="str">
        <x:v>ラザグレンのブレンド</x:v>
      </x:c>
      <x:c r="E260" s="165" t="str">
        <x:v>ラザグレン・マスカットで異なる年齢のワインをブレンドする主な利点はどれか。</x:v>
      </x:c>
      <x:c r="F260" s="165" t="str">
        <x:v>すべてのワインを同じ収穫年へ変える</x:v>
      </x:c>
      <x:c r="G260" s="165" t="str">
        <x:v>アルコールを完全に除去し、ジュースに戻す</x:v>
      </x:c>
      <x:c r="H260" s="165" t="str">
        <x:v>若いワインの果実香と、古いワインの濃厚な酸化熟成香を組み合わせられる</x:v>
      </x:c>
      <x:c r="I260" s="165" t="str">
        <x:v>二酸化炭素を発生させ、発泡性にする</x:v>
      </x:c>
      <x:c r="J260" s="171" t="str">
        <x:v>C</x:v>
      </x:c>
      <x:c r="K260" s="165" t="str">
        <x:v>若いワインの果実香と、古いワインの濃厚な酸化熟成香を組み合わせられる</x:v>
      </x:c>
      <x:c r="L260" s="165" t="str">
        <x:v>年齢の異なるロットを組み合わせることで、フレッシュなマスカット香、複雑性、濃度、甘味のバランスと一貫性を作れる。</x:v>
      </x:c>
      <x:c r="M260" s="165" t="str">
        <x:v>誤り。 ブレンドしても実際の収穫年は変わらない。</x:v>
      </x:c>
      <x:c r="N260" s="165" t="str">
        <x:v>誤り。 ブレンドは脱アルコール工程ではない。</x:v>
      </x:c>
      <x:c r="O260" s="165" t="str">
        <x:v>正しい。 年齢の異なるロットを組み合わせることで、フレッシュなマスカット香、複雑性、濃度、甘味のバランスと一貫性を作れる。</x:v>
      </x:c>
      <x:c r="P260" s="165" t="str">
        <x:v>誤り。 異なる年齢の非発泡性ワインを混ぜる工程である。</x:v>
      </x:c>
      <x:c r="Q260" s="165" t="str">
        <x:v>ブレンド・商業</x:v>
      </x:c>
      <x:c r="R260" s="165" t="str">
        <x:v>年齢ブレンド・一貫性</x:v>
      </x:c>
      <x:c r="S260" s="165" t="str">
        <x:v>酒精強化ワイン</x:v>
      </x:c>
      <x:c r="T260" s="165" t="str">
        <x:v>オーストラリア</x:v>
      </x:c>
      <x:c r="U260" s="165" t="str">
        <x:v>ラザグレン</x:v>
      </x:c>
      <x:c r="V260" s="165" t="str">
        <x:v>マスカット</x:v>
      </x:c>
      <x:c r="W260" s="165" t="str">
        <x:v>統合判断</x:v>
      </x:c>
      <x:c r="X260" s="171" t="str">
        <x:v>D3</x:v>
      </x:c>
      <x:c r="Y260" s="165" t="str">
        <x:v>ブレンドで年変更・脱アルコール・発泡</x:v>
      </x:c>
      <x:c r="Z260" s="171" t="str">
        <x:v>N</x:v>
      </x:c>
      <x:c r="AA260" s="165"/>
      <x:c r="AB260" s="165" t="str">
        <x:v>オリジナル</x:v>
      </x:c>
      <x:c r="AC260" s="165" t="str">
        <x:v>公式Specificationの範囲＋ユーザー作成コーパスの論点と問題設計例を参考に独自作成</x:v>
      </x:c>
      <x:c r="AD260" s="171" t="str">
        <x:v>未レビュー</x:v>
      </x:c>
      <x:c r="AE260" s="171"/>
      <x:c r="AF260" s="171"/>
      <x:c r="AG260" s="166"/>
    </x:row>
    <x:row r="261" ht="84" customHeight="1">
      <x:c r="A261" s="164" t="str">
        <x:v>LO4-060</x:v>
      </x:c>
      <x:c r="B261" s="171" t="str">
        <x:v>LO4</x:v>
      </x:c>
      <x:c r="C261" s="165" t="str">
        <x:v>世界の主要な酒精強化ワイン</x:v>
      </x:c>
      <x:c r="D261" s="165" t="str">
        <x:v>蒸発と価格</x:v>
      </x:c>
      <x:c r="E261" s="165" t="str">
        <x:v>長期熟成したラザグレン・マスカットが高価格になりやすい理由はどれか。</x:v>
      </x:c>
      <x:c r="F261" s="165" t="str">
        <x:v>熟成中にワイン量が毎年倍になり、容器代だけが増える</x:v>
      </x:c>
      <x:c r="G261" s="165" t="str">
        <x:v>フロールが金属へ変わり、樽を壊す</x:v>
      </x:c>
      <x:c r="H261" s="165" t="str">
        <x:v>瓶内二次発酵の圧力で毎年瓶を交換する</x:v>
      </x:c>
      <x:c r="I261" s="165" t="str">
        <x:v>蒸発でワイン量が減り、長い保管期間と樽・在庫の費用がかかる</x:v>
      </x:c>
      <x:c r="J261" s="171" t="str">
        <x:v>D</x:v>
      </x:c>
      <x:c r="K261" s="165" t="str">
        <x:v>蒸発でワイン量が減り、長い保管期間と樽・在庫の費用がかかる</x:v>
      </x:c>
      <x:c r="L261" s="165" t="str">
        <x:v>温暖な熟成庫では水分とアルコールが蒸発して風味が濃縮する一方、販売できる量が減り、資金と設備が長期間拘束される。</x:v>
      </x:c>
      <x:c r="M261" s="165" t="str">
        <x:v>誤り。 蒸発により量は減る。</x:v>
      </x:c>
      <x:c r="N261" s="165" t="str">
        <x:v>誤り。 ラザグレンの主要熟成は酸化的で、フロールが金属へ変わることはない。</x:v>
      </x:c>
      <x:c r="O261" s="165" t="str">
        <x:v>誤り。 非発泡性で、瓶内二次発酵は行わない。</x:v>
      </x:c>
      <x:c r="P261" s="165" t="str">
        <x:v>正しい。 温暖な熟成庫では水分とアルコールが蒸発して風味が濃縮する一方、販売できる量が減り、資金と設備が長期間拘束される。</x:v>
      </x:c>
      <x:c r="Q261" s="165" t="str">
        <x:v>商業面・熟成</x:v>
      </x:c>
      <x:c r="R261" s="165" t="str">
        <x:v>蒸発・在庫コスト</x:v>
      </x:c>
      <x:c r="S261" s="165" t="str">
        <x:v>酒精強化ワイン</x:v>
      </x:c>
      <x:c r="T261" s="165" t="str">
        <x:v>オーストラリア</x:v>
      </x:c>
      <x:c r="U261" s="165" t="str">
        <x:v>ラザグレン</x:v>
      </x:c>
      <x:c r="V261" s="165" t="str">
        <x:v>マスカット</x:v>
      </x:c>
      <x:c r="W261" s="165" t="str">
        <x:v>統合判断</x:v>
      </x:c>
      <x:c r="X261" s="171" t="str">
        <x:v>D3</x:v>
      </x:c>
      <x:c r="Y261" s="165" t="str">
        <x:v>熟成で量増加; フロールが金属化; 瓶内発泡</x:v>
      </x:c>
      <x:c r="Z261" s="171" t="str">
        <x:v>N</x:v>
      </x:c>
      <x:c r="AA261" s="165"/>
      <x:c r="AB261" s="165" t="str">
        <x:v>オリジナル</x:v>
      </x:c>
      <x:c r="AC261" s="165" t="str">
        <x:v>公式Specificationの範囲＋ユーザー作成コーパスの論点と問題設計例を参考に独自作成</x:v>
      </x:c>
      <x:c r="AD261" s="171" t="str">
        <x:v>未レビュー</x:v>
      </x:c>
      <x:c r="AE261" s="171"/>
      <x:c r="AF261" s="171"/>
      <x:c r="AG261" s="166"/>
    </x:row>
    <x:row r="262" ht="84" customHeight="1">
      <x:c r="A262" s="164" t="str">
        <x:v>LO5-021</x:v>
      </x:c>
      <x:c r="B262" s="171" t="str">
        <x:v>LO5</x:v>
      </x:c>
      <x:c r="C262" s="165" t="str">
        <x:v>情報提供・推奨・保管・サービス</x:v>
      </x:c>
      <x:c r="D262" s="165" t="str">
        <x:v>保管温度の変動</x:v>
      </x:c>
      <x:c r="E262" s="165" t="str">
        <x:v>ワインの長期保管で、平均温度が適切でも大きな温度変化を避けるべき主な理由はどれか。</x:v>
      </x:c>
      <x:c r="F262" s="165" t="str">
        <x:v>液体の膨張と収縮を繰り返し、栓から空気が入りやすくなって熟成を早める可能性がある</x:v>
      </x:c>
      <x:c r="G262" s="165" t="str">
        <x:v>温度が変わるたびにワインのアルコールが完全に消える</x:v>
      </x:c>
      <x:c r="H262" s="165" t="str">
        <x:v>温度変化によってブドウ品種が別の品種へ変わる</x:v>
      </x:c>
      <x:c r="I262" s="165" t="str">
        <x:v>温度変化が必ず二次発酵を起こし、発泡性ワインになる</x:v>
      </x:c>
      <x:c r="J262" s="171" t="str">
        <x:v>A</x:v>
      </x:c>
      <x:c r="K262" s="165" t="str">
        <x:v>液体の膨張と収縮を繰り返し、栓から空気が入りやすくなって熟成を早める可能性がある</x:v>
      </x:c>
      <x:c r="L262" s="165" t="str">
        <x:v>温度変化はワインと容器内の気体を膨張・収縮させ、栓の密閉性へ負担をかけ、酸化や液漏れのリスクを高め得る。</x:v>
      </x:c>
      <x:c r="M262" s="165" t="str">
        <x:v>正しい。 温度変化はワインと容器内の気体を膨張・収縮させ、栓の密閉性へ負担をかけ、酸化や液漏れのリスクを高め得る。</x:v>
      </x:c>
      <x:c r="N262" s="165" t="str">
        <x:v>誤り。 通常の保管温度の変化でアルコールがすべて失われることはない。</x:v>
      </x:c>
      <x:c r="O262" s="165" t="str">
        <x:v>誤り。 品種は原料ブドウの遺伝的性質で、瓶内の温度変化では変わらない。</x:v>
      </x:c>
      <x:c r="P262" s="165" t="str">
        <x:v>誤り。 発酵には酵母と発酵可能な糖などが必要で、温度変化だけでは必ず起こらない。</x:v>
      </x:c>
      <x:c r="Q262" s="165" t="str">
        <x:v>保管・サービス</x:v>
      </x:c>
      <x:c r="R262" s="165" t="str">
        <x:v>温度変動・密閉性</x:v>
      </x:c>
      <x:c r="S262" s="165" t="str">
        <x:v>全般</x:v>
      </x:c>
      <x:c r="T262" s="165"/>
      <x:c r="U262" s="165"/>
      <x:c r="V262" s="165"/>
      <x:c r="W262" s="165" t="str">
        <x:v>因果説明</x:v>
      </x:c>
      <x:c r="X262" s="171" t="str">
        <x:v>D2</x:v>
      </x:c>
      <x:c r="Y262" s="165" t="str">
        <x:v>温度変動でアルコール消失; 品種変化; 必ず発泡</x:v>
      </x:c>
      <x:c r="Z262" s="171" t="str">
        <x:v>N</x:v>
      </x:c>
      <x:c r="AA262" s="165"/>
      <x:c r="AB262" s="165" t="str">
        <x:v>オリジナル</x:v>
      </x:c>
      <x:c r="AC262" s="165" t="str">
        <x:v>公式Specificationの範囲＋ユーザー作成コーパスの論点と問題設計例を参考に独自作成</x:v>
      </x:c>
      <x:c r="AD262" s="171" t="str">
        <x:v>未レビュー</x:v>
      </x:c>
      <x:c r="AE262" s="171"/>
      <x:c r="AF262" s="171"/>
      <x:c r="AG262" s="166"/>
    </x:row>
    <x:row r="263" ht="84" customHeight="1">
      <x:c r="A263" s="164" t="str">
        <x:v>LO5-022</x:v>
      </x:c>
      <x:c r="B263" s="171" t="str">
        <x:v>LO5</x:v>
      </x:c>
      <x:c r="C263" s="165" t="str">
        <x:v>情報提供・推奨・保管・サービス</x:v>
      </x:c>
      <x:c r="D263" s="165" t="str">
        <x:v>保管湿度</x:v>
      </x:c>
      <x:c r="E263" s="165" t="str">
        <x:v>天然コルク栓のワインを非常に乾燥した場所で長期保管した場合に起こり得る問題はどれか。</x:v>
      </x:c>
      <x:c r="F263" s="165" t="str">
        <x:v>ワインの酸がすべて結晶になり、味がなくなる</x:v>
      </x:c>
      <x:c r="G263" s="165" t="str">
        <x:v>コルクが乾燥して収縮し、空気の侵入や液漏れのリスクが高まる</x:v>
      </x:c>
      <x:c r="H263" s="165" t="str">
        <x:v>瓶内のワイン量が増え、栓が押し出される</x:v>
      </x:c>
      <x:c r="I263" s="165" t="str">
        <x:v>ラベルが湿って剥がれやすくなる</x:v>
      </x:c>
      <x:c r="J263" s="171" t="str">
        <x:v>B</x:v>
      </x:c>
      <x:c r="K263" s="165" t="str">
        <x:v>コルクが乾燥して収縮し、空気の侵入や液漏れのリスクが高まる</x:v>
      </x:c>
      <x:c r="L263" s="165" t="str">
        <x:v>適度な湿度は天然コルクの状態維持に役立つ。乾燥しすぎると密閉性が低下し、ワインが早く酸化する可能性がある。</x:v>
      </x:c>
      <x:c r="M263" s="165" t="str">
        <x:v>誤り。 乾燥した空気がワイン中の酸をすべて結晶化させるわけではない。</x:v>
      </x:c>
      <x:c r="N263" s="165" t="str">
        <x:v>正しい。 適度な湿度は天然コルクの状態維持に役立つ。乾燥しすぎると密閉性が低下し、ワインが早く酸化する可能性がある。</x:v>
      </x:c>
      <x:c r="O263" s="165" t="str">
        <x:v>誤り。 乾燥によってワイン量が増えることはない。</x:v>
      </x:c>
      <x:c r="P263" s="165" t="str">
        <x:v>誤り。 これは湿度が高すぎる場合の問題で、非常に乾燥した環境とは逆である。</x:v>
      </x:c>
      <x:c r="Q263" s="165" t="str">
        <x:v>保管・サービス</x:v>
      </x:c>
      <x:c r="R263" s="165" t="str">
        <x:v>湿度・コルク</x:v>
      </x:c>
      <x:c r="S263" s="165" t="str">
        <x:v>全般</x:v>
      </x:c>
      <x:c r="T263" s="165"/>
      <x:c r="U263" s="165"/>
      <x:c r="V263" s="165"/>
      <x:c r="W263" s="165" t="str">
        <x:v>因果説明</x:v>
      </x:c>
      <x:c r="X263" s="171" t="str">
        <x:v>D2</x:v>
      </x:c>
      <x:c r="Y263" s="165" t="str">
        <x:v>乾燥で酸全結晶; ワイン量増加; 乾燥でラベル湿潤</x:v>
      </x:c>
      <x:c r="Z263" s="171" t="str">
        <x:v>N</x:v>
      </x:c>
      <x:c r="AA263" s="165"/>
      <x:c r="AB263" s="165" t="str">
        <x:v>オリジナル</x:v>
      </x:c>
      <x:c r="AC263" s="165" t="str">
        <x:v>公式Specificationの範囲＋ユーザー作成コーパスの論点と問題設計例を参考に独自作成</x:v>
      </x:c>
      <x:c r="AD263" s="171" t="str">
        <x:v>未レビュー</x:v>
      </x:c>
      <x:c r="AE263" s="171"/>
      <x:c r="AF263" s="171"/>
      <x:c r="AG263" s="166"/>
    </x:row>
    <x:row r="264" ht="84" customHeight="1">
      <x:c r="A264" s="164" t="str">
        <x:v>LO5-023</x:v>
      </x:c>
      <x:c r="B264" s="171" t="str">
        <x:v>LO5</x:v>
      </x:c>
      <x:c r="C264" s="165" t="str">
        <x:v>情報提供・推奨・保管・サービス</x:v>
      </x:c>
      <x:c r="D264" s="165" t="str">
        <x:v>振動の影響</x:v>
      </x:c>
      <x:c r="E264" s="165" t="str">
        <x:v>熟成用ワインを継続的な振動のある場所で保管しない方がよい主な理由はどれか。</x:v>
      </x:c>
      <x:c r="F264" s="165" t="str">
        <x:v>振動によって糖が新たに作られ、必ず甘口になる</x:v>
      </x:c>
      <x:c r="G264" s="165" t="str">
        <x:v>振動がワインの色を完全に透明にする</x:v>
      </x:c>
      <x:c r="H264" s="165" t="str">
        <x:v>澱が舞い続け、熟成やサービス時の清澄性に悪影響を与える可能性がある</x:v>
      </x:c>
      <x:c r="I264" s="165" t="str">
        <x:v>振動でコルクが金属製の栓へ変化する</x:v>
      </x:c>
      <x:c r="J264" s="171" t="str">
        <x:v>C</x:v>
      </x:c>
      <x:c r="K264" s="165" t="str">
        <x:v>澱が舞い続け、熟成やサービス時の清澄性に悪影響を与える可能性がある</x:v>
      </x:c>
      <x:c r="L264" s="165" t="str">
        <x:v>振動は熟成ワインの澱を沈殿しにくくし、サービス前に澱を落ち着かせることや、穏やかな熟成を妨げる可能性がある。</x:v>
      </x:c>
      <x:c r="M264" s="165" t="str">
        <x:v>誤り。 瓶内の振動が糖を生成することはない。</x:v>
      </x:c>
      <x:c r="N264" s="165" t="str">
        <x:v>誤り。 振動はむしろ澱を舞い上げ、外観を濁らせる可能性がある。</x:v>
      </x:c>
      <x:c r="O264" s="165" t="str">
        <x:v>正しい。 振動は熟成ワインの澱を沈殿しにくくし、サービス前に澱を落ち着かせることや、穏やかな熟成を妨げる可能性がある。</x:v>
      </x:c>
      <x:c r="P264" s="165" t="str">
        <x:v>誤り。 栓の材質が振動で変化することはない。</x:v>
      </x:c>
      <x:c r="Q264" s="165" t="str">
        <x:v>保管・サービス</x:v>
      </x:c>
      <x:c r="R264" s="165" t="str">
        <x:v>振動・澱</x:v>
      </x:c>
      <x:c r="S264" s="165" t="str">
        <x:v>全般</x:v>
      </x:c>
      <x:c r="T264" s="165"/>
      <x:c r="U264" s="165"/>
      <x:c r="V264" s="165"/>
      <x:c r="W264" s="165" t="str">
        <x:v>因果説明</x:v>
      </x:c>
      <x:c r="X264" s="171" t="str">
        <x:v>D2</x:v>
      </x:c>
      <x:c r="Y264" s="165" t="str">
        <x:v>振動で糖生成; 透明化; 栓材質変化</x:v>
      </x:c>
      <x:c r="Z264" s="171" t="str">
        <x:v>N</x:v>
      </x:c>
      <x:c r="AA264" s="165"/>
      <x:c r="AB264" s="165" t="str">
        <x:v>オリジナル</x:v>
      </x:c>
      <x:c r="AC264" s="165" t="str">
        <x:v>公式Specificationの範囲＋ユーザー作成コーパスの論点と問題設計例を参考に独自作成</x:v>
      </x:c>
      <x:c r="AD264" s="171" t="str">
        <x:v>未レビュー</x:v>
      </x:c>
      <x:c r="AE264" s="171"/>
      <x:c r="AF264" s="171"/>
      <x:c r="AG264" s="166"/>
    </x:row>
    <x:row r="265" ht="84" customHeight="1">
      <x:c r="A265" s="164" t="str">
        <x:v>LO5-024</x:v>
      </x:c>
      <x:c r="B265" s="171" t="str">
        <x:v>LO5</x:v>
      </x:c>
      <x:c r="C265" s="165" t="str">
        <x:v>情報提供・推奨・保管・サービス</x:v>
      </x:c>
      <x:c r="D265" s="165" t="str">
        <x:v>保管場所の臭い</x:v>
      </x:c>
      <x:c r="E265" s="165" t="str">
        <x:v>ワインを強い塗料や溶剤の臭いがある場所で長期間保管することが望ましくない理由はどれか。</x:v>
      </x:c>
      <x:c r="F265" s="165" t="str">
        <x:v>外部の臭いがワインのアルコール度を必ず倍にする</x:v>
      </x:c>
      <x:c r="G265" s="165" t="str">
        <x:v>溶剤の臭いが瓶を冷却し、酸を高める</x:v>
      </x:c>
      <x:c r="H265" s="165" t="str">
        <x:v>臭いが強いほどコルク汚染を防げる</x:v>
      </x:c>
      <x:c r="I265" s="165" t="str">
        <x:v>栓の種類や状態によっては外部の臭いがワインへ影響する可能性がある</x:v>
      </x:c>
      <x:c r="J265" s="171" t="str">
        <x:v>D</x:v>
      </x:c>
      <x:c r="K265" s="165" t="str">
        <x:v>栓の種類や状態によっては外部の臭いがワインへ影響する可能性がある</x:v>
      </x:c>
      <x:c r="L265" s="165" t="str">
        <x:v>ワインは強い異臭源から離し、清潔で無臭の環境に保管する方が安全である。天然コルクなどは完全な気密素材ではない。</x:v>
      </x:c>
      <x:c r="M265" s="165" t="str">
        <x:v>誤り。 臭い物質がアルコール度を倍増させることはない。</x:v>
      </x:c>
      <x:c r="N265" s="165" t="str">
        <x:v>誤り。 臭いは冷却装置ではなく、酸度を高めるものでもない。</x:v>
      </x:c>
      <x:c r="O265" s="165" t="str">
        <x:v>誤り。 強い外部臭は望ましくなく、コルク汚染を防ぐ効果もない。</x:v>
      </x:c>
      <x:c r="P265" s="165" t="str">
        <x:v>正しい。 ワインは強い異臭源から離し、清潔で無臭の環境に保管する方が安全である。天然コルクなどは完全な気密素材ではない。</x:v>
      </x:c>
      <x:c r="Q265" s="165" t="str">
        <x:v>保管・サービス</x:v>
      </x:c>
      <x:c r="R265" s="165" t="str">
        <x:v>臭い・保管環境</x:v>
      </x:c>
      <x:c r="S265" s="165" t="str">
        <x:v>全般</x:v>
      </x:c>
      <x:c r="T265" s="165"/>
      <x:c r="U265" s="165"/>
      <x:c r="V265" s="165"/>
      <x:c r="W265" s="165" t="str">
        <x:v>適用</x:v>
      </x:c>
      <x:c r="X265" s="171" t="str">
        <x:v>D2</x:v>
      </x:c>
      <x:c r="Y265" s="165" t="str">
        <x:v>臭いでアルコール倍増; 冷却・酸増加; 異臭でコルク汚染防止</x:v>
      </x:c>
      <x:c r="Z265" s="171" t="str">
        <x:v>N</x:v>
      </x:c>
      <x:c r="AA265" s="165"/>
      <x:c r="AB265" s="165" t="str">
        <x:v>オリジナル</x:v>
      </x:c>
      <x:c r="AC265" s="165" t="str">
        <x:v>公式Specificationの範囲＋ユーザー作成コーパスの論点と問題設計例を参考に独自作成</x:v>
      </x:c>
      <x:c r="AD265" s="171" t="str">
        <x:v>未レビュー</x:v>
      </x:c>
      <x:c r="AE265" s="171"/>
      <x:c r="AF265" s="171"/>
      <x:c r="AG265" s="166"/>
    </x:row>
    <x:row r="266" ht="84" customHeight="1">
      <x:c r="A266" s="164" t="str">
        <x:v>LO5-025</x:v>
      </x:c>
      <x:c r="B266" s="171" t="str">
        <x:v>LO5</x:v>
      </x:c>
      <x:c r="C266" s="165" t="str">
        <x:v>情報提供・推奨・保管・サービス</x:v>
      </x:c>
      <x:c r="D266" s="165" t="str">
        <x:v>在庫回転</x:v>
      </x:c>
      <x:c r="E266" s="165" t="str">
        <x:v>同じ銘柄・同じスタイルのワインを複数回入荷した場合、一般に先に入荷した在庫から提供する利点はどれか。</x:v>
      </x:c>
      <x:c r="F266" s="165" t="str">
        <x:v>適切な飲み頃を過ぎる在庫を減らし、保管期間を管理しやすい</x:v>
      </x:c>
      <x:c r="G266" s="165" t="str">
        <x:v>後から入荷したワインの品質が自動的に上がる</x:v>
      </x:c>
      <x:c r="H266" s="165" t="str">
        <x:v>先に入荷したワインは必ず高価格で販売できる</x:v>
      </x:c>
      <x:c r="I266" s="165" t="str">
        <x:v>在庫回転を行うとすべてのワインが同じヴィンテージになる</x:v>
      </x:c>
      <x:c r="J266" s="171" t="str">
        <x:v>A</x:v>
      </x:c>
      <x:c r="K266" s="165" t="str">
        <x:v>適切な飲み頃を過ぎる在庫を減らし、保管期間を管理しやすい</x:v>
      </x:c>
      <x:c r="L266" s="165" t="str">
        <x:v>先入れ先出しを基本にすると、古い在庫が残り続けることを防ぎ、品質劣化や在庫ロスのリスクを抑えられる。</x:v>
      </x:c>
      <x:c r="M266" s="165" t="str">
        <x:v>正しい。 先入れ先出しを基本にすると、古い在庫が残り続けることを防ぎ、品質劣化や在庫ロスのリスクを抑えられる。</x:v>
      </x:c>
      <x:c r="N266" s="165" t="str">
        <x:v>誤り。 提供順序が未開栓ワインの品質を自動的に向上させるわけではない。</x:v>
      </x:c>
      <x:c r="O266" s="165" t="str">
        <x:v>誤り。 価格は品質、需要、仕入れ条件などで決まり、入荷順だけでは決まらない。</x:v>
      </x:c>
      <x:c r="P266" s="165" t="str">
        <x:v>誤り。 在庫管理でヴィンテージが変わることはない。</x:v>
      </x:c>
      <x:c r="Q266" s="165" t="str">
        <x:v>保管・サービス・商業</x:v>
      </x:c>
      <x:c r="R266" s="165" t="str">
        <x:v>在庫管理・先入れ先出し</x:v>
      </x:c>
      <x:c r="S266" s="165" t="str">
        <x:v>全般</x:v>
      </x:c>
      <x:c r="T266" s="165"/>
      <x:c r="U266" s="165"/>
      <x:c r="V266" s="165"/>
      <x:c r="W266" s="165" t="str">
        <x:v>適用</x:v>
      </x:c>
      <x:c r="X266" s="171" t="str">
        <x:v>D2</x:v>
      </x:c>
      <x:c r="Y266" s="165" t="str">
        <x:v>在庫順で品質自動上昇; 必ず高価格; ヴィンテージ同一化</x:v>
      </x:c>
      <x:c r="Z266" s="171" t="str">
        <x:v>N</x:v>
      </x:c>
      <x:c r="AA266" s="165"/>
      <x:c r="AB266" s="165" t="str">
        <x:v>オリジナル</x:v>
      </x:c>
      <x:c r="AC266" s="165" t="str">
        <x:v>公式Specificationの範囲＋ユーザー作成コーパスの論点と問題設計例を参考に独自作成</x:v>
      </x:c>
      <x:c r="AD266" s="171" t="str">
        <x:v>未レビュー</x:v>
      </x:c>
      <x:c r="AE266" s="171"/>
      <x:c r="AF266" s="171"/>
      <x:c r="AG266" s="166"/>
    </x:row>
    <x:row r="267" ht="84" customHeight="1">
      <x:c r="A267" s="164" t="str">
        <x:v>LO5-026</x:v>
      </x:c>
      <x:c r="B267" s="171" t="str">
        <x:v>LO5</x:v>
      </x:c>
      <x:c r="C267" s="165" t="str">
        <x:v>情報提供・推奨・保管・サービス</x:v>
      </x:c>
      <x:c r="D267" s="165" t="str">
        <x:v>熟成ワインの事前準備</x:v>
      </x:c>
      <x:c r="E267" s="165" t="str">
        <x:v>澱がある可能性の高い熟成赤ワインをサービスする前に、瓶を立てて静置する主な目的はどれか。</x:v>
      </x:c>
      <x:c r="F267" s="165" t="str">
        <x:v>ワインのタンニンをすべて消し、甘口にする</x:v>
      </x:c>
      <x:c r="G267" s="165" t="str">
        <x:v>澱を瓶底へ沈め、開栓やデカンティング時に分離しやすくする</x:v>
      </x:c>
      <x:c r="H267" s="165" t="str">
        <x:v>瓶内二次発酵を開始して泡を作る</x:v>
      </x:c>
      <x:c r="I267" s="165" t="str">
        <x:v>コルクを膨張させ、瓶を自動的に開ける</x:v>
      </x:c>
      <x:c r="J267" s="171" t="str">
        <x:v>B</x:v>
      </x:c>
      <x:c r="K267" s="165" t="str">
        <x:v>澱を瓶底へ沈め、開栓やデカンティング時に分離しやすくする</x:v>
      </x:c>
      <x:c r="L267" s="165" t="str">
        <x:v>静置すると澱が落ち着き、光源などで澱の移動を確認しながら、澄んだワインを別容器へ移しやすくなる。</x:v>
      </x:c>
      <x:c r="M267" s="165" t="str">
        <x:v>誤り。 静置だけでタンニンが消えたり甘味が増えたりすることはない。</x:v>
      </x:c>
      <x:c r="N267" s="165" t="str">
        <x:v>正しい。 静置すると澱が落ち着き、光源などで澱の移動を確認しながら、澄んだワインを別容器へ移しやすくなる。</x:v>
      </x:c>
      <x:c r="O267" s="165" t="str">
        <x:v>誤り。 静置は澱を沈める準備で、発泡化を目的としない。</x:v>
      </x:c>
      <x:c r="P267" s="165" t="str">
        <x:v>誤り。 瓶を立てても自動開栓は起こらない。</x:v>
      </x:c>
      <x:c r="Q267" s="165" t="str">
        <x:v>保管・サービス</x:v>
      </x:c>
      <x:c r="R267" s="165" t="str">
        <x:v>熟成ワイン・澱</x:v>
      </x:c>
      <x:c r="S267" s="165" t="str">
        <x:v>非発泡性赤ワイン</x:v>
      </x:c>
      <x:c r="T267" s="165"/>
      <x:c r="U267" s="165"/>
      <x:c r="V267" s="165"/>
      <x:c r="W267" s="165" t="str">
        <x:v>適用</x:v>
      </x:c>
      <x:c r="X267" s="171" t="str">
        <x:v>D2</x:v>
      </x:c>
      <x:c r="Y267" s="165" t="str">
        <x:v>静置でタンニン消失; 発泡; 自動開栓</x:v>
      </x:c>
      <x:c r="Z267" s="171" t="str">
        <x:v>N</x:v>
      </x:c>
      <x:c r="AA267" s="165"/>
      <x:c r="AB267" s="165" t="str">
        <x:v>オリジナル</x:v>
      </x:c>
      <x:c r="AC267" s="165" t="str">
        <x:v>公式Specificationの範囲＋ユーザー作成コーパスの論点と問題設計例を参考に独自作成</x:v>
      </x:c>
      <x:c r="AD267" s="171" t="str">
        <x:v>未レビュー</x:v>
      </x:c>
      <x:c r="AE267" s="171"/>
      <x:c r="AF267" s="171"/>
      <x:c r="AG267" s="166"/>
    </x:row>
    <x:row r="268" ht="84" customHeight="1">
      <x:c r="A268" s="164" t="str">
        <x:v>LO5-027</x:v>
      </x:c>
      <x:c r="B268" s="171" t="str">
        <x:v>LO5</x:v>
      </x:c>
      <x:c r="C268" s="165" t="str">
        <x:v>情報提供・推奨・保管・サービス</x:v>
      </x:c>
      <x:c r="D268" s="165" t="str">
        <x:v>開栓後の非発泡性ワイン</x:v>
      </x:c>
      <x:c r="E268" s="165" t="str">
        <x:v>開栓した非発泡性ワインを翌日まで比較的良い状態で保つ方法として、最も適切なものはどれか。</x:v>
      </x:c>
      <x:c r="F268" s="165" t="str">
        <x:v>栓をせず暖かい場所へ置き、表面積を最大化する</x:v>
      </x:c>
      <x:c r="G268" s="165" t="str">
        <x:v>瓶を激しく振り、空気を溶かし込む</x:v>
      </x:c>
      <x:c r="H268" s="165" t="str">
        <x:v>再び栓をして冷蔵し、酸素との接触と化学反応の進行を抑える</x:v>
      </x:c>
      <x:c r="I268" s="165" t="str">
        <x:v>直射日光に当て、微生物を完全に除去する</x:v>
      </x:c>
      <x:c r="J268" s="171" t="str">
        <x:v>C</x:v>
      </x:c>
      <x:c r="K268" s="165" t="str">
        <x:v>再び栓をして冷蔵し、酸素との接触と化学反応の進行を抑える</x:v>
      </x:c>
      <x:c r="L268" s="165" t="str">
        <x:v>低温と密閉は酸化を遅らせる。赤ワインも保存中は冷蔵し、提供前に適温へ戻すことができる。</x:v>
      </x:c>
      <x:c r="M268" s="165" t="str">
        <x:v>誤り。 酸素接触と高温は酸化を速める。</x:v>
      </x:c>
      <x:c r="N268" s="165" t="str">
        <x:v>誤り。 酸素を多く取り込ませると、保存目的には逆効果である。</x:v>
      </x:c>
      <x:c r="O268" s="165" t="str">
        <x:v>正しい。 低温と密閉は酸化を遅らせる。赤ワインも保存中は冷蔵し、提供前に適温へ戻すことができる。</x:v>
      </x:c>
      <x:c r="P268" s="165" t="str">
        <x:v>誤り。 光と熱はワインを劣化させるため、保存方法として不適切である。</x:v>
      </x:c>
      <x:c r="Q268" s="165" t="str">
        <x:v>保管・サービス</x:v>
      </x:c>
      <x:c r="R268" s="165" t="str">
        <x:v>開栓後保存・酸化</x:v>
      </x:c>
      <x:c r="S268" s="165" t="str">
        <x:v>非発泡性ワイン</x:v>
      </x:c>
      <x:c r="T268" s="165"/>
      <x:c r="U268" s="165"/>
      <x:c r="V268" s="165"/>
      <x:c r="W268" s="165" t="str">
        <x:v>適用</x:v>
      </x:c>
      <x:c r="X268" s="171" t="str">
        <x:v>D1</x:v>
      </x:c>
      <x:c r="Y268" s="165" t="str">
        <x:v>開栓保存は高温・振とう・直射日光</x:v>
      </x:c>
      <x:c r="Z268" s="171" t="str">
        <x:v>N</x:v>
      </x:c>
      <x:c r="AA268" s="165"/>
      <x:c r="AB268" s="165" t="str">
        <x:v>オリジナル</x:v>
      </x:c>
      <x:c r="AC268" s="165" t="str">
        <x:v>公式Specificationの範囲＋ユーザー作成コーパスの論点と問題設計例を参考に独自作成</x:v>
      </x:c>
      <x:c r="AD268" s="171" t="str">
        <x:v>未レビュー</x:v>
      </x:c>
      <x:c r="AE268" s="171"/>
      <x:c r="AF268" s="171"/>
      <x:c r="AG268" s="166"/>
    </x:row>
    <x:row r="269" ht="84" customHeight="1">
      <x:c r="A269" s="164" t="str">
        <x:v>LO5-028</x:v>
      </x:c>
      <x:c r="B269" s="171" t="str">
        <x:v>LO5</x:v>
      </x:c>
      <x:c r="C269" s="165" t="str">
        <x:v>情報提供・推奨・保管・サービス</x:v>
      </x:c>
      <x:c r="D269" s="165" t="str">
        <x:v>開栓後の発泡性ワイン</x:v>
      </x:c>
      <x:c r="E269" s="165" t="str">
        <x:v>開栓した発泡性ワインの炭酸ガスを短時間保つために最も有効な方法はどれか。</x:v>
      </x:c>
      <x:c r="F269" s="165" t="str">
        <x:v>普通の紙を瓶口に置き、常温で保管する</x:v>
      </x:c>
      <x:c r="G269" s="165" t="str">
        <x:v>瓶を振ってから栓を外したままにする</x:v>
      </x:c>
      <x:c r="H269" s="165" t="str">
        <x:v>温めて炭酸ガスを液体中へ押し戻す</x:v>
      </x:c>
      <x:c r="I269" s="165" t="str">
        <x:v>発泡性ワイン用ストッパーで密閉し、冷蔵する</x:v>
      </x:c>
      <x:c r="J269" s="171" t="str">
        <x:v>D</x:v>
      </x:c>
      <x:c r="K269" s="165" t="str">
        <x:v>発泡性ワイン用ストッパーで密閉し、冷蔵する</x:v>
      </x:c>
      <x:c r="L269" s="165" t="str">
        <x:v>専用ストッパーは瓶内圧を保持しやすく、低温は炭酸ガスが液体中に溶けた状態を保つのに役立つ。</x:v>
      </x:c>
      <x:c r="M269" s="165" t="str">
        <x:v>誤り。 密閉できず、炭酸ガスが逃げやすい。</x:v>
      </x:c>
      <x:c r="N269" s="165" t="str">
        <x:v>誤り。 振動と開放は炭酸ガスの放出を促す。</x:v>
      </x:c>
      <x:c r="O269" s="165" t="str">
        <x:v>誤り。 温度が上がると炭酸ガスは液体から抜けやすくなる。</x:v>
      </x:c>
      <x:c r="P269" s="165" t="str">
        <x:v>正しい。 専用ストッパーは瓶内圧を保持しやすく、低温は炭酸ガスが液体中に溶けた状態を保つのに役立つ。</x:v>
      </x:c>
      <x:c r="Q269" s="165" t="str">
        <x:v>保管・サービス</x:v>
      </x:c>
      <x:c r="R269" s="165" t="str">
        <x:v>発泡性ワイン・開栓後保存</x:v>
      </x:c>
      <x:c r="S269" s="165" t="str">
        <x:v>発泡性ワイン</x:v>
      </x:c>
      <x:c r="T269" s="165"/>
      <x:c r="U269" s="165"/>
      <x:c r="V269" s="165"/>
      <x:c r="W269" s="165" t="str">
        <x:v>適用</x:v>
      </x:c>
      <x:c r="X269" s="171" t="str">
        <x:v>D1</x:v>
      </x:c>
      <x:c r="Y269" s="165" t="str">
        <x:v>紙で密閉; 振とう; 加温で炭酸保持</x:v>
      </x:c>
      <x:c r="Z269" s="171" t="str">
        <x:v>N</x:v>
      </x:c>
      <x:c r="AA269" s="165"/>
      <x:c r="AB269" s="165" t="str">
        <x:v>オリジナル</x:v>
      </x:c>
      <x:c r="AC269" s="165" t="str">
        <x:v>公式Specificationの範囲＋ユーザー作成コーパスの論点と問題設計例を参考に独自作成</x:v>
      </x:c>
      <x:c r="AD269" s="171" t="str">
        <x:v>未レビュー</x:v>
      </x:c>
      <x:c r="AE269" s="171"/>
      <x:c r="AF269" s="171"/>
      <x:c r="AG269" s="166"/>
    </x:row>
    <x:row r="270" ht="84" customHeight="1">
      <x:c r="A270" s="164" t="str">
        <x:v>LO5-029</x:v>
      </x:c>
      <x:c r="B270" s="171" t="str">
        <x:v>LO5</x:v>
      </x:c>
      <x:c r="C270" s="165" t="str">
        <x:v>情報提供・推奨・保管・サービス</x:v>
      </x:c>
      <x:c r="D270" s="165" t="str">
        <x:v>ボトルの提示</x:v>
      </x:c>
      <x:c r="E270" s="165" t="str">
        <x:v>レストランで注文されたワインを開栓前に顧客へ提示する主な目的はどれか。</x:v>
      </x:c>
      <x:c r="F270" s="165" t="str">
        <x:v>生産者、ワイン名、ヴィンテージなどが注文内容と一致するか確認してもらう</x:v>
      </x:c>
      <x:c r="G270" s="165" t="str">
        <x:v>顧客にラベルを剥がしてもらう</x:v>
      </x:c>
      <x:c r="H270" s="165" t="str">
        <x:v>ボトルを振って澱を均一に混ぜてもらう</x:v>
      </x:c>
      <x:c r="I270" s="165" t="str">
        <x:v>顧客に未開栓のまま香りを評価してもらう</x:v>
      </x:c>
      <x:c r="J270" s="171" t="str">
        <x:v>A</x:v>
      </x:c>
      <x:c r="K270" s="165" t="str">
        <x:v>生産者、ワイン名、ヴィンテージなどが注文内容と一致するか確認してもらう</x:v>
      </x:c>
      <x:c r="L270" s="165" t="str">
        <x:v>開栓前の提示は、誤った銘柄やヴィンテージを開けることを防ぎ、注文内容を相互に確認するために行う。</x:v>
      </x:c>
      <x:c r="M270" s="165" t="str">
        <x:v>正しい。 開栓前の提示は、誤った銘柄やヴィンテージを開けることを防ぎ、注文内容を相互に確認するために行う。</x:v>
      </x:c>
      <x:c r="N270" s="165" t="str">
        <x:v>誤り。 ラベルを剥がすことが目的ではない。</x:v>
      </x:c>
      <x:c r="O270" s="165" t="str">
        <x:v>誤り。 特に熟成ワインでは澱を舞い上げるため不適切である。</x:v>
      </x:c>
      <x:c r="P270" s="165" t="str">
        <x:v>誤り。 栓をしたままではワインの香りを適切に評価できない。</x:v>
      </x:c>
      <x:c r="Q270" s="165" t="str">
        <x:v>保管・サービス</x:v>
      </x:c>
      <x:c r="R270" s="165" t="str">
        <x:v>サービス手順・確認</x:v>
      </x:c>
      <x:c r="S270" s="165" t="str">
        <x:v>全般</x:v>
      </x:c>
      <x:c r="T270" s="165"/>
      <x:c r="U270" s="165"/>
      <x:c r="V270" s="165"/>
      <x:c r="W270" s="165" t="str">
        <x:v>適用</x:v>
      </x:c>
      <x:c r="X270" s="171" t="str">
        <x:v>D1</x:v>
      </x:c>
      <x:c r="Y270" s="165" t="str">
        <x:v>提示はラベル剥離; 振とう; 未開栓香り評価</x:v>
      </x:c>
      <x:c r="Z270" s="171" t="str">
        <x:v>N</x:v>
      </x:c>
      <x:c r="AA270" s="165"/>
      <x:c r="AB270" s="165" t="str">
        <x:v>オリジナル</x:v>
      </x:c>
      <x:c r="AC270" s="165" t="str">
        <x:v>公式Specificationの範囲＋ユーザー作成コーパスの論点と問題設計例を参考に独自作成</x:v>
      </x:c>
      <x:c r="AD270" s="171" t="str">
        <x:v>未レビュー</x:v>
      </x:c>
      <x:c r="AE270" s="171"/>
      <x:c r="AF270" s="171"/>
      <x:c r="AG270" s="166"/>
    </x:row>
    <x:row r="271" ht="84" customHeight="1">
      <x:c r="A271" s="164" t="str">
        <x:v>LO5-030</x:v>
      </x:c>
      <x:c r="B271" s="171" t="str">
        <x:v>LO5</x:v>
      </x:c>
      <x:c r="C271" s="165" t="str">
        <x:v>情報提供・推奨・保管・サービス</x:v>
      </x:c>
      <x:c r="D271" s="165" t="str">
        <x:v>グラスの清潔さ</x:v>
      </x:c>
      <x:c r="E271" s="165" t="str">
        <x:v>ワイングラスを清潔で無臭に保つことが重要な主な理由はどれか。</x:v>
      </x:c>
      <x:c r="F271" s="165" t="str">
        <x:v>グラスの臭いがワインのアルコール度を下げるため</x:v>
      </x:c>
      <x:c r="G271" s="165" t="str">
        <x:v>洗剤や保管場所の臭いがワインの香りを覆い、評価や楽しみを妨げるため</x:v>
      </x:c>
      <x:c r="H271" s="165" t="str">
        <x:v>無臭のグラスではワインの色が見えなくなるため</x:v>
      </x:c>
      <x:c r="I271" s="165" t="str">
        <x:v>洗剤の香りが強いほど品質が高く感じられるため</x:v>
      </x:c>
      <x:c r="J271" s="171" t="str">
        <x:v>B</x:v>
      </x:c>
      <x:c r="K271" s="165" t="str">
        <x:v>洗剤や保管場所の臭いがワインの香りを覆い、評価や楽しみを妨げるため</x:v>
      </x:c>
      <x:c r="L271" s="165" t="str">
        <x:v>ワインの香りは繊細であり、グラスに残った洗剤、布、収納場所などの臭いが品質評価を歪める可能性がある。</x:v>
      </x:c>
      <x:c r="M271" s="165" t="str">
        <x:v>誤り。 外部の臭いはアルコール度を下げない。</x:v>
      </x:c>
      <x:c r="N271" s="165" t="str">
        <x:v>正しい。 ワインの香りは繊細であり、グラスに残った洗剤、布、収納場所などの臭いが品質評価を歪める可能性がある。</x:v>
      </x:c>
      <x:c r="O271" s="165" t="str">
        <x:v>誤り。 清潔さと色の視認性は矛盾せず、透明なグラスなら色を観察できる。</x:v>
      </x:c>
      <x:c r="P271" s="165" t="str">
        <x:v>誤り。 外部香はワイン本来の香りを妨げ、品質評価には不利である。</x:v>
      </x:c>
      <x:c r="Q271" s="165" t="str">
        <x:v>保管・サービス</x:v>
      </x:c>
      <x:c r="R271" s="165" t="str">
        <x:v>グラスウェア・清潔さ</x:v>
      </x:c>
      <x:c r="S271" s="165" t="str">
        <x:v>全般</x:v>
      </x:c>
      <x:c r="T271" s="165"/>
      <x:c r="U271" s="165"/>
      <x:c r="V271" s="165"/>
      <x:c r="W271" s="165" t="str">
        <x:v>因果説明</x:v>
      </x:c>
      <x:c r="X271" s="171" t="str">
        <x:v>D1</x:v>
      </x:c>
      <x:c r="Y271" s="165" t="str">
        <x:v>外臭でアルコール低下; 無臭で色不可視; 洗剤香が品質向上</x:v>
      </x:c>
      <x:c r="Z271" s="171" t="str">
        <x:v>N</x:v>
      </x:c>
      <x:c r="AA271" s="165"/>
      <x:c r="AB271" s="165" t="str">
        <x:v>オリジナル</x:v>
      </x:c>
      <x:c r="AC271" s="165" t="str">
        <x:v>公式Specificationの範囲＋ユーザー作成コーパスの論点と問題設計例を参考に独自作成</x:v>
      </x:c>
      <x:c r="AD271" s="171" t="str">
        <x:v>未レビュー</x:v>
      </x:c>
      <x:c r="AE271" s="171"/>
      <x:c r="AF271" s="171"/>
      <x:c r="AG271" s="166"/>
    </x:row>
    <x:row r="272" ht="84" customHeight="1">
      <x:c r="A272" s="164" t="str">
        <x:v>LO5-031</x:v>
      </x:c>
      <x:c r="B272" s="171" t="str">
        <x:v>LO5</x:v>
      </x:c>
      <x:c r="C272" s="165" t="str">
        <x:v>情報提供・推奨・保管・サービス</x:v>
      </x:c>
      <x:c r="D272" s="165" t="str">
        <x:v>グラスの形状</x:v>
      </x:c>
      <x:c r="E272" s="165" t="str">
        <x:v>一般的なテイスティング用グラスで、ボウルがある程度広く、口がやや狭くなっている利点はどれか。</x:v>
      </x:c>
      <x:c r="F272" s="165" t="str">
        <x:v>ワインを完全に無臭にする</x:v>
      </x:c>
      <x:c r="G272" s="165" t="str">
        <x:v>アルコールを瞬時に蒸発させ、ノンアルコールにする</x:v>
      </x:c>
      <x:c r="H272" s="165" t="str">
        <x:v>香りを発散させつつグラス上部へ集め、観察しやすくする</x:v>
      </x:c>
      <x:c r="I272" s="165" t="str">
        <x:v>ワインの色を自動的に濃くする</x:v>
      </x:c>
      <x:c r="J272" s="171" t="str">
        <x:v>C</x:v>
      </x:c>
      <x:c r="K272" s="165" t="str">
        <x:v>香りを発散させつつグラス上部へ集め、観察しやすくする</x:v>
      </x:c>
      <x:c r="L272" s="165" t="str">
        <x:v>ボウル内でワインを回して香りを放出させ、狭めの口で香りを鼻へ導くことができる。</x:v>
      </x:c>
      <x:c r="M272" s="165" t="str">
        <x:v>誤り。 形状は香りを観察しやすくするためで、消すためではない。</x:v>
      </x:c>
      <x:c r="N272" s="165" t="str">
        <x:v>誤り。 通常のグラス形状でアルコールを瞬時に除去できない。</x:v>
      </x:c>
      <x:c r="O272" s="165" t="str">
        <x:v>正しい。 ボウル内でワインを回して香りを放出させ、狭めの口で香りを鼻へ導くことができる。</x:v>
      </x:c>
      <x:c r="P272" s="165" t="str">
        <x:v>誤り。 グラスの形状は液体の実際の色を変えない。</x:v>
      </x:c>
      <x:c r="Q272" s="165" t="str">
        <x:v>保管・サービス</x:v>
      </x:c>
      <x:c r="R272" s="165" t="str">
        <x:v>グラス形状・香り</x:v>
      </x:c>
      <x:c r="S272" s="165" t="str">
        <x:v>全般</x:v>
      </x:c>
      <x:c r="T272" s="165"/>
      <x:c r="U272" s="165"/>
      <x:c r="V272" s="165"/>
      <x:c r="W272" s="165" t="str">
        <x:v>因果説明</x:v>
      </x:c>
      <x:c r="X272" s="171" t="str">
        <x:v>D1</x:v>
      </x:c>
      <x:c r="Y272" s="165" t="str">
        <x:v>グラスで無臭化; 脱アルコール; 色濃化</x:v>
      </x:c>
      <x:c r="Z272" s="171" t="str">
        <x:v>N</x:v>
      </x:c>
      <x:c r="AA272" s="165"/>
      <x:c r="AB272" s="165" t="str">
        <x:v>オリジナル</x:v>
      </x:c>
      <x:c r="AC272" s="165" t="str">
        <x:v>公式Specificationの範囲＋ユーザー作成コーパスの論点と問題設計例を参考に独自作成</x:v>
      </x:c>
      <x:c r="AD272" s="171" t="str">
        <x:v>未レビュー</x:v>
      </x:c>
      <x:c r="AE272" s="171"/>
      <x:c r="AF272" s="171"/>
      <x:c r="AG272" s="166"/>
    </x:row>
    <x:row r="273" ht="84" customHeight="1">
      <x:c r="A273" s="164" t="str">
        <x:v>LO5-032</x:v>
      </x:c>
      <x:c r="B273" s="171" t="str">
        <x:v>LO5</x:v>
      </x:c>
      <x:c r="C273" s="165" t="str">
        <x:v>情報提供・推奨・保管・サービス</x:v>
      </x:c>
      <x:c r="D273" s="165" t="str">
        <x:v>注ぐ量</x:v>
      </x:c>
      <x:c r="E273" s="165" t="str">
        <x:v>ワインをグラスいっぱいまで注がず、一定の空間を残す主な利点はどれか。</x:v>
      </x:c>
      <x:c r="F273" s="165" t="str">
        <x:v>空間があるほどワインのアルコール度が上がる</x:v>
      </x:c>
      <x:c r="G273" s="165" t="str">
        <x:v>少量にするとすべての欠陥が消える</x:v>
      </x:c>
      <x:c r="H273" s="165" t="str">
        <x:v>グラスを満杯にしないと二次発酵が始まる</x:v>
      </x:c>
      <x:c r="I273" s="165" t="str">
        <x:v>ワインを回して香りを放出させる空間を確保し、こぼれにくくする</x:v>
      </x:c>
      <x:c r="J273" s="171" t="str">
        <x:v>D</x:v>
      </x:c>
      <x:c r="K273" s="165" t="str">
        <x:v>ワインを回して香りを放出させる空間を確保し、こぼれにくくする</x:v>
      </x:c>
      <x:c r="L273" s="165" t="str">
        <x:v>適度な注量なら、グラス内でワインをスワリングでき、香りの観察と安全なサービスの両方に役立つ。</x:v>
      </x:c>
      <x:c r="M273" s="165" t="str">
        <x:v>誤り。 グラス内の空間はアルコール度を上げない。</x:v>
      </x:c>
      <x:c r="N273" s="165" t="str">
        <x:v>誤り。 注量を減らしても欠陥そのものは消えない。</x:v>
      </x:c>
      <x:c r="O273" s="165" t="str">
        <x:v>誤り。 注ぐ量と二次発酵には直接の関係がない。</x:v>
      </x:c>
      <x:c r="P273" s="165" t="str">
        <x:v>正しい。 適度な注量なら、グラス内でワインをスワリングでき、香りの観察と安全なサービスの両方に役立つ。</x:v>
      </x:c>
      <x:c r="Q273" s="165" t="str">
        <x:v>保管・サービス</x:v>
      </x:c>
      <x:c r="R273" s="165" t="str">
        <x:v>注量・香り</x:v>
      </x:c>
      <x:c r="S273" s="165" t="str">
        <x:v>全般</x:v>
      </x:c>
      <x:c r="T273" s="165"/>
      <x:c r="U273" s="165"/>
      <x:c r="V273" s="165"/>
      <x:c r="W273" s="165" t="str">
        <x:v>適用</x:v>
      </x:c>
      <x:c r="X273" s="171" t="str">
        <x:v>D1</x:v>
      </x:c>
      <x:c r="Y273" s="165" t="str">
        <x:v>注量でアルコール増加; 欠陥消失; 二次発酵</x:v>
      </x:c>
      <x:c r="Z273" s="171" t="str">
        <x:v>N</x:v>
      </x:c>
      <x:c r="AA273" s="165"/>
      <x:c r="AB273" s="165" t="str">
        <x:v>オリジナル</x:v>
      </x:c>
      <x:c r="AC273" s="165" t="str">
        <x:v>公式Specificationの範囲＋ユーザー作成コーパスの論点と問題設計例を参考に独自作成</x:v>
      </x:c>
      <x:c r="AD273" s="171" t="str">
        <x:v>未レビュー</x:v>
      </x:c>
      <x:c r="AE273" s="171"/>
      <x:c r="AF273" s="171"/>
      <x:c r="AG273" s="166"/>
    </x:row>
    <x:row r="274" ht="84" customHeight="1">
      <x:c r="A274" s="164" t="str">
        <x:v>LO5-033</x:v>
      </x:c>
      <x:c r="B274" s="171" t="str">
        <x:v>LO5</x:v>
      </x:c>
      <x:c r="C274" s="165" t="str">
        <x:v>情報提供・推奨・保管・サービス</x:v>
      </x:c>
      <x:c r="D274" s="165" t="str">
        <x:v>発泡性ワインの開栓</x:v>
      </x:c>
      <x:c r="E274" s="165" t="str">
        <x:v>発泡性ワインを安全に開栓する方法として最も適切なものはどれか。</x:v>
      </x:c>
      <x:c r="F274" s="165" t="str">
        <x:v>瓶を人から離して傾け、コルクを押さえながら瓶底側をゆっくり回す</x:v>
      </x:c>
      <x:c r="G274" s="165" t="str">
        <x:v>コルクを人へ向け、栓を一気に飛ばす</x:v>
      </x:c>
      <x:c r="H274" s="165" t="str">
        <x:v>瓶を強く振ってからワイヤーを外す</x:v>
      </x:c>
      <x:c r="I274" s="165" t="str">
        <x:v>瓶を温めて内圧を高めてから開ける</x:v>
      </x:c>
      <x:c r="J274" s="171" t="str">
        <x:v>A</x:v>
      </x:c>
      <x:c r="K274" s="165" t="str">
        <x:v>瓶を人から離して傾け、コルクを押さえながら瓶底側をゆっくり回す</x:v>
      </x:c>
      <x:c r="L274" s="165" t="str">
        <x:v>瓶内圧が高いため、コルクを常に管理し、瓶をゆっくり回して小さな音で圧を逃がす方法が安全である。</x:v>
      </x:c>
      <x:c r="M274" s="165" t="str">
        <x:v>正しい。 瓶内圧が高いため、コルクを常に管理し、瓶をゆっくり回して小さな音で圧を逃がす方法が安全である。</x:v>
      </x:c>
      <x:c r="N274" s="165" t="str">
        <x:v>誤り。 高速で飛ぶコルクは事故につながる。</x:v>
      </x:c>
      <x:c r="O274" s="165" t="str">
        <x:v>誤り。 振ると泡が噴き出しやすくなり危険である。</x:v>
      </x:c>
      <x:c r="P274" s="165" t="str">
        <x:v>誤り。 加温は圧力を上げ、危険性を高める。</x:v>
      </x:c>
      <x:c r="Q274" s="165" t="str">
        <x:v>保管・サービス</x:v>
      </x:c>
      <x:c r="R274" s="165" t="str">
        <x:v>発泡性ワイン・安全な開栓</x:v>
      </x:c>
      <x:c r="S274" s="165" t="str">
        <x:v>発泡性ワイン</x:v>
      </x:c>
      <x:c r="T274" s="165"/>
      <x:c r="U274" s="165"/>
      <x:c r="V274" s="165"/>
      <x:c r="W274" s="165" t="str">
        <x:v>適用</x:v>
      </x:c>
      <x:c r="X274" s="171" t="str">
        <x:v>D2</x:v>
      </x:c>
      <x:c r="Y274" s="165" t="str">
        <x:v>コルクを飛ばす; 振とう; 加温</x:v>
      </x:c>
      <x:c r="Z274" s="171" t="str">
        <x:v>N</x:v>
      </x:c>
      <x:c r="AA274" s="165"/>
      <x:c r="AB274" s="165" t="str">
        <x:v>オリジナル</x:v>
      </x:c>
      <x:c r="AC274" s="165" t="str">
        <x:v>公式Specificationの範囲＋ユーザー作成コーパスの論点と問題設計例を参考に独自作成</x:v>
      </x:c>
      <x:c r="AD274" s="171" t="str">
        <x:v>未レビュー</x:v>
      </x:c>
      <x:c r="AE274" s="171"/>
      <x:c r="AF274" s="171"/>
      <x:c r="AG274" s="166"/>
    </x:row>
    <x:row r="275" ht="84" customHeight="1">
      <x:c r="A275" s="164" t="str">
        <x:v>LO5-034</x:v>
      </x:c>
      <x:c r="B275" s="171" t="str">
        <x:v>LO5</x:v>
      </x:c>
      <x:c r="C275" s="165" t="str">
        <x:v>情報提供・推奨・保管・サービス</x:v>
      </x:c>
      <x:c r="D275" s="165" t="str">
        <x:v>天然コルク栓の開栓</x:v>
      </x:c>
      <x:c r="E275" s="165" t="str">
        <x:v>天然コルク栓の非発泡性ワインを開ける際、スクリューをコルクの中央へまっすぐ入れる主な理由はどれか。</x:v>
      </x:c>
      <x:c r="F275" s="165" t="str">
        <x:v>コルクを瓶内へ完全に押し込むため</x:v>
      </x:c>
      <x:c r="G275" s="165" t="str">
        <x:v>コルクを崩しにくくし、安定して引き抜くため</x:v>
      </x:c>
      <x:c r="H275" s="165" t="str">
        <x:v>ワインを発泡性に変えるため</x:v>
      </x:c>
      <x:c r="I275" s="165" t="str">
        <x:v>アルコールをコルクへ吸収させるため</x:v>
      </x:c>
      <x:c r="J275" s="171" t="str">
        <x:v>B</x:v>
      </x:c>
      <x:c r="K275" s="165" t="str">
        <x:v>コルクを崩しにくくし、安定して引き抜くため</x:v>
      </x:c>
      <x:c r="L275" s="165" t="str">
        <x:v>中央へ適切な深さで入れると力が均等にかかり、コルクの破損やワイン中への破片混入を減らせる。</x:v>
      </x:c>
      <x:c r="M275" s="165" t="str">
        <x:v>誤り。 通常はコルクを引き抜くのが目的である。</x:v>
      </x:c>
      <x:c r="N275" s="165" t="str">
        <x:v>正しい。 中央へ適切な深さで入れると力が均等にかかり、コルクの破損やワイン中への破片混入を減らせる。</x:v>
      </x:c>
      <x:c r="O275" s="165" t="str">
        <x:v>誤り。 開栓方法でワインの発泡性は変わらない。</x:v>
      </x:c>
      <x:c r="P275" s="165" t="str">
        <x:v>誤り。 スクリューの位置はアルコール吸収を目的としない。</x:v>
      </x:c>
      <x:c r="Q275" s="165" t="str">
        <x:v>保管・サービス</x:v>
      </x:c>
      <x:c r="R275" s="165" t="str">
        <x:v>コルク栓・開栓</x:v>
      </x:c>
      <x:c r="S275" s="165" t="str">
        <x:v>非発泡性ワイン</x:v>
      </x:c>
      <x:c r="T275" s="165"/>
      <x:c r="U275" s="165"/>
      <x:c r="V275" s="165"/>
      <x:c r="W275" s="165" t="str">
        <x:v>適用</x:v>
      </x:c>
      <x:c r="X275" s="171" t="str">
        <x:v>D1</x:v>
      </x:c>
      <x:c r="Y275" s="165" t="str">
        <x:v>コルク押込み; 発泡化; アルコール吸収</x:v>
      </x:c>
      <x:c r="Z275" s="171" t="str">
        <x:v>N</x:v>
      </x:c>
      <x:c r="AA275" s="165"/>
      <x:c r="AB275" s="165" t="str">
        <x:v>オリジナル</x:v>
      </x:c>
      <x:c r="AC275" s="165" t="str">
        <x:v>公式Specificationの範囲＋ユーザー作成コーパスの論点と問題設計例を参考に独自作成</x:v>
      </x:c>
      <x:c r="AD275" s="171" t="str">
        <x:v>未レビュー</x:v>
      </x:c>
      <x:c r="AE275" s="171"/>
      <x:c r="AF275" s="171"/>
      <x:c r="AG275" s="166"/>
    </x:row>
    <x:row r="276" ht="84" customHeight="1">
      <x:c r="A276" s="164" t="str">
        <x:v>LO5-035</x:v>
      </x:c>
      <x:c r="B276" s="171" t="str">
        <x:v>LO5</x:v>
      </x:c>
      <x:c r="C276" s="165" t="str">
        <x:v>情報提供・推奨・保管・サービス</x:v>
      </x:c>
      <x:c r="D276" s="165" t="str">
        <x:v>アイスバケット</x:v>
      </x:c>
      <x:c r="E276" s="165" t="str">
        <x:v>ワインをアイスバケットで効率よく冷やす方法として最も適切なものはどれか。</x:v>
      </x:c>
      <x:c r="F276" s="165" t="str">
        <x:v>氷だけを少量入れ、瓶に触れないようにする</x:v>
      </x:c>
      <x:c r="G276" s="165" t="str">
        <x:v>温水を入れ、瓶を振り続ける</x:v>
      </x:c>
      <x:c r="H276" s="165" t="str">
        <x:v>氷と水を一緒に入れ、瓶の広い面を冷却液へ接触させる</x:v>
      </x:c>
      <x:c r="I276" s="165" t="str">
        <x:v>瓶を直射日光へ置き、外側だけ氷で覆う</x:v>
      </x:c>
      <x:c r="J276" s="171" t="str">
        <x:v>C</x:v>
      </x:c>
      <x:c r="K276" s="165" t="str">
        <x:v>氷と水を一緒に入れ、瓶の広い面を冷却液へ接触させる</x:v>
      </x:c>
      <x:c r="L276" s="165" t="str">
        <x:v>水が氷と瓶の間を満たして接触面積を増やすため、氷だけの場合より熱が移動しやすく、均一に冷却できる。</x:v>
      </x:c>
      <x:c r="M276" s="165" t="str">
        <x:v>誤り。 接触が少ないと冷却効率が低い。</x:v>
      </x:c>
      <x:c r="N276" s="165" t="str">
        <x:v>誤り。 温水は冷却にならず、振動も望ましくない。</x:v>
      </x:c>
      <x:c r="O276" s="165" t="str">
        <x:v>正しい。 水が氷と瓶の間を満たして接触面積を増やすため、氷だけの場合より熱が移動しやすく、均一に冷却できる。</x:v>
      </x:c>
      <x:c r="P276" s="165" t="str">
        <x:v>誤り。 日光による加熱と光劣化のリスクがある。</x:v>
      </x:c>
      <x:c r="Q276" s="165" t="str">
        <x:v>保管・サービス</x:v>
      </x:c>
      <x:c r="R276" s="165" t="str">
        <x:v>冷却・設備</x:v>
      </x:c>
      <x:c r="S276" s="165" t="str">
        <x:v>全般</x:v>
      </x:c>
      <x:c r="T276" s="165"/>
      <x:c r="U276" s="165"/>
      <x:c r="V276" s="165"/>
      <x:c r="W276" s="165" t="str">
        <x:v>適用</x:v>
      </x:c>
      <x:c r="X276" s="171" t="str">
        <x:v>D2</x:v>
      </x:c>
      <x:c r="Y276" s="165" t="str">
        <x:v>氷は接触不要; 温水; 日光冷却</x:v>
      </x:c>
      <x:c r="Z276" s="171" t="str">
        <x:v>N</x:v>
      </x:c>
      <x:c r="AA276" s="165"/>
      <x:c r="AB276" s="165" t="str">
        <x:v>オリジナル</x:v>
      </x:c>
      <x:c r="AC276" s="165" t="str">
        <x:v>公式Specificationの範囲＋ユーザー作成コーパスの論点と問題設計例を参考に独自作成</x:v>
      </x:c>
      <x:c r="AD276" s="171" t="str">
        <x:v>未レビュー</x:v>
      </x:c>
      <x:c r="AE276" s="171"/>
      <x:c r="AF276" s="171"/>
      <x:c r="AG276" s="166"/>
    </x:row>
    <x:row r="277" ht="84" customHeight="1">
      <x:c r="A277" s="164" t="str">
        <x:v>LO5-036</x:v>
      </x:c>
      <x:c r="B277" s="171" t="str">
        <x:v>LO5</x:v>
      </x:c>
      <x:c r="C277" s="165" t="str">
        <x:v>情報提供・推奨・保管・サービス</x:v>
      </x:c>
      <x:c r="D277" s="165" t="str">
        <x:v>冷やしすぎたワイン</x:v>
      </x:c>
      <x:c r="E277" s="165" t="str">
        <x:v>冷やしすぎたワインを適切な温度へ戻す方法として最も適切なものはどれか。</x:v>
      </x:c>
      <x:c r="F277" s="165" t="str">
        <x:v>電子レンジで急速に加熱する</x:v>
      </x:c>
      <x:c r="G277" s="165" t="str">
        <x:v>熱湯へ完全に沈める</x:v>
      </x:c>
      <x:c r="H277" s="165" t="str">
        <x:v>瓶を直火で温める</x:v>
      </x:c>
      <x:c r="I277" s="165" t="str">
        <x:v>涼しい室温で徐々に温度を上げ、香りと味わいを確認する</x:v>
      </x:c>
      <x:c r="J277" s="171" t="str">
        <x:v>D</x:v>
      </x:c>
      <x:c r="K277" s="165" t="str">
        <x:v>涼しい室温で徐々に温度を上げ、香りと味わいを確認する</x:v>
      </x:c>
      <x:c r="L277" s="165" t="str">
        <x:v>急激な加熱を避け、少しずつ温度を上げれば、香りが開き、甘味・酸・タンニンのバランスを観察しやすい。</x:v>
      </x:c>
      <x:c r="M277" s="165" t="str">
        <x:v>誤り。 局所的な過熱や品質劣化の原因になり得る。</x:v>
      </x:c>
      <x:c r="N277" s="165" t="str">
        <x:v>誤り。 急激な加温はワインへ悪影響を与える可能性が高い。</x:v>
      </x:c>
      <x:c r="O277" s="165" t="str">
        <x:v>誤り。 危険であり、ワインと容器を損なう。</x:v>
      </x:c>
      <x:c r="P277" s="165" t="str">
        <x:v>正しい。 急激な加熱を避け、少しずつ温度を上げれば、香りが開き、甘味・酸・タンニンのバランスを観察しやすい。</x:v>
      </x:c>
      <x:c r="Q277" s="165" t="str">
        <x:v>保管・サービス</x:v>
      </x:c>
      <x:c r="R277" s="165" t="str">
        <x:v>サービス温度・調整</x:v>
      </x:c>
      <x:c r="S277" s="165" t="str">
        <x:v>全般</x:v>
      </x:c>
      <x:c r="T277" s="165"/>
      <x:c r="U277" s="165"/>
      <x:c r="V277" s="165"/>
      <x:c r="W277" s="165" t="str">
        <x:v>適用</x:v>
      </x:c>
      <x:c r="X277" s="171" t="str">
        <x:v>D1</x:v>
      </x:c>
      <x:c r="Y277" s="165" t="str">
        <x:v>急速加熱; 熱湯; 直火</x:v>
      </x:c>
      <x:c r="Z277" s="171" t="str">
        <x:v>N</x:v>
      </x:c>
      <x:c r="AA277" s="165"/>
      <x:c r="AB277" s="165" t="str">
        <x:v>オリジナル</x:v>
      </x:c>
      <x:c r="AC277" s="165" t="str">
        <x:v>公式Specificationの範囲＋ユーザー作成コーパスの論点と問題設計例を参考に独自作成</x:v>
      </x:c>
      <x:c r="AD277" s="171" t="str">
        <x:v>未レビュー</x:v>
      </x:c>
      <x:c r="AE277" s="171"/>
      <x:c r="AF277" s="171"/>
      <x:c r="AG277" s="166"/>
    </x:row>
    <x:row r="278" ht="84" customHeight="1">
      <x:c r="A278" s="164" t="str">
        <x:v>LO5-037</x:v>
      </x:c>
      <x:c r="B278" s="171" t="str">
        <x:v>LO5</x:v>
      </x:c>
      <x:c r="C278" s="165" t="str">
        <x:v>情報提供・推奨・保管・サービス</x:v>
      </x:c>
      <x:c r="D278" s="165" t="str">
        <x:v>ホストによる試飲</x:v>
      </x:c>
      <x:c r="E278" s="165" t="str">
        <x:v>レストランでホストに少量のワインを試してもらう主な目的はどれか。</x:v>
      </x:c>
      <x:c r="F278" s="165" t="str">
        <x:v>ワインに欠陥がなく、注文したボトルが提供可能な状態か確認してもらう</x:v>
      </x:c>
      <x:c r="G278" s="165" t="str">
        <x:v>ホストがワインを全部飲み切れるか試す</x:v>
      </x:c>
      <x:c r="H278" s="165" t="str">
        <x:v>注文した料理の価格を決める</x:v>
      </x:c>
      <x:c r="I278" s="165" t="str">
        <x:v>ワインの法律上の原産地を変更する</x:v>
      </x:c>
      <x:c r="J278" s="171" t="str">
        <x:v>A</x:v>
      </x:c>
      <x:c r="K278" s="165" t="str">
        <x:v>ワインに欠陥がなく、注文したボトルが提供可能な状態か確認してもらう</x:v>
      </x:c>
      <x:c r="L278" s="165" t="str">
        <x:v>ホストの試飲は、個人の好みで返品するためではなく、コルク汚染や酸化などの状態確認を主な目的とする。</x:v>
      </x:c>
      <x:c r="M278" s="165" t="str">
        <x:v>正しい。 ホストの試飲は、個人の好みで返品するためではなく、コルク汚染や酸化などの状態確認を主な目的とする。</x:v>
      </x:c>
      <x:c r="N278" s="165" t="str">
        <x:v>誤り。 試飲量は状態確認に必要な少量である。</x:v>
      </x:c>
      <x:c r="O278" s="165" t="str">
        <x:v>誤り。 ワインの試飲は料理の価格決定と関係しない。</x:v>
      </x:c>
      <x:c r="P278" s="165" t="str">
        <x:v>誤り。 試飲によって原産地や表示は変わらない。</x:v>
      </x:c>
      <x:c r="Q278" s="165" t="str">
        <x:v>保管・サービス</x:v>
      </x:c>
      <x:c r="R278" s="165" t="str">
        <x:v>サービス手順・状態確認</x:v>
      </x:c>
      <x:c r="S278" s="165" t="str">
        <x:v>全般</x:v>
      </x:c>
      <x:c r="T278" s="165"/>
      <x:c r="U278" s="165"/>
      <x:c r="V278" s="165"/>
      <x:c r="W278" s="165" t="str">
        <x:v>適用</x:v>
      </x:c>
      <x:c r="X278" s="171" t="str">
        <x:v>D1</x:v>
      </x:c>
      <x:c r="Y278" s="165" t="str">
        <x:v>試飲は飲量確認; 料理価格; 原産地変更</x:v>
      </x:c>
      <x:c r="Z278" s="171" t="str">
        <x:v>N</x:v>
      </x:c>
      <x:c r="AA278" s="165"/>
      <x:c r="AB278" s="165" t="str">
        <x:v>オリジナル</x:v>
      </x:c>
      <x:c r="AC278" s="165" t="str">
        <x:v>公式Specificationの範囲＋ユーザー作成コーパスの論点と問題設計例を参考に独自作成</x:v>
      </x:c>
      <x:c r="AD278" s="171" t="str">
        <x:v>未レビュー</x:v>
      </x:c>
      <x:c r="AE278" s="171"/>
      <x:c r="AF278" s="171"/>
      <x:c r="AG278" s="166"/>
    </x:row>
    <x:row r="279" ht="84" customHeight="1">
      <x:c r="A279" s="164" t="str">
        <x:v>LO5-038</x:v>
      </x:c>
      <x:c r="B279" s="171" t="str">
        <x:v>LO5</x:v>
      </x:c>
      <x:c r="C279" s="165" t="str">
        <x:v>情報提供・推奨・保管・サービス</x:v>
      </x:c>
      <x:c r="D279" s="165" t="str">
        <x:v>グラスの持ち方</x:v>
      </x:c>
      <x:c r="E279" s="165" t="str">
        <x:v>脚付きワイングラスを脚または台座で持つ利点はどれか。</x:v>
      </x:c>
      <x:c r="F279" s="165" t="str">
        <x:v>ワインの酸を化学的に増やせる</x:v>
      </x:c>
      <x:c r="G279" s="165" t="str">
        <x:v>手の熱でワインを温めにくくし、ボウルに指紋を付けず外観を観察しやすい</x:v>
      </x:c>
      <x:c r="H279" s="165" t="str">
        <x:v>アルコールを完全に蒸発させられる</x:v>
      </x:c>
      <x:c r="I279" s="165" t="str">
        <x:v>グラス内の欠陥を消せる</x:v>
      </x:c>
      <x:c r="J279" s="171" t="str">
        <x:v>B</x:v>
      </x:c>
      <x:c r="K279" s="165" t="str">
        <x:v>手の熱でワインを温めにくくし、ボウルに指紋を付けず外観を観察しやすい</x:v>
      </x:c>
      <x:c r="L279" s="165" t="str">
        <x:v>特に冷やして提供するワインでは温度維持に役立ち、透明なボウルを保つことで色や清澄度も確認しやすい。</x:v>
      </x:c>
      <x:c r="M279" s="165" t="str">
        <x:v>誤り。 持ち方でワインの酸度は変化しない。</x:v>
      </x:c>
      <x:c r="N279" s="165" t="str">
        <x:v>正しい。 特に冷やして提供するワインでは温度維持に役立ち、透明なボウルを保つことで色や清澄度も確認しやすい。</x:v>
      </x:c>
      <x:c r="O279" s="165" t="str">
        <x:v>誤り。 脚を持っても脱アルコールは起こらない。</x:v>
      </x:c>
      <x:c r="P279" s="165" t="str">
        <x:v>誤り。 持ち方はワイン自体の欠陥を除去しない。</x:v>
      </x:c>
      <x:c r="Q279" s="165" t="str">
        <x:v>保管・サービス</x:v>
      </x:c>
      <x:c r="R279" s="165" t="str">
        <x:v>グラスウェア・温度</x:v>
      </x:c>
      <x:c r="S279" s="165" t="str">
        <x:v>全般</x:v>
      </x:c>
      <x:c r="T279" s="165"/>
      <x:c r="U279" s="165"/>
      <x:c r="V279" s="165"/>
      <x:c r="W279" s="165" t="str">
        <x:v>適用</x:v>
      </x:c>
      <x:c r="X279" s="171" t="str">
        <x:v>D1</x:v>
      </x:c>
      <x:c r="Y279" s="165" t="str">
        <x:v>持ち方で酸増加; 脱アルコール; 欠陥除去</x:v>
      </x:c>
      <x:c r="Z279" s="171" t="str">
        <x:v>N</x:v>
      </x:c>
      <x:c r="AA279" s="165"/>
      <x:c r="AB279" s="165" t="str">
        <x:v>オリジナル</x:v>
      </x:c>
      <x:c r="AC279" s="165" t="str">
        <x:v>公式Specificationの範囲＋ユーザー作成コーパスの論点と問題設計例を参考に独自作成</x:v>
      </x:c>
      <x:c r="AD279" s="171" t="str">
        <x:v>未レビュー</x:v>
      </x:c>
      <x:c r="AE279" s="171"/>
      <x:c r="AF279" s="171"/>
      <x:c r="AG279" s="166"/>
    </x:row>
    <x:row r="280" ht="84" customHeight="1">
      <x:c r="A280" s="164" t="str">
        <x:v>LO5-039</x:v>
      </x:c>
      <x:c r="B280" s="171" t="str">
        <x:v>LO5</x:v>
      </x:c>
      <x:c r="C280" s="165" t="str">
        <x:v>情報提供・推奨・保管・サービス</x:v>
      </x:c>
      <x:c r="D280" s="165" t="str">
        <x:v>予算と機会</x:v>
      </x:c>
      <x:c r="E280" s="165" t="str">
        <x:v>顧客が「記念日の贈り物として、予算内で熟成可能な赤ワイン」を求めている場合、推奨で最も重視すべき組み合わせはどれか。</x:v>
      </x:c>
      <x:c r="F280" s="165" t="str">
        <x:v>ラベルの色だけ</x:v>
      </x:c>
      <x:c r="G280" s="165" t="str">
        <x:v>ボトルの重さだけ</x:v>
      </x:c>
      <x:c r="H280" s="165" t="str">
        <x:v>価格、機会、品質、ワインのスタイルと熟成能力</x:v>
      </x:c>
      <x:c r="I280" s="165" t="str">
        <x:v>アルコール度が最も高いことだけ</x:v>
      </x:c>
      <x:c r="J280" s="171" t="str">
        <x:v>C</x:v>
      </x:c>
      <x:c r="K280" s="165" t="str">
        <x:v>価格、機会、品質、ワインのスタイルと熟成能力</x:v>
      </x:c>
      <x:c r="L280" s="165" t="str">
        <x:v>推奨は単一要因ではなく、予算、用途、期待するスタイル、品質、保存期間を総合して選ぶ必要がある。</x:v>
      </x:c>
      <x:c r="M280" s="165" t="str">
        <x:v>誤り。 ラベルの色は熟成能力や品質を十分に示さない。</x:v>
      </x:c>
      <x:c r="N280" s="165" t="str">
        <x:v>誤り。 重い瓶はワインの品質や熟成能力を保証しない。</x:v>
      </x:c>
      <x:c r="O280" s="165" t="str">
        <x:v>正しい。 推奨は単一要因ではなく、予算、用途、期待するスタイル、品質、保存期間を総合して選ぶ必要がある。</x:v>
      </x:c>
      <x:c r="P280" s="165" t="str">
        <x:v>誤り。 高アルコールだけでは品質、好み、熟成能力、予算への適合を判断できない。</x:v>
      </x:c>
      <x:c r="Q280" s="165" t="str">
        <x:v>推奨・助言</x:v>
      </x:c>
      <x:c r="R280" s="165" t="str">
        <x:v>選択基準・機会・価格</x:v>
      </x:c>
      <x:c r="S280" s="165" t="str">
        <x:v>全般</x:v>
      </x:c>
      <x:c r="T280" s="165"/>
      <x:c r="U280" s="165"/>
      <x:c r="V280" s="165"/>
      <x:c r="W280" s="165" t="str">
        <x:v>統合判断</x:v>
      </x:c>
      <x:c r="X280" s="171" t="str">
        <x:v>D3</x:v>
      </x:c>
      <x:c r="Y280" s="165" t="str">
        <x:v>推奨はラベル色; 瓶重量; 高アルコールだけ</x:v>
      </x:c>
      <x:c r="Z280" s="171" t="str">
        <x:v>N</x:v>
      </x:c>
      <x:c r="AA280" s="165"/>
      <x:c r="AB280" s="165" t="str">
        <x:v>オリジナル</x:v>
      </x:c>
      <x:c r="AC280" s="165" t="str">
        <x:v>公式Specificationの範囲＋ユーザー作成コーパスの論点と問題設計例を参考に独自作成</x:v>
      </x:c>
      <x:c r="AD280" s="171" t="str">
        <x:v>未レビュー</x:v>
      </x:c>
      <x:c r="AE280" s="171"/>
      <x:c r="AF280" s="171"/>
      <x:c r="AG280" s="166"/>
    </x:row>
    <x:row r="281" ht="84" customHeight="1">
      <x:c r="A281" s="164" t="str">
        <x:v>LO5-040</x:v>
      </x:c>
      <x:c r="B281" s="171" t="str">
        <x:v>LO5</x:v>
      </x:c>
      <x:c r="C281" s="165" t="str">
        <x:v>情報提供・推奨・保管・サービス</x:v>
      </x:c>
      <x:c r="D281" s="165" t="str">
        <x:v>個人の好みと感受性</x:v>
      </x:c>
      <x:c r="E281" s="165" t="str">
        <x:v>ワインを推奨する前に、顧客の個人的な好みや感受性を確認する理由として最も適切なものはどれか。</x:v>
      </x:c>
      <x:c r="F281" s="165" t="str">
        <x:v>好みを聞けばワインの法律上の格付けを変更できるため</x:v>
      </x:c>
      <x:c r="G281" s="165" t="str">
        <x:v>すべての顧客は同じ味を好むため、確認を省略できる</x:v>
      </x:c>
      <x:c r="H281" s="165" t="str">
        <x:v>好みは価格と常に完全一致するため</x:v>
      </x:c>
      <x:c r="I281" s="165" t="str">
        <x:v>同じ品質のワインでも、甘味、酸、タンニン、香りなどへの好みや反応が人によって異なるため</x:v>
      </x:c>
      <x:c r="J281" s="171" t="str">
        <x:v>D</x:v>
      </x:c>
      <x:c r="K281" s="165" t="str">
        <x:v>同じ品質のワインでも、甘味、酸、タンニン、香りなどへの好みや反応が人によって異なるため</x:v>
      </x:c>
      <x:c r="L281" s="165" t="str">
        <x:v>良い推奨は客観的品質だけでなく、顧客が好むスタイルや避けたい特徴を反映する必要がある。</x:v>
      </x:c>
      <x:c r="M281" s="165" t="str">
        <x:v>誤り。 顧客の好みで原産地や格付けは変わらない。</x:v>
      </x:c>
      <x:c r="N281" s="165" t="str">
        <x:v>誤り。 個人差があるため確認が重要である。</x:v>
      </x:c>
      <x:c r="O281" s="165" t="str">
        <x:v>誤り。 高価格でも顧客の好みに合わない場合がある。</x:v>
      </x:c>
      <x:c r="P281" s="165" t="str">
        <x:v>正しい。 良い推奨は客観的品質だけでなく、顧客が好むスタイルや避けたい特徴を反映する必要がある。</x:v>
      </x:c>
      <x:c r="Q281" s="165" t="str">
        <x:v>推奨・助言</x:v>
      </x:c>
      <x:c r="R281" s="165" t="str">
        <x:v>個人嗜好・感受性</x:v>
      </x:c>
      <x:c r="S281" s="165" t="str">
        <x:v>全般</x:v>
      </x:c>
      <x:c r="T281" s="165"/>
      <x:c r="U281" s="165"/>
      <x:c r="V281" s="165"/>
      <x:c r="W281" s="165" t="str">
        <x:v>判断</x:v>
      </x:c>
      <x:c r="X281" s="171" t="str">
        <x:v>D2</x:v>
      </x:c>
      <x:c r="Y281" s="165" t="str">
        <x:v>好みで格付け変更; 全員同じ; 価格と好み完全一致</x:v>
      </x:c>
      <x:c r="Z281" s="171" t="str">
        <x:v>Y</x:v>
      </x:c>
      <x:c r="AA281" s="165" t="str">
        <x:v>「感受性」の具体例をアプリ実装時に過度な医療助言へ広げないよう表現確認推奨</x:v>
      </x:c>
      <x:c r="AB281" s="165" t="str">
        <x:v>オリジナル</x:v>
      </x:c>
      <x:c r="AC281" s="165" t="str">
        <x:v>公式Specificationの範囲＋ユーザー作成コーパスの論点と問題設計例を参考に独自作成</x:v>
      </x:c>
      <x:c r="AD281" s="171" t="str">
        <x:v>未レビュー</x:v>
      </x:c>
      <x:c r="AE281" s="171"/>
      <x:c r="AF281" s="171"/>
      <x:c r="AG281" s="166"/>
    </x:row>
    <x:row r="282" ht="84" customHeight="1">
      <x:c r="A282" s="164" t="str">
        <x:v>LO5-041</x:v>
      </x:c>
      <x:c r="B282" s="171" t="str">
        <x:v>LO5</x:v>
      </x:c>
      <x:c r="C282" s="165" t="str">
        <x:v>情報提供・推奨・保管・サービス</x:v>
      </x:c>
      <x:c r="D282" s="165" t="str">
        <x:v>品質と価格の推奨</x:v>
      </x:c>
      <x:c r="E282" s="165" t="str">
        <x:v>同じ予算内で二つのワインを比較し、一方を推奨する際の説明として最も適切なものはどれか。</x:v>
      </x:c>
      <x:c r="F282" s="165" t="str">
        <x:v>品質、スタイル、用途への適合を具体的に示し、価格差があればその理由も説明する</x:v>
      </x:c>
      <x:c r="G282" s="165" t="str">
        <x:v>常に価格の高い方だけを選ぶ</x:v>
      </x:c>
      <x:c r="H282" s="165" t="str">
        <x:v>生産国だけで品質を断定する</x:v>
      </x:c>
      <x:c r="I282" s="165" t="str">
        <x:v>理由を示さず、自分の好みだけを押し付ける</x:v>
      </x:c>
      <x:c r="J282" s="171" t="str">
        <x:v>A</x:v>
      </x:c>
      <x:c r="K282" s="165" t="str">
        <x:v>品質、スタイル、用途への適合を具体的に示し、価格差があればその理由も説明する</x:v>
      </x:c>
      <x:c r="L282" s="165" t="str">
        <x:v>推奨では「高いから良い」ではなく、凝縮度、複雑性、バランス、熟成、希少性などと顧客の目的を結び付ける。</x:v>
      </x:c>
      <x:c r="M282" s="165" t="str">
        <x:v>正しい。 推奨では「高いから良い」ではなく、凝縮度、複雑性、バランス、熟成、希少性などと顧客の目的を結び付ける。</x:v>
      </x:c>
      <x:c r="N282" s="165" t="str">
        <x:v>誤り。 価格は一つの情報であり、好みや用途への適合を保証しない。</x:v>
      </x:c>
      <x:c r="O282" s="165" t="str">
        <x:v>誤り。 同じ国でも品質とスタイルは幅広い。</x:v>
      </x:c>
      <x:c r="P282" s="165" t="str">
        <x:v>誤り。 顧客の条件を反映した説明が必要である。</x:v>
      </x:c>
      <x:c r="Q282" s="165" t="str">
        <x:v>推奨・助言</x:v>
      </x:c>
      <x:c r="R282" s="165" t="str">
        <x:v>品質・価格・用途</x:v>
      </x:c>
      <x:c r="S282" s="165" t="str">
        <x:v>全般</x:v>
      </x:c>
      <x:c r="T282" s="165"/>
      <x:c r="U282" s="165"/>
      <x:c r="V282" s="165"/>
      <x:c r="W282" s="165" t="str">
        <x:v>統合判断</x:v>
      </x:c>
      <x:c r="X282" s="171" t="str">
        <x:v>D3</x:v>
      </x:c>
      <x:c r="Y282" s="165" t="str">
        <x:v>高価なら必ず最適; 国だけで断定; 提供者の好み押付け</x:v>
      </x:c>
      <x:c r="Z282" s="171" t="str">
        <x:v>N</x:v>
      </x:c>
      <x:c r="AA282" s="165"/>
      <x:c r="AB282" s="165" t="str">
        <x:v>オリジナル</x:v>
      </x:c>
      <x:c r="AC282" s="165" t="str">
        <x:v>公式Specificationの範囲＋ユーザー作成コーパスの論点と問題設計例を参考に独自作成</x:v>
      </x:c>
      <x:c r="AD282" s="171" t="str">
        <x:v>未レビュー</x:v>
      </x:c>
      <x:c r="AE282" s="171"/>
      <x:c r="AF282" s="171"/>
      <x:c r="AG282" s="166"/>
    </x:row>
    <x:row r="283" ht="84" customHeight="1">
      <x:c r="A283" s="164" t="str">
        <x:v>LO5-042</x:v>
      </x:c>
      <x:c r="B283" s="171" t="str">
        <x:v>LO5</x:v>
      </x:c>
      <x:c r="C283" s="165" t="str">
        <x:v>情報提供・推奨・保管・サービス</x:v>
      </x:c>
      <x:c r="D283" s="165" t="str">
        <x:v>料理に合わせた推奨</x:v>
      </x:c>
      <x:c r="E283" s="165" t="str">
        <x:v>濃厚で風味の強い煮込み料理にワインを推奨する際、最初に検討すべきワイン側の要素はどれか。</x:v>
      </x:c>
      <x:c r="F283" s="165" t="str">
        <x:v>ワインのラベルが料理と同じ色であること</x:v>
      </x:c>
      <x:c r="G283" s="165" t="str">
        <x:v>料理に負けない十分な風味の強さとボディがあること</x:v>
      </x:c>
      <x:c r="H283" s="165" t="str">
        <x:v>必ず最も古いヴィンテージであること</x:v>
      </x:c>
      <x:c r="I283" s="165" t="str">
        <x:v>必ず発泡性であること</x:v>
      </x:c>
      <x:c r="J283" s="171" t="str">
        <x:v>B</x:v>
      </x:c>
      <x:c r="K283" s="165" t="str">
        <x:v>料理に負けない十分な風味の強さとボディがあること</x:v>
      </x:c>
      <x:c r="L283" s="165" t="str">
        <x:v>料理とワインの風味の強さが大きく不均衡だと、繊細なワインが感じにくくなるため、まず強度の釣り合いを考える。</x:v>
      </x:c>
      <x:c r="M283" s="165" t="str">
        <x:v>誤り。 ラベル色は組み合わせの味覚バランスに関係しない。</x:v>
      </x:c>
      <x:c r="N283" s="165" t="str">
        <x:v>正しい。 料理とワインの風味の強さが大きく不均衡だと、繊細なワインが感じにくくなるため、まず強度の釣り合いを考える。</x:v>
      </x:c>
      <x:c r="O283" s="165" t="str">
        <x:v>誤り。 熟成年数だけで料理との相性は決まらない。</x:v>
      </x:c>
      <x:c r="P283" s="165" t="str">
        <x:v>誤り。 料理の性質に応じて多様なスタイルが選べる。</x:v>
      </x:c>
      <x:c r="Q283" s="165" t="str">
        <x:v>推奨・フードペアリング</x:v>
      </x:c>
      <x:c r="R283" s="165" t="str">
        <x:v>風味の強さ・料理</x:v>
      </x:c>
      <x:c r="S283" s="165" t="str">
        <x:v>全般</x:v>
      </x:c>
      <x:c r="T283" s="165"/>
      <x:c r="U283" s="165"/>
      <x:c r="V283" s="165"/>
      <x:c r="W283" s="165" t="str">
        <x:v>判断</x:v>
      </x:c>
      <x:c r="X283" s="171" t="str">
        <x:v>D2</x:v>
      </x:c>
      <x:c r="Y283" s="165" t="str">
        <x:v>ラベル色合わせ; 最古ヴィンテージ; 必ず発泡</x:v>
      </x:c>
      <x:c r="Z283" s="171" t="str">
        <x:v>N</x:v>
      </x:c>
      <x:c r="AA283" s="165"/>
      <x:c r="AB283" s="165" t="str">
        <x:v>オリジナル</x:v>
      </x:c>
      <x:c r="AC283" s="165" t="str">
        <x:v>公式Specificationの範囲＋ユーザー作成コーパスの論点と問題設計例を参考に独自作成</x:v>
      </x:c>
      <x:c r="AD283" s="171" t="str">
        <x:v>未レビュー</x:v>
      </x:c>
      <x:c r="AE283" s="171"/>
      <x:c r="AF283" s="171"/>
      <x:c r="AG283" s="166"/>
    </x:row>
    <x:row r="284" ht="84" customHeight="1">
      <x:c r="A284" s="164" t="str">
        <x:v>LO5-043</x:v>
      </x:c>
      <x:c r="B284" s="171" t="str">
        <x:v>LO5</x:v>
      </x:c>
      <x:c r="C284" s="165" t="str">
        <x:v>情報提供・推奨・保管・サービス</x:v>
      </x:c>
      <x:c r="D284" s="165" t="str">
        <x:v>状態不良</x:v>
      </x:c>
      <x:c r="E284" s="165" t="str">
        <x:v>本来は若々しく果実味があるはずのワインが、香りに乏しく平板で疲れ、飲み頃を過ぎている場合の表現として最も適切なものはどれか。</x:v>
      </x:c>
      <x:c r="F284" s="165" t="str">
        <x:v>瓶内二次発酵</x:v>
      </x:c>
      <x:c r="G284" s="165" t="str">
        <x:v>貴腐</x:v>
      </x:c>
      <x:c r="H284" s="165" t="str">
        <x:v>状態不良</x:v>
      </x:c>
      <x:c r="I284" s="165" t="str">
        <x:v>マロラクティック発酵</x:v>
      </x:c>
      <x:c r="J284" s="171" t="str">
        <x:v>C</x:v>
      </x:c>
      <x:c r="K284" s="165" t="str">
        <x:v>状態不良</x:v>
      </x:c>
      <x:c r="L284" s="165" t="str">
        <x:v>状態不良は、必ずしも一つの特定微生物に由来せず、保管や経年などにより本来の活力や果実味を失った状態を指し得る。</x:v>
      </x:c>
      <x:c r="M284" s="165" t="str">
        <x:v>誤り。 泡や新たな発酵を示す説明ではない。</x:v>
      </x:c>
      <x:c r="N284" s="165" t="str">
        <x:v>誤り。 貴腐は特定条件で望ましい甘口ワインを生む現象で、状態不良の名称ではない。</x:v>
      </x:c>
      <x:c r="O284" s="165" t="str">
        <x:v>正しい。 状態不良は、必ずしも一つの特定微生物に由来せず、保管や経年などにより本来の活力や果実味を失った状態を指し得る。</x:v>
      </x:c>
      <x:c r="P284" s="165" t="str">
        <x:v>誤り。 MLFは酸と香りに影響する醸造工程で、飲み頃を過ぎた状態の名称ではない。</x:v>
      </x:c>
      <x:c r="Q284" s="165" t="str">
        <x:v>ワインの欠陥</x:v>
      </x:c>
      <x:c r="R284" s="165" t="str">
        <x:v>状態不良・経年</x:v>
      </x:c>
      <x:c r="S284" s="165" t="str">
        <x:v>全般</x:v>
      </x:c>
      <x:c r="T284" s="165"/>
      <x:c r="U284" s="165"/>
      <x:c r="V284" s="165"/>
      <x:c r="W284" s="165" t="str">
        <x:v>知識確認</x:v>
      </x:c>
      <x:c r="X284" s="171" t="str">
        <x:v>D1</x:v>
      </x:c>
      <x:c r="Y284" s="165" t="str">
        <x:v>状態不良は二次発酵・貴腐・MLF</x:v>
      </x:c>
      <x:c r="Z284" s="171" t="str">
        <x:v>N</x:v>
      </x:c>
      <x:c r="AA284" s="165"/>
      <x:c r="AB284" s="165" t="str">
        <x:v>オリジナル</x:v>
      </x:c>
      <x:c r="AC284" s="165" t="str">
        <x:v>公式Specificationの範囲＋ユーザー作成コーパスの論点と問題設計例を参考に独自作成</x:v>
      </x:c>
      <x:c r="AD284" s="171" t="str">
        <x:v>未レビュー</x:v>
      </x:c>
      <x:c r="AE284" s="171"/>
      <x:c r="AF284" s="171"/>
      <x:c r="AG284" s="166"/>
    </x:row>
    <x:row r="285" ht="84" customHeight="1">
      <x:c r="A285" s="164" t="str">
        <x:v>LO5-044</x:v>
      </x:c>
      <x:c r="B285" s="171" t="str">
        <x:v>LO5</x:v>
      </x:c>
      <x:c r="C285" s="165" t="str">
        <x:v>情報提供・推奨・保管・サービス</x:v>
      </x:c>
      <x:c r="D285" s="165" t="str">
        <x:v>熱による損傷</x:v>
      </x:c>
      <x:c r="E285" s="165" t="str">
        <x:v>ワインが高温にさらされて損傷した可能性を示す組み合わせとして最も適切なものはどれか。</x:v>
      </x:c>
      <x:c r="F285" s="165" t="str">
        <x:v>酸が高まり、色が必ず若返り、コルクが縮まない</x:v>
      </x:c>
      <x:c r="G285" s="165" t="str">
        <x:v>ブドウ品種が変化し、新しい原産地表示になる</x:v>
      </x:c>
      <x:c r="H285" s="165" t="str">
        <x:v>必ず爽やかな花香と強い泡が増える</x:v>
      </x:c>
      <x:c r="I285" s="165" t="str">
        <x:v>果実味の低下、煮詰めたような風味、早い酸化、液漏れや押し上がったコルク</x:v>
      </x:c>
      <x:c r="J285" s="171" t="str">
        <x:v>D</x:v>
      </x:c>
      <x:c r="K285" s="165" t="str">
        <x:v>果実味の低下、煮詰めたような風味、早い酸化、液漏れや押し上がったコルク</x:v>
      </x:c>
      <x:c r="L285" s="165" t="str">
        <x:v>高温は化学反応と膨張を促し、ワインを早く老化させ、栓や液面にも異常を生じさせることがある。</x:v>
      </x:c>
      <x:c r="M285" s="165" t="str">
        <x:v>誤り。 熱は若返りではなく劣化を促進する。</x:v>
      </x:c>
      <x:c r="N285" s="165" t="str">
        <x:v>誤り。 熱で品種や原産地は変わらない。</x:v>
      </x:c>
      <x:c r="O285" s="165" t="str">
        <x:v>誤り。 熱損傷はフレッシュさを失わせ、発泡を保証しない。</x:v>
      </x:c>
      <x:c r="P285" s="165" t="str">
        <x:v>正しい。 高温は化学反応と膨張を促し、ワインを早く老化させ、栓や液面にも異常を生じさせることがある。</x:v>
      </x:c>
      <x:c r="Q285" s="165" t="str">
        <x:v>ワインの欠陥・保管</x:v>
      </x:c>
      <x:c r="R285" s="165" t="str">
        <x:v>熱損傷・酸化</x:v>
      </x:c>
      <x:c r="S285" s="165" t="str">
        <x:v>全般</x:v>
      </x:c>
      <x:c r="T285" s="165"/>
      <x:c r="U285" s="165"/>
      <x:c r="V285" s="165"/>
      <x:c r="W285" s="165" t="str">
        <x:v>因果説明</x:v>
      </x:c>
      <x:c r="X285" s="171" t="str">
        <x:v>D2</x:v>
      </x:c>
      <x:c r="Y285" s="165" t="str">
        <x:v>熱で若返り; 品種原産地変更; 花香と泡増加</x:v>
      </x:c>
      <x:c r="Z285" s="171" t="str">
        <x:v>N</x:v>
      </x:c>
      <x:c r="AA285" s="165"/>
      <x:c r="AB285" s="165" t="str">
        <x:v>オリジナル</x:v>
      </x:c>
      <x:c r="AC285" s="165" t="str">
        <x:v>公式Specificationの範囲＋ユーザー作成コーパスの論点と問題設計例を参考に独自作成</x:v>
      </x:c>
      <x:c r="AD285" s="171" t="str">
        <x:v>未レビュー</x:v>
      </x:c>
      <x:c r="AE285" s="171"/>
      <x:c r="AF285" s="171"/>
      <x:c r="AG285" s="166"/>
    </x:row>
    <x:row r="286" ht="84" customHeight="1">
      <x:c r="A286" s="164" t="str">
        <x:v>LO5-045</x:v>
      </x:c>
      <x:c r="B286" s="171" t="str">
        <x:v>LO5</x:v>
      </x:c>
      <x:c r="C286" s="165" t="str">
        <x:v>情報提供・推奨・保管・サービス</x:v>
      </x:c>
      <x:c r="D286" s="165" t="str">
        <x:v>酸化したボトルへの対応</x:v>
      </x:c>
      <x:c r="E286" s="165" t="str">
        <x:v>若い白ワインに明らかな酸化臭と褐色化があり、欠陥と判断した場合の対応として最も適切なものはどれか。</x:v>
      </x:c>
      <x:c r="F286" s="165" t="str">
        <x:v>別の健全なボトルへ交換し、欠陥のあるワインは提供しない</x:v>
      </x:c>
      <x:c r="G286" s="165" t="str">
        <x:v>砂糖を加えて酸化を消す</x:v>
      </x:c>
      <x:c r="H286" s="165" t="str">
        <x:v>強く振って酸素をさらに加える</x:v>
      </x:c>
      <x:c r="I286" s="165" t="str">
        <x:v>高温にして若々しい香りを再生する</x:v>
      </x:c>
      <x:c r="J286" s="171" t="str">
        <x:v>A</x:v>
      </x:c>
      <x:c r="K286" s="165" t="str">
        <x:v>別の健全なボトルへ交換し、欠陥のあるワインは提供しない</x:v>
      </x:c>
      <x:c r="L286" s="165" t="str">
        <x:v>欠陥として進んだ酸化はサービス時の操作で元へ戻せないため、顧客へ提供せず代替ボトルを用意する。</x:v>
      </x:c>
      <x:c r="M286" s="165" t="str">
        <x:v>正しい。 欠陥として進んだ酸化はサービス時の操作で元へ戻せないため、顧客へ提供せず代替ボトルを用意する。</x:v>
      </x:c>
      <x:c r="N286" s="165" t="str">
        <x:v>誤り。 甘味を加えても酸化した香りや色は元に戻らない。</x:v>
      </x:c>
      <x:c r="O286" s="165" t="str">
        <x:v>誤り。 酸素を増やすと酸化を悪化させる可能性がある。</x:v>
      </x:c>
      <x:c r="P286" s="165" t="str">
        <x:v>誤り。 加温は劣化を進め得る。</x:v>
      </x:c>
      <x:c r="Q286" s="165" t="str">
        <x:v>ワインの欠陥・サービス</x:v>
      </x:c>
      <x:c r="R286" s="165" t="str">
        <x:v>酸化・対応</x:v>
      </x:c>
      <x:c r="S286" s="165" t="str">
        <x:v>非発泡性白ワイン</x:v>
      </x:c>
      <x:c r="T286" s="165"/>
      <x:c r="U286" s="165"/>
      <x:c r="V286" s="165"/>
      <x:c r="W286" s="165" t="str">
        <x:v>適用</x:v>
      </x:c>
      <x:c r="X286" s="171" t="str">
        <x:v>D2</x:v>
      </x:c>
      <x:c r="Y286" s="165" t="str">
        <x:v>砂糖で酸化除去; 追加酸素; 加温で再生</x:v>
      </x:c>
      <x:c r="Z286" s="171" t="str">
        <x:v>N</x:v>
      </x:c>
      <x:c r="AA286" s="165"/>
      <x:c r="AB286" s="165" t="str">
        <x:v>オリジナル</x:v>
      </x:c>
      <x:c r="AC286" s="165" t="str">
        <x:v>公式Specificationの範囲＋ユーザー作成コーパスの論点と問題設計例を参考に独自作成</x:v>
      </x:c>
      <x:c r="AD286" s="171" t="str">
        <x:v>未レビュー</x:v>
      </x:c>
      <x:c r="AE286" s="171"/>
      <x:c r="AF286" s="171"/>
      <x:c r="AG286" s="166"/>
    </x:row>
    <x:row r="287" ht="84" customHeight="1">
      <x:c r="A287" s="164" t="str">
        <x:v>LO5-046</x:v>
      </x:c>
      <x:c r="B287" s="171" t="str">
        <x:v>LO5</x:v>
      </x:c>
      <x:c r="C287" s="165" t="str">
        <x:v>情報提供・推奨・保管・サービス</x:v>
      </x:c>
      <x:c r="D287" s="165" t="str">
        <x:v>還元と空気接触</x:v>
      </x:c>
      <x:c r="E287" s="165" t="str">
        <x:v>開栓直後に軽い硫黄系の還元臭があるワインへ、最初に試す対応として適切なものはどれか。</x:v>
      </x:c>
      <x:c r="F287" s="165" t="str">
        <x:v>密閉したまま温度を上げ続ける</x:v>
      </x:c>
      <x:c r="G287" s="165" t="str">
        <x:v>グラスへ注ぐ、またはデカンティングして少量の空気に触れさせ、臭いが弱まるか確認する</x:v>
      </x:c>
      <x:c r="H287" s="165" t="str">
        <x:v>砂糖を加えて香りを隠す</x:v>
      </x:c>
      <x:c r="I287" s="165" t="str">
        <x:v>瓶を凍結して香りを永久に固定する</x:v>
      </x:c>
      <x:c r="J287" s="171" t="str">
        <x:v>B</x:v>
      </x:c>
      <x:c r="K287" s="165" t="str">
        <x:v>グラスへ注ぐ、またはデカンティングして少量の空気に触れさせ、臭いが弱まるか確認する</x:v>
      </x:c>
      <x:c r="L287" s="165" t="str">
        <x:v>一部の軽い還元臭は空気との接触で弱まることがある。ただし、消えない強い異臭は欠陥として扱う必要がある。</x:v>
      </x:c>
      <x:c r="M287" s="165" t="str">
        <x:v>誤り。 空気接触を避けたまま加温しても、還元臭への適切な初期対応ではない。</x:v>
      </x:c>
      <x:c r="N287" s="165" t="str">
        <x:v>正しい。 一部の軽い還元臭は空気との接触で弱まることがある。ただし、消えない強い異臭は欠陥として扱う必要がある。</x:v>
      </x:c>
      <x:c r="O287" s="165" t="str">
        <x:v>誤り。 甘味を加えることは欠陥対応ではない。</x:v>
      </x:c>
      <x:c r="P287" s="165" t="str">
        <x:v>誤り。 凍結は適切なサービス対応ではなく、ワインを損なう可能性がある。</x:v>
      </x:c>
      <x:c r="Q287" s="165" t="str">
        <x:v>ワインの欠陥・サービス</x:v>
      </x:c>
      <x:c r="R287" s="165" t="str">
        <x:v>還元・空気接触</x:v>
      </x:c>
      <x:c r="S287" s="165" t="str">
        <x:v>全般</x:v>
      </x:c>
      <x:c r="T287" s="165"/>
      <x:c r="U287" s="165"/>
      <x:c r="V287" s="165"/>
      <x:c r="W287" s="165" t="str">
        <x:v>適用</x:v>
      </x:c>
      <x:c r="X287" s="171" t="str">
        <x:v>D2</x:v>
      </x:c>
      <x:c r="Y287" s="165" t="str">
        <x:v>還元は密閉加温; 砂糖; 凍結</x:v>
      </x:c>
      <x:c r="Z287" s="171" t="str">
        <x:v>N</x:v>
      </x:c>
      <x:c r="AA287" s="165"/>
      <x:c r="AB287" s="165" t="str">
        <x:v>オリジナル</x:v>
      </x:c>
      <x:c r="AC287" s="165" t="str">
        <x:v>公式Specificationの範囲＋ユーザー作成コーパスの論点と問題設計例を参考に独自作成</x:v>
      </x:c>
      <x:c r="AD287" s="171" t="str">
        <x:v>未レビュー</x:v>
      </x:c>
      <x:c r="AE287" s="171"/>
      <x:c r="AF287" s="171"/>
      <x:c r="AG287" s="166"/>
    </x:row>
    <x:row r="288" ht="84" customHeight="1">
      <x:c r="A288" s="164" t="str">
        <x:v>LO5-047</x:v>
      </x:c>
      <x:c r="B288" s="171" t="str">
        <x:v>LO5</x:v>
      </x:c>
      <x:c r="C288" s="165" t="str">
        <x:v>情報提供・推奨・保管・サービス</x:v>
      </x:c>
      <x:c r="D288" s="165" t="str">
        <x:v>コルク汚染への対応</x:v>
      </x:c>
      <x:c r="E288" s="165" t="str">
        <x:v>湿った段ボールを思わせる香りがあり、コルク汚染と判断したボトルへの対応として最も適切なものはどれか。</x:v>
      </x:c>
      <x:c r="F288" s="165" t="str">
        <x:v>デカンティングすれば必ず完全に消える</x:v>
      </x:c>
      <x:c r="G288" s="165" t="str">
        <x:v>強い香辛料を加えて隠す</x:v>
      </x:c>
      <x:c r="H288" s="165" t="str">
        <x:v>別の健全なボトルへ交換する</x:v>
      </x:c>
      <x:c r="I288" s="165" t="str">
        <x:v>瓶内二次発酵を行って泡で除去する</x:v>
      </x:c>
      <x:c r="J288" s="171" t="str">
        <x:v>C</x:v>
      </x:c>
      <x:c r="K288" s="165" t="str">
        <x:v>別の健全なボトルへ交換する</x:v>
      </x:c>
      <x:c r="L288" s="165" t="str">
        <x:v>コルク汚染はデカンティングや加温で除去できないため、顧客へ提供せず代替ボトルを用意する。</x:v>
      </x:c>
      <x:c r="M288" s="165" t="str">
        <x:v>誤り。 TCA由来の臭いは空気接触で確実に除去できない。</x:v>
      </x:c>
      <x:c r="N288" s="165" t="str">
        <x:v>誤り。 ワインへ香辛料を加えることは適切なサービスではない。</x:v>
      </x:c>
      <x:c r="O288" s="165" t="str">
        <x:v>正しい。 コルク汚染はデカンティングや加温で除去できないため、顧客へ提供せず代替ボトルを用意する。</x:v>
      </x:c>
      <x:c r="P288" s="165" t="str">
        <x:v>誤り。 サービス時に二次発酵を行うことはできず、汚染も除去しない。</x:v>
      </x:c>
      <x:c r="Q288" s="165" t="str">
        <x:v>ワインの欠陥・サービス</x:v>
      </x:c>
      <x:c r="R288" s="165" t="str">
        <x:v>コルク汚染・対応</x:v>
      </x:c>
      <x:c r="S288" s="165" t="str">
        <x:v>全般</x:v>
      </x:c>
      <x:c r="T288" s="165"/>
      <x:c r="U288" s="165"/>
      <x:c r="V288" s="165"/>
      <x:c r="W288" s="165" t="str">
        <x:v>適用</x:v>
      </x:c>
      <x:c r="X288" s="171" t="str">
        <x:v>D1</x:v>
      </x:c>
      <x:c r="Y288" s="165" t="str">
        <x:v>デカンティングでTCA完全除去; 香辛料; 二次発酵</x:v>
      </x:c>
      <x:c r="Z288" s="171" t="str">
        <x:v>N</x:v>
      </x:c>
      <x:c r="AA288" s="165"/>
      <x:c r="AB288" s="165" t="str">
        <x:v>オリジナル</x:v>
      </x:c>
      <x:c r="AC288" s="165" t="str">
        <x:v>公式Specificationの範囲＋ユーザー作成コーパスの論点と問題設計例を参考に独自作成</x:v>
      </x:c>
      <x:c r="AD288" s="171" t="str">
        <x:v>未レビュー</x:v>
      </x:c>
      <x:c r="AE288" s="171"/>
      <x:c r="AF288" s="171"/>
      <x:c r="AG288" s="166"/>
    </x:row>
    <x:row r="289" ht="84" customHeight="1">
      <x:c r="A289" s="164" t="str">
        <x:v>LO5-048</x:v>
      </x:c>
      <x:c r="B289" s="171" t="str">
        <x:v>LO5</x:v>
      </x:c>
      <x:c r="C289" s="165" t="str">
        <x:v>情報提供・推奨・保管・サービス</x:v>
      </x:c>
      <x:c r="D289" s="165" t="str">
        <x:v>高濃度亜硫酸と空気</x:v>
      </x:c>
      <x:c r="E289" s="165" t="str">
        <x:v>開栓直後に過剰な亜硫酸を思わせる刺激臭があるワインについて、最も適切な判断はどれか。</x:v>
      </x:c>
      <x:c r="F289" s="165" t="str">
        <x:v>刺激臭は常に最高品質の証拠なので、そのまま提供する</x:v>
      </x:c>
      <x:c r="G289" s="165" t="str">
        <x:v>砂糖を加えれば亜硫酸が水へ変わる</x:v>
      </x:c>
      <x:c r="H289" s="165" t="str">
        <x:v>冷凍すれば法的表示が不要になる</x:v>
      </x:c>
      <x:c r="I289" s="165" t="str">
        <x:v>空気に触れさせると弱まる場合もあるが、強く残るなら状態を再確認し提供を避ける</x:v>
      </x:c>
      <x:c r="J289" s="171" t="str">
        <x:v>D</x:v>
      </x:c>
      <x:c r="K289" s="165" t="str">
        <x:v>空気に触れさせると弱まる場合もあるが、強く残るなら状態を再確認し提供を避ける</x:v>
      </x:c>
      <x:c r="L289" s="165" t="str">
        <x:v>一部の遊離亜硫酸由来の刺激は時間と空気接触で弱まる可能性があるが、顧客へ不快な状態で提供すべきではない。</x:v>
      </x:c>
      <x:c r="M289" s="165" t="str">
        <x:v>誤り。 過剰な刺激臭は欠陥として認識され得る。</x:v>
      </x:c>
      <x:c r="N289" s="165" t="str">
        <x:v>誤り。 糖の添加で亜硫酸が単純に水へ変わることはない。</x:v>
      </x:c>
      <x:c r="O289" s="165" t="str">
        <x:v>誤り。 冷凍と表示義務にはそのような関係はない。</x:v>
      </x:c>
      <x:c r="P289" s="165" t="str">
        <x:v>正しい。 一部の遊離亜硫酸由来の刺激は時間と空気接触で弱まる可能性があるが、顧客へ不快な状態で提供すべきではない。</x:v>
      </x:c>
      <x:c r="Q289" s="165" t="str">
        <x:v>ワインの欠陥・サービス</x:v>
      </x:c>
      <x:c r="R289" s="165" t="str">
        <x:v>亜硫酸・対応</x:v>
      </x:c>
      <x:c r="S289" s="165" t="str">
        <x:v>全般</x:v>
      </x:c>
      <x:c r="T289" s="165"/>
      <x:c r="U289" s="165"/>
      <x:c r="V289" s="165"/>
      <x:c r="W289" s="165" t="str">
        <x:v>適用</x:v>
      </x:c>
      <x:c r="X289" s="171" t="str">
        <x:v>D3</x:v>
      </x:c>
      <x:c r="Y289" s="165" t="str">
        <x:v>高SO2は最高品質; 砂糖で水化; 冷凍で表示不要</x:v>
      </x:c>
      <x:c r="Z289" s="171" t="str">
        <x:v>Y</x:v>
      </x:c>
      <x:c r="AA289" s="165" t="str">
        <x:v>高濃度亜硫酸の官能表現とサービス対応を日本語教材の説明へ最終照合推奨</x:v>
      </x:c>
      <x:c r="AB289" s="165" t="str">
        <x:v>オリジナル</x:v>
      </x:c>
      <x:c r="AC289" s="165" t="str">
        <x:v>公式Specificationの範囲＋ユーザー作成コーパスの論点と問題設計例を参考に独自作成</x:v>
      </x:c>
      <x:c r="AD289" s="171" t="str">
        <x:v>未レビュー</x:v>
      </x:c>
      <x:c r="AE289" s="171"/>
      <x:c r="AF289" s="171"/>
      <x:c r="AG289" s="166"/>
    </x:row>
    <x:row r="290" ht="84" customHeight="1">
      <x:c r="A290" s="164" t="str">
        <x:v>LO5-049</x:v>
      </x:c>
      <x:c r="B290" s="171" t="str">
        <x:v>LO5</x:v>
      </x:c>
      <x:c r="C290" s="165" t="str">
        <x:v>情報提供・推奨・保管・サービス</x:v>
      </x:c>
      <x:c r="D290" s="165" t="str">
        <x:v>塩味とワイン</x:v>
      </x:c>
      <x:c r="E290" s="165" t="str">
        <x:v>塩味のある料理がワインの知覚へ与えやすい影響として最も適切なものはどれか。</x:v>
      </x:c>
      <x:c r="F290" s="165" t="str">
        <x:v>ワインの苦味や渋味を弱く感じさせ、果実味やボディをより感じやすくする</x:v>
      </x:c>
      <x:c r="G290" s="165" t="str">
        <x:v>ワインのタンニンと苦味を必ず強くする</x:v>
      </x:c>
      <x:c r="H290" s="165" t="str">
        <x:v>ワインのアルコールを物理的に除去する</x:v>
      </x:c>
      <x:c r="I290" s="165" t="str">
        <x:v>すべてのワインを甘口へ変える</x:v>
      </x:c>
      <x:c r="J290" s="171" t="str">
        <x:v>A</x:v>
      </x:c>
      <x:c r="K290" s="165" t="str">
        <x:v>ワインの苦味や渋味を弱く感じさせ、果実味やボディをより感じやすくする</x:v>
      </x:c>
      <x:c r="L290" s="165" t="str">
        <x:v>塩味は多くの場合ワインをより柔らかく、果実味豊かに感じさせるため、ペアリングで有利に働くことがある。</x:v>
      </x:c>
      <x:c r="M290" s="165" t="str">
        <x:v>正しい。 塩味は多くの場合ワインをより柔らかく、果実味豊かに感じさせるため、ペアリングで有利に働くことがある。</x:v>
      </x:c>
      <x:c r="N290" s="165" t="str">
        <x:v>誤り。 一般には塩味は苦味や渋味を弱める方向へ働きやすい。</x:v>
      </x:c>
      <x:c r="O290" s="165" t="str">
        <x:v>誤り。 料理の塩味でアルコール度は変わらない。</x:v>
      </x:c>
      <x:c r="P290" s="165" t="str">
        <x:v>誤り。 知覚へ影響しても、残糖量は変わらない。</x:v>
      </x:c>
      <x:c r="Q290" s="165" t="str">
        <x:v>フードペアリング</x:v>
      </x:c>
      <x:c r="R290" s="165" t="str">
        <x:v>塩味・知覚</x:v>
      </x:c>
      <x:c r="S290" s="165" t="str">
        <x:v>全般</x:v>
      </x:c>
      <x:c r="T290" s="165"/>
      <x:c r="U290" s="165"/>
      <x:c r="V290" s="165"/>
      <x:c r="W290" s="165" t="str">
        <x:v>因果説明</x:v>
      </x:c>
      <x:c r="X290" s="171" t="str">
        <x:v>D2</x:v>
      </x:c>
      <x:c r="Y290" s="165" t="str">
        <x:v>塩で苦味増加; 脱アルコール; 残糖増加</x:v>
      </x:c>
      <x:c r="Z290" s="171" t="str">
        <x:v>N</x:v>
      </x:c>
      <x:c r="AA290" s="165"/>
      <x:c r="AB290" s="165" t="str">
        <x:v>オリジナル</x:v>
      </x:c>
      <x:c r="AC290" s="165" t="str">
        <x:v>公式Specificationの範囲＋ユーザー作成コーパスの論点と問題設計例を参考に独自作成</x:v>
      </x:c>
      <x:c r="AD290" s="171" t="str">
        <x:v>未レビュー</x:v>
      </x:c>
      <x:c r="AE290" s="171"/>
      <x:c r="AF290" s="171"/>
      <x:c r="AG290" s="166"/>
    </x:row>
    <x:row r="291" ht="84" customHeight="1">
      <x:c r="A291" s="164" t="str">
        <x:v>LO5-050</x:v>
      </x:c>
      <x:c r="B291" s="171" t="str">
        <x:v>LO5</x:v>
      </x:c>
      <x:c r="C291" s="165" t="str">
        <x:v>情報提供・推奨・保管・サービス</x:v>
      </x:c>
      <x:c r="D291" s="165" t="str">
        <x:v>苦味のある料理</x:v>
      </x:c>
      <x:c r="E291" s="165" t="str">
        <x:v>苦味の強い料理に高タンニンで樽由来の苦味もある赤ワインを合わせた場合に起こりやすいことはどれか。</x:v>
      </x:c>
      <x:c r="F291" s="165" t="str">
        <x:v>ワインが自動的に甘口へ変わる</x:v>
      </x:c>
      <x:c r="G291" s="165" t="str">
        <x:v>料理とワイン双方の苦味や渋味が強調される</x:v>
      </x:c>
      <x:c r="H291" s="165" t="str">
        <x:v>タンニンが化学的にすべて消える</x:v>
      </x:c>
      <x:c r="I291" s="165" t="str">
        <x:v>ワインの酸が必ずゼロになる</x:v>
      </x:c>
      <x:c r="J291" s="171" t="str">
        <x:v>B</x:v>
      </x:c>
      <x:c r="K291" s="165" t="str">
        <x:v>料理とワイン双方の苦味や渋味が強調される</x:v>
      </x:c>
      <x:c r="L291" s="165" t="str">
        <x:v>苦味は相互に増幅して感じられやすいため、苦い料理には苦味やタンニンが穏やかなワインが安全な場合が多い。</x:v>
      </x:c>
      <x:c r="M291" s="165" t="str">
        <x:v>誤り。 料理でワインの残糖は変わらない。</x:v>
      </x:c>
      <x:c r="N291" s="165" t="str">
        <x:v>正しい。 苦味は相互に増幅して感じられやすいため、苦い料理には苦味やタンニンが穏やかなワインが安全な場合が多い。</x:v>
      </x:c>
      <x:c r="O291" s="165" t="str">
        <x:v>誤り。 知覚は変化しても、ワイン中のタンニンが消失するわけではない。</x:v>
      </x:c>
      <x:c r="P291" s="165" t="str">
        <x:v>誤り。 料理との組み合わせで酸度がゼロにはならない。</x:v>
      </x:c>
      <x:c r="Q291" s="165" t="str">
        <x:v>フードペアリング</x:v>
      </x:c>
      <x:c r="R291" s="165" t="str">
        <x:v>苦味・タンニン・樽</x:v>
      </x:c>
      <x:c r="S291" s="165" t="str">
        <x:v>赤ワイン</x:v>
      </x:c>
      <x:c r="T291" s="165"/>
      <x:c r="U291" s="165"/>
      <x:c r="V291" s="165"/>
      <x:c r="W291" s="165" t="str">
        <x:v>因果説明</x:v>
      </x:c>
      <x:c r="X291" s="171" t="str">
        <x:v>D2</x:v>
      </x:c>
      <x:c r="Y291" s="165" t="str">
        <x:v>苦味で甘口化; タンニン消失; 酸ゼロ</x:v>
      </x:c>
      <x:c r="Z291" s="171" t="str">
        <x:v>N</x:v>
      </x:c>
      <x:c r="AA291" s="165"/>
      <x:c r="AB291" s="165" t="str">
        <x:v>オリジナル</x:v>
      </x:c>
      <x:c r="AC291" s="165" t="str">
        <x:v>公式Specificationの範囲＋ユーザー作成コーパスの論点と問題設計例を参考に独自作成</x:v>
      </x:c>
      <x:c r="AD291" s="171" t="str">
        <x:v>未レビュー</x:v>
      </x:c>
      <x:c r="AE291" s="171"/>
      <x:c r="AF291" s="171"/>
      <x:c r="AG291" s="166"/>
    </x:row>
    <x:row r="292" ht="84" customHeight="1">
      <x:c r="A292" s="164" t="str">
        <x:v>LO5-051</x:v>
      </x:c>
      <x:c r="B292" s="171" t="str">
        <x:v>LO5</x:v>
      </x:c>
      <x:c r="C292" s="165" t="str">
        <x:v>情報提供・推奨・保管・サービス</x:v>
      </x:c>
      <x:c r="D292" s="165" t="str">
        <x:v>脂肪と酸</x:v>
      </x:c>
      <x:c r="E292" s="165" t="str">
        <x:v>脂肪分の多い料理に高い酸を持つワインが合いやすい主な理由はどれか。</x:v>
      </x:c>
      <x:c r="F292" s="165" t="str">
        <x:v>酸が料理の脂肪をすべて化学的に消す</x:v>
      </x:c>
      <x:c r="G292" s="165" t="str">
        <x:v>酸の高いワインは必ず甘口だから</x:v>
      </x:c>
      <x:c r="H292" s="165" t="str">
        <x:v>酸が口中をさっぱりさせ、料理の濃厚さとのバランスを取りやすい</x:v>
      </x:c>
      <x:c r="I292" s="165" t="str">
        <x:v>脂肪がワインの原産地を変える</x:v>
      </x:c>
      <x:c r="J292" s="171" t="str">
        <x:v>C</x:v>
      </x:c>
      <x:c r="K292" s="165" t="str">
        <x:v>酸が口中をさっぱりさせ、料理の濃厚さとのバランスを取りやすい</x:v>
      </x:c>
      <x:c r="L292" s="165" t="str">
        <x:v>高い酸は唾液分泌を促し、脂肪による重さを和らげて、次の一口を爽やかに感じさせる。</x:v>
      </x:c>
      <x:c r="M292" s="165" t="str">
        <x:v>誤り。 口中での知覚を軽くするが、脂肪を完全に消去するわけではない。</x:v>
      </x:c>
      <x:c r="N292" s="165" t="str">
        <x:v>誤り。 高酸のワインには辛口も甘口もある。</x:v>
      </x:c>
      <x:c r="O292" s="165" t="str">
        <x:v>正しい。 高い酸は唾液分泌を促し、脂肪による重さを和らげて、次の一口を爽やかに感じさせる。</x:v>
      </x:c>
      <x:c r="P292" s="165" t="str">
        <x:v>誤り。 料理はワインの原産地を変えない。</x:v>
      </x:c>
      <x:c r="Q292" s="165" t="str">
        <x:v>フードペアリング</x:v>
      </x:c>
      <x:c r="R292" s="165" t="str">
        <x:v>脂肪・酸</x:v>
      </x:c>
      <x:c r="S292" s="165" t="str">
        <x:v>全般</x:v>
      </x:c>
      <x:c r="T292" s="165"/>
      <x:c r="U292" s="165"/>
      <x:c r="V292" s="165"/>
      <x:c r="W292" s="165" t="str">
        <x:v>因果説明</x:v>
      </x:c>
      <x:c r="X292" s="171" t="str">
        <x:v>D1</x:v>
      </x:c>
      <x:c r="Y292" s="165" t="str">
        <x:v>酸が脂肪完全消去; 高酸は必ず甘口; 原産地変更</x:v>
      </x:c>
      <x:c r="Z292" s="171" t="str">
        <x:v>N</x:v>
      </x:c>
      <x:c r="AA292" s="165"/>
      <x:c r="AB292" s="165" t="str">
        <x:v>オリジナル</x:v>
      </x:c>
      <x:c r="AC292" s="165" t="str">
        <x:v>公式Specificationの範囲＋ユーザー作成コーパスの論点と問題設計例を参考に独自作成</x:v>
      </x:c>
      <x:c r="AD292" s="171" t="str">
        <x:v>未レビュー</x:v>
      </x:c>
      <x:c r="AE292" s="171"/>
      <x:c r="AF292" s="171"/>
      <x:c r="AG292" s="166"/>
    </x:row>
    <x:row r="293" ht="84" customHeight="1">
      <x:c r="A293" s="164" t="str">
        <x:v>LO5-052</x:v>
      </x:c>
      <x:c r="B293" s="171" t="str">
        <x:v>LO5</x:v>
      </x:c>
      <x:c r="C293" s="165" t="str">
        <x:v>情報提供・推奨・保管・サービス</x:v>
      </x:c>
      <x:c r="D293" s="165" t="str">
        <x:v>風味の強さ</x:v>
      </x:c>
      <x:c r="E293" s="165" t="str">
        <x:v>繊細な白身魚料理に非常に力強く樽香の強いフルボディ赤ワインを合わせた場合の主な問題はどれか。</x:v>
      </x:c>
      <x:c r="F293" s="165" t="str">
        <x:v>魚料理がワインを発泡性に変える</x:v>
      </x:c>
      <x:c r="G293" s="165" t="str">
        <x:v>赤ワインの色が透明になる</x:v>
      </x:c>
      <x:c r="H293" s="165" t="str">
        <x:v>料理の塩分が必ずゼロになる</x:v>
      </x:c>
      <x:c r="I293" s="165" t="str">
        <x:v>ワインの強い風味が料理を圧倒し、料理の繊細さを感じにくくなる</x:v>
      </x:c>
      <x:c r="J293" s="171" t="str">
        <x:v>D</x:v>
      </x:c>
      <x:c r="K293" s="165" t="str">
        <x:v>ワインの強い風味が料理を圧倒し、料理の繊細さを感じにくくなる</x:v>
      </x:c>
      <x:c r="L293" s="165" t="str">
        <x:v>料理とワインの風味の強さをおおむね釣り合わせると、片方がもう一方を覆い隠すことを防ぎやすい。</x:v>
      </x:c>
      <x:c r="M293" s="165" t="str">
        <x:v>誤り。 料理との組み合わせで炭酸ガスは生じない。</x:v>
      </x:c>
      <x:c r="N293" s="165" t="str">
        <x:v>誤り。 料理でワインの色素が消えるわけではない。</x:v>
      </x:c>
      <x:c r="O293" s="165" t="str">
        <x:v>誤り。 ワインを合わせても料理の塩分量は変わらない。</x:v>
      </x:c>
      <x:c r="P293" s="165" t="str">
        <x:v>正しい。 料理とワインの風味の強さをおおむね釣り合わせると、片方がもう一方を覆い隠すことを防ぎやすい。</x:v>
      </x:c>
      <x:c r="Q293" s="165" t="str">
        <x:v>フードペアリング</x:v>
      </x:c>
      <x:c r="R293" s="165" t="str">
        <x:v>風味の強さ・バランス</x:v>
      </x:c>
      <x:c r="S293" s="165" t="str">
        <x:v>全般</x:v>
      </x:c>
      <x:c r="T293" s="165"/>
      <x:c r="U293" s="165"/>
      <x:c r="V293" s="165"/>
      <x:c r="W293" s="165" t="str">
        <x:v>適用</x:v>
      </x:c>
      <x:c r="X293" s="171" t="str">
        <x:v>D1</x:v>
      </x:c>
      <x:c r="Y293" s="165" t="str">
        <x:v>料理で発泡; 色透明化; 塩分ゼロ</x:v>
      </x:c>
      <x:c r="Z293" s="171" t="str">
        <x:v>N</x:v>
      </x:c>
      <x:c r="AA293" s="165"/>
      <x:c r="AB293" s="165" t="str">
        <x:v>オリジナル</x:v>
      </x:c>
      <x:c r="AC293" s="165" t="str">
        <x:v>公式Specificationの範囲＋ユーザー作成コーパスの論点と問題設計例を参考に独自作成</x:v>
      </x:c>
      <x:c r="AD293" s="171" t="str">
        <x:v>未レビュー</x:v>
      </x:c>
      <x:c r="AE293" s="171"/>
      <x:c r="AF293" s="171"/>
      <x:c r="AG293" s="166"/>
    </x:row>
    <x:row r="294" ht="84" customHeight="1">
      <x:c r="A294" s="164" t="str">
        <x:v>LO5-053</x:v>
      </x:c>
      <x:c r="B294" s="171" t="str">
        <x:v>LO5</x:v>
      </x:c>
      <x:c r="C294" s="165" t="str">
        <x:v>情報提供・推奨・保管・サービス</x:v>
      </x:c>
      <x:c r="D294" s="165" t="str">
        <x:v>甘い料理と辛口ワイン</x:v>
      </x:c>
      <x:c r="E294" s="165" t="str">
        <x:v>甘い料理に、料理より甘味の少ない辛口ワインを合わせた場合に起こりやすい知覚はどれか。</x:v>
      </x:c>
      <x:c r="F294" s="165" t="str">
        <x:v>ワインの果実味と甘味が弱く感じられ、酸味や苦味が目立つ</x:v>
      </x:c>
      <x:c r="G294" s="165" t="str">
        <x:v>ワインの残糖が物理的に増える</x:v>
      </x:c>
      <x:c r="H294" s="165" t="str">
        <x:v>ワインの酸味と苦味が必ず消える</x:v>
      </x:c>
      <x:c r="I294" s="165" t="str">
        <x:v>辛口ワインが自動的に酒精強化される</x:v>
      </x:c>
      <x:c r="J294" s="171" t="str">
        <x:v>A</x:v>
      </x:c>
      <x:c r="K294" s="165" t="str">
        <x:v>ワインの果実味と甘味が弱く感じられ、酸味や苦味が目立つ</x:v>
      </x:c>
      <x:c r="L294" s="165" t="str">
        <x:v>料理の甘味がワインの甘味と果実味を相対的に弱く感じさせるため、ワインが細く、酸っぱく、苦く感じられることがある。</x:v>
      </x:c>
      <x:c r="M294" s="165" t="str">
        <x:v>正しい。 料理の甘味がワインの甘味と果実味を相対的に弱く感じさせるため、ワインが細く、酸っぱく、苦く感じられることがある。</x:v>
      </x:c>
      <x:c r="N294" s="165" t="str">
        <x:v>誤り。 料理によってワイン自体の残糖量は増えない。</x:v>
      </x:c>
      <x:c r="O294" s="165" t="str">
        <x:v>誤り。 一般にはむしろ目立ちやすくなる。</x:v>
      </x:c>
      <x:c r="P294" s="165" t="str">
        <x:v>誤り。 料理との組み合わせでアルコールを添加したことにはならない。</x:v>
      </x:c>
      <x:c r="Q294" s="165" t="str">
        <x:v>フードペアリング</x:v>
      </x:c>
      <x:c r="R294" s="165" t="str">
        <x:v>甘味・知覚</x:v>
      </x:c>
      <x:c r="S294" s="165" t="str">
        <x:v>全般</x:v>
      </x:c>
      <x:c r="T294" s="165"/>
      <x:c r="U294" s="165"/>
      <x:c r="V294" s="165"/>
      <x:c r="W294" s="165" t="str">
        <x:v>因果説明</x:v>
      </x:c>
      <x:c r="X294" s="171" t="str">
        <x:v>D2</x:v>
      </x:c>
      <x:c r="Y294" s="165" t="str">
        <x:v>甘い料理で残糖増加; 酸苦味消失; 自動酒精強化</x:v>
      </x:c>
      <x:c r="Z294" s="171" t="str">
        <x:v>N</x:v>
      </x:c>
      <x:c r="AA294" s="165"/>
      <x:c r="AB294" s="165" t="str">
        <x:v>オリジナル</x:v>
      </x:c>
      <x:c r="AC294" s="165" t="str">
        <x:v>公式Specificationの範囲＋ユーザー作成コーパスの論点と問題設計例を参考に独自作成</x:v>
      </x:c>
      <x:c r="AD294" s="171" t="str">
        <x:v>未レビュー</x:v>
      </x:c>
      <x:c r="AE294" s="171"/>
      <x:c r="AF294" s="171"/>
      <x:c r="AG294" s="166"/>
    </x:row>
    <x:row r="295" ht="84" customHeight="1">
      <x:c r="A295" s="164" t="str">
        <x:v>LO5-054</x:v>
      </x:c>
      <x:c r="B295" s="171" t="str">
        <x:v>LO5</x:v>
      </x:c>
      <x:c r="C295" s="165" t="str">
        <x:v>情報提供・推奨・保管・サービス</x:v>
      </x:c>
      <x:c r="D295" s="165" t="str">
        <x:v>酸味のある料理と低酸ワイン</x:v>
      </x:c>
      <x:c r="E295" s="165" t="str">
        <x:v>強い酸味のある料理に低酸のワインを合わせた場合、ワインがどのように感じられやすいか。</x:v>
      </x:c>
      <x:c r="F295" s="165" t="str">
        <x:v>ワインが実際より高酸で鋭く感じられる</x:v>
      </x:c>
      <x:c r="G295" s="165" t="str">
        <x:v>平板で、果実味が弱く、締まりがないように感じられる</x:v>
      </x:c>
      <x:c r="H295" s="165" t="str">
        <x:v>ワインのアルコールがゼロになる</x:v>
      </x:c>
      <x:c r="I295" s="165" t="str">
        <x:v>ワインのタンニンがすべて糖へ変わる</x:v>
      </x:c>
      <x:c r="J295" s="171" t="str">
        <x:v>B</x:v>
      </x:c>
      <x:c r="K295" s="165" t="str">
        <x:v>平板で、果実味が弱く、締まりがないように感じられる</x:v>
      </x:c>
      <x:c r="L295" s="165" t="str">
        <x:v>料理の酸がワインより高いと、相対的にワインの酸が不足して感じられ、重く平板な印象になりやすい。</x:v>
      </x:c>
      <x:c r="M295" s="165" t="str">
        <x:v>誤り。 料理の酸が高いと、低酸ワインは相対的にさらに低酸に感じられやすい。</x:v>
      </x:c>
      <x:c r="N295" s="165" t="str">
        <x:v>正しい。 料理の酸がワインより高いと、相対的にワインの酸が不足して感じられ、重く平板な印象になりやすい。</x:v>
      </x:c>
      <x:c r="O295" s="165" t="str">
        <x:v>誤り。 料理の酸でアルコール度は変わらない。</x:v>
      </x:c>
      <x:c r="P295" s="165" t="str">
        <x:v>誤り。 味覚上の相互作用で化学成分がそのように変換されるわけではない。</x:v>
      </x:c>
      <x:c r="Q295" s="165" t="str">
        <x:v>フードペアリング</x:v>
      </x:c>
      <x:c r="R295" s="165" t="str">
        <x:v>酸味・低酸ワイン</x:v>
      </x:c>
      <x:c r="S295" s="165" t="str">
        <x:v>全般</x:v>
      </x:c>
      <x:c r="T295" s="165"/>
      <x:c r="U295" s="165"/>
      <x:c r="V295" s="165"/>
      <x:c r="W295" s="165" t="str">
        <x:v>因果説明</x:v>
      </x:c>
      <x:c r="X295" s="171" t="str">
        <x:v>D2</x:v>
      </x:c>
      <x:c r="Y295" s="165" t="str">
        <x:v>酸料理でワイン高酸化; 脱アルコール; タンニン糖化</x:v>
      </x:c>
      <x:c r="Z295" s="171" t="str">
        <x:v>N</x:v>
      </x:c>
      <x:c r="AA295" s="165"/>
      <x:c r="AB295" s="165" t="str">
        <x:v>オリジナル</x:v>
      </x:c>
      <x:c r="AC295" s="165" t="str">
        <x:v>公式Specificationの範囲＋ユーザー作成コーパスの論点と問題設計例を参考に独自作成</x:v>
      </x:c>
      <x:c r="AD295" s="171" t="str">
        <x:v>未レビュー</x:v>
      </x:c>
      <x:c r="AE295" s="171"/>
      <x:c r="AF295" s="171"/>
      <x:c r="AG295" s="166"/>
    </x:row>
    <x:row r="296" ht="84" customHeight="1">
      <x:c r="A296" s="164" t="str">
        <x:v>LO5-055</x:v>
      </x:c>
      <x:c r="B296" s="171" t="str">
        <x:v>LO5</x:v>
      </x:c>
      <x:c r="C296" s="165" t="str">
        <x:v>情報提供・推奨・保管・サービス</x:v>
      </x:c>
      <x:c r="D296" s="165" t="str">
        <x:v>タンニンと肉料理</x:v>
      </x:c>
      <x:c r="E296" s="165" t="str">
        <x:v>高タンニンの赤ワインが脂肪やたんぱく質の多い肉料理と合いやすい理由はどれか。</x:v>
      </x:c>
      <x:c r="F296" s="165" t="str">
        <x:v>肉料理がワインのタンニンをアルコールへ変える</x:v>
      </x:c>
      <x:c r="G296" s="165" t="str">
        <x:v>肉料理が赤ワインを白ワインへ変える</x:v>
      </x:c>
      <x:c r="H296" s="165" t="str">
        <x:v>料理の脂肪とたんぱく質がタンニンの渋味を和らげ、ワインが柔らかく感じられる</x:v>
      </x:c>
      <x:c r="I296" s="165" t="str">
        <x:v>高タンニンなら料理の種類にかかわらず必ず最適である</x:v>
      </x:c>
      <x:c r="J296" s="171" t="str">
        <x:v>C</x:v>
      </x:c>
      <x:c r="K296" s="165" t="str">
        <x:v>料理の脂肪とたんぱく質がタンニンの渋味を和らげ、ワインが柔らかく感じられる</x:v>
      </x:c>
      <x:c r="L296" s="165" t="str">
        <x:v>タンニンは口中のたんぱく質と相互作用し、脂肪も渋味を和らげるため、肉料理と構造の強い赤ワインが調和しやすい。</x:v>
      </x:c>
      <x:c r="M296" s="165" t="str">
        <x:v>誤り。 料理でタンニンがアルコールへ変換されることはない。</x:v>
      </x:c>
      <x:c r="N296" s="165" t="str">
        <x:v>誤り。 色やワインカテゴリーは変化しない。</x:v>
      </x:c>
      <x:c r="O296" s="165" t="str">
        <x:v>正しい。 タンニンは口中のたんぱく質と相互作用し、脂肪も渋味を和らげるため、肉料理と構造の強い赤ワインが調和しやすい。</x:v>
      </x:c>
      <x:c r="P296" s="165" t="str">
        <x:v>誤り。 料理の風味、甘味、辛味、調理法なども考慮が必要である。</x:v>
      </x:c>
      <x:c r="Q296" s="165" t="str">
        <x:v>フードペアリング</x:v>
      </x:c>
      <x:c r="R296" s="165" t="str">
        <x:v>タンニン・たんぱく質・脂肪</x:v>
      </x:c>
      <x:c r="S296" s="165" t="str">
        <x:v>赤ワイン</x:v>
      </x:c>
      <x:c r="T296" s="165"/>
      <x:c r="U296" s="165"/>
      <x:c r="V296" s="165"/>
      <x:c r="W296" s="165" t="str">
        <x:v>因果説明</x:v>
      </x:c>
      <x:c r="X296" s="171" t="str">
        <x:v>D2</x:v>
      </x:c>
      <x:c r="Y296" s="165" t="str">
        <x:v>タンニンがアルコール化; 赤が白へ; 高タンニン万能</x:v>
      </x:c>
      <x:c r="Z296" s="171" t="str">
        <x:v>N</x:v>
      </x:c>
      <x:c r="AA296" s="165"/>
      <x:c r="AB296" s="165" t="str">
        <x:v>オリジナル</x:v>
      </x:c>
      <x:c r="AC296" s="165" t="str">
        <x:v>公式Specificationの範囲＋ユーザー作成コーパスの論点と問題設計例を参考に独自作成</x:v>
      </x:c>
      <x:c r="AD296" s="171" t="str">
        <x:v>未レビュー</x:v>
      </x:c>
      <x:c r="AE296" s="171"/>
      <x:c r="AF296" s="171"/>
      <x:c r="AG296" s="166"/>
    </x:row>
    <x:row r="297" ht="84" customHeight="1">
      <x:c r="A297" s="164" t="str">
        <x:v>LO5-056</x:v>
      </x:c>
      <x:c r="B297" s="171" t="str">
        <x:v>LO5</x:v>
      </x:c>
      <x:c r="C297" s="165" t="str">
        <x:v>情報提供・推奨・保管・サービス</x:v>
      </x:c>
      <x:c r="D297" s="165" t="str">
        <x:v>うま味と塩味</x:v>
      </x:c>
      <x:c r="E297" s="165" t="str">
        <x:v>うま味の強い料理に塩味が加わると、ワインとの組み合わせが改善することがある理由はどれか。</x:v>
      </x:c>
      <x:c r="F297" s="165" t="str">
        <x:v>塩味がワインのアルコールを増やす</x:v>
      </x:c>
      <x:c r="G297" s="165" t="str">
        <x:v>うま味と塩味でワインが必ず発泡する</x:v>
      </x:c>
      <x:c r="H297" s="165" t="str">
        <x:v>塩味が料理のうま味を物理的に消す</x:v>
      </x:c>
      <x:c r="I297" s="165" t="str">
        <x:v>塩味が、うま味によって強まりやすい苦味や渋味を弱く感じさせることがある</x:v>
      </x:c>
      <x:c r="J297" s="171" t="str">
        <x:v>D</x:v>
      </x:c>
      <x:c r="K297" s="165" t="str">
        <x:v>塩味が、うま味によって強まりやすい苦味や渋味を弱く感じさせることがある</x:v>
      </x:c>
      <x:c r="L297" s="165" t="str">
        <x:v>うま味単独はワインを苦く、渋く、果実味が少なく感じさせやすいが、塩味はその負の知覚を緩和する方向に働く。</x:v>
      </x:c>
      <x:c r="M297" s="165" t="str">
        <x:v>誤り。 料理の塩味でワインのアルコール度は上がらない。</x:v>
      </x:c>
      <x:c r="N297" s="165" t="str">
        <x:v>誤り。 味覚要素の組み合わせで炭酸ガスは発生しない。</x:v>
      </x:c>
      <x:c r="O297" s="165" t="str">
        <x:v>誤り。 知覚のバランスを変えることはあるが、うま味成分を消去するわけではない。</x:v>
      </x:c>
      <x:c r="P297" s="165" t="str">
        <x:v>正しい。 うま味単独はワインを苦く、渋く、果実味が少なく感じさせやすいが、塩味はその負の知覚を緩和する方向に働く。</x:v>
      </x:c>
      <x:c r="Q297" s="165" t="str">
        <x:v>フードペアリング</x:v>
      </x:c>
      <x:c r="R297" s="165" t="str">
        <x:v>うま味・塩味・知覚</x:v>
      </x:c>
      <x:c r="S297" s="165" t="str">
        <x:v>全般</x:v>
      </x:c>
      <x:c r="T297" s="165"/>
      <x:c r="U297" s="165"/>
      <x:c r="V297" s="165"/>
      <x:c r="W297" s="165" t="str">
        <x:v>因果説明</x:v>
      </x:c>
      <x:c r="X297" s="171" t="str">
        <x:v>D3</x:v>
      </x:c>
      <x:c r="Y297" s="165" t="str">
        <x:v>塩でアルコール増加; 発泡; うま味消去</x:v>
      </x:c>
      <x:c r="Z297" s="171" t="str">
        <x:v>N</x:v>
      </x:c>
      <x:c r="AA297" s="165"/>
      <x:c r="AB297" s="165" t="str">
        <x:v>オリジナル</x:v>
      </x:c>
      <x:c r="AC297" s="165" t="str">
        <x:v>公式Specificationの範囲＋ユーザー作成コーパスの論点と問題設計例を参考に独自作成</x:v>
      </x:c>
      <x:c r="AD297" s="171" t="str">
        <x:v>未レビュー</x:v>
      </x:c>
      <x:c r="AE297" s="171"/>
      <x:c r="AF297" s="171"/>
      <x:c r="AG297" s="166"/>
    </x:row>
    <x:row r="298" ht="84" customHeight="1">
      <x:c r="A298" s="164" t="str">
        <x:v>LO5-057</x:v>
      </x:c>
      <x:c r="B298" s="171" t="str">
        <x:v>LO5</x:v>
      </x:c>
      <x:c r="C298" s="165" t="str">
        <x:v>情報提供・推奨・保管・サービス</x:v>
      </x:c>
      <x:c r="D298" s="165" t="str">
        <x:v>トウガラシとワイン選択</x:v>
      </x:c>
      <x:c r="E298" s="165" t="str">
        <x:v>トウガラシの辛味が強い料理に合わせるワインとして、一般に選びやすいスタイルはどれか。</x:v>
      </x:c>
      <x:c r="F298" s="165" t="str">
        <x:v>低めのアルコール、柔らかなタンニン、十分な果実味があり、場合により少量の残糖を持つワイン</x:v>
      </x:c>
      <x:c r="G298" s="165" t="str">
        <x:v>非常に高アルコールで高タンニン、果実味の少ない赤ワイン</x:v>
      </x:c>
      <x:c r="H298" s="165" t="str">
        <x:v>酸化して果実味を失った欠陥ワイン</x:v>
      </x:c>
      <x:c r="I298" s="165" t="str">
        <x:v>温めた酒精強化ワインだけ</x:v>
      </x:c>
      <x:c r="J298" s="171" t="str">
        <x:v>A</x:v>
      </x:c>
      <x:c r="K298" s="165" t="str">
        <x:v>低めのアルコール、柔らかなタンニン、十分な果実味があり、場合により少量の残糖を持つワイン</x:v>
      </x:c>
      <x:c r="L298" s="165" t="str">
        <x:v>高アルコールと高タンニンは辛味を強めやすい一方、果実味と少量の甘味は辛味を和らげる方向に働く。</x:v>
      </x:c>
      <x:c r="M298" s="165" t="str">
        <x:v>正しい。 高アルコールと高タンニンは辛味を強めやすい一方、果実味と少量の甘味は辛味を和らげる方向に働く。</x:v>
      </x:c>
      <x:c r="N298" s="165" t="str">
        <x:v>誤り。 アルコールとタンニンが辛味と刺激を強調しやすい。</x:v>
      </x:c>
      <x:c r="O298" s="165" t="str">
        <x:v>誤り。 欠陥ワインは料理にかかわらず推奨すべきでない。</x:v>
      </x:c>
      <x:c r="P298" s="165" t="str">
        <x:v>誤り。 高アルコールと高温は辛味を増幅しやすく、唯一の選択肢でもない。</x:v>
      </x:c>
      <x:c r="Q298" s="165" t="str">
        <x:v>フードペアリング</x:v>
      </x:c>
      <x:c r="R298" s="165" t="str">
        <x:v>トウガラシ・アルコール・甘味</x:v>
      </x:c>
      <x:c r="S298" s="165" t="str">
        <x:v>全般</x:v>
      </x:c>
      <x:c r="T298" s="165"/>
      <x:c r="U298" s="165"/>
      <x:c r="V298" s="165"/>
      <x:c r="W298" s="165" t="str">
        <x:v>判断</x:v>
      </x:c>
      <x:c r="X298" s="171" t="str">
        <x:v>D2</x:v>
      </x:c>
      <x:c r="Y298" s="165" t="str">
        <x:v>辛味には高アルコール高タンニン; 欠陥ワイン; 温かい酒精強化だけ</x:v>
      </x:c>
      <x:c r="Z298" s="171" t="str">
        <x:v>N</x:v>
      </x:c>
      <x:c r="AA298" s="165"/>
      <x:c r="AB298" s="165" t="str">
        <x:v>オリジナル</x:v>
      </x:c>
      <x:c r="AC298" s="165" t="str">
        <x:v>公式Specificationの範囲＋ユーザー作成コーパスの論点と問題設計例を参考に独自作成</x:v>
      </x:c>
      <x:c r="AD298" s="171" t="str">
        <x:v>未レビュー</x:v>
      </x:c>
      <x:c r="AE298" s="171"/>
      <x:c r="AF298" s="171"/>
      <x:c r="AG298" s="166"/>
    </x:row>
    <x:row r="299" ht="84" customHeight="1">
      <x:c r="A299" s="164" t="str">
        <x:v>LO5-058</x:v>
      </x:c>
      <x:c r="B299" s="171" t="str">
        <x:v>LO5</x:v>
      </x:c>
      <x:c r="C299" s="165" t="str">
        <x:v>情報提供・推奨・保管・サービス</x:v>
      </x:c>
      <x:c r="D299" s="165" t="str">
        <x:v>甘口ワインと塩味のある食品</x:v>
      </x:c>
      <x:c r="E299" s="165" t="str">
        <x:v>甘口ワインと塩味のあるブルーチーズが良い組み合わせになり得る主な理由はどれか。</x:v>
      </x:c>
      <x:c r="F299" s="165" t="str">
        <x:v>チーズがワインを辛口へ化学的に変える</x:v>
      </x:c>
      <x:c r="G299" s="165" t="str">
        <x:v>甘味と塩味の対比が互いを引き立て、ワインの果実味とチーズの濃厚さを調和させる</x:v>
      </x:c>
      <x:c r="H299" s="165" t="str">
        <x:v>塩味がワインのアルコールを完全に除去する</x:v>
      </x:c>
      <x:c r="I299" s="165" t="str">
        <x:v>ブルーチーズならどの欠陥ワインでも良くなる</x:v>
      </x:c>
      <x:c r="J299" s="171" t="str">
        <x:v>B</x:v>
      </x:c>
      <x:c r="K299" s="165" t="str">
        <x:v>甘味と塩味の対比が互いを引き立て、ワインの果実味とチーズの濃厚さを調和させる</x:v>
      </x:c>
      <x:c r="L299" s="165" t="str">
        <x:v>甘味と塩味の対比に加え、甘口ワインの酸がチーズの脂肪分を爽やかに感じさせる場合もある。</x:v>
      </x:c>
      <x:c r="M299" s="165" t="str">
        <x:v>誤り。 組み合わせでワインの残糖量は変化しない。</x:v>
      </x:c>
      <x:c r="N299" s="165" t="str">
        <x:v>正しい。 甘味と塩味の対比に加え、甘口ワインの酸がチーズの脂肪分を爽やかに感じさせる場合もある。</x:v>
      </x:c>
      <x:c r="O299" s="165" t="str">
        <x:v>誤り。 塩味はアルコール度を変えない。</x:v>
      </x:c>
      <x:c r="P299" s="165" t="str">
        <x:v>誤り。 料理でワインの欠陥が修復されるわけではない。</x:v>
      </x:c>
      <x:c r="Q299" s="165" t="str">
        <x:v>フードペアリング</x:v>
      </x:c>
      <x:c r="R299" s="165" t="str">
        <x:v>甘味・塩味・脂肪</x:v>
      </x:c>
      <x:c r="S299" s="165" t="str">
        <x:v>甘口ワイン</x:v>
      </x:c>
      <x:c r="T299" s="165"/>
      <x:c r="U299" s="165"/>
      <x:c r="V299" s="165"/>
      <x:c r="W299" s="165" t="str">
        <x:v>因果説明</x:v>
      </x:c>
      <x:c r="X299" s="171" t="str">
        <x:v>D2</x:v>
      </x:c>
      <x:c r="Y299" s="165" t="str">
        <x:v>チーズで辛口化; 脱アルコール; 欠陥修復</x:v>
      </x:c>
      <x:c r="Z299" s="171" t="str">
        <x:v>N</x:v>
      </x:c>
      <x:c r="AA299" s="165"/>
      <x:c r="AB299" s="165" t="str">
        <x:v>オリジナル</x:v>
      </x:c>
      <x:c r="AC299" s="165" t="str">
        <x:v>公式Specificationの範囲＋ユーザー作成コーパスの論点と問題設計例を参考に独自作成</x:v>
      </x:c>
      <x:c r="AD299" s="171" t="str">
        <x:v>未レビュー</x:v>
      </x:c>
      <x:c r="AE299" s="171"/>
      <x:c r="AF299" s="171"/>
      <x:c r="AG299" s="166"/>
    </x:row>
    <x:row r="300" ht="84" customHeight="1">
      <x:c r="A300" s="164" t="str">
        <x:v>LO5-059</x:v>
      </x:c>
      <x:c r="B300" s="171" t="str">
        <x:v>LO5</x:v>
      </x:c>
      <x:c r="C300" s="165" t="str">
        <x:v>情報提供・推奨・保管・サービス</x:v>
      </x:c>
      <x:c r="D300" s="165" t="str">
        <x:v>過剰摂取と短期的影響</x:v>
      </x:c>
      <x:c r="E300" s="165" t="str">
        <x:v>ワインの過剰摂取によって短期的に生じ得る社会的・健康上の問題として最も適切なものはどれか。</x:v>
      </x:c>
      <x:c r="F300" s="165" t="str">
        <x:v>判断力と反応速度が必ず向上する</x:v>
      </x:c>
      <x:c r="G300" s="165" t="str">
        <x:v>どれだけ飲んでも行動や健康に影響しない</x:v>
      </x:c>
      <x:c r="H300" s="165" t="str">
        <x:v>判断力や協調運動の低下により、事故や不適切な行動のリスクが高まる</x:v>
      </x:c>
      <x:c r="I300" s="165" t="str">
        <x:v>アルコールが直ちに水へ変わるため問題はない</x:v>
      </x:c>
      <x:c r="J300" s="171" t="str">
        <x:v>C</x:v>
      </x:c>
      <x:c r="K300" s="165" t="str">
        <x:v>判断力や協調運動の低下により、事故や不適切な行動のリスクが高まる</x:v>
      </x:c>
      <x:c r="L300" s="165" t="str">
        <x:v>過剰な飲酒は認知と運動機能を損ない、本人と周囲の安全、社会的行動へ悪影響を与え得る。</x:v>
      </x:c>
      <x:c r="M300" s="165" t="str">
        <x:v>誤り。 過剰摂取は能力を向上させるのではなく低下させ得る。</x:v>
      </x:c>
      <x:c r="N300" s="165" t="str">
        <x:v>誤り。 摂取量が多いほど有害な影響のリスクが高まる。</x:v>
      </x:c>
      <x:c r="O300" s="165" t="str">
        <x:v>正しい。 過剰な飲酒は認知と運動機能を損ない、本人と周囲の安全、社会的行動へ悪影響を与え得る。</x:v>
      </x:c>
      <x:c r="P300" s="165" t="str">
        <x:v>誤り。 体内で直ちに無害な水へ変わるわけではない。</x:v>
      </x:c>
      <x:c r="Q300" s="165" t="str">
        <x:v>社会的・健康上の問題</x:v>
      </x:c>
      <x:c r="R300" s="165" t="str">
        <x:v>過剰摂取・短期的影響</x:v>
      </x:c>
      <x:c r="S300" s="165" t="str">
        <x:v>全般</x:v>
      </x:c>
      <x:c r="T300" s="165"/>
      <x:c r="U300" s="165"/>
      <x:c r="V300" s="165"/>
      <x:c r="W300" s="165" t="str">
        <x:v>知識確認</x:v>
      </x:c>
      <x:c r="X300" s="171" t="str">
        <x:v>D1</x:v>
      </x:c>
      <x:c r="Y300" s="165" t="str">
        <x:v>過剰飲酒で判断向上; 影響なし; 即時に水化</x:v>
      </x:c>
      <x:c r="Z300" s="171" t="str">
        <x:v>Y</x:v>
      </x:c>
      <x:c r="AA300" s="165" t="str">
        <x:v>健康関連表現は一般的説明に限定し、地域別の医療・法的助言として使用しないことを確認推奨</x:v>
      </x:c>
      <x:c r="AB300" s="165" t="str">
        <x:v>オリジナル</x:v>
      </x:c>
      <x:c r="AC300" s="165" t="str">
        <x:v>公式Specificationの範囲＋ユーザー作成コーパスの論点と問題設計例を参考に独自作成</x:v>
      </x:c>
      <x:c r="AD300" s="171" t="str">
        <x:v>未レビュー</x:v>
      </x:c>
      <x:c r="AE300" s="171"/>
      <x:c r="AF300" s="171"/>
      <x:c r="AG300" s="166"/>
    </x:row>
    <x:row r="301" ht="84" customHeight="1">
      <x:c r="A301" s="167" t="str">
        <x:v>LO5-060</x:v>
      </x:c>
      <x:c r="B301" s="172" t="str">
        <x:v>LO5</x:v>
      </x:c>
      <x:c r="C301" s="168" t="str">
        <x:v>情報提供・推奨・保管・サービス</x:v>
      </x:c>
      <x:c r="D301" s="168" t="str">
        <x:v>酔いを早く覚ますという誤解</x:v>
      </x:c>
      <x:c r="E301" s="168" t="str">
        <x:v>過剰に飲酒した人について、最も適切な助言はどれか。</x:v>
      </x:c>
      <x:c r="F301" s="168" t="str">
        <x:v>濃いコーヒーを飲めばすぐ安全に運転できる</x:v>
      </x:c>
      <x:c r="G301" s="168" t="str">
        <x:v>冷水シャワーでアルコールが皮膚から排出される</x:v>
      </x:c>
      <x:c r="H301" s="168" t="str">
        <x:v>さらにワインを飲めば代謝が加速する</x:v>
      </x:c>
      <x:c r="I301" s="168" t="str">
        <x:v>コーヒーや冷水シャワーでアルコールの代謝が急に速くなるとは考えず、追加飲酒や運転を避ける</x:v>
      </x:c>
      <x:c r="J301" s="172" t="str">
        <x:v>D</x:v>
      </x:c>
      <x:c r="K301" s="168" t="str">
        <x:v>コーヒーや冷水シャワーでアルコールの代謝が急に速くなるとは考えず、追加飲酒や運転を避ける</x:v>
      </x:c>
      <x:c r="L301" s="168" t="str">
        <x:v>覚醒感が一時的に変わっても、体内のアルコールが直ちに除去されるわけではない。安全を優先し、時間をかけて回復する必要がある。</x:v>
      </x:c>
      <x:c r="M301" s="168" t="str">
        <x:v>誤り。 覚醒感と血中アルコールの除去は同じではない。</x:v>
      </x:c>
      <x:c r="N301" s="168" t="str">
        <x:v>誤り。 シャワーで体内アルコールを急速に排出できない。</x:v>
      </x:c>
      <x:c r="O301" s="168" t="str">
        <x:v>誤り。 追加飲酒は体内アルコール量を増やす。</x:v>
      </x:c>
      <x:c r="P301" s="168" t="str">
        <x:v>正しい。 覚醒感が一時的に変わっても、体内のアルコールが直ちに除去されるわけではない。安全を優先し、時間をかけて回復する必要がある。</x:v>
      </x:c>
      <x:c r="Q301" s="168" t="str">
        <x:v>社会的・健康上の問題</x:v>
      </x:c>
      <x:c r="R301" s="168" t="str">
        <x:v>過剰摂取・安全</x:v>
      </x:c>
      <x:c r="S301" s="168" t="str">
        <x:v>全般</x:v>
      </x:c>
      <x:c r="T301" s="168"/>
      <x:c r="U301" s="168"/>
      <x:c r="V301" s="168"/>
      <x:c r="W301" s="168" t="str">
        <x:v>適用</x:v>
      </x:c>
      <x:c r="X301" s="172" t="str">
        <x:v>D2</x:v>
      </x:c>
      <x:c r="Y301" s="168" t="str">
        <x:v>コーヒーで即時運転可; シャワーで排出; 追加飲酒で代謝加速</x:v>
      </x:c>
      <x:c r="Z301" s="172" t="str">
        <x:v>Y</x:v>
      </x:c>
      <x:c r="AA301" s="168" t="str">
        <x:v>健康・安全に関する一般論として扱い、医療判断や地域別法規の代替にしないことを確認推奨</x:v>
      </x:c>
      <x:c r="AB301" s="168" t="str">
        <x:v>オリジナル</x:v>
      </x:c>
      <x:c r="AC301" s="168" t="str">
        <x:v>公式Specificationの範囲＋ユーザー作成コーパスの論点と問題設計例を参考に独自作成</x:v>
      </x:c>
      <x:c r="AD301" s="172" t="str">
        <x:v>未レビュー</x:v>
      </x:c>
      <x:c r="AE301" s="172"/>
      <x:c r="AF301" s="172"/>
      <x:c r="AG301" s="169"/>
    </x:row>
  </x:sheetData>
  <x:conditionalFormatting sqref="A2:AG101">
    <x:cfRule type="expression" dxfId="0" priority="1">
      <x:formula>$B2="LO1"</x:formula>
    </x:cfRule>
    <x:cfRule type="expression" dxfId="1" priority="2">
      <x:formula>$B2="LO2"</x:formula>
    </x:cfRule>
    <x:cfRule type="expression" dxfId="2" priority="3">
      <x:formula>$B2="LO3"</x:formula>
    </x:cfRule>
    <x:cfRule type="expression" dxfId="3" priority="4">
      <x:formula>$B2="LO4"</x:formula>
    </x:cfRule>
    <x:cfRule type="expression" dxfId="4" priority="5">
      <x:formula>$B2="LO5"</x:formula>
    </x:cfRule>
  </x:conditionalFormatting>
  <x:conditionalFormatting sqref="Z2:Z101">
    <x:cfRule type="expression" dxfId="5" priority="6">
      <x:formula>$Z2="Y"</x:formula>
    </x:cfRule>
  </x:conditionalFormatting>
  <x:conditionalFormatting sqref="AD2:AD101">
    <x:cfRule type="expression" dxfId="6" priority="7">
      <x:formula>$AD2="承認"</x:formula>
    </x:cfRule>
    <x:cfRule type="expression" dxfId="7" priority="8">
      <x:formula>$AD2="修正要"</x:formula>
    </x:cfRule>
  </x:conditionalFormatting>
  <x:conditionalFormatting sqref="A102:AG301">
    <x:cfRule type="expression" dxfId="8" priority="9">
      <x:formula>$B102="LO1"</x:formula>
    </x:cfRule>
    <x:cfRule type="expression" dxfId="9" priority="10">
      <x:formula>$B102="LO2"</x:formula>
    </x:cfRule>
    <x:cfRule type="expression" dxfId="10" priority="11">
      <x:formula>$B102="LO3"</x:formula>
    </x:cfRule>
    <x:cfRule type="expression" dxfId="11" priority="12">
      <x:formula>$B102="LO4"</x:formula>
    </x:cfRule>
    <x:cfRule type="expression" dxfId="12" priority="13">
      <x:formula>$B102="LO5"</x:formula>
    </x:cfRule>
  </x:conditionalFormatting>
  <x:conditionalFormatting sqref="Z102:Z301">
    <x:cfRule type="expression" dxfId="13" priority="14">
      <x:formula>$Z102="Y"</x:formula>
    </x:cfRule>
  </x:conditionalFormatting>
  <x:conditionalFormatting sqref="AD102:AD301">
    <x:cfRule type="expression" dxfId="14" priority="15">
      <x:formula>$AD102="承認"</x:formula>
    </x:cfRule>
    <x:cfRule type="expression" dxfId="15" priority="16">
      <x:formula>$AD102="修正要"</x:formula>
    </x:cfRule>
  </x:conditionalFormatting>
  <x:dataValidations count="2">
    <x:dataValidation type="list" sqref="AD2:AD101">
      <x:formula1>"未レビュー,確認中,修正要,承認,却下"</x:formula1>
    </x:dataValidation>
    <x:dataValidation type="list" sqref="AD2:AD301">
      <x:formula1>"未レビュー,確認中,修正要,承認,却下"</x:formula1>
    </x:dataValidation>
  </x:dataValidations>
  <x:pageMargins left="0.7" right="0.7" top="0.75" bottom="0.75" header="0.3" footer="0.3"/>
  <x:tableParts count="1">
    <x:tablePart xmlns:r="http://schemas.openxmlformats.org/officeDocument/2006/relationships" r:id="R3841e53c7cd447c5"/>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24"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2" customHeight="1">
      <x:c r="A1" s="59" t="str">
        <x:v>WSET Level 3 オリジナルMCQ 300問 — カバレッジ</x:v>
      </x:c>
      <x:c r="B1" s="59"/>
      <x:c r="C1" s="59"/>
      <x:c r="D1" s="59"/>
      <x:c r="E1" s="59"/>
      <x:c r="F1" s="59"/>
      <x:c r="G1" s="59"/>
      <x:c r="H1" s="59"/>
      <x:c r="I1" s="59"/>
      <x:c r="J1" s="59"/>
      <x:c r="K1" s="59"/>
    </x:row>
    <x:row r="3" ht="34" customHeight="1">
      <x:c r="A3" s="67" t="str">
        <x:v>総問題数</x:v>
      </x:c>
      <x:c r="B3" s="67" t="str">
        <x:v>要レビュー</x:v>
      </x:c>
      <x:c r="C3" s="67" t="str">
        <x:v>承認済み</x:v>
      </x:c>
      <x:c r="D3" s="67" t="str">
        <x:v>正答A</x:v>
      </x:c>
      <x:c r="E3" s="67" t="str">
        <x:v>正答B</x:v>
      </x:c>
      <x:c r="F3" s="67" t="str">
        <x:v>正答C</x:v>
      </x:c>
      <x:c r="G3" s="67" t="str">
        <x:v>正答D</x:v>
      </x:c>
    </x:row>
    <x:row r="4" ht="28" customHeight="1">
      <x:c r="A4" s="81" t="n">
        <x:f>COUNTA('問題集'!A2:A301)</x:f>
        <x:v>300</x:v>
      </x:c>
      <x:c r="B4" s="82" t="n">
        <x:f>COUNTIF('問題集'!Z2:Z301,"Y")</x:f>
        <x:v>16</x:v>
      </x:c>
      <x:c r="C4" s="82" t="n">
        <x:f>COUNTIF('問題集'!AD2:AD301,"承認")</x:f>
        <x:v>0</x:v>
      </x:c>
      <x:c r="D4" s="82" t="n">
        <x:f>COUNTIF('問題集'!J2:J301,"A")</x:f>
        <x:v>75</x:v>
      </x:c>
      <x:c r="E4" s="82" t="n">
        <x:f>COUNTIF('問題集'!J2:J301,"B")</x:f>
        <x:v>75</x:v>
      </x:c>
      <x:c r="F4" s="82" t="n">
        <x:f>COUNTIF('問題集'!J2:J301,"C")</x:f>
        <x:v>75</x:v>
      </x:c>
      <x:c r="G4" s="83" t="n">
        <x:f>COUNTIF('問題集'!J2:J301,"D")</x:f>
        <x:v>75</x:v>
      </x:c>
    </x:row>
    <x:row r="7">
      <x:c r="A7" s="6" t="str">
        <x:v>LO</x:v>
      </x:c>
      <x:c r="B7" s="6" t="str">
        <x:v>問題数</x:v>
      </x:c>
      <x:c r="D7" s="173" t="str">
        <x:v>国・地域</x:v>
      </x:c>
      <x:c r="E7" s="173" t="str">
        <x:v>問題数</x:v>
      </x:c>
      <x:c r="F7" s="279"/>
    </x:row>
    <x:row r="8">
      <x:c r="A8" s="95" t="str">
        <x:v>LO1</x:v>
      </x:c>
      <x:c r="B8" s="96" t="n">
        <x:f>COUNTIF('問題集'!B2:B301,A8)</x:f>
        <x:v>60</x:v>
      </x:c>
      <x:c r="D8" s="240" t="str">
        <x:v>アルゼンチン</x:v>
      </x:c>
      <x:c r="E8" s="246" t="n">
        <x:f>COUNTIF('問題集'!T2:T301,D8)</x:f>
        <x:v>4</x:v>
      </x:c>
      <x:c r="F8" s="279"/>
    </x:row>
    <x:row r="9">
      <x:c r="A9" s="15" t="str">
        <x:v>LO2</x:v>
      </x:c>
      <x:c r="B9" s="17" t="n">
        <x:f>COUNTIF('問題集'!B2:B301,A9)</x:f>
        <x:v>60</x:v>
      </x:c>
      <x:c r="D9" s="241" t="str">
        <x:v>イタリア</x:v>
      </x:c>
      <x:c r="E9" s="247" t="n">
        <x:f>COUNTIF('問題集'!T2:T301,D9)</x:f>
        <x:v>11</x:v>
      </x:c>
      <x:c r="F9" s="279"/>
    </x:row>
    <x:row r="10">
      <x:c r="A10" s="15" t="str">
        <x:v>LO3</x:v>
      </x:c>
      <x:c r="B10" s="17" t="n">
        <x:f>COUNTIF('問題集'!B2:B301,A10)</x:f>
        <x:v>60</x:v>
      </x:c>
      <x:c r="D10" s="241" t="str">
        <x:v>オーストラリア</x:v>
      </x:c>
      <x:c r="E10" s="247" t="n">
        <x:f>COUNTIF('問題集'!T2:T301,D10)</x:f>
        <x:v>12</x:v>
      </x:c>
      <x:c r="F10" s="279"/>
    </x:row>
    <x:row r="11">
      <x:c r="A11" s="15" t="str">
        <x:v>LO4</x:v>
      </x:c>
      <x:c r="B11" s="17" t="n">
        <x:f>COUNTIF('問題集'!B2:B301,A11)</x:f>
        <x:v>60</x:v>
      </x:c>
      <x:c r="D11" s="241" t="str">
        <x:v>オーストラリア／ニュージーランド</x:v>
      </x:c>
      <x:c r="E11" s="247" t="n">
        <x:f>COUNTIF('問題集'!T2:T301,D11)</x:f>
        <x:v>1</x:v>
      </x:c>
      <x:c r="F11" s="279"/>
    </x:row>
    <x:row r="12">
      <x:c r="A12" s="18" t="str">
        <x:v>LO5</x:v>
      </x:c>
      <x:c r="B12" s="20" t="n">
        <x:f>COUNTIF('問題集'!B2:B301,A12)</x:f>
        <x:v>60</x:v>
      </x:c>
      <x:c r="D12" s="241" t="str">
        <x:v>オーストリア</x:v>
      </x:c>
      <x:c r="E12" s="247" t="n">
        <x:f>COUNTIF('問題集'!T2:T301,D12)</x:f>
        <x:v>2</x:v>
      </x:c>
      <x:c r="F12" s="279"/>
    </x:row>
    <x:row r="13">
      <x:c r="D13" s="241" t="str">
        <x:v>カナダ</x:v>
      </x:c>
      <x:c r="E13" s="247" t="n">
        <x:f>COUNTIF('問題集'!T2:T301,D13)</x:f>
        <x:v>2</x:v>
      </x:c>
      <x:c r="F13" s="279"/>
    </x:row>
    <x:row r="14">
      <x:c r="D14" s="241" t="str">
        <x:v>ギリシャ</x:v>
      </x:c>
      <x:c r="E14" s="247" t="n">
        <x:f>COUNTIF('問題集'!T2:T301,D14)</x:f>
        <x:v>2</x:v>
      </x:c>
      <x:c r="F14" s="279"/>
    </x:row>
    <x:row r="15">
      <x:c r="D15" s="241" t="str">
        <x:v>スペイン</x:v>
      </x:c>
      <x:c r="E15" s="247" t="n">
        <x:f>COUNTIF('問題集'!T2:T301,D15)</x:f>
        <x:v>32</x:v>
      </x:c>
      <x:c r="F15" s="279"/>
    </x:row>
    <x:row r="16">
      <x:c r="A16" s="6" t="str">
        <x:v>難易度</x:v>
      </x:c>
      <x:c r="B16" s="6" t="str">
        <x:v>問題数</x:v>
      </x:c>
      <x:c r="D16" s="241" t="str">
        <x:v>チリ</x:v>
      </x:c>
      <x:c r="E16" s="247" t="n">
        <x:f>COUNTIF('問題集'!T2:T301,D16)</x:f>
        <x:v>4</x:v>
      </x:c>
      <x:c r="F16" s="279"/>
    </x:row>
    <x:row r="17">
      <x:c r="A17" s="95" t="str">
        <x:v>D1</x:v>
      </x:c>
      <x:c r="B17" s="96" t="n">
        <x:f>COUNTIF('問題集'!X2:X301,A17)</x:f>
        <x:v>91</x:v>
      </x:c>
      <x:c r="D17" s="241" t="str">
        <x:v>ドイツ</x:v>
      </x:c>
      <x:c r="E17" s="247" t="n">
        <x:f>COUNTIF('問題集'!T2:T301,D17)</x:f>
        <x:v>4</x:v>
      </x:c>
      <x:c r="F17" s="279"/>
    </x:row>
    <x:row r="18">
      <x:c r="A18" s="15" t="str">
        <x:v>D2</x:v>
      </x:c>
      <x:c r="B18" s="17" t="n">
        <x:f>COUNTIF('問題集'!X2:X301,A18)</x:f>
        <x:v>168</x:v>
      </x:c>
      <x:c r="D18" s="241" t="str">
        <x:v>ニュージーランド</x:v>
      </x:c>
      <x:c r="E18" s="247" t="n">
        <x:f>COUNTIF('問題集'!T2:T301,D18)</x:f>
        <x:v>3</x:v>
      </x:c>
      <x:c r="F18" s="279"/>
    </x:row>
    <x:row r="19">
      <x:c r="A19" s="18" t="str">
        <x:v>D3</x:v>
      </x:c>
      <x:c r="B19" s="20" t="n">
        <x:f>COUNTIF('問題集'!X2:X301,A19)</x:f>
        <x:v>41</x:v>
      </x:c>
      <x:c r="D19" s="241" t="str">
        <x:v>ハンガリー</x:v>
      </x:c>
      <x:c r="E19" s="247" t="n">
        <x:f>COUNTIF('問題集'!T2:T301,D19)</x:f>
        <x:v>1</x:v>
      </x:c>
      <x:c r="F19" s="279"/>
    </x:row>
    <x:row r="20">
      <x:c r="D20" s="241" t="str">
        <x:v>フランス</x:v>
      </x:c>
      <x:c r="E20" s="247" t="n">
        <x:f>COUNTIF('問題集'!T2:T301,D20)</x:f>
        <x:v>33</x:v>
      </x:c>
      <x:c r="F20" s="279"/>
    </x:row>
    <x:row r="21">
      <x:c r="D21" s="241" t="str">
        <x:v>ポルトガル</x:v>
      </x:c>
      <x:c r="E21" s="247" t="n">
        <x:f>COUNTIF('問題集'!T2:T301,D21)</x:f>
        <x:v>25</x:v>
      </x:c>
      <x:c r="F21" s="279"/>
    </x:row>
    <x:row r="22">
      <x:c r="D22" s="242" t="str">
        <x:v>ポルトガル／スペイン</x:v>
      </x:c>
      <x:c r="E22" s="248" t="n">
        <x:f>COUNTIF('問題集'!T2:T301,D22)</x:f>
        <x:v>1</x:v>
      </x:c>
      <x:c r="F22" s="279"/>
    </x:row>
    <x:row r="23">
      <x:c r="A23" s="6" t="str">
        <x:v>思考スキル</x:v>
      </x:c>
      <x:c r="B23" s="6" t="str">
        <x:v>問題数</x:v>
      </x:c>
      <x:c r="D23" s="243" t="str">
        <x:v>南アフリカ</x:v>
      </x:c>
      <x:c r="E23" s="249" t="n">
        <x:f>COUNTIF('問題集'!T2:T301,D23)</x:f>
        <x:v>5</x:v>
      </x:c>
      <x:c r="F23" s="280"/>
    </x:row>
    <x:row r="24">
      <x:c r="A24" s="95" t="str">
        <x:v>知識確認</x:v>
      </x:c>
      <x:c r="B24" s="96" t="n">
        <x:f>COUNTIF('問題集'!W2:W301,A24)</x:f>
        <x:v>64</x:v>
      </x:c>
      <x:c r="D24" s="244" t="str">
        <x:v>米国</x:v>
      </x:c>
      <x:c r="E24" s="250" t="n">
        <x:f>COUNTIF('問題集'!T2:T301,D24)</x:f>
        <x:v>8</x:v>
      </x:c>
      <x:c r="F24" s="281"/>
    </x:row>
    <x:row r="25">
      <x:c r="A25" s="15" t="str">
        <x:v>因果説明</x:v>
      </x:c>
      <x:c r="B25" s="17" t="n">
        <x:f>COUNTIF('問題集'!W2:W301,A25)</x:f>
        <x:v>154</x:v>
      </x:c>
      <x:c r="D25" s="15"/>
      <x:c r="E25" s="16"/>
      <x:c r="F25" s="282"/>
    </x:row>
    <x:row r="26">
      <x:c r="A26" s="15" t="str">
        <x:v>適用</x:v>
      </x:c>
      <x:c r="B26" s="17" t="n">
        <x:f>COUNTIF('問題集'!W2:W301,A26)</x:f>
        <x:v>33</x:v>
      </x:c>
      <x:c r="D26" s="15"/>
      <x:c r="E26" s="16"/>
      <x:c r="F26" s="282"/>
    </x:row>
    <x:row r="27">
      <x:c r="A27" s="15" t="str">
        <x:v>比較</x:v>
      </x:c>
      <x:c r="B27" s="17" t="n">
        <x:f>COUNTIF('問題集'!W2:W301,A27)</x:f>
        <x:v>11</x:v>
      </x:c>
      <x:c r="D27" s="15"/>
      <x:c r="E27" s="16"/>
      <x:c r="F27" s="282"/>
    </x:row>
    <x:row r="28">
      <x:c r="A28" s="15" t="str">
        <x:v>判断</x:v>
      </x:c>
      <x:c r="B28" s="17" t="n">
        <x:f>COUNTIF('問題集'!W2:W301,A28)</x:f>
        <x:v>5</x:v>
      </x:c>
      <x:c r="D28" s="18"/>
      <x:c r="E28" s="19"/>
      <x:c r="F28" s="283"/>
    </x:row>
    <x:row r="29">
      <x:c r="A29" s="18" t="str">
        <x:v>統合判断</x:v>
      </x:c>
      <x:c r="B29" s="20" t="n">
        <x:f>COUNTIF('問題集'!W2:W301,A29)</x:f>
        <x:v>33</x:v>
      </x:c>
      <x:c r="D29" s="173" t="str">
        <x:v>LO</x:v>
      </x:c>
      <x:c r="E29" s="173" t="str">
        <x:v>要レビュー</x:v>
      </x:c>
      <x:c r="F29" s="173" t="str">
        <x:v>未レビュー</x:v>
      </x:c>
    </x:row>
    <x:row r="30">
      <x:c r="D30" s="240" t="str">
        <x:v>LO1</x:v>
      </x:c>
      <x:c r="E30" s="269" t="n">
        <x:f>COUNTIFS('問題集'!B2:B301,D30,'問題集'!Z2:Z301,"Y")</x:f>
        <x:v>1</x:v>
      </x:c>
      <x:c r="F30" s="246" t="n">
        <x:f>COUNTIFS('問題集'!B2:B301,D30,'問題集'!AD2:AD301,"未レビュー")</x:f>
        <x:v>60</x:v>
      </x:c>
    </x:row>
    <x:row r="31">
      <x:c r="D31" s="241" t="str">
        <x:v>LO2</x:v>
      </x:c>
      <x:c r="E31" s="270" t="n">
        <x:f>COUNTIFS('問題集'!B2:B301,D31,'問題集'!Z2:Z301,"Y")</x:f>
        <x:v>1</x:v>
      </x:c>
      <x:c r="F31" s="247" t="n">
        <x:f>COUNTIFS('問題集'!B2:B301,D31,'問題集'!AD2:AD301,"未レビュー")</x:f>
        <x:v>60</x:v>
      </x:c>
    </x:row>
    <x:row r="32" ht="32" customHeight="1">
      <x:c r="A32" s="252"/>
      <x:c r="B32" s="252"/>
      <x:c r="C32" s="252"/>
      <x:c r="D32" s="268" t="str">
        <x:v>LO3</x:v>
      </x:c>
      <x:c r="E32" s="271" t="n">
        <x:f>COUNTIFS('問題集'!B2:B301,D32,'問題集'!Z2:Z301,"Y")</x:f>
        <x:v>3</x:v>
      </x:c>
      <x:c r="F32" s="272" t="n">
        <x:f>COUNTIFS('問題集'!B2:B301,D32,'問題集'!AD2:AD301,"未レビュー")</x:f>
        <x:v>60</x:v>
      </x:c>
      <x:c r="G32" s="252"/>
      <x:c r="H32" s="252"/>
      <x:c r="I32" s="252"/>
      <x:c r="J32" s="252"/>
      <x:c r="K32" s="252"/>
    </x:row>
    <x:row r="33">
      <x:c r="A33"/>
      <x:c r="B33"/>
      <x:c r="C33"/>
      <x:c r="D33" s="241" t="str">
        <x:v>LO4</x:v>
      </x:c>
      <x:c r="E33" s="270" t="n">
        <x:f>COUNTIFS('問題集'!B2:B301,D33,'問題集'!Z2:Z301,"Y")</x:f>
        <x:v>7</x:v>
      </x:c>
      <x:c r="F33" s="247" t="n">
        <x:f>COUNTIFS('問題集'!B2:B301,D33,'問題集'!AD2:AD301,"未レビュー")</x:f>
        <x:v>60</x:v>
      </x:c>
      <x:c r="G33"/>
      <x:c r="H33"/>
      <x:c r="I33"/>
      <x:c r="J33"/>
      <x:c r="K33"/>
    </x:row>
    <x:row r="34">
      <x:c r="A34"/>
      <x:c r="B34"/>
      <x:c r="C34"/>
      <x:c r="D34" s="245" t="str">
        <x:v>LO5</x:v>
      </x:c>
      <x:c r="E34" s="273" t="n">
        <x:f>COUNTIFS('問題集'!B2:B301,D34,'問題集'!Z2:Z301,"Y")</x:f>
        <x:v>4</x:v>
      </x:c>
      <x:c r="F34" s="251" t="n">
        <x:f>COUNTIFS('問題集'!B2:B301,D34,'問題集'!AD2:AD301,"未レビュー")</x:f>
        <x:v>60</x:v>
      </x:c>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ht="28" customHeight="1">
      <x:c r="A38" s="190" t="str">
        <x:v>設計上の固定条件：LO1〜LO5を各60問。その他のタグは配分ノルマではなく、問題の性質とカバレッジを可視化するために付与。</x:v>
      </x:c>
      <x:c r="B38" s="190"/>
      <x:c r="C38" s="190"/>
      <x:c r="D38" s="190"/>
      <x:c r="E38" s="190"/>
      <x:c r="F38" s="190"/>
      <x:c r="G38" s="190"/>
      <x:c r="H38" s="190"/>
      <x:c r="I38" s="190"/>
      <x:c r="J38" s="190"/>
      <x:c r="K38" s="190"/>
    </x:row>
    <x:row r="39" ht="28" customHeight="1">
      <x:c r="A39" s="190"/>
      <x:c r="B39" s="190"/>
      <x:c r="C39" s="190"/>
      <x:c r="D39" s="190"/>
      <x:c r="E39" s="190"/>
      <x:c r="F39" s="190"/>
      <x:c r="G39" s="190"/>
      <x:c r="H39" s="190"/>
      <x:c r="I39" s="190"/>
      <x:c r="J39" s="190"/>
      <x:c r="K39" s="190"/>
    </x:row>
    <x:row r="40">
      <x:c r="A40"/>
      <x:c r="B40"/>
      <x:c r="C40"/>
      <x:c r="D40"/>
      <x:c r="E40"/>
      <x:c r="F40"/>
      <x:c r="G40"/>
      <x:c r="H40"/>
      <x:c r="I40"/>
      <x:c r="J40"/>
      <x:c r="K40"/>
    </x:row>
  </x:sheetData>
  <x:mergeCells>
    <x:mergeCell ref="A1:K1"/>
    <x:mergeCell ref="A38:K39"/>
  </x:mergeCells>
  <x:pageMargins left="0.7" right="0.7" top="0.75" bottom="0.75" header="0.3" footer="0.3"/>
  <x:drawing xmlns:r="http://schemas.openxmlformats.org/officeDocument/2006/relationships" r:id="R637a6419bc5e4b4f"/>
</x:worksheet>
</file>

<file path=xl/worksheets/sheet3.xml><?xml version="1.0" encoding="utf-8"?>
<x:worksheet xmlns:x="http://schemas.openxmlformats.org/spreadsheetml/2006/main">
  <x:sheetFormatPr defaultRowHeight="15"/>
  <x:cols>
    <x:col min="1" max="1" width="13" hidden="0" customWidth="1"/>
    <x:col min="2" max="2" width="8" hidden="0" customWidth="1"/>
    <x:col min="3" max="3" width="26" hidden="0" customWidth="1"/>
    <x:col min="4" max="4" width="48" hidden="0" customWidth="1"/>
    <x:col min="5" max="5" width="38" hidden="0" customWidth="1"/>
    <x:col min="6" max="6" width="38" hidden="0" customWidth="1"/>
    <x:col min="7" max="7" width="38" hidden="0" customWidth="1"/>
    <x:col min="8" max="8" width="38" hidden="0" customWidth="1"/>
    <x:col min="9" max="9" width="8" hidden="0" customWidth="1"/>
    <x:col min="10" max="10" width="48" hidden="0" customWidth="1"/>
    <x:col min="11" max="11" width="38" hidden="0" customWidth="1"/>
    <x:col min="12" max="12" width="14" hidden="0" customWidth="1"/>
    <x:col min="13" max="13" width="42" hidden="0" customWidth="1"/>
  </x:cols>
  <x:sheetData>
    <x:row r="1">
      <x:c r="A1" s="194" t="str">
        <x:v>問題ID</x:v>
      </x:c>
      <x:c r="B1" s="195" t="str">
        <x:v>LO</x:v>
      </x:c>
      <x:c r="C1" s="195" t="str">
        <x:v>トピック</x:v>
      </x:c>
      <x:c r="D1" s="195" t="str">
        <x:v>問題文</x:v>
      </x:c>
      <x:c r="E1" s="195" t="str">
        <x:v>選択肢A</x:v>
      </x:c>
      <x:c r="F1" s="195" t="str">
        <x:v>選択肢B</x:v>
      </x:c>
      <x:c r="G1" s="195" t="str">
        <x:v>選択肢C</x:v>
      </x:c>
      <x:c r="H1" s="195" t="str">
        <x:v>選択肢D</x:v>
      </x:c>
      <x:c r="I1" s="195" t="str">
        <x:v>正答</x:v>
      </x:c>
      <x:c r="J1" s="195" t="str">
        <x:v>正答解説</x:v>
      </x:c>
      <x:c r="K1" s="195" t="str">
        <x:v>レビュー理由</x:v>
      </x:c>
      <x:c r="L1" s="195" t="str">
        <x:v>レビュー状態</x:v>
      </x:c>
      <x:c r="M1" s="196" t="str">
        <x:v>レビューコメント</x:v>
      </x:c>
    </x:row>
    <x:row r="2" ht="110" customHeight="1">
      <x:c r="A2" s="164" t="str">
        <x:v>LO4-008</x:v>
      </x:c>
      <x:c r="B2" s="165" t="str">
        <x:v>LO4</x:v>
      </x:c>
      <x:c r="C2" s="165" t="str">
        <x:v>年数表記トーニー</x:v>
      </x:c>
      <x:c r="D2" s="165" t="str">
        <x:v>年数表記トーニー・ポートの表示年数が示すものとして最も適切なものはどれか。</x:v>
      </x:c>
      <x:c r="E2" s="165" t="str">
        <x:v>ブレンド中の最も若いワインの正確な年齢</x:v>
      </x:c>
      <x:c r="F2" s="165" t="str">
        <x:v>単一ヴィンテージのワインを、その年数だけ樽熟成したこと</x:v>
      </x:c>
      <x:c r="G2" s="165" t="str">
        <x:v>ボトルに詰めてから熟成させた年数</x:v>
      </x:c>
      <x:c r="H2" s="165" t="str">
        <x:v>ブレンド全体が示す平均的な熟成特性のスタイル</x:v>
      </x:c>
      <x:c r="I2" s="165" t="str">
        <x:v>D</x:v>
      </x:c>
      <x:c r="J2" s="165" t="str">
        <x:v>10年、20年などの表示は、官能的に期待される平均的な熟成スタイルを示す。</x:v>
      </x:c>
      <x:c r="K2" s="165" t="str">
        <x:v>年数表示の説明表現を日本語教材と照合推奨</x:v>
      </x:c>
      <x:c r="L2" s="165" t="str">
        <x:v>未レビュー</x:v>
      </x:c>
      <x:c r="M2" s="166"/>
    </x:row>
    <x:row r="3" ht="110" customHeight="1">
      <x:c r="A3" s="197" t="str">
        <x:v>LO4-013</x:v>
      </x:c>
      <x:c r="B3" s="45" t="str">
        <x:v>LO4</x:v>
      </x:c>
      <x:c r="C3" s="45" t="str">
        <x:v>マンサニーリャ</x:v>
      </x:c>
      <x:c r="D3" s="45" t="str">
        <x:v>マンサニーリャがフィノと似た生物学的熟成の特徴を持ちながら、しばしば特に繊細で塩味を思わせると表現される理由はどれか。</x:v>
      </x:c>
      <x:c r="E3" s="45" t="str">
        <x:v>サンルーカル・デ・バラメダの湿潤で温和な海洋環境がフロールを厚く維持しやすいから</x:v>
      </x:c>
      <x:c r="F3" s="45" t="str">
        <x:v>黒ブドウを全房発酵させ、果皮由来のタンニンを加えるから</x:v>
      </x:c>
      <x:c r="G3" s="45" t="str">
        <x:v>ペドロ・ヒメネスを加え、甘味と濃厚さを高めるから</x:v>
      </x:c>
      <x:c r="H3" s="45" t="str">
        <x:v>瓶内二次発酵によって、塩味を生む炭酸ガスを保持するから</x:v>
      </x:c>
      <x:c r="I3" s="45" t="str">
        <x:v>A</x:v>
      </x:c>
      <x:c r="J3" s="45" t="str">
        <x:v>海に近い環境が年間を通じたフロールの活動を支え、軽快で独特の風味を生む。</x:v>
      </x:c>
      <x:c r="K3" s="45" t="str">
        <x:v>塩味表現は官能表現として扱い、直接的な塩分説明を避けているか確認推奨</x:v>
      </x:c>
      <x:c r="L3" s="45" t="str">
        <x:v>未レビュー</x:v>
      </x:c>
      <x:c r="M3" s="198"/>
    </x:row>
    <x:row r="4" ht="110" customHeight="1">
      <x:c r="A4" s="164" t="str">
        <x:v>LO1-042</x:v>
      </x:c>
      <x:c r="B4" s="165" t="str">
        <x:v>LO1</x:v>
      </x:c>
      <x:c r="C4" s="165" t="str">
        <x:v>有機栽培とビオディナミ</x:v>
      </x:c>
      <x:c r="D4" s="165" t="str">
        <x:v>ビオディナミ農法を有機栽培と比較した説明として最も適切なものはどれか。</x:v>
      </x:c>
      <x:c r="E4" s="165" t="str">
        <x:v>合成除草剤と殺虫剤を必ず多量に使用する方式である</x:v>
      </x:c>
      <x:c r="F4" s="165" t="str">
        <x:v>有機栽培の考え方に加え、農場を一つの生態系として扱い、調合剤や暦を用いることがある</x:v>
      </x:c>
      <x:c r="G4" s="165" t="str">
        <x:v>畑での作業をやめ、自然任せにする方式である</x:v>
      </x:c>
      <x:c r="H4" s="165" t="str">
        <x:v>ワイナリーでの発酵方法だけを定め、畑の管理には関係しない</x:v>
      </x:c>
      <x:c r="I4" s="165" t="str">
        <x:v>B</x:v>
      </x:c>
      <x:c r="J4" s="165" t="str">
        <x:v>ビオディナミは一般に有機栽培の制限を基礎としつつ、農場全体の循環、特定の調合剤、天体暦など独自の実践を加える。</x:v>
      </x:c>
      <x:c r="K4" s="165" t="str">
        <x:v>有機・ビオディナミの認証制度や用語表現は地域差があるため、教材表現との最終照合を推奨</x:v>
      </x:c>
      <x:c r="L4" s="165" t="str">
        <x:v>未レビュー</x:v>
      </x:c>
      <x:c r="M4" s="166"/>
    </x:row>
    <x:row r="5" ht="110" customHeight="1">
      <x:c r="A5" s="164" t="str">
        <x:v>LO2-035</x:v>
      </x:c>
      <x:c r="B5" s="165" t="str">
        <x:v>LO2</x:v>
      </x:c>
      <x:c r="C5" s="165" t="str">
        <x:v>ソアーヴェ・クラッシコ</x:v>
      </x:c>
      <x:c r="D5" s="165" t="str">
        <x:v>ソアーヴェ・クラッシコが一般的な平地産ソアーヴェより高い品質を持ちやすい理由はどれか。</x:v>
      </x:c>
      <x:c r="E5" s="165" t="str">
        <x:v>黒ブドウだけを使い、長期果皮浸漬で高タンニン赤を造る</x:v>
      </x:c>
      <x:c r="F5" s="165" t="str">
        <x:v>すべてのブドウを凍結し、甘口にする</x:v>
      </x:c>
      <x:c r="G5" s="165" t="str">
        <x:v>歴史的な丘陵地帯で、排水と日照に恵まれ、収量を抑えたガルガーネガを得やすい</x:v>
      </x:c>
      <x:c r="H5" s="165" t="str">
        <x:v>平地の肥沃な畑で最大収量を得ることが、クラッシコ表示の条件である</x:v>
      </x:c>
      <x:c r="I5" s="165" t="str">
        <x:v>C</x:v>
      </x:c>
      <x:c r="J5" s="165" t="str">
        <x:v>クラッシコ地区の丘陵畑は平地より排水性と日照に恵まれ、凝縮したガルガーネガから、より風味と酸のあるワインを造りやすい。</x:v>
      </x:c>
      <x:c r="K5" s="165" t="str">
        <x:v>Classico表示の説明は現行の産地規定と日本語教材表現の最終照合を推奨</x:v>
      </x:c>
      <x:c r="L5" s="165" t="str">
        <x:v>未レビュー</x:v>
      </x:c>
      <x:c r="M5" s="166"/>
    </x:row>
    <x:row r="6" ht="110" customHeight="1">
      <x:c r="A6" s="164" t="str">
        <x:v>LO3-031</x:v>
      </x:c>
      <x:c r="B6" s="165" t="str">
        <x:v>LO3</x:v>
      </x:c>
      <x:c r="C6" s="165" t="str">
        <x:v>甘味表示</x:v>
      </x:c>
      <x:c r="D6" s="165" t="str">
        <x:v>EUの発泡性ワインの甘味表示で、一般に最も辛口の区分はどれか。</x:v>
      </x:c>
      <x:c r="E6" s="165" t="str">
        <x:v>デミ・セック</x:v>
      </x:c>
      <x:c r="F6" s="165" t="str">
        <x:v>ドゥー</x:v>
      </x:c>
      <x:c r="G6" s="165" t="str">
        <x:v>ブリュット・ナチュール</x:v>
      </x:c>
      <x:c r="H6" s="165" t="str">
        <x:v>クリーム</x:v>
      </x:c>
      <x:c r="I6" s="165" t="str">
        <x:v>C</x:v>
      </x:c>
      <x:c r="J6" s="165" t="str">
        <x:v>ブリュット・ナチュールはドザージュが非常に少ない、または行われない最辛口区分で、ブリュットやデミ・セックより残糖が低い。</x:v>
      </x:c>
      <x:c r="K6" s="165" t="str">
        <x:v>甘味区分の残糖範囲は最新EU規定および日本語教材との最終照合を推奨</x:v>
      </x:c>
      <x:c r="L6" s="165" t="str">
        <x:v>未レビュー</x:v>
      </x:c>
      <x:c r="M6" s="166"/>
    </x:row>
    <x:row r="7" ht="110" customHeight="1">
      <x:c r="A7" s="164" t="str">
        <x:v>LO3-037</x:v>
      </x:c>
      <x:c r="B7" s="165" t="str">
        <x:v>LO3</x:v>
      </x:c>
      <x:c r="C7" s="165" t="str">
        <x:v>ロゼ・シャンパーニュ</x:v>
      </x:c>
      <x:c r="D7" s="165" t="str">
        <x:v>ロゼ・シャンパーニュの色を得る方法として認められる代表的な方法はどれか。</x:v>
      </x:c>
      <x:c r="E7" s="165" t="str">
        <x:v>白ワインに少量の赤ワインをブレンドする、または黒ブドウを短時間醸す</x:v>
      </x:c>
      <x:c r="F7" s="165" t="str">
        <x:v>完成した白シャンパーニュへ人工着色料を加える</x:v>
      </x:c>
      <x:c r="G7" s="165" t="str">
        <x:v>白ブドウを海水へ浸し、サーモン色にする</x:v>
      </x:c>
      <x:c r="H7" s="165" t="str">
        <x:v>瓶内の澱を長く残すだけで、必ずピンク色になる</x:v>
      </x:c>
      <x:c r="I7" s="165" t="str">
        <x:v>A</x:v>
      </x:c>
      <x:c r="J7" s="165" t="str">
        <x:v>シャンパーニュでは赤の非発泡性ワインを白ベースへブレンドする方法と、セニエなど短い果皮接触で色を得る方法が用いられる。</x:v>
      </x:c>
      <x:c r="K7" s="165" t="str">
        <x:v>ロゼ・シャンパーニュの許容製法に関する表現を最新規定と教材で最終照合推奨</x:v>
      </x:c>
      <x:c r="L7" s="165" t="str">
        <x:v>未レビュー</x:v>
      </x:c>
      <x:c r="M7" s="166"/>
    </x:row>
    <x:row r="8" ht="110" customHeight="1">
      <x:c r="A8" s="164" t="str">
        <x:v>LO3-049</x:v>
      </x:c>
      <x:c r="B8" s="165" t="str">
        <x:v>LO3</x:v>
      </x:c>
      <x:c r="C8" s="165" t="str">
        <x:v>ドイチャー・ゼクト</x:v>
      </x:c>
      <x:c r="D8" s="165" t="str">
        <x:v>ドイチャー・ゼクト（Deutscher Sekt）の表示が示すものとして最も適切なものはどれか。</x:v>
      </x:c>
      <x:c r="E8" s="165" t="str">
        <x:v>ベースとなるブドウがドイツ産である発泡性ワイン</x:v>
      </x:c>
      <x:c r="F8" s="165" t="str">
        <x:v>シャンパーニュ地方で造られたドイツ向けワイン</x:v>
      </x:c>
      <x:c r="G8" s="165" t="str">
        <x:v>必ず伝統的方式で10年以上熟成した最高格付け</x:v>
      </x:c>
      <x:c r="H8" s="165" t="str">
        <x:v>発酵途中で酒精強化した甘口ワイン</x:v>
      </x:c>
      <x:c r="I8" s="165" t="str">
        <x:v>A</x:v>
      </x:c>
      <x:c r="J8" s="165" t="str">
        <x:v>Deutscher Sektはドイツ産ブドウを用いることを示し、単にドイツで発泡化した輸入ベースワインのSektと区別される。</x:v>
      </x:c>
      <x:c r="K8" s="165" t="str">
        <x:v>SektおよびDeutscher Sektの現行表示規定を最新教材と照合推奨</x:v>
      </x:c>
      <x:c r="L8" s="165" t="str">
        <x:v>未レビュー</x:v>
      </x:c>
      <x:c r="M8" s="166"/>
    </x:row>
    <x:row r="9" ht="110" customHeight="1">
      <x:c r="A9" s="164" t="str">
        <x:v>LO4-033</x:v>
      </x:c>
      <x:c r="B9" s="165" t="str">
        <x:v>LO4</x:v>
      </x:c>
      <x:c r="C9" s="165" t="str">
        <x:v>ルビー・リザーヴ</x:v>
      </x:c>
      <x:c r="D9" s="165" t="str">
        <x:v>ルビー・リザーヴが基本的なルビー・ポートより豊かなスタイルになりやすい理由はどれか。</x:v>
      </x:c>
      <x:c r="E9" s="165" t="str">
        <x:v>より品質の高い、色と果実味の強い複数ロットを選んでブレンドする</x:v>
      </x:c>
      <x:c r="F9" s="165" t="str">
        <x:v>数十年の小樽酸化熟成で色を褐色にする</x:v>
      </x:c>
      <x:c r="G9" s="165" t="str">
        <x:v>フロールの下で生物学的熟成する</x:v>
      </x:c>
      <x:c r="H9" s="165" t="str">
        <x:v>発酵を完全に辛口まで進め、酒精強化しない</x:v>
      </x:c>
      <x:c r="I9" s="165" t="str">
        <x:v>A</x:v>
      </x:c>
      <x:c r="J9" s="165" t="str">
        <x:v>ルビー・リザーヴは果実味を保つ比較的短い熟成を行いながら、より凝縮したワインを選別してブレンドするため、豊かなスタイルになる。</x:v>
      </x:c>
      <x:c r="K9" s="165" t="str">
        <x:v>Reserve表示の現行要件と日本語教材での名称表記を最終照合推奨</x:v>
      </x:c>
      <x:c r="L9" s="165" t="str">
        <x:v>未レビュー</x:v>
      </x:c>
      <x:c r="M9" s="166"/>
    </x:row>
    <x:row r="10" ht="110" customHeight="1">
      <x:c r="A10" s="164" t="str">
        <x:v>LO4-035</x:v>
      </x:c>
      <x:c r="B10" s="165" t="str">
        <x:v>LO4</x:v>
      </x:c>
      <x:c r="C10" s="165" t="str">
        <x:v>無濾過LBV</x:v>
      </x:c>
      <x:c r="D10" s="165" t="str">
        <x:v>無濾過のLBVポートをサービスする際に、濾過済みLBVより注意が必要な点はどれか。</x:v>
      </x:c>
      <x:c r="E10" s="165" t="str">
        <x:v>炭酸ガスが強いため、ミュズレを外さず開ける</x:v>
      </x:c>
      <x:c r="F10" s="165" t="str">
        <x:v>フロールを壊さないよう、樽から直接注ぐ</x:v>
      </x:c>
      <x:c r="G10" s="165" t="str">
        <x:v>瓶内で沈殿が生じ得るため、必要に応じてデカンティングする</x:v>
      </x:c>
      <x:c r="H10" s="165" t="str">
        <x:v>酸が高すぎるため、水で必ず希釈する</x:v>
      </x:c>
      <x:c r="I10" s="165" t="str">
        <x:v>C</x:v>
      </x:c>
      <x:c r="J10" s="165" t="str">
        <x:v>無濾過LBVは瓶内で熟成を続け、色素やタンニンが沈殿することがあるため、静置して澱を分けて注ぐ場合がある。</x:v>
      </x:c>
      <x:c r="K10" s="165" t="str">
        <x:v>濾過済み／無濾過LBVの表示とサービス説明を最新教材で最終照合推奨</x:v>
      </x:c>
      <x:c r="L10" s="165" t="str">
        <x:v>未レビュー</x:v>
      </x:c>
      <x:c r="M10" s="166"/>
    </x:row>
    <x:row r="11" ht="110" customHeight="1">
      <x:c r="A11" s="164" t="str">
        <x:v>LO4-047</x:v>
      </x:c>
      <x:c r="B11" s="165" t="str">
        <x:v>LO4</x:v>
      </x:c>
      <x:c r="C11" s="165" t="str">
        <x:v>パロ・コルタド</x:v>
      </x:c>
      <x:c r="D11" s="165" t="str">
        <x:v>パロ・コルタドの一般的なスタイルを最も適切に説明しているものはどれか。</x:v>
      </x:c>
      <x:c r="E11" s="165" t="str">
        <x:v>非常に甘く濃厚なPXだけを指す</x:v>
      </x:c>
      <x:c r="F11" s="165" t="str">
        <x:v>強い泡を持つ低アルコール発泡性ワイン</x:v>
      </x:c>
      <x:c r="G11" s="165" t="str">
        <x:v>アモンティリャードを思わせる繊細な香りと、オロロソのような豊かなボディを併せ持つ辛口</x:v>
      </x:c>
      <x:c r="H11" s="165" t="str">
        <x:v>若い紫色の高タンニン赤ワイン</x:v>
      </x:c>
      <x:c r="I11" s="165" t="str">
        <x:v>C</x:v>
      </x:c>
      <x:c r="J11" s="165" t="str">
        <x:v>パロ・コルタドは香りの繊細さと酸化熟成による豊かさを併せ持つ希少な辛口シェリーとして説明される。</x:v>
      </x:c>
      <x:c r="K11" s="165" t="str">
        <x:v>パロ・コルタドの生産経路は生産者差が大きいため、スタイル中心の表現を教材と最終照合推奨</x:v>
      </x:c>
      <x:c r="L11" s="165" t="str">
        <x:v>未レビュー</x:v>
      </x:c>
      <x:c r="M11" s="166"/>
    </x:row>
    <x:row r="12" ht="110" customHeight="1">
      <x:c r="A12" s="164" t="str">
        <x:v>LO4-051</x:v>
      </x:c>
      <x:c r="B12" s="165" t="str">
        <x:v>LO4</x:v>
      </x:c>
      <x:c r="C12" s="165" t="str">
        <x:v>ミディアムとクリーム</x:v>
      </x:c>
      <x:c r="D12" s="165" t="str">
        <x:v>ミディアム・シェリーとクリーム・シェリーの一般的な違いとして最も適切なものはどれか。</x:v>
      </x:c>
      <x:c r="E12" s="165" t="str">
        <x:v>ミディアムは必ず発泡性、クリームは必ず非発泡性</x:v>
      </x:c>
      <x:c r="F12" s="165" t="str">
        <x:v>ミディアムは黒ブドウ、クリームは白ブドウからしか造れない</x:v>
      </x:c>
      <x:c r="G12" s="165" t="str">
        <x:v>ミディアムはアモンティリャード系、クリームはオロロソ系の辛口シェリーを甘味調整することが多い</x:v>
      </x:c>
      <x:c r="H12" s="165" t="str">
        <x:v>どちらも糖を加えず、完全な辛口だけを指す</x:v>
      </x:c>
      <x:c r="I12" s="165" t="str">
        <x:v>C</x:v>
      </x:c>
      <x:c r="J12" s="165" t="str">
        <x:v>いずれも辛口シェリーへPXなどの甘味成分をブレンドして造るが、基礎となる辛口スタイルの違いが香りとボディに影響する。</x:v>
      </x:c>
      <x:c r="K12" s="165" t="str">
        <x:v>Medium／Creamの甘味調整方法と表示区分を最新教材・規定と照合推奨</x:v>
      </x:c>
      <x:c r="L12" s="165" t="str">
        <x:v>未レビュー</x:v>
      </x:c>
      <x:c r="M12" s="166"/>
    </x:row>
    <x:row r="13" ht="110" customHeight="1">
      <x:c r="A13" s="164" t="str">
        <x:v>LO4-052</x:v>
      </x:c>
      <x:c r="B13" s="165" t="str">
        <x:v>LO4</x:v>
      </x:c>
      <x:c r="C13" s="165" t="str">
        <x:v>マンサニーリャの原産地</x:v>
      </x:c>
      <x:c r="D13" s="165" t="str">
        <x:v>マンサニーリャの名称を使用できる辛口シェリーが熟成される場所はどこか。</x:v>
      </x:c>
      <x:c r="E13" s="165" t="str">
        <x:v>ドウロ・スペリオール</x:v>
      </x:c>
      <x:c r="F13" s="165" t="str">
        <x:v>ラザグレン</x:v>
      </x:c>
      <x:c r="G13" s="165" t="str">
        <x:v>シャンパーニュ</x:v>
      </x:c>
      <x:c r="H13" s="165" t="str">
        <x:v>サンルーカル・デ・バラメダ</x:v>
      </x:c>
      <x:c r="I13" s="165" t="str">
        <x:v>D</x:v>
      </x:c>
      <x:c r="J13" s="165" t="str">
        <x:v>マンサニーリャはサンルーカル・デ・バラメダでフロール下に熟成される生物学的熟成の辛口シェリーである。</x:v>
      </x:c>
      <x:c r="K13" s="165" t="str">
        <x:v>Manzanillaの原産地表示に関する現行規定を最終照合推奨</x:v>
      </x:c>
      <x:c r="L13" s="165" t="str">
        <x:v>未レビュー</x:v>
      </x:c>
      <x:c r="M13" s="166"/>
    </x:row>
    <x:row r="14" ht="110" customHeight="1">
      <x:c r="A14" s="164" t="str">
        <x:v>LO5-040</x:v>
      </x:c>
      <x:c r="B14" s="165" t="str">
        <x:v>LO5</x:v>
      </x:c>
      <x:c r="C14" s="165" t="str">
        <x:v>個人の好みと感受性</x:v>
      </x:c>
      <x:c r="D14" s="165" t="str">
        <x:v>ワインを推奨する前に、顧客の個人的な好みや感受性を確認する理由として最も適切なものはどれか。</x:v>
      </x:c>
      <x:c r="E14" s="165" t="str">
        <x:v>好みを聞けばワインの法律上の格付けを変更できるため</x:v>
      </x:c>
      <x:c r="F14" s="165" t="str">
        <x:v>すべての顧客は同じ味を好むため、確認を省略できる</x:v>
      </x:c>
      <x:c r="G14" s="165" t="str">
        <x:v>好みは価格と常に完全一致するため</x:v>
      </x:c>
      <x:c r="H14" s="165" t="str">
        <x:v>同じ品質のワインでも、甘味、酸、タンニン、香りなどへの好みや反応が人によって異なるため</x:v>
      </x:c>
      <x:c r="I14" s="165" t="str">
        <x:v>D</x:v>
      </x:c>
      <x:c r="J14" s="165" t="str">
        <x:v>良い推奨は客観的品質だけでなく、顧客が好むスタイルや避けたい特徴を反映する必要がある。</x:v>
      </x:c>
      <x:c r="K14" s="165" t="str">
        <x:v>「感受性」の具体例をアプリ実装時に過度な医療助言へ広げないよう表現確認推奨</x:v>
      </x:c>
      <x:c r="L14" s="165" t="str">
        <x:v>未レビュー</x:v>
      </x:c>
      <x:c r="M14" s="166"/>
    </x:row>
    <x:row r="15" ht="110" customHeight="1">
      <x:c r="A15" s="164" t="str">
        <x:v>LO5-048</x:v>
      </x:c>
      <x:c r="B15" s="165" t="str">
        <x:v>LO5</x:v>
      </x:c>
      <x:c r="C15" s="165" t="str">
        <x:v>高濃度亜硫酸と空気</x:v>
      </x:c>
      <x:c r="D15" s="165" t="str">
        <x:v>開栓直後に過剰な亜硫酸を思わせる刺激臭があるワインについて、最も適切な判断はどれか。</x:v>
      </x:c>
      <x:c r="E15" s="165" t="str">
        <x:v>刺激臭は常に最高品質の証拠なので、そのまま提供する</x:v>
      </x:c>
      <x:c r="F15" s="165" t="str">
        <x:v>砂糖を加えれば亜硫酸が水へ変わる</x:v>
      </x:c>
      <x:c r="G15" s="165" t="str">
        <x:v>冷凍すれば法的表示が不要になる</x:v>
      </x:c>
      <x:c r="H15" s="165" t="str">
        <x:v>空気に触れさせると弱まる場合もあるが、強く残るなら状態を再確認し提供を避ける</x:v>
      </x:c>
      <x:c r="I15" s="165" t="str">
        <x:v>D</x:v>
      </x:c>
      <x:c r="J15" s="165" t="str">
        <x:v>一部の遊離亜硫酸由来の刺激は時間と空気接触で弱まる可能性があるが、顧客へ不快な状態で提供すべきではない。</x:v>
      </x:c>
      <x:c r="K15" s="165" t="str">
        <x:v>高濃度亜硫酸の官能表現とサービス対応を日本語教材の説明へ最終照合推奨</x:v>
      </x:c>
      <x:c r="L15" s="165" t="str">
        <x:v>未レビュー</x:v>
      </x:c>
      <x:c r="M15" s="166"/>
    </x:row>
    <x:row r="16" ht="110" customHeight="1">
      <x:c r="A16" s="164" t="str">
        <x:v>LO5-059</x:v>
      </x:c>
      <x:c r="B16" s="165" t="str">
        <x:v>LO5</x:v>
      </x:c>
      <x:c r="C16" s="165" t="str">
        <x:v>過剰摂取と短期的影響</x:v>
      </x:c>
      <x:c r="D16" s="165" t="str">
        <x:v>ワインの過剰摂取によって短期的に生じ得る社会的・健康上の問題として最も適切なものはどれか。</x:v>
      </x:c>
      <x:c r="E16" s="165" t="str">
        <x:v>判断力と反応速度が必ず向上する</x:v>
      </x:c>
      <x:c r="F16" s="165" t="str">
        <x:v>どれだけ飲んでも行動や健康に影響しない</x:v>
      </x:c>
      <x:c r="G16" s="165" t="str">
        <x:v>判断力や協調運動の低下により、事故や不適切な行動のリスクが高まる</x:v>
      </x:c>
      <x:c r="H16" s="165" t="str">
        <x:v>アルコールが直ちに水へ変わるため問題はない</x:v>
      </x:c>
      <x:c r="I16" s="165" t="str">
        <x:v>C</x:v>
      </x:c>
      <x:c r="J16" s="165" t="str">
        <x:v>過剰な飲酒は認知と運動機能を損ない、本人と周囲の安全、社会的行動へ悪影響を与え得る。</x:v>
      </x:c>
      <x:c r="K16" s="165" t="str">
        <x:v>健康関連表現は一般的説明に限定し、地域別の医療・法的助言として使用しないことを確認推奨</x:v>
      </x:c>
      <x:c r="L16" s="165" t="str">
        <x:v>未レビュー</x:v>
      </x:c>
      <x:c r="M16" s="166"/>
    </x:row>
    <x:row r="17" ht="110" customHeight="1">
      <x:c r="A17" s="167" t="str">
        <x:v>LO5-060</x:v>
      </x:c>
      <x:c r="B17" s="168" t="str">
        <x:v>LO5</x:v>
      </x:c>
      <x:c r="C17" s="168" t="str">
        <x:v>酔いを早く覚ますという誤解</x:v>
      </x:c>
      <x:c r="D17" s="168" t="str">
        <x:v>過剰に飲酒した人について、最も適切な助言はどれか。</x:v>
      </x:c>
      <x:c r="E17" s="168" t="str">
        <x:v>濃いコーヒーを飲めばすぐ安全に運転できる</x:v>
      </x:c>
      <x:c r="F17" s="168" t="str">
        <x:v>冷水シャワーでアルコールが皮膚から排出される</x:v>
      </x:c>
      <x:c r="G17" s="168" t="str">
        <x:v>さらにワインを飲めば代謝が加速する</x:v>
      </x:c>
      <x:c r="H17" s="168" t="str">
        <x:v>コーヒーや冷水シャワーでアルコールの代謝が急に速くなるとは考えず、追加飲酒や運転を避ける</x:v>
      </x:c>
      <x:c r="I17" s="168" t="str">
        <x:v>D</x:v>
      </x:c>
      <x:c r="J17" s="168" t="str">
        <x:v>覚醒感が一時的に変わっても、体内のアルコールが直ちに除去されるわけではない。安全を優先し、時間をかけて回復する必要がある。</x:v>
      </x:c>
      <x:c r="K17" s="168" t="str">
        <x:v>健康・安全に関する一般論として扱い、医療判断や地域別法規の代替にしないことを確認推奨</x:v>
      </x:c>
      <x:c r="L17" s="168" t="str">
        <x:v>未レビュー</x:v>
      </x:c>
      <x:c r="M17" s="169"/>
    </x:row>
    <x:row r="18">
      <x:c r="A18"/>
      <x:c r="B18"/>
      <x:c r="C18"/>
      <x:c r="D18"/>
      <x:c r="E18"/>
      <x:c r="F18"/>
      <x:c r="G18"/>
      <x:c r="H18"/>
      <x:c r="I18"/>
      <x:c r="J18"/>
      <x:c r="K18"/>
      <x:c r="L18"/>
      <x:c r="M18"/>
    </x:row>
    <x:row r="19">
      <x:c r="A19"/>
      <x:c r="B19"/>
      <x:c r="C19"/>
      <x:c r="D19"/>
      <x:c r="E19"/>
      <x:c r="F19"/>
      <x:c r="G19"/>
      <x:c r="H19"/>
      <x:c r="I19"/>
      <x:c r="J19"/>
      <x:c r="K19"/>
      <x:c r="L19"/>
      <x:c r="M19"/>
    </x:row>
    <x:row r="20">
      <x:c r="A20"/>
      <x:c r="B20"/>
      <x:c r="C20"/>
      <x:c r="D20"/>
      <x:c r="E20"/>
      <x:c r="F20"/>
      <x:c r="G20"/>
      <x:c r="H20"/>
      <x:c r="I20"/>
      <x:c r="J20"/>
      <x:c r="K20"/>
      <x:c r="L20"/>
      <x:c r="M20"/>
    </x:row>
    <x:row r="21">
      <x:c r="A21"/>
      <x:c r="B21"/>
      <x:c r="C21"/>
      <x:c r="D21"/>
      <x:c r="E21"/>
      <x:c r="F21"/>
      <x:c r="G21"/>
      <x:c r="H21"/>
      <x:c r="I21"/>
      <x:c r="J21"/>
      <x:c r="K21"/>
      <x:c r="L21"/>
      <x:c r="M21"/>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row r="81">
      <x:c r="A81"/>
      <x:c r="B81"/>
      <x:c r="C81"/>
      <x:c r="D81"/>
      <x:c r="E81"/>
      <x:c r="F81"/>
      <x:c r="G81"/>
      <x:c r="H81"/>
      <x:c r="I81"/>
      <x:c r="J81"/>
      <x:c r="K81"/>
      <x:c r="L81"/>
      <x:c r="M81"/>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sheetData>
  <x:dataValidations count="2">
    <x:dataValidation type="list" sqref="L2:L3">
      <x:formula1>"未レビュー,確認中,修正要,承認,却下"</x:formula1>
    </x:dataValidation>
    <x:dataValidation type="list" sqref="L2:L17">
      <x:formula1>"未レビュー,確認中,修正要,承認,却下"</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16" hidden="0" customWidth="1"/>
    <x:col min="5" max="5" width="16" hidden="0" customWidth="1"/>
    <x:col min="6" max="6" width="16" hidden="0" customWidth="1"/>
  </x:cols>
  <x:sheetData>
    <x:row r="1">
      <x:c r="A1" s="117" t="str">
        <x:v>タグ定義・運用ルール</x:v>
      </x:c>
      <x:c r="B1" s="117"/>
      <x:c r="C1" s="117"/>
      <x:c r="D1" s="117"/>
      <x:c r="E1" s="117"/>
      <x:c r="F1" s="117"/>
    </x:row>
    <x:row r="2">
      <x:c r="A2" s="42"/>
      <x:c r="B2" s="42"/>
      <x:c r="C2" s="42"/>
      <x:c r="D2" s="42"/>
      <x:c r="E2" s="42"/>
      <x:c r="F2" s="42"/>
    </x:row>
    <x:row r="3">
      <x:c r="A3" s="118" t="str">
        <x:v>LO</x:v>
      </x:c>
      <x:c r="B3" s="118" t="str">
        <x:v>名称</x:v>
      </x:c>
      <x:c r="C3" s="118" t="str">
        <x:v>本ファイルでの扱い</x:v>
      </x:c>
      <x:c r="D3" s="42"/>
      <x:c r="E3" s="42"/>
      <x:c r="F3" s="42"/>
    </x:row>
    <x:row r="4">
      <x:c r="A4" s="119" t="str">
        <x:v>LO1</x:v>
      </x:c>
      <x:c r="B4" s="120" t="str">
        <x:v>ブドウ畑・ワイナリーの自然要因と人的要因</x:v>
      </x:c>
      <x:c r="C4" s="121" t="str">
        <x:v>地域横断の一般原則</x:v>
      </x:c>
      <x:c r="D4" s="42"/>
      <x:c r="E4" s="42"/>
      <x:c r="F4" s="42"/>
    </x:row>
    <x:row r="5">
      <x:c r="A5" s="41" t="str">
        <x:v>LO2</x:v>
      </x:c>
      <x:c r="B5" s="42" t="str">
        <x:v>世界の主要な非発泡性ワイン</x:v>
      </x:c>
      <x:c r="C5" s="43" t="str">
        <x:v>産地・品種・栽培・醸造・法律・商業</x:v>
      </x:c>
      <x:c r="D5" s="42"/>
      <x:c r="E5" s="42"/>
      <x:c r="F5" s="42"/>
    </x:row>
    <x:row r="6">
      <x:c r="A6" s="41" t="str">
        <x:v>LO3</x:v>
      </x:c>
      <x:c r="B6" s="42" t="str">
        <x:v>世界の主要な発泡性ワイン</x:v>
      </x:c>
      <x:c r="C6" s="43" t="str">
        <x:v>製法・産地・品種・法律・価格</x:v>
      </x:c>
      <x:c r="D6" s="42"/>
      <x:c r="E6" s="42"/>
      <x:c r="F6" s="42"/>
    </x:row>
    <x:row r="7">
      <x:c r="A7" s="41" t="str">
        <x:v>LO4</x:v>
      </x:c>
      <x:c r="B7" s="42" t="str">
        <x:v>世界の主要な酒精強化ワイン</x:v>
      </x:c>
      <x:c r="C7" s="43" t="str">
        <x:v>ポート、シェリー、酒精強化マスカット</x:v>
      </x:c>
      <x:c r="D7" s="42"/>
      <x:c r="E7" s="42"/>
      <x:c r="F7" s="42"/>
    </x:row>
    <x:row r="8">
      <x:c r="A8" s="44" t="str">
        <x:v>LO5</x:v>
      </x:c>
      <x:c r="B8" s="45" t="str">
        <x:v>情報提供・推奨・保管・サービス</x:v>
      </x:c>
      <x:c r="C8" s="46" t="str">
        <x:v>保管、サービス、欠陥、料理との組み合わせ、責任ある飲酒</x:v>
      </x:c>
      <x:c r="D8" s="42"/>
      <x:c r="E8" s="42"/>
      <x:c r="F8" s="42"/>
    </x:row>
    <x:row r="9">
      <x:c r="A9" s="42"/>
      <x:c r="B9" s="42"/>
      <x:c r="C9" s="42"/>
      <x:c r="D9" s="42"/>
      <x:c r="E9" s="42"/>
      <x:c r="F9" s="42"/>
    </x:row>
    <x:row r="10">
      <x:c r="A10" s="42"/>
      <x:c r="B10" s="42"/>
      <x:c r="C10" s="42"/>
      <x:c r="D10" s="42"/>
      <x:c r="E10" s="42"/>
      <x:c r="F10" s="42"/>
    </x:row>
    <x:row r="11">
      <x:c r="A11" s="118" t="str">
        <x:v>難易度</x:v>
      </x:c>
      <x:c r="B11" s="118" t="str">
        <x:v>定義</x:v>
      </x:c>
      <x:c r="C11" s="118" t="str">
        <x:v>典型例</x:v>
      </x:c>
      <x:c r="D11" s="42"/>
      <x:c r="E11" s="42"/>
      <x:c r="F11" s="42"/>
    </x:row>
    <x:row r="12">
      <x:c r="A12" s="119" t="str">
        <x:v>D1</x:v>
      </x:c>
      <x:c r="B12" s="120" t="str">
        <x:v>単一事実または一段階の知識確認</x:v>
      </x:c>
      <x:c r="C12" s="121" t="str">
        <x:v>品種、工程名、典型的特徴</x:v>
      </x:c>
      <x:c r="D12" s="42"/>
      <x:c r="E12" s="42"/>
      <x:c r="F12" s="42"/>
    </x:row>
    <x:row r="13">
      <x:c r="A13" s="41" t="str">
        <x:v>D2</x:v>
      </x:c>
      <x:c r="B13" s="42" t="str">
        <x:v>原因と結果、または知識の適用</x:v>
      </x:c>
      <x:c r="C13" s="43" t="str">
        <x:v>気候→成熟→スタイル</x:v>
      </x:c>
      <x:c r="D13" s="42"/>
      <x:c r="E13" s="42"/>
      <x:c r="F13" s="42"/>
    </x:row>
    <x:row r="14">
      <x:c r="A14" s="44" t="str">
        <x:v>D3</x:v>
      </x:c>
      <x:c r="B14" s="45" t="str">
        <x:v>複数要因の統合、比較、価格・品質判断</x:v>
      </x:c>
      <x:c r="C14" s="46" t="str">
        <x:v>産地内差、製法と商業要因の統合</x:v>
      </x:c>
      <x:c r="D14" s="42"/>
      <x:c r="E14" s="42"/>
      <x:c r="F14" s="42"/>
    </x:row>
    <x:row r="15">
      <x:c r="A15" s="42"/>
      <x:c r="B15" s="42"/>
      <x:c r="C15" s="42"/>
      <x:c r="D15" s="42"/>
      <x:c r="E15" s="42"/>
      <x:c r="F15" s="42"/>
    </x:row>
    <x:row r="16">
      <x:c r="A16" s="42"/>
      <x:c r="B16" s="42"/>
      <x:c r="C16" s="42"/>
      <x:c r="D16" s="42"/>
      <x:c r="E16" s="42"/>
      <x:c r="F16" s="42"/>
    </x:row>
    <x:row r="17">
      <x:c r="A17" s="118" t="str">
        <x:v>思考スキル</x:v>
      </x:c>
      <x:c r="B17" s="118" t="str">
        <x:v>意味</x:v>
      </x:c>
      <x:c r="C17" s="118" t="str">
        <x:v>設問の特徴</x:v>
      </x:c>
      <x:c r="D17" s="42"/>
      <x:c r="E17" s="42"/>
      <x:c r="F17" s="42"/>
    </x:row>
    <x:row r="18">
      <x:c r="A18" s="119" t="str">
        <x:v>知識確認</x:v>
      </x:c>
      <x:c r="B18" s="120" t="str">
        <x:v>名称・特徴を特定する</x:v>
      </x:c>
      <x:c r="C18" s="121" t="str">
        <x:v>一つの明確な事実</x:v>
      </x:c>
      <x:c r="D18" s="42"/>
      <x:c r="E18" s="42"/>
      <x:c r="F18" s="42"/>
    </x:row>
    <x:row r="19">
      <x:c r="A19" s="41" t="str">
        <x:v>因果説明</x:v>
      </x:c>
      <x:c r="B19" s="42" t="str">
        <x:v>要因と結果の関係を理解する</x:v>
      </x:c>
      <x:c r="C19" s="43" t="str">
        <x:v>「なぜ」「主な理由」</x:v>
      </x:c>
      <x:c r="D19" s="42"/>
      <x:c r="E19" s="42"/>
      <x:c r="F19" s="42"/>
    </x:row>
    <x:row r="20">
      <x:c r="A20" s="41" t="str">
        <x:v>適用</x:v>
      </x:c>
      <x:c r="B20" s="42" t="str">
        <x:v>一般原則を具体的状況へ使う</x:v>
      </x:c>
      <x:c r="C20" s="43" t="str">
        <x:v>畑・醸造・サービスの判断</x:v>
      </x:c>
      <x:c r="D20" s="42"/>
      <x:c r="E20" s="42"/>
      <x:c r="F20" s="42"/>
    </x:row>
    <x:row r="21">
      <x:c r="A21" s="41" t="str">
        <x:v>比較</x:v>
      </x:c>
      <x:c r="B21" s="42" t="str">
        <x:v>二つの方法・スタイルの差を識別する</x:v>
      </x:c>
      <x:c r="C21" s="43" t="str">
        <x:v>製法や熟成経路の比較</x:v>
      </x:c>
      <x:c r="D21" s="42"/>
      <x:c r="E21" s="42"/>
      <x:c r="F21" s="42"/>
    </x:row>
    <x:row r="22">
      <x:c r="A22" s="41" t="str">
        <x:v>判断</x:v>
      </x:c>
      <x:c r="B22" s="42" t="str">
        <x:v>顧客・料理・サービスに適切な選択をする</x:v>
      </x:c>
      <x:c r="C22" s="43" t="str">
        <x:v>推奨、順序、温度</x:v>
      </x:c>
      <x:c r="D22" s="42"/>
      <x:c r="E22" s="42"/>
      <x:c r="F22" s="42"/>
    </x:row>
    <x:row r="23">
      <x:c r="A23" s="44" t="str">
        <x:v>統合判断</x:v>
      </x:c>
      <x:c r="B23" s="45" t="str">
        <x:v>複数要因を結び、品質・価格を判断する</x:v>
      </x:c>
      <x:c r="C23" s="46" t="str">
        <x:v>自然・人的・商業要因</x:v>
      </x:c>
      <x:c r="D23" s="42"/>
      <x:c r="E23" s="42"/>
      <x:c r="F23" s="42"/>
    </x:row>
    <x:row r="24">
      <x:c r="A24" s="42"/>
      <x:c r="B24" s="42"/>
      <x:c r="C24" s="42"/>
      <x:c r="D24" s="42"/>
      <x:c r="E24" s="42"/>
      <x:c r="F24" s="42"/>
    </x:row>
    <x:row r="25">
      <x:c r="A25" s="42"/>
      <x:c r="B25" s="42"/>
      <x:c r="C25" s="42"/>
      <x:c r="D25" s="42"/>
      <x:c r="E25" s="42"/>
      <x:c r="F25" s="42"/>
    </x:row>
    <x:row r="26">
      <x:c r="A26" s="118" t="str">
        <x:v>レビュー状態</x:v>
      </x:c>
      <x:c r="B26" s="118" t="str">
        <x:v>意味</x:v>
      </x:c>
      <x:c r="C26" s="118" t="str">
        <x:v>運用</x:v>
      </x:c>
      <x:c r="D26" s="42"/>
      <x:c r="E26" s="42"/>
      <x:c r="F26" s="42"/>
    </x:row>
    <x:row r="27">
      <x:c r="A27" s="119" t="str">
        <x:v>未レビュー</x:v>
      </x:c>
      <x:c r="B27" s="120" t="str">
        <x:v>人手確認前</x:v>
      </x:c>
      <x:c r="C27" s="121" t="str">
        <x:v>初期値</x:v>
      </x:c>
      <x:c r="D27" s="42"/>
      <x:c r="E27" s="42"/>
      <x:c r="F27" s="42"/>
    </x:row>
    <x:row r="28">
      <x:c r="A28" s="41" t="str">
        <x:v>確認中</x:v>
      </x:c>
      <x:c r="B28" s="42" t="str">
        <x:v>教材・規定・表現を照合中</x:v>
      </x:c>
      <x:c r="C28" s="43" t="str">
        <x:v>担当者名を記録</x:v>
      </x:c>
      <x:c r="D28" s="42"/>
      <x:c r="E28" s="42"/>
      <x:c r="F28" s="42"/>
    </x:row>
    <x:row r="29">
      <x:c r="A29" s="41" t="str">
        <x:v>修正要</x:v>
      </x:c>
      <x:c r="B29" s="42" t="str">
        <x:v>事実・表現・選択肢に修正が必要</x:v>
      </x:c>
      <x:c r="C29" s="43" t="str">
        <x:v>コメント欄に理由を記録</x:v>
      </x:c>
      <x:c r="D29" s="42"/>
      <x:c r="E29" s="42"/>
      <x:c r="F29" s="42"/>
    </x:row>
    <x:row r="30">
      <x:c r="A30" s="41" t="str">
        <x:v>承認</x:v>
      </x:c>
      <x:c r="B30" s="42" t="str">
        <x:v>出題可能と判断</x:v>
      </x:c>
      <x:c r="C30" s="43" t="str">
        <x:v>レビュアーと日付を記録</x:v>
      </x:c>
      <x:c r="D30" s="42"/>
      <x:c r="E30" s="42"/>
      <x:c r="F30" s="42"/>
    </x:row>
    <x:row r="31">
      <x:c r="A31" s="44" t="str">
        <x:v>却下</x:v>
      </x:c>
      <x:c r="B31" s="45" t="str">
        <x:v>使用しない</x:v>
      </x:c>
      <x:c r="C31" s="46" t="str">
        <x:v>理由を記録</x:v>
      </x:c>
      <x:c r="D31" s="42"/>
      <x:c r="E31" s="42"/>
      <x:c r="F31" s="42"/>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9" t="str">
        <x:v>WSET Level 3 オリジナル問題300問 v2</x:v>
      </x:c>
      <x:c r="B1" s="59"/>
      <x:c r="C1" s="59"/>
      <x:c r="D1" s="59"/>
      <x:c r="E1" s="59"/>
      <x:c r="F1" s="59"/>
      <x:c r="G1" s="59"/>
      <x:c r="H1" s="59"/>
    </x:row>
    <x:row r="3">
      <x:c r="A3" s="130" t="str">
        <x:v>概要</x:v>
      </x:c>
      <x:c r="B3" s="130"/>
      <x:c r="C3" s="130"/>
      <x:c r="D3" s="130"/>
      <x:c r="E3" s="130"/>
      <x:c r="F3" s="130"/>
      <x:c r="G3" s="130"/>
      <x:c r="H3" s="130"/>
    </x:row>
    <x:row r="4" ht="32" customHeight="1">
      <x:c r="A4" s="137" t="str">
        <x:v>• 日本語の多肢選択式問題300問。LO1〜LO5を各60問ずつ収録。</x:v>
      </x:c>
      <x:c r="B4" s="137"/>
      <x:c r="C4" s="137"/>
      <x:c r="D4" s="137"/>
      <x:c r="E4" s="137"/>
      <x:c r="F4" s="137"/>
      <x:c r="G4" s="137"/>
      <x:c r="H4" s="137"/>
    </x:row>
    <x:row r="5" ht="32" customHeight="1">
      <x:c r="A5" s="137" t="str">
        <x:v>• 全問がオリジナル作成。ユーザー作成コーパスと問題例は、論点・出題形式・誤答設計の研究資料として参照。</x:v>
      </x:c>
      <x:c r="B5" s="137"/>
      <x:c r="C5" s="137"/>
      <x:c r="D5" s="137"/>
      <x:c r="E5" s="137"/>
      <x:c r="F5" s="137"/>
      <x:c r="G5" s="137"/>
      <x:c r="H5" s="137"/>
    </x:row>
    <x:row r="6" ht="32" customHeight="1">
      <x:c r="A6" s="137" t="str">
        <x:v>• 各問に正答、正答解説、3つの誤答が誤りである理由、分類タグ、要レビュー判定を付与。</x:v>
      </x:c>
      <x:c r="B6" s="137"/>
      <x:c r="C6" s="137"/>
      <x:c r="D6" s="137"/>
      <x:c r="E6" s="137"/>
      <x:c r="F6" s="137"/>
      <x:c r="G6" s="137"/>
      <x:c r="H6" s="137"/>
    </x:row>
    <x:row r="8">
      <x:c r="A8" s="130" t="str">
        <x:v>設問設計ルール</x:v>
      </x:c>
      <x:c r="B8" s="130"/>
      <x:c r="C8" s="130"/>
      <x:c r="D8" s="130"/>
      <x:c r="E8" s="130"/>
      <x:c r="F8" s="130"/>
      <x:c r="G8" s="130"/>
      <x:c r="H8" s="130"/>
    </x:row>
    <x:row r="9" ht="32" customHeight="1">
      <x:c r="A9" s="137" t="str">
        <x:v>• 1問につき中心論点は1つ。</x:v>
      </x:c>
      <x:c r="B9" s="137"/>
      <x:c r="C9" s="137"/>
      <x:c r="D9" s="137"/>
      <x:c r="E9" s="137"/>
      <x:c r="F9" s="137"/>
      <x:c r="G9" s="137"/>
      <x:c r="H9" s="137"/>
    </x:row>
    <x:row r="10" ht="32" customHeight="1">
      <x:c r="A10" s="137" t="str">
        <x:v>• 正答は一意。正答位置は全体・各LOともA〜Dを均等配置。</x:v>
      </x:c>
      <x:c r="B10" s="137"/>
      <x:c r="C10" s="137"/>
      <x:c r="D10" s="137"/>
      <x:c r="E10" s="137"/>
      <x:c r="F10" s="137"/>
      <x:c r="G10" s="137"/>
      <x:c r="H10" s="137"/>
    </x:row>
    <x:row r="11" ht="32" customHeight="1">
      <x:c r="A11" s="137" t="str">
        <x:v>• 誤答は関連知識との混同を狙い、無関係な選択肢や「必ず／絶対」だけで見破れる表現を避けた。</x:v>
      </x:c>
      <x:c r="B11" s="137"/>
      <x:c r="C11" s="137"/>
      <x:c r="D11" s="137"/>
      <x:c r="E11" s="137"/>
      <x:c r="F11" s="137"/>
      <x:c r="G11" s="137"/>
      <x:c r="H11" s="137"/>
    </x:row>
    <x:row r="12" ht="32" customHeight="1">
      <x:c r="A12" s="137" t="str">
        <x:v>• タグは問題の性質を記述するためのもので、LO以外は配分ノルマとして問題生成を拘束していない。</x:v>
      </x:c>
      <x:c r="B12" s="137"/>
      <x:c r="C12" s="137"/>
      <x:c r="D12" s="137"/>
      <x:c r="E12" s="137"/>
      <x:c r="F12" s="137"/>
      <x:c r="G12" s="137"/>
      <x:c r="H12" s="137"/>
    </x:row>
    <x:row r="14">
      <x:c r="A14" s="130" t="str">
        <x:v>日本語用語</x:v>
      </x:c>
      <x:c r="B14" s="130"/>
      <x:c r="C14" s="130"/>
      <x:c r="D14" s="130"/>
      <x:c r="E14" s="130"/>
      <x:c r="F14" s="130"/>
      <x:c r="G14" s="130"/>
      <x:c r="H14" s="130"/>
    </x:row>
    <x:row r="15" ht="32" customHeight="1">
      <x:c r="A15" s="137" t="str">
        <x:v>• 日本語表現は、公開されているWSET日本語版Specification（2017年版）の用語を主な基準とした。</x:v>
      </x:c>
      <x:c r="B15" s="137"/>
      <x:c r="C15" s="137"/>
      <x:c r="D15" s="137"/>
      <x:c r="E15" s="137"/>
      <x:c r="F15" s="137"/>
      <x:c r="G15" s="137"/>
      <x:c r="H15" s="137"/>
    </x:row>
    <x:row r="16" ht="32" customHeight="1">
      <x:c r="A16" s="137" t="str">
        <x:v>• 学習範囲はWSET Level 3 Award in Wines Specification Issue 2（2022年英語版）とも照合。</x:v>
      </x:c>
      <x:c r="B16" s="137"/>
      <x:c r="C16" s="137"/>
      <x:c r="D16" s="137"/>
      <x:c r="E16" s="137"/>
      <x:c r="F16" s="137"/>
      <x:c r="G16" s="137"/>
      <x:c r="H16" s="137"/>
    </x:row>
    <x:row r="17" ht="32" customHeight="1">
      <x:c r="A17" s="137" t="str">
        <x:v>• 例：非発泡性ワイン、発泡性ワイン、酒精強化ワイン、キャノピー・マネジメント、澱との接触、ルミュアージュ（動瓶）、デゴルジュマン（澱抜き）、マロラクティック発酵（MLF）。</x:v>
      </x:c>
      <x:c r="B17" s="137"/>
      <x:c r="C17" s="137"/>
      <x:c r="D17" s="137"/>
      <x:c r="E17" s="137"/>
      <x:c r="F17" s="137"/>
      <x:c r="G17" s="137"/>
      <x:c r="H17" s="137"/>
    </x:row>
    <x:row r="19">
      <x:c r="A19" s="130" t="str">
        <x:v>レビュー</x:v>
      </x:c>
      <x:c r="B19" s="130"/>
      <x:c r="C19" s="130"/>
      <x:c r="D19" s="130"/>
      <x:c r="E19" s="130"/>
      <x:c r="F19" s="130"/>
      <x:c r="G19" s="130"/>
      <x:c r="H19" s="130"/>
    </x:row>
    <x:row r="20" ht="32" customHeight="1">
      <x:c r="A20" s="137" t="str">
        <x:v>• 「要レビュー=Y」は、誤りを意味しない。法律・表示・官能表現など、教材との最終照合価値が高い設問を示す。</x:v>
      </x:c>
      <x:c r="B20" s="137"/>
      <x:c r="C20" s="137"/>
      <x:c r="D20" s="137"/>
      <x:c r="E20" s="137"/>
      <x:c r="F20" s="137"/>
      <x:c r="G20" s="137"/>
      <x:c r="H20" s="137"/>
    </x:row>
    <x:row r="21" ht="32" customHeight="1">
      <x:c r="A21" s="137" t="str">
        <x:v>• 問題集シートの「レビュー状態」「レビュアー」「レビュー日」「レビューコメント」を更新して運用する。</x:v>
      </x:c>
      <x:c r="B21" s="137"/>
      <x:c r="C21" s="137"/>
      <x:c r="D21" s="137"/>
      <x:c r="E21" s="137"/>
      <x:c r="F21" s="137"/>
      <x:c r="G21" s="137"/>
      <x:c r="H21" s="137"/>
    </x:row>
    <x:row r="23">
      <x:c r="A23" s="130" t="str">
        <x:v>著作権・商標</x:v>
      </x:c>
      <x:c r="B23" s="130"/>
      <x:c r="C23" s="130"/>
      <x:c r="D23" s="130"/>
      <x:c r="E23" s="130"/>
      <x:c r="F23" s="130"/>
      <x:c r="G23" s="130"/>
      <x:c r="H23" s="130"/>
    </x:row>
    <x:row r="24" ht="32" customHeight="1">
      <x:c r="A24" s="137" t="str">
        <x:v>• 本ファイルは非公式の学習用問題集であり、WSETの承認・推薦・監修を受けたものではない。</x:v>
      </x:c>
      <x:c r="B24" s="137"/>
      <x:c r="C24" s="137"/>
      <x:c r="D24" s="137"/>
      <x:c r="E24" s="137"/>
      <x:c r="F24" s="137"/>
      <x:c r="G24" s="137"/>
      <x:c r="H24" s="137"/>
    </x:row>
    <x:row r="25" ht="32" customHeight="1">
      <x:c r="A25" s="137" t="str">
        <x:v>• WSETおよび関連する名称・商標は各権利者に帰属する。</x:v>
      </x:c>
      <x:c r="B25" s="137"/>
      <x:c r="C25" s="137"/>
      <x:c r="D25" s="137"/>
      <x:c r="E25" s="137"/>
      <x:c r="F25" s="137"/>
      <x:c r="G25" s="137"/>
      <x:c r="H25" s="137"/>
    </x:row>
    <x:row r="26" ht="32" customHeight="1">
      <x:c r="A26" s="137" t="str">
        <x:v>• 第三者の問題文・選択肢・解説を転載せず、公開資料と私的コーパスから論点・構造のみを参考にして独自作成した。</x:v>
      </x:c>
      <x:c r="B26" s="137"/>
      <x:c r="C26" s="137"/>
      <x:c r="D26" s="137"/>
      <x:c r="E26" s="137"/>
      <x:c r="F26" s="137"/>
      <x:c r="G26" s="137"/>
      <x:c r="H26" s="137"/>
    </x:row>
    <x:row r="27" ht="32" customHeight="1">
      <x:c r="A27" s="137" t="str">
        <x:v>• 商用利用前には、全問題の専門家レビュー、最新法規の確認、商標表示の法務確認を行うこと。</x:v>
      </x:c>
      <x:c r="B27" s="137"/>
      <x:c r="C27" s="137"/>
      <x:c r="D27" s="137"/>
      <x:c r="E27" s="137"/>
      <x:c r="F27" s="137"/>
      <x:c r="G27" s="137"/>
      <x:c r="H27" s="137"/>
    </x:row>
    <x:row r="29">
      <x:c r="A29" s="130" t="str">
        <x:v>主な参照資料</x:v>
      </x:c>
      <x:c r="B29" s="130"/>
      <x:c r="C29" s="130"/>
      <x:c r="D29" s="130"/>
      <x:c r="E29" s="130"/>
      <x:c r="F29" s="130"/>
      <x:c r="G29" s="130"/>
      <x:c r="H29" s="130"/>
    </x:row>
    <x:row r="30" ht="48" customHeight="1">
      <x:c r="A30" s="137" t="str">
        <x:v>• WSET公式 日本語版Specification（2017）: https://www.wsetglobal.com/media/4724/wset_l3wines_specification_jp_aug2017.pdf</x:v>
      </x:c>
      <x:c r="B30" s="137"/>
      <x:c r="C30" s="137"/>
      <x:c r="D30" s="137"/>
      <x:c r="E30" s="137"/>
      <x:c r="F30" s="137"/>
      <x:c r="G30" s="137"/>
      <x:c r="H30" s="137"/>
    </x:row>
    <x:row r="31" ht="48" customHeight="1">
      <x:c r="A31" s="137" t="str">
        <x:v>• WSET公式 英語版Specification Issue 2（2022）: https://www.wsetglobal.com/media/11731/wset_l3wines_specification_en_highres_may2022_issue2.pdf</x:v>
      </x:c>
      <x:c r="B31" s="137"/>
      <x:c r="C31" s="137"/>
      <x:c r="D31" s="137"/>
      <x:c r="E31" s="137"/>
      <x:c r="F31" s="137"/>
      <x:c r="G31" s="137"/>
      <x:c r="H31" s="137"/>
    </x:row>
    <x:row r="32" ht="32" customHeight="1">
      <x:c r="A32" s="137" t="str">
        <x:v>• ユーザー作成コーパス: 設問構成の参考資料</x:v>
      </x:c>
      <x:c r="B32" s="137"/>
      <x:c r="C32" s="137"/>
      <x:c r="D32" s="137"/>
      <x:c r="E32" s="137"/>
      <x:c r="F32" s="137"/>
      <x:c r="G32" s="137"/>
      <x:c r="H32" s="137"/>
    </x:row>
    <x:row r="33" ht="32" customHeight="1">
      <x:c r="A33" s="137" t="str">
        <x:v>• ユーザー作成の問題・選択肢・解説例: 貼り付けたマークダウン（1）(4).md</x:v>
      </x:c>
      <x:c r="B33" s="137"/>
      <x:c r="C33" s="137"/>
      <x:c r="D33" s="137"/>
      <x:c r="E33" s="137"/>
      <x:c r="F33" s="137"/>
      <x:c r="G33" s="137"/>
      <x:c r="H33" s="137"/>
    </x:row>
    <x:row r="35">
      <x:c r="A35" s="202" t="str">
        <x:v>更新履歴</x:v>
      </x:c>
      <x:c r="B35" s="202"/>
      <x:c r="C35" s="202"/>
      <x:c r="D35" s="202"/>
      <x:c r="E35" s="202"/>
      <x:c r="F35" s="202"/>
      <x:c r="G35" s="202"/>
      <x:c r="H35" s="202"/>
    </x:row>
    <x:row r="36" ht="42" customHeight="1">
      <x:c r="A36" s="205" t="str">
        <x:v>• v2：オリジナル問題を200問追加。各LOを20問から60問へ拡張し、正答位置はA〜D各75問に均等化。</x:v>
      </x:c>
      <x:c r="B36" s="205"/>
      <x:c r="C36" s="205"/>
      <x:c r="D36" s="205"/>
      <x:c r="E36" s="205"/>
      <x:c r="F36" s="205"/>
      <x:c r="G36" s="205"/>
      <x:c r="H36" s="205"/>
    </x:row>
  </x:sheetData>
  <x:mergeCells>
    <x:mergeCell ref="A1:H1"/>
    <x:mergeCell ref="A3:H3"/>
    <x:mergeCell ref="A4:H4"/>
    <x:mergeCell ref="A5:H5"/>
    <x:mergeCell ref="A6:H6"/>
    <x:mergeCell ref="A8:H8"/>
    <x:mergeCell ref="A9:H9"/>
    <x:mergeCell ref="A10:H10"/>
    <x:mergeCell ref="A11:H11"/>
    <x:mergeCell ref="A12:H12"/>
    <x:mergeCell ref="A14:H14"/>
    <x:mergeCell ref="A15:H15"/>
    <x:mergeCell ref="A16:H16"/>
    <x:mergeCell ref="A17:H17"/>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5:H35"/>
    <x:mergeCell ref="A36:H36"/>
  </x:mergeCells>
  <x:pageMargins left="0.7" right="0.7" top="0.75" bottom="0.75" header="0.3" footer="0.3"/>
</x:worksheet>
</file>